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trading\spreadsheets\"/>
    </mc:Choice>
  </mc:AlternateContent>
  <xr:revisionPtr revIDLastSave="0" documentId="13_ncr:1_{6BE0BDB1-B309-472A-85E7-D18F59108BCB}" xr6:coauthVersionLast="47" xr6:coauthVersionMax="47" xr10:uidLastSave="{00000000-0000-0000-0000-000000000000}"/>
  <bookViews>
    <workbookView xWindow="1455" yWindow="1725" windowWidth="26145" windowHeight="12885" tabRatio="763" firstSheet="2" activeTab="2" xr2:uid="{80E421DC-2A5F-48BD-91BD-DB367A6ED94D}"/>
  </bookViews>
  <sheets>
    <sheet name="README" sheetId="31" r:id="rId1"/>
    <sheet name="Crypto Inputs" sheetId="1" r:id="rId2"/>
    <sheet name="Equity Inputs" sheetId="38" r:id="rId3"/>
    <sheet name="Mkt Data Streaming Inputs" sheetId="35" r:id="rId4"/>
    <sheet name="Alts" sheetId="3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4" i="38" l="1"/>
  <c r="C234" i="38"/>
  <c r="D234" i="38"/>
  <c r="E234" i="38"/>
  <c r="F234" i="38"/>
  <c r="G234" i="38"/>
  <c r="H234" i="38"/>
  <c r="I234" i="38"/>
  <c r="J234" i="38"/>
  <c r="K234" i="38"/>
  <c r="L234" i="38"/>
  <c r="M234" i="38"/>
  <c r="N234" i="38"/>
  <c r="O234" i="38"/>
  <c r="P234" i="38"/>
  <c r="Q234" i="38"/>
  <c r="A234" i="38"/>
  <c r="Y20" i="37"/>
  <c r="D20" i="37"/>
  <c r="D13" i="35"/>
  <c r="D15" i="35"/>
  <c r="D5" i="35" s="1"/>
</calcChain>
</file>

<file path=xl/sharedStrings.xml><?xml version="1.0" encoding="utf-8"?>
<sst xmlns="http://schemas.openxmlformats.org/spreadsheetml/2006/main" count="3779" uniqueCount="584">
  <si>
    <t>comm_type</t>
  </si>
  <si>
    <t>comm_maker</t>
  </si>
  <si>
    <t>comm_taker</t>
  </si>
  <si>
    <t>future</t>
  </si>
  <si>
    <t>IBIT</t>
  </si>
  <si>
    <t>IBKR</t>
  </si>
  <si>
    <t>Coinbase</t>
  </si>
  <si>
    <t>Kraken</t>
  </si>
  <si>
    <t>flat_pct</t>
  </si>
  <si>
    <t>flat_amt</t>
  </si>
  <si>
    <t>comm_update</t>
  </si>
  <si>
    <t>my_prod_type</t>
  </si>
  <si>
    <t>ARKB</t>
  </si>
  <si>
    <t>BITB</t>
  </si>
  <si>
    <t>BRRR</t>
  </si>
  <si>
    <t>BTCW</t>
  </si>
  <si>
    <t>EZBC</t>
  </si>
  <si>
    <t>GBTC</t>
  </si>
  <si>
    <t>BTC</t>
  </si>
  <si>
    <t>Gemini</t>
  </si>
  <si>
    <t>flat_pct_with_min</t>
  </si>
  <si>
    <t>FBTC</t>
  </si>
  <si>
    <t>Deribit</t>
  </si>
  <si>
    <t>various</t>
  </si>
  <si>
    <t>none</t>
  </si>
  <si>
    <t>Bybit</t>
  </si>
  <si>
    <t>Bitget</t>
  </si>
  <si>
    <t>OKX</t>
  </si>
  <si>
    <t>Huobi</t>
  </si>
  <si>
    <t>Bitfinex</t>
  </si>
  <si>
    <t>KuCoin</t>
  </si>
  <si>
    <t>spot</t>
  </si>
  <si>
    <t>USDT</t>
  </si>
  <si>
    <t>USD</t>
  </si>
  <si>
    <t>btcusdt</t>
  </si>
  <si>
    <t>tBTCUSD</t>
  </si>
  <si>
    <t>BTCUSDT</t>
  </si>
  <si>
    <t>BTC-USD</t>
  </si>
  <si>
    <t>BTCUSD</t>
  </si>
  <si>
    <t>BTC-USDT</t>
  </si>
  <si>
    <t>equity</t>
  </si>
  <si>
    <t>Delta</t>
  </si>
  <si>
    <t>HODL</t>
  </si>
  <si>
    <t>option</t>
  </si>
  <si>
    <t>perp</t>
  </si>
  <si>
    <t>ETH</t>
  </si>
  <si>
    <t>BTC-PERP</t>
  </si>
  <si>
    <t>btcusd_perp</t>
  </si>
  <si>
    <t>BTC-USD-SWAP</t>
  </si>
  <si>
    <t>BTC-USDT-SWAP</t>
  </si>
  <si>
    <t>BTCF0:USTF0</t>
  </si>
  <si>
    <t>Bitget-Fut</t>
  </si>
  <si>
    <t>BTCUSDT_UMCBL</t>
  </si>
  <si>
    <t>BTCUSD_DMCBL</t>
  </si>
  <si>
    <t>BTCUSDT_SPBL</t>
  </si>
  <si>
    <t>BTC-PERPETUAL</t>
  </si>
  <si>
    <t>BTC-USD-Perpetual</t>
  </si>
  <si>
    <t>USD or BTC</t>
  </si>
  <si>
    <t>BTCUSDTM</t>
  </si>
  <si>
    <t>XBTUSD</t>
  </si>
  <si>
    <t>Binance-Fstream</t>
  </si>
  <si>
    <t>Binance-Dstream</t>
  </si>
  <si>
    <t>Bitfinex-Derivs</t>
  </si>
  <si>
    <t>Bitget-Derivs</t>
  </si>
  <si>
    <t>Bybit-Derivs</t>
  </si>
  <si>
    <t>Coinbase-Perps</t>
  </si>
  <si>
    <t>Delta-Derivs</t>
  </si>
  <si>
    <t>Huobi-Derivs</t>
  </si>
  <si>
    <t>Kraken-Derivs</t>
  </si>
  <si>
    <t>KuCoin-Derivs</t>
  </si>
  <si>
    <t>Binance-Opts</t>
  </si>
  <si>
    <t>Bitget-Opts</t>
  </si>
  <si>
    <t>BTC-USDC</t>
  </si>
  <si>
    <t>USDC</t>
  </si>
  <si>
    <t>FUTURE</t>
  </si>
  <si>
    <t>BIT-24APR26-CDE</t>
  </si>
  <si>
    <t>BTC PERP</t>
  </si>
  <si>
    <t>BTC-Bitfinex</t>
  </si>
  <si>
    <t>BTC-Bitget</t>
  </si>
  <si>
    <t>BTC-Bybit</t>
  </si>
  <si>
    <t>BTC-Delta</t>
  </si>
  <si>
    <t>CASH</t>
  </si>
  <si>
    <t>swap</t>
  </si>
  <si>
    <t>futures</t>
  </si>
  <si>
    <t>BTC-PERP-OKX</t>
  </si>
  <si>
    <t>-</t>
  </si>
  <si>
    <t>BTC-USDT-260327</t>
  </si>
  <si>
    <t>BTC-260327-OKX</t>
  </si>
  <si>
    <t>BTCUSDH26</t>
  </si>
  <si>
    <t>XBTUSDTM</t>
  </si>
  <si>
    <t>XBTUSDM</t>
  </si>
  <si>
    <t>XBTUSDCM</t>
  </si>
  <si>
    <t>today</t>
  </si>
  <si>
    <t>upside down</t>
  </si>
  <si>
    <t>This is designed as a database of information about crypto for use in Python scripts</t>
  </si>
  <si>
    <t>The main tabs of database information are named Bitcoin and Ethereum</t>
  </si>
  <si>
    <t>There are tabs for streaming product dumps</t>
  </si>
  <si>
    <t>Coinbase Product List</t>
  </si>
  <si>
    <t>Gemini Product List</t>
  </si>
  <si>
    <t>There are tabs for option dumps of expiry and strike for each of the ETFs</t>
  </si>
  <si>
    <t>ARKB Options</t>
  </si>
  <si>
    <t>BTC Options</t>
  </si>
  <si>
    <t>BITB Options</t>
  </si>
  <si>
    <t>BTCW Options</t>
  </si>
  <si>
    <t>BRRR Options - not available - no options listed yet</t>
  </si>
  <si>
    <t>EZBC Options</t>
  </si>
  <si>
    <t>FBTC Options</t>
  </si>
  <si>
    <t>GBTC Options</t>
  </si>
  <si>
    <t>HODL Options</t>
  </si>
  <si>
    <t>IBIT Options</t>
  </si>
  <si>
    <t>The tab titled ETF Options Summary connects to the ETF options tabs in the next line</t>
  </si>
  <si>
    <t>The main interfaces to identify active cryptos for the Python scripts are BTC and ETH</t>
  </si>
  <si>
    <t>The tabs TST and Test are available for testing new Python scripts</t>
  </si>
  <si>
    <t>BTCM6</t>
  </si>
  <si>
    <t>BTCN6</t>
  </si>
  <si>
    <t>BTCQ6</t>
  </si>
  <si>
    <t>BTCU6</t>
  </si>
  <si>
    <t>Column1</t>
  </si>
  <si>
    <t>Column2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</si>
  <si>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</si>
  <si>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</si>
  <si>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</si>
  <si>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</si>
  <si>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</si>
  <si>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</si>
  <si>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</si>
  <si>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</si>
  <si>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</si>
  <si>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</si>
  <si>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</si>
  <si>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</si>
  <si>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</si>
  <si>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</si>
  <si>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</si>
  <si>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</si>
  <si>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</si>
  <si>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</si>
  <si>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</si>
  <si>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</si>
  <si>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</si>
  <si>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NEXT</t>
  </si>
  <si>
    <t>comm_misc</t>
  </si>
  <si>
    <t>Coinbase-Derivs</t>
  </si>
  <si>
    <t>Phemex</t>
  </si>
  <si>
    <t>base_currency</t>
  </si>
  <si>
    <t>BTC_USDC</t>
  </si>
  <si>
    <t>BTC_USDT</t>
  </si>
  <si>
    <t>BTC-25SEP26</t>
  </si>
  <si>
    <t>BTC-25DEC26</t>
  </si>
  <si>
    <t>BTC-26MAR27</t>
  </si>
  <si>
    <t>my_pf_name</t>
  </si>
  <si>
    <t>pf_locator</t>
  </si>
  <si>
    <t>my_fi_name</t>
  </si>
  <si>
    <t>top_currency</t>
  </si>
  <si>
    <t>Column92</t>
  </si>
  <si>
    <t>Column93</t>
  </si>
  <si>
    <t>Column94</t>
  </si>
  <si>
    <t>Column95</t>
  </si>
  <si>
    <t>import</t>
  </si>
  <si>
    <t>btcusd</t>
  </si>
  <si>
    <t>btcusdc</t>
  </si>
  <si>
    <t>BTCUSDC</t>
  </si>
  <si>
    <t>vpn</t>
  </si>
  <si>
    <t>BTC/USD</t>
  </si>
  <si>
    <t>BTC/USDC</t>
  </si>
  <si>
    <t>BTC/USDT</t>
  </si>
  <si>
    <t>KrakenSpot</t>
  </si>
  <si>
    <t>BTC-USD1</t>
  </si>
  <si>
    <t>KuCoinSpot</t>
  </si>
  <si>
    <t>BTCUSD1</t>
  </si>
  <si>
    <t>BinanceSpot</t>
  </si>
  <si>
    <t>MEXC</t>
  </si>
  <si>
    <t>Gate</t>
  </si>
  <si>
    <t>btcusd1</t>
  </si>
  <si>
    <t>BTC/USD1</t>
  </si>
  <si>
    <t>BTC_USD1</t>
  </si>
  <si>
    <t>sBTCUSDT</t>
  </si>
  <si>
    <t>sBTCUSDC</t>
  </si>
  <si>
    <t>tBTCUST</t>
  </si>
  <si>
    <t>BTCZ6</t>
  </si>
  <si>
    <t>BTCH7</t>
  </si>
  <si>
    <t>BinanceUS</t>
  </si>
  <si>
    <t>BTCV6</t>
  </si>
  <si>
    <t>BTCX6</t>
  </si>
  <si>
    <t>BIT-26JUN26-CDE</t>
  </si>
  <si>
    <t>BIT-31JUL26-CDE</t>
  </si>
  <si>
    <t>BIT-28AUG26-CDE</t>
  </si>
  <si>
    <t>ETHV6</t>
  </si>
  <si>
    <t>ETHX6</t>
  </si>
  <si>
    <t>ETHZ6</t>
  </si>
  <si>
    <t>ANGL</t>
  </si>
  <si>
    <t>CWB</t>
  </si>
  <si>
    <t>FALN</t>
  </si>
  <si>
    <t>ICVT</t>
  </si>
  <si>
    <t>IGLB</t>
  </si>
  <si>
    <t>MBB</t>
  </si>
  <si>
    <t>MUB</t>
  </si>
  <si>
    <t>SCHQ</t>
  </si>
  <si>
    <t>SPLB</t>
  </si>
  <si>
    <t>SPMB</t>
  </si>
  <si>
    <t>SPTL</t>
  </si>
  <si>
    <t>TFI</t>
  </si>
  <si>
    <t>TLT</t>
  </si>
  <si>
    <t>VCLT</t>
  </si>
  <si>
    <t>VGLT</t>
  </si>
  <si>
    <t>VMBS</t>
  </si>
  <si>
    <t>VTEB</t>
  </si>
  <si>
    <t>None</t>
  </si>
  <si>
    <t>Crypto</t>
  </si>
  <si>
    <t>Keys</t>
  </si>
  <si>
    <t>output tail directory</t>
  </si>
  <si>
    <t>output directory</t>
  </si>
  <si>
    <t>output workbook name</t>
  </si>
  <si>
    <t>output worksheet name</t>
  </si>
  <si>
    <t>output cell name</t>
  </si>
  <si>
    <t>print timestamp onscreen</t>
  </si>
  <si>
    <t>add timestamp to output df</t>
  </si>
  <si>
    <t>display df onscreen</t>
  </si>
  <si>
    <t>save df to csv</t>
  </si>
  <si>
    <t>send df to xl</t>
  </si>
  <si>
    <t>replace</t>
  </si>
  <si>
    <t>timer interval</t>
  </si>
  <si>
    <t>2026 Crypto Mkt Data.xlsx</t>
  </si>
  <si>
    <t>MKT DATA</t>
  </si>
  <si>
    <t>A1</t>
  </si>
  <si>
    <t>C:\Users\Micha\Git-Crypto\Spreadsheets</t>
  </si>
  <si>
    <t>append</t>
  </si>
  <si>
    <t>active</t>
  </si>
  <si>
    <t>python App_Stream_MktData.py</t>
  </si>
  <si>
    <t>mkt_data_stream</t>
  </si>
  <si>
    <t>CORP</t>
  </si>
  <si>
    <t>LQD</t>
  </si>
  <si>
    <t>USIG</t>
  </si>
  <si>
    <t>AGG</t>
  </si>
  <si>
    <t>BND</t>
  </si>
  <si>
    <t>HYG</t>
  </si>
  <si>
    <t>HYLB</t>
  </si>
  <si>
    <t>IUSB</t>
  </si>
  <si>
    <t>JNK</t>
  </si>
  <si>
    <t>SCHZ</t>
  </si>
  <si>
    <t>SCYB</t>
  </si>
  <si>
    <t>SPAB</t>
  </si>
  <si>
    <t>SPHY</t>
  </si>
  <si>
    <t>USHY</t>
  </si>
  <si>
    <t>SPBO</t>
  </si>
  <si>
    <t>VTC</t>
  </si>
  <si>
    <t>BNDX</t>
  </si>
  <si>
    <t>BWX</t>
  </si>
  <si>
    <t>CMF</t>
  </si>
  <si>
    <t>EMB</t>
  </si>
  <si>
    <t>EMLC</t>
  </si>
  <si>
    <t>IAGG</t>
  </si>
  <si>
    <t>IGOV</t>
  </si>
  <si>
    <t>PFF</t>
  </si>
  <si>
    <t>PFFD</t>
  </si>
  <si>
    <t>PCY</t>
  </si>
  <si>
    <t>VTEC</t>
  </si>
  <si>
    <t>VWOB</t>
  </si>
  <si>
    <t>BTCF7</t>
  </si>
  <si>
    <t>USRT</t>
  </si>
  <si>
    <t>SCHH</t>
  </si>
  <si>
    <t>BTC_ETF</t>
  </si>
  <si>
    <t>Stat_Arb_Group</t>
  </si>
  <si>
    <t>cd git-projects\trading\apps</t>
  </si>
  <si>
    <t>FDIS</t>
  </si>
  <si>
    <t>IYC</t>
  </si>
  <si>
    <t>XLY</t>
  </si>
  <si>
    <t>VCR</t>
  </si>
  <si>
    <t>FSTA</t>
  </si>
  <si>
    <t>IYK</t>
  </si>
  <si>
    <t>XLP</t>
  </si>
  <si>
    <t>VDC</t>
  </si>
  <si>
    <t>FENY</t>
  </si>
  <si>
    <t>IYE</t>
  </si>
  <si>
    <t>XLE</t>
  </si>
  <si>
    <t>VDE</t>
  </si>
  <si>
    <t>FNCL</t>
  </si>
  <si>
    <t>IYF</t>
  </si>
  <si>
    <t>XLF</t>
  </si>
  <si>
    <t>VFH</t>
  </si>
  <si>
    <t>FHLC</t>
  </si>
  <si>
    <t>IYH</t>
  </si>
  <si>
    <t>XLV</t>
  </si>
  <si>
    <t>VHT</t>
  </si>
  <si>
    <t>FIDU</t>
  </si>
  <si>
    <t>IYJ</t>
  </si>
  <si>
    <t>XLI</t>
  </si>
  <si>
    <t>VIS</t>
  </si>
  <si>
    <t>FREL</t>
  </si>
  <si>
    <t>IYR</t>
  </si>
  <si>
    <t>XLRE</t>
  </si>
  <si>
    <t>VNQ</t>
  </si>
  <si>
    <t>FTEC</t>
  </si>
  <si>
    <t>IYW</t>
  </si>
  <si>
    <t>XLK</t>
  </si>
  <si>
    <t>VGT</t>
  </si>
  <si>
    <t>FUTY</t>
  </si>
  <si>
    <t>IDU</t>
  </si>
  <si>
    <t>XLU</t>
  </si>
  <si>
    <t>VPU</t>
  </si>
  <si>
    <t>sector</t>
  </si>
  <si>
    <t>BTCG7</t>
  </si>
  <si>
    <t>BTC-29JAN27</t>
  </si>
  <si>
    <t>BTC-26FEB27</t>
  </si>
  <si>
    <t>ETHF7</t>
  </si>
  <si>
    <t>ETHG7</t>
  </si>
  <si>
    <t>crypto</t>
  </si>
  <si>
    <t>fixed income</t>
  </si>
  <si>
    <t>agg</t>
  </si>
  <si>
    <t>fallen angels</t>
  </si>
  <si>
    <t>calif munis</t>
  </si>
  <si>
    <t>corps</t>
  </si>
  <si>
    <t>converts</t>
  </si>
  <si>
    <t>hi yld</t>
  </si>
  <si>
    <t>long term corps</t>
  </si>
  <si>
    <t>mortgages</t>
  </si>
  <si>
    <t>munis</t>
  </si>
  <si>
    <t>prefs</t>
  </si>
  <si>
    <t>long term tsy</t>
  </si>
  <si>
    <t>energy</t>
  </si>
  <si>
    <t>healthcare</t>
  </si>
  <si>
    <t>industrials</t>
  </si>
  <si>
    <t>real estate</t>
  </si>
  <si>
    <t>technology</t>
  </si>
  <si>
    <t>utilities</t>
  </si>
  <si>
    <t>financials</t>
  </si>
  <si>
    <t>staples</t>
  </si>
  <si>
    <t>discretionary</t>
  </si>
  <si>
    <t>GOOG</t>
  </si>
  <si>
    <t>GOOGL</t>
  </si>
  <si>
    <t>FOX</t>
  </si>
  <si>
    <t>FOXA</t>
  </si>
  <si>
    <t>NWS</t>
  </si>
  <si>
    <t>NWSA</t>
  </si>
  <si>
    <t>HEI</t>
  </si>
  <si>
    <t>HEI A</t>
  </si>
  <si>
    <t>google</t>
  </si>
  <si>
    <t>news corp</t>
  </si>
  <si>
    <t>fox corp</t>
  </si>
  <si>
    <t>heico</t>
  </si>
  <si>
    <t>berkshire</t>
  </si>
  <si>
    <t>BRK A</t>
  </si>
  <si>
    <t>BRK B</t>
  </si>
  <si>
    <t>exclusion</t>
  </si>
  <si>
    <t>biotech</t>
  </si>
  <si>
    <t>IBB</t>
  </si>
  <si>
    <t>aerospace</t>
  </si>
  <si>
    <t>ITA</t>
  </si>
  <si>
    <t>semis</t>
  </si>
  <si>
    <t>SOXX</t>
  </si>
  <si>
    <t>SMH</t>
  </si>
  <si>
    <t>KBE</t>
  </si>
  <si>
    <t>KBWB</t>
  </si>
  <si>
    <t>banks</t>
  </si>
  <si>
    <t>grouping</t>
  </si>
  <si>
    <t>subgroup</t>
  </si>
  <si>
    <t>XAR</t>
  </si>
  <si>
    <t>XBI</t>
  </si>
  <si>
    <t>under armour</t>
  </si>
  <si>
    <t>UA</t>
  </si>
  <si>
    <t>UAA</t>
  </si>
  <si>
    <t>BF A</t>
  </si>
  <si>
    <t>BF B</t>
  </si>
  <si>
    <t>MOG A</t>
  </si>
  <si>
    <t>MOG B</t>
  </si>
  <si>
    <t>LEN</t>
  </si>
  <si>
    <t>LEN B</t>
  </si>
  <si>
    <t>BATRA</t>
  </si>
  <si>
    <t>BATRK</t>
  </si>
  <si>
    <t>brown foreman</t>
  </si>
  <si>
    <t>moog</t>
  </si>
  <si>
    <t>lenar</t>
  </si>
  <si>
    <t>atlanta braves</t>
  </si>
  <si>
    <t>zillow</t>
  </si>
  <si>
    <t>Z</t>
  </si>
  <si>
    <t>ZG</t>
  </si>
  <si>
    <t>ETHH7</t>
  </si>
  <si>
    <t>BSCQ</t>
  </si>
  <si>
    <t>IBDR</t>
  </si>
  <si>
    <t>BSCR</t>
  </si>
  <si>
    <t>IBDS</t>
  </si>
  <si>
    <t>BSCS</t>
  </si>
  <si>
    <t>IBDT</t>
  </si>
  <si>
    <t>BSCT</t>
  </si>
  <si>
    <t>IBDU</t>
  </si>
  <si>
    <t>BSCU</t>
  </si>
  <si>
    <t>IBDV</t>
  </si>
  <si>
    <t>BSCV</t>
  </si>
  <si>
    <t>IBDW</t>
  </si>
  <si>
    <t>BSCW</t>
  </si>
  <si>
    <t>IBDX</t>
  </si>
  <si>
    <t>BSCX</t>
  </si>
  <si>
    <t>IBDY</t>
  </si>
  <si>
    <t>BSCY</t>
  </si>
  <si>
    <t>IBDZ</t>
  </si>
  <si>
    <t>BSCZ</t>
  </si>
  <si>
    <t>IBCA</t>
  </si>
  <si>
    <t>target</t>
  </si>
  <si>
    <t>BSJQ</t>
  </si>
  <si>
    <t>IBHF</t>
  </si>
  <si>
    <t>BSJR</t>
  </si>
  <si>
    <t>IBHG</t>
  </si>
  <si>
    <t>BSJS</t>
  </si>
  <si>
    <t>IBHH</t>
  </si>
  <si>
    <t>BSJT</t>
  </si>
  <si>
    <t>IBHI</t>
  </si>
  <si>
    <t>BSJU</t>
  </si>
  <si>
    <t>IBHJ</t>
  </si>
  <si>
    <t>BSJV</t>
  </si>
  <si>
    <t>IBHK</t>
  </si>
  <si>
    <t>BSJW</t>
  </si>
  <si>
    <t>IBHL</t>
  </si>
  <si>
    <t>BSMQ</t>
  </si>
  <si>
    <t>IBMO</t>
  </si>
  <si>
    <t>BSMR</t>
  </si>
  <si>
    <t>IBMP</t>
  </si>
  <si>
    <t>BSMS</t>
  </si>
  <si>
    <t>IBMQ</t>
  </si>
  <si>
    <t>BSMT</t>
  </si>
  <si>
    <t>IBMR</t>
  </si>
  <si>
    <t>BSMU</t>
  </si>
  <si>
    <t>IBMS</t>
  </si>
  <si>
    <t>BSMV</t>
  </si>
  <si>
    <t>IBMT</t>
  </si>
  <si>
    <t>BSGR</t>
  </si>
  <si>
    <t>IBTH</t>
  </si>
  <si>
    <t>BSTS</t>
  </si>
  <si>
    <t>IBTI</t>
  </si>
  <si>
    <t>BSGT</t>
  </si>
  <si>
    <t>IBTJ</t>
  </si>
  <si>
    <t>BSTU</t>
  </si>
  <si>
    <t>IBTK</t>
  </si>
  <si>
    <t>BSTV</t>
  </si>
  <si>
    <t>IBTL</t>
  </si>
  <si>
    <t>liberty</t>
  </si>
  <si>
    <t>GLIBA</t>
  </si>
  <si>
    <t>GLIBK</t>
  </si>
  <si>
    <t>LBTYA</t>
  </si>
  <si>
    <t>LBTYK</t>
  </si>
  <si>
    <t>LILAK</t>
  </si>
  <si>
    <t>FWONA</t>
  </si>
  <si>
    <t>FWONK</t>
  </si>
  <si>
    <t>LILA</t>
  </si>
  <si>
    <t>PGX</t>
  </si>
  <si>
    <t>bank loans</t>
  </si>
  <si>
    <t>BKLN</t>
  </si>
  <si>
    <t>SRLN</t>
  </si>
  <si>
    <t>actively managed</t>
  </si>
  <si>
    <t>no passive peers</t>
  </si>
  <si>
    <t>LEMB</t>
  </si>
  <si>
    <t>industry</t>
  </si>
  <si>
    <t>PPA</t>
  </si>
  <si>
    <t>XTL</t>
  </si>
  <si>
    <t>XTN</t>
  </si>
  <si>
    <t>XHB</t>
  </si>
  <si>
    <t>XPH</t>
  </si>
  <si>
    <t>XOP</t>
  </si>
  <si>
    <t>XES</t>
  </si>
  <si>
    <t>XME</t>
  </si>
  <si>
    <t>XRT</t>
  </si>
  <si>
    <t>XSW</t>
  </si>
  <si>
    <t>XHE</t>
  </si>
  <si>
    <t>XHS</t>
  </si>
  <si>
    <t>XSD</t>
  </si>
  <si>
    <t>XNTK</t>
  </si>
  <si>
    <t>modified equal weight</t>
  </si>
  <si>
    <t>homebuilding</t>
  </si>
  <si>
    <t>mining</t>
  </si>
  <si>
    <t>retail</t>
  </si>
  <si>
    <t>software</t>
  </si>
  <si>
    <t>health care equipment</t>
  </si>
  <si>
    <t>KIE</t>
  </si>
  <si>
    <t>KRE</t>
  </si>
  <si>
    <t>insurance</t>
  </si>
  <si>
    <t>health care services</t>
  </si>
  <si>
    <t>BBH</t>
  </si>
  <si>
    <t>FTXR</t>
  </si>
  <si>
    <t>PKB</t>
  </si>
  <si>
    <t>PJP</t>
  </si>
  <si>
    <t>PXE</t>
  </si>
  <si>
    <t>OIH</t>
  </si>
  <si>
    <t>IYT</t>
  </si>
  <si>
    <t>ITB</t>
  </si>
  <si>
    <t>IHE</t>
  </si>
  <si>
    <t>IEO</t>
  </si>
  <si>
    <t>IEZ</t>
  </si>
  <si>
    <t>pharma</t>
  </si>
  <si>
    <t>transport</t>
  </si>
  <si>
    <t>home builders</t>
  </si>
  <si>
    <t>EWU</t>
  </si>
  <si>
    <t>FLGB</t>
  </si>
  <si>
    <t>EWA</t>
  </si>
  <si>
    <t>FLAU</t>
  </si>
  <si>
    <t>EWW</t>
  </si>
  <si>
    <t>FLMX</t>
  </si>
  <si>
    <t>EWZ</t>
  </si>
  <si>
    <t>FLBR</t>
  </si>
  <si>
    <t>EWT</t>
  </si>
  <si>
    <t>FLTW</t>
  </si>
  <si>
    <t>EWY</t>
  </si>
  <si>
    <t>FLKR</t>
  </si>
  <si>
    <t>EWC</t>
  </si>
  <si>
    <t>BBCA</t>
  </si>
  <si>
    <t>EWG</t>
  </si>
  <si>
    <t>FGM</t>
  </si>
  <si>
    <t>2026 Pairs Trading.xlsm</t>
  </si>
  <si>
    <t>corp</t>
  </si>
  <si>
    <t>country</t>
  </si>
  <si>
    <t>etf family</t>
  </si>
  <si>
    <t>etf fee</t>
  </si>
  <si>
    <t>div 2026-10</t>
  </si>
  <si>
    <t>div 2026-10 ex-date</t>
  </si>
  <si>
    <t>div 2026-09</t>
  </si>
  <si>
    <t>div 2026-09 ex-date</t>
  </si>
  <si>
    <t>div 2026-08</t>
  </si>
  <si>
    <t>div 2026-08 ex-date</t>
  </si>
  <si>
    <t>div 2026-07</t>
  </si>
  <si>
    <t>div 2026-07 ex-date</t>
  </si>
  <si>
    <t>div 2026-06</t>
  </si>
  <si>
    <t>div 2026-06 ex-date</t>
  </si>
  <si>
    <t>div 2026-05</t>
  </si>
  <si>
    <t>div 2026-05 ex-date</t>
  </si>
  <si>
    <t>div 2026-04</t>
  </si>
  <si>
    <t>div 2026-04 ex-date</t>
  </si>
  <si>
    <t>div 2026-03</t>
  </si>
  <si>
    <t>div 2026-03 ex-date</t>
  </si>
  <si>
    <t>div 2026-02</t>
  </si>
  <si>
    <t>div 2026-02 ex-date</t>
  </si>
  <si>
    <t>div 2026-01</t>
  </si>
  <si>
    <t>div 2026-01 ex-date</t>
  </si>
  <si>
    <t xml:space="preserve"> div 2025-12</t>
  </si>
  <si>
    <t>div 2025-12 ex-date</t>
  </si>
  <si>
    <t>iShares</t>
  </si>
  <si>
    <t>VanEck</t>
  </si>
  <si>
    <t>canada</t>
  </si>
  <si>
    <t>JPM</t>
  </si>
  <si>
    <t>Van Eck</t>
  </si>
  <si>
    <t>Vanguard</t>
  </si>
  <si>
    <t>Invesco</t>
  </si>
  <si>
    <t>State Street</t>
  </si>
  <si>
    <t>PIMCO</t>
  </si>
  <si>
    <t>australia</t>
  </si>
  <si>
    <t>germany</t>
  </si>
  <si>
    <t>taiwan</t>
  </si>
  <si>
    <t>united kingdom</t>
  </si>
  <si>
    <t>mexico</t>
  </si>
  <si>
    <t>south korea</t>
  </si>
  <si>
    <t>brazil</t>
  </si>
  <si>
    <t>Fidelity</t>
  </si>
  <si>
    <t>First Trust</t>
  </si>
  <si>
    <t>Franklin</t>
  </si>
  <si>
    <t>Xtrackers / DWS</t>
  </si>
  <si>
    <t>Global X</t>
  </si>
  <si>
    <t>Schwab</t>
  </si>
  <si>
    <t>disqualifying note</t>
  </si>
  <si>
    <t>tsy</t>
  </si>
  <si>
    <t>telecom</t>
  </si>
  <si>
    <t>div 2026-11</t>
  </si>
  <si>
    <t>div 2026-11 ex-date</t>
  </si>
  <si>
    <t>div 2026-12</t>
  </si>
  <si>
    <t>div 2026-12 ex-date</t>
  </si>
  <si>
    <t>category1</t>
  </si>
  <si>
    <t>category2</t>
  </si>
  <si>
    <t>category3</t>
  </si>
  <si>
    <t>usd denom</t>
  </si>
  <si>
    <t>em gov</t>
  </si>
  <si>
    <t>equip</t>
  </si>
  <si>
    <t>services</t>
  </si>
  <si>
    <t>reqional</t>
  </si>
  <si>
    <t>em bonds</t>
  </si>
  <si>
    <t>local ccy</t>
  </si>
  <si>
    <t>usd hedged</t>
  </si>
  <si>
    <t>intl agg</t>
  </si>
  <si>
    <t>unhedged</t>
  </si>
  <si>
    <t>intl gov</t>
  </si>
  <si>
    <t>equip &amp; svcs</t>
  </si>
  <si>
    <t>expl &amp; prod</t>
  </si>
  <si>
    <t>oil &amp; gas</t>
  </si>
  <si>
    <t>ARK</t>
  </si>
  <si>
    <t>Bitwise</t>
  </si>
  <si>
    <t>CoinShare</t>
  </si>
  <si>
    <t>Grayscale</t>
  </si>
  <si>
    <t>CanEck</t>
  </si>
  <si>
    <t>not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</si>
</sst>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_(&quot;$&quot;* #,##0.0000_);_(&quot;$&quot;* \(#,##0.0000\);_(&quot;$&quot;* &quot;-&quot;??_);_(@_)"/>
    <numFmt numFmtId="166" formatCode="_(* #,##0_);_(* \(#,##0\);_(* &quot;-&quot;??_);_(@_)"/>
    <numFmt numFmtId="167" formatCode="0.0000%"/>
    <numFmt numFmtId="168" formatCode="_(* #,##0.0000_);_(* \(#,##0.0000\);_(* &quot;-&quot;??_);_(@_)"/>
    <numFmt numFmtId="169" formatCode="_(* #,##0.000_);_(* \(#,##0.000\);_(* &quot;-&quot;??_);_(@_)"/>
    <numFmt numFmtId="170" formatCode="0.000%"/>
    <numFmt numFmtId="171" formatCode="yyyy\-mm\-dd;@"/>
    <numFmt numFmtId="172" formatCode="_(&quot;$&quot;* #,##0.00000_);_(&quot;$&quot;* \(#,##0.00000\);_(&quot;$&quot;* &quot;-&quot;??_);_(@_)"/>
    <numFmt numFmtId="173" formatCode="0.0000000"/>
    <numFmt numFmtId="174" formatCode="_(* #,##0.0000000_);_(* \(#,##0.0000000\);_(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5" tint="-0.499984740745262"/>
      <name val="Aptos Narrow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7030A0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u/>
      <sz val="11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1" applyNumberFormat="1" applyFont="1" applyFill="1" applyAlignment="1">
      <alignment horizontal="center"/>
    </xf>
    <xf numFmtId="43" fontId="0" fillId="0" borderId="0" xfId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6" fontId="2" fillId="0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 applyAlignment="1">
      <alignment horizontal="center"/>
    </xf>
    <xf numFmtId="43" fontId="5" fillId="0" borderId="0" xfId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6" fontId="7" fillId="0" borderId="0" xfId="1" applyNumberFormat="1" applyFont="1" applyFill="1" applyAlignment="1">
      <alignment horizontal="center"/>
    </xf>
    <xf numFmtId="168" fontId="0" fillId="2" borderId="0" xfId="1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  <xf numFmtId="44" fontId="2" fillId="0" borderId="0" xfId="2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44" fontId="0" fillId="0" borderId="0" xfId="2" applyFont="1" applyFill="1" applyAlignment="1">
      <alignment horizontal="center"/>
    </xf>
    <xf numFmtId="44" fontId="7" fillId="0" borderId="0" xfId="2" applyFont="1" applyFill="1" applyAlignment="1">
      <alignment horizontal="center"/>
    </xf>
    <xf numFmtId="167" fontId="0" fillId="2" borderId="0" xfId="0" applyNumberFormat="1" applyFill="1" applyAlignment="1">
      <alignment horizontal="center"/>
    </xf>
    <xf numFmtId="44" fontId="0" fillId="2" borderId="0" xfId="2" applyFont="1" applyFill="1" applyAlignment="1">
      <alignment horizontal="center"/>
    </xf>
    <xf numFmtId="44" fontId="5" fillId="0" borderId="0" xfId="2" applyFont="1" applyFill="1" applyAlignment="1">
      <alignment horizontal="center"/>
    </xf>
    <xf numFmtId="43" fontId="9" fillId="0" borderId="0" xfId="1" applyFont="1" applyFill="1" applyAlignment="1">
      <alignment horizontal="center"/>
    </xf>
    <xf numFmtId="0" fontId="9" fillId="0" borderId="0" xfId="0" applyFont="1" applyAlignment="1">
      <alignment horizontal="center"/>
    </xf>
    <xf numFmtId="44" fontId="9" fillId="0" borderId="0" xfId="2" applyFont="1" applyFill="1" applyAlignment="1">
      <alignment horizontal="center"/>
    </xf>
    <xf numFmtId="166" fontId="9" fillId="0" borderId="0" xfId="1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6" fontId="0" fillId="2" borderId="0" xfId="1" applyNumberFormat="1" applyFont="1" applyFill="1" applyAlignment="1">
      <alignment horizontal="center"/>
    </xf>
    <xf numFmtId="165" fontId="0" fillId="2" borderId="0" xfId="2" applyNumberFormat="1" applyFont="1" applyFill="1" applyAlignment="1">
      <alignment horizontal="center"/>
    </xf>
    <xf numFmtId="43" fontId="0" fillId="2" borderId="0" xfId="1" applyFont="1" applyFill="1" applyAlignment="1">
      <alignment horizontal="center"/>
    </xf>
    <xf numFmtId="0" fontId="0" fillId="2" borderId="0" xfId="1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66" fontId="7" fillId="2" borderId="0" xfId="1" applyNumberFormat="1" applyFont="1" applyFill="1" applyAlignment="1">
      <alignment horizontal="center"/>
    </xf>
    <xf numFmtId="43" fontId="7" fillId="2" borderId="0" xfId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69" fontId="7" fillId="2" borderId="0" xfId="1" applyNumberFormat="1" applyFont="1" applyFill="1" applyAlignment="1">
      <alignment horizontal="center"/>
    </xf>
    <xf numFmtId="167" fontId="7" fillId="2" borderId="0" xfId="0" applyNumberFormat="1" applyFont="1" applyFill="1" applyAlignment="1">
      <alignment horizontal="center"/>
    </xf>
    <xf numFmtId="167" fontId="5" fillId="2" borderId="0" xfId="0" applyNumberFormat="1" applyFont="1" applyFill="1" applyAlignment="1">
      <alignment horizontal="center"/>
    </xf>
    <xf numFmtId="165" fontId="7" fillId="2" borderId="0" xfId="2" applyNumberFormat="1" applyFont="1" applyFill="1" applyAlignment="1">
      <alignment horizontal="center"/>
    </xf>
    <xf numFmtId="166" fontId="9" fillId="2" borderId="0" xfId="1" applyNumberFormat="1" applyFont="1" applyFill="1" applyAlignment="1">
      <alignment horizontal="center"/>
    </xf>
    <xf numFmtId="1" fontId="7" fillId="2" borderId="0" xfId="1" applyNumberFormat="1" applyFont="1" applyFill="1" applyAlignment="1">
      <alignment horizontal="center"/>
    </xf>
    <xf numFmtId="166" fontId="5" fillId="2" borderId="0" xfId="1" applyNumberFormat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44" fontId="7" fillId="2" borderId="0" xfId="2" applyFont="1" applyFill="1" applyAlignment="1">
      <alignment horizontal="center"/>
    </xf>
    <xf numFmtId="44" fontId="9" fillId="2" borderId="0" xfId="2" applyFont="1" applyFill="1" applyAlignment="1">
      <alignment horizontal="center"/>
    </xf>
    <xf numFmtId="44" fontId="5" fillId="2" borderId="0" xfId="2" applyFont="1" applyFill="1" applyAlignment="1">
      <alignment horizontal="center"/>
    </xf>
    <xf numFmtId="170" fontId="0" fillId="0" borderId="0" xfId="3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4" fontId="11" fillId="0" borderId="0" xfId="2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44" fontId="11" fillId="2" borderId="0" xfId="2" applyFont="1" applyFill="1" applyAlignment="1">
      <alignment horizontal="center"/>
    </xf>
    <xf numFmtId="166" fontId="11" fillId="0" borderId="0" xfId="1" applyNumberFormat="1" applyFont="1" applyFill="1" applyAlignment="1">
      <alignment horizontal="center"/>
    </xf>
    <xf numFmtId="164" fontId="11" fillId="0" borderId="0" xfId="1" applyNumberFormat="1" applyFont="1" applyFill="1" applyAlignment="1">
      <alignment horizontal="center"/>
    </xf>
    <xf numFmtId="10" fontId="0" fillId="2" borderId="0" xfId="2" applyNumberFormat="1" applyFont="1" applyFill="1" applyAlignment="1">
      <alignment horizontal="center"/>
    </xf>
    <xf numFmtId="170" fontId="0" fillId="0" borderId="0" xfId="2" applyNumberFormat="1" applyFont="1" applyFill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7" fillId="0" borderId="0" xfId="1" applyNumberFormat="1" applyFont="1" applyFill="1" applyAlignment="1">
      <alignment horizontal="center"/>
    </xf>
    <xf numFmtId="43" fontId="13" fillId="0" borderId="0" xfId="1" applyFont="1" applyFill="1" applyAlignment="1">
      <alignment horizontal="center"/>
    </xf>
    <xf numFmtId="0" fontId="13" fillId="0" borderId="0" xfId="0" applyFont="1" applyAlignment="1">
      <alignment horizontal="center"/>
    </xf>
    <xf numFmtId="166" fontId="13" fillId="0" borderId="0" xfId="1" applyNumberFormat="1" applyFont="1" applyFill="1" applyAlignment="1">
      <alignment horizontal="center"/>
    </xf>
    <xf numFmtId="44" fontId="13" fillId="0" borderId="0" xfId="2" applyFont="1" applyFill="1" applyAlignment="1">
      <alignment horizontal="center"/>
    </xf>
    <xf numFmtId="164" fontId="13" fillId="0" borderId="0" xfId="1" applyNumberFormat="1" applyFont="1" applyFill="1" applyAlignment="1">
      <alignment horizontal="center"/>
    </xf>
    <xf numFmtId="164" fontId="13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7" fillId="0" borderId="0" xfId="0" applyFont="1"/>
    <xf numFmtId="0" fontId="16" fillId="0" borderId="0" xfId="0" applyFont="1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170" fontId="16" fillId="0" borderId="0" xfId="3" applyNumberFormat="1" applyFont="1" applyFill="1" applyBorder="1" applyAlignment="1">
      <alignment horizontal="center"/>
    </xf>
    <xf numFmtId="0" fontId="18" fillId="3" borderId="2" xfId="0" applyFont="1" applyFill="1" applyBorder="1"/>
    <xf numFmtId="0" fontId="18" fillId="3" borderId="3" xfId="0" applyFont="1" applyFill="1" applyBorder="1"/>
    <xf numFmtId="171" fontId="15" fillId="0" borderId="4" xfId="0" applyNumberFormat="1" applyFont="1" applyBorder="1" applyAlignment="1">
      <alignment horizontal="center"/>
    </xf>
    <xf numFmtId="0" fontId="7" fillId="0" borderId="0" xfId="0" applyFont="1"/>
    <xf numFmtId="0" fontId="9" fillId="2" borderId="0" xfId="0" applyFont="1" applyFill="1"/>
    <xf numFmtId="0" fontId="0" fillId="2" borderId="0" xfId="0" applyFill="1"/>
    <xf numFmtId="0" fontId="7" fillId="2" borderId="0" xfId="0" applyFont="1" applyFill="1"/>
    <xf numFmtId="0" fontId="5" fillId="2" borderId="0" xfId="0" applyFont="1" applyFill="1"/>
    <xf numFmtId="165" fontId="0" fillId="2" borderId="0" xfId="2" applyNumberFormat="1" applyFont="1" applyFill="1" applyAlignment="1"/>
    <xf numFmtId="43" fontId="7" fillId="0" borderId="0" xfId="1" applyFont="1" applyFill="1" applyAlignment="1">
      <alignment horizontal="center"/>
    </xf>
    <xf numFmtId="43" fontId="7" fillId="0" borderId="0" xfId="1" applyFont="1" applyFill="1" applyBorder="1" applyAlignment="1">
      <alignment horizontal="center"/>
    </xf>
    <xf numFmtId="166" fontId="0" fillId="0" borderId="0" xfId="1" applyNumberFormat="1" applyFont="1" applyFill="1" applyBorder="1" applyAlignment="1">
      <alignment horizontal="center"/>
    </xf>
    <xf numFmtId="0" fontId="7" fillId="0" borderId="0" xfId="1" applyNumberFormat="1" applyFont="1" applyFill="1" applyBorder="1" applyAlignment="1">
      <alignment horizontal="center"/>
    </xf>
    <xf numFmtId="166" fontId="7" fillId="0" borderId="0" xfId="1" applyNumberFormat="1" applyFont="1" applyFill="1" applyBorder="1" applyAlignment="1">
      <alignment horizontal="center"/>
    </xf>
    <xf numFmtId="164" fontId="7" fillId="0" borderId="0" xfId="1" applyNumberFormat="1" applyFont="1" applyFill="1" applyAlignment="1">
      <alignment horizontal="center"/>
    </xf>
    <xf numFmtId="0" fontId="10" fillId="0" borderId="0" xfId="1" applyNumberFormat="1" applyFont="1" applyFill="1" applyAlignment="1">
      <alignment horizontal="center"/>
    </xf>
    <xf numFmtId="0" fontId="10" fillId="0" borderId="0" xfId="1" applyNumberFormat="1" applyFont="1" applyFill="1" applyBorder="1" applyAlignment="1">
      <alignment horizontal="center"/>
    </xf>
    <xf numFmtId="0" fontId="10" fillId="0" borderId="0" xfId="0" applyFont="1"/>
    <xf numFmtId="14" fontId="7" fillId="0" borderId="0" xfId="3" applyNumberFormat="1" applyFont="1" applyFill="1" applyBorder="1" applyAlignment="1">
      <alignment horizontal="center"/>
    </xf>
    <xf numFmtId="10" fontId="7" fillId="0" borderId="0" xfId="3" applyNumberFormat="1" applyFont="1" applyFill="1" applyAlignment="1">
      <alignment horizontal="center"/>
    </xf>
    <xf numFmtId="10" fontId="7" fillId="0" borderId="0" xfId="3" applyNumberFormat="1" applyFont="1" applyFill="1" applyBorder="1" applyAlignment="1">
      <alignment horizontal="center"/>
    </xf>
    <xf numFmtId="173" fontId="7" fillId="0" borderId="0" xfId="2" applyNumberFormat="1" applyFont="1" applyFill="1" applyBorder="1"/>
    <xf numFmtId="0" fontId="7" fillId="0" borderId="0" xfId="1" applyNumberFormat="1" applyFont="1" applyAlignment="1">
      <alignment horizontal="center"/>
    </xf>
    <xf numFmtId="166" fontId="7" fillId="0" borderId="0" xfId="1" applyNumberFormat="1" applyFont="1" applyFill="1" applyAlignment="1"/>
    <xf numFmtId="0" fontId="7" fillId="0" borderId="0" xfId="0" applyFont="1" applyAlignment="1">
      <alignment horizontal="center" vertical="center" wrapText="1"/>
    </xf>
    <xf numFmtId="166" fontId="7" fillId="0" borderId="0" xfId="1" applyNumberFormat="1" applyFont="1" applyFill="1" applyBorder="1" applyAlignment="1"/>
    <xf numFmtId="166" fontId="7" fillId="0" borderId="1" xfId="1" applyNumberFormat="1" applyFont="1" applyFill="1" applyBorder="1" applyAlignment="1">
      <alignment horizontal="center"/>
    </xf>
    <xf numFmtId="172" fontId="7" fillId="0" borderId="0" xfId="3" applyNumberFormat="1" applyFont="1" applyFill="1" applyBorder="1"/>
    <xf numFmtId="172" fontId="7" fillId="0" borderId="0" xfId="2" applyNumberFormat="1" applyFont="1" applyFill="1" applyBorder="1"/>
    <xf numFmtId="168" fontId="7" fillId="0" borderId="0" xfId="1" applyNumberFormat="1" applyFont="1" applyFill="1" applyBorder="1" applyAlignment="1">
      <alignment horizontal="center"/>
    </xf>
    <xf numFmtId="168" fontId="7" fillId="0" borderId="0" xfId="1" applyNumberFormat="1" applyFont="1" applyFill="1" applyBorder="1"/>
    <xf numFmtId="174" fontId="7" fillId="0" borderId="0" xfId="1" applyNumberFormat="1" applyFont="1" applyFill="1" applyBorder="1" applyAlignment="1"/>
    <xf numFmtId="168" fontId="7" fillId="0" borderId="0" xfId="1" applyNumberFormat="1" applyFont="1" applyFill="1" applyAlignment="1">
      <alignment horizontal="center"/>
    </xf>
    <xf numFmtId="168" fontId="7" fillId="0" borderId="0" xfId="1" applyNumberFormat="1" applyFont="1" applyFill="1" applyBorder="1" applyAlignment="1">
      <alignment vertical="center" wrapText="1"/>
    </xf>
    <xf numFmtId="10" fontId="7" fillId="0" borderId="0" xfId="0" applyNumberFormat="1" applyFont="1" applyAlignment="1">
      <alignment horizontal="center"/>
    </xf>
    <xf numFmtId="10" fontId="0" fillId="0" borderId="0" xfId="3" applyNumberFormat="1" applyFont="1" applyFill="1" applyAlignment="1">
      <alignment horizontal="center"/>
    </xf>
    <xf numFmtId="166" fontId="21" fillId="0" borderId="0" xfId="1" applyNumberFormat="1" applyFont="1" applyFill="1" applyAlignment="1">
      <alignment horizontal="left"/>
    </xf>
    <xf numFmtId="0" fontId="21" fillId="0" borderId="0" xfId="0" applyFont="1" applyAlignment="1">
      <alignment horizontal="left"/>
    </xf>
    <xf numFmtId="166" fontId="21" fillId="0" borderId="0" xfId="1" applyNumberFormat="1" applyFont="1" applyFill="1" applyBorder="1" applyAlignment="1">
      <alignment horizontal="left"/>
    </xf>
    <xf numFmtId="10" fontId="21" fillId="0" borderId="0" xfId="3" applyNumberFormat="1" applyFont="1" applyFill="1" applyBorder="1" applyAlignment="1">
      <alignment horizontal="left"/>
    </xf>
    <xf numFmtId="174" fontId="21" fillId="0" borderId="0" xfId="1" applyNumberFormat="1" applyFont="1" applyFill="1" applyBorder="1" applyAlignment="1">
      <alignment horizontal="left"/>
    </xf>
    <xf numFmtId="0" fontId="22" fillId="0" borderId="0" xfId="0" applyFont="1" applyAlignment="1">
      <alignment horizontal="left"/>
    </xf>
    <xf numFmtId="168" fontId="21" fillId="0" borderId="0" xfId="1" applyNumberFormat="1" applyFont="1" applyFill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6" fontId="2" fillId="0" borderId="0" xfId="1" applyNumberFormat="1" applyFont="1" applyFill="1" applyAlignment="1">
      <alignment horizontal="left"/>
    </xf>
    <xf numFmtId="0" fontId="6" fillId="0" borderId="0" xfId="0" applyFont="1" applyAlignment="1">
      <alignment horizontal="left"/>
    </xf>
    <xf numFmtId="44" fontId="2" fillId="0" borderId="0" xfId="2" applyFont="1" applyFill="1" applyAlignment="1">
      <alignment horizontal="left"/>
    </xf>
    <xf numFmtId="0" fontId="0" fillId="0" borderId="0" xfId="0" applyAlignment="1">
      <alignment horizontal="left"/>
    </xf>
    <xf numFmtId="44" fontId="0" fillId="0" borderId="0" xfId="2" applyFont="1" applyFill="1" applyAlignment="1">
      <alignment horizontal="left"/>
    </xf>
    <xf numFmtId="166" fontId="0" fillId="0" borderId="0" xfId="1" applyNumberFormat="1" applyFont="1" applyFill="1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>
          <fgColor indexed="64"/>
          <bgColor rgb="FFFFFF0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auto="1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auto="1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_(* #,##0.0000_);_(* \(#,##0.00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_(* #,##0.0000_);_(* \(#,##0.00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8" formatCode="_(* #,##0.0000_);_(* \(#,##0.000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[$-409]dd\-mmm\-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74" formatCode="_(* #,##0.0000000_);_(* \(#,##0.000000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strike val="0"/>
        <outline val="0"/>
        <shadow val="0"/>
        <vertAlign val="baseline"/>
        <sz val="11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B1F78D-D1AA-4EF3-9596-7A27A355C060}" name="crypto_inputs" displayName="crypto_inputs" ref="A1:R73" totalsRowShown="0" headerRowDxfId="70" dataDxfId="69" headerRowCellStyle="Comma" dataCellStyle="Comma">
  <autoFilter ref="A1:R73" xr:uid="{D0B1F78D-D1AA-4EF3-9596-7A27A355C060}"/>
  <sortState xmlns:xlrd2="http://schemas.microsoft.com/office/spreadsheetml/2017/richdata2" ref="A2:R73">
    <sortCondition descending="1" ref="A1:A73"/>
  </sortState>
  <tableColumns count="18">
    <tableColumn id="14" xr3:uid="{AE9F6681-044C-49F1-A049-ABF4F62D16D5}" name="mkt_data_stream" dataDxfId="68" dataCellStyle="Comma"/>
    <tableColumn id="18" xr3:uid="{D3CEE51C-FF16-474C-AC93-30CEB3E7D375}" name="my_fi_name" dataDxfId="67" dataCellStyle="Comma"/>
    <tableColumn id="13" xr3:uid="{F138DC7A-FBFD-4726-8F8E-B333700760C4}" name="disqualifying note" dataDxfId="66" dataCellStyle="Comma"/>
    <tableColumn id="10" xr3:uid="{BED55A9A-3E28-4A17-AA02-2381DB89A658}" name="category1" dataDxfId="65" dataCellStyle="Comma"/>
    <tableColumn id="12" xr3:uid="{F9B08B7F-16AE-460B-BDFB-B2726D177E92}" name="category2" dataDxfId="64" dataCellStyle="Comma"/>
    <tableColumn id="15" xr3:uid="{8E202CEB-E8E6-47CA-932D-C16AE5D50E53}" name="etf family" dataDxfId="63" dataCellStyle="Comma"/>
    <tableColumn id="16" xr3:uid="{2F5F5933-5123-4CD9-B4C1-D1312F01E4DE}" name="etf fee" dataDxfId="62" dataCellStyle="Comma"/>
    <tableColumn id="4" xr3:uid="{211C7B2F-2849-4B0F-B281-BF0424C5B57F}" name="top_currency" dataDxfId="61" dataCellStyle="Comma"/>
    <tableColumn id="3" xr3:uid="{46C5F41D-D64D-4F76-9E5D-390D6FE03BE6}" name="base_currency" dataDxfId="60" dataCellStyle="Comma"/>
    <tableColumn id="2" xr3:uid="{A13A7736-F17C-4146-B643-6EF65FC4B25C}" name="pf_locator" dataDxfId="59" dataCellStyle="Comma"/>
    <tableColumn id="1" xr3:uid="{8C59AB6B-6EBF-48B8-9D8A-4E9EFB96C425}" name="my_prod_type" dataDxfId="58"/>
    <tableColumn id="22" xr3:uid="{51F924B8-25BB-4080-AD58-7509A60E27B0}" name="my_pf_name" dataDxfId="57"/>
    <tableColumn id="9" xr3:uid="{E2441BE5-ABB7-40CB-848F-02508F05A37C}" name="comm_type" dataDxfId="56" dataCellStyle="Comma"/>
    <tableColumn id="5" xr3:uid="{16FCE019-989B-4467-A8B9-96A8E58B2A2A}" name="comm_maker" dataDxfId="55" dataCellStyle="Currency"/>
    <tableColumn id="6" xr3:uid="{0E805949-D535-4626-85EB-FA3727E7DAF4}" name="comm_taker" dataDxfId="54" dataCellStyle="Currency"/>
    <tableColumn id="7" xr3:uid="{5709324A-7C63-43F4-AF59-F119177A7972}" name="comm_misc" dataDxfId="53" dataCellStyle="Comma"/>
    <tableColumn id="8" xr3:uid="{32E47B88-05FD-48EE-97A0-59BC78476043}" name="comm_update" dataDxfId="52" dataCellStyle="Comma"/>
    <tableColumn id="11" xr3:uid="{B6578BCD-793E-47C9-99CF-D01D02E8D922}" name="vpn" dataDxfId="51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181052-8538-4BDE-9B79-99824A5039A6}" name="equity_inputs" displayName="equity_inputs" ref="A1:AP226" totalsRowShown="0" headerRowDxfId="114" dataDxfId="113" headerRowCellStyle="Comma" dataCellStyle="Comma">
  <autoFilter ref="A1:AP226" xr:uid="{AA181052-8538-4BDE-9B79-99824A5039A6}"/>
  <sortState xmlns:xlrd2="http://schemas.microsoft.com/office/spreadsheetml/2017/richdata2" ref="A2:AP226">
    <sortCondition ref="B1:B226"/>
  </sortState>
  <tableColumns count="42">
    <tableColumn id="14" xr3:uid="{B9E7859D-283F-459F-B5FC-7492060346EF}" name="mkt_data_stream" dataDxfId="112" dataCellStyle="Comma"/>
    <tableColumn id="18" xr3:uid="{C158D3E6-44D8-4136-9E49-87057A5E2D35}" name="my_fi_name" dataDxfId="111" dataCellStyle="Comma"/>
    <tableColumn id="13" xr3:uid="{B8FA96DB-A591-405B-89D4-88C2C843AF49}" name="disqualifying note" dataDxfId="110" dataCellStyle="Comma"/>
    <tableColumn id="10" xr3:uid="{FD21DD83-85C2-47FF-90F4-C97678F2BCB4}" name="category1" dataDxfId="109" dataCellStyle="Comma"/>
    <tableColumn id="12" xr3:uid="{05EFBA4D-5176-4DB3-955F-729F5A712AD1}" name="category2" dataDxfId="108" dataCellStyle="Comma"/>
    <tableColumn id="40" xr3:uid="{E0FE2CE5-2695-4415-9029-E809758DF847}" name="category3" dataDxfId="107" dataCellStyle="Comma"/>
    <tableColumn id="4" xr3:uid="{8AE22F3D-E74C-49C3-8AE8-D4ABD4B8D678}" name="etf family" dataDxfId="106" dataCellStyle="Comma"/>
    <tableColumn id="15" xr3:uid="{1D7AB539-4D0B-4D52-A49F-627A35F16C26}" name="etf fee" dataDxfId="105" dataCellStyle="Percent"/>
    <tableColumn id="16" xr3:uid="{99EF2196-0837-4539-9D7D-AB5E4FAA5F25}" name=" div 2025-12" dataDxfId="104" dataCellStyle="Comma"/>
    <tableColumn id="17" xr3:uid="{FD063936-E2C7-4A15-8018-26DAFCD0347D}" name="div 2025-12 ex-date" dataDxfId="103" dataCellStyle="Comma"/>
    <tableColumn id="19" xr3:uid="{6B5D6F46-DC89-4DD2-A8F5-ED89E53527A2}" name="div 2026-01" dataDxfId="102" dataCellStyle="Comma"/>
    <tableColumn id="20" xr3:uid="{B077032E-9078-4BBD-AF52-AC1E68990BC9}" name="div 2026-01 ex-date" dataDxfId="101" dataCellStyle="Comma"/>
    <tableColumn id="21" xr3:uid="{6105DC40-7BE1-4897-BDBE-71FD0688583C}" name="div 2026-02" dataDxfId="100" dataCellStyle="Comma"/>
    <tableColumn id="23" xr3:uid="{C121E1DA-7970-452E-B3CE-3284BEDE696F}" name="div 2026-02 ex-date" dataDxfId="99" dataCellStyle="Comma"/>
    <tableColumn id="24" xr3:uid="{524041E5-BF0C-47EB-B8A5-17DDE0D7066F}" name="div 2026-03" dataDxfId="98" dataCellStyle="Comma"/>
    <tableColumn id="25" xr3:uid="{4950AEC5-E1D9-4076-9D30-8C37C620CD2C}" name="div 2026-03 ex-date" dataDxfId="97" dataCellStyle="Comma"/>
    <tableColumn id="26" xr3:uid="{D0B52289-D738-4ED0-BE6A-4EB4651A6C5B}" name="div 2026-04" dataDxfId="96" dataCellStyle="Comma"/>
    <tableColumn id="27" xr3:uid="{7DAD3645-A5C6-4D8F-B115-7A3687B1A7A8}" name="div 2026-04 ex-date" dataDxfId="95" dataCellStyle="Comma"/>
    <tableColumn id="28" xr3:uid="{0D42A8E5-743F-488A-9E4B-ECD2E0CA3E0A}" name="div 2026-05" dataDxfId="94" dataCellStyle="Comma"/>
    <tableColumn id="29" xr3:uid="{0B1995D5-836A-4006-A48D-0307C155F430}" name="div 2026-05 ex-date" dataDxfId="93" dataCellStyle="Comma"/>
    <tableColumn id="30" xr3:uid="{E3032677-FBA3-435F-A667-7F3002D08E55}" name="div 2026-06" dataDxfId="92" dataCellStyle="Comma"/>
    <tableColumn id="31" xr3:uid="{25AC86CB-8EDE-4A8E-A5B8-D301C311152E}" name="div 2026-06 ex-date" dataDxfId="91" dataCellStyle="Comma"/>
    <tableColumn id="32" xr3:uid="{02694708-4881-4FA3-A0D9-A4DF987903E6}" name="div 2026-07" dataDxfId="90" dataCellStyle="Comma"/>
    <tableColumn id="33" xr3:uid="{6CB7666A-1ABA-4CEC-9D28-E20E17F388B3}" name="div 2026-07 ex-date" dataDxfId="89" dataCellStyle="Comma"/>
    <tableColumn id="34" xr3:uid="{D1241C91-DA69-430C-863D-07C2DA4C1ECB}" name="div 2026-08" dataDxfId="88" dataCellStyle="Comma"/>
    <tableColumn id="35" xr3:uid="{EA945934-4FA4-457A-ABA9-51C3C213977F}" name="div 2026-08 ex-date" dataDxfId="87" dataCellStyle="Comma"/>
    <tableColumn id="36" xr3:uid="{B8829B43-BDF7-4C79-8DB8-23EBB56C8AC7}" name="div 2026-09" dataDxfId="86" dataCellStyle="Comma"/>
    <tableColumn id="37" xr3:uid="{0B635EC3-A961-44D4-8EAB-D8944F97733A}" name="div 2026-09 ex-date" dataDxfId="85" dataCellStyle="Comma"/>
    <tableColumn id="38" xr3:uid="{86B81DCA-FD5B-4E43-BC04-EE6E3924D052}" name="div 2026-10" dataDxfId="84" dataCellStyle="Comma"/>
    <tableColumn id="39" xr3:uid="{E54B6B2D-95E9-4A59-8884-CAA967E71657}" name="div 2026-10 ex-date" dataDxfId="83" dataCellStyle="Comma"/>
    <tableColumn id="44" xr3:uid="{7ACE1DC9-8F16-4A8C-A1D7-6CA2219773E8}" name="div 2026-11" dataDxfId="82" dataCellStyle="Comma"/>
    <tableColumn id="45" xr3:uid="{D455B03D-CF37-44D2-9E4A-3D3EE75118EA}" name="div 2026-11 ex-date" dataDxfId="81" dataCellStyle="Comma"/>
    <tableColumn id="42" xr3:uid="{31937B88-09E8-450C-AB75-AC01630E0023}" name="div 2026-12" dataDxfId="80" dataCellStyle="Comma"/>
    <tableColumn id="43" xr3:uid="{3EBCF0B3-0917-4FA4-A0A5-459B70FF847E}" name="div 2026-12 ex-date" dataDxfId="79" dataCellStyle="Comma"/>
    <tableColumn id="2" xr3:uid="{E09F1F43-E8B1-4493-93DC-B4B241E28DE4}" name="pf_locator" dataDxfId="78" dataCellStyle="Comma"/>
    <tableColumn id="1" xr3:uid="{2B9B859C-AA9C-4472-8098-F421DF695AA8}" name="my_prod_type" dataDxfId="77" dataCellStyle="Comma"/>
    <tableColumn id="22" xr3:uid="{550B25BC-F5B5-4458-8819-9754046A90AD}" name="my_pf_name" dataDxfId="76" dataCellStyle="Comma"/>
    <tableColumn id="9" xr3:uid="{32F67A3B-8384-4F3D-84AE-70CD50E8F9E6}" name="comm_type" dataDxfId="75" dataCellStyle="Comma"/>
    <tableColumn id="5" xr3:uid="{FF3F76FB-0A9F-4EBF-8240-3AF9FE706046}" name="comm_maker" dataDxfId="74" dataCellStyle="Comma"/>
    <tableColumn id="6" xr3:uid="{1983D463-B14C-4E51-819C-221E1856FFE2}" name="comm_taker" dataDxfId="73" dataCellStyle="Comma"/>
    <tableColumn id="7" xr3:uid="{779401E1-B251-4A89-B0B0-DA63C83ED06B}" name="comm_misc" dataDxfId="72" dataCellStyle="Comma"/>
    <tableColumn id="8" xr3:uid="{4FF98E47-C097-4074-8F6F-71B6D6D3E6F9}" name="comm_update" dataDxfId="71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EA60E1-CEC4-43C9-8716-3B5D84C5EEA2}" name="mkt_data_streaming_inputs" displayName="mkt_data_streaming_inputs" ref="A1:D13" totalsRowShown="0" headerRowDxfId="50" dataDxfId="49">
  <autoFilter ref="A1:D13" xr:uid="{D7EA60E1-CEC4-43C9-8716-3B5D84C5EEA2}"/>
  <tableColumns count="4">
    <tableColumn id="1" xr3:uid="{1B4EEA70-C71C-4CEF-9887-9E40B33F8AAC}" name="Keys" dataDxfId="48"/>
    <tableColumn id="2" xr3:uid="{5215E933-000B-4891-AE18-89796F5A216B}" name="Crypto" dataDxfId="47"/>
    <tableColumn id="4" xr3:uid="{A4E0A8E0-4334-4FB9-95BD-3E9FE4AB471E}" name="Stat_Arb_Group" dataDxfId="46"/>
    <tableColumn id="5" xr3:uid="{16DC4587-9A67-4643-BE5B-698CEC2360C4}" name="BTC_ETF" dataDxfId="4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AFBE59F-E145-48B4-A9F0-75F818F296F4}" name="btc_to_do" displayName="btc_to_do" ref="A1:AA54" totalsRowShown="0" headerRowDxfId="44" dataDxfId="43">
  <autoFilter ref="A1:AA54" xr:uid="{8AFBE59F-E145-48B4-A9F0-75F818F296F4}"/>
  <tableColumns count="27">
    <tableColumn id="1" xr3:uid="{73FD62E2-E8FE-4C00-9C3C-F3122EB55D0D}" name="Column1" dataDxfId="42"/>
    <tableColumn id="2" xr3:uid="{F8F856BF-80BD-4398-8276-448953D1A283}" name="Column2" dataDxfId="41"/>
    <tableColumn id="3" xr3:uid="{859FF76C-0D7F-496C-B885-2DE680F3F916}" name="Column7" dataDxfId="40"/>
    <tableColumn id="4" xr3:uid="{EFE5B159-5688-4C13-A02D-A6C704275E2E}" name="Column4" dataDxfId="39"/>
    <tableColumn id="5" xr3:uid="{69D00D15-DF82-46C9-9945-107A85371A6F}" name="Column5" dataDxfId="38"/>
    <tableColumn id="6" xr3:uid="{F10DE59E-3B92-4DD0-8A04-FAE76E9F8BB9}" name="Column6" dataDxfId="37"/>
    <tableColumn id="8" xr3:uid="{2D949549-0F5C-4A89-B8F7-72304B9A24F1}" name="Column8" dataDxfId="36"/>
    <tableColumn id="9" xr3:uid="{C42826CE-029E-4945-8434-CBC9F4DAA57F}" name="Column9" dataDxfId="35" dataCellStyle="Comma"/>
    <tableColumn id="7" xr3:uid="{F0789B57-A27F-47CD-94AE-4F6B71344DB9}" name="Column92" dataDxfId="34" dataCellStyle="Currency"/>
    <tableColumn id="13" xr3:uid="{84F8B5AD-93FB-4C3E-8E09-FB358E10FC62}" name="Column93" dataDxfId="33" dataCellStyle="Currency"/>
    <tableColumn id="14" xr3:uid="{DA8CB162-5C11-45A4-93E0-E0C45C3ED3D0}" name="Column94" dataDxfId="32" dataCellStyle="Comma"/>
    <tableColumn id="27" xr3:uid="{100A9F62-6915-49BB-B014-4D0BC03BB553}" name="Column95" dataDxfId="31" dataCellStyle="Comma"/>
    <tableColumn id="10" xr3:uid="{5B60D48A-2B91-4E81-AD9D-2709C1335F32}" name="Column10" dataDxfId="30" dataCellStyle="Comma"/>
    <tableColumn id="11" xr3:uid="{E1B16D3B-DEA4-44A7-8DE4-CA3F41D77B2B}" name="Column11" dataDxfId="29" dataCellStyle="Comma"/>
    <tableColumn id="12" xr3:uid="{793817C6-38BE-49BA-A9A6-4F96D87310D9}" name="Column12" dataDxfId="28" dataCellStyle="Comma"/>
    <tableColumn id="15" xr3:uid="{2AFA675A-D2B0-476D-A865-BB72634DC6DA}" name="Column15" dataDxfId="27"/>
    <tableColumn id="16" xr3:uid="{B5249436-7148-4EBF-B8E6-5226AA101320}" name="Column16" dataDxfId="26" dataCellStyle="Currency"/>
    <tableColumn id="17" xr3:uid="{22140E2C-B2EC-4771-8D39-0E8FE9F80B88}" name="Column17" dataDxfId="25"/>
    <tableColumn id="18" xr3:uid="{AC423A03-E794-4524-9C7D-D02B01892118}" name="Column18" dataDxfId="24" dataCellStyle="Comma"/>
    <tableColumn id="19" xr3:uid="{F73A917A-F13B-4BB9-8524-E34E6050878C}" name="Column19" dataDxfId="23" dataCellStyle="Comma"/>
    <tableColumn id="20" xr3:uid="{4A9B484B-EBD7-41D1-8470-161DB87D7FB2}" name="Column20" dataDxfId="22" dataCellStyle="Comma"/>
    <tableColumn id="21" xr3:uid="{D03D1805-69BB-4D67-B61E-961F2E625E81}" name="Column21" dataDxfId="21"/>
    <tableColumn id="22" xr3:uid="{66E8E4D1-FF14-404F-8354-025C93AED5CB}" name="Column22" dataDxfId="20"/>
    <tableColumn id="23" xr3:uid="{9540F131-1C8F-4F4F-8796-92F1AFD57E03}" name="Column23" dataDxfId="19"/>
    <tableColumn id="24" xr3:uid="{B7156378-CEA1-4808-9801-4E93C755FE92}" name="Column24" dataDxfId="18"/>
    <tableColumn id="25" xr3:uid="{6908C233-AA1B-4818-BF8F-36FC13C53D09}" name="Column25" dataDxfId="17"/>
    <tableColumn id="26" xr3:uid="{104781D6-1EEE-4947-A424-3CE3DCADF4CF}" name="Column26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C7D8-63C4-43F7-A7E4-368987D3CFF8}">
  <sheetPr codeName="Sheet1"/>
  <dimension ref="A2:B24"/>
  <sheetViews>
    <sheetView workbookViewId="0">
      <selection activeCell="H31" sqref="H31"/>
    </sheetView>
  </sheetViews>
  <sheetFormatPr defaultRowHeight="15" x14ac:dyDescent="0.25"/>
  <sheetData>
    <row r="2" spans="1:2" x14ac:dyDescent="0.25">
      <c r="A2" t="s">
        <v>94</v>
      </c>
    </row>
    <row r="4" spans="1:2" x14ac:dyDescent="0.25">
      <c r="A4" t="s">
        <v>95</v>
      </c>
    </row>
    <row r="6" spans="1:2" x14ac:dyDescent="0.25">
      <c r="A6" t="s">
        <v>111</v>
      </c>
    </row>
    <row r="7" spans="1:2" x14ac:dyDescent="0.25">
      <c r="A7" t="s">
        <v>112</v>
      </c>
    </row>
    <row r="9" spans="1:2" x14ac:dyDescent="0.25">
      <c r="A9" t="s">
        <v>110</v>
      </c>
    </row>
    <row r="10" spans="1:2" x14ac:dyDescent="0.25">
      <c r="A10" t="s">
        <v>99</v>
      </c>
    </row>
    <row r="11" spans="1:2" x14ac:dyDescent="0.25">
      <c r="B11" t="s">
        <v>100</v>
      </c>
    </row>
    <row r="12" spans="1:2" x14ac:dyDescent="0.25">
      <c r="B12" t="s">
        <v>102</v>
      </c>
    </row>
    <row r="13" spans="1:2" x14ac:dyDescent="0.25">
      <c r="B13" t="s">
        <v>101</v>
      </c>
    </row>
    <row r="14" spans="1:2" x14ac:dyDescent="0.25">
      <c r="B14" t="s">
        <v>104</v>
      </c>
    </row>
    <row r="15" spans="1:2" x14ac:dyDescent="0.25">
      <c r="B15" t="s">
        <v>103</v>
      </c>
    </row>
    <row r="16" spans="1:2" x14ac:dyDescent="0.25">
      <c r="B16" t="s">
        <v>105</v>
      </c>
    </row>
    <row r="17" spans="1:2" x14ac:dyDescent="0.25">
      <c r="B17" t="s">
        <v>106</v>
      </c>
    </row>
    <row r="18" spans="1:2" x14ac:dyDescent="0.25">
      <c r="B18" t="s">
        <v>107</v>
      </c>
    </row>
    <row r="19" spans="1:2" x14ac:dyDescent="0.25">
      <c r="B19" t="s">
        <v>108</v>
      </c>
    </row>
    <row r="20" spans="1:2" x14ac:dyDescent="0.25">
      <c r="B20" t="s">
        <v>109</v>
      </c>
    </row>
    <row r="22" spans="1:2" x14ac:dyDescent="0.25">
      <c r="A22" t="s">
        <v>96</v>
      </c>
    </row>
    <row r="23" spans="1:2" x14ac:dyDescent="0.25">
      <c r="B23" t="s">
        <v>97</v>
      </c>
    </row>
    <row r="24" spans="1:2" x14ac:dyDescent="0.25">
      <c r="B24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9B6-FC5E-4FF4-B5FC-4461B285498A}">
  <sheetPr codeName="Sheet4"/>
  <dimension ref="A1:AD73"/>
  <sheetViews>
    <sheetView zoomScale="85" zoomScaleNormal="85" workbookViewId="0">
      <pane ySplit="1" topLeftCell="A2" activePane="bottomLeft" state="frozen"/>
      <selection pane="bottomLeft" activeCell="F6" sqref="F6"/>
    </sheetView>
  </sheetViews>
  <sheetFormatPr defaultColWidth="8.85546875" defaultRowHeight="15" x14ac:dyDescent="0.25"/>
  <cols>
    <col min="1" max="1" width="20.28515625" style="15" bestFit="1" customWidth="1"/>
    <col min="2" max="2" width="13.7109375" style="15" bestFit="1" customWidth="1"/>
    <col min="3" max="3" width="21.140625" style="15" bestFit="1" customWidth="1"/>
    <col min="4" max="4" width="18.28515625" style="15" bestFit="1" customWidth="1"/>
    <col min="5" max="5" width="16.42578125" style="15" bestFit="1" customWidth="1"/>
    <col min="6" max="7" width="16.42578125" style="15" customWidth="1"/>
    <col min="8" max="8" width="16.42578125" style="15" bestFit="1" customWidth="1"/>
    <col min="9" max="9" width="20.140625" style="2" bestFit="1" customWidth="1"/>
    <col min="10" max="10" width="16.42578125" style="2" bestFit="1" customWidth="1"/>
    <col min="11" max="11" width="19.140625" style="23" bestFit="1" customWidth="1"/>
    <col min="12" max="12" width="18.140625" style="23" bestFit="1" customWidth="1"/>
    <col min="13" max="13" width="17.85546875" style="2" bestFit="1" customWidth="1"/>
    <col min="14" max="14" width="19.85546875" style="2" bestFit="1" customWidth="1"/>
    <col min="15" max="15" width="14.7109375" style="4" bestFit="1" customWidth="1"/>
    <col min="16" max="16" width="20" style="4" bestFit="1" customWidth="1"/>
    <col min="17" max="17" width="23" style="2" bestFit="1" customWidth="1"/>
    <col min="18" max="18" width="19.42578125" style="2" bestFit="1" customWidth="1"/>
    <col min="19" max="19" width="14.7109375" style="2" bestFit="1" customWidth="1"/>
    <col min="20" max="20" width="16.140625" style="2" bestFit="1" customWidth="1"/>
    <col min="21" max="21" width="14.7109375" style="23" bestFit="1" customWidth="1"/>
    <col min="22" max="22" width="16.140625" style="2" bestFit="1" customWidth="1"/>
    <col min="23" max="23" width="16.140625" style="3" bestFit="1" customWidth="1"/>
    <col min="24" max="24" width="14.7109375" style="3" bestFit="1" customWidth="1"/>
    <col min="25" max="25" width="16.140625" style="3" bestFit="1" customWidth="1"/>
    <col min="26" max="27" width="14.7109375" style="2" bestFit="1" customWidth="1"/>
    <col min="28" max="28" width="16.140625" style="2" bestFit="1" customWidth="1"/>
    <col min="29" max="16384" width="8.85546875" style="2"/>
  </cols>
  <sheetData>
    <row r="1" spans="1:30" s="134" customFormat="1" x14ac:dyDescent="0.25">
      <c r="A1" s="122" t="s">
        <v>229</v>
      </c>
      <c r="B1" s="130" t="s">
        <v>152</v>
      </c>
      <c r="C1" s="122" t="s">
        <v>554</v>
      </c>
      <c r="D1" s="122" t="s">
        <v>561</v>
      </c>
      <c r="E1" s="122" t="s">
        <v>562</v>
      </c>
      <c r="F1" s="124" t="s">
        <v>508</v>
      </c>
      <c r="G1" s="125" t="s">
        <v>509</v>
      </c>
      <c r="H1" s="131" t="s">
        <v>153</v>
      </c>
      <c r="I1" s="131" t="s">
        <v>144</v>
      </c>
      <c r="J1" s="132" t="s">
        <v>151</v>
      </c>
      <c r="K1" s="130" t="s">
        <v>11</v>
      </c>
      <c r="L1" s="130" t="s">
        <v>150</v>
      </c>
      <c r="M1" s="130" t="s">
        <v>0</v>
      </c>
      <c r="N1" s="133" t="s">
        <v>1</v>
      </c>
      <c r="O1" s="133" t="s">
        <v>2</v>
      </c>
      <c r="P1" s="131" t="s">
        <v>141</v>
      </c>
      <c r="Q1" s="131" t="s">
        <v>10</v>
      </c>
      <c r="R1" s="131" t="s">
        <v>162</v>
      </c>
      <c r="S1" s="131"/>
      <c r="W1" s="135"/>
      <c r="Y1" s="136"/>
      <c r="Z1" s="130"/>
      <c r="AA1" s="131"/>
      <c r="AB1" s="130"/>
      <c r="AC1" s="130"/>
      <c r="AD1" s="130"/>
    </row>
    <row r="2" spans="1:30" s="55" customFormat="1" x14ac:dyDescent="0.25">
      <c r="A2" s="97" t="b">
        <v>1</v>
      </c>
      <c r="B2" s="2" t="s">
        <v>12</v>
      </c>
      <c r="C2" s="3"/>
      <c r="D2" s="4" t="s">
        <v>306</v>
      </c>
      <c r="E2" s="4" t="s">
        <v>18</v>
      </c>
      <c r="F2" s="4" t="s">
        <v>578</v>
      </c>
      <c r="G2" s="121">
        <v>2.0999999999999999E-3</v>
      </c>
      <c r="H2" s="3" t="s">
        <v>33</v>
      </c>
      <c r="I2" s="3" t="s">
        <v>18</v>
      </c>
      <c r="J2" s="2">
        <v>677037663</v>
      </c>
      <c r="K2" s="2" t="s">
        <v>40</v>
      </c>
      <c r="L2" s="2" t="s">
        <v>5</v>
      </c>
      <c r="M2" s="2" t="s">
        <v>9</v>
      </c>
      <c r="N2" s="22">
        <v>5.4999999999999997E-3</v>
      </c>
      <c r="O2" s="22">
        <v>5.4999999999999997E-3</v>
      </c>
      <c r="P2" s="3">
        <v>0</v>
      </c>
      <c r="Q2" s="49">
        <v>46054</v>
      </c>
      <c r="R2" s="74" t="b">
        <v>0</v>
      </c>
      <c r="S2" s="60"/>
    </row>
    <row r="3" spans="1:30" x14ac:dyDescent="0.25">
      <c r="A3" s="97" t="b">
        <v>1</v>
      </c>
      <c r="B3" s="2" t="s">
        <v>13</v>
      </c>
      <c r="C3" s="3"/>
      <c r="D3" s="4" t="s">
        <v>306</v>
      </c>
      <c r="E3" s="4" t="s">
        <v>18</v>
      </c>
      <c r="F3" s="4" t="s">
        <v>579</v>
      </c>
      <c r="G3" s="121">
        <v>2E-3</v>
      </c>
      <c r="H3" s="3" t="s">
        <v>33</v>
      </c>
      <c r="I3" s="3" t="s">
        <v>18</v>
      </c>
      <c r="J3" s="2">
        <v>677037658</v>
      </c>
      <c r="K3" s="2" t="s">
        <v>40</v>
      </c>
      <c r="L3" s="2" t="s">
        <v>5</v>
      </c>
      <c r="M3" s="2" t="s">
        <v>9</v>
      </c>
      <c r="N3" s="22">
        <v>5.4999999999999997E-3</v>
      </c>
      <c r="O3" s="22">
        <v>5.4999999999999997E-3</v>
      </c>
      <c r="P3" s="3">
        <v>0</v>
      </c>
      <c r="Q3" s="49">
        <v>46054</v>
      </c>
      <c r="R3" s="74" t="b">
        <v>0</v>
      </c>
      <c r="S3" s="3"/>
      <c r="T3" s="55"/>
      <c r="U3" s="55"/>
      <c r="W3" s="2"/>
      <c r="X3" s="2"/>
      <c r="Y3" s="2"/>
    </row>
    <row r="4" spans="1:30" x14ac:dyDescent="0.25">
      <c r="A4" s="97" t="b">
        <v>1</v>
      </c>
      <c r="B4" s="2" t="s">
        <v>14</v>
      </c>
      <c r="C4" s="3"/>
      <c r="D4" s="4" t="s">
        <v>306</v>
      </c>
      <c r="E4" s="4" t="s">
        <v>18</v>
      </c>
      <c r="F4" s="4" t="s">
        <v>580</v>
      </c>
      <c r="G4" s="121">
        <v>2.5000000000000001E-3</v>
      </c>
      <c r="H4" s="3" t="s">
        <v>33</v>
      </c>
      <c r="I4" s="3" t="s">
        <v>18</v>
      </c>
      <c r="J4" s="2">
        <v>677037676</v>
      </c>
      <c r="K4" s="2" t="s">
        <v>40</v>
      </c>
      <c r="L4" s="2" t="s">
        <v>5</v>
      </c>
      <c r="M4" s="2" t="s">
        <v>9</v>
      </c>
      <c r="N4" s="22">
        <v>5.4999999999999997E-3</v>
      </c>
      <c r="O4" s="22">
        <v>5.4999999999999997E-3</v>
      </c>
      <c r="P4" s="3">
        <v>0</v>
      </c>
      <c r="Q4" s="49">
        <v>46054</v>
      </c>
      <c r="R4" s="74" t="b">
        <v>0</v>
      </c>
      <c r="S4" s="3"/>
      <c r="U4" s="2"/>
      <c r="W4" s="23"/>
      <c r="X4" s="2"/>
      <c r="Z4" s="3"/>
    </row>
    <row r="5" spans="1:30" x14ac:dyDescent="0.25">
      <c r="A5" s="97" t="b">
        <v>1</v>
      </c>
      <c r="B5" s="2" t="s">
        <v>18</v>
      </c>
      <c r="C5" s="3"/>
      <c r="D5" s="4" t="s">
        <v>306</v>
      </c>
      <c r="E5" s="4" t="s">
        <v>18</v>
      </c>
      <c r="F5" s="4"/>
      <c r="G5" s="4"/>
      <c r="H5" s="3" t="s">
        <v>33</v>
      </c>
      <c r="I5" s="3" t="s">
        <v>18</v>
      </c>
      <c r="J5" s="2">
        <v>741192224</v>
      </c>
      <c r="K5" s="2" t="s">
        <v>40</v>
      </c>
      <c r="L5" s="2" t="s">
        <v>5</v>
      </c>
      <c r="M5" s="2" t="s">
        <v>9</v>
      </c>
      <c r="N5" s="22">
        <v>5.4999999999999997E-3</v>
      </c>
      <c r="O5" s="22">
        <v>5.4999999999999997E-3</v>
      </c>
      <c r="P5" s="3">
        <v>0</v>
      </c>
      <c r="Q5" s="49">
        <v>46054</v>
      </c>
      <c r="R5" s="74" t="b">
        <v>0</v>
      </c>
      <c r="S5" s="3"/>
      <c r="U5" s="2"/>
      <c r="W5" s="23"/>
      <c r="X5" s="2"/>
      <c r="Z5" s="3"/>
    </row>
    <row r="6" spans="1:30" x14ac:dyDescent="0.25">
      <c r="A6" s="97" t="b">
        <v>1</v>
      </c>
      <c r="B6" s="2" t="s">
        <v>15</v>
      </c>
      <c r="C6" s="3"/>
      <c r="D6" s="4" t="s">
        <v>306</v>
      </c>
      <c r="E6" s="4" t="s">
        <v>18</v>
      </c>
      <c r="F6" s="4"/>
      <c r="G6" s="4"/>
      <c r="H6" s="3" t="s">
        <v>33</v>
      </c>
      <c r="I6" s="3" t="s">
        <v>18</v>
      </c>
      <c r="J6" s="2">
        <v>676783288</v>
      </c>
      <c r="K6" s="2" t="s">
        <v>40</v>
      </c>
      <c r="L6" s="2" t="s">
        <v>5</v>
      </c>
      <c r="M6" s="2" t="s">
        <v>9</v>
      </c>
      <c r="N6" s="22">
        <v>5.4999999999999997E-3</v>
      </c>
      <c r="O6" s="22">
        <v>5.4999999999999997E-3</v>
      </c>
      <c r="P6" s="3">
        <v>0</v>
      </c>
      <c r="Q6" s="49">
        <v>46054</v>
      </c>
      <c r="R6" s="74" t="b">
        <v>0</v>
      </c>
      <c r="S6" s="3"/>
      <c r="U6" s="2"/>
      <c r="W6" s="23"/>
      <c r="X6" s="2"/>
      <c r="Z6" s="3"/>
    </row>
    <row r="7" spans="1:30" x14ac:dyDescent="0.25">
      <c r="A7" s="97" t="b">
        <v>1</v>
      </c>
      <c r="B7" s="2" t="s">
        <v>16</v>
      </c>
      <c r="C7" s="3"/>
      <c r="D7" s="4" t="s">
        <v>306</v>
      </c>
      <c r="E7" s="4" t="s">
        <v>18</v>
      </c>
      <c r="F7" s="4" t="s">
        <v>550</v>
      </c>
      <c r="G7" s="121">
        <v>1.9E-3</v>
      </c>
      <c r="H7" s="3" t="s">
        <v>33</v>
      </c>
      <c r="I7" s="3" t="s">
        <v>18</v>
      </c>
      <c r="J7" s="2">
        <v>676783282</v>
      </c>
      <c r="K7" s="2" t="s">
        <v>40</v>
      </c>
      <c r="L7" s="2" t="s">
        <v>5</v>
      </c>
      <c r="M7" s="2" t="s">
        <v>9</v>
      </c>
      <c r="N7" s="22">
        <v>5.4999999999999997E-3</v>
      </c>
      <c r="O7" s="22">
        <v>5.4999999999999997E-3</v>
      </c>
      <c r="P7" s="3">
        <v>0</v>
      </c>
      <c r="Q7" s="49">
        <v>46054</v>
      </c>
      <c r="R7" s="74" t="b">
        <v>0</v>
      </c>
      <c r="S7" s="3"/>
      <c r="U7" s="2"/>
      <c r="W7" s="23"/>
      <c r="X7" s="2"/>
      <c r="Z7" s="3"/>
    </row>
    <row r="8" spans="1:30" x14ac:dyDescent="0.25">
      <c r="A8" s="97" t="b">
        <v>1</v>
      </c>
      <c r="B8" s="2" t="s">
        <v>21</v>
      </c>
      <c r="C8" s="3"/>
      <c r="D8" s="4" t="s">
        <v>306</v>
      </c>
      <c r="E8" s="4" t="s">
        <v>18</v>
      </c>
      <c r="F8" s="4" t="s">
        <v>548</v>
      </c>
      <c r="G8" s="121">
        <v>2.5000000000000001E-3</v>
      </c>
      <c r="H8" s="3" t="s">
        <v>33</v>
      </c>
      <c r="I8" s="3" t="s">
        <v>18</v>
      </c>
      <c r="J8" s="2">
        <v>676783301</v>
      </c>
      <c r="K8" s="2" t="s">
        <v>40</v>
      </c>
      <c r="L8" s="2" t="s">
        <v>5</v>
      </c>
      <c r="M8" s="2" t="s">
        <v>9</v>
      </c>
      <c r="N8" s="22">
        <v>5.4999999999999997E-3</v>
      </c>
      <c r="O8" s="22">
        <v>5.4999999999999997E-3</v>
      </c>
      <c r="P8" s="3">
        <v>0</v>
      </c>
      <c r="Q8" s="49">
        <v>46054</v>
      </c>
      <c r="R8" s="74" t="b">
        <v>0</v>
      </c>
      <c r="S8" s="3"/>
      <c r="U8" s="2"/>
      <c r="W8" s="23"/>
      <c r="X8" s="2"/>
      <c r="Z8" s="3"/>
    </row>
    <row r="9" spans="1:30" x14ac:dyDescent="0.25">
      <c r="A9" s="97" t="b">
        <v>1</v>
      </c>
      <c r="B9" s="2" t="s">
        <v>17</v>
      </c>
      <c r="C9" s="3"/>
      <c r="D9" s="4" t="s">
        <v>306</v>
      </c>
      <c r="E9" s="4" t="s">
        <v>18</v>
      </c>
      <c r="F9" s="4" t="s">
        <v>581</v>
      </c>
      <c r="G9" s="121">
        <v>1.4999999999999999E-2</v>
      </c>
      <c r="H9" s="3" t="s">
        <v>33</v>
      </c>
      <c r="I9" s="3" t="s">
        <v>18</v>
      </c>
      <c r="J9" s="2">
        <v>349966059</v>
      </c>
      <c r="K9" s="2" t="s">
        <v>40</v>
      </c>
      <c r="L9" s="2" t="s">
        <v>5</v>
      </c>
      <c r="M9" s="2" t="s">
        <v>9</v>
      </c>
      <c r="N9" s="22">
        <v>5.4999999999999997E-3</v>
      </c>
      <c r="O9" s="22">
        <v>5.4999999999999997E-3</v>
      </c>
      <c r="P9" s="3">
        <v>0</v>
      </c>
      <c r="Q9" s="49">
        <v>46054</v>
      </c>
      <c r="R9" s="74" t="b">
        <v>0</v>
      </c>
      <c r="S9" s="3"/>
      <c r="U9" s="2"/>
      <c r="W9" s="23"/>
      <c r="X9" s="2"/>
      <c r="Z9" s="3"/>
    </row>
    <row r="10" spans="1:30" x14ac:dyDescent="0.25">
      <c r="A10" s="97" t="b">
        <v>1</v>
      </c>
      <c r="B10" s="2" t="s">
        <v>42</v>
      </c>
      <c r="C10" s="3"/>
      <c r="D10" s="4" t="s">
        <v>306</v>
      </c>
      <c r="E10" s="4" t="s">
        <v>18</v>
      </c>
      <c r="F10" s="4" t="s">
        <v>582</v>
      </c>
      <c r="G10" s="121">
        <v>2E-3</v>
      </c>
      <c r="H10" s="3" t="s">
        <v>33</v>
      </c>
      <c r="I10" s="3" t="s">
        <v>18</v>
      </c>
      <c r="J10" s="2">
        <v>677037670</v>
      </c>
      <c r="K10" s="2" t="s">
        <v>40</v>
      </c>
      <c r="L10" s="2" t="s">
        <v>5</v>
      </c>
      <c r="M10" s="2" t="s">
        <v>9</v>
      </c>
      <c r="N10" s="22">
        <v>5.4999999999999997E-3</v>
      </c>
      <c r="O10" s="22">
        <v>5.4999999999999997E-3</v>
      </c>
      <c r="P10" s="3">
        <v>0</v>
      </c>
      <c r="Q10" s="49">
        <v>46054</v>
      </c>
      <c r="R10" s="74" t="b">
        <v>0</v>
      </c>
      <c r="S10" s="3"/>
      <c r="U10" s="2"/>
      <c r="W10" s="23"/>
      <c r="X10" s="2"/>
      <c r="Z10" s="3"/>
    </row>
    <row r="11" spans="1:30" s="15" customFormat="1" x14ac:dyDescent="0.25">
      <c r="A11" s="97" t="b">
        <v>1</v>
      </c>
      <c r="B11" s="2" t="s">
        <v>4</v>
      </c>
      <c r="C11" s="3"/>
      <c r="D11" s="4" t="s">
        <v>306</v>
      </c>
      <c r="E11" s="4" t="s">
        <v>18</v>
      </c>
      <c r="F11" s="4" t="s">
        <v>532</v>
      </c>
      <c r="G11" s="121">
        <v>2.5000000000000001E-3</v>
      </c>
      <c r="H11" s="3" t="s">
        <v>33</v>
      </c>
      <c r="I11" s="3" t="s">
        <v>18</v>
      </c>
      <c r="J11" s="2">
        <v>677037673</v>
      </c>
      <c r="K11" s="2" t="s">
        <v>40</v>
      </c>
      <c r="L11" s="2" t="s">
        <v>5</v>
      </c>
      <c r="M11" s="2" t="s">
        <v>9</v>
      </c>
      <c r="N11" s="22">
        <v>5.4999999999999997E-3</v>
      </c>
      <c r="O11" s="22">
        <v>5.4999999999999997E-3</v>
      </c>
      <c r="P11" s="3">
        <v>0</v>
      </c>
      <c r="Q11" s="49">
        <v>46054</v>
      </c>
      <c r="R11" s="74" t="b">
        <v>0</v>
      </c>
      <c r="S11" s="3"/>
      <c r="Z11" s="2"/>
    </row>
    <row r="12" spans="1:30" s="15" customFormat="1" x14ac:dyDescent="0.25">
      <c r="A12" s="97" t="b">
        <v>1</v>
      </c>
      <c r="B12" s="2" t="s">
        <v>258</v>
      </c>
      <c r="C12" s="3"/>
      <c r="D12" s="4" t="s">
        <v>306</v>
      </c>
      <c r="E12" s="4" t="s">
        <v>18</v>
      </c>
      <c r="F12" s="4"/>
      <c r="G12" s="4"/>
      <c r="H12" s="3" t="s">
        <v>33</v>
      </c>
      <c r="I12" s="3" t="s">
        <v>18</v>
      </c>
      <c r="J12" s="2">
        <v>907006410</v>
      </c>
      <c r="K12" s="2" t="s">
        <v>3</v>
      </c>
      <c r="L12" s="2" t="s">
        <v>5</v>
      </c>
      <c r="M12" s="2" t="s">
        <v>9</v>
      </c>
      <c r="N12" s="23">
        <v>12.52</v>
      </c>
      <c r="O12" s="23">
        <v>12.52</v>
      </c>
      <c r="P12" s="3">
        <v>0</v>
      </c>
      <c r="Q12" s="49">
        <v>46054</v>
      </c>
      <c r="R12" s="74" t="b">
        <v>0</v>
      </c>
      <c r="S12" s="3"/>
      <c r="Z12" s="2"/>
    </row>
    <row r="13" spans="1:30" s="15" customFormat="1" x14ac:dyDescent="0.25">
      <c r="A13" s="97" t="b">
        <v>1</v>
      </c>
      <c r="B13" s="2" t="s">
        <v>301</v>
      </c>
      <c r="C13" s="3"/>
      <c r="D13" s="4" t="s">
        <v>306</v>
      </c>
      <c r="E13" s="4" t="s">
        <v>18</v>
      </c>
      <c r="F13" s="4"/>
      <c r="G13" s="4"/>
      <c r="H13" s="3" t="s">
        <v>33</v>
      </c>
      <c r="I13" s="3" t="s">
        <v>18</v>
      </c>
      <c r="J13" s="2">
        <v>918675705</v>
      </c>
      <c r="K13" s="2" t="s">
        <v>3</v>
      </c>
      <c r="L13" s="2" t="s">
        <v>5</v>
      </c>
      <c r="M13" s="2" t="s">
        <v>9</v>
      </c>
      <c r="N13" s="23">
        <v>12.52</v>
      </c>
      <c r="O13" s="23">
        <v>12.52</v>
      </c>
      <c r="P13" s="3">
        <v>0</v>
      </c>
      <c r="Q13" s="49">
        <v>46054</v>
      </c>
      <c r="R13" s="74" t="b">
        <v>0</v>
      </c>
      <c r="S13" s="3"/>
      <c r="Z13" s="2"/>
    </row>
    <row r="14" spans="1:30" x14ac:dyDescent="0.25">
      <c r="A14" s="97" t="b">
        <v>1</v>
      </c>
      <c r="B14" s="2" t="s">
        <v>180</v>
      </c>
      <c r="C14" s="3"/>
      <c r="D14" s="4" t="s">
        <v>306</v>
      </c>
      <c r="E14" s="4" t="s">
        <v>18</v>
      </c>
      <c r="F14" s="4"/>
      <c r="G14" s="4"/>
      <c r="H14" s="3" t="s">
        <v>33</v>
      </c>
      <c r="I14" s="3" t="s">
        <v>18</v>
      </c>
      <c r="J14" s="2">
        <v>817976209</v>
      </c>
      <c r="K14" s="2" t="s">
        <v>3</v>
      </c>
      <c r="L14" s="2" t="s">
        <v>5</v>
      </c>
      <c r="M14" s="2" t="s">
        <v>9</v>
      </c>
      <c r="N14" s="23">
        <v>12.52</v>
      </c>
      <c r="O14" s="23">
        <v>12.52</v>
      </c>
      <c r="P14" s="3">
        <v>0</v>
      </c>
      <c r="Q14" s="49">
        <v>46054</v>
      </c>
      <c r="R14" s="74" t="b">
        <v>0</v>
      </c>
      <c r="S14" s="3"/>
      <c r="U14" s="2"/>
      <c r="W14" s="2"/>
      <c r="X14" s="2"/>
      <c r="Y14" s="2"/>
    </row>
    <row r="15" spans="1:30" x14ac:dyDescent="0.25">
      <c r="A15" s="97" t="b">
        <v>1</v>
      </c>
      <c r="B15" s="2" t="s">
        <v>182</v>
      </c>
      <c r="C15" s="3"/>
      <c r="D15" s="4" t="s">
        <v>306</v>
      </c>
      <c r="E15" s="4" t="s">
        <v>18</v>
      </c>
      <c r="F15" s="4"/>
      <c r="G15" s="4"/>
      <c r="H15" s="3" t="s">
        <v>33</v>
      </c>
      <c r="I15" s="3" t="s">
        <v>18</v>
      </c>
      <c r="J15" s="2">
        <v>876880607</v>
      </c>
      <c r="K15" s="2" t="s">
        <v>3</v>
      </c>
      <c r="L15" s="2" t="s">
        <v>5</v>
      </c>
      <c r="M15" s="2" t="s">
        <v>9</v>
      </c>
      <c r="N15" s="23">
        <v>12.52</v>
      </c>
      <c r="O15" s="23">
        <v>12.52</v>
      </c>
      <c r="P15" s="3">
        <v>0</v>
      </c>
      <c r="Q15" s="49">
        <v>46054</v>
      </c>
      <c r="R15" s="74" t="b">
        <v>0</v>
      </c>
      <c r="S15" s="3"/>
      <c r="U15" s="2"/>
      <c r="W15" s="23"/>
      <c r="X15" s="2"/>
      <c r="Z15" s="3"/>
    </row>
    <row r="16" spans="1:30" x14ac:dyDescent="0.25">
      <c r="A16" s="97" t="b">
        <v>1</v>
      </c>
      <c r="B16" s="2" t="s">
        <v>183</v>
      </c>
      <c r="C16" s="3"/>
      <c r="D16" s="4" t="s">
        <v>306</v>
      </c>
      <c r="E16" s="4" t="s">
        <v>18</v>
      </c>
      <c r="F16" s="4"/>
      <c r="G16" s="4"/>
      <c r="H16" s="3" t="s">
        <v>33</v>
      </c>
      <c r="I16" s="3" t="s">
        <v>18</v>
      </c>
      <c r="J16" s="2">
        <v>887699043</v>
      </c>
      <c r="K16" s="2" t="s">
        <v>3</v>
      </c>
      <c r="L16" s="2" t="s">
        <v>5</v>
      </c>
      <c r="M16" s="2" t="s">
        <v>9</v>
      </c>
      <c r="N16" s="23">
        <v>12.52</v>
      </c>
      <c r="O16" s="23">
        <v>12.52</v>
      </c>
      <c r="P16" s="3">
        <v>0</v>
      </c>
      <c r="Q16" s="49">
        <v>46054</v>
      </c>
      <c r="R16" s="74" t="b">
        <v>0</v>
      </c>
      <c r="S16" s="3"/>
      <c r="U16" s="2"/>
      <c r="W16" s="23"/>
      <c r="X16" s="2"/>
      <c r="Z16" s="3"/>
    </row>
    <row r="17" spans="1:26" s="15" customFormat="1" x14ac:dyDescent="0.25">
      <c r="A17" s="97" t="b">
        <v>1</v>
      </c>
      <c r="B17" s="2" t="s">
        <v>179</v>
      </c>
      <c r="C17" s="3"/>
      <c r="D17" s="4" t="s">
        <v>306</v>
      </c>
      <c r="E17" s="4" t="s">
        <v>18</v>
      </c>
      <c r="F17" s="4"/>
      <c r="G17" s="4"/>
      <c r="H17" s="3" t="s">
        <v>33</v>
      </c>
      <c r="I17" s="3" t="s">
        <v>18</v>
      </c>
      <c r="J17" s="72">
        <v>751356958</v>
      </c>
      <c r="K17" s="2" t="s">
        <v>3</v>
      </c>
      <c r="L17" s="2" t="s">
        <v>5</v>
      </c>
      <c r="M17" s="2" t="s">
        <v>9</v>
      </c>
      <c r="N17" s="23">
        <v>12.52</v>
      </c>
      <c r="O17" s="23">
        <v>12.52</v>
      </c>
      <c r="P17" s="3">
        <v>0</v>
      </c>
      <c r="Q17" s="49">
        <v>46054</v>
      </c>
      <c r="R17" s="74" t="b">
        <v>0</v>
      </c>
      <c r="S17" s="3"/>
      <c r="Z17" s="2"/>
    </row>
    <row r="18" spans="1:26" x14ac:dyDescent="0.25">
      <c r="A18" s="97" t="b">
        <v>1</v>
      </c>
      <c r="B18" s="67" t="s">
        <v>304</v>
      </c>
      <c r="C18" s="3"/>
      <c r="D18" s="66" t="s">
        <v>306</v>
      </c>
      <c r="E18" s="66" t="s">
        <v>45</v>
      </c>
      <c r="F18" s="66"/>
      <c r="G18" s="66"/>
      <c r="H18" s="68" t="s">
        <v>33</v>
      </c>
      <c r="I18" s="68" t="s">
        <v>18</v>
      </c>
      <c r="J18" s="67">
        <v>907006434</v>
      </c>
      <c r="K18" s="67" t="s">
        <v>3</v>
      </c>
      <c r="L18" s="67" t="s">
        <v>5</v>
      </c>
      <c r="M18" s="67" t="s">
        <v>9</v>
      </c>
      <c r="N18" s="69">
        <v>8.52</v>
      </c>
      <c r="O18" s="69">
        <v>8.52</v>
      </c>
      <c r="P18" s="68">
        <v>0</v>
      </c>
      <c r="Q18" s="70">
        <v>46054</v>
      </c>
      <c r="R18" s="74" t="b">
        <v>0</v>
      </c>
      <c r="S18" s="3"/>
      <c r="U18" s="2"/>
      <c r="W18" s="2"/>
      <c r="X18" s="2"/>
      <c r="Y18" s="2"/>
    </row>
    <row r="19" spans="1:26" x14ac:dyDescent="0.25">
      <c r="A19" s="97" t="b">
        <v>1</v>
      </c>
      <c r="B19" s="67" t="s">
        <v>305</v>
      </c>
      <c r="C19" s="3"/>
      <c r="D19" s="66" t="s">
        <v>306</v>
      </c>
      <c r="E19" s="66" t="s">
        <v>45</v>
      </c>
      <c r="F19" s="66"/>
      <c r="G19" s="66"/>
      <c r="H19" s="68" t="s">
        <v>33</v>
      </c>
      <c r="I19" s="68" t="s">
        <v>18</v>
      </c>
      <c r="J19" s="67">
        <v>918675725</v>
      </c>
      <c r="K19" s="67" t="s">
        <v>3</v>
      </c>
      <c r="L19" s="67" t="s">
        <v>5</v>
      </c>
      <c r="M19" s="67" t="s">
        <v>9</v>
      </c>
      <c r="N19" s="69">
        <v>8.52</v>
      </c>
      <c r="O19" s="69">
        <v>8.52</v>
      </c>
      <c r="P19" s="68">
        <v>0</v>
      </c>
      <c r="Q19" s="70">
        <v>46054</v>
      </c>
      <c r="R19" s="74" t="b">
        <v>0</v>
      </c>
      <c r="S19" s="3"/>
      <c r="U19" s="2"/>
      <c r="W19" s="2"/>
      <c r="X19" s="2"/>
      <c r="Y19" s="2"/>
    </row>
    <row r="20" spans="1:26" x14ac:dyDescent="0.25">
      <c r="A20" s="97" t="b">
        <v>1</v>
      </c>
      <c r="B20" s="67" t="s">
        <v>376</v>
      </c>
      <c r="C20" s="3"/>
      <c r="D20" s="66" t="s">
        <v>306</v>
      </c>
      <c r="E20" s="66" t="s">
        <v>45</v>
      </c>
      <c r="F20" s="66"/>
      <c r="G20" s="66"/>
      <c r="H20" s="68" t="s">
        <v>33</v>
      </c>
      <c r="I20" s="68" t="s">
        <v>18</v>
      </c>
      <c r="J20" s="67">
        <v>817976231</v>
      </c>
      <c r="K20" s="67" t="s">
        <v>3</v>
      </c>
      <c r="L20" s="67" t="s">
        <v>5</v>
      </c>
      <c r="M20" s="67" t="s">
        <v>9</v>
      </c>
      <c r="N20" s="69">
        <v>8.52</v>
      </c>
      <c r="O20" s="69">
        <v>8.52</v>
      </c>
      <c r="P20" s="68">
        <v>0</v>
      </c>
      <c r="Q20" s="70">
        <v>46054</v>
      </c>
      <c r="R20" s="74" t="b">
        <v>0</v>
      </c>
      <c r="S20" s="3"/>
      <c r="U20" s="2"/>
      <c r="W20" s="2"/>
      <c r="X20" s="2"/>
      <c r="Y20" s="2"/>
    </row>
    <row r="21" spans="1:26" x14ac:dyDescent="0.25">
      <c r="A21" s="97" t="b">
        <v>1</v>
      </c>
      <c r="B21" s="67" t="s">
        <v>187</v>
      </c>
      <c r="C21" s="3"/>
      <c r="D21" s="66" t="s">
        <v>306</v>
      </c>
      <c r="E21" s="66" t="s">
        <v>45</v>
      </c>
      <c r="F21" s="66"/>
      <c r="G21" s="66"/>
      <c r="H21" s="68" t="s">
        <v>33</v>
      </c>
      <c r="I21" s="68" t="s">
        <v>18</v>
      </c>
      <c r="J21" s="67">
        <v>876880626</v>
      </c>
      <c r="K21" s="67" t="s">
        <v>3</v>
      </c>
      <c r="L21" s="67" t="s">
        <v>5</v>
      </c>
      <c r="M21" s="67" t="s">
        <v>9</v>
      </c>
      <c r="N21" s="69">
        <v>8.52</v>
      </c>
      <c r="O21" s="69">
        <v>8.52</v>
      </c>
      <c r="P21" s="68">
        <v>0</v>
      </c>
      <c r="Q21" s="70">
        <v>46054</v>
      </c>
      <c r="R21" s="74" t="b">
        <v>0</v>
      </c>
      <c r="S21" s="3"/>
      <c r="U21" s="2"/>
      <c r="W21" s="2"/>
      <c r="X21" s="2"/>
      <c r="Y21" s="2"/>
    </row>
    <row r="22" spans="1:26" x14ac:dyDescent="0.25">
      <c r="A22" s="97" t="b">
        <v>1</v>
      </c>
      <c r="B22" s="67" t="s">
        <v>188</v>
      </c>
      <c r="C22" s="3"/>
      <c r="D22" s="66" t="s">
        <v>306</v>
      </c>
      <c r="E22" s="66" t="s">
        <v>45</v>
      </c>
      <c r="F22" s="66"/>
      <c r="G22" s="66"/>
      <c r="H22" s="68" t="s">
        <v>33</v>
      </c>
      <c r="I22" s="68" t="s">
        <v>18</v>
      </c>
      <c r="J22" s="67">
        <v>887699064</v>
      </c>
      <c r="K22" s="67" t="s">
        <v>3</v>
      </c>
      <c r="L22" s="67" t="s">
        <v>5</v>
      </c>
      <c r="M22" s="67" t="s">
        <v>9</v>
      </c>
      <c r="N22" s="69">
        <v>8.52</v>
      </c>
      <c r="O22" s="69">
        <v>8.52</v>
      </c>
      <c r="P22" s="68">
        <v>0</v>
      </c>
      <c r="Q22" s="70">
        <v>46054</v>
      </c>
      <c r="R22" s="74" t="b">
        <v>0</v>
      </c>
      <c r="S22" s="3"/>
      <c r="U22" s="2"/>
      <c r="W22" s="2"/>
      <c r="X22" s="2"/>
      <c r="Y22" s="2"/>
    </row>
    <row r="23" spans="1:26" x14ac:dyDescent="0.25">
      <c r="A23" s="97" t="b">
        <v>1</v>
      </c>
      <c r="B23" s="67" t="s">
        <v>189</v>
      </c>
      <c r="C23" s="3"/>
      <c r="D23" s="66" t="s">
        <v>306</v>
      </c>
      <c r="E23" s="66" t="s">
        <v>45</v>
      </c>
      <c r="F23" s="66"/>
      <c r="G23" s="66"/>
      <c r="H23" s="68" t="s">
        <v>33</v>
      </c>
      <c r="I23" s="68" t="s">
        <v>18</v>
      </c>
      <c r="J23" s="73">
        <v>751357003</v>
      </c>
      <c r="K23" s="67" t="s">
        <v>3</v>
      </c>
      <c r="L23" s="67" t="s">
        <v>5</v>
      </c>
      <c r="M23" s="67" t="s">
        <v>9</v>
      </c>
      <c r="N23" s="69">
        <v>8.52</v>
      </c>
      <c r="O23" s="69">
        <v>8.52</v>
      </c>
      <c r="P23" s="68">
        <v>0</v>
      </c>
      <c r="Q23" s="70">
        <v>46054</v>
      </c>
      <c r="R23" s="74" t="b">
        <v>0</v>
      </c>
      <c r="S23" s="3"/>
      <c r="U23" s="2"/>
      <c r="W23" s="2"/>
      <c r="X23" s="2"/>
      <c r="Y23" s="2"/>
    </row>
    <row r="24" spans="1:26" x14ac:dyDescent="0.25">
      <c r="A24" s="97" t="b">
        <v>1</v>
      </c>
      <c r="B24" s="2" t="s">
        <v>37</v>
      </c>
      <c r="C24" s="3"/>
      <c r="D24" s="4" t="s">
        <v>306</v>
      </c>
      <c r="E24" s="4" t="s">
        <v>18</v>
      </c>
      <c r="F24" s="4"/>
      <c r="G24" s="4"/>
      <c r="H24" s="3" t="s">
        <v>33</v>
      </c>
      <c r="I24" s="3" t="s">
        <v>18</v>
      </c>
      <c r="J24" s="2">
        <v>541686651</v>
      </c>
      <c r="K24" s="2" t="s">
        <v>31</v>
      </c>
      <c r="L24" s="2" t="s">
        <v>5</v>
      </c>
      <c r="M24" s="2" t="s">
        <v>20</v>
      </c>
      <c r="N24" s="53">
        <v>1.1999999999999999E-3</v>
      </c>
      <c r="O24" s="53">
        <v>1.1999999999999999E-3</v>
      </c>
      <c r="P24" s="23">
        <v>1.75</v>
      </c>
      <c r="Q24" s="49">
        <v>46054</v>
      </c>
      <c r="R24" s="74" t="b">
        <v>0</v>
      </c>
      <c r="S24" s="3"/>
      <c r="U24" s="2"/>
      <c r="W24" s="2"/>
      <c r="X24" s="2"/>
      <c r="Y24" s="2"/>
    </row>
    <row r="25" spans="1:26" x14ac:dyDescent="0.25">
      <c r="A25" s="97" t="b">
        <v>0</v>
      </c>
      <c r="B25" s="2" t="s">
        <v>258</v>
      </c>
      <c r="C25" s="3"/>
      <c r="D25" s="4" t="s">
        <v>306</v>
      </c>
      <c r="E25" s="4" t="s">
        <v>18</v>
      </c>
      <c r="F25" s="4"/>
      <c r="G25" s="4"/>
      <c r="H25" s="23" t="s">
        <v>158</v>
      </c>
      <c r="I25" s="23" t="s">
        <v>158</v>
      </c>
      <c r="J25" s="2" t="s">
        <v>302</v>
      </c>
      <c r="K25" s="2" t="s">
        <v>3</v>
      </c>
      <c r="L25" s="2" t="s">
        <v>22</v>
      </c>
      <c r="M25" s="2" t="s">
        <v>9</v>
      </c>
      <c r="N25" s="23" t="s">
        <v>158</v>
      </c>
      <c r="O25" s="23" t="s">
        <v>158</v>
      </c>
      <c r="P25" s="3">
        <v>0</v>
      </c>
      <c r="Q25" s="49"/>
      <c r="R25" s="74" t="b">
        <v>1</v>
      </c>
      <c r="S25" s="3"/>
      <c r="U25" s="2"/>
      <c r="W25" s="2"/>
      <c r="X25" s="2"/>
      <c r="Y25" s="2"/>
    </row>
    <row r="26" spans="1:26" x14ac:dyDescent="0.25">
      <c r="A26" s="97" t="b">
        <v>0</v>
      </c>
      <c r="B26" s="2" t="s">
        <v>301</v>
      </c>
      <c r="C26" s="3"/>
      <c r="D26" s="4" t="s">
        <v>306</v>
      </c>
      <c r="E26" s="4" t="s">
        <v>18</v>
      </c>
      <c r="F26" s="4"/>
      <c r="G26" s="4"/>
      <c r="H26" s="23" t="s">
        <v>158</v>
      </c>
      <c r="I26" s="23" t="s">
        <v>158</v>
      </c>
      <c r="J26" s="2" t="s">
        <v>303</v>
      </c>
      <c r="K26" s="2" t="s">
        <v>3</v>
      </c>
      <c r="L26" s="2" t="s">
        <v>22</v>
      </c>
      <c r="M26" s="2" t="s">
        <v>9</v>
      </c>
      <c r="N26" s="23" t="s">
        <v>158</v>
      </c>
      <c r="O26" s="23" t="s">
        <v>158</v>
      </c>
      <c r="P26" s="3">
        <v>0</v>
      </c>
      <c r="Q26" s="49"/>
      <c r="R26" s="74" t="b">
        <v>1</v>
      </c>
      <c r="S26" s="3"/>
      <c r="U26" s="2"/>
      <c r="W26" s="2"/>
      <c r="X26" s="2"/>
      <c r="Y26" s="2"/>
    </row>
    <row r="27" spans="1:26" x14ac:dyDescent="0.25">
      <c r="A27" s="97" t="b">
        <v>0</v>
      </c>
      <c r="B27" s="2" t="s">
        <v>180</v>
      </c>
      <c r="C27" s="3"/>
      <c r="D27" s="4" t="s">
        <v>306</v>
      </c>
      <c r="E27" s="4" t="s">
        <v>18</v>
      </c>
      <c r="F27" s="4"/>
      <c r="G27" s="4"/>
      <c r="H27" s="23" t="s">
        <v>158</v>
      </c>
      <c r="I27" s="23" t="s">
        <v>158</v>
      </c>
      <c r="J27" s="2" t="s">
        <v>149</v>
      </c>
      <c r="K27" s="2" t="s">
        <v>3</v>
      </c>
      <c r="L27" s="2" t="s">
        <v>22</v>
      </c>
      <c r="M27" s="2" t="s">
        <v>9</v>
      </c>
      <c r="N27" s="23" t="s">
        <v>158</v>
      </c>
      <c r="O27" s="23" t="s">
        <v>158</v>
      </c>
      <c r="P27" s="3">
        <v>0</v>
      </c>
      <c r="Q27" s="49"/>
      <c r="R27" s="74" t="b">
        <v>1</v>
      </c>
      <c r="S27" s="3"/>
      <c r="U27" s="2"/>
      <c r="W27" s="2"/>
      <c r="X27" s="2"/>
      <c r="Y27" s="2"/>
    </row>
    <row r="28" spans="1:26" x14ac:dyDescent="0.25">
      <c r="A28" s="97" t="b">
        <v>0</v>
      </c>
      <c r="B28" s="2" t="s">
        <v>113</v>
      </c>
      <c r="C28" s="3"/>
      <c r="D28" s="4" t="s">
        <v>306</v>
      </c>
      <c r="E28" s="4" t="s">
        <v>18</v>
      </c>
      <c r="F28" s="4"/>
      <c r="G28" s="4"/>
      <c r="H28" s="33" t="s">
        <v>33</v>
      </c>
      <c r="I28" s="33" t="s">
        <v>18</v>
      </c>
      <c r="J28" s="2" t="s">
        <v>184</v>
      </c>
      <c r="K28" s="2" t="s">
        <v>3</v>
      </c>
      <c r="L28" s="2" t="s">
        <v>142</v>
      </c>
      <c r="M28" s="7" t="s">
        <v>9</v>
      </c>
      <c r="N28" s="26">
        <v>12.52</v>
      </c>
      <c r="O28" s="26">
        <v>12.52</v>
      </c>
      <c r="P28" s="33">
        <v>0</v>
      </c>
      <c r="Q28" s="64">
        <v>46054</v>
      </c>
      <c r="R28" s="74" t="b">
        <v>1</v>
      </c>
      <c r="S28" s="3"/>
      <c r="U28" s="2"/>
      <c r="W28" s="2"/>
      <c r="X28" s="2"/>
      <c r="Y28" s="2"/>
    </row>
    <row r="29" spans="1:26" x14ac:dyDescent="0.25">
      <c r="A29" s="97" t="b">
        <v>0</v>
      </c>
      <c r="B29" s="2" t="s">
        <v>114</v>
      </c>
      <c r="C29" s="3"/>
      <c r="D29" s="4" t="s">
        <v>306</v>
      </c>
      <c r="E29" s="4" t="s">
        <v>18</v>
      </c>
      <c r="F29" s="4"/>
      <c r="G29" s="4"/>
      <c r="H29" s="33" t="s">
        <v>33</v>
      </c>
      <c r="I29" s="33" t="s">
        <v>18</v>
      </c>
      <c r="J29" s="2" t="s">
        <v>185</v>
      </c>
      <c r="K29" s="2" t="s">
        <v>3</v>
      </c>
      <c r="L29" s="2" t="s">
        <v>142</v>
      </c>
      <c r="M29" s="7" t="s">
        <v>9</v>
      </c>
      <c r="N29" s="26">
        <v>12.52</v>
      </c>
      <c r="O29" s="26">
        <v>12.52</v>
      </c>
      <c r="P29" s="33">
        <v>0</v>
      </c>
      <c r="Q29" s="64">
        <v>46054</v>
      </c>
      <c r="R29" s="74" t="b">
        <v>1</v>
      </c>
      <c r="S29" s="3"/>
      <c r="U29" s="2"/>
      <c r="W29" s="2"/>
      <c r="X29" s="2"/>
      <c r="Y29" s="2"/>
    </row>
    <row r="30" spans="1:26" x14ac:dyDescent="0.25">
      <c r="A30" s="97" t="b">
        <v>0</v>
      </c>
      <c r="B30" s="2" t="s">
        <v>115</v>
      </c>
      <c r="C30" s="3"/>
      <c r="D30" s="4" t="s">
        <v>306</v>
      </c>
      <c r="E30" s="4" t="s">
        <v>18</v>
      </c>
      <c r="F30" s="4"/>
      <c r="G30" s="4"/>
      <c r="H30" s="33" t="s">
        <v>33</v>
      </c>
      <c r="I30" s="33" t="s">
        <v>18</v>
      </c>
      <c r="J30" s="2" t="s">
        <v>186</v>
      </c>
      <c r="K30" s="2" t="s">
        <v>3</v>
      </c>
      <c r="L30" s="2" t="s">
        <v>142</v>
      </c>
      <c r="M30" s="7" t="s">
        <v>9</v>
      </c>
      <c r="N30" s="26">
        <v>12.52</v>
      </c>
      <c r="O30" s="26">
        <v>12.52</v>
      </c>
      <c r="P30" s="33">
        <v>0</v>
      </c>
      <c r="Q30" s="64">
        <v>46054</v>
      </c>
      <c r="R30" s="74" t="b">
        <v>1</v>
      </c>
      <c r="S30" s="3"/>
      <c r="U30" s="2"/>
      <c r="W30" s="2"/>
      <c r="X30" s="2"/>
      <c r="Y30" s="2"/>
    </row>
    <row r="31" spans="1:26" x14ac:dyDescent="0.25">
      <c r="A31" s="97" t="b">
        <v>0</v>
      </c>
      <c r="B31" s="2" t="s">
        <v>116</v>
      </c>
      <c r="C31" s="3"/>
      <c r="D31" s="4" t="s">
        <v>306</v>
      </c>
      <c r="E31" s="4" t="s">
        <v>18</v>
      </c>
      <c r="F31" s="4"/>
      <c r="G31" s="4"/>
      <c r="H31" s="23" t="s">
        <v>158</v>
      </c>
      <c r="I31" s="23" t="s">
        <v>158</v>
      </c>
      <c r="J31" s="2" t="s">
        <v>147</v>
      </c>
      <c r="K31" s="2" t="s">
        <v>3</v>
      </c>
      <c r="L31" s="2" t="s">
        <v>22</v>
      </c>
      <c r="M31" s="2" t="s">
        <v>9</v>
      </c>
      <c r="N31" s="23" t="s">
        <v>158</v>
      </c>
      <c r="O31" s="23" t="s">
        <v>158</v>
      </c>
      <c r="P31" s="3">
        <v>0</v>
      </c>
      <c r="Q31" s="49"/>
      <c r="R31" s="74" t="b">
        <v>1</v>
      </c>
      <c r="S31" s="3"/>
      <c r="U31" s="2"/>
      <c r="W31" s="2"/>
      <c r="X31" s="2"/>
      <c r="Y31" s="2"/>
    </row>
    <row r="32" spans="1:26" x14ac:dyDescent="0.25">
      <c r="A32" s="97" t="b">
        <v>0</v>
      </c>
      <c r="B32" s="2" t="s">
        <v>179</v>
      </c>
      <c r="C32" s="3"/>
      <c r="D32" s="4" t="s">
        <v>306</v>
      </c>
      <c r="E32" s="4" t="s">
        <v>18</v>
      </c>
      <c r="F32" s="4"/>
      <c r="G32" s="4"/>
      <c r="H32" s="23" t="s">
        <v>158</v>
      </c>
      <c r="I32" s="23" t="s">
        <v>158</v>
      </c>
      <c r="J32" s="2" t="s">
        <v>148</v>
      </c>
      <c r="K32" s="2" t="s">
        <v>3</v>
      </c>
      <c r="L32" s="2" t="s">
        <v>22</v>
      </c>
      <c r="M32" s="2" t="s">
        <v>9</v>
      </c>
      <c r="N32" s="23" t="s">
        <v>158</v>
      </c>
      <c r="O32" s="23" t="s">
        <v>158</v>
      </c>
      <c r="P32" s="3">
        <v>0</v>
      </c>
      <c r="Q32" s="49"/>
      <c r="R32" s="74" t="b">
        <v>1</v>
      </c>
      <c r="S32" s="3"/>
      <c r="U32" s="2"/>
      <c r="W32" s="2"/>
      <c r="X32" s="2"/>
      <c r="Y32" s="2"/>
    </row>
    <row r="33" spans="1:27" x14ac:dyDescent="0.25">
      <c r="A33" s="97" t="b">
        <v>0</v>
      </c>
      <c r="B33" s="65" t="s">
        <v>43</v>
      </c>
      <c r="C33" s="3" t="s">
        <v>583</v>
      </c>
      <c r="D33" s="4" t="s">
        <v>18</v>
      </c>
      <c r="E33" s="4" t="s">
        <v>18</v>
      </c>
      <c r="F33" s="4"/>
      <c r="G33" s="4"/>
      <c r="H33" s="3" t="s">
        <v>33</v>
      </c>
      <c r="I33" s="3" t="s">
        <v>18</v>
      </c>
      <c r="J33" s="15">
        <v>890244267</v>
      </c>
      <c r="K33" s="15" t="s">
        <v>43</v>
      </c>
      <c r="L33" s="15" t="s">
        <v>5</v>
      </c>
      <c r="M33" s="17" t="s">
        <v>9</v>
      </c>
      <c r="N33" s="23">
        <v>1.5</v>
      </c>
      <c r="O33" s="23">
        <v>1.5</v>
      </c>
      <c r="P33" s="3">
        <v>0</v>
      </c>
      <c r="Q33" s="3"/>
      <c r="R33" s="74" t="b">
        <v>0</v>
      </c>
      <c r="S33" s="3"/>
      <c r="U33" s="2"/>
      <c r="W33" s="2"/>
      <c r="X33" s="2"/>
      <c r="Y33" s="2"/>
    </row>
    <row r="34" spans="1:27" x14ac:dyDescent="0.25">
      <c r="A34" s="97" t="b">
        <v>0</v>
      </c>
      <c r="B34" s="2" t="s">
        <v>37</v>
      </c>
      <c r="C34" s="3"/>
      <c r="D34" s="4" t="s">
        <v>306</v>
      </c>
      <c r="E34" s="4" t="s">
        <v>18</v>
      </c>
      <c r="F34" s="4"/>
      <c r="G34" s="4"/>
      <c r="H34" s="23" t="s">
        <v>158</v>
      </c>
      <c r="I34" s="23" t="s">
        <v>158</v>
      </c>
      <c r="J34" s="2" t="s">
        <v>38</v>
      </c>
      <c r="K34" s="2" t="s">
        <v>31</v>
      </c>
      <c r="L34" s="2" t="s">
        <v>170</v>
      </c>
      <c r="M34" s="2" t="s">
        <v>8</v>
      </c>
      <c r="N34" s="63">
        <v>1E-3</v>
      </c>
      <c r="O34" s="63">
        <v>1E-3</v>
      </c>
      <c r="P34" s="3">
        <v>0</v>
      </c>
      <c r="Q34" s="49"/>
      <c r="R34" s="74" t="b">
        <v>1</v>
      </c>
      <c r="S34" s="3"/>
      <c r="U34" s="2"/>
      <c r="W34" s="2"/>
      <c r="X34" s="2"/>
      <c r="Y34" s="2"/>
    </row>
    <row r="35" spans="1:27" x14ac:dyDescent="0.25">
      <c r="A35" s="97" t="b">
        <v>0</v>
      </c>
      <c r="B35" s="2" t="s">
        <v>37</v>
      </c>
      <c r="C35" s="3"/>
      <c r="D35" s="4" t="s">
        <v>306</v>
      </c>
      <c r="E35" s="4" t="s">
        <v>18</v>
      </c>
      <c r="F35" s="4"/>
      <c r="G35" s="4"/>
      <c r="H35" s="23" t="s">
        <v>158</v>
      </c>
      <c r="I35" s="23" t="s">
        <v>158</v>
      </c>
      <c r="J35" s="2" t="s">
        <v>38</v>
      </c>
      <c r="K35" s="2" t="s">
        <v>31</v>
      </c>
      <c r="L35" s="2" t="s">
        <v>181</v>
      </c>
      <c r="M35" s="2" t="s">
        <v>8</v>
      </c>
      <c r="N35" s="63">
        <v>1E-3</v>
      </c>
      <c r="O35" s="63">
        <v>1E-3</v>
      </c>
      <c r="P35" s="3">
        <v>0</v>
      </c>
      <c r="Q35" s="49"/>
      <c r="R35" s="74" t="b">
        <v>0</v>
      </c>
      <c r="S35" s="3"/>
      <c r="U35" s="2"/>
      <c r="W35" s="2"/>
      <c r="X35" s="2"/>
      <c r="Y35" s="2"/>
    </row>
    <row r="36" spans="1:27" x14ac:dyDescent="0.25">
      <c r="A36" s="97" t="b">
        <v>0</v>
      </c>
      <c r="B36" s="2" t="s">
        <v>37</v>
      </c>
      <c r="C36" s="3"/>
      <c r="D36" s="4" t="s">
        <v>306</v>
      </c>
      <c r="E36" s="4" t="s">
        <v>18</v>
      </c>
      <c r="F36" s="4"/>
      <c r="G36" s="4"/>
      <c r="H36" s="3" t="s">
        <v>33</v>
      </c>
      <c r="I36" s="3" t="s">
        <v>18</v>
      </c>
      <c r="J36" s="2" t="s">
        <v>35</v>
      </c>
      <c r="K36" s="2" t="s">
        <v>31</v>
      </c>
      <c r="L36" s="2" t="s">
        <v>29</v>
      </c>
      <c r="M36" s="2" t="s">
        <v>8</v>
      </c>
      <c r="N36" s="63">
        <v>1E-3</v>
      </c>
      <c r="O36" s="63">
        <v>2E-3</v>
      </c>
      <c r="P36" s="3">
        <v>0</v>
      </c>
      <c r="Q36" s="49"/>
      <c r="R36" s="74" t="b">
        <v>1</v>
      </c>
      <c r="S36" s="3"/>
      <c r="U36" s="2"/>
      <c r="W36" s="2"/>
      <c r="X36" s="2"/>
      <c r="Y36" s="2"/>
    </row>
    <row r="37" spans="1:27" x14ac:dyDescent="0.25">
      <c r="A37" s="97" t="b">
        <v>0</v>
      </c>
      <c r="B37" s="2" t="s">
        <v>37</v>
      </c>
      <c r="C37" s="3"/>
      <c r="D37" s="4" t="s">
        <v>306</v>
      </c>
      <c r="E37" s="4" t="s">
        <v>18</v>
      </c>
      <c r="F37" s="4"/>
      <c r="G37" s="4"/>
      <c r="H37" s="23" t="s">
        <v>158</v>
      </c>
      <c r="I37" s="23" t="s">
        <v>158</v>
      </c>
      <c r="J37" s="2" t="s">
        <v>38</v>
      </c>
      <c r="K37" s="2" t="s">
        <v>31</v>
      </c>
      <c r="L37" s="2" t="s">
        <v>25</v>
      </c>
      <c r="M37" s="2" t="s">
        <v>8</v>
      </c>
      <c r="N37" s="63">
        <v>1E-3</v>
      </c>
      <c r="O37" s="63">
        <v>1E-3</v>
      </c>
      <c r="P37" s="3">
        <v>0</v>
      </c>
      <c r="Q37" s="49"/>
      <c r="R37" s="74" t="b">
        <v>1</v>
      </c>
      <c r="S37" s="3"/>
      <c r="T37" s="55"/>
      <c r="U37" s="55"/>
      <c r="W37" s="2"/>
      <c r="X37" s="2"/>
      <c r="Y37" s="2"/>
    </row>
    <row r="38" spans="1:27" x14ac:dyDescent="0.25">
      <c r="A38" s="97" t="b">
        <v>0</v>
      </c>
      <c r="B38" s="2" t="s">
        <v>37</v>
      </c>
      <c r="C38" s="3"/>
      <c r="D38" s="4" t="s">
        <v>306</v>
      </c>
      <c r="E38" s="4" t="s">
        <v>18</v>
      </c>
      <c r="F38" s="4"/>
      <c r="G38" s="4"/>
      <c r="H38" s="23" t="s">
        <v>158</v>
      </c>
      <c r="I38" s="23" t="s">
        <v>158</v>
      </c>
      <c r="J38" s="2" t="s">
        <v>37</v>
      </c>
      <c r="K38" s="2" t="s">
        <v>31</v>
      </c>
      <c r="L38" s="2" t="s">
        <v>6</v>
      </c>
      <c r="M38" s="2" t="s">
        <v>8</v>
      </c>
      <c r="N38" s="63">
        <v>4.0000000000000001E-3</v>
      </c>
      <c r="O38" s="63">
        <v>6.0000000000000001E-3</v>
      </c>
      <c r="P38" s="3">
        <v>0</v>
      </c>
      <c r="Q38" s="49"/>
      <c r="R38" s="74" t="b">
        <v>0</v>
      </c>
      <c r="S38" s="3"/>
      <c r="T38" s="55"/>
      <c r="U38" s="55"/>
      <c r="W38" s="2"/>
      <c r="X38" s="2"/>
      <c r="Y38" s="2"/>
    </row>
    <row r="39" spans="1:27" s="55" customFormat="1" x14ac:dyDescent="0.25">
      <c r="A39" s="97" t="b">
        <v>0</v>
      </c>
      <c r="B39" s="2" t="s">
        <v>37</v>
      </c>
      <c r="C39" s="3"/>
      <c r="D39" s="4" t="s">
        <v>306</v>
      </c>
      <c r="E39" s="4" t="s">
        <v>18</v>
      </c>
      <c r="F39" s="4"/>
      <c r="G39" s="4"/>
      <c r="H39" s="23" t="s">
        <v>158</v>
      </c>
      <c r="I39" s="23" t="s">
        <v>158</v>
      </c>
      <c r="J39" s="2" t="s">
        <v>159</v>
      </c>
      <c r="K39" s="2" t="s">
        <v>31</v>
      </c>
      <c r="L39" s="2" t="s">
        <v>19</v>
      </c>
      <c r="M39" s="2" t="s">
        <v>8</v>
      </c>
      <c r="N39" s="63">
        <v>2E-3</v>
      </c>
      <c r="O39" s="63">
        <v>4.0000000000000001E-3</v>
      </c>
      <c r="P39" s="3">
        <v>0</v>
      </c>
      <c r="Q39" s="49"/>
      <c r="R39" s="74" t="b">
        <v>0</v>
      </c>
      <c r="S39" s="60"/>
    </row>
    <row r="40" spans="1:27" s="55" customFormat="1" x14ac:dyDescent="0.25">
      <c r="A40" s="97" t="b">
        <v>0</v>
      </c>
      <c r="B40" s="2" t="s">
        <v>37</v>
      </c>
      <c r="C40" s="3"/>
      <c r="D40" s="4" t="s">
        <v>306</v>
      </c>
      <c r="E40" s="4" t="s">
        <v>18</v>
      </c>
      <c r="F40" s="4"/>
      <c r="G40" s="4"/>
      <c r="H40" s="23" t="s">
        <v>158</v>
      </c>
      <c r="I40" s="23" t="s">
        <v>158</v>
      </c>
      <c r="J40" s="15" t="s">
        <v>163</v>
      </c>
      <c r="K40" s="2" t="s">
        <v>31</v>
      </c>
      <c r="L40" s="2" t="s">
        <v>166</v>
      </c>
      <c r="M40" s="2" t="s">
        <v>8</v>
      </c>
      <c r="N40" s="63">
        <v>1.6000000000000001E-3</v>
      </c>
      <c r="O40" s="63">
        <v>2.5999999999999999E-3</v>
      </c>
      <c r="P40" s="3">
        <v>0</v>
      </c>
      <c r="Q40" s="49"/>
      <c r="R40" s="74" t="b">
        <v>0</v>
      </c>
      <c r="S40" s="60"/>
    </row>
    <row r="41" spans="1:27" x14ac:dyDescent="0.25">
      <c r="A41" s="97" t="b">
        <v>0</v>
      </c>
      <c r="B41" s="2" t="s">
        <v>37</v>
      </c>
      <c r="C41" s="3"/>
      <c r="D41" s="4" t="s">
        <v>306</v>
      </c>
      <c r="E41" s="4" t="s">
        <v>18</v>
      </c>
      <c r="F41" s="4"/>
      <c r="G41" s="4"/>
      <c r="H41" s="23" t="s">
        <v>158</v>
      </c>
      <c r="I41" s="23" t="s">
        <v>158</v>
      </c>
      <c r="J41" s="2" t="s">
        <v>37</v>
      </c>
      <c r="K41" s="2" t="s">
        <v>31</v>
      </c>
      <c r="L41" s="2" t="s">
        <v>27</v>
      </c>
      <c r="M41" s="2" t="s">
        <v>8</v>
      </c>
      <c r="N41" s="63">
        <v>8.0000000000000004E-4</v>
      </c>
      <c r="O41" s="63">
        <v>1E-3</v>
      </c>
      <c r="P41" s="3">
        <v>0</v>
      </c>
      <c r="Q41" s="49"/>
      <c r="R41" s="74" t="b">
        <v>1</v>
      </c>
      <c r="S41" s="3"/>
      <c r="T41" s="55"/>
      <c r="U41" s="55"/>
      <c r="W41" s="2"/>
      <c r="X41" s="2"/>
      <c r="Y41" s="2"/>
    </row>
    <row r="42" spans="1:27" x14ac:dyDescent="0.25">
      <c r="A42" s="97" t="b">
        <v>0</v>
      </c>
      <c r="B42" s="2" t="s">
        <v>167</v>
      </c>
      <c r="C42" s="3"/>
      <c r="D42" s="4" t="s">
        <v>306</v>
      </c>
      <c r="E42" s="4" t="s">
        <v>18</v>
      </c>
      <c r="F42" s="4"/>
      <c r="G42" s="4"/>
      <c r="H42" s="23" t="s">
        <v>158</v>
      </c>
      <c r="I42" s="23" t="s">
        <v>158</v>
      </c>
      <c r="J42" s="2" t="s">
        <v>169</v>
      </c>
      <c r="K42" s="2" t="s">
        <v>31</v>
      </c>
      <c r="L42" s="2" t="s">
        <v>170</v>
      </c>
      <c r="M42" s="2" t="s">
        <v>8</v>
      </c>
      <c r="N42" s="63">
        <v>1E-3</v>
      </c>
      <c r="O42" s="63">
        <v>1E-3</v>
      </c>
      <c r="P42" s="3">
        <v>0</v>
      </c>
      <c r="Q42" s="49"/>
      <c r="R42" s="74" t="b">
        <v>1</v>
      </c>
      <c r="T42" s="55"/>
      <c r="U42" s="55"/>
      <c r="W42" s="23"/>
      <c r="X42" s="2"/>
      <c r="AA42" s="5"/>
    </row>
    <row r="43" spans="1:27" s="15" customFormat="1" x14ac:dyDescent="0.25">
      <c r="A43" s="97" t="b">
        <v>0</v>
      </c>
      <c r="B43" s="2" t="s">
        <v>167</v>
      </c>
      <c r="C43" s="3"/>
      <c r="D43" s="4" t="s">
        <v>306</v>
      </c>
      <c r="E43" s="4" t="s">
        <v>18</v>
      </c>
      <c r="F43" s="4"/>
      <c r="G43" s="4"/>
      <c r="H43" s="23" t="s">
        <v>158</v>
      </c>
      <c r="I43" s="23" t="s">
        <v>158</v>
      </c>
      <c r="J43" s="2" t="s">
        <v>175</v>
      </c>
      <c r="K43" s="2" t="s">
        <v>31</v>
      </c>
      <c r="L43" s="2" t="s">
        <v>172</v>
      </c>
      <c r="M43" s="2" t="s">
        <v>8</v>
      </c>
      <c r="N43" s="63">
        <v>2E-3</v>
      </c>
      <c r="O43" s="63">
        <v>2E-3</v>
      </c>
      <c r="P43" s="3">
        <v>0</v>
      </c>
      <c r="Q43" s="49"/>
      <c r="R43" s="74" t="b">
        <v>1</v>
      </c>
      <c r="T43" s="55"/>
      <c r="U43" s="55"/>
      <c r="Z43" s="2"/>
      <c r="AA43" s="5"/>
    </row>
    <row r="44" spans="1:27" s="15" customFormat="1" x14ac:dyDescent="0.25">
      <c r="A44" s="97" t="b">
        <v>0</v>
      </c>
      <c r="B44" s="2" t="s">
        <v>167</v>
      </c>
      <c r="C44" s="3"/>
      <c r="D44" s="4" t="s">
        <v>306</v>
      </c>
      <c r="E44" s="4" t="s">
        <v>18</v>
      </c>
      <c r="F44" s="4"/>
      <c r="G44" s="4"/>
      <c r="H44" s="23" t="s">
        <v>158</v>
      </c>
      <c r="I44" s="23" t="s">
        <v>158</v>
      </c>
      <c r="J44" s="2" t="s">
        <v>173</v>
      </c>
      <c r="K44" s="2" t="s">
        <v>31</v>
      </c>
      <c r="L44" s="2" t="s">
        <v>28</v>
      </c>
      <c r="M44" s="2" t="s">
        <v>8</v>
      </c>
      <c r="N44" s="63">
        <v>2E-3</v>
      </c>
      <c r="O44" s="63">
        <v>2E-3</v>
      </c>
      <c r="P44" s="3">
        <v>0</v>
      </c>
      <c r="Q44" s="49"/>
      <c r="R44" s="74" t="b">
        <v>1</v>
      </c>
      <c r="T44" s="55"/>
      <c r="U44" s="55"/>
      <c r="Z44" s="2"/>
      <c r="AA44" s="5"/>
    </row>
    <row r="45" spans="1:27" x14ac:dyDescent="0.25">
      <c r="A45" s="97" t="b">
        <v>0</v>
      </c>
      <c r="B45" s="2" t="s">
        <v>167</v>
      </c>
      <c r="C45" s="3"/>
      <c r="D45" s="4" t="s">
        <v>306</v>
      </c>
      <c r="E45" s="4" t="s">
        <v>18</v>
      </c>
      <c r="F45" s="4"/>
      <c r="G45" s="4"/>
      <c r="H45" s="23" t="s">
        <v>158</v>
      </c>
      <c r="I45" s="23" t="s">
        <v>158</v>
      </c>
      <c r="J45" s="15" t="s">
        <v>174</v>
      </c>
      <c r="K45" s="2" t="s">
        <v>31</v>
      </c>
      <c r="L45" s="2" t="s">
        <v>166</v>
      </c>
      <c r="M45" s="2" t="s">
        <v>8</v>
      </c>
      <c r="N45" s="63">
        <v>1.6000000000000001E-3</v>
      </c>
      <c r="O45" s="63">
        <v>2.5999999999999999E-3</v>
      </c>
      <c r="P45" s="3">
        <v>0</v>
      </c>
      <c r="Q45" s="49"/>
      <c r="R45" s="74" t="b">
        <v>0</v>
      </c>
      <c r="T45" s="55"/>
      <c r="U45" s="55"/>
      <c r="W45" s="2"/>
      <c r="X45" s="2"/>
      <c r="Y45" s="2"/>
    </row>
    <row r="46" spans="1:27" x14ac:dyDescent="0.25">
      <c r="A46" s="97" t="b">
        <v>0</v>
      </c>
      <c r="B46" s="2" t="s">
        <v>167</v>
      </c>
      <c r="C46" s="3"/>
      <c r="D46" s="4" t="s">
        <v>306</v>
      </c>
      <c r="E46" s="4" t="s">
        <v>18</v>
      </c>
      <c r="F46" s="4"/>
      <c r="G46" s="4"/>
      <c r="H46" s="23" t="s">
        <v>158</v>
      </c>
      <c r="I46" s="23" t="s">
        <v>158</v>
      </c>
      <c r="J46" s="2" t="s">
        <v>167</v>
      </c>
      <c r="K46" s="2" t="s">
        <v>31</v>
      </c>
      <c r="L46" s="2" t="s">
        <v>168</v>
      </c>
      <c r="M46" s="2" t="s">
        <v>8</v>
      </c>
      <c r="N46" s="63">
        <v>1E-3</v>
      </c>
      <c r="O46" s="63">
        <v>1E-3</v>
      </c>
      <c r="P46" s="3">
        <v>0</v>
      </c>
      <c r="Q46" s="49"/>
      <c r="R46" s="74" t="b">
        <v>1</v>
      </c>
      <c r="T46" s="55"/>
      <c r="U46" s="55"/>
      <c r="W46" s="2"/>
      <c r="X46" s="2"/>
      <c r="Y46" s="2"/>
    </row>
    <row r="47" spans="1:27" x14ac:dyDescent="0.25">
      <c r="A47" s="97" t="b">
        <v>0</v>
      </c>
      <c r="B47" s="55" t="s">
        <v>167</v>
      </c>
      <c r="C47" s="3"/>
      <c r="D47" s="4" t="s">
        <v>306</v>
      </c>
      <c r="E47" s="4" t="s">
        <v>18</v>
      </c>
      <c r="F47" s="4"/>
      <c r="G47" s="4"/>
      <c r="H47" s="57" t="s">
        <v>158</v>
      </c>
      <c r="I47" s="57" t="s">
        <v>158</v>
      </c>
      <c r="J47" s="56" t="s">
        <v>169</v>
      </c>
      <c r="K47" s="55" t="s">
        <v>31</v>
      </c>
      <c r="L47" s="55" t="s">
        <v>171</v>
      </c>
      <c r="M47" s="58" t="s">
        <v>8</v>
      </c>
      <c r="N47" s="59">
        <v>0</v>
      </c>
      <c r="O47" s="59">
        <v>0</v>
      </c>
      <c r="P47" s="60">
        <v>0</v>
      </c>
      <c r="Q47" s="61"/>
      <c r="R47" s="74" t="b">
        <v>1</v>
      </c>
      <c r="T47" s="55"/>
      <c r="U47" s="55"/>
      <c r="W47" s="2"/>
      <c r="X47" s="2"/>
      <c r="Y47" s="2"/>
    </row>
    <row r="48" spans="1:27" x14ac:dyDescent="0.25">
      <c r="A48" s="97" t="b">
        <v>0</v>
      </c>
      <c r="B48" s="2" t="s">
        <v>72</v>
      </c>
      <c r="C48" s="3"/>
      <c r="D48" s="4" t="s">
        <v>306</v>
      </c>
      <c r="E48" s="4" t="s">
        <v>18</v>
      </c>
      <c r="F48" s="4"/>
      <c r="G48" s="4"/>
      <c r="H48" s="23" t="s">
        <v>158</v>
      </c>
      <c r="I48" s="23" t="s">
        <v>158</v>
      </c>
      <c r="J48" s="2" t="s">
        <v>161</v>
      </c>
      <c r="K48" s="2" t="s">
        <v>31</v>
      </c>
      <c r="L48" s="2" t="s">
        <v>170</v>
      </c>
      <c r="M48" s="2" t="s">
        <v>8</v>
      </c>
      <c r="N48" s="63">
        <v>1E-3</v>
      </c>
      <c r="O48" s="63">
        <v>1E-3</v>
      </c>
      <c r="P48" s="3">
        <v>0</v>
      </c>
      <c r="Q48" s="49"/>
      <c r="R48" s="74" t="b">
        <v>1</v>
      </c>
      <c r="T48" s="55"/>
      <c r="U48" s="55"/>
      <c r="W48" s="2"/>
      <c r="X48" s="2"/>
      <c r="Y48" s="2"/>
    </row>
    <row r="49" spans="1:27" s="15" customFormat="1" x14ac:dyDescent="0.25">
      <c r="A49" s="97" t="b">
        <v>0</v>
      </c>
      <c r="B49" s="2" t="s">
        <v>72</v>
      </c>
      <c r="C49" s="3"/>
      <c r="D49" s="4" t="s">
        <v>306</v>
      </c>
      <c r="E49" s="4" t="s">
        <v>18</v>
      </c>
      <c r="F49" s="4"/>
      <c r="G49" s="4"/>
      <c r="H49" s="23" t="s">
        <v>158</v>
      </c>
      <c r="I49" s="23" t="s">
        <v>158</v>
      </c>
      <c r="J49" s="2" t="s">
        <v>161</v>
      </c>
      <c r="K49" s="2" t="s">
        <v>31</v>
      </c>
      <c r="L49" s="2" t="s">
        <v>181</v>
      </c>
      <c r="M49" s="2" t="s">
        <v>8</v>
      </c>
      <c r="N49" s="63">
        <v>1E-3</v>
      </c>
      <c r="O49" s="63">
        <v>1E-3</v>
      </c>
      <c r="P49" s="3">
        <v>0</v>
      </c>
      <c r="Q49" s="49"/>
      <c r="R49" s="74" t="b">
        <v>0</v>
      </c>
      <c r="T49" s="55"/>
      <c r="U49" s="55"/>
      <c r="Z49" s="2"/>
      <c r="AA49" s="5"/>
    </row>
    <row r="50" spans="1:27" s="15" customFormat="1" x14ac:dyDescent="0.25">
      <c r="A50" s="97" t="b">
        <v>0</v>
      </c>
      <c r="B50" s="2" t="s">
        <v>72</v>
      </c>
      <c r="C50" s="3"/>
      <c r="D50" s="4" t="s">
        <v>306</v>
      </c>
      <c r="E50" s="4" t="s">
        <v>18</v>
      </c>
      <c r="F50" s="4"/>
      <c r="G50" s="4"/>
      <c r="H50" s="23" t="s">
        <v>158</v>
      </c>
      <c r="I50" s="23" t="s">
        <v>158</v>
      </c>
      <c r="J50" s="2" t="s">
        <v>161</v>
      </c>
      <c r="K50" s="2" t="s">
        <v>31</v>
      </c>
      <c r="L50" s="2" t="s">
        <v>25</v>
      </c>
      <c r="M50" s="2" t="s">
        <v>8</v>
      </c>
      <c r="N50" s="63">
        <v>1E-3</v>
      </c>
      <c r="O50" s="63">
        <v>1E-3</v>
      </c>
      <c r="P50" s="3">
        <v>0</v>
      </c>
      <c r="Q50" s="49"/>
      <c r="R50" s="74" t="b">
        <v>1</v>
      </c>
      <c r="T50" s="55"/>
      <c r="U50" s="55"/>
      <c r="Z50" s="2"/>
      <c r="AA50" s="5"/>
    </row>
    <row r="51" spans="1:27" s="15" customFormat="1" x14ac:dyDescent="0.25">
      <c r="A51" s="97" t="b">
        <v>0</v>
      </c>
      <c r="B51" s="2" t="s">
        <v>72</v>
      </c>
      <c r="C51" s="3"/>
      <c r="D51" s="4" t="s">
        <v>306</v>
      </c>
      <c r="E51" s="4" t="s">
        <v>18</v>
      </c>
      <c r="F51" s="4"/>
      <c r="G51" s="4"/>
      <c r="H51" s="23" t="s">
        <v>158</v>
      </c>
      <c r="I51" s="23" t="s">
        <v>158</v>
      </c>
      <c r="J51" s="2" t="s">
        <v>145</v>
      </c>
      <c r="K51" s="2" t="s">
        <v>31</v>
      </c>
      <c r="L51" s="2" t="s">
        <v>22</v>
      </c>
      <c r="M51" s="2" t="s">
        <v>8</v>
      </c>
      <c r="N51" s="62">
        <v>1E-3</v>
      </c>
      <c r="O51" s="62">
        <v>1E-3</v>
      </c>
      <c r="P51" s="3">
        <v>0</v>
      </c>
      <c r="Q51" s="49"/>
      <c r="R51" s="74" t="b">
        <v>1</v>
      </c>
      <c r="T51" s="55"/>
      <c r="U51" s="55"/>
      <c r="Z51" s="2"/>
      <c r="AA51" s="5"/>
    </row>
    <row r="52" spans="1:27" s="14" customFormat="1" x14ac:dyDescent="0.25">
      <c r="A52" s="97" t="b">
        <v>0</v>
      </c>
      <c r="B52" s="2" t="s">
        <v>72</v>
      </c>
      <c r="C52" s="3"/>
      <c r="D52" s="4" t="s">
        <v>306</v>
      </c>
      <c r="E52" s="4" t="s">
        <v>18</v>
      </c>
      <c r="F52" s="4"/>
      <c r="G52" s="4"/>
      <c r="H52" s="23" t="s">
        <v>158</v>
      </c>
      <c r="I52" s="23" t="s">
        <v>158</v>
      </c>
      <c r="J52" s="2" t="s">
        <v>145</v>
      </c>
      <c r="K52" s="2" t="s">
        <v>31</v>
      </c>
      <c r="L52" s="2" t="s">
        <v>172</v>
      </c>
      <c r="M52" s="2" t="s">
        <v>8</v>
      </c>
      <c r="N52" s="63">
        <v>2E-3</v>
      </c>
      <c r="O52" s="63">
        <v>2E-3</v>
      </c>
      <c r="P52" s="3">
        <v>0</v>
      </c>
      <c r="Q52" s="49"/>
      <c r="R52" s="74" t="b">
        <v>1</v>
      </c>
      <c r="T52" s="55"/>
      <c r="U52" s="55"/>
      <c r="Z52" s="2"/>
      <c r="AA52" s="3"/>
    </row>
    <row r="53" spans="1:27" s="14" customFormat="1" x14ac:dyDescent="0.25">
      <c r="A53" s="97" t="b">
        <v>0</v>
      </c>
      <c r="B53" s="2" t="s">
        <v>72</v>
      </c>
      <c r="C53" s="3"/>
      <c r="D53" s="4" t="s">
        <v>306</v>
      </c>
      <c r="E53" s="4" t="s">
        <v>18</v>
      </c>
      <c r="F53" s="4"/>
      <c r="G53" s="4"/>
      <c r="H53" s="23" t="s">
        <v>158</v>
      </c>
      <c r="I53" s="23" t="s">
        <v>158</v>
      </c>
      <c r="J53" s="2" t="s">
        <v>160</v>
      </c>
      <c r="K53" s="2" t="s">
        <v>31</v>
      </c>
      <c r="L53" s="2" t="s">
        <v>19</v>
      </c>
      <c r="M53" s="2" t="s">
        <v>8</v>
      </c>
      <c r="N53" s="63">
        <v>2E-3</v>
      </c>
      <c r="O53" s="63">
        <v>4.0000000000000001E-3</v>
      </c>
      <c r="P53" s="3">
        <v>0</v>
      </c>
      <c r="Q53" s="49"/>
      <c r="R53" s="74" t="b">
        <v>0</v>
      </c>
      <c r="T53" s="55"/>
      <c r="U53" s="55"/>
      <c r="Z53" s="2"/>
      <c r="AA53" s="3"/>
    </row>
    <row r="54" spans="1:27" s="14" customFormat="1" x14ac:dyDescent="0.25">
      <c r="A54" s="97" t="b">
        <v>0</v>
      </c>
      <c r="B54" s="2" t="s">
        <v>72</v>
      </c>
      <c r="C54" s="3"/>
      <c r="D54" s="4" t="s">
        <v>306</v>
      </c>
      <c r="E54" s="4" t="s">
        <v>18</v>
      </c>
      <c r="F54" s="4"/>
      <c r="G54" s="4"/>
      <c r="H54" s="23" t="s">
        <v>158</v>
      </c>
      <c r="I54" s="23" t="s">
        <v>158</v>
      </c>
      <c r="J54" s="2" t="s">
        <v>160</v>
      </c>
      <c r="K54" s="2" t="s">
        <v>31</v>
      </c>
      <c r="L54" s="2" t="s">
        <v>28</v>
      </c>
      <c r="M54" s="2" t="s">
        <v>8</v>
      </c>
      <c r="N54" s="63">
        <v>2E-3</v>
      </c>
      <c r="O54" s="63">
        <v>2E-3</v>
      </c>
      <c r="P54" s="3">
        <v>0</v>
      </c>
      <c r="Q54" s="49"/>
      <c r="R54" s="74" t="b">
        <v>1</v>
      </c>
      <c r="S54" s="3"/>
      <c r="Z54" s="2"/>
      <c r="AA54" s="3"/>
    </row>
    <row r="55" spans="1:27" s="15" customFormat="1" x14ac:dyDescent="0.25">
      <c r="A55" s="97" t="b">
        <v>0</v>
      </c>
      <c r="B55" s="2" t="s">
        <v>72</v>
      </c>
      <c r="C55" s="3"/>
      <c r="D55" s="4" t="s">
        <v>306</v>
      </c>
      <c r="E55" s="4" t="s">
        <v>18</v>
      </c>
      <c r="F55" s="4"/>
      <c r="G55" s="4"/>
      <c r="H55" s="23" t="s">
        <v>158</v>
      </c>
      <c r="I55" s="23" t="s">
        <v>158</v>
      </c>
      <c r="J55" s="15" t="s">
        <v>164</v>
      </c>
      <c r="K55" s="2" t="s">
        <v>31</v>
      </c>
      <c r="L55" s="2" t="s">
        <v>166</v>
      </c>
      <c r="M55" s="2" t="s">
        <v>8</v>
      </c>
      <c r="N55" s="63">
        <v>1.6000000000000001E-3</v>
      </c>
      <c r="O55" s="63">
        <v>2.5999999999999999E-3</v>
      </c>
      <c r="P55" s="3">
        <v>0</v>
      </c>
      <c r="Q55" s="49"/>
      <c r="R55" s="74" t="b">
        <v>0</v>
      </c>
      <c r="S55" s="3"/>
      <c r="Z55" s="2"/>
      <c r="AA55" s="5"/>
    </row>
    <row r="56" spans="1:27" s="15" customFormat="1" x14ac:dyDescent="0.25">
      <c r="A56" s="97" t="b">
        <v>0</v>
      </c>
      <c r="B56" s="2" t="s">
        <v>72</v>
      </c>
      <c r="C56" s="3"/>
      <c r="D56" s="4" t="s">
        <v>306</v>
      </c>
      <c r="E56" s="4" t="s">
        <v>18</v>
      </c>
      <c r="F56" s="4"/>
      <c r="G56" s="4"/>
      <c r="H56" s="23" t="s">
        <v>158</v>
      </c>
      <c r="I56" s="23" t="s">
        <v>158</v>
      </c>
      <c r="J56" s="2" t="s">
        <v>72</v>
      </c>
      <c r="K56" s="2" t="s">
        <v>31</v>
      </c>
      <c r="L56" s="2" t="s">
        <v>168</v>
      </c>
      <c r="M56" s="2" t="s">
        <v>8</v>
      </c>
      <c r="N56" s="63">
        <v>1E-3</v>
      </c>
      <c r="O56" s="63">
        <v>1E-3</v>
      </c>
      <c r="P56" s="3">
        <v>0</v>
      </c>
      <c r="Q56" s="49"/>
      <c r="R56" s="74" t="b">
        <v>1</v>
      </c>
      <c r="S56" s="3"/>
      <c r="Z56" s="2"/>
      <c r="AA56" s="5"/>
    </row>
    <row r="57" spans="1:27" s="67" customFormat="1" x14ac:dyDescent="0.25">
      <c r="A57" s="97" t="b">
        <v>0</v>
      </c>
      <c r="B57" s="55" t="s">
        <v>72</v>
      </c>
      <c r="C57" s="3"/>
      <c r="D57" s="4" t="s">
        <v>306</v>
      </c>
      <c r="E57" s="4" t="s">
        <v>18</v>
      </c>
      <c r="F57" s="4"/>
      <c r="G57" s="4"/>
      <c r="H57" s="57" t="s">
        <v>158</v>
      </c>
      <c r="I57" s="57" t="s">
        <v>158</v>
      </c>
      <c r="J57" s="56" t="s">
        <v>161</v>
      </c>
      <c r="K57" s="55" t="s">
        <v>31</v>
      </c>
      <c r="L57" s="55" t="s">
        <v>171</v>
      </c>
      <c r="M57" s="58" t="s">
        <v>8</v>
      </c>
      <c r="N57" s="59">
        <v>0</v>
      </c>
      <c r="O57" s="59">
        <v>0</v>
      </c>
      <c r="P57" s="60">
        <v>0</v>
      </c>
      <c r="Q57" s="61"/>
      <c r="R57" s="74" t="b">
        <v>1</v>
      </c>
      <c r="S57" s="68"/>
      <c r="AA57" s="71"/>
    </row>
    <row r="58" spans="1:27" s="67" customFormat="1" x14ac:dyDescent="0.25">
      <c r="A58" s="97" t="b">
        <v>0</v>
      </c>
      <c r="B58" s="2" t="s">
        <v>72</v>
      </c>
      <c r="C58" s="3"/>
      <c r="D58" s="4" t="s">
        <v>306</v>
      </c>
      <c r="E58" s="4" t="s">
        <v>18</v>
      </c>
      <c r="F58" s="4"/>
      <c r="G58" s="4"/>
      <c r="H58" s="23" t="s">
        <v>158</v>
      </c>
      <c r="I58" s="23" t="s">
        <v>158</v>
      </c>
      <c r="J58" s="2" t="s">
        <v>72</v>
      </c>
      <c r="K58" s="2" t="s">
        <v>31</v>
      </c>
      <c r="L58" s="2" t="s">
        <v>27</v>
      </c>
      <c r="M58" s="2" t="s">
        <v>8</v>
      </c>
      <c r="N58" s="63">
        <v>8.0000000000000004E-4</v>
      </c>
      <c r="O58" s="63">
        <v>1E-3</v>
      </c>
      <c r="P58" s="3">
        <v>0</v>
      </c>
      <c r="Q58" s="49"/>
      <c r="R58" s="74" t="b">
        <v>1</v>
      </c>
      <c r="S58" s="68"/>
      <c r="AA58" s="71"/>
    </row>
    <row r="59" spans="1:27" s="67" customFormat="1" x14ac:dyDescent="0.25">
      <c r="A59" s="97" t="b">
        <v>0</v>
      </c>
      <c r="B59" s="2" t="s">
        <v>72</v>
      </c>
      <c r="C59" s="3"/>
      <c r="D59" s="4" t="s">
        <v>306</v>
      </c>
      <c r="E59" s="4" t="s">
        <v>18</v>
      </c>
      <c r="F59" s="4"/>
      <c r="G59" s="4"/>
      <c r="H59" s="23" t="s">
        <v>158</v>
      </c>
      <c r="I59" s="23" t="s">
        <v>158</v>
      </c>
      <c r="J59" s="2" t="s">
        <v>177</v>
      </c>
      <c r="K59" s="2" t="s">
        <v>31</v>
      </c>
      <c r="L59" s="2" t="s">
        <v>143</v>
      </c>
      <c r="M59" s="2" t="s">
        <v>8</v>
      </c>
      <c r="N59" s="63">
        <v>1E-3</v>
      </c>
      <c r="O59" s="63">
        <v>1E-3</v>
      </c>
      <c r="P59" s="3">
        <v>0</v>
      </c>
      <c r="Q59" s="49"/>
      <c r="R59" s="74" t="b">
        <v>1</v>
      </c>
      <c r="S59" s="68"/>
      <c r="AA59" s="68"/>
    </row>
    <row r="60" spans="1:27" s="67" customFormat="1" x14ac:dyDescent="0.25">
      <c r="A60" s="97" t="b">
        <v>0</v>
      </c>
      <c r="B60" s="2" t="s">
        <v>39</v>
      </c>
      <c r="C60" s="3"/>
      <c r="D60" s="4" t="s">
        <v>306</v>
      </c>
      <c r="E60" s="4" t="s">
        <v>18</v>
      </c>
      <c r="F60" s="4"/>
      <c r="G60" s="4"/>
      <c r="H60" s="23" t="s">
        <v>158</v>
      </c>
      <c r="I60" s="23" t="s">
        <v>158</v>
      </c>
      <c r="J60" s="2" t="s">
        <v>36</v>
      </c>
      <c r="K60" s="2" t="s">
        <v>31</v>
      </c>
      <c r="L60" s="2" t="s">
        <v>170</v>
      </c>
      <c r="M60" s="2" t="s">
        <v>8</v>
      </c>
      <c r="N60" s="63">
        <v>1E-3</v>
      </c>
      <c r="O60" s="63">
        <v>1E-3</v>
      </c>
      <c r="P60" s="3">
        <v>0</v>
      </c>
      <c r="Q60" s="49"/>
      <c r="R60" s="74" t="b">
        <v>1</v>
      </c>
      <c r="S60" s="68"/>
      <c r="AA60" s="68"/>
    </row>
    <row r="61" spans="1:27" s="67" customFormat="1" x14ac:dyDescent="0.25">
      <c r="A61" s="97" t="b">
        <v>0</v>
      </c>
      <c r="B61" s="2" t="s">
        <v>39</v>
      </c>
      <c r="C61" s="3"/>
      <c r="D61" s="4" t="s">
        <v>306</v>
      </c>
      <c r="E61" s="4" t="s">
        <v>18</v>
      </c>
      <c r="F61" s="4"/>
      <c r="G61" s="4"/>
      <c r="H61" s="23" t="s">
        <v>158</v>
      </c>
      <c r="I61" s="23" t="s">
        <v>158</v>
      </c>
      <c r="J61" s="2" t="s">
        <v>36</v>
      </c>
      <c r="K61" s="2" t="s">
        <v>31</v>
      </c>
      <c r="L61" s="2" t="s">
        <v>181</v>
      </c>
      <c r="M61" s="2" t="s">
        <v>8</v>
      </c>
      <c r="N61" s="63">
        <v>1E-3</v>
      </c>
      <c r="O61" s="63">
        <v>1E-3</v>
      </c>
      <c r="P61" s="3">
        <v>0</v>
      </c>
      <c r="Q61" s="49"/>
      <c r="R61" s="74" t="b">
        <v>0</v>
      </c>
      <c r="S61" s="68"/>
      <c r="AA61" s="68"/>
    </row>
    <row r="62" spans="1:27" s="67" customFormat="1" x14ac:dyDescent="0.25">
      <c r="A62" s="97" t="b">
        <v>0</v>
      </c>
      <c r="B62" s="2" t="s">
        <v>39</v>
      </c>
      <c r="C62" s="3"/>
      <c r="D62" s="4" t="s">
        <v>306</v>
      </c>
      <c r="E62" s="4" t="s">
        <v>18</v>
      </c>
      <c r="F62" s="4"/>
      <c r="G62" s="4"/>
      <c r="H62" s="3" t="s">
        <v>32</v>
      </c>
      <c r="I62" s="3" t="s">
        <v>18</v>
      </c>
      <c r="J62" s="2" t="s">
        <v>178</v>
      </c>
      <c r="K62" s="2" t="s">
        <v>31</v>
      </c>
      <c r="L62" s="2" t="s">
        <v>29</v>
      </c>
      <c r="M62" s="2" t="s">
        <v>8</v>
      </c>
      <c r="N62" s="63">
        <v>1E-3</v>
      </c>
      <c r="O62" s="63">
        <v>2E-3</v>
      </c>
      <c r="P62" s="3">
        <v>0</v>
      </c>
      <c r="Q62" s="49"/>
      <c r="R62" s="74" t="b">
        <v>1</v>
      </c>
      <c r="S62" s="68"/>
      <c r="AA62" s="71"/>
    </row>
    <row r="63" spans="1:27" s="67" customFormat="1" x14ac:dyDescent="0.25">
      <c r="A63" s="97" t="b">
        <v>0</v>
      </c>
      <c r="B63" s="2" t="s">
        <v>39</v>
      </c>
      <c r="C63" s="3"/>
      <c r="D63" s="4" t="s">
        <v>306</v>
      </c>
      <c r="E63" s="4" t="s">
        <v>18</v>
      </c>
      <c r="F63" s="4"/>
      <c r="G63" s="4"/>
      <c r="H63" s="23" t="s">
        <v>158</v>
      </c>
      <c r="I63" s="23" t="s">
        <v>158</v>
      </c>
      <c r="J63" s="2" t="s">
        <v>36</v>
      </c>
      <c r="K63" s="2" t="s">
        <v>31</v>
      </c>
      <c r="L63" s="2" t="s">
        <v>25</v>
      </c>
      <c r="M63" s="2" t="s">
        <v>8</v>
      </c>
      <c r="N63" s="63">
        <v>1E-3</v>
      </c>
      <c r="O63" s="63">
        <v>1E-3</v>
      </c>
      <c r="P63" s="3">
        <v>0</v>
      </c>
      <c r="Q63" s="49"/>
      <c r="R63" s="74" t="b">
        <v>1</v>
      </c>
      <c r="S63" s="68"/>
      <c r="AA63" s="71"/>
    </row>
    <row r="64" spans="1:27" s="15" customFormat="1" x14ac:dyDescent="0.25">
      <c r="A64" s="97" t="b">
        <v>0</v>
      </c>
      <c r="B64" s="2" t="s">
        <v>39</v>
      </c>
      <c r="C64" s="3"/>
      <c r="D64" s="4" t="s">
        <v>306</v>
      </c>
      <c r="E64" s="4" t="s">
        <v>18</v>
      </c>
      <c r="F64" s="4"/>
      <c r="G64" s="4"/>
      <c r="H64" s="23" t="s">
        <v>158</v>
      </c>
      <c r="I64" s="23" t="s">
        <v>158</v>
      </c>
      <c r="J64" s="2" t="s">
        <v>39</v>
      </c>
      <c r="K64" s="2" t="s">
        <v>31</v>
      </c>
      <c r="L64" s="2" t="s">
        <v>6</v>
      </c>
      <c r="M64" s="2" t="s">
        <v>8</v>
      </c>
      <c r="N64" s="63">
        <v>4.0000000000000001E-3</v>
      </c>
      <c r="O64" s="63">
        <v>6.0000000000000001E-3</v>
      </c>
      <c r="P64" s="3">
        <v>0</v>
      </c>
      <c r="Q64" s="49"/>
      <c r="R64" s="74" t="b">
        <v>0</v>
      </c>
      <c r="S64" s="3"/>
      <c r="Z64" s="2"/>
    </row>
    <row r="65" spans="1:26" s="15" customFormat="1" x14ac:dyDescent="0.25">
      <c r="A65" s="97" t="b">
        <v>0</v>
      </c>
      <c r="B65" s="2" t="s">
        <v>39</v>
      </c>
      <c r="C65" s="3"/>
      <c r="D65" s="4" t="s">
        <v>306</v>
      </c>
      <c r="E65" s="4" t="s">
        <v>18</v>
      </c>
      <c r="F65" s="4"/>
      <c r="G65" s="4"/>
      <c r="H65" s="23" t="s">
        <v>158</v>
      </c>
      <c r="I65" s="23" t="s">
        <v>158</v>
      </c>
      <c r="J65" s="2" t="s">
        <v>146</v>
      </c>
      <c r="K65" s="2" t="s">
        <v>31</v>
      </c>
      <c r="L65" s="2" t="s">
        <v>22</v>
      </c>
      <c r="M65" s="2" t="s">
        <v>8</v>
      </c>
      <c r="N65" s="62">
        <v>1E-3</v>
      </c>
      <c r="O65" s="62">
        <v>1E-3</v>
      </c>
      <c r="P65" s="3">
        <v>0</v>
      </c>
      <c r="Q65" s="49"/>
      <c r="R65" s="74" t="b">
        <v>1</v>
      </c>
      <c r="S65" s="3"/>
      <c r="Z65" s="2"/>
    </row>
    <row r="66" spans="1:26" s="15" customFormat="1" x14ac:dyDescent="0.25">
      <c r="A66" s="97" t="b">
        <v>0</v>
      </c>
      <c r="B66" s="2" t="s">
        <v>39</v>
      </c>
      <c r="C66" s="3"/>
      <c r="D66" s="4" t="s">
        <v>306</v>
      </c>
      <c r="E66" s="4" t="s">
        <v>18</v>
      </c>
      <c r="F66" s="4"/>
      <c r="G66" s="4"/>
      <c r="H66" s="23" t="s">
        <v>158</v>
      </c>
      <c r="I66" s="23" t="s">
        <v>158</v>
      </c>
      <c r="J66" s="2" t="s">
        <v>146</v>
      </c>
      <c r="K66" s="2" t="s">
        <v>31</v>
      </c>
      <c r="L66" s="2" t="s">
        <v>172</v>
      </c>
      <c r="M66" s="2" t="s">
        <v>8</v>
      </c>
      <c r="N66" s="63">
        <v>2E-3</v>
      </c>
      <c r="O66" s="63">
        <v>2E-3</v>
      </c>
      <c r="P66" s="3">
        <v>0</v>
      </c>
      <c r="Q66" s="49"/>
      <c r="R66" s="74" t="b">
        <v>1</v>
      </c>
      <c r="S66" s="3"/>
      <c r="Z66" s="2"/>
    </row>
    <row r="67" spans="1:26" s="15" customFormat="1" x14ac:dyDescent="0.25">
      <c r="A67" s="97" t="b">
        <v>0</v>
      </c>
      <c r="B67" s="2" t="s">
        <v>39</v>
      </c>
      <c r="C67" s="3"/>
      <c r="D67" s="4" t="s">
        <v>306</v>
      </c>
      <c r="E67" s="4" t="s">
        <v>18</v>
      </c>
      <c r="F67" s="4"/>
      <c r="G67" s="4"/>
      <c r="H67" s="23" t="s">
        <v>158</v>
      </c>
      <c r="I67" s="23" t="s">
        <v>158</v>
      </c>
      <c r="J67" s="2" t="s">
        <v>34</v>
      </c>
      <c r="K67" s="2" t="s">
        <v>31</v>
      </c>
      <c r="L67" s="2" t="s">
        <v>19</v>
      </c>
      <c r="M67" s="2" t="s">
        <v>8</v>
      </c>
      <c r="N67" s="63">
        <v>2E-3</v>
      </c>
      <c r="O67" s="63">
        <v>4.0000000000000001E-3</v>
      </c>
      <c r="P67" s="3">
        <v>0</v>
      </c>
      <c r="Q67" s="49"/>
      <c r="R67" s="74" t="b">
        <v>0</v>
      </c>
      <c r="S67" s="3"/>
      <c r="Z67" s="2"/>
    </row>
    <row r="68" spans="1:26" s="15" customFormat="1" x14ac:dyDescent="0.25">
      <c r="A68" s="97" t="b">
        <v>0</v>
      </c>
      <c r="B68" s="2" t="s">
        <v>39</v>
      </c>
      <c r="C68" s="3"/>
      <c r="D68" s="4" t="s">
        <v>306</v>
      </c>
      <c r="E68" s="4" t="s">
        <v>18</v>
      </c>
      <c r="F68" s="4"/>
      <c r="G68" s="4"/>
      <c r="H68" s="23" t="s">
        <v>158</v>
      </c>
      <c r="I68" s="23" t="s">
        <v>158</v>
      </c>
      <c r="J68" s="2" t="s">
        <v>34</v>
      </c>
      <c r="K68" s="2" t="s">
        <v>31</v>
      </c>
      <c r="L68" s="2" t="s">
        <v>28</v>
      </c>
      <c r="M68" s="2" t="s">
        <v>8</v>
      </c>
      <c r="N68" s="63">
        <v>2E-3</v>
      </c>
      <c r="O68" s="63">
        <v>2E-3</v>
      </c>
      <c r="P68" s="3">
        <v>0</v>
      </c>
      <c r="Q68" s="49"/>
      <c r="R68" s="74" t="b">
        <v>1</v>
      </c>
      <c r="S68" s="3"/>
      <c r="Z68" s="2"/>
    </row>
    <row r="69" spans="1:26" s="15" customFormat="1" x14ac:dyDescent="0.25">
      <c r="A69" s="97" t="b">
        <v>0</v>
      </c>
      <c r="B69" s="2" t="s">
        <v>39</v>
      </c>
      <c r="C69" s="3"/>
      <c r="D69" s="4" t="s">
        <v>306</v>
      </c>
      <c r="E69" s="4" t="s">
        <v>18</v>
      </c>
      <c r="F69" s="4"/>
      <c r="G69" s="4"/>
      <c r="H69" s="23" t="s">
        <v>158</v>
      </c>
      <c r="I69" s="23" t="s">
        <v>158</v>
      </c>
      <c r="J69" s="15" t="s">
        <v>165</v>
      </c>
      <c r="K69" s="2" t="s">
        <v>31</v>
      </c>
      <c r="L69" s="2" t="s">
        <v>166</v>
      </c>
      <c r="M69" s="2" t="s">
        <v>8</v>
      </c>
      <c r="N69" s="63">
        <v>1.6000000000000001E-3</v>
      </c>
      <c r="O69" s="63">
        <v>2.5999999999999999E-3</v>
      </c>
      <c r="P69" s="3">
        <v>0</v>
      </c>
      <c r="Q69" s="49"/>
      <c r="R69" s="74" t="b">
        <v>0</v>
      </c>
      <c r="S69" s="3"/>
      <c r="Z69" s="2"/>
    </row>
    <row r="70" spans="1:26" s="15" customFormat="1" x14ac:dyDescent="0.25">
      <c r="A70" s="97" t="b">
        <v>0</v>
      </c>
      <c r="B70" s="2" t="s">
        <v>39</v>
      </c>
      <c r="C70" s="3"/>
      <c r="D70" s="4" t="s">
        <v>306</v>
      </c>
      <c r="E70" s="4" t="s">
        <v>18</v>
      </c>
      <c r="F70" s="4"/>
      <c r="G70" s="4"/>
      <c r="H70" s="23" t="s">
        <v>158</v>
      </c>
      <c r="I70" s="23" t="s">
        <v>158</v>
      </c>
      <c r="J70" s="2" t="s">
        <v>39</v>
      </c>
      <c r="K70" s="2" t="s">
        <v>31</v>
      </c>
      <c r="L70" s="2" t="s">
        <v>168</v>
      </c>
      <c r="M70" s="2" t="s">
        <v>8</v>
      </c>
      <c r="N70" s="63">
        <v>1E-3</v>
      </c>
      <c r="O70" s="63">
        <v>1E-3</v>
      </c>
      <c r="P70" s="3">
        <v>0</v>
      </c>
      <c r="Q70" s="49"/>
      <c r="R70" s="74" t="b">
        <v>1</v>
      </c>
      <c r="S70" s="3"/>
      <c r="Z70" s="2"/>
    </row>
    <row r="71" spans="1:26" s="15" customFormat="1" x14ac:dyDescent="0.25">
      <c r="A71" s="97" t="b">
        <v>0</v>
      </c>
      <c r="B71" s="55" t="s">
        <v>39</v>
      </c>
      <c r="C71" s="3"/>
      <c r="D71" s="4" t="s">
        <v>306</v>
      </c>
      <c r="E71" s="4" t="s">
        <v>18</v>
      </c>
      <c r="F71" s="4"/>
      <c r="G71" s="4"/>
      <c r="H71" s="57" t="s">
        <v>158</v>
      </c>
      <c r="I71" s="57" t="s">
        <v>158</v>
      </c>
      <c r="J71" s="56" t="s">
        <v>36</v>
      </c>
      <c r="K71" s="55" t="s">
        <v>31</v>
      </c>
      <c r="L71" s="55" t="s">
        <v>171</v>
      </c>
      <c r="M71" s="58" t="s">
        <v>8</v>
      </c>
      <c r="N71" s="59">
        <v>0</v>
      </c>
      <c r="O71" s="59">
        <v>0</v>
      </c>
      <c r="P71" s="60">
        <v>0</v>
      </c>
      <c r="Q71" s="61"/>
      <c r="R71" s="74" t="b">
        <v>1</v>
      </c>
      <c r="S71" s="3"/>
      <c r="Z71" s="2"/>
    </row>
    <row r="72" spans="1:26" s="15" customFormat="1" x14ac:dyDescent="0.25">
      <c r="A72" s="97" t="b">
        <v>0</v>
      </c>
      <c r="B72" s="2" t="s">
        <v>39</v>
      </c>
      <c r="C72" s="3"/>
      <c r="D72" s="4" t="s">
        <v>306</v>
      </c>
      <c r="E72" s="4" t="s">
        <v>18</v>
      </c>
      <c r="F72" s="4"/>
      <c r="G72" s="4"/>
      <c r="H72" s="23" t="s">
        <v>158</v>
      </c>
      <c r="I72" s="23" t="s">
        <v>158</v>
      </c>
      <c r="J72" s="2" t="s">
        <v>39</v>
      </c>
      <c r="K72" s="2" t="s">
        <v>31</v>
      </c>
      <c r="L72" s="2" t="s">
        <v>27</v>
      </c>
      <c r="M72" s="2" t="s">
        <v>8</v>
      </c>
      <c r="N72" s="63">
        <v>8.0000000000000004E-4</v>
      </c>
      <c r="O72" s="63">
        <v>1E-3</v>
      </c>
      <c r="P72" s="3">
        <v>0</v>
      </c>
      <c r="Q72" s="49"/>
      <c r="R72" s="74" t="b">
        <v>1</v>
      </c>
      <c r="S72" s="3"/>
      <c r="Z72" s="2"/>
    </row>
    <row r="73" spans="1:26" s="15" customFormat="1" x14ac:dyDescent="0.25">
      <c r="A73" s="97" t="b">
        <v>0</v>
      </c>
      <c r="B73" s="2" t="s">
        <v>39</v>
      </c>
      <c r="C73" s="3"/>
      <c r="D73" s="4" t="s">
        <v>306</v>
      </c>
      <c r="E73" s="4" t="s">
        <v>18</v>
      </c>
      <c r="F73" s="4"/>
      <c r="G73" s="4"/>
      <c r="H73" s="23" t="s">
        <v>158</v>
      </c>
      <c r="I73" s="23" t="s">
        <v>158</v>
      </c>
      <c r="J73" s="2" t="s">
        <v>176</v>
      </c>
      <c r="K73" s="2" t="s">
        <v>31</v>
      </c>
      <c r="L73" s="2" t="s">
        <v>143</v>
      </c>
      <c r="M73" s="2" t="s">
        <v>8</v>
      </c>
      <c r="N73" s="63">
        <v>1E-3</v>
      </c>
      <c r="O73" s="63">
        <v>1E-3</v>
      </c>
      <c r="P73" s="3">
        <v>0</v>
      </c>
      <c r="Q73" s="49"/>
      <c r="R73" s="74" t="b">
        <v>1</v>
      </c>
      <c r="S73" s="3"/>
      <c r="Z73" s="2"/>
    </row>
  </sheetData>
  <phoneticPr fontId="3" type="noConversion"/>
  <conditionalFormatting sqref="A2:A73">
    <cfRule type="cellIs" dxfId="15" priority="1" operator="equal">
      <formula>TRUE</formula>
    </cfRule>
    <cfRule type="cellIs" dxfId="14" priority="2" operator="equal">
      <formula>FALSE</formula>
    </cfRule>
  </conditionalFormatting>
  <conditionalFormatting sqref="R2:R73">
    <cfRule type="cellIs" dxfId="13" priority="17" operator="equal">
      <formula>TRUE</formula>
    </cfRule>
    <cfRule type="cellIs" dxfId="12" priority="18" operator="equal">
      <formula>FALSE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33BCF-97BD-450E-A1B0-3C94E2BC3B89}">
  <sheetPr codeName="Sheet3"/>
  <dimension ref="A1:AQ355"/>
  <sheetViews>
    <sheetView tabSelected="1" zoomScale="85" zoomScaleNormal="85" workbookViewId="0">
      <selection activeCell="E18" sqref="E18"/>
    </sheetView>
  </sheetViews>
  <sheetFormatPr defaultColWidth="8.85546875" defaultRowHeight="15" x14ac:dyDescent="0.25"/>
  <cols>
    <col min="1" max="1" width="20.28515625" style="15" bestFit="1" customWidth="1"/>
    <col min="2" max="2" width="14" style="103" bestFit="1" customWidth="1"/>
    <col min="3" max="3" width="22.28515625" style="15" bestFit="1" customWidth="1"/>
    <col min="4" max="4" width="13.7109375" style="15" bestFit="1" customWidth="1"/>
    <col min="5" max="5" width="21" style="15" bestFit="1" customWidth="1"/>
    <col min="6" max="6" width="13.42578125" style="15" bestFit="1" customWidth="1"/>
    <col min="7" max="7" width="16.42578125" style="15" bestFit="1" customWidth="1"/>
    <col min="8" max="8" width="9.85546875" style="15" bestFit="1" customWidth="1"/>
    <col min="9" max="9" width="15" style="105" bestFit="1" customWidth="1"/>
    <col min="10" max="10" width="22.140625" style="117" bestFit="1" customWidth="1"/>
    <col min="11" max="11" width="14.5703125" style="114" bestFit="1" customWidth="1"/>
    <col min="12" max="12" width="22.140625" style="117" bestFit="1" customWidth="1"/>
    <col min="13" max="13" width="14.5703125" style="114" bestFit="1" customWidth="1"/>
    <col min="14" max="14" width="22.140625" style="117" bestFit="1" customWidth="1"/>
    <col min="15" max="15" width="15.28515625" style="114" bestFit="1" customWidth="1"/>
    <col min="16" max="16" width="22.140625" style="117" bestFit="1" customWidth="1"/>
    <col min="17" max="17" width="14.5703125" style="114" bestFit="1" customWidth="1"/>
    <col min="18" max="18" width="22.140625" style="117" bestFit="1" customWidth="1"/>
    <col min="19" max="19" width="14.5703125" style="114" bestFit="1" customWidth="1"/>
    <col min="20" max="20" width="22.140625" style="117" bestFit="1" customWidth="1"/>
    <col min="21" max="21" width="14.5703125" style="114" bestFit="1" customWidth="1"/>
    <col min="22" max="22" width="22.140625" style="117" bestFit="1" customWidth="1"/>
    <col min="23" max="23" width="14.5703125" style="114" bestFit="1" customWidth="1"/>
    <col min="24" max="24" width="22.140625" style="117" bestFit="1" customWidth="1"/>
    <col min="25" max="25" width="14.5703125" style="114" bestFit="1" customWidth="1"/>
    <col min="26" max="26" width="22.140625" style="117" bestFit="1" customWidth="1"/>
    <col min="27" max="27" width="14.5703125" style="114" bestFit="1" customWidth="1"/>
    <col min="28" max="28" width="22.140625" style="117" bestFit="1" customWidth="1"/>
    <col min="29" max="29" width="14.5703125" style="114" bestFit="1" customWidth="1"/>
    <col min="30" max="30" width="22.140625" style="117" bestFit="1" customWidth="1"/>
    <col min="31" max="31" width="14.5703125" style="114" bestFit="1" customWidth="1"/>
    <col min="32" max="32" width="22.140625" style="117" bestFit="1" customWidth="1"/>
    <col min="33" max="33" width="14.5703125" style="114" bestFit="1" customWidth="1"/>
    <col min="34" max="34" width="22.140625" style="117" bestFit="1" customWidth="1"/>
    <col min="35" max="35" width="12.28515625" style="114" bestFit="1" customWidth="1"/>
    <col min="36" max="36" width="16" style="114" bestFit="1" customWidth="1"/>
    <col min="37" max="37" width="14.5703125" style="104" bestFit="1" customWidth="1"/>
    <col min="38" max="38" width="13.7109375" style="114" bestFit="1" customWidth="1"/>
    <col min="39" max="39" width="17" style="115" bestFit="1" customWidth="1"/>
    <col min="40" max="40" width="15.85546875" style="116" bestFit="1" customWidth="1"/>
    <col min="41" max="41" width="15.5703125" style="115" bestFit="1" customWidth="1"/>
    <col min="42" max="42" width="17.5703125" style="114" bestFit="1" customWidth="1"/>
    <col min="43" max="16384" width="8.85546875" style="15"/>
  </cols>
  <sheetData>
    <row r="1" spans="1:43" s="129" customFormat="1" x14ac:dyDescent="0.25">
      <c r="A1" s="122" t="s">
        <v>229</v>
      </c>
      <c r="B1" s="123" t="s">
        <v>152</v>
      </c>
      <c r="C1" s="122" t="s">
        <v>554</v>
      </c>
      <c r="D1" s="122" t="s">
        <v>561</v>
      </c>
      <c r="E1" s="122" t="s">
        <v>562</v>
      </c>
      <c r="F1" s="124" t="s">
        <v>563</v>
      </c>
      <c r="G1" s="124" t="s">
        <v>508</v>
      </c>
      <c r="H1" s="125" t="s">
        <v>509</v>
      </c>
      <c r="I1" s="126" t="s">
        <v>530</v>
      </c>
      <c r="J1" s="122" t="s">
        <v>531</v>
      </c>
      <c r="K1" s="126" t="s">
        <v>528</v>
      </c>
      <c r="L1" s="122" t="s">
        <v>529</v>
      </c>
      <c r="M1" s="126" t="s">
        <v>526</v>
      </c>
      <c r="N1" s="122" t="s">
        <v>527</v>
      </c>
      <c r="O1" s="126" t="s">
        <v>524</v>
      </c>
      <c r="P1" s="122" t="s">
        <v>525</v>
      </c>
      <c r="Q1" s="126" t="s">
        <v>522</v>
      </c>
      <c r="R1" s="122" t="s">
        <v>523</v>
      </c>
      <c r="S1" s="126" t="s">
        <v>520</v>
      </c>
      <c r="T1" s="122" t="s">
        <v>521</v>
      </c>
      <c r="U1" s="126" t="s">
        <v>518</v>
      </c>
      <c r="V1" s="122" t="s">
        <v>519</v>
      </c>
      <c r="W1" s="126" t="s">
        <v>516</v>
      </c>
      <c r="X1" s="122" t="s">
        <v>517</v>
      </c>
      <c r="Y1" s="126" t="s">
        <v>514</v>
      </c>
      <c r="Z1" s="122" t="s">
        <v>515</v>
      </c>
      <c r="AA1" s="126" t="s">
        <v>512</v>
      </c>
      <c r="AB1" s="122" t="s">
        <v>513</v>
      </c>
      <c r="AC1" s="126" t="s">
        <v>510</v>
      </c>
      <c r="AD1" s="122" t="s">
        <v>511</v>
      </c>
      <c r="AE1" s="126" t="s">
        <v>557</v>
      </c>
      <c r="AF1" s="122" t="s">
        <v>558</v>
      </c>
      <c r="AG1" s="126" t="s">
        <v>559</v>
      </c>
      <c r="AH1" s="122" t="s">
        <v>560</v>
      </c>
      <c r="AI1" s="127" t="s">
        <v>151</v>
      </c>
      <c r="AJ1" s="123" t="s">
        <v>11</v>
      </c>
      <c r="AK1" s="123" t="s">
        <v>150</v>
      </c>
      <c r="AL1" s="123" t="s">
        <v>0</v>
      </c>
      <c r="AM1" s="128" t="s">
        <v>1</v>
      </c>
      <c r="AN1" s="128" t="s">
        <v>2</v>
      </c>
      <c r="AO1" s="128" t="s">
        <v>141</v>
      </c>
      <c r="AP1" s="122" t="s">
        <v>10</v>
      </c>
      <c r="AQ1" s="124"/>
    </row>
    <row r="2" spans="1:43" s="89" customFormat="1" x14ac:dyDescent="0.25">
      <c r="A2" s="17" t="b">
        <v>1</v>
      </c>
      <c r="B2" s="101" t="s">
        <v>233</v>
      </c>
      <c r="C2" s="109"/>
      <c r="D2" s="95" t="s">
        <v>307</v>
      </c>
      <c r="E2" s="95" t="s">
        <v>308</v>
      </c>
      <c r="F2" s="98"/>
      <c r="G2" s="99" t="s">
        <v>532</v>
      </c>
      <c r="H2" s="106">
        <v>2.9999999999999997E-4</v>
      </c>
      <c r="I2" s="117">
        <v>0.33401199999999998</v>
      </c>
      <c r="J2" s="100">
        <v>46010</v>
      </c>
      <c r="K2" s="117">
        <v>0</v>
      </c>
      <c r="L2" s="100" t="s">
        <v>85</v>
      </c>
      <c r="M2" s="117">
        <v>0.32465500000000003</v>
      </c>
      <c r="N2" s="100">
        <v>46055</v>
      </c>
      <c r="O2" s="117">
        <v>0.31637700000000002</v>
      </c>
      <c r="P2" s="100">
        <v>46083</v>
      </c>
      <c r="Q2" s="117">
        <v>0.33671899999999999</v>
      </c>
      <c r="R2" s="100">
        <v>46113</v>
      </c>
      <c r="S2" s="117">
        <v>0.32993400000000001</v>
      </c>
      <c r="T2" s="100">
        <v>46143</v>
      </c>
      <c r="U2" s="117">
        <v>0.33149000000000001</v>
      </c>
      <c r="V2" s="100">
        <v>46174</v>
      </c>
      <c r="W2" s="117">
        <v>0.33068999999999998</v>
      </c>
      <c r="X2" s="100">
        <v>46204</v>
      </c>
      <c r="Y2" s="117">
        <v>0.33756999999999998</v>
      </c>
      <c r="Z2" s="100">
        <v>46237</v>
      </c>
      <c r="AA2" s="117">
        <v>0.33710000000000001</v>
      </c>
      <c r="AB2" s="100">
        <v>46266</v>
      </c>
      <c r="AC2" s="117">
        <v>0.33414199999999999</v>
      </c>
      <c r="AD2" s="100">
        <v>46296</v>
      </c>
      <c r="AE2" s="117"/>
      <c r="AF2" s="100"/>
      <c r="AG2" s="117"/>
      <c r="AH2" s="100"/>
      <c r="AI2" s="108">
        <v>25985141</v>
      </c>
      <c r="AJ2" s="15" t="s">
        <v>40</v>
      </c>
      <c r="AK2" s="15" t="s">
        <v>5</v>
      </c>
      <c r="AL2" s="15" t="s">
        <v>9</v>
      </c>
      <c r="AM2" s="118">
        <v>5.4999999999999997E-3</v>
      </c>
      <c r="AN2" s="118">
        <v>5.4999999999999997E-3</v>
      </c>
      <c r="AO2" s="118">
        <v>0</v>
      </c>
      <c r="AP2" s="100">
        <v>46054</v>
      </c>
      <c r="AQ2" s="99"/>
    </row>
    <row r="3" spans="1:43" s="89" customFormat="1" x14ac:dyDescent="0.25">
      <c r="A3" s="17" t="b">
        <v>1</v>
      </c>
      <c r="B3" s="101" t="s">
        <v>190</v>
      </c>
      <c r="C3" s="109"/>
      <c r="D3" s="95" t="s">
        <v>307</v>
      </c>
      <c r="E3" s="95" t="s">
        <v>309</v>
      </c>
      <c r="F3" s="98"/>
      <c r="G3" s="99" t="s">
        <v>533</v>
      </c>
      <c r="H3" s="106">
        <v>2.5000000000000001E-3</v>
      </c>
      <c r="I3" s="117">
        <v>0.15989999999999999</v>
      </c>
      <c r="J3" s="100">
        <v>46020</v>
      </c>
      <c r="K3" s="117">
        <v>0</v>
      </c>
      <c r="L3" s="100" t="s">
        <v>85</v>
      </c>
      <c r="M3" s="117">
        <v>0.15909999999999999</v>
      </c>
      <c r="N3" s="100">
        <v>46055</v>
      </c>
      <c r="O3" s="117">
        <v>0.14050000000000001</v>
      </c>
      <c r="P3" s="100">
        <v>46083</v>
      </c>
      <c r="Q3" s="117">
        <v>0.17449999999999999</v>
      </c>
      <c r="R3" s="100">
        <v>46113</v>
      </c>
      <c r="S3" s="117">
        <v>0.15629999999999999</v>
      </c>
      <c r="T3" s="100">
        <v>46143</v>
      </c>
      <c r="U3" s="117">
        <v>0.1535</v>
      </c>
      <c r="V3" s="100">
        <v>46174</v>
      </c>
      <c r="W3" s="117">
        <v>0.17100000000000001</v>
      </c>
      <c r="X3" s="100">
        <v>46204</v>
      </c>
      <c r="Y3" s="117">
        <v>0.16839999999999999</v>
      </c>
      <c r="Z3" s="100">
        <v>46237</v>
      </c>
      <c r="AA3" s="117">
        <v>0.159</v>
      </c>
      <c r="AB3" s="100">
        <v>46266</v>
      </c>
      <c r="AC3" s="117">
        <v>0.1583</v>
      </c>
      <c r="AD3" s="100">
        <v>46296</v>
      </c>
      <c r="AE3" s="117"/>
      <c r="AF3" s="100"/>
      <c r="AG3" s="117"/>
      <c r="AH3" s="100"/>
      <c r="AI3" s="108">
        <v>229725522</v>
      </c>
      <c r="AJ3" s="15" t="s">
        <v>40</v>
      </c>
      <c r="AK3" s="15" t="s">
        <v>5</v>
      </c>
      <c r="AL3" s="15" t="s">
        <v>9</v>
      </c>
      <c r="AM3" s="118">
        <v>5.4999999999999997E-3</v>
      </c>
      <c r="AN3" s="118">
        <v>5.4999999999999997E-3</v>
      </c>
      <c r="AO3" s="118">
        <v>0</v>
      </c>
      <c r="AP3" s="100">
        <v>46054</v>
      </c>
      <c r="AQ3" s="99"/>
    </row>
    <row r="4" spans="1:43" x14ac:dyDescent="0.25">
      <c r="A4" s="17" t="b">
        <v>1</v>
      </c>
      <c r="B4" s="101" t="s">
        <v>367</v>
      </c>
      <c r="C4" s="109"/>
      <c r="D4" s="95" t="s">
        <v>506</v>
      </c>
      <c r="E4" s="110" t="s">
        <v>372</v>
      </c>
      <c r="F4" s="98"/>
      <c r="G4" s="99" t="s">
        <v>207</v>
      </c>
      <c r="H4" s="106">
        <v>0</v>
      </c>
      <c r="I4" s="117">
        <v>0</v>
      </c>
      <c r="J4" s="100" t="s">
        <v>85</v>
      </c>
      <c r="K4" s="117">
        <v>0</v>
      </c>
      <c r="L4" s="100" t="s">
        <v>85</v>
      </c>
      <c r="M4" s="117">
        <v>0</v>
      </c>
      <c r="N4" s="100" t="s">
        <v>85</v>
      </c>
      <c r="O4" s="117">
        <v>0</v>
      </c>
      <c r="P4" s="100" t="s">
        <v>85</v>
      </c>
      <c r="Q4" s="117">
        <v>0</v>
      </c>
      <c r="R4" s="100" t="s">
        <v>85</v>
      </c>
      <c r="S4" s="117">
        <v>0</v>
      </c>
      <c r="T4" s="100" t="s">
        <v>85</v>
      </c>
      <c r="U4" s="117">
        <v>0</v>
      </c>
      <c r="V4" s="100" t="s">
        <v>85</v>
      </c>
      <c r="W4" s="117">
        <v>0</v>
      </c>
      <c r="X4" s="100" t="s">
        <v>85</v>
      </c>
      <c r="Y4" s="117">
        <v>0</v>
      </c>
      <c r="Z4" s="100" t="s">
        <v>85</v>
      </c>
      <c r="AA4" s="117">
        <v>0</v>
      </c>
      <c r="AB4" s="100" t="s">
        <v>85</v>
      </c>
      <c r="AC4" s="117">
        <v>0</v>
      </c>
      <c r="AD4" s="100" t="s">
        <v>85</v>
      </c>
      <c r="AE4" s="117"/>
      <c r="AF4" s="100"/>
      <c r="AG4" s="117"/>
      <c r="AH4" s="100"/>
      <c r="AI4" s="65">
        <v>641665724</v>
      </c>
      <c r="AJ4" s="15" t="s">
        <v>40</v>
      </c>
      <c r="AK4" s="15" t="s">
        <v>5</v>
      </c>
      <c r="AL4" s="15" t="s">
        <v>9</v>
      </c>
      <c r="AM4" s="118">
        <v>5.4999999999999997E-3</v>
      </c>
      <c r="AN4" s="118">
        <v>5.4999999999999997E-3</v>
      </c>
      <c r="AO4" s="118">
        <v>0</v>
      </c>
      <c r="AP4" s="100">
        <v>46060</v>
      </c>
      <c r="AQ4" s="99"/>
    </row>
    <row r="5" spans="1:43" x14ac:dyDescent="0.25">
      <c r="A5" s="17" t="b">
        <v>1</v>
      </c>
      <c r="B5" s="101" t="s">
        <v>368</v>
      </c>
      <c r="C5" s="109"/>
      <c r="D5" s="95" t="s">
        <v>506</v>
      </c>
      <c r="E5" s="110" t="s">
        <v>372</v>
      </c>
      <c r="F5" s="98"/>
      <c r="G5" s="99" t="s">
        <v>207</v>
      </c>
      <c r="H5" s="106">
        <v>0</v>
      </c>
      <c r="I5" s="117">
        <v>0</v>
      </c>
      <c r="J5" s="100" t="s">
        <v>85</v>
      </c>
      <c r="K5" s="117">
        <v>0</v>
      </c>
      <c r="L5" s="100" t="s">
        <v>85</v>
      </c>
      <c r="M5" s="117">
        <v>0</v>
      </c>
      <c r="N5" s="100" t="s">
        <v>85</v>
      </c>
      <c r="O5" s="117">
        <v>0</v>
      </c>
      <c r="P5" s="100" t="s">
        <v>85</v>
      </c>
      <c r="Q5" s="117">
        <v>0</v>
      </c>
      <c r="R5" s="100" t="s">
        <v>85</v>
      </c>
      <c r="S5" s="117">
        <v>0</v>
      </c>
      <c r="T5" s="100" t="s">
        <v>85</v>
      </c>
      <c r="U5" s="117">
        <v>0</v>
      </c>
      <c r="V5" s="100" t="s">
        <v>85</v>
      </c>
      <c r="W5" s="117">
        <v>0</v>
      </c>
      <c r="X5" s="100" t="s">
        <v>85</v>
      </c>
      <c r="Y5" s="117">
        <v>0</v>
      </c>
      <c r="Z5" s="100" t="s">
        <v>85</v>
      </c>
      <c r="AA5" s="117">
        <v>0</v>
      </c>
      <c r="AB5" s="100" t="s">
        <v>85</v>
      </c>
      <c r="AC5" s="117">
        <v>0</v>
      </c>
      <c r="AD5" s="100" t="s">
        <v>85</v>
      </c>
      <c r="AE5" s="117"/>
      <c r="AF5" s="100"/>
      <c r="AG5" s="117"/>
      <c r="AH5" s="100"/>
      <c r="AI5" s="65">
        <v>641665729</v>
      </c>
      <c r="AJ5" s="15" t="s">
        <v>40</v>
      </c>
      <c r="AK5" s="15" t="s">
        <v>5</v>
      </c>
      <c r="AL5" s="15" t="s">
        <v>9</v>
      </c>
      <c r="AM5" s="118">
        <v>5.4999999999999997E-3</v>
      </c>
      <c r="AN5" s="118">
        <v>5.4999999999999997E-3</v>
      </c>
      <c r="AO5" s="118">
        <v>0</v>
      </c>
      <c r="AP5" s="100">
        <v>46060</v>
      </c>
      <c r="AQ5" s="99"/>
    </row>
    <row r="6" spans="1:43" x14ac:dyDescent="0.25">
      <c r="A6" s="99" t="b">
        <v>1</v>
      </c>
      <c r="B6" s="54" t="s">
        <v>502</v>
      </c>
      <c r="C6" s="109"/>
      <c r="D6" s="95" t="s">
        <v>507</v>
      </c>
      <c r="E6" s="15" t="s">
        <v>534</v>
      </c>
      <c r="F6" s="98"/>
      <c r="G6" s="99" t="s">
        <v>535</v>
      </c>
      <c r="H6" s="106">
        <v>1.9E-3</v>
      </c>
      <c r="I6" s="117">
        <v>0.62128000000000005</v>
      </c>
      <c r="J6" s="100">
        <v>46014</v>
      </c>
      <c r="K6" s="117">
        <v>0</v>
      </c>
      <c r="L6" s="100" t="s">
        <v>85</v>
      </c>
      <c r="M6" s="117">
        <v>0</v>
      </c>
      <c r="N6" s="100" t="s">
        <v>85</v>
      </c>
      <c r="O6" s="117">
        <v>0.26534000000000002</v>
      </c>
      <c r="P6" s="100">
        <v>46105</v>
      </c>
      <c r="Q6" s="117">
        <v>0</v>
      </c>
      <c r="R6" s="100" t="s">
        <v>85</v>
      </c>
      <c r="S6" s="117">
        <v>0</v>
      </c>
      <c r="T6" s="100" t="s">
        <v>85</v>
      </c>
      <c r="U6" s="117">
        <v>0.44946999999999998</v>
      </c>
      <c r="V6" s="100">
        <v>46196</v>
      </c>
      <c r="W6" s="117">
        <v>0</v>
      </c>
      <c r="X6" s="100" t="s">
        <v>85</v>
      </c>
      <c r="Y6" s="117">
        <v>0</v>
      </c>
      <c r="Z6" s="100" t="s">
        <v>85</v>
      </c>
      <c r="AA6" s="117">
        <v>0.41771999999999998</v>
      </c>
      <c r="AB6" s="100">
        <v>46287</v>
      </c>
      <c r="AC6" s="117">
        <v>0</v>
      </c>
      <c r="AD6" s="100" t="s">
        <v>85</v>
      </c>
      <c r="AE6" s="117"/>
      <c r="AF6" s="100"/>
      <c r="AG6" s="117"/>
      <c r="AH6" s="100"/>
      <c r="AI6" s="15">
        <v>477176272</v>
      </c>
      <c r="AJ6" s="15" t="s">
        <v>40</v>
      </c>
      <c r="AK6" s="15" t="s">
        <v>5</v>
      </c>
      <c r="AL6" s="15" t="s">
        <v>9</v>
      </c>
      <c r="AM6" s="118">
        <v>5.4999999999999997E-3</v>
      </c>
      <c r="AN6" s="118">
        <v>5.4999999999999997E-3</v>
      </c>
      <c r="AO6" s="118">
        <v>0</v>
      </c>
      <c r="AP6" s="100">
        <v>46060</v>
      </c>
      <c r="AQ6" s="99"/>
    </row>
    <row r="7" spans="1:43" x14ac:dyDescent="0.25">
      <c r="A7" s="99" t="b">
        <v>1</v>
      </c>
      <c r="B7" s="101" t="s">
        <v>475</v>
      </c>
      <c r="C7" s="109"/>
      <c r="D7" s="15" t="s">
        <v>450</v>
      </c>
      <c r="E7" s="15" t="s">
        <v>344</v>
      </c>
      <c r="F7" s="98"/>
      <c r="G7" s="99" t="s">
        <v>536</v>
      </c>
      <c r="H7" s="106">
        <v>3.5000000000000001E-3</v>
      </c>
      <c r="I7" s="117">
        <v>0.95650000000000002</v>
      </c>
      <c r="J7" s="100">
        <v>46013</v>
      </c>
      <c r="K7" s="117">
        <v>0</v>
      </c>
      <c r="L7" s="100" t="s">
        <v>85</v>
      </c>
      <c r="M7" s="117">
        <v>0</v>
      </c>
      <c r="N7" s="100" t="s">
        <v>85</v>
      </c>
      <c r="O7" s="117">
        <v>0</v>
      </c>
      <c r="P7" s="100" t="s">
        <v>85</v>
      </c>
      <c r="Q7" s="117">
        <v>0</v>
      </c>
      <c r="R7" s="100" t="s">
        <v>85</v>
      </c>
      <c r="S7" s="117">
        <v>0</v>
      </c>
      <c r="T7" s="100" t="s">
        <v>85</v>
      </c>
      <c r="U7" s="117">
        <v>0</v>
      </c>
      <c r="V7" s="100" t="s">
        <v>85</v>
      </c>
      <c r="W7" s="117">
        <v>0</v>
      </c>
      <c r="X7" s="100" t="s">
        <v>85</v>
      </c>
      <c r="Y7" s="117">
        <v>0</v>
      </c>
      <c r="Z7" s="100" t="s">
        <v>85</v>
      </c>
      <c r="AA7" s="117">
        <v>0</v>
      </c>
      <c r="AB7" s="100" t="s">
        <v>85</v>
      </c>
      <c r="AC7" s="117">
        <v>0</v>
      </c>
      <c r="AD7" s="100" t="s">
        <v>85</v>
      </c>
      <c r="AE7" s="117"/>
      <c r="AF7" s="100"/>
      <c r="AG7" s="117"/>
      <c r="AH7" s="100"/>
      <c r="AI7" s="65">
        <v>231849289</v>
      </c>
      <c r="AJ7" s="15" t="s">
        <v>40</v>
      </c>
      <c r="AK7" s="15" t="s">
        <v>5</v>
      </c>
      <c r="AL7" s="15" t="s">
        <v>9</v>
      </c>
      <c r="AM7" s="118">
        <v>5.4999999999999997E-3</v>
      </c>
      <c r="AN7" s="118">
        <v>5.4999999999999997E-3</v>
      </c>
      <c r="AO7" s="118">
        <v>0</v>
      </c>
      <c r="AP7" s="100">
        <v>46060</v>
      </c>
      <c r="AQ7" s="99"/>
    </row>
    <row r="8" spans="1:43" x14ac:dyDescent="0.25">
      <c r="A8" s="17" t="b">
        <v>1</v>
      </c>
      <c r="B8" s="101" t="s">
        <v>361</v>
      </c>
      <c r="C8" s="109"/>
      <c r="D8" s="95" t="s">
        <v>506</v>
      </c>
      <c r="E8" s="110" t="s">
        <v>369</v>
      </c>
      <c r="F8" s="98"/>
      <c r="G8" s="99" t="s">
        <v>207</v>
      </c>
      <c r="H8" s="106">
        <v>0</v>
      </c>
      <c r="I8" s="117">
        <v>0.23100000000000001</v>
      </c>
      <c r="J8" s="100">
        <v>45996</v>
      </c>
      <c r="K8" s="117">
        <v>0</v>
      </c>
      <c r="L8" s="100" t="s">
        <v>85</v>
      </c>
      <c r="M8" s="117">
        <v>0</v>
      </c>
      <c r="N8" s="100" t="s">
        <v>85</v>
      </c>
      <c r="O8" s="117">
        <v>0.23100000000000001</v>
      </c>
      <c r="P8" s="100">
        <v>46090</v>
      </c>
      <c r="Q8" s="117">
        <v>0</v>
      </c>
      <c r="R8" s="100" t="s">
        <v>85</v>
      </c>
      <c r="S8" s="117">
        <v>0</v>
      </c>
      <c r="T8" s="100" t="s">
        <v>85</v>
      </c>
      <c r="U8" s="117">
        <v>0.23100000000000001</v>
      </c>
      <c r="V8" s="100">
        <v>46183</v>
      </c>
      <c r="W8" s="117">
        <v>0</v>
      </c>
      <c r="X8" s="100" t="s">
        <v>85</v>
      </c>
      <c r="Y8" s="117">
        <v>0</v>
      </c>
      <c r="Z8" s="100" t="s">
        <v>85</v>
      </c>
      <c r="AA8" s="117">
        <v>0.23100000000000001</v>
      </c>
      <c r="AB8" s="100">
        <v>46268</v>
      </c>
      <c r="AC8" s="117">
        <v>0</v>
      </c>
      <c r="AD8" s="100" t="s">
        <v>85</v>
      </c>
      <c r="AE8" s="117"/>
      <c r="AF8" s="100"/>
      <c r="AG8" s="117"/>
      <c r="AH8" s="100"/>
      <c r="AI8" s="65">
        <v>4926</v>
      </c>
      <c r="AJ8" s="15" t="s">
        <v>40</v>
      </c>
      <c r="AK8" s="15" t="s">
        <v>5</v>
      </c>
      <c r="AL8" s="15" t="s">
        <v>9</v>
      </c>
      <c r="AM8" s="118">
        <v>5.4999999999999997E-3</v>
      </c>
      <c r="AN8" s="118">
        <v>5.4999999999999997E-3</v>
      </c>
      <c r="AO8" s="118">
        <v>0</v>
      </c>
      <c r="AP8" s="100">
        <v>46060</v>
      </c>
      <c r="AQ8" s="99"/>
    </row>
    <row r="9" spans="1:43" x14ac:dyDescent="0.25">
      <c r="A9" s="17" t="b">
        <v>1</v>
      </c>
      <c r="B9" s="101" t="s">
        <v>362</v>
      </c>
      <c r="C9" s="109"/>
      <c r="D9" s="95" t="s">
        <v>506</v>
      </c>
      <c r="E9" s="110" t="s">
        <v>369</v>
      </c>
      <c r="F9" s="98"/>
      <c r="G9" s="99" t="s">
        <v>207</v>
      </c>
      <c r="H9" s="106">
        <v>0</v>
      </c>
      <c r="I9" s="117">
        <v>0.23100000000000001</v>
      </c>
      <c r="J9" s="100">
        <v>45996</v>
      </c>
      <c r="K9" s="117">
        <v>0</v>
      </c>
      <c r="L9" s="100" t="s">
        <v>85</v>
      </c>
      <c r="M9" s="117">
        <v>0</v>
      </c>
      <c r="N9" s="100" t="s">
        <v>85</v>
      </c>
      <c r="O9" s="117">
        <v>0.23100000000000001</v>
      </c>
      <c r="P9" s="100">
        <v>46090</v>
      </c>
      <c r="Q9" s="117">
        <v>0</v>
      </c>
      <c r="R9" s="100" t="s">
        <v>85</v>
      </c>
      <c r="S9" s="117">
        <v>0</v>
      </c>
      <c r="T9" s="100" t="s">
        <v>85</v>
      </c>
      <c r="U9" s="117">
        <v>0.23100000000000001</v>
      </c>
      <c r="V9" s="100">
        <v>46183</v>
      </c>
      <c r="W9" s="117">
        <v>0</v>
      </c>
      <c r="X9" s="100" t="s">
        <v>85</v>
      </c>
      <c r="Y9" s="117">
        <v>0</v>
      </c>
      <c r="Z9" s="100" t="s">
        <v>85</v>
      </c>
      <c r="AA9" s="117">
        <v>0.23100000000000001</v>
      </c>
      <c r="AB9" s="100">
        <v>46268</v>
      </c>
      <c r="AC9" s="117">
        <v>0</v>
      </c>
      <c r="AD9" s="100" t="s">
        <v>85</v>
      </c>
      <c r="AE9" s="117"/>
      <c r="AF9" s="100"/>
      <c r="AG9" s="117"/>
      <c r="AH9" s="100"/>
      <c r="AI9" s="65">
        <v>4931</v>
      </c>
      <c r="AJ9" s="15" t="s">
        <v>40</v>
      </c>
      <c r="AK9" s="15" t="s">
        <v>5</v>
      </c>
      <c r="AL9" s="15" t="s">
        <v>9</v>
      </c>
      <c r="AM9" s="118">
        <v>5.4999999999999997E-3</v>
      </c>
      <c r="AN9" s="118">
        <v>5.4999999999999997E-3</v>
      </c>
      <c r="AO9" s="118">
        <v>0</v>
      </c>
      <c r="AP9" s="100">
        <v>46060</v>
      </c>
      <c r="AQ9" s="99"/>
    </row>
    <row r="10" spans="1:43" x14ac:dyDescent="0.25">
      <c r="A10" s="99" t="b">
        <v>0</v>
      </c>
      <c r="B10" s="101" t="s">
        <v>445</v>
      </c>
      <c r="C10" s="109" t="s">
        <v>448</v>
      </c>
      <c r="D10" s="95" t="s">
        <v>307</v>
      </c>
      <c r="E10" s="95" t="s">
        <v>444</v>
      </c>
      <c r="F10" s="98"/>
      <c r="G10" s="99" t="s">
        <v>538</v>
      </c>
      <c r="H10" s="120">
        <v>6.4999999999999997E-3</v>
      </c>
      <c r="I10" s="117"/>
      <c r="J10" s="100"/>
      <c r="K10" s="117"/>
      <c r="L10" s="100"/>
      <c r="M10" s="117"/>
      <c r="N10" s="100"/>
      <c r="O10" s="117"/>
      <c r="P10" s="100"/>
      <c r="Q10" s="117"/>
      <c r="R10" s="100"/>
      <c r="S10" s="117"/>
      <c r="T10" s="100"/>
      <c r="U10" s="117"/>
      <c r="V10" s="100"/>
      <c r="W10" s="117"/>
      <c r="X10" s="100"/>
      <c r="Y10" s="117"/>
      <c r="Z10" s="100"/>
      <c r="AA10" s="117"/>
      <c r="AB10" s="100"/>
      <c r="AC10" s="117"/>
      <c r="AD10" s="100"/>
      <c r="AE10" s="117"/>
      <c r="AF10" s="100"/>
      <c r="AG10" s="117"/>
      <c r="AH10" s="100"/>
      <c r="AI10" s="108">
        <v>319359400</v>
      </c>
      <c r="AJ10" s="15" t="s">
        <v>40</v>
      </c>
      <c r="AK10" s="15" t="s">
        <v>5</v>
      </c>
      <c r="AL10" s="15" t="s">
        <v>9</v>
      </c>
      <c r="AM10" s="118">
        <v>5.4999999999999997E-3</v>
      </c>
      <c r="AN10" s="118">
        <v>5.4999999999999997E-3</v>
      </c>
      <c r="AO10" s="118">
        <v>0</v>
      </c>
      <c r="AP10" s="100">
        <v>46054</v>
      </c>
      <c r="AQ10" s="99"/>
    </row>
    <row r="11" spans="1:43" x14ac:dyDescent="0.25">
      <c r="A11" s="17" t="b">
        <v>1</v>
      </c>
      <c r="B11" s="101" t="s">
        <v>234</v>
      </c>
      <c r="C11" s="109"/>
      <c r="D11" s="95" t="s">
        <v>307</v>
      </c>
      <c r="E11" s="95" t="s">
        <v>308</v>
      </c>
      <c r="F11" s="98"/>
      <c r="G11" s="99" t="s">
        <v>537</v>
      </c>
      <c r="H11" s="106">
        <v>2.9999999999999997E-4</v>
      </c>
      <c r="I11" s="117">
        <v>0.246638</v>
      </c>
      <c r="J11" s="100">
        <v>46009</v>
      </c>
      <c r="K11" s="117">
        <v>0</v>
      </c>
      <c r="L11" s="100" t="s">
        <v>85</v>
      </c>
      <c r="M11" s="117">
        <v>0.24546999999999999</v>
      </c>
      <c r="N11" s="100">
        <v>46055</v>
      </c>
      <c r="O11" s="117">
        <v>0.227824</v>
      </c>
      <c r="P11" s="100">
        <v>46083</v>
      </c>
      <c r="Q11" s="117">
        <v>0.25001600000000002</v>
      </c>
      <c r="R11" s="100">
        <v>46113</v>
      </c>
      <c r="S11" s="117">
        <v>0.24171300000000001</v>
      </c>
      <c r="T11" s="100">
        <v>46143</v>
      </c>
      <c r="U11" s="117">
        <v>0.24726000000000001</v>
      </c>
      <c r="V11" s="100">
        <v>46174</v>
      </c>
      <c r="W11" s="117">
        <v>0.24446999999999999</v>
      </c>
      <c r="X11" s="100">
        <v>46204</v>
      </c>
      <c r="Y11" s="117">
        <v>0.25155</v>
      </c>
      <c r="Z11" s="100">
        <v>46237</v>
      </c>
      <c r="AA11" s="117">
        <v>0.252886</v>
      </c>
      <c r="AB11" s="100">
        <v>46266</v>
      </c>
      <c r="AC11" s="117">
        <v>0.248502</v>
      </c>
      <c r="AD11" s="100">
        <v>46296</v>
      </c>
      <c r="AE11" s="117"/>
      <c r="AF11" s="100"/>
      <c r="AG11" s="117"/>
      <c r="AH11" s="100"/>
      <c r="AI11" s="108">
        <v>43645828</v>
      </c>
      <c r="AJ11" s="15" t="s">
        <v>40</v>
      </c>
      <c r="AK11" s="15" t="s">
        <v>5</v>
      </c>
      <c r="AL11" s="15" t="s">
        <v>9</v>
      </c>
      <c r="AM11" s="118">
        <v>5.4999999999999997E-3</v>
      </c>
      <c r="AN11" s="118">
        <v>5.4999999999999997E-3</v>
      </c>
      <c r="AO11" s="118">
        <v>0</v>
      </c>
      <c r="AP11" s="100">
        <v>46054</v>
      </c>
      <c r="AQ11" s="99"/>
    </row>
    <row r="12" spans="1:43" x14ac:dyDescent="0.25">
      <c r="A12" s="99" t="b">
        <v>1</v>
      </c>
      <c r="B12" s="101" t="s">
        <v>246</v>
      </c>
      <c r="C12" s="109"/>
      <c r="D12" s="95" t="s">
        <v>307</v>
      </c>
      <c r="E12" s="95" t="s">
        <v>572</v>
      </c>
      <c r="F12" s="98" t="s">
        <v>571</v>
      </c>
      <c r="G12" s="99" t="s">
        <v>537</v>
      </c>
      <c r="H12" s="106">
        <v>6.9999999999999999E-4</v>
      </c>
      <c r="I12" s="117">
        <v>0.96860000000000002</v>
      </c>
      <c r="J12" s="100">
        <v>46009</v>
      </c>
      <c r="K12" s="117">
        <v>0</v>
      </c>
      <c r="L12" s="100" t="s">
        <v>85</v>
      </c>
      <c r="M12" s="117">
        <v>0.1124</v>
      </c>
      <c r="N12" s="100">
        <v>46055</v>
      </c>
      <c r="O12" s="117">
        <v>9.98E-2</v>
      </c>
      <c r="P12" s="100">
        <v>46083</v>
      </c>
      <c r="Q12" s="117">
        <v>0.11169999999999999</v>
      </c>
      <c r="R12" s="100">
        <v>46113</v>
      </c>
      <c r="S12" s="117">
        <v>0.11260000000000001</v>
      </c>
      <c r="T12" s="100">
        <v>46143</v>
      </c>
      <c r="U12" s="117">
        <v>0.11409999999999999</v>
      </c>
      <c r="V12" s="100">
        <v>46174</v>
      </c>
      <c r="W12" s="117">
        <v>0.11119999999999999</v>
      </c>
      <c r="X12" s="100">
        <v>46204</v>
      </c>
      <c r="Y12" s="117">
        <v>0.11849999999999999</v>
      </c>
      <c r="Z12" s="100">
        <v>46237</v>
      </c>
      <c r="AA12" s="117">
        <v>0.1206</v>
      </c>
      <c r="AB12" s="100">
        <v>46266</v>
      </c>
      <c r="AC12" s="117">
        <v>0.114</v>
      </c>
      <c r="AD12" s="100">
        <v>46296</v>
      </c>
      <c r="AE12" s="117"/>
      <c r="AF12" s="100"/>
      <c r="AG12" s="117"/>
      <c r="AH12" s="100"/>
      <c r="AI12" s="108">
        <v>128835017</v>
      </c>
      <c r="AJ12" s="15" t="s">
        <v>40</v>
      </c>
      <c r="AK12" s="15" t="s">
        <v>5</v>
      </c>
      <c r="AL12" s="15" t="s">
        <v>9</v>
      </c>
      <c r="AM12" s="118">
        <v>5.4999999999999997E-3</v>
      </c>
      <c r="AN12" s="118">
        <v>5.4999999999999997E-3</v>
      </c>
      <c r="AO12" s="118">
        <v>0</v>
      </c>
      <c r="AP12" s="100">
        <v>46054</v>
      </c>
      <c r="AQ12" s="99"/>
    </row>
    <row r="13" spans="1:43" x14ac:dyDescent="0.25">
      <c r="A13" s="17" t="b">
        <v>1</v>
      </c>
      <c r="B13" s="101" t="s">
        <v>341</v>
      </c>
      <c r="C13" s="109"/>
      <c r="D13" s="95" t="s">
        <v>506</v>
      </c>
      <c r="E13" s="110" t="s">
        <v>340</v>
      </c>
      <c r="F13" s="98"/>
      <c r="G13" s="99" t="s">
        <v>207</v>
      </c>
      <c r="H13" s="106">
        <v>0</v>
      </c>
      <c r="I13" s="117">
        <v>0</v>
      </c>
      <c r="J13" s="100" t="s">
        <v>85</v>
      </c>
      <c r="K13" s="117">
        <v>0</v>
      </c>
      <c r="L13" s="100" t="s">
        <v>85</v>
      </c>
      <c r="M13" s="117">
        <v>0</v>
      </c>
      <c r="N13" s="100" t="s">
        <v>85</v>
      </c>
      <c r="O13" s="117">
        <v>0</v>
      </c>
      <c r="P13" s="100" t="s">
        <v>85</v>
      </c>
      <c r="Q13" s="117">
        <v>0</v>
      </c>
      <c r="R13" s="100" t="s">
        <v>85</v>
      </c>
      <c r="S13" s="117">
        <v>0</v>
      </c>
      <c r="T13" s="100" t="s">
        <v>85</v>
      </c>
      <c r="U13" s="117">
        <v>0</v>
      </c>
      <c r="V13" s="100" t="s">
        <v>85</v>
      </c>
      <c r="W13" s="117">
        <v>0</v>
      </c>
      <c r="X13" s="100" t="s">
        <v>85</v>
      </c>
      <c r="Y13" s="117">
        <v>0</v>
      </c>
      <c r="Z13" s="100" t="s">
        <v>85</v>
      </c>
      <c r="AA13" s="117">
        <v>0</v>
      </c>
      <c r="AB13" s="100" t="s">
        <v>85</v>
      </c>
      <c r="AC13" s="117">
        <v>0</v>
      </c>
      <c r="AD13" s="100" t="s">
        <v>85</v>
      </c>
      <c r="AE13" s="117"/>
      <c r="AF13" s="100"/>
      <c r="AG13" s="117"/>
      <c r="AH13" s="100"/>
      <c r="AI13" s="65">
        <v>5222</v>
      </c>
      <c r="AJ13" s="15" t="s">
        <v>40</v>
      </c>
      <c r="AK13" s="15" t="s">
        <v>5</v>
      </c>
      <c r="AL13" s="15" t="s">
        <v>9</v>
      </c>
      <c r="AM13" s="118">
        <v>5.4999999999999997E-3</v>
      </c>
      <c r="AN13" s="118">
        <v>5.4999999999999997E-3</v>
      </c>
      <c r="AO13" s="118">
        <v>0</v>
      </c>
      <c r="AP13" s="100">
        <v>46054</v>
      </c>
      <c r="AQ13" s="99"/>
    </row>
    <row r="14" spans="1:43" s="89" customFormat="1" x14ac:dyDescent="0.25">
      <c r="A14" s="17" t="b">
        <v>1</v>
      </c>
      <c r="B14" s="101" t="s">
        <v>342</v>
      </c>
      <c r="C14" s="109"/>
      <c r="D14" s="95" t="s">
        <v>506</v>
      </c>
      <c r="E14" s="110" t="s">
        <v>340</v>
      </c>
      <c r="F14" s="98"/>
      <c r="G14" s="99" t="s">
        <v>207</v>
      </c>
      <c r="H14" s="106">
        <v>0</v>
      </c>
      <c r="I14" s="117">
        <v>0</v>
      </c>
      <c r="J14" s="100" t="s">
        <v>85</v>
      </c>
      <c r="K14" s="117">
        <v>0</v>
      </c>
      <c r="L14" s="100" t="s">
        <v>85</v>
      </c>
      <c r="M14" s="117">
        <v>0</v>
      </c>
      <c r="N14" s="100" t="s">
        <v>85</v>
      </c>
      <c r="O14" s="117">
        <v>0</v>
      </c>
      <c r="P14" s="100" t="s">
        <v>85</v>
      </c>
      <c r="Q14" s="117">
        <v>0</v>
      </c>
      <c r="R14" s="100" t="s">
        <v>85</v>
      </c>
      <c r="S14" s="117">
        <v>0</v>
      </c>
      <c r="T14" s="100" t="s">
        <v>85</v>
      </c>
      <c r="U14" s="117">
        <v>0</v>
      </c>
      <c r="V14" s="100" t="s">
        <v>85</v>
      </c>
      <c r="W14" s="117">
        <v>0</v>
      </c>
      <c r="X14" s="100" t="s">
        <v>85</v>
      </c>
      <c r="Y14" s="117">
        <v>0</v>
      </c>
      <c r="Z14" s="100" t="s">
        <v>85</v>
      </c>
      <c r="AA14" s="117">
        <v>0</v>
      </c>
      <c r="AB14" s="100" t="s">
        <v>85</v>
      </c>
      <c r="AC14" s="117">
        <v>0</v>
      </c>
      <c r="AD14" s="100" t="s">
        <v>85</v>
      </c>
      <c r="AE14" s="117"/>
      <c r="AF14" s="100"/>
      <c r="AG14" s="117"/>
      <c r="AH14" s="100"/>
      <c r="AI14" s="65">
        <v>72063691</v>
      </c>
      <c r="AJ14" s="15" t="s">
        <v>40</v>
      </c>
      <c r="AK14" s="15" t="s">
        <v>5</v>
      </c>
      <c r="AL14" s="15" t="s">
        <v>9</v>
      </c>
      <c r="AM14" s="118">
        <v>5.4999999999999997E-3</v>
      </c>
      <c r="AN14" s="118">
        <v>5.4999999999999997E-3</v>
      </c>
      <c r="AO14" s="118">
        <v>0</v>
      </c>
      <c r="AP14" s="100">
        <v>46055</v>
      </c>
      <c r="AQ14" s="99"/>
    </row>
    <row r="15" spans="1:43" x14ac:dyDescent="0.25">
      <c r="A15" s="99" t="b">
        <v>1</v>
      </c>
      <c r="B15" s="101" t="s">
        <v>377</v>
      </c>
      <c r="C15" s="109"/>
      <c r="D15" s="95" t="s">
        <v>397</v>
      </c>
      <c r="E15" s="95" t="s">
        <v>311</v>
      </c>
      <c r="F15" s="98">
        <v>2026</v>
      </c>
      <c r="G15" s="99" t="s">
        <v>538</v>
      </c>
      <c r="H15" s="106">
        <v>1E-3</v>
      </c>
      <c r="I15" s="117">
        <v>6.7519999999999997E-2</v>
      </c>
      <c r="J15" s="100">
        <v>46013</v>
      </c>
      <c r="K15" s="117">
        <v>6.7589999999999997E-2</v>
      </c>
      <c r="L15" s="100">
        <v>46042</v>
      </c>
      <c r="M15" s="117">
        <v>6.6830000000000001E-2</v>
      </c>
      <c r="N15" s="100">
        <v>46076</v>
      </c>
      <c r="O15" s="117">
        <v>6.5189999999999998E-2</v>
      </c>
      <c r="P15" s="100">
        <v>46104</v>
      </c>
      <c r="Q15" s="117">
        <v>6.4619999999999997E-2</v>
      </c>
      <c r="R15" s="100">
        <v>46132</v>
      </c>
      <c r="S15" s="117">
        <v>6.6110000000000002E-2</v>
      </c>
      <c r="T15" s="100">
        <v>46160</v>
      </c>
      <c r="U15" s="117">
        <v>6.4670000000000005E-2</v>
      </c>
      <c r="V15" s="100">
        <v>46195</v>
      </c>
      <c r="W15" s="117">
        <v>6.4280000000000004E-2</v>
      </c>
      <c r="X15" s="100">
        <v>46223</v>
      </c>
      <c r="Y15" s="117">
        <v>6.1920000000000003E-2</v>
      </c>
      <c r="Z15" s="100">
        <v>46258</v>
      </c>
      <c r="AA15" s="117">
        <v>6.5699999999999995E-2</v>
      </c>
      <c r="AB15" s="100">
        <v>46286</v>
      </c>
      <c r="AC15" s="117">
        <v>6.5540000000000001E-2</v>
      </c>
      <c r="AD15" s="100">
        <v>46314</v>
      </c>
      <c r="AE15" s="117"/>
      <c r="AF15" s="100"/>
      <c r="AG15" s="117"/>
      <c r="AH15" s="100"/>
      <c r="AI15" s="15">
        <v>319355822</v>
      </c>
      <c r="AJ15" s="15" t="s">
        <v>40</v>
      </c>
      <c r="AK15" s="15" t="s">
        <v>5</v>
      </c>
      <c r="AL15" s="17" t="s">
        <v>9</v>
      </c>
      <c r="AM15" s="118">
        <v>5.4999999999999997E-3</v>
      </c>
      <c r="AN15" s="118">
        <v>5.4999999999999997E-3</v>
      </c>
      <c r="AO15" s="118">
        <v>0</v>
      </c>
      <c r="AP15" s="100">
        <v>46054</v>
      </c>
      <c r="AQ15" s="99"/>
    </row>
    <row r="16" spans="1:43" x14ac:dyDescent="0.25">
      <c r="A16" s="99" t="b">
        <v>1</v>
      </c>
      <c r="B16" s="101" t="s">
        <v>379</v>
      </c>
      <c r="C16" s="109"/>
      <c r="D16" s="95" t="s">
        <v>397</v>
      </c>
      <c r="E16" s="95" t="s">
        <v>311</v>
      </c>
      <c r="F16" s="98">
        <v>2027</v>
      </c>
      <c r="G16" s="99" t="s">
        <v>538</v>
      </c>
      <c r="H16" s="106">
        <v>1E-3</v>
      </c>
      <c r="I16" s="117">
        <v>7.2139999999999996E-2</v>
      </c>
      <c r="J16" s="100">
        <v>46013</v>
      </c>
      <c r="K16" s="117">
        <v>6.9519999999999998E-2</v>
      </c>
      <c r="L16" s="100">
        <v>46042</v>
      </c>
      <c r="M16" s="117">
        <v>6.7760000000000001E-2</v>
      </c>
      <c r="N16" s="100">
        <v>46076</v>
      </c>
      <c r="O16" s="117">
        <v>6.7479999999999998E-2</v>
      </c>
      <c r="P16" s="100">
        <v>46104</v>
      </c>
      <c r="Q16" s="117">
        <v>6.7280000000000006E-2</v>
      </c>
      <c r="R16" s="100">
        <v>46132</v>
      </c>
      <c r="S16" s="117">
        <v>7.084E-2</v>
      </c>
      <c r="T16" s="100">
        <v>46160</v>
      </c>
      <c r="U16" s="117">
        <v>6.9190000000000002E-2</v>
      </c>
      <c r="V16" s="100">
        <v>46195</v>
      </c>
      <c r="W16" s="117">
        <v>6.9269999999999998E-2</v>
      </c>
      <c r="X16" s="100">
        <v>46223</v>
      </c>
      <c r="Y16" s="117">
        <v>6.9409999999999999E-2</v>
      </c>
      <c r="Z16" s="100">
        <v>46258</v>
      </c>
      <c r="AA16" s="117">
        <v>6.9699999999999998E-2</v>
      </c>
      <c r="AB16" s="100">
        <v>46286</v>
      </c>
      <c r="AC16" s="117">
        <v>6.9019999999999998E-2</v>
      </c>
      <c r="AD16" s="100">
        <v>46314</v>
      </c>
      <c r="AE16" s="117"/>
      <c r="AF16" s="100"/>
      <c r="AG16" s="117"/>
      <c r="AH16" s="100"/>
      <c r="AI16" s="15">
        <v>319355868</v>
      </c>
      <c r="AJ16" s="15" t="s">
        <v>40</v>
      </c>
      <c r="AK16" s="15" t="s">
        <v>5</v>
      </c>
      <c r="AL16" s="17" t="s">
        <v>9</v>
      </c>
      <c r="AM16" s="118">
        <v>5.4999999999999997E-3</v>
      </c>
      <c r="AN16" s="118">
        <v>5.4999999999999997E-3</v>
      </c>
      <c r="AO16" s="118">
        <v>0</v>
      </c>
      <c r="AP16" s="100">
        <v>46054</v>
      </c>
      <c r="AQ16" s="99"/>
    </row>
    <row r="17" spans="1:43" x14ac:dyDescent="0.25">
      <c r="A17" s="99" t="b">
        <v>1</v>
      </c>
      <c r="B17" s="101" t="s">
        <v>381</v>
      </c>
      <c r="C17" s="109"/>
      <c r="D17" s="95" t="s">
        <v>397</v>
      </c>
      <c r="E17" s="95" t="s">
        <v>311</v>
      </c>
      <c r="F17" s="98">
        <v>2028</v>
      </c>
      <c r="G17" s="99" t="s">
        <v>538</v>
      </c>
      <c r="H17" s="106">
        <v>1E-3</v>
      </c>
      <c r="I17" s="117">
        <v>7.5020000000000003E-2</v>
      </c>
      <c r="J17" s="100">
        <v>46013</v>
      </c>
      <c r="K17" s="117">
        <v>7.4609999999999996E-2</v>
      </c>
      <c r="L17" s="100">
        <v>46042</v>
      </c>
      <c r="M17" s="117">
        <v>7.2620000000000004E-2</v>
      </c>
      <c r="N17" s="100">
        <v>46076</v>
      </c>
      <c r="O17" s="117">
        <v>7.2669999999999998E-2</v>
      </c>
      <c r="P17" s="100">
        <v>46104</v>
      </c>
      <c r="Q17" s="117">
        <v>7.3249999999999996E-2</v>
      </c>
      <c r="R17" s="100">
        <v>46132</v>
      </c>
      <c r="S17" s="117">
        <v>7.6060000000000003E-2</v>
      </c>
      <c r="T17" s="100">
        <v>46160</v>
      </c>
      <c r="U17" s="117">
        <v>7.528E-2</v>
      </c>
      <c r="V17" s="100">
        <v>46195</v>
      </c>
      <c r="W17" s="117">
        <v>7.5560000000000002E-2</v>
      </c>
      <c r="X17" s="100">
        <v>46223</v>
      </c>
      <c r="Y17" s="117">
        <v>7.6480000000000006E-2</v>
      </c>
      <c r="Z17" s="100">
        <v>46258</v>
      </c>
      <c r="AA17" s="117">
        <v>7.4429999999999996E-2</v>
      </c>
      <c r="AB17" s="100">
        <v>46286</v>
      </c>
      <c r="AC17" s="117">
        <v>7.5069999999999998E-2</v>
      </c>
      <c r="AD17" s="100">
        <v>46314</v>
      </c>
      <c r="AE17" s="117"/>
      <c r="AF17" s="100"/>
      <c r="AG17" s="117"/>
      <c r="AH17" s="100"/>
      <c r="AI17" s="15">
        <v>328908609</v>
      </c>
      <c r="AJ17" s="15" t="s">
        <v>40</v>
      </c>
      <c r="AK17" s="15" t="s">
        <v>5</v>
      </c>
      <c r="AL17" s="17" t="s">
        <v>9</v>
      </c>
      <c r="AM17" s="118">
        <v>5.4999999999999997E-3</v>
      </c>
      <c r="AN17" s="118">
        <v>5.4999999999999997E-3</v>
      </c>
      <c r="AO17" s="118">
        <v>0</v>
      </c>
      <c r="AP17" s="100">
        <v>46054</v>
      </c>
      <c r="AQ17" s="99"/>
    </row>
    <row r="18" spans="1:43" s="89" customFormat="1" x14ac:dyDescent="0.25">
      <c r="A18" s="99" t="b">
        <v>1</v>
      </c>
      <c r="B18" s="101" t="s">
        <v>383</v>
      </c>
      <c r="C18" s="109"/>
      <c r="D18" s="95" t="s">
        <v>397</v>
      </c>
      <c r="E18" s="95" t="s">
        <v>311</v>
      </c>
      <c r="F18" s="98">
        <v>2029</v>
      </c>
      <c r="G18" s="99" t="s">
        <v>538</v>
      </c>
      <c r="H18" s="106">
        <v>1E-3</v>
      </c>
      <c r="I18" s="117">
        <v>7.009E-2</v>
      </c>
      <c r="J18" s="100">
        <v>46013</v>
      </c>
      <c r="K18" s="117">
        <v>6.9419999999999996E-2</v>
      </c>
      <c r="L18" s="100">
        <v>46042</v>
      </c>
      <c r="M18" s="117">
        <v>6.7349999999999993E-2</v>
      </c>
      <c r="N18" s="100">
        <v>46076</v>
      </c>
      <c r="O18" s="117">
        <v>6.7580000000000001E-2</v>
      </c>
      <c r="P18" s="100">
        <v>46104</v>
      </c>
      <c r="Q18" s="117">
        <v>7.0059999999999997E-2</v>
      </c>
      <c r="R18" s="100">
        <v>46132</v>
      </c>
      <c r="S18" s="117">
        <v>7.17E-2</v>
      </c>
      <c r="T18" s="100">
        <v>46160</v>
      </c>
      <c r="U18" s="117">
        <v>7.0250000000000007E-2</v>
      </c>
      <c r="V18" s="100">
        <v>46195</v>
      </c>
      <c r="W18" s="117">
        <v>7.0050000000000001E-2</v>
      </c>
      <c r="X18" s="100">
        <v>46223</v>
      </c>
      <c r="Y18" s="117">
        <v>7.0150000000000004E-2</v>
      </c>
      <c r="Z18" s="100">
        <v>46258</v>
      </c>
      <c r="AA18" s="117">
        <v>6.88E-2</v>
      </c>
      <c r="AB18" s="100">
        <v>46286</v>
      </c>
      <c r="AC18" s="117">
        <v>7.0300000000000001E-2</v>
      </c>
      <c r="AD18" s="100">
        <v>46314</v>
      </c>
      <c r="AE18" s="117"/>
      <c r="AF18" s="100"/>
      <c r="AG18" s="117"/>
      <c r="AH18" s="100"/>
      <c r="AI18" s="15">
        <v>382846991</v>
      </c>
      <c r="AJ18" s="15" t="s">
        <v>40</v>
      </c>
      <c r="AK18" s="15" t="s">
        <v>5</v>
      </c>
      <c r="AL18" s="17" t="s">
        <v>9</v>
      </c>
      <c r="AM18" s="118">
        <v>5.4999999999999997E-3</v>
      </c>
      <c r="AN18" s="118">
        <v>5.4999999999999997E-3</v>
      </c>
      <c r="AO18" s="118">
        <v>0</v>
      </c>
      <c r="AP18" s="100">
        <v>46054</v>
      </c>
      <c r="AQ18" s="99"/>
    </row>
    <row r="19" spans="1:43" s="89" customFormat="1" x14ac:dyDescent="0.25">
      <c r="A19" s="99" t="b">
        <v>1</v>
      </c>
      <c r="B19" s="101" t="s">
        <v>385</v>
      </c>
      <c r="C19" s="109"/>
      <c r="D19" s="95" t="s">
        <v>397</v>
      </c>
      <c r="E19" s="95" t="s">
        <v>311</v>
      </c>
      <c r="F19" s="98">
        <v>2030</v>
      </c>
      <c r="G19" s="99" t="s">
        <v>538</v>
      </c>
      <c r="H19" s="106">
        <v>1E-3</v>
      </c>
      <c r="I19" s="117">
        <v>6.3E-2</v>
      </c>
      <c r="J19" s="100">
        <v>46013</v>
      </c>
      <c r="K19" s="117">
        <v>6.2350000000000003E-2</v>
      </c>
      <c r="L19" s="100">
        <v>46042</v>
      </c>
      <c r="M19" s="117">
        <v>6.1890000000000001E-2</v>
      </c>
      <c r="N19" s="100">
        <v>46076</v>
      </c>
      <c r="O19" s="117">
        <v>6.2460000000000002E-2</v>
      </c>
      <c r="P19" s="100">
        <v>46104</v>
      </c>
      <c r="Q19" s="117">
        <v>6.2469999999999998E-2</v>
      </c>
      <c r="R19" s="100">
        <v>46132</v>
      </c>
      <c r="S19" s="117">
        <v>6.4869999999999997E-2</v>
      </c>
      <c r="T19" s="100">
        <v>46160</v>
      </c>
      <c r="U19" s="117">
        <v>6.4210000000000003E-2</v>
      </c>
      <c r="V19" s="100">
        <v>46195</v>
      </c>
      <c r="W19" s="117">
        <v>6.3909999999999995E-2</v>
      </c>
      <c r="X19" s="100">
        <v>46223</v>
      </c>
      <c r="Y19" s="117">
        <v>6.5299999999999997E-2</v>
      </c>
      <c r="Z19" s="100">
        <v>46258</v>
      </c>
      <c r="AA19" s="117">
        <v>6.2899999999999998E-2</v>
      </c>
      <c r="AB19" s="100">
        <v>46286</v>
      </c>
      <c r="AC19" s="117">
        <v>6.3519999999999993E-2</v>
      </c>
      <c r="AD19" s="100">
        <v>46314</v>
      </c>
      <c r="AE19" s="117"/>
      <c r="AF19" s="100"/>
      <c r="AG19" s="117"/>
      <c r="AH19" s="100"/>
      <c r="AI19" s="15">
        <v>445419989</v>
      </c>
      <c r="AJ19" s="15" t="s">
        <v>40</v>
      </c>
      <c r="AK19" s="15" t="s">
        <v>5</v>
      </c>
      <c r="AL19" s="17" t="s">
        <v>9</v>
      </c>
      <c r="AM19" s="118">
        <v>5.4999999999999997E-3</v>
      </c>
      <c r="AN19" s="118">
        <v>5.4999999999999997E-3</v>
      </c>
      <c r="AO19" s="118">
        <v>0</v>
      </c>
      <c r="AP19" s="100">
        <v>46054</v>
      </c>
      <c r="AQ19" s="99"/>
    </row>
    <row r="20" spans="1:43" s="89" customFormat="1" x14ac:dyDescent="0.25">
      <c r="A20" s="99" t="b">
        <v>1</v>
      </c>
      <c r="B20" s="101" t="s">
        <v>387</v>
      </c>
      <c r="C20" s="109"/>
      <c r="D20" s="95" t="s">
        <v>397</v>
      </c>
      <c r="E20" s="95" t="s">
        <v>311</v>
      </c>
      <c r="F20" s="98">
        <v>2031</v>
      </c>
      <c r="G20" s="99" t="s">
        <v>538</v>
      </c>
      <c r="H20" s="106">
        <v>1E-3</v>
      </c>
      <c r="I20" s="117">
        <v>6.2670000000000003E-2</v>
      </c>
      <c r="J20" s="100">
        <v>46013</v>
      </c>
      <c r="K20" s="117">
        <v>6.241E-2</v>
      </c>
      <c r="L20" s="100">
        <v>46042</v>
      </c>
      <c r="M20" s="117">
        <v>6.2129999999999998E-2</v>
      </c>
      <c r="N20" s="100">
        <v>46076</v>
      </c>
      <c r="O20" s="117">
        <v>6.2280000000000002E-2</v>
      </c>
      <c r="P20" s="100">
        <v>46104</v>
      </c>
      <c r="Q20" s="117">
        <v>6.3149999999999998E-2</v>
      </c>
      <c r="R20" s="100">
        <v>46132</v>
      </c>
      <c r="S20" s="117">
        <v>6.6009999999999999E-2</v>
      </c>
      <c r="T20" s="100">
        <v>46160</v>
      </c>
      <c r="U20" s="117">
        <v>6.4100000000000004E-2</v>
      </c>
      <c r="V20" s="100">
        <v>46195</v>
      </c>
      <c r="W20" s="117">
        <v>6.5030000000000004E-2</v>
      </c>
      <c r="X20" s="100">
        <v>46223</v>
      </c>
      <c r="Y20" s="117">
        <v>6.7199999999999996E-2</v>
      </c>
      <c r="Z20" s="100">
        <v>46258</v>
      </c>
      <c r="AA20" s="117">
        <v>6.3420000000000004E-2</v>
      </c>
      <c r="AB20" s="100">
        <v>46286</v>
      </c>
      <c r="AC20" s="117">
        <v>6.5000000000000002E-2</v>
      </c>
      <c r="AD20" s="100">
        <v>46314</v>
      </c>
      <c r="AE20" s="117"/>
      <c r="AF20" s="100"/>
      <c r="AG20" s="117"/>
      <c r="AH20" s="100"/>
      <c r="AI20" s="15">
        <v>514484982</v>
      </c>
      <c r="AJ20" s="15" t="s">
        <v>40</v>
      </c>
      <c r="AK20" s="15" t="s">
        <v>5</v>
      </c>
      <c r="AL20" s="17" t="s">
        <v>9</v>
      </c>
      <c r="AM20" s="118">
        <v>5.4999999999999997E-3</v>
      </c>
      <c r="AN20" s="118">
        <v>5.4999999999999997E-3</v>
      </c>
      <c r="AO20" s="118">
        <v>0</v>
      </c>
      <c r="AP20" s="100">
        <v>46054</v>
      </c>
      <c r="AQ20" s="99"/>
    </row>
    <row r="21" spans="1:43" s="89" customFormat="1" x14ac:dyDescent="0.25">
      <c r="A21" s="99" t="b">
        <v>1</v>
      </c>
      <c r="B21" s="101" t="s">
        <v>389</v>
      </c>
      <c r="C21" s="109"/>
      <c r="D21" s="95" t="s">
        <v>397</v>
      </c>
      <c r="E21" s="95" t="s">
        <v>311</v>
      </c>
      <c r="F21" s="98">
        <v>2032</v>
      </c>
      <c r="G21" s="99" t="s">
        <v>538</v>
      </c>
      <c r="H21" s="106">
        <v>1E-3</v>
      </c>
      <c r="I21" s="117">
        <v>8.2640000000000005E-2</v>
      </c>
      <c r="J21" s="100">
        <v>46013</v>
      </c>
      <c r="K21" s="117">
        <v>8.0210000000000004E-2</v>
      </c>
      <c r="L21" s="100">
        <v>46042</v>
      </c>
      <c r="M21" s="117">
        <v>7.9240000000000005E-2</v>
      </c>
      <c r="N21" s="100">
        <v>46076</v>
      </c>
      <c r="O21" s="117">
        <v>7.9710000000000003E-2</v>
      </c>
      <c r="P21" s="100">
        <v>46104</v>
      </c>
      <c r="Q21" s="117">
        <v>8.1210000000000004E-2</v>
      </c>
      <c r="R21" s="100">
        <v>46132</v>
      </c>
      <c r="S21" s="117">
        <v>8.4110000000000004E-2</v>
      </c>
      <c r="T21" s="100">
        <v>46160</v>
      </c>
      <c r="U21" s="117">
        <v>8.3080000000000001E-2</v>
      </c>
      <c r="V21" s="100">
        <v>46195</v>
      </c>
      <c r="W21" s="117">
        <v>8.2600000000000007E-2</v>
      </c>
      <c r="X21" s="100">
        <v>46223</v>
      </c>
      <c r="Y21" s="117">
        <v>8.4349999999999994E-2</v>
      </c>
      <c r="Z21" s="100">
        <v>46258</v>
      </c>
      <c r="AA21" s="117">
        <v>7.9399999999999998E-2</v>
      </c>
      <c r="AB21" s="100">
        <v>46286</v>
      </c>
      <c r="AC21" s="117">
        <v>8.3290000000000003E-2</v>
      </c>
      <c r="AD21" s="100">
        <v>46314</v>
      </c>
      <c r="AE21" s="117"/>
      <c r="AF21" s="100"/>
      <c r="AG21" s="117"/>
      <c r="AH21" s="100"/>
      <c r="AI21" s="15">
        <v>584128137</v>
      </c>
      <c r="AJ21" s="15" t="s">
        <v>40</v>
      </c>
      <c r="AK21" s="15" t="s">
        <v>5</v>
      </c>
      <c r="AL21" s="17" t="s">
        <v>9</v>
      </c>
      <c r="AM21" s="118">
        <v>5.4999999999999997E-3</v>
      </c>
      <c r="AN21" s="118">
        <v>5.4999999999999997E-3</v>
      </c>
      <c r="AO21" s="118">
        <v>0</v>
      </c>
      <c r="AP21" s="100">
        <v>46054</v>
      </c>
      <c r="AQ21" s="99"/>
    </row>
    <row r="22" spans="1:43" s="89" customFormat="1" x14ac:dyDescent="0.25">
      <c r="A22" s="99" t="b">
        <v>1</v>
      </c>
      <c r="B22" s="101" t="s">
        <v>391</v>
      </c>
      <c r="C22" s="109"/>
      <c r="D22" s="95" t="s">
        <v>397</v>
      </c>
      <c r="E22" s="95" t="s">
        <v>311</v>
      </c>
      <c r="F22" s="98">
        <v>2033</v>
      </c>
      <c r="G22" s="99" t="s">
        <v>538</v>
      </c>
      <c r="H22" s="106">
        <v>1E-3</v>
      </c>
      <c r="I22" s="117">
        <v>8.7459999999999996E-2</v>
      </c>
      <c r="J22" s="100">
        <v>46013</v>
      </c>
      <c r="K22" s="117">
        <v>8.4909999999999999E-2</v>
      </c>
      <c r="L22" s="100">
        <v>46042</v>
      </c>
      <c r="M22" s="117">
        <v>8.2699999999999996E-2</v>
      </c>
      <c r="N22" s="100">
        <v>46076</v>
      </c>
      <c r="O22" s="117">
        <v>8.3080000000000001E-2</v>
      </c>
      <c r="P22" s="100">
        <v>46104</v>
      </c>
      <c r="Q22" s="117">
        <v>8.4190000000000001E-2</v>
      </c>
      <c r="R22" s="100">
        <v>46132</v>
      </c>
      <c r="S22" s="117">
        <v>8.7179999999999994E-2</v>
      </c>
      <c r="T22" s="100">
        <v>46160</v>
      </c>
      <c r="U22" s="117">
        <v>8.4220000000000003E-2</v>
      </c>
      <c r="V22" s="100">
        <v>46195</v>
      </c>
      <c r="W22" s="117">
        <v>8.7970000000000007E-2</v>
      </c>
      <c r="X22" s="100">
        <v>46223</v>
      </c>
      <c r="Y22" s="117">
        <v>9.1139999999999999E-2</v>
      </c>
      <c r="Z22" s="100">
        <v>46258</v>
      </c>
      <c r="AA22" s="117">
        <v>8.4900000000000003E-2</v>
      </c>
      <c r="AB22" s="100">
        <v>46286</v>
      </c>
      <c r="AC22" s="117">
        <v>8.3879999999999996E-2</v>
      </c>
      <c r="AD22" s="100">
        <v>46314</v>
      </c>
      <c r="AE22" s="117"/>
      <c r="AF22" s="100"/>
      <c r="AG22" s="117"/>
      <c r="AH22" s="100"/>
      <c r="AI22" s="15">
        <v>655310927</v>
      </c>
      <c r="AJ22" s="15" t="s">
        <v>40</v>
      </c>
      <c r="AK22" s="15" t="s">
        <v>5</v>
      </c>
      <c r="AL22" s="17" t="s">
        <v>9</v>
      </c>
      <c r="AM22" s="118">
        <v>5.4999999999999997E-3</v>
      </c>
      <c r="AN22" s="118">
        <v>5.4999999999999997E-3</v>
      </c>
      <c r="AO22" s="118">
        <v>0</v>
      </c>
      <c r="AP22" s="100">
        <v>46054</v>
      </c>
      <c r="AQ22" s="99"/>
    </row>
    <row r="23" spans="1:43" s="89" customFormat="1" x14ac:dyDescent="0.25">
      <c r="A23" s="99" t="b">
        <v>1</v>
      </c>
      <c r="B23" s="101" t="s">
        <v>393</v>
      </c>
      <c r="C23" s="109"/>
      <c r="D23" s="95" t="s">
        <v>397</v>
      </c>
      <c r="E23" s="95" t="s">
        <v>311</v>
      </c>
      <c r="F23" s="98">
        <v>2034</v>
      </c>
      <c r="G23" s="99" t="s">
        <v>538</v>
      </c>
      <c r="H23" s="106">
        <v>1E-3</v>
      </c>
      <c r="I23" s="117">
        <v>8.0500000000000002E-2</v>
      </c>
      <c r="J23" s="100">
        <v>46013</v>
      </c>
      <c r="K23" s="117">
        <v>8.1670000000000006E-2</v>
      </c>
      <c r="L23" s="100">
        <v>46042</v>
      </c>
      <c r="M23" s="117">
        <v>8.1119999999999998E-2</v>
      </c>
      <c r="N23" s="100">
        <v>46076</v>
      </c>
      <c r="O23" s="117">
        <v>7.9579999999999998E-2</v>
      </c>
      <c r="P23" s="100">
        <v>46104</v>
      </c>
      <c r="Q23" s="117">
        <v>7.7369999999999994E-2</v>
      </c>
      <c r="R23" s="100">
        <v>46132</v>
      </c>
      <c r="S23" s="117">
        <v>8.7650000000000006E-2</v>
      </c>
      <c r="T23" s="100">
        <v>46160</v>
      </c>
      <c r="U23" s="117">
        <v>8.8090000000000002E-2</v>
      </c>
      <c r="V23" s="100">
        <v>46195</v>
      </c>
      <c r="W23" s="117">
        <v>8.8529999999999998E-2</v>
      </c>
      <c r="X23" s="100">
        <v>46223</v>
      </c>
      <c r="Y23" s="117">
        <v>9.1999999999999998E-2</v>
      </c>
      <c r="Z23" s="100">
        <v>46258</v>
      </c>
      <c r="AA23" s="117">
        <v>8.09E-2</v>
      </c>
      <c r="AB23" s="100">
        <v>46286</v>
      </c>
      <c r="AC23" s="117">
        <v>8.5250000000000006E-2</v>
      </c>
      <c r="AD23" s="100">
        <v>46314</v>
      </c>
      <c r="AE23" s="117"/>
      <c r="AF23" s="100"/>
      <c r="AG23" s="117"/>
      <c r="AH23" s="100"/>
      <c r="AI23" s="15">
        <v>709029637</v>
      </c>
      <c r="AJ23" s="15" t="s">
        <v>40</v>
      </c>
      <c r="AK23" s="15" t="s">
        <v>5</v>
      </c>
      <c r="AL23" s="17" t="s">
        <v>9</v>
      </c>
      <c r="AM23" s="118">
        <v>5.4999999999999997E-3</v>
      </c>
      <c r="AN23" s="118">
        <v>5.4999999999999997E-3</v>
      </c>
      <c r="AO23" s="118">
        <v>0</v>
      </c>
      <c r="AP23" s="100">
        <v>46054</v>
      </c>
      <c r="AQ23" s="99"/>
    </row>
    <row r="24" spans="1:43" s="89" customFormat="1" x14ac:dyDescent="0.25">
      <c r="A24" s="99" t="b">
        <v>1</v>
      </c>
      <c r="B24" s="101" t="s">
        <v>395</v>
      </c>
      <c r="C24" s="109"/>
      <c r="D24" s="95" t="s">
        <v>397</v>
      </c>
      <c r="E24" s="95" t="s">
        <v>311</v>
      </c>
      <c r="F24" s="98">
        <v>2035</v>
      </c>
      <c r="G24" s="99" t="s">
        <v>538</v>
      </c>
      <c r="H24" s="106">
        <v>1E-3</v>
      </c>
      <c r="I24" s="117">
        <v>6.837E-2</v>
      </c>
      <c r="J24" s="100">
        <v>46013</v>
      </c>
      <c r="K24" s="117">
        <v>6.8330000000000002E-2</v>
      </c>
      <c r="L24" s="100">
        <v>46042</v>
      </c>
      <c r="M24" s="117">
        <v>6.6970000000000002E-2</v>
      </c>
      <c r="N24" s="100">
        <v>46076</v>
      </c>
      <c r="O24" s="117">
        <v>7.6759999999999995E-2</v>
      </c>
      <c r="P24" s="100">
        <v>46104</v>
      </c>
      <c r="Q24" s="117">
        <v>8.3650000000000002E-2</v>
      </c>
      <c r="R24" s="100">
        <v>46132</v>
      </c>
      <c r="S24" s="117">
        <v>8.6139999999999994E-2</v>
      </c>
      <c r="T24" s="100">
        <v>46160</v>
      </c>
      <c r="U24" s="117">
        <v>8.6879999999999999E-2</v>
      </c>
      <c r="V24" s="100">
        <v>46195</v>
      </c>
      <c r="W24" s="117">
        <v>9.1109999999999997E-2</v>
      </c>
      <c r="X24" s="100">
        <v>46223</v>
      </c>
      <c r="Y24" s="117">
        <v>9.3899999999999997E-2</v>
      </c>
      <c r="Z24" s="100">
        <v>46258</v>
      </c>
      <c r="AA24" s="117">
        <v>7.6439999999999994E-2</v>
      </c>
      <c r="AB24" s="100">
        <v>46286</v>
      </c>
      <c r="AC24" s="117">
        <v>7.9430000000000001E-2</v>
      </c>
      <c r="AD24" s="100">
        <v>46314</v>
      </c>
      <c r="AE24" s="117"/>
      <c r="AF24" s="100"/>
      <c r="AG24" s="117"/>
      <c r="AH24" s="100"/>
      <c r="AI24" s="15">
        <v>790898603</v>
      </c>
      <c r="AJ24" s="15" t="s">
        <v>40</v>
      </c>
      <c r="AK24" s="15" t="s">
        <v>5</v>
      </c>
      <c r="AL24" s="17" t="s">
        <v>9</v>
      </c>
      <c r="AM24" s="118">
        <v>5.4999999999999997E-3</v>
      </c>
      <c r="AN24" s="118">
        <v>5.4999999999999997E-3</v>
      </c>
      <c r="AO24" s="118">
        <v>0</v>
      </c>
      <c r="AP24" s="100">
        <v>46054</v>
      </c>
      <c r="AQ24" s="99"/>
    </row>
    <row r="25" spans="1:43" s="89" customFormat="1" x14ac:dyDescent="0.25">
      <c r="A25" s="99" t="b">
        <v>1</v>
      </c>
      <c r="B25" s="101" t="s">
        <v>424</v>
      </c>
      <c r="C25" s="109"/>
      <c r="D25" s="95" t="s">
        <v>397</v>
      </c>
      <c r="E25" s="95" t="s">
        <v>555</v>
      </c>
      <c r="F25" s="98">
        <v>2027</v>
      </c>
      <c r="G25" s="99" t="s">
        <v>538</v>
      </c>
      <c r="H25" s="106">
        <v>6.9999999999999999E-4</v>
      </c>
      <c r="I25" s="117">
        <v>0</v>
      </c>
      <c r="J25" s="100" t="s">
        <v>85</v>
      </c>
      <c r="K25" s="117">
        <v>0</v>
      </c>
      <c r="L25" s="100" t="s">
        <v>85</v>
      </c>
      <c r="M25" s="117">
        <v>0</v>
      </c>
      <c r="N25" s="100" t="s">
        <v>85</v>
      </c>
      <c r="O25" s="117">
        <v>0</v>
      </c>
      <c r="P25" s="100" t="s">
        <v>85</v>
      </c>
      <c r="Q25" s="117">
        <v>0</v>
      </c>
      <c r="R25" s="100" t="s">
        <v>85</v>
      </c>
      <c r="S25" s="117">
        <v>0</v>
      </c>
      <c r="T25" s="100" t="s">
        <v>85</v>
      </c>
      <c r="U25" s="117">
        <v>0</v>
      </c>
      <c r="V25" s="100" t="s">
        <v>85</v>
      </c>
      <c r="W25" s="117">
        <v>0.111</v>
      </c>
      <c r="X25" s="100">
        <v>46223</v>
      </c>
      <c r="Y25" s="117">
        <v>8.6999999999999994E-2</v>
      </c>
      <c r="Z25" s="100">
        <v>46258</v>
      </c>
      <c r="AA25" s="117">
        <v>6.4000000000000001E-2</v>
      </c>
      <c r="AB25" s="100">
        <v>46286</v>
      </c>
      <c r="AC25" s="117">
        <v>7.9659999999999995E-2</v>
      </c>
      <c r="AD25" s="100">
        <v>46314</v>
      </c>
      <c r="AE25" s="117"/>
      <c r="AF25" s="100"/>
      <c r="AG25" s="117"/>
      <c r="AH25" s="100"/>
      <c r="AI25" s="15">
        <v>890757189</v>
      </c>
      <c r="AJ25" s="15" t="s">
        <v>40</v>
      </c>
      <c r="AK25" s="15" t="s">
        <v>5</v>
      </c>
      <c r="AL25" s="17" t="s">
        <v>9</v>
      </c>
      <c r="AM25" s="118">
        <v>5.4999999999999997E-3</v>
      </c>
      <c r="AN25" s="118">
        <v>5.4999999999999997E-3</v>
      </c>
      <c r="AO25" s="118">
        <v>0</v>
      </c>
      <c r="AP25" s="100">
        <v>46054</v>
      </c>
      <c r="AQ25" s="99"/>
    </row>
    <row r="26" spans="1:43" s="89" customFormat="1" x14ac:dyDescent="0.25">
      <c r="A26" s="99" t="b">
        <v>1</v>
      </c>
      <c r="B26" s="101" t="s">
        <v>428</v>
      </c>
      <c r="C26" s="109"/>
      <c r="D26" s="95" t="s">
        <v>397</v>
      </c>
      <c r="E26" s="95" t="s">
        <v>555</v>
      </c>
      <c r="F26" s="98">
        <v>2029</v>
      </c>
      <c r="G26" s="99" t="s">
        <v>538</v>
      </c>
      <c r="H26" s="106">
        <v>6.9999999999999999E-4</v>
      </c>
      <c r="I26" s="117">
        <v>0</v>
      </c>
      <c r="J26" s="100" t="s">
        <v>85</v>
      </c>
      <c r="K26" s="117">
        <v>0</v>
      </c>
      <c r="L26" s="100" t="s">
        <v>85</v>
      </c>
      <c r="M26" s="117">
        <v>0</v>
      </c>
      <c r="N26" s="100" t="s">
        <v>85</v>
      </c>
      <c r="O26" s="117">
        <v>0</v>
      </c>
      <c r="P26" s="100" t="s">
        <v>85</v>
      </c>
      <c r="Q26" s="117">
        <v>0</v>
      </c>
      <c r="R26" s="100" t="s">
        <v>85</v>
      </c>
      <c r="S26" s="117">
        <v>0</v>
      </c>
      <c r="T26" s="100" t="s">
        <v>85</v>
      </c>
      <c r="U26" s="117">
        <v>0</v>
      </c>
      <c r="V26" s="100" t="s">
        <v>85</v>
      </c>
      <c r="W26" s="117">
        <v>0.11700000000000001</v>
      </c>
      <c r="X26" s="100">
        <v>46223</v>
      </c>
      <c r="Y26" s="117">
        <v>9.1999999999999998E-2</v>
      </c>
      <c r="Z26" s="100">
        <v>46258</v>
      </c>
      <c r="AA26" s="117">
        <v>8.4000000000000005E-2</v>
      </c>
      <c r="AB26" s="100">
        <v>46286</v>
      </c>
      <c r="AC26" s="117">
        <v>8.115E-2</v>
      </c>
      <c r="AD26" s="100">
        <v>46314</v>
      </c>
      <c r="AE26" s="117"/>
      <c r="AF26" s="100"/>
      <c r="AG26" s="117"/>
      <c r="AH26" s="100"/>
      <c r="AI26" s="15">
        <v>890757199</v>
      </c>
      <c r="AJ26" s="15" t="s">
        <v>40</v>
      </c>
      <c r="AK26" s="15" t="s">
        <v>5</v>
      </c>
      <c r="AL26" s="17" t="s">
        <v>9</v>
      </c>
      <c r="AM26" s="118">
        <v>5.4999999999999997E-3</v>
      </c>
      <c r="AN26" s="118">
        <v>5.4999999999999997E-3</v>
      </c>
      <c r="AO26" s="118">
        <v>0</v>
      </c>
      <c r="AP26" s="100">
        <v>46054</v>
      </c>
      <c r="AQ26" s="99"/>
    </row>
    <row r="27" spans="1:43" s="89" customFormat="1" x14ac:dyDescent="0.25">
      <c r="A27" s="99" t="b">
        <v>1</v>
      </c>
      <c r="B27" s="101" t="s">
        <v>398</v>
      </c>
      <c r="C27" s="109"/>
      <c r="D27" s="95" t="s">
        <v>397</v>
      </c>
      <c r="E27" s="95" t="s">
        <v>313</v>
      </c>
      <c r="F27" s="98">
        <v>2026</v>
      </c>
      <c r="G27" s="99" t="s">
        <v>538</v>
      </c>
      <c r="H27" s="106">
        <v>4.3E-3</v>
      </c>
      <c r="I27" s="117">
        <v>0.11</v>
      </c>
      <c r="J27" s="100">
        <v>46013</v>
      </c>
      <c r="K27" s="117">
        <v>0.112</v>
      </c>
      <c r="L27" s="100">
        <v>46042</v>
      </c>
      <c r="M27" s="117">
        <v>9.9000000000000005E-2</v>
      </c>
      <c r="N27" s="100">
        <v>46076</v>
      </c>
      <c r="O27" s="117">
        <v>0.106</v>
      </c>
      <c r="P27" s="100">
        <v>46104</v>
      </c>
      <c r="Q27" s="117">
        <v>0.104</v>
      </c>
      <c r="R27" s="100">
        <v>46132</v>
      </c>
      <c r="S27" s="117">
        <v>0.111</v>
      </c>
      <c r="T27" s="100">
        <v>46160</v>
      </c>
      <c r="U27" s="117">
        <v>0.108</v>
      </c>
      <c r="V27" s="100">
        <v>46195</v>
      </c>
      <c r="W27" s="117">
        <v>0.1</v>
      </c>
      <c r="X27" s="100">
        <v>46223</v>
      </c>
      <c r="Y27" s="117">
        <v>7.8E-2</v>
      </c>
      <c r="Z27" s="100">
        <v>46258</v>
      </c>
      <c r="AA27" s="117">
        <v>8.7999999999999995E-2</v>
      </c>
      <c r="AB27" s="100">
        <v>46286</v>
      </c>
      <c r="AC27" s="117">
        <v>8.1890000000000004E-2</v>
      </c>
      <c r="AD27" s="100">
        <v>46314</v>
      </c>
      <c r="AE27" s="117"/>
      <c r="AF27" s="100"/>
      <c r="AG27" s="117"/>
      <c r="AH27" s="100"/>
      <c r="AI27" s="15">
        <v>328908679</v>
      </c>
      <c r="AJ27" s="15" t="s">
        <v>40</v>
      </c>
      <c r="AK27" s="15" t="s">
        <v>5</v>
      </c>
      <c r="AL27" s="17" t="s">
        <v>9</v>
      </c>
      <c r="AM27" s="118">
        <v>5.4999999999999997E-3</v>
      </c>
      <c r="AN27" s="118">
        <v>5.4999999999999997E-3</v>
      </c>
      <c r="AO27" s="118">
        <v>0</v>
      </c>
      <c r="AP27" s="100">
        <v>46054</v>
      </c>
      <c r="AQ27" s="99"/>
    </row>
    <row r="28" spans="1:43" s="89" customFormat="1" x14ac:dyDescent="0.25">
      <c r="A28" s="99" t="b">
        <v>1</v>
      </c>
      <c r="B28" s="101" t="s">
        <v>400</v>
      </c>
      <c r="C28" s="109"/>
      <c r="D28" s="95" t="s">
        <v>397</v>
      </c>
      <c r="E28" s="95" t="s">
        <v>313</v>
      </c>
      <c r="F28" s="98">
        <v>2027</v>
      </c>
      <c r="G28" s="99" t="s">
        <v>538</v>
      </c>
      <c r="H28" s="106">
        <v>4.1999999999999997E-3</v>
      </c>
      <c r="I28" s="117">
        <v>0.111</v>
      </c>
      <c r="J28" s="100">
        <v>46013</v>
      </c>
      <c r="K28" s="117">
        <v>0.105</v>
      </c>
      <c r="L28" s="100">
        <v>46042</v>
      </c>
      <c r="M28" s="117">
        <v>9.8000000000000004E-2</v>
      </c>
      <c r="N28" s="100">
        <v>46076</v>
      </c>
      <c r="O28" s="117">
        <v>9.4E-2</v>
      </c>
      <c r="P28" s="100">
        <v>46104</v>
      </c>
      <c r="Q28" s="117">
        <v>9.9000000000000005E-2</v>
      </c>
      <c r="R28" s="100">
        <v>46132</v>
      </c>
      <c r="S28" s="117">
        <v>0.10100000000000001</v>
      </c>
      <c r="T28" s="100">
        <v>46160</v>
      </c>
      <c r="U28" s="117">
        <v>9.8000000000000004E-2</v>
      </c>
      <c r="V28" s="100">
        <v>46195</v>
      </c>
      <c r="W28" s="117">
        <v>9.9000000000000005E-2</v>
      </c>
      <c r="X28" s="100">
        <v>46223</v>
      </c>
      <c r="Y28" s="117">
        <v>9.8000000000000004E-2</v>
      </c>
      <c r="Z28" s="100">
        <v>46258</v>
      </c>
      <c r="AA28" s="117">
        <v>9.4E-2</v>
      </c>
      <c r="AB28" s="100">
        <v>46286</v>
      </c>
      <c r="AC28" s="117">
        <v>9.7809999999999994E-2</v>
      </c>
      <c r="AD28" s="100">
        <v>46314</v>
      </c>
      <c r="AE28" s="117"/>
      <c r="AF28" s="100"/>
      <c r="AG28" s="117"/>
      <c r="AH28" s="100"/>
      <c r="AI28" s="15">
        <v>382846986</v>
      </c>
      <c r="AJ28" s="15" t="s">
        <v>40</v>
      </c>
      <c r="AK28" s="15" t="s">
        <v>5</v>
      </c>
      <c r="AL28" s="17" t="s">
        <v>9</v>
      </c>
      <c r="AM28" s="118">
        <v>5.4999999999999997E-3</v>
      </c>
      <c r="AN28" s="118">
        <v>5.4999999999999997E-3</v>
      </c>
      <c r="AO28" s="118">
        <v>0</v>
      </c>
      <c r="AP28" s="100">
        <v>46054</v>
      </c>
      <c r="AQ28" s="99"/>
    </row>
    <row r="29" spans="1:43" s="89" customFormat="1" x14ac:dyDescent="0.25">
      <c r="A29" s="99" t="b">
        <v>1</v>
      </c>
      <c r="B29" s="101" t="s">
        <v>402</v>
      </c>
      <c r="C29" s="109"/>
      <c r="D29" s="95" t="s">
        <v>397</v>
      </c>
      <c r="E29" s="95" t="s">
        <v>313</v>
      </c>
      <c r="F29" s="98">
        <v>2028</v>
      </c>
      <c r="G29" s="99" t="s">
        <v>538</v>
      </c>
      <c r="H29" s="106">
        <v>4.1999999999999997E-3</v>
      </c>
      <c r="I29" s="117">
        <v>0.11799999999999999</v>
      </c>
      <c r="J29" s="100">
        <v>46013</v>
      </c>
      <c r="K29" s="117">
        <v>0.111</v>
      </c>
      <c r="L29" s="100">
        <v>46042</v>
      </c>
      <c r="M29" s="117">
        <v>0.106</v>
      </c>
      <c r="N29" s="100">
        <v>46076</v>
      </c>
      <c r="O29" s="117">
        <v>0.105</v>
      </c>
      <c r="P29" s="100">
        <v>46104</v>
      </c>
      <c r="Q29" s="117">
        <v>0.108</v>
      </c>
      <c r="R29" s="100">
        <v>46132</v>
      </c>
      <c r="S29" s="117">
        <v>0.112</v>
      </c>
      <c r="T29" s="100">
        <v>46160</v>
      </c>
      <c r="U29" s="117">
        <v>0.109</v>
      </c>
      <c r="V29" s="100">
        <v>46195</v>
      </c>
      <c r="W29" s="117">
        <v>0.109</v>
      </c>
      <c r="X29" s="100">
        <v>46223</v>
      </c>
      <c r="Y29" s="117">
        <v>0.109</v>
      </c>
      <c r="Z29" s="100">
        <v>46258</v>
      </c>
      <c r="AA29" s="117">
        <v>0.105</v>
      </c>
      <c r="AB29" s="100">
        <v>46286</v>
      </c>
      <c r="AC29" s="117">
        <v>0.10564</v>
      </c>
      <c r="AD29" s="100">
        <v>46314</v>
      </c>
      <c r="AE29" s="117"/>
      <c r="AF29" s="100"/>
      <c r="AG29" s="117"/>
      <c r="AH29" s="100"/>
      <c r="AI29" s="15">
        <v>445419984</v>
      </c>
      <c r="AJ29" s="15" t="s">
        <v>40</v>
      </c>
      <c r="AK29" s="15" t="s">
        <v>5</v>
      </c>
      <c r="AL29" s="17" t="s">
        <v>9</v>
      </c>
      <c r="AM29" s="118">
        <v>5.4999999999999997E-3</v>
      </c>
      <c r="AN29" s="118">
        <v>5.4999999999999997E-3</v>
      </c>
      <c r="AO29" s="118">
        <v>0</v>
      </c>
      <c r="AP29" s="100">
        <v>46054</v>
      </c>
      <c r="AQ29" s="99"/>
    </row>
    <row r="30" spans="1:43" s="89" customFormat="1" x14ac:dyDescent="0.25">
      <c r="A30" s="99" t="b">
        <v>1</v>
      </c>
      <c r="B30" s="101" t="s">
        <v>404</v>
      </c>
      <c r="C30" s="109"/>
      <c r="D30" s="95" t="s">
        <v>397</v>
      </c>
      <c r="E30" s="95" t="s">
        <v>313</v>
      </c>
      <c r="F30" s="98">
        <v>2029</v>
      </c>
      <c r="G30" s="99" t="s">
        <v>538</v>
      </c>
      <c r="H30" s="106">
        <v>4.1999999999999997E-3</v>
      </c>
      <c r="I30" s="117">
        <v>0.11600000000000001</v>
      </c>
      <c r="J30" s="100">
        <v>46013</v>
      </c>
      <c r="K30" s="117">
        <v>0.11600000000000001</v>
      </c>
      <c r="L30" s="100">
        <v>46042</v>
      </c>
      <c r="M30" s="117">
        <v>0.112</v>
      </c>
      <c r="N30" s="100">
        <v>46076</v>
      </c>
      <c r="O30" s="117">
        <v>0.111</v>
      </c>
      <c r="P30" s="100">
        <v>46104</v>
      </c>
      <c r="Q30" s="117">
        <v>0.11700000000000001</v>
      </c>
      <c r="R30" s="100">
        <v>46132</v>
      </c>
      <c r="S30" s="117">
        <v>0.12</v>
      </c>
      <c r="T30" s="100">
        <v>46160</v>
      </c>
      <c r="U30" s="117">
        <v>0.11</v>
      </c>
      <c r="V30" s="100">
        <v>46195</v>
      </c>
      <c r="W30" s="117">
        <v>0.114</v>
      </c>
      <c r="X30" s="100">
        <v>46223</v>
      </c>
      <c r="Y30" s="117">
        <v>0.111</v>
      </c>
      <c r="Z30" s="100">
        <v>46258</v>
      </c>
      <c r="AA30" s="117">
        <v>0.111</v>
      </c>
      <c r="AB30" s="100">
        <v>46286</v>
      </c>
      <c r="AC30" s="117">
        <v>0.11491999999999999</v>
      </c>
      <c r="AD30" s="100">
        <v>46314</v>
      </c>
      <c r="AE30" s="117"/>
      <c r="AF30" s="100"/>
      <c r="AG30" s="117"/>
      <c r="AH30" s="100"/>
      <c r="AI30" s="15">
        <v>514484979</v>
      </c>
      <c r="AJ30" s="15" t="s">
        <v>40</v>
      </c>
      <c r="AK30" s="15" t="s">
        <v>5</v>
      </c>
      <c r="AL30" s="17" t="s">
        <v>9</v>
      </c>
      <c r="AM30" s="118">
        <v>5.4999999999999997E-3</v>
      </c>
      <c r="AN30" s="118">
        <v>5.4999999999999997E-3</v>
      </c>
      <c r="AO30" s="118">
        <v>0</v>
      </c>
      <c r="AP30" s="100">
        <v>46054</v>
      </c>
      <c r="AQ30" s="99"/>
    </row>
    <row r="31" spans="1:43" s="89" customFormat="1" x14ac:dyDescent="0.25">
      <c r="A31" s="99" t="b">
        <v>1</v>
      </c>
      <c r="B31" s="101" t="s">
        <v>406</v>
      </c>
      <c r="C31" s="109"/>
      <c r="D31" s="95" t="s">
        <v>397</v>
      </c>
      <c r="E31" s="95" t="s">
        <v>313</v>
      </c>
      <c r="F31" s="98">
        <v>2030</v>
      </c>
      <c r="G31" s="99" t="s">
        <v>538</v>
      </c>
      <c r="H31" s="106">
        <v>4.1999999999999997E-3</v>
      </c>
      <c r="I31" s="117">
        <v>0.125</v>
      </c>
      <c r="J31" s="100">
        <v>46013</v>
      </c>
      <c r="K31" s="117">
        <v>0.13500000000000001</v>
      </c>
      <c r="L31" s="100">
        <v>46042</v>
      </c>
      <c r="M31" s="117">
        <v>0.13500000000000001</v>
      </c>
      <c r="N31" s="100">
        <v>46076</v>
      </c>
      <c r="O31" s="117">
        <v>0.14000000000000001</v>
      </c>
      <c r="P31" s="100">
        <v>46104</v>
      </c>
      <c r="Q31" s="117">
        <v>0.14799999999999999</v>
      </c>
      <c r="R31" s="100">
        <v>46132</v>
      </c>
      <c r="S31" s="117">
        <v>0.152</v>
      </c>
      <c r="T31" s="100">
        <v>46160</v>
      </c>
      <c r="U31" s="117">
        <v>0.14799999999999999</v>
      </c>
      <c r="V31" s="100">
        <v>46195</v>
      </c>
      <c r="W31" s="117">
        <v>0.14799999999999999</v>
      </c>
      <c r="X31" s="100">
        <v>46223</v>
      </c>
      <c r="Y31" s="117">
        <v>0.151</v>
      </c>
      <c r="Z31" s="100">
        <v>46258</v>
      </c>
      <c r="AA31" s="117">
        <v>0.13900000000000001</v>
      </c>
      <c r="AB31" s="100">
        <v>46286</v>
      </c>
      <c r="AC31" s="117">
        <v>0.14518</v>
      </c>
      <c r="AD31" s="100">
        <v>46314</v>
      </c>
      <c r="AE31" s="117"/>
      <c r="AF31" s="100"/>
      <c r="AG31" s="117"/>
      <c r="AH31" s="100"/>
      <c r="AI31" s="15">
        <v>584128134</v>
      </c>
      <c r="AJ31" s="15" t="s">
        <v>40</v>
      </c>
      <c r="AK31" s="15" t="s">
        <v>5</v>
      </c>
      <c r="AL31" s="17" t="s">
        <v>9</v>
      </c>
      <c r="AM31" s="118">
        <v>5.4999999999999997E-3</v>
      </c>
      <c r="AN31" s="118">
        <v>5.4999999999999997E-3</v>
      </c>
      <c r="AO31" s="118">
        <v>0</v>
      </c>
      <c r="AP31" s="100">
        <v>46054</v>
      </c>
      <c r="AQ31" s="99"/>
    </row>
    <row r="32" spans="1:43" s="89" customFormat="1" x14ac:dyDescent="0.25">
      <c r="A32" s="99" t="b">
        <v>1</v>
      </c>
      <c r="B32" s="101" t="s">
        <v>408</v>
      </c>
      <c r="C32" s="109"/>
      <c r="D32" s="95" t="s">
        <v>397</v>
      </c>
      <c r="E32" s="95" t="s">
        <v>313</v>
      </c>
      <c r="F32" s="98">
        <v>2031</v>
      </c>
      <c r="G32" s="99" t="s">
        <v>538</v>
      </c>
      <c r="H32" s="106">
        <v>4.1999999999999997E-3</v>
      </c>
      <c r="I32" s="117">
        <v>0.16200000000000001</v>
      </c>
      <c r="J32" s="100">
        <v>46013</v>
      </c>
      <c r="K32" s="117">
        <v>0.13700000000000001</v>
      </c>
      <c r="L32" s="100">
        <v>46042</v>
      </c>
      <c r="M32" s="117">
        <v>0.13200000000000001</v>
      </c>
      <c r="N32" s="100">
        <v>46076</v>
      </c>
      <c r="O32" s="117">
        <v>0.13600000000000001</v>
      </c>
      <c r="P32" s="100">
        <v>46104</v>
      </c>
      <c r="Q32" s="117">
        <v>0.14499999999999999</v>
      </c>
      <c r="R32" s="100">
        <v>46132</v>
      </c>
      <c r="S32" s="117">
        <v>0.14899999999999999</v>
      </c>
      <c r="T32" s="100">
        <v>46160</v>
      </c>
      <c r="U32" s="117">
        <v>0.14699999999999999</v>
      </c>
      <c r="V32" s="100">
        <v>46195</v>
      </c>
      <c r="W32" s="117">
        <v>0.14699999999999999</v>
      </c>
      <c r="X32" s="100">
        <v>46223</v>
      </c>
      <c r="Y32" s="117">
        <v>0.14699999999999999</v>
      </c>
      <c r="Z32" s="100">
        <v>46258</v>
      </c>
      <c r="AA32" s="117">
        <v>0.13600000000000001</v>
      </c>
      <c r="AB32" s="100">
        <v>46286</v>
      </c>
      <c r="AC32" s="117">
        <v>0.14627999999999999</v>
      </c>
      <c r="AD32" s="100">
        <v>46314</v>
      </c>
      <c r="AE32" s="117"/>
      <c r="AF32" s="100"/>
      <c r="AG32" s="117"/>
      <c r="AH32" s="100"/>
      <c r="AI32" s="15">
        <v>655310922</v>
      </c>
      <c r="AJ32" s="15" t="s">
        <v>40</v>
      </c>
      <c r="AK32" s="15" t="s">
        <v>5</v>
      </c>
      <c r="AL32" s="17" t="s">
        <v>9</v>
      </c>
      <c r="AM32" s="118">
        <v>5.4999999999999997E-3</v>
      </c>
      <c r="AN32" s="118">
        <v>5.4999999999999997E-3</v>
      </c>
      <c r="AO32" s="118">
        <v>0</v>
      </c>
      <c r="AP32" s="100">
        <v>46054</v>
      </c>
      <c r="AQ32" s="99"/>
    </row>
    <row r="33" spans="1:43" s="89" customFormat="1" x14ac:dyDescent="0.25">
      <c r="A33" s="99" t="b">
        <v>1</v>
      </c>
      <c r="B33" s="101" t="s">
        <v>410</v>
      </c>
      <c r="C33" s="109"/>
      <c r="D33" s="95" t="s">
        <v>397</v>
      </c>
      <c r="E33" s="95" t="s">
        <v>313</v>
      </c>
      <c r="F33" s="98">
        <v>2032</v>
      </c>
      <c r="G33" s="99" t="s">
        <v>538</v>
      </c>
      <c r="H33" s="106">
        <v>4.1999999999999997E-3</v>
      </c>
      <c r="I33" s="117">
        <v>0.16700000000000001</v>
      </c>
      <c r="J33" s="100">
        <v>46013</v>
      </c>
      <c r="K33" s="117">
        <v>0.13900000000000001</v>
      </c>
      <c r="L33" s="100">
        <v>46042</v>
      </c>
      <c r="M33" s="117">
        <v>0.125</v>
      </c>
      <c r="N33" s="100">
        <v>46076</v>
      </c>
      <c r="O33" s="117">
        <v>0.129</v>
      </c>
      <c r="P33" s="100">
        <v>46104</v>
      </c>
      <c r="Q33" s="117">
        <v>0.13800000000000001</v>
      </c>
      <c r="R33" s="100">
        <v>46132</v>
      </c>
      <c r="S33" s="117">
        <v>0.14000000000000001</v>
      </c>
      <c r="T33" s="100">
        <v>46160</v>
      </c>
      <c r="U33" s="117">
        <v>0.13800000000000001</v>
      </c>
      <c r="V33" s="100">
        <v>46195</v>
      </c>
      <c r="W33" s="117">
        <v>0.13800000000000001</v>
      </c>
      <c r="X33" s="100">
        <v>46223</v>
      </c>
      <c r="Y33" s="117">
        <v>0.14099999999999999</v>
      </c>
      <c r="Z33" s="100">
        <v>46258</v>
      </c>
      <c r="AA33" s="117">
        <v>0.13300000000000001</v>
      </c>
      <c r="AB33" s="100">
        <v>46286</v>
      </c>
      <c r="AC33" s="117">
        <v>0.14122999999999999</v>
      </c>
      <c r="AD33" s="100">
        <v>46314</v>
      </c>
      <c r="AE33" s="117"/>
      <c r="AF33" s="100"/>
      <c r="AG33" s="117"/>
      <c r="AH33" s="100"/>
      <c r="AI33" s="15">
        <v>709029632</v>
      </c>
      <c r="AJ33" s="15" t="s">
        <v>40</v>
      </c>
      <c r="AK33" s="15" t="s">
        <v>5</v>
      </c>
      <c r="AL33" s="17" t="s">
        <v>9</v>
      </c>
      <c r="AM33" s="118">
        <v>5.4999999999999997E-3</v>
      </c>
      <c r="AN33" s="118">
        <v>5.4999999999999997E-3</v>
      </c>
      <c r="AO33" s="118">
        <v>0</v>
      </c>
      <c r="AP33" s="100">
        <v>46054</v>
      </c>
      <c r="AQ33" s="99"/>
    </row>
    <row r="34" spans="1:43" s="89" customFormat="1" x14ac:dyDescent="0.25">
      <c r="A34" s="99" t="b">
        <v>1</v>
      </c>
      <c r="B34" s="101" t="s">
        <v>412</v>
      </c>
      <c r="C34" s="109"/>
      <c r="D34" s="95" t="s">
        <v>397</v>
      </c>
      <c r="E34" s="95" t="s">
        <v>316</v>
      </c>
      <c r="F34" s="98">
        <v>2026</v>
      </c>
      <c r="G34" s="99" t="s">
        <v>538</v>
      </c>
      <c r="H34" s="106">
        <v>1.8E-3</v>
      </c>
      <c r="I34" s="117">
        <v>5.1999999999999998E-2</v>
      </c>
      <c r="J34" s="100">
        <v>46013</v>
      </c>
      <c r="K34" s="117">
        <v>5.3999999999999999E-2</v>
      </c>
      <c r="L34" s="100">
        <v>46042</v>
      </c>
      <c r="M34" s="117">
        <v>5.5E-2</v>
      </c>
      <c r="N34" s="100">
        <v>46076</v>
      </c>
      <c r="O34" s="117">
        <v>5.7000000000000002E-2</v>
      </c>
      <c r="P34" s="100">
        <v>46104</v>
      </c>
      <c r="Q34" s="117">
        <v>5.5E-2</v>
      </c>
      <c r="R34" s="100">
        <v>46132</v>
      </c>
      <c r="S34" s="117">
        <v>5.2999999999999999E-2</v>
      </c>
      <c r="T34" s="100">
        <v>46160</v>
      </c>
      <c r="U34" s="117">
        <v>5.3999999999999999E-2</v>
      </c>
      <c r="V34" s="100">
        <v>46195</v>
      </c>
      <c r="W34" s="117">
        <v>5.7000000000000002E-2</v>
      </c>
      <c r="X34" s="100">
        <v>46223</v>
      </c>
      <c r="Y34" s="117">
        <v>5.5E-2</v>
      </c>
      <c r="Z34" s="100">
        <v>46258</v>
      </c>
      <c r="AA34" s="117">
        <v>5.2999999999999999E-2</v>
      </c>
      <c r="AB34" s="100">
        <v>46286</v>
      </c>
      <c r="AC34" s="117">
        <v>5.3089999999999998E-2</v>
      </c>
      <c r="AD34" s="100">
        <v>46314</v>
      </c>
      <c r="AE34" s="117"/>
      <c r="AF34" s="100"/>
      <c r="AG34" s="117"/>
      <c r="AH34" s="100"/>
      <c r="AI34" s="15">
        <v>384944190</v>
      </c>
      <c r="AJ34" s="15" t="s">
        <v>40</v>
      </c>
      <c r="AK34" s="15" t="s">
        <v>5</v>
      </c>
      <c r="AL34" s="17" t="s">
        <v>9</v>
      </c>
      <c r="AM34" s="118">
        <v>5.4999999999999997E-3</v>
      </c>
      <c r="AN34" s="118">
        <v>5.4999999999999997E-3</v>
      </c>
      <c r="AO34" s="118">
        <v>0</v>
      </c>
      <c r="AP34" s="100">
        <v>46054</v>
      </c>
      <c r="AQ34" s="99"/>
    </row>
    <row r="35" spans="1:43" s="89" customFormat="1" x14ac:dyDescent="0.25">
      <c r="A35" s="99" t="b">
        <v>1</v>
      </c>
      <c r="B35" s="101" t="s">
        <v>414</v>
      </c>
      <c r="C35" s="109"/>
      <c r="D35" s="95" t="s">
        <v>397</v>
      </c>
      <c r="E35" s="95" t="s">
        <v>316</v>
      </c>
      <c r="F35" s="98">
        <v>2027</v>
      </c>
      <c r="G35" s="99" t="s">
        <v>538</v>
      </c>
      <c r="H35" s="106">
        <v>1.8E-3</v>
      </c>
      <c r="I35" s="117">
        <v>5.1999999999999998E-2</v>
      </c>
      <c r="J35" s="100">
        <v>46013</v>
      </c>
      <c r="K35" s="117">
        <v>5.2999999999999999E-2</v>
      </c>
      <c r="L35" s="100">
        <v>46042</v>
      </c>
      <c r="M35" s="117">
        <v>5.1999999999999998E-2</v>
      </c>
      <c r="N35" s="100">
        <v>46076</v>
      </c>
      <c r="O35" s="117">
        <v>5.1999999999999998E-2</v>
      </c>
      <c r="P35" s="100">
        <v>46104</v>
      </c>
      <c r="Q35" s="117">
        <v>5.0999999999999997E-2</v>
      </c>
      <c r="R35" s="100">
        <v>46132</v>
      </c>
      <c r="S35" s="117">
        <v>5.5E-2</v>
      </c>
      <c r="T35" s="100">
        <v>46160</v>
      </c>
      <c r="U35" s="117">
        <v>5.5E-2</v>
      </c>
      <c r="V35" s="100">
        <v>46195</v>
      </c>
      <c r="W35" s="117">
        <v>5.5E-2</v>
      </c>
      <c r="X35" s="100">
        <v>46223</v>
      </c>
      <c r="Y35" s="117">
        <v>5.5E-2</v>
      </c>
      <c r="Z35" s="100">
        <v>46258</v>
      </c>
      <c r="AA35" s="117">
        <v>5.2999999999999999E-2</v>
      </c>
      <c r="AB35" s="100">
        <v>46286</v>
      </c>
      <c r="AC35" s="117">
        <v>5.645E-2</v>
      </c>
      <c r="AD35" s="100">
        <v>46314</v>
      </c>
      <c r="AE35" s="117"/>
      <c r="AF35" s="100"/>
      <c r="AG35" s="117"/>
      <c r="AH35" s="100"/>
      <c r="AI35" s="15">
        <v>384944195</v>
      </c>
      <c r="AJ35" s="15" t="s">
        <v>40</v>
      </c>
      <c r="AK35" s="15" t="s">
        <v>5</v>
      </c>
      <c r="AL35" s="17" t="s">
        <v>9</v>
      </c>
      <c r="AM35" s="118">
        <v>5.4999999999999997E-3</v>
      </c>
      <c r="AN35" s="118">
        <v>5.4999999999999997E-3</v>
      </c>
      <c r="AO35" s="118">
        <v>0</v>
      </c>
      <c r="AP35" s="100">
        <v>46054</v>
      </c>
      <c r="AQ35" s="99"/>
    </row>
    <row r="36" spans="1:43" s="89" customFormat="1" x14ac:dyDescent="0.25">
      <c r="A36" s="99" t="b">
        <v>1</v>
      </c>
      <c r="B36" s="101" t="s">
        <v>416</v>
      </c>
      <c r="C36" s="109"/>
      <c r="D36" s="95" t="s">
        <v>397</v>
      </c>
      <c r="E36" s="95" t="s">
        <v>316</v>
      </c>
      <c r="F36" s="98">
        <v>2028</v>
      </c>
      <c r="G36" s="99" t="s">
        <v>538</v>
      </c>
      <c r="H36" s="106">
        <v>1.8E-3</v>
      </c>
      <c r="I36" s="117">
        <v>5.2999999999999999E-2</v>
      </c>
      <c r="J36" s="100">
        <v>46013</v>
      </c>
      <c r="K36" s="117">
        <v>5.3999999999999999E-2</v>
      </c>
      <c r="L36" s="100">
        <v>46042</v>
      </c>
      <c r="M36" s="117">
        <v>5.2999999999999999E-2</v>
      </c>
      <c r="N36" s="100">
        <v>46076</v>
      </c>
      <c r="O36" s="117">
        <v>5.2999999999999999E-2</v>
      </c>
      <c r="P36" s="100">
        <v>46104</v>
      </c>
      <c r="Q36" s="117">
        <v>5.1999999999999998E-2</v>
      </c>
      <c r="R36" s="100">
        <v>46132</v>
      </c>
      <c r="S36" s="117">
        <v>5.6000000000000001E-2</v>
      </c>
      <c r="T36" s="100">
        <v>46160</v>
      </c>
      <c r="U36" s="117">
        <v>5.6000000000000001E-2</v>
      </c>
      <c r="V36" s="100">
        <v>46195</v>
      </c>
      <c r="W36" s="117">
        <v>5.6000000000000001E-2</v>
      </c>
      <c r="X36" s="100">
        <v>46223</v>
      </c>
      <c r="Y36" s="117">
        <v>5.8000000000000003E-2</v>
      </c>
      <c r="Z36" s="100">
        <v>46258</v>
      </c>
      <c r="AA36" s="117">
        <v>5.2999999999999999E-2</v>
      </c>
      <c r="AB36" s="100">
        <v>46286</v>
      </c>
      <c r="AC36" s="117">
        <v>5.6399999999999999E-2</v>
      </c>
      <c r="AD36" s="100">
        <v>46314</v>
      </c>
      <c r="AE36" s="117"/>
      <c r="AF36" s="100"/>
      <c r="AG36" s="117"/>
      <c r="AH36" s="100"/>
      <c r="AI36" s="15">
        <v>384944198</v>
      </c>
      <c r="AJ36" s="15" t="s">
        <v>40</v>
      </c>
      <c r="AK36" s="15" t="s">
        <v>5</v>
      </c>
      <c r="AL36" s="17" t="s">
        <v>9</v>
      </c>
      <c r="AM36" s="118">
        <v>5.4999999999999997E-3</v>
      </c>
      <c r="AN36" s="118">
        <v>5.4999999999999997E-3</v>
      </c>
      <c r="AO36" s="118">
        <v>0</v>
      </c>
      <c r="AP36" s="100">
        <v>46054</v>
      </c>
      <c r="AQ36" s="99"/>
    </row>
    <row r="37" spans="1:43" s="89" customFormat="1" x14ac:dyDescent="0.25">
      <c r="A37" s="99" t="b">
        <v>1</v>
      </c>
      <c r="B37" s="101" t="s">
        <v>418</v>
      </c>
      <c r="C37" s="109"/>
      <c r="D37" s="95" t="s">
        <v>397</v>
      </c>
      <c r="E37" s="95" t="s">
        <v>316</v>
      </c>
      <c r="F37" s="98">
        <v>2029</v>
      </c>
      <c r="G37" s="99" t="s">
        <v>538</v>
      </c>
      <c r="H37" s="106">
        <v>1.8E-3</v>
      </c>
      <c r="I37" s="117">
        <v>0.05</v>
      </c>
      <c r="J37" s="100">
        <v>46013</v>
      </c>
      <c r="K37" s="117">
        <v>5.0999999999999997E-2</v>
      </c>
      <c r="L37" s="100">
        <v>46042</v>
      </c>
      <c r="M37" s="117">
        <v>0.05</v>
      </c>
      <c r="N37" s="100">
        <v>46076</v>
      </c>
      <c r="O37" s="117">
        <v>5.1999999999999998E-2</v>
      </c>
      <c r="P37" s="100">
        <v>46104</v>
      </c>
      <c r="Q37" s="117">
        <v>5.2999999999999999E-2</v>
      </c>
      <c r="R37" s="100">
        <v>46132</v>
      </c>
      <c r="S37" s="117">
        <v>5.3999999999999999E-2</v>
      </c>
      <c r="T37" s="100">
        <v>46160</v>
      </c>
      <c r="U37" s="117">
        <v>5.2999999999999999E-2</v>
      </c>
      <c r="V37" s="100">
        <v>46195</v>
      </c>
      <c r="W37" s="117">
        <v>5.3999999999999999E-2</v>
      </c>
      <c r="X37" s="100">
        <v>46223</v>
      </c>
      <c r="Y37" s="117">
        <v>5.5E-2</v>
      </c>
      <c r="Z37" s="100">
        <v>46258</v>
      </c>
      <c r="AA37" s="117">
        <v>5.1999999999999998E-2</v>
      </c>
      <c r="AB37" s="100">
        <v>46286</v>
      </c>
      <c r="AC37" s="117">
        <v>5.5259999999999997E-2</v>
      </c>
      <c r="AD37" s="100">
        <v>46314</v>
      </c>
      <c r="AE37" s="117"/>
      <c r="AF37" s="100"/>
      <c r="AG37" s="117"/>
      <c r="AH37" s="100"/>
      <c r="AI37" s="15">
        <v>384944201</v>
      </c>
      <c r="AJ37" s="15" t="s">
        <v>40</v>
      </c>
      <c r="AK37" s="15" t="s">
        <v>5</v>
      </c>
      <c r="AL37" s="17" t="s">
        <v>9</v>
      </c>
      <c r="AM37" s="118">
        <v>5.4999999999999997E-3</v>
      </c>
      <c r="AN37" s="118">
        <v>5.4999999999999997E-3</v>
      </c>
      <c r="AO37" s="118">
        <v>0</v>
      </c>
      <c r="AP37" s="100">
        <v>46054</v>
      </c>
      <c r="AQ37" s="99"/>
    </row>
    <row r="38" spans="1:43" s="89" customFormat="1" x14ac:dyDescent="0.25">
      <c r="A38" s="99" t="b">
        <v>1</v>
      </c>
      <c r="B38" s="101" t="s">
        <v>420</v>
      </c>
      <c r="C38" s="109"/>
      <c r="D38" s="95" t="s">
        <v>397</v>
      </c>
      <c r="E38" s="95" t="s">
        <v>316</v>
      </c>
      <c r="F38" s="98">
        <v>2030</v>
      </c>
      <c r="G38" s="99" t="s">
        <v>538</v>
      </c>
      <c r="H38" s="106">
        <v>1.8E-3</v>
      </c>
      <c r="I38" s="117">
        <v>4.9000000000000002E-2</v>
      </c>
      <c r="J38" s="100">
        <v>46013</v>
      </c>
      <c r="K38" s="117">
        <v>4.9000000000000002E-2</v>
      </c>
      <c r="L38" s="100">
        <v>46042</v>
      </c>
      <c r="M38" s="117">
        <v>4.9000000000000002E-2</v>
      </c>
      <c r="N38" s="100">
        <v>46076</v>
      </c>
      <c r="O38" s="117">
        <v>5.0999999999999997E-2</v>
      </c>
      <c r="P38" s="100">
        <v>46104</v>
      </c>
      <c r="Q38" s="117">
        <v>5.0999999999999997E-2</v>
      </c>
      <c r="R38" s="100">
        <v>46132</v>
      </c>
      <c r="S38" s="117">
        <v>5.2999999999999999E-2</v>
      </c>
      <c r="T38" s="100">
        <v>46160</v>
      </c>
      <c r="U38" s="117">
        <v>5.2999999999999999E-2</v>
      </c>
      <c r="V38" s="100">
        <v>46195</v>
      </c>
      <c r="W38" s="117">
        <v>5.2999999999999999E-2</v>
      </c>
      <c r="X38" s="100">
        <v>46223</v>
      </c>
      <c r="Y38" s="117">
        <v>5.3999999999999999E-2</v>
      </c>
      <c r="Z38" s="100">
        <v>46258</v>
      </c>
      <c r="AA38" s="117">
        <v>5.1999999999999998E-2</v>
      </c>
      <c r="AB38" s="100">
        <v>46286</v>
      </c>
      <c r="AC38" s="117">
        <v>5.3460000000000001E-2</v>
      </c>
      <c r="AD38" s="100">
        <v>46314</v>
      </c>
      <c r="AE38" s="117"/>
      <c r="AF38" s="100"/>
      <c r="AG38" s="117"/>
      <c r="AH38" s="100"/>
      <c r="AI38" s="15">
        <v>445419994</v>
      </c>
      <c r="AJ38" s="15" t="s">
        <v>40</v>
      </c>
      <c r="AK38" s="15" t="s">
        <v>5</v>
      </c>
      <c r="AL38" s="17" t="s">
        <v>9</v>
      </c>
      <c r="AM38" s="118">
        <v>5.4999999999999997E-3</v>
      </c>
      <c r="AN38" s="118">
        <v>5.4999999999999997E-3</v>
      </c>
      <c r="AO38" s="118">
        <v>0</v>
      </c>
      <c r="AP38" s="100">
        <v>46054</v>
      </c>
      <c r="AQ38" s="99"/>
    </row>
    <row r="39" spans="1:43" s="89" customFormat="1" x14ac:dyDescent="0.25">
      <c r="A39" s="99" t="b">
        <v>1</v>
      </c>
      <c r="B39" s="101" t="s">
        <v>422</v>
      </c>
      <c r="C39" s="109"/>
      <c r="D39" s="95" t="s">
        <v>397</v>
      </c>
      <c r="E39" s="95" t="s">
        <v>316</v>
      </c>
      <c r="F39" s="98">
        <v>2031</v>
      </c>
      <c r="G39" s="99" t="s">
        <v>538</v>
      </c>
      <c r="H39" s="106">
        <v>1.8E-3</v>
      </c>
      <c r="I39" s="117">
        <v>0.05</v>
      </c>
      <c r="J39" s="100">
        <v>46013</v>
      </c>
      <c r="K39" s="117">
        <v>4.7E-2</v>
      </c>
      <c r="L39" s="100">
        <v>46042</v>
      </c>
      <c r="M39" s="117">
        <v>4.9000000000000002E-2</v>
      </c>
      <c r="N39" s="100">
        <v>46076</v>
      </c>
      <c r="O39" s="117">
        <v>5.0999999999999997E-2</v>
      </c>
      <c r="P39" s="100">
        <v>46104</v>
      </c>
      <c r="Q39" s="117">
        <v>5.0999999999999997E-2</v>
      </c>
      <c r="R39" s="100">
        <v>46132</v>
      </c>
      <c r="S39" s="117">
        <v>5.2999999999999999E-2</v>
      </c>
      <c r="T39" s="100">
        <v>46160</v>
      </c>
      <c r="U39" s="117">
        <v>5.2999999999999999E-2</v>
      </c>
      <c r="V39" s="100">
        <v>46195</v>
      </c>
      <c r="W39" s="117">
        <v>5.2999999999999999E-2</v>
      </c>
      <c r="X39" s="100">
        <v>46223</v>
      </c>
      <c r="Y39" s="117">
        <v>5.5E-2</v>
      </c>
      <c r="Z39" s="100">
        <v>46258</v>
      </c>
      <c r="AA39" s="117">
        <v>5.0999999999999997E-2</v>
      </c>
      <c r="AB39" s="100">
        <v>46286</v>
      </c>
      <c r="AC39" s="117">
        <v>5.0549999999999998E-2</v>
      </c>
      <c r="AD39" s="100">
        <v>46314</v>
      </c>
      <c r="AE39" s="117"/>
      <c r="AF39" s="100"/>
      <c r="AG39" s="117"/>
      <c r="AH39" s="100"/>
      <c r="AI39" s="15">
        <v>514484985</v>
      </c>
      <c r="AJ39" s="15" t="s">
        <v>40</v>
      </c>
      <c r="AK39" s="15" t="s">
        <v>5</v>
      </c>
      <c r="AL39" s="17" t="s">
        <v>9</v>
      </c>
      <c r="AM39" s="118">
        <v>5.4999999999999997E-3</v>
      </c>
      <c r="AN39" s="118">
        <v>5.4999999999999997E-3</v>
      </c>
      <c r="AO39" s="118">
        <v>0</v>
      </c>
      <c r="AP39" s="100">
        <v>46054</v>
      </c>
      <c r="AQ39" s="99"/>
    </row>
    <row r="40" spans="1:43" s="89" customFormat="1" x14ac:dyDescent="0.25">
      <c r="A40" s="99" t="b">
        <v>1</v>
      </c>
      <c r="B40" s="101" t="s">
        <v>426</v>
      </c>
      <c r="C40" s="109"/>
      <c r="D40" s="95" t="s">
        <v>397</v>
      </c>
      <c r="E40" s="95" t="s">
        <v>555</v>
      </c>
      <c r="F40" s="98">
        <v>2028</v>
      </c>
      <c r="G40" s="99" t="s">
        <v>538</v>
      </c>
      <c r="H40" s="106">
        <v>6.9999999999999999E-4</v>
      </c>
      <c r="I40" s="117">
        <v>0</v>
      </c>
      <c r="J40" s="100" t="s">
        <v>85</v>
      </c>
      <c r="K40" s="117">
        <v>0</v>
      </c>
      <c r="L40" s="100" t="s">
        <v>85</v>
      </c>
      <c r="M40" s="117">
        <v>0</v>
      </c>
      <c r="N40" s="100" t="s">
        <v>85</v>
      </c>
      <c r="O40" s="117">
        <v>0</v>
      </c>
      <c r="P40" s="100" t="s">
        <v>85</v>
      </c>
      <c r="Q40" s="117">
        <v>0</v>
      </c>
      <c r="R40" s="100" t="s">
        <v>85</v>
      </c>
      <c r="S40" s="117">
        <v>0</v>
      </c>
      <c r="T40" s="100" t="s">
        <v>85</v>
      </c>
      <c r="U40" s="117">
        <v>0</v>
      </c>
      <c r="V40" s="100" t="s">
        <v>85</v>
      </c>
      <c r="W40" s="117">
        <v>0.11600000000000001</v>
      </c>
      <c r="X40" s="100">
        <v>46223</v>
      </c>
      <c r="Y40" s="117">
        <v>9.0999999999999998E-2</v>
      </c>
      <c r="Z40" s="100">
        <v>46258</v>
      </c>
      <c r="AA40" s="117">
        <v>8.3000000000000004E-2</v>
      </c>
      <c r="AB40" s="100">
        <v>46286</v>
      </c>
      <c r="AC40" s="117">
        <v>7.4529999999999999E-2</v>
      </c>
      <c r="AD40" s="100">
        <v>46314</v>
      </c>
      <c r="AE40" s="117"/>
      <c r="AF40" s="100"/>
      <c r="AG40" s="117"/>
      <c r="AH40" s="100"/>
      <c r="AI40" s="15">
        <v>890757194</v>
      </c>
      <c r="AJ40" s="15" t="s">
        <v>40</v>
      </c>
      <c r="AK40" s="15" t="s">
        <v>5</v>
      </c>
      <c r="AL40" s="17" t="s">
        <v>9</v>
      </c>
      <c r="AM40" s="118">
        <v>5.4999999999999997E-3</v>
      </c>
      <c r="AN40" s="118">
        <v>5.4999999999999997E-3</v>
      </c>
      <c r="AO40" s="118">
        <v>0</v>
      </c>
      <c r="AP40" s="100">
        <v>46054</v>
      </c>
      <c r="AQ40" s="99"/>
    </row>
    <row r="41" spans="1:43" s="89" customFormat="1" x14ac:dyDescent="0.25">
      <c r="A41" s="99" t="b">
        <v>1</v>
      </c>
      <c r="B41" s="101" t="s">
        <v>430</v>
      </c>
      <c r="C41" s="109"/>
      <c r="D41" s="95" t="s">
        <v>397</v>
      </c>
      <c r="E41" s="95" t="s">
        <v>555</v>
      </c>
      <c r="F41" s="98">
        <v>2030</v>
      </c>
      <c r="G41" s="99" t="s">
        <v>538</v>
      </c>
      <c r="H41" s="106">
        <v>6.9999999999999999E-4</v>
      </c>
      <c r="I41" s="117">
        <v>0</v>
      </c>
      <c r="J41" s="100" t="s">
        <v>85</v>
      </c>
      <c r="K41" s="117">
        <v>0</v>
      </c>
      <c r="L41" s="100" t="s">
        <v>85</v>
      </c>
      <c r="M41" s="117">
        <v>0</v>
      </c>
      <c r="N41" s="100" t="s">
        <v>85</v>
      </c>
      <c r="O41" s="117">
        <v>0</v>
      </c>
      <c r="P41" s="100" t="s">
        <v>85</v>
      </c>
      <c r="Q41" s="117">
        <v>0</v>
      </c>
      <c r="R41" s="100" t="s">
        <v>85</v>
      </c>
      <c r="S41" s="117">
        <v>0</v>
      </c>
      <c r="T41" s="100" t="s">
        <v>85</v>
      </c>
      <c r="U41" s="117">
        <v>0</v>
      </c>
      <c r="V41" s="100" t="s">
        <v>85</v>
      </c>
      <c r="W41" s="117">
        <v>0.11700000000000001</v>
      </c>
      <c r="X41" s="100">
        <v>46223</v>
      </c>
      <c r="Y41" s="117">
        <v>9.1999999999999998E-2</v>
      </c>
      <c r="Z41" s="100">
        <v>46258</v>
      </c>
      <c r="AA41" s="117">
        <v>8.5000000000000006E-2</v>
      </c>
      <c r="AB41" s="100">
        <v>46286</v>
      </c>
      <c r="AC41" s="117">
        <v>8.5720000000000005E-2</v>
      </c>
      <c r="AD41" s="100">
        <v>46314</v>
      </c>
      <c r="AE41" s="117"/>
      <c r="AF41" s="100"/>
      <c r="AG41" s="117"/>
      <c r="AH41" s="100"/>
      <c r="AI41" s="15">
        <v>890757201</v>
      </c>
      <c r="AJ41" s="15" t="s">
        <v>40</v>
      </c>
      <c r="AK41" s="15" t="s">
        <v>5</v>
      </c>
      <c r="AL41" s="17" t="s">
        <v>9</v>
      </c>
      <c r="AM41" s="118">
        <v>5.4999999999999997E-3</v>
      </c>
      <c r="AN41" s="118">
        <v>5.4999999999999997E-3</v>
      </c>
      <c r="AO41" s="118">
        <v>0</v>
      </c>
      <c r="AP41" s="100">
        <v>46054</v>
      </c>
      <c r="AQ41" s="99"/>
    </row>
    <row r="42" spans="1:43" x14ac:dyDescent="0.25">
      <c r="A42" s="99" t="b">
        <v>1</v>
      </c>
      <c r="B42" s="101" t="s">
        <v>432</v>
      </c>
      <c r="C42" s="109"/>
      <c r="D42" s="95" t="s">
        <v>397</v>
      </c>
      <c r="E42" s="95" t="s">
        <v>555</v>
      </c>
      <c r="F42" s="98">
        <v>2031</v>
      </c>
      <c r="G42" s="99" t="s">
        <v>538</v>
      </c>
      <c r="H42" s="106">
        <v>6.9999999999999999E-4</v>
      </c>
      <c r="I42" s="117">
        <v>0</v>
      </c>
      <c r="J42" s="100" t="s">
        <v>85</v>
      </c>
      <c r="K42" s="117">
        <v>0</v>
      </c>
      <c r="L42" s="100" t="s">
        <v>85</v>
      </c>
      <c r="M42" s="117">
        <v>0</v>
      </c>
      <c r="N42" s="100" t="s">
        <v>85</v>
      </c>
      <c r="O42" s="117">
        <v>0</v>
      </c>
      <c r="P42" s="100" t="s">
        <v>85</v>
      </c>
      <c r="Q42" s="117">
        <v>0</v>
      </c>
      <c r="R42" s="100" t="s">
        <v>85</v>
      </c>
      <c r="S42" s="117">
        <v>0</v>
      </c>
      <c r="T42" s="100" t="s">
        <v>85</v>
      </c>
      <c r="U42" s="117">
        <v>0</v>
      </c>
      <c r="V42" s="100" t="s">
        <v>85</v>
      </c>
      <c r="W42" s="117">
        <v>0.11899999999999999</v>
      </c>
      <c r="X42" s="100">
        <v>46223</v>
      </c>
      <c r="Y42" s="117">
        <v>9.4E-2</v>
      </c>
      <c r="Z42" s="100">
        <v>46258</v>
      </c>
      <c r="AA42" s="117">
        <v>8.6999999999999994E-2</v>
      </c>
      <c r="AB42" s="100">
        <v>46286</v>
      </c>
      <c r="AC42" s="117">
        <v>8.6709999999999995E-2</v>
      </c>
      <c r="AD42" s="100">
        <v>46314</v>
      </c>
      <c r="AE42" s="117"/>
      <c r="AF42" s="100"/>
      <c r="AG42" s="117"/>
      <c r="AH42" s="100"/>
      <c r="AI42" s="15">
        <v>890757204</v>
      </c>
      <c r="AJ42" s="15" t="s">
        <v>40</v>
      </c>
      <c r="AK42" s="15" t="s">
        <v>5</v>
      </c>
      <c r="AL42" s="17" t="s">
        <v>9</v>
      </c>
      <c r="AM42" s="118">
        <v>5.4999999999999997E-3</v>
      </c>
      <c r="AN42" s="118">
        <v>5.4999999999999997E-3</v>
      </c>
      <c r="AO42" s="118">
        <v>0</v>
      </c>
      <c r="AP42" s="100">
        <v>46054</v>
      </c>
      <c r="AQ42" s="99"/>
    </row>
    <row r="43" spans="1:43" x14ac:dyDescent="0.25">
      <c r="A43" s="17" t="b">
        <v>1</v>
      </c>
      <c r="B43" s="101" t="s">
        <v>247</v>
      </c>
      <c r="C43" s="109"/>
      <c r="D43" s="95" t="s">
        <v>307</v>
      </c>
      <c r="E43" s="95" t="s">
        <v>574</v>
      </c>
      <c r="F43" s="98" t="s">
        <v>573</v>
      </c>
      <c r="G43" s="99" t="s">
        <v>539</v>
      </c>
      <c r="H43" s="106">
        <v>3.5000000000000001E-3</v>
      </c>
      <c r="I43" s="117">
        <v>0</v>
      </c>
      <c r="J43" s="100">
        <v>46009</v>
      </c>
      <c r="K43" s="117">
        <v>0</v>
      </c>
      <c r="L43" s="100" t="s">
        <v>85</v>
      </c>
      <c r="M43" s="117">
        <v>3.8260000000000002E-2</v>
      </c>
      <c r="N43" s="100">
        <v>46055</v>
      </c>
      <c r="O43" s="117">
        <v>4.0980000000000003E-2</v>
      </c>
      <c r="P43" s="100">
        <v>46083</v>
      </c>
      <c r="Q43" s="117">
        <v>4.5359999999999998E-2</v>
      </c>
      <c r="R43" s="100">
        <v>46113</v>
      </c>
      <c r="S43" s="117">
        <v>4.3720000000000002E-2</v>
      </c>
      <c r="T43" s="100">
        <v>46143</v>
      </c>
      <c r="U43" s="117">
        <v>4.5019999999999998E-2</v>
      </c>
      <c r="V43" s="100">
        <v>46174</v>
      </c>
      <c r="W43" s="117">
        <v>4.4130000000000003E-2</v>
      </c>
      <c r="X43" s="100">
        <v>46204</v>
      </c>
      <c r="Y43" s="117">
        <v>4.546E-2</v>
      </c>
      <c r="Z43" s="100">
        <v>46237</v>
      </c>
      <c r="AA43" s="117">
        <v>4.4215999999999998E-2</v>
      </c>
      <c r="AB43" s="100">
        <v>46266</v>
      </c>
      <c r="AC43" s="117">
        <v>4.3156E-2</v>
      </c>
      <c r="AD43" s="100">
        <v>46296</v>
      </c>
      <c r="AE43" s="117"/>
      <c r="AF43" s="100"/>
      <c r="AG43" s="117"/>
      <c r="AH43" s="100"/>
      <c r="AI43" s="108">
        <v>46577293</v>
      </c>
      <c r="AJ43" s="15" t="s">
        <v>40</v>
      </c>
      <c r="AK43" s="15" t="s">
        <v>5</v>
      </c>
      <c r="AL43" s="15" t="s">
        <v>9</v>
      </c>
      <c r="AM43" s="118">
        <v>5.4999999999999997E-3</v>
      </c>
      <c r="AN43" s="118">
        <v>5.4999999999999997E-3</v>
      </c>
      <c r="AO43" s="118">
        <v>0</v>
      </c>
      <c r="AP43" s="100">
        <v>46054</v>
      </c>
      <c r="AQ43" s="99"/>
    </row>
    <row r="44" spans="1:43" x14ac:dyDescent="0.25">
      <c r="A44" s="17" t="b">
        <v>1</v>
      </c>
      <c r="B44" s="101" t="s">
        <v>248</v>
      </c>
      <c r="C44" s="109"/>
      <c r="D44" s="95" t="s">
        <v>307</v>
      </c>
      <c r="E44" s="95" t="s">
        <v>310</v>
      </c>
      <c r="F44" s="98"/>
      <c r="G44" s="99" t="s">
        <v>532</v>
      </c>
      <c r="H44" s="106">
        <v>8.0000000000000004E-4</v>
      </c>
      <c r="I44" s="117">
        <v>0.139651</v>
      </c>
      <c r="J44" s="100">
        <v>46010</v>
      </c>
      <c r="K44" s="117">
        <v>0</v>
      </c>
      <c r="L44" s="100" t="s">
        <v>85</v>
      </c>
      <c r="M44" s="117">
        <v>0.13797699999999999</v>
      </c>
      <c r="N44" s="100">
        <v>46055</v>
      </c>
      <c r="O44" s="117">
        <v>0.14212</v>
      </c>
      <c r="P44" s="100">
        <v>46083</v>
      </c>
      <c r="Q44" s="117">
        <v>0.14038100000000001</v>
      </c>
      <c r="R44" s="100">
        <v>46113</v>
      </c>
      <c r="S44" s="117">
        <v>0.140709</v>
      </c>
      <c r="T44" s="100">
        <v>46143</v>
      </c>
      <c r="U44" s="117">
        <v>0.13805000000000001</v>
      </c>
      <c r="V44" s="100">
        <v>46174</v>
      </c>
      <c r="W44" s="117">
        <v>0.14266000000000001</v>
      </c>
      <c r="X44" s="100">
        <v>46204</v>
      </c>
      <c r="Y44" s="117">
        <v>0.14026</v>
      </c>
      <c r="Z44" s="100">
        <v>46237</v>
      </c>
      <c r="AA44" s="117">
        <v>0.143787</v>
      </c>
      <c r="AB44" s="100">
        <v>46266</v>
      </c>
      <c r="AC44" s="117">
        <v>0.141319</v>
      </c>
      <c r="AD44" s="100">
        <v>46296</v>
      </c>
      <c r="AE44" s="117"/>
      <c r="AF44" s="100"/>
      <c r="AG44" s="117"/>
      <c r="AH44" s="100"/>
      <c r="AI44" s="108">
        <v>46576893</v>
      </c>
      <c r="AJ44" s="15" t="s">
        <v>40</v>
      </c>
      <c r="AK44" s="15" t="s">
        <v>5</v>
      </c>
      <c r="AL44" s="15" t="s">
        <v>9</v>
      </c>
      <c r="AM44" s="118">
        <v>5.4999999999999997E-3</v>
      </c>
      <c r="AN44" s="118">
        <v>5.4999999999999997E-3</v>
      </c>
      <c r="AO44" s="118">
        <v>0</v>
      </c>
      <c r="AP44" s="100">
        <v>46054</v>
      </c>
      <c r="AQ44" s="99"/>
    </row>
    <row r="45" spans="1:43" s="89" customFormat="1" x14ac:dyDescent="0.25">
      <c r="A45" s="17" t="b">
        <v>1</v>
      </c>
      <c r="B45" s="101" t="s">
        <v>230</v>
      </c>
      <c r="C45" s="109"/>
      <c r="D45" s="95" t="s">
        <v>307</v>
      </c>
      <c r="E45" s="95" t="s">
        <v>311</v>
      </c>
      <c r="F45" s="98"/>
      <c r="G45" s="99" t="s">
        <v>540</v>
      </c>
      <c r="H45" s="106">
        <v>2E-3</v>
      </c>
      <c r="I45" s="117">
        <v>0.42</v>
      </c>
      <c r="J45" s="100">
        <v>46022</v>
      </c>
      <c r="K45" s="117">
        <v>0</v>
      </c>
      <c r="L45" s="100" t="s">
        <v>85</v>
      </c>
      <c r="M45" s="117">
        <v>0.37</v>
      </c>
      <c r="N45" s="100">
        <v>46055</v>
      </c>
      <c r="O45" s="117">
        <v>0.38</v>
      </c>
      <c r="P45" s="100">
        <v>46083</v>
      </c>
      <c r="Q45" s="117">
        <v>0.37</v>
      </c>
      <c r="R45" s="100">
        <v>46113</v>
      </c>
      <c r="S45" s="117">
        <v>0.4</v>
      </c>
      <c r="T45" s="100">
        <v>46143</v>
      </c>
      <c r="U45" s="117">
        <v>0.41</v>
      </c>
      <c r="V45" s="100">
        <v>46174</v>
      </c>
      <c r="W45" s="117">
        <v>0.41</v>
      </c>
      <c r="X45" s="100">
        <v>46204</v>
      </c>
      <c r="Y45" s="117">
        <v>0.43</v>
      </c>
      <c r="Z45" s="100">
        <v>46237</v>
      </c>
      <c r="AA45" s="117">
        <v>0.39</v>
      </c>
      <c r="AB45" s="100">
        <v>46266</v>
      </c>
      <c r="AC45" s="117">
        <v>0.4</v>
      </c>
      <c r="AD45" s="100">
        <v>46296</v>
      </c>
      <c r="AE45" s="117"/>
      <c r="AF45" s="100"/>
      <c r="AG45" s="117"/>
      <c r="AH45" s="100"/>
      <c r="AI45" s="108">
        <v>79360027</v>
      </c>
      <c r="AJ45" s="15" t="s">
        <v>40</v>
      </c>
      <c r="AK45" s="15" t="s">
        <v>5</v>
      </c>
      <c r="AL45" s="15" t="s">
        <v>9</v>
      </c>
      <c r="AM45" s="118">
        <v>5.4999999999999997E-3</v>
      </c>
      <c r="AN45" s="118">
        <v>5.4999999999999997E-3</v>
      </c>
      <c r="AO45" s="118">
        <v>0</v>
      </c>
      <c r="AP45" s="100">
        <v>46054</v>
      </c>
      <c r="AQ45" s="99"/>
    </row>
    <row r="46" spans="1:43" s="89" customFormat="1" x14ac:dyDescent="0.25">
      <c r="A46" s="17" t="b">
        <v>1</v>
      </c>
      <c r="B46" s="101" t="s">
        <v>191</v>
      </c>
      <c r="C46" s="109"/>
      <c r="D46" s="95" t="s">
        <v>307</v>
      </c>
      <c r="E46" s="95" t="s">
        <v>312</v>
      </c>
      <c r="F46" s="98"/>
      <c r="G46" s="99" t="s">
        <v>539</v>
      </c>
      <c r="H46" s="106">
        <v>4.0000000000000001E-3</v>
      </c>
      <c r="I46" s="117">
        <v>0.16361100000000001</v>
      </c>
      <c r="J46" s="100">
        <v>46009</v>
      </c>
      <c r="K46" s="117">
        <v>0</v>
      </c>
      <c r="L46" s="100" t="s">
        <v>85</v>
      </c>
      <c r="M46" s="117">
        <v>8.6249999999999993E-2</v>
      </c>
      <c r="N46" s="100">
        <v>46055</v>
      </c>
      <c r="O46" s="117">
        <v>0.14646999999999999</v>
      </c>
      <c r="P46" s="100">
        <v>46083</v>
      </c>
      <c r="Q46" s="117">
        <v>0.10198</v>
      </c>
      <c r="R46" s="100">
        <v>46113</v>
      </c>
      <c r="S46" s="117">
        <v>0.12466000000000001</v>
      </c>
      <c r="T46" s="100">
        <v>46143</v>
      </c>
      <c r="U46" s="117">
        <v>0.15523000000000001</v>
      </c>
      <c r="V46" s="100">
        <v>46174</v>
      </c>
      <c r="W46" s="117">
        <v>9.1050000000000006E-2</v>
      </c>
      <c r="X46" s="100">
        <v>46204</v>
      </c>
      <c r="Y46" s="117">
        <v>0.21054</v>
      </c>
      <c r="Z46" s="100">
        <v>46237</v>
      </c>
      <c r="AA46" s="117">
        <v>0.154807</v>
      </c>
      <c r="AB46" s="100">
        <v>46266</v>
      </c>
      <c r="AC46" s="117">
        <v>9.1482999999999995E-2</v>
      </c>
      <c r="AD46" s="100">
        <v>46296</v>
      </c>
      <c r="AE46" s="117"/>
      <c r="AF46" s="100"/>
      <c r="AG46" s="117"/>
      <c r="AH46" s="100"/>
      <c r="AI46" s="108">
        <v>59354075</v>
      </c>
      <c r="AJ46" s="15" t="s">
        <v>40</v>
      </c>
      <c r="AK46" s="15" t="s">
        <v>5</v>
      </c>
      <c r="AL46" s="15" t="s">
        <v>9</v>
      </c>
      <c r="AM46" s="118">
        <v>5.4999999999999997E-3</v>
      </c>
      <c r="AN46" s="118">
        <v>5.4999999999999997E-3</v>
      </c>
      <c r="AO46" s="118">
        <v>0</v>
      </c>
      <c r="AP46" s="100">
        <v>46054</v>
      </c>
      <c r="AQ46" s="99"/>
    </row>
    <row r="47" spans="1:43" s="89" customFormat="1" x14ac:dyDescent="0.25">
      <c r="A47" s="17" t="b">
        <v>1</v>
      </c>
      <c r="B47" s="101" t="s">
        <v>249</v>
      </c>
      <c r="C47" s="109"/>
      <c r="D47" s="95" t="s">
        <v>307</v>
      </c>
      <c r="E47" s="95" t="s">
        <v>565</v>
      </c>
      <c r="F47" s="98" t="s">
        <v>564</v>
      </c>
      <c r="G47" s="99" t="s">
        <v>532</v>
      </c>
      <c r="H47" s="106">
        <v>3.8999999999999998E-3</v>
      </c>
      <c r="I47" s="117">
        <v>0.38289299999999998</v>
      </c>
      <c r="J47" s="100">
        <v>46010</v>
      </c>
      <c r="K47" s="117">
        <v>0</v>
      </c>
      <c r="L47" s="100" t="s">
        <v>85</v>
      </c>
      <c r="M47" s="117">
        <v>0.41458</v>
      </c>
      <c r="N47" s="100">
        <v>46055</v>
      </c>
      <c r="O47" s="117">
        <v>0.40295999999999998</v>
      </c>
      <c r="P47" s="100">
        <v>46083</v>
      </c>
      <c r="Q47" s="117">
        <v>0.45540000000000003</v>
      </c>
      <c r="R47" s="100">
        <v>46113</v>
      </c>
      <c r="S47" s="117">
        <v>0.41008</v>
      </c>
      <c r="T47" s="100">
        <v>46143</v>
      </c>
      <c r="U47" s="117">
        <v>0.40704000000000001</v>
      </c>
      <c r="V47" s="100">
        <v>46174</v>
      </c>
      <c r="W47" s="117">
        <v>0.3997</v>
      </c>
      <c r="X47" s="100">
        <v>46204</v>
      </c>
      <c r="Y47" s="117">
        <v>0.41359000000000001</v>
      </c>
      <c r="Z47" s="100">
        <v>46237</v>
      </c>
      <c r="AA47" s="117">
        <v>0.41367700000000002</v>
      </c>
      <c r="AB47" s="100">
        <v>46266</v>
      </c>
      <c r="AC47" s="117">
        <v>0.44357600000000003</v>
      </c>
      <c r="AD47" s="100">
        <v>46296</v>
      </c>
      <c r="AE47" s="117"/>
      <c r="AF47" s="100"/>
      <c r="AG47" s="117"/>
      <c r="AH47" s="100"/>
      <c r="AI47" s="108">
        <v>47649504</v>
      </c>
      <c r="AJ47" s="15" t="s">
        <v>40</v>
      </c>
      <c r="AK47" s="15" t="s">
        <v>5</v>
      </c>
      <c r="AL47" s="15" t="s">
        <v>9</v>
      </c>
      <c r="AM47" s="118">
        <v>5.4999999999999997E-3</v>
      </c>
      <c r="AN47" s="118">
        <v>5.4999999999999997E-3</v>
      </c>
      <c r="AO47" s="118">
        <v>0</v>
      </c>
      <c r="AP47" s="100">
        <v>46054</v>
      </c>
      <c r="AQ47" s="99"/>
    </row>
    <row r="48" spans="1:43" s="89" customFormat="1" x14ac:dyDescent="0.25">
      <c r="A48" s="17" t="b">
        <v>1</v>
      </c>
      <c r="B48" s="101" t="s">
        <v>250</v>
      </c>
      <c r="C48" s="109"/>
      <c r="D48" s="95" t="s">
        <v>307</v>
      </c>
      <c r="E48" s="95" t="s">
        <v>569</v>
      </c>
      <c r="F48" s="98" t="s">
        <v>570</v>
      </c>
      <c r="G48" s="99" t="s">
        <v>536</v>
      </c>
      <c r="H48" s="106">
        <v>3.0999999999999999E-3</v>
      </c>
      <c r="I48" s="117">
        <v>9.6500000000000002E-2</v>
      </c>
      <c r="J48" s="100">
        <v>46020</v>
      </c>
      <c r="K48" s="117">
        <v>0</v>
      </c>
      <c r="L48" s="100" t="s">
        <v>85</v>
      </c>
      <c r="M48" s="117">
        <v>0.1207</v>
      </c>
      <c r="N48" s="100">
        <v>46055</v>
      </c>
      <c r="O48" s="117">
        <v>0.12039999999999999</v>
      </c>
      <c r="P48" s="100">
        <v>46083</v>
      </c>
      <c r="Q48" s="117">
        <v>0.14099999999999999</v>
      </c>
      <c r="R48" s="100">
        <v>46113</v>
      </c>
      <c r="S48" s="117">
        <v>0.13739999999999999</v>
      </c>
      <c r="T48" s="100">
        <v>46143</v>
      </c>
      <c r="U48" s="117">
        <v>0.13880000000000001</v>
      </c>
      <c r="V48" s="100">
        <v>46174</v>
      </c>
      <c r="W48" s="117">
        <v>0.14419999999999999</v>
      </c>
      <c r="X48" s="100">
        <v>46204</v>
      </c>
      <c r="Y48" s="117">
        <v>0.1295</v>
      </c>
      <c r="Z48" s="100">
        <v>46237</v>
      </c>
      <c r="AA48" s="117">
        <v>0.13039999999999999</v>
      </c>
      <c r="AB48" s="100">
        <v>46266</v>
      </c>
      <c r="AC48" s="117">
        <v>0.13819999999999999</v>
      </c>
      <c r="AD48" s="100">
        <v>46296</v>
      </c>
      <c r="AE48" s="117"/>
      <c r="AF48" s="100"/>
      <c r="AG48" s="117"/>
      <c r="AH48" s="100"/>
      <c r="AI48" s="108">
        <v>337332930</v>
      </c>
      <c r="AJ48" s="15" t="s">
        <v>40</v>
      </c>
      <c r="AK48" s="15" t="s">
        <v>5</v>
      </c>
      <c r="AL48" s="15" t="s">
        <v>9</v>
      </c>
      <c r="AM48" s="118">
        <v>5.4999999999999997E-3</v>
      </c>
      <c r="AN48" s="118">
        <v>5.4999999999999997E-3</v>
      </c>
      <c r="AO48" s="118">
        <v>0</v>
      </c>
      <c r="AP48" s="100">
        <v>46054</v>
      </c>
      <c r="AQ48" s="99"/>
    </row>
    <row r="49" spans="1:43" x14ac:dyDescent="0.25">
      <c r="A49" s="99" t="b">
        <v>1</v>
      </c>
      <c r="B49" s="54" t="s">
        <v>491</v>
      </c>
      <c r="C49" s="109"/>
      <c r="D49" s="95" t="s">
        <v>507</v>
      </c>
      <c r="E49" s="15" t="s">
        <v>541</v>
      </c>
      <c r="F49" s="98"/>
      <c r="G49" s="99" t="s">
        <v>532</v>
      </c>
      <c r="H49" s="106">
        <v>5.0000000000000001E-3</v>
      </c>
      <c r="I49" s="117">
        <v>0.44363000000000002</v>
      </c>
      <c r="J49" s="100">
        <v>46007</v>
      </c>
      <c r="K49" s="117">
        <v>0</v>
      </c>
      <c r="L49" s="100" t="s">
        <v>85</v>
      </c>
      <c r="M49" s="117">
        <v>0</v>
      </c>
      <c r="N49" s="100" t="s">
        <v>85</v>
      </c>
      <c r="O49" s="117">
        <v>0</v>
      </c>
      <c r="P49" s="100" t="s">
        <v>85</v>
      </c>
      <c r="Q49" s="117">
        <v>0</v>
      </c>
      <c r="R49" s="100" t="s">
        <v>85</v>
      </c>
      <c r="S49" s="117">
        <v>0</v>
      </c>
      <c r="T49" s="100" t="s">
        <v>85</v>
      </c>
      <c r="U49" s="117">
        <v>0.40486</v>
      </c>
      <c r="V49" s="100">
        <v>46188</v>
      </c>
      <c r="W49" s="117">
        <v>0</v>
      </c>
      <c r="X49" s="100" t="s">
        <v>85</v>
      </c>
      <c r="Y49" s="117">
        <v>0</v>
      </c>
      <c r="Z49" s="100" t="s">
        <v>85</v>
      </c>
      <c r="AA49" s="117">
        <v>0</v>
      </c>
      <c r="AB49" s="100" t="s">
        <v>85</v>
      </c>
      <c r="AC49" s="117">
        <v>0</v>
      </c>
      <c r="AD49" s="100" t="s">
        <v>85</v>
      </c>
      <c r="AE49" s="117"/>
      <c r="AF49" s="100"/>
      <c r="AG49" s="117"/>
      <c r="AH49" s="100"/>
      <c r="AI49" s="15">
        <v>2586606</v>
      </c>
      <c r="AJ49" s="15" t="s">
        <v>40</v>
      </c>
      <c r="AK49" s="15" t="s">
        <v>5</v>
      </c>
      <c r="AL49" s="15" t="s">
        <v>9</v>
      </c>
      <c r="AM49" s="118">
        <v>5.4999999999999997E-3</v>
      </c>
      <c r="AN49" s="118">
        <v>5.4999999999999997E-3</v>
      </c>
      <c r="AO49" s="118">
        <v>0</v>
      </c>
      <c r="AP49" s="100">
        <v>46060</v>
      </c>
      <c r="AQ49" s="99"/>
    </row>
    <row r="50" spans="1:43" x14ac:dyDescent="0.25">
      <c r="A50" s="99" t="b">
        <v>1</v>
      </c>
      <c r="B50" s="54" t="s">
        <v>501</v>
      </c>
      <c r="C50" s="109"/>
      <c r="D50" s="95" t="s">
        <v>507</v>
      </c>
      <c r="E50" s="15" t="s">
        <v>534</v>
      </c>
      <c r="F50" s="98"/>
      <c r="G50" s="99" t="s">
        <v>532</v>
      </c>
      <c r="H50" s="106">
        <v>5.0000000000000001E-3</v>
      </c>
      <c r="I50" s="117">
        <v>0.47492000000000001</v>
      </c>
      <c r="J50" s="100">
        <v>46007</v>
      </c>
      <c r="K50" s="117">
        <v>0</v>
      </c>
      <c r="L50" s="100" t="s">
        <v>85</v>
      </c>
      <c r="M50" s="117">
        <v>0</v>
      </c>
      <c r="N50" s="100" t="s">
        <v>85</v>
      </c>
      <c r="O50" s="117">
        <v>0</v>
      </c>
      <c r="P50" s="100" t="s">
        <v>85</v>
      </c>
      <c r="Q50" s="117">
        <v>0</v>
      </c>
      <c r="R50" s="100" t="s">
        <v>85</v>
      </c>
      <c r="S50" s="117">
        <v>0</v>
      </c>
      <c r="T50" s="100" t="s">
        <v>85</v>
      </c>
      <c r="U50" s="117">
        <v>0.27550000000000002</v>
      </c>
      <c r="V50" s="100">
        <v>46188</v>
      </c>
      <c r="W50" s="117">
        <v>0</v>
      </c>
      <c r="X50" s="100" t="s">
        <v>85</v>
      </c>
      <c r="Y50" s="117">
        <v>0</v>
      </c>
      <c r="Z50" s="100" t="s">
        <v>85</v>
      </c>
      <c r="AA50" s="117">
        <v>0</v>
      </c>
      <c r="AB50" s="100" t="s">
        <v>85</v>
      </c>
      <c r="AC50" s="117">
        <v>0</v>
      </c>
      <c r="AD50" s="100" t="s">
        <v>85</v>
      </c>
      <c r="AE50" s="117"/>
      <c r="AF50" s="100"/>
      <c r="AG50" s="117"/>
      <c r="AH50" s="100"/>
      <c r="AI50" s="15">
        <v>2586548</v>
      </c>
      <c r="AJ50" s="15" t="s">
        <v>40</v>
      </c>
      <c r="AK50" s="15" t="s">
        <v>5</v>
      </c>
      <c r="AL50" s="15" t="s">
        <v>9</v>
      </c>
      <c r="AM50" s="118">
        <v>5.4999999999999997E-3</v>
      </c>
      <c r="AN50" s="118">
        <v>5.4999999999999997E-3</v>
      </c>
      <c r="AO50" s="118">
        <v>0</v>
      </c>
      <c r="AP50" s="100">
        <v>46060</v>
      </c>
      <c r="AQ50" s="99"/>
    </row>
    <row r="51" spans="1:43" x14ac:dyDescent="0.25">
      <c r="A51" s="99" t="b">
        <v>1</v>
      </c>
      <c r="B51" s="54" t="s">
        <v>503</v>
      </c>
      <c r="C51" s="109"/>
      <c r="D51" s="95" t="s">
        <v>507</v>
      </c>
      <c r="E51" s="15" t="s">
        <v>542</v>
      </c>
      <c r="F51" s="98"/>
      <c r="G51" s="99" t="s">
        <v>532</v>
      </c>
      <c r="H51" s="106">
        <v>4.8999999999999998E-3</v>
      </c>
      <c r="I51" s="117">
        <v>0</v>
      </c>
      <c r="J51" s="100" t="s">
        <v>85</v>
      </c>
      <c r="K51" s="117">
        <v>0</v>
      </c>
      <c r="L51" s="100" t="s">
        <v>85</v>
      </c>
      <c r="M51" s="117">
        <v>0</v>
      </c>
      <c r="N51" s="100" t="s">
        <v>85</v>
      </c>
      <c r="O51" s="117">
        <v>0</v>
      </c>
      <c r="P51" s="100" t="s">
        <v>85</v>
      </c>
      <c r="Q51" s="117">
        <v>0</v>
      </c>
      <c r="R51" s="100" t="s">
        <v>85</v>
      </c>
      <c r="S51" s="117">
        <v>0</v>
      </c>
      <c r="T51" s="100" t="s">
        <v>85</v>
      </c>
      <c r="U51" s="117">
        <v>0.83157999999999999</v>
      </c>
      <c r="V51" s="100">
        <v>46188</v>
      </c>
      <c r="W51" s="117">
        <v>0</v>
      </c>
      <c r="X51" s="100" t="s">
        <v>85</v>
      </c>
      <c r="Y51" s="117">
        <v>0</v>
      </c>
      <c r="Z51" s="100" t="s">
        <v>85</v>
      </c>
      <c r="AA51" s="117">
        <v>0</v>
      </c>
      <c r="AB51" s="100" t="s">
        <v>85</v>
      </c>
      <c r="AC51" s="117">
        <v>0</v>
      </c>
      <c r="AD51" s="100" t="s">
        <v>85</v>
      </c>
      <c r="AE51" s="117"/>
      <c r="AF51" s="100"/>
      <c r="AG51" s="117"/>
      <c r="AH51" s="100"/>
      <c r="AI51" s="15">
        <v>2586603</v>
      </c>
      <c r="AJ51" s="15" t="s">
        <v>40</v>
      </c>
      <c r="AK51" s="15" t="s">
        <v>5</v>
      </c>
      <c r="AL51" s="15" t="s">
        <v>9</v>
      </c>
      <c r="AM51" s="118">
        <v>5.4999999999999997E-3</v>
      </c>
      <c r="AN51" s="118">
        <v>5.4999999999999997E-3</v>
      </c>
      <c r="AO51" s="118">
        <v>0</v>
      </c>
      <c r="AP51" s="100">
        <v>46060</v>
      </c>
      <c r="AQ51" s="99"/>
    </row>
    <row r="52" spans="1:43" x14ac:dyDescent="0.25">
      <c r="A52" s="99" t="b">
        <v>1</v>
      </c>
      <c r="B52" s="54" t="s">
        <v>497</v>
      </c>
      <c r="C52" s="109"/>
      <c r="D52" s="95" t="s">
        <v>507</v>
      </c>
      <c r="E52" s="15" t="s">
        <v>543</v>
      </c>
      <c r="F52" s="98"/>
      <c r="G52" s="99" t="s">
        <v>532</v>
      </c>
      <c r="H52" s="106">
        <v>5.8999999999999999E-3</v>
      </c>
      <c r="I52" s="117">
        <v>2.8161499999999999</v>
      </c>
      <c r="J52" s="100">
        <v>46007</v>
      </c>
      <c r="K52" s="117">
        <v>0</v>
      </c>
      <c r="L52" s="100" t="s">
        <v>85</v>
      </c>
      <c r="M52" s="117">
        <v>0</v>
      </c>
      <c r="N52" s="100" t="s">
        <v>85</v>
      </c>
      <c r="O52" s="117">
        <v>0</v>
      </c>
      <c r="P52" s="100" t="s">
        <v>85</v>
      </c>
      <c r="Q52" s="117">
        <v>0</v>
      </c>
      <c r="R52" s="100" t="s">
        <v>85</v>
      </c>
      <c r="S52" s="117">
        <v>0</v>
      </c>
      <c r="T52" s="100" t="s">
        <v>85</v>
      </c>
      <c r="U52" s="117">
        <v>0</v>
      </c>
      <c r="V52" s="100" t="s">
        <v>85</v>
      </c>
      <c r="W52" s="117">
        <v>0</v>
      </c>
      <c r="X52" s="100" t="s">
        <v>85</v>
      </c>
      <c r="Y52" s="117">
        <v>0</v>
      </c>
      <c r="Z52" s="100" t="s">
        <v>85</v>
      </c>
      <c r="AA52" s="117">
        <v>0</v>
      </c>
      <c r="AB52" s="100" t="s">
        <v>85</v>
      </c>
      <c r="AC52" s="117">
        <v>0</v>
      </c>
      <c r="AD52" s="100" t="s">
        <v>85</v>
      </c>
      <c r="AE52" s="117"/>
      <c r="AF52" s="100"/>
      <c r="AG52" s="117"/>
      <c r="AH52" s="100"/>
      <c r="AI52" s="15">
        <v>253190576</v>
      </c>
      <c r="AJ52" s="15" t="s">
        <v>40</v>
      </c>
      <c r="AK52" s="15" t="s">
        <v>5</v>
      </c>
      <c r="AL52" s="15" t="s">
        <v>9</v>
      </c>
      <c r="AM52" s="118">
        <v>5.4999999999999997E-3</v>
      </c>
      <c r="AN52" s="118">
        <v>5.4999999999999997E-3</v>
      </c>
      <c r="AO52" s="118">
        <v>0</v>
      </c>
      <c r="AP52" s="100">
        <v>46060</v>
      </c>
      <c r="AQ52" s="99"/>
    </row>
    <row r="53" spans="1:43" x14ac:dyDescent="0.25">
      <c r="A53" s="99" t="b">
        <v>1</v>
      </c>
      <c r="B53" s="54" t="s">
        <v>489</v>
      </c>
      <c r="C53" s="109"/>
      <c r="D53" s="95" t="s">
        <v>507</v>
      </c>
      <c r="E53" s="15" t="s">
        <v>544</v>
      </c>
      <c r="F53" s="98"/>
      <c r="G53" s="99" t="s">
        <v>532</v>
      </c>
      <c r="H53" s="106">
        <v>5.0000000000000001E-3</v>
      </c>
      <c r="I53" s="117">
        <v>0.82911000000000001</v>
      </c>
      <c r="J53" s="100">
        <v>46007</v>
      </c>
      <c r="K53" s="117">
        <v>0</v>
      </c>
      <c r="L53" s="100" t="s">
        <v>85</v>
      </c>
      <c r="M53" s="117">
        <v>0</v>
      </c>
      <c r="N53" s="100" t="s">
        <v>85</v>
      </c>
      <c r="O53" s="117">
        <v>0</v>
      </c>
      <c r="P53" s="100" t="s">
        <v>85</v>
      </c>
      <c r="Q53" s="117">
        <v>0</v>
      </c>
      <c r="R53" s="100" t="s">
        <v>85</v>
      </c>
      <c r="S53" s="117">
        <v>0</v>
      </c>
      <c r="T53" s="100" t="s">
        <v>85</v>
      </c>
      <c r="U53" s="117">
        <v>0.66625000000000001</v>
      </c>
      <c r="V53" s="100">
        <v>46188</v>
      </c>
      <c r="W53" s="117">
        <v>0</v>
      </c>
      <c r="X53" s="100" t="s">
        <v>85</v>
      </c>
      <c r="Y53" s="117">
        <v>0</v>
      </c>
      <c r="Z53" s="100" t="s">
        <v>85</v>
      </c>
      <c r="AA53" s="117">
        <v>0</v>
      </c>
      <c r="AB53" s="100" t="s">
        <v>85</v>
      </c>
      <c r="AC53" s="117">
        <v>0</v>
      </c>
      <c r="AD53" s="100" t="s">
        <v>85</v>
      </c>
      <c r="AE53" s="117"/>
      <c r="AF53" s="100"/>
      <c r="AG53" s="117"/>
      <c r="AH53" s="100"/>
      <c r="AI53" s="15">
        <v>253190561</v>
      </c>
      <c r="AJ53" s="15" t="s">
        <v>40</v>
      </c>
      <c r="AK53" s="15" t="s">
        <v>5</v>
      </c>
      <c r="AL53" s="15" t="s">
        <v>9</v>
      </c>
      <c r="AM53" s="118">
        <v>5.4999999999999997E-3</v>
      </c>
      <c r="AN53" s="118">
        <v>5.4999999999999997E-3</v>
      </c>
      <c r="AO53" s="118">
        <v>0</v>
      </c>
      <c r="AP53" s="100">
        <v>46060</v>
      </c>
      <c r="AQ53" s="99"/>
    </row>
    <row r="54" spans="1:43" x14ac:dyDescent="0.25">
      <c r="A54" s="99" t="b">
        <v>1</v>
      </c>
      <c r="B54" s="54" t="s">
        <v>493</v>
      </c>
      <c r="C54" s="109"/>
      <c r="D54" s="95" t="s">
        <v>507</v>
      </c>
      <c r="E54" s="15" t="s">
        <v>545</v>
      </c>
      <c r="F54" s="98"/>
      <c r="G54" s="99" t="s">
        <v>532</v>
      </c>
      <c r="H54" s="106">
        <v>5.0000000000000001E-3</v>
      </c>
      <c r="I54" s="117">
        <v>1.3271299999999999</v>
      </c>
      <c r="J54" s="100">
        <v>46007</v>
      </c>
      <c r="K54" s="117">
        <v>0</v>
      </c>
      <c r="L54" s="100" t="s">
        <v>85</v>
      </c>
      <c r="M54" s="117">
        <v>0</v>
      </c>
      <c r="N54" s="100" t="s">
        <v>85</v>
      </c>
      <c r="O54" s="117">
        <v>0</v>
      </c>
      <c r="P54" s="100" t="s">
        <v>85</v>
      </c>
      <c r="Q54" s="117">
        <v>0</v>
      </c>
      <c r="R54" s="100" t="s">
        <v>85</v>
      </c>
      <c r="S54" s="117">
        <v>0</v>
      </c>
      <c r="T54" s="100" t="s">
        <v>85</v>
      </c>
      <c r="U54" s="117">
        <v>1.1378299999999999</v>
      </c>
      <c r="V54" s="100">
        <v>46188</v>
      </c>
      <c r="W54" s="117">
        <v>0</v>
      </c>
      <c r="X54" s="100" t="s">
        <v>85</v>
      </c>
      <c r="Y54" s="117">
        <v>0</v>
      </c>
      <c r="Z54" s="100" t="s">
        <v>85</v>
      </c>
      <c r="AA54" s="117">
        <v>0</v>
      </c>
      <c r="AB54" s="100" t="s">
        <v>85</v>
      </c>
      <c r="AC54" s="117">
        <v>0</v>
      </c>
      <c r="AD54" s="100" t="s">
        <v>85</v>
      </c>
      <c r="AE54" s="117"/>
      <c r="AF54" s="100"/>
      <c r="AG54" s="117"/>
      <c r="AH54" s="100"/>
      <c r="AI54" s="15">
        <v>2586566</v>
      </c>
      <c r="AJ54" s="15" t="s">
        <v>40</v>
      </c>
      <c r="AK54" s="15" t="s">
        <v>5</v>
      </c>
      <c r="AL54" s="15" t="s">
        <v>9</v>
      </c>
      <c r="AM54" s="118">
        <v>5.4999999999999997E-3</v>
      </c>
      <c r="AN54" s="118">
        <v>5.4999999999999997E-3</v>
      </c>
      <c r="AO54" s="118">
        <v>0</v>
      </c>
      <c r="AP54" s="100">
        <v>46060</v>
      </c>
      <c r="AQ54" s="99"/>
    </row>
    <row r="55" spans="1:43" x14ac:dyDescent="0.25">
      <c r="A55" s="99" t="b">
        <v>1</v>
      </c>
      <c r="B55" s="54" t="s">
        <v>499</v>
      </c>
      <c r="C55" s="109"/>
      <c r="D55" s="95" t="s">
        <v>507</v>
      </c>
      <c r="E55" s="15" t="s">
        <v>546</v>
      </c>
      <c r="F55" s="98"/>
      <c r="G55" s="99" t="s">
        <v>532</v>
      </c>
      <c r="H55" s="106">
        <v>5.8999999999999999E-3</v>
      </c>
      <c r="I55" s="117">
        <v>2.0370699999999999</v>
      </c>
      <c r="J55" s="100">
        <v>46007</v>
      </c>
      <c r="K55" s="117">
        <v>0</v>
      </c>
      <c r="L55" s="100" t="s">
        <v>85</v>
      </c>
      <c r="M55" s="117">
        <v>0</v>
      </c>
      <c r="N55" s="100" t="s">
        <v>85</v>
      </c>
      <c r="O55" s="117">
        <v>0</v>
      </c>
      <c r="P55" s="100" t="s">
        <v>85</v>
      </c>
      <c r="Q55" s="117">
        <v>0</v>
      </c>
      <c r="R55" s="100" t="s">
        <v>85</v>
      </c>
      <c r="S55" s="117">
        <v>0</v>
      </c>
      <c r="T55" s="100" t="s">
        <v>85</v>
      </c>
      <c r="U55" s="117">
        <v>0</v>
      </c>
      <c r="V55" s="100" t="s">
        <v>85</v>
      </c>
      <c r="W55" s="117">
        <v>0</v>
      </c>
      <c r="X55" s="100" t="s">
        <v>85</v>
      </c>
      <c r="Y55" s="117">
        <v>0</v>
      </c>
      <c r="Z55" s="100" t="s">
        <v>85</v>
      </c>
      <c r="AA55" s="117">
        <v>0</v>
      </c>
      <c r="AB55" s="100" t="s">
        <v>85</v>
      </c>
      <c r="AC55" s="117">
        <v>0</v>
      </c>
      <c r="AD55" s="100" t="s">
        <v>85</v>
      </c>
      <c r="AE55" s="117"/>
      <c r="AF55" s="100"/>
      <c r="AG55" s="117"/>
      <c r="AH55" s="100"/>
      <c r="AI55" s="15">
        <v>10753248</v>
      </c>
      <c r="AJ55" s="15" t="s">
        <v>40</v>
      </c>
      <c r="AK55" s="15" t="s">
        <v>5</v>
      </c>
      <c r="AL55" s="15" t="s">
        <v>9</v>
      </c>
      <c r="AM55" s="118">
        <v>5.4999999999999997E-3</v>
      </c>
      <c r="AN55" s="118">
        <v>5.4999999999999997E-3</v>
      </c>
      <c r="AO55" s="118">
        <v>0</v>
      </c>
      <c r="AP55" s="100">
        <v>46060</v>
      </c>
      <c r="AQ55" s="99"/>
    </row>
    <row r="56" spans="1:43" x14ac:dyDescent="0.25">
      <c r="A56" s="99" t="b">
        <v>1</v>
      </c>
      <c r="B56" s="54" t="s">
        <v>495</v>
      </c>
      <c r="C56" s="109"/>
      <c r="D56" s="95" t="s">
        <v>507</v>
      </c>
      <c r="E56" s="15" t="s">
        <v>547</v>
      </c>
      <c r="F56" s="98"/>
      <c r="G56" s="99" t="s">
        <v>532</v>
      </c>
      <c r="H56" s="106">
        <v>5.8999999999999999E-3</v>
      </c>
      <c r="I56" s="117">
        <v>0.10618</v>
      </c>
      <c r="J56" s="100">
        <v>46021</v>
      </c>
      <c r="K56" s="117">
        <v>0</v>
      </c>
      <c r="L56" s="100" t="s">
        <v>85</v>
      </c>
      <c r="M56" s="117">
        <v>0</v>
      </c>
      <c r="N56" s="100" t="s">
        <v>85</v>
      </c>
      <c r="O56" s="117">
        <v>0</v>
      </c>
      <c r="P56" s="100" t="s">
        <v>85</v>
      </c>
      <c r="Q56" s="117"/>
      <c r="R56" s="100"/>
      <c r="S56" s="117"/>
      <c r="T56" s="100"/>
      <c r="U56" s="117">
        <v>0.33069999999999999</v>
      </c>
      <c r="V56" s="100">
        <v>46188</v>
      </c>
      <c r="W56" s="117">
        <v>0</v>
      </c>
      <c r="X56" s="100" t="s">
        <v>85</v>
      </c>
      <c r="Y56" s="117">
        <v>0</v>
      </c>
      <c r="Z56" s="100" t="s">
        <v>85</v>
      </c>
      <c r="AA56" s="117">
        <v>0</v>
      </c>
      <c r="AB56" s="100" t="s">
        <v>85</v>
      </c>
      <c r="AC56" s="117">
        <v>0</v>
      </c>
      <c r="AD56" s="100" t="s">
        <v>85</v>
      </c>
      <c r="AE56" s="117"/>
      <c r="AF56" s="100"/>
      <c r="AG56" s="117"/>
      <c r="AH56" s="100"/>
      <c r="AI56" s="15">
        <v>10753244</v>
      </c>
      <c r="AJ56" s="15" t="s">
        <v>40</v>
      </c>
      <c r="AK56" s="15" t="s">
        <v>5</v>
      </c>
      <c r="AL56" s="15" t="s">
        <v>9</v>
      </c>
      <c r="AM56" s="118">
        <v>5.4999999999999997E-3</v>
      </c>
      <c r="AN56" s="118">
        <v>5.4999999999999997E-3</v>
      </c>
      <c r="AO56" s="118">
        <v>0</v>
      </c>
      <c r="AP56" s="100">
        <v>46060</v>
      </c>
      <c r="AQ56" s="99"/>
    </row>
    <row r="57" spans="1:43" x14ac:dyDescent="0.25">
      <c r="A57" s="17" t="b">
        <v>1</v>
      </c>
      <c r="B57" s="101" t="s">
        <v>192</v>
      </c>
      <c r="C57" s="109"/>
      <c r="D57" s="95" t="s">
        <v>307</v>
      </c>
      <c r="E57" s="95" t="s">
        <v>309</v>
      </c>
      <c r="F57" s="98"/>
      <c r="G57" s="99" t="s">
        <v>532</v>
      </c>
      <c r="H57" s="106">
        <v>2.5000000000000001E-3</v>
      </c>
      <c r="I57" s="117">
        <v>0.14660500000000001</v>
      </c>
      <c r="J57" s="100">
        <v>46010</v>
      </c>
      <c r="K57" s="117">
        <v>0</v>
      </c>
      <c r="L57" s="100" t="s">
        <v>85</v>
      </c>
      <c r="M57" s="117">
        <v>0.14729999999999999</v>
      </c>
      <c r="N57" s="100">
        <v>46055</v>
      </c>
      <c r="O57" s="117">
        <v>0.15057999999999999</v>
      </c>
      <c r="P57" s="100">
        <v>46083</v>
      </c>
      <c r="Q57" s="117">
        <v>0.14197000000000001</v>
      </c>
      <c r="R57" s="100">
        <v>46113</v>
      </c>
      <c r="S57" s="117">
        <v>0.15162999999999999</v>
      </c>
      <c r="T57" s="100">
        <v>46143</v>
      </c>
      <c r="U57" s="117">
        <v>0.14907000000000001</v>
      </c>
      <c r="V57" s="100">
        <v>46174</v>
      </c>
      <c r="W57" s="117">
        <v>0.14105000000000001</v>
      </c>
      <c r="X57" s="100">
        <v>46204</v>
      </c>
      <c r="Y57" s="117">
        <v>0.14807000000000001</v>
      </c>
      <c r="Z57" s="100">
        <v>46237</v>
      </c>
      <c r="AA57" s="117">
        <v>0.14246</v>
      </c>
      <c r="AB57" s="100">
        <v>46266</v>
      </c>
      <c r="AC57" s="117">
        <v>0.14712800000000001</v>
      </c>
      <c r="AD57" s="100">
        <v>46296</v>
      </c>
      <c r="AE57" s="117"/>
      <c r="AF57" s="100"/>
      <c r="AG57" s="117"/>
      <c r="AH57" s="100"/>
      <c r="AI57" s="108">
        <v>236855028</v>
      </c>
      <c r="AJ57" s="15" t="s">
        <v>40</v>
      </c>
      <c r="AK57" s="15" t="s">
        <v>5</v>
      </c>
      <c r="AL57" s="15" t="s">
        <v>9</v>
      </c>
      <c r="AM57" s="118">
        <v>5.4999999999999997E-3</v>
      </c>
      <c r="AN57" s="118">
        <v>5.4999999999999997E-3</v>
      </c>
      <c r="AO57" s="118">
        <v>0</v>
      </c>
      <c r="AP57" s="100">
        <v>46054</v>
      </c>
      <c r="AQ57" s="99"/>
    </row>
    <row r="58" spans="1:43" x14ac:dyDescent="0.25">
      <c r="A58" s="17" t="b">
        <v>1</v>
      </c>
      <c r="B58" s="101" t="s">
        <v>264</v>
      </c>
      <c r="C58" s="109"/>
      <c r="D58" s="95" t="s">
        <v>300</v>
      </c>
      <c r="E58" s="110" t="s">
        <v>327</v>
      </c>
      <c r="F58" s="98"/>
      <c r="G58" s="99" t="s">
        <v>548</v>
      </c>
      <c r="H58" s="106">
        <v>8.0000000000000004E-4</v>
      </c>
      <c r="I58" s="117">
        <v>0.187</v>
      </c>
      <c r="J58" s="100">
        <v>46010</v>
      </c>
      <c r="K58" s="117">
        <v>0</v>
      </c>
      <c r="L58" s="100" t="s">
        <v>85</v>
      </c>
      <c r="M58" s="117">
        <v>0</v>
      </c>
      <c r="N58" s="100" t="s">
        <v>85</v>
      </c>
      <c r="O58" s="117">
        <v>0.187</v>
      </c>
      <c r="P58" s="100">
        <v>46101</v>
      </c>
      <c r="Q58" s="117">
        <v>0</v>
      </c>
      <c r="R58" s="100" t="s">
        <v>85</v>
      </c>
      <c r="S58" s="117">
        <v>0</v>
      </c>
      <c r="T58" s="100" t="s">
        <v>85</v>
      </c>
      <c r="U58" s="117">
        <v>0.2</v>
      </c>
      <c r="V58" s="100">
        <v>46191</v>
      </c>
      <c r="W58" s="117">
        <v>0</v>
      </c>
      <c r="X58" s="100" t="s">
        <v>85</v>
      </c>
      <c r="Y58" s="117">
        <v>0</v>
      </c>
      <c r="Z58" s="100" t="s">
        <v>85</v>
      </c>
      <c r="AA58" s="117">
        <v>0.20100000000000001</v>
      </c>
      <c r="AB58" s="100">
        <v>46283</v>
      </c>
      <c r="AC58" s="117">
        <v>0</v>
      </c>
      <c r="AD58" s="100" t="s">
        <v>85</v>
      </c>
      <c r="AE58" s="117"/>
      <c r="AF58" s="100"/>
      <c r="AG58" s="117"/>
      <c r="AH58" s="100"/>
      <c r="AI58" s="65">
        <v>137229010</v>
      </c>
      <c r="AJ58" s="15" t="s">
        <v>40</v>
      </c>
      <c r="AK58" s="15" t="s">
        <v>5</v>
      </c>
      <c r="AL58" s="15" t="s">
        <v>9</v>
      </c>
      <c r="AM58" s="118">
        <v>5.4999999999999997E-3</v>
      </c>
      <c r="AN58" s="118">
        <v>5.4999999999999997E-3</v>
      </c>
      <c r="AO58" s="118">
        <v>0</v>
      </c>
      <c r="AP58" s="100">
        <v>46054</v>
      </c>
      <c r="AQ58" s="99"/>
    </row>
    <row r="59" spans="1:43" x14ac:dyDescent="0.25">
      <c r="A59" s="17" t="b">
        <v>1</v>
      </c>
      <c r="B59" s="101" t="s">
        <v>272</v>
      </c>
      <c r="C59" s="109"/>
      <c r="D59" s="95" t="s">
        <v>300</v>
      </c>
      <c r="E59" s="110" t="s">
        <v>319</v>
      </c>
      <c r="F59" s="98"/>
      <c r="G59" s="99" t="s">
        <v>548</v>
      </c>
      <c r="H59" s="106">
        <v>8.0000000000000004E-4</v>
      </c>
      <c r="I59" s="117">
        <v>0.185</v>
      </c>
      <c r="J59" s="100">
        <v>46010</v>
      </c>
      <c r="K59" s="117">
        <v>0</v>
      </c>
      <c r="L59" s="100" t="s">
        <v>85</v>
      </c>
      <c r="M59" s="117">
        <v>0</v>
      </c>
      <c r="N59" s="100" t="s">
        <v>85</v>
      </c>
      <c r="O59" s="117">
        <v>0.187</v>
      </c>
      <c r="P59" s="100">
        <v>46101</v>
      </c>
      <c r="Q59" s="117">
        <v>0</v>
      </c>
      <c r="R59" s="100" t="s">
        <v>85</v>
      </c>
      <c r="S59" s="117">
        <v>0</v>
      </c>
      <c r="T59" s="100" t="s">
        <v>85</v>
      </c>
      <c r="U59" s="117">
        <v>0.21</v>
      </c>
      <c r="V59" s="100">
        <v>46191</v>
      </c>
      <c r="W59" s="117">
        <v>0</v>
      </c>
      <c r="X59" s="100" t="s">
        <v>85</v>
      </c>
      <c r="Y59" s="117">
        <v>0</v>
      </c>
      <c r="Z59" s="100" t="s">
        <v>85</v>
      </c>
      <c r="AA59" s="117">
        <v>0.20499999999999999</v>
      </c>
      <c r="AB59" s="100">
        <v>46283</v>
      </c>
      <c r="AC59" s="117">
        <v>0</v>
      </c>
      <c r="AD59" s="100" t="s">
        <v>85</v>
      </c>
      <c r="AE59" s="117"/>
      <c r="AF59" s="100"/>
      <c r="AG59" s="117"/>
      <c r="AH59" s="100"/>
      <c r="AI59" s="65">
        <v>137229016</v>
      </c>
      <c r="AJ59" s="15" t="s">
        <v>40</v>
      </c>
      <c r="AK59" s="15" t="s">
        <v>5</v>
      </c>
      <c r="AL59" s="15" t="s">
        <v>9</v>
      </c>
      <c r="AM59" s="118">
        <v>5.4999999999999997E-3</v>
      </c>
      <c r="AN59" s="118">
        <v>5.4999999999999997E-3</v>
      </c>
      <c r="AO59" s="118">
        <v>0</v>
      </c>
      <c r="AP59" s="100">
        <v>46054</v>
      </c>
      <c r="AQ59" s="99"/>
    </row>
    <row r="60" spans="1:43" x14ac:dyDescent="0.25">
      <c r="A60" s="99" t="b">
        <v>1</v>
      </c>
      <c r="B60" s="54" t="s">
        <v>504</v>
      </c>
      <c r="C60" s="109"/>
      <c r="D60" s="95" t="s">
        <v>507</v>
      </c>
      <c r="E60" s="15" t="s">
        <v>542</v>
      </c>
      <c r="F60" s="98"/>
      <c r="G60" s="99" t="s">
        <v>549</v>
      </c>
      <c r="H60" s="106">
        <v>8.0000000000000002E-3</v>
      </c>
      <c r="I60" s="117">
        <v>3.9199999999999999E-2</v>
      </c>
      <c r="J60" s="100">
        <v>46003</v>
      </c>
      <c r="K60" s="117">
        <v>0</v>
      </c>
      <c r="L60" s="100" t="s">
        <v>85</v>
      </c>
      <c r="M60" s="117">
        <v>0</v>
      </c>
      <c r="N60" s="100" t="s">
        <v>85</v>
      </c>
      <c r="O60" s="117">
        <v>0</v>
      </c>
      <c r="P60" s="100" t="s">
        <v>85</v>
      </c>
      <c r="Q60" s="117">
        <v>0</v>
      </c>
      <c r="R60" s="100" t="s">
        <v>85</v>
      </c>
      <c r="S60" s="117">
        <v>0</v>
      </c>
      <c r="T60" s="100" t="s">
        <v>85</v>
      </c>
      <c r="U60" s="117">
        <v>0.84219999999999995</v>
      </c>
      <c r="V60" s="100">
        <v>46198</v>
      </c>
      <c r="W60" s="117">
        <v>0</v>
      </c>
      <c r="X60" s="100" t="s">
        <v>85</v>
      </c>
      <c r="Y60" s="117">
        <v>0</v>
      </c>
      <c r="Z60" s="100" t="s">
        <v>85</v>
      </c>
      <c r="AA60" s="117">
        <v>0</v>
      </c>
      <c r="AB60" s="100" t="s">
        <v>85</v>
      </c>
      <c r="AC60" s="117">
        <v>0</v>
      </c>
      <c r="AD60" s="100" t="s">
        <v>85</v>
      </c>
      <c r="AE60" s="117"/>
      <c r="AF60" s="100"/>
      <c r="AG60" s="117"/>
      <c r="AH60" s="100"/>
      <c r="AI60" s="15">
        <v>102404272</v>
      </c>
      <c r="AJ60" s="15" t="s">
        <v>40</v>
      </c>
      <c r="AK60" s="15" t="s">
        <v>5</v>
      </c>
      <c r="AL60" s="15" t="s">
        <v>9</v>
      </c>
      <c r="AM60" s="118">
        <v>5.4999999999999997E-3</v>
      </c>
      <c r="AN60" s="118">
        <v>5.4999999999999997E-3</v>
      </c>
      <c r="AO60" s="118">
        <v>0</v>
      </c>
      <c r="AP60" s="100">
        <v>46060</v>
      </c>
      <c r="AQ60" s="99"/>
    </row>
    <row r="61" spans="1:43" x14ac:dyDescent="0.25">
      <c r="A61" s="17" t="b">
        <v>1</v>
      </c>
      <c r="B61" s="101" t="s">
        <v>280</v>
      </c>
      <c r="C61" s="109"/>
      <c r="D61" s="95" t="s">
        <v>300</v>
      </c>
      <c r="E61" s="110" t="s">
        <v>320</v>
      </c>
      <c r="F61" s="98"/>
      <c r="G61" s="99" t="s">
        <v>548</v>
      </c>
      <c r="H61" s="106">
        <v>8.0000000000000004E-4</v>
      </c>
      <c r="I61" s="117">
        <v>0.27200000000000002</v>
      </c>
      <c r="J61" s="100">
        <v>46010</v>
      </c>
      <c r="K61" s="117">
        <v>0</v>
      </c>
      <c r="L61" s="100" t="s">
        <v>85</v>
      </c>
      <c r="M61" s="117">
        <v>0</v>
      </c>
      <c r="N61" s="100" t="s">
        <v>85</v>
      </c>
      <c r="O61" s="117">
        <v>0.22900000000000001</v>
      </c>
      <c r="P61" s="100">
        <v>46101</v>
      </c>
      <c r="Q61" s="117">
        <v>0</v>
      </c>
      <c r="R61" s="100" t="s">
        <v>85</v>
      </c>
      <c r="S61" s="117">
        <v>0</v>
      </c>
      <c r="T61" s="100" t="s">
        <v>85</v>
      </c>
      <c r="U61" s="117">
        <v>0.26300000000000001</v>
      </c>
      <c r="V61" s="100">
        <v>46191</v>
      </c>
      <c r="W61" s="117">
        <v>0</v>
      </c>
      <c r="X61" s="100" t="s">
        <v>85</v>
      </c>
      <c r="Y61" s="117">
        <v>0</v>
      </c>
      <c r="Z61" s="100" t="s">
        <v>85</v>
      </c>
      <c r="AA61" s="117">
        <v>0.254</v>
      </c>
      <c r="AB61" s="100">
        <v>46283</v>
      </c>
      <c r="AC61" s="117">
        <v>0</v>
      </c>
      <c r="AD61" s="100" t="s">
        <v>85</v>
      </c>
      <c r="AE61" s="117"/>
      <c r="AF61" s="100"/>
      <c r="AG61" s="117"/>
      <c r="AH61" s="100"/>
      <c r="AI61" s="65">
        <v>137229025</v>
      </c>
      <c r="AJ61" s="15" t="s">
        <v>40</v>
      </c>
      <c r="AK61" s="15" t="s">
        <v>5</v>
      </c>
      <c r="AL61" s="15" t="s">
        <v>9</v>
      </c>
      <c r="AM61" s="118">
        <v>5.4999999999999997E-3</v>
      </c>
      <c r="AN61" s="118">
        <v>5.4999999999999997E-3</v>
      </c>
      <c r="AO61" s="118">
        <v>0</v>
      </c>
      <c r="AP61" s="100">
        <v>46054</v>
      </c>
      <c r="AQ61" s="99"/>
    </row>
    <row r="62" spans="1:43" x14ac:dyDescent="0.25">
      <c r="A62" s="17" t="b">
        <v>1</v>
      </c>
      <c r="B62" s="101" t="s">
        <v>284</v>
      </c>
      <c r="C62" s="109"/>
      <c r="D62" s="95" t="s">
        <v>300</v>
      </c>
      <c r="E62" s="110" t="s">
        <v>321</v>
      </c>
      <c r="F62" s="98"/>
      <c r="G62" s="99" t="s">
        <v>548</v>
      </c>
      <c r="H62" s="106">
        <v>8.0000000000000004E-4</v>
      </c>
      <c r="I62" s="117">
        <v>0.14299999999999999</v>
      </c>
      <c r="J62" s="100">
        <v>46010</v>
      </c>
      <c r="K62" s="117">
        <v>0</v>
      </c>
      <c r="L62" s="100" t="s">
        <v>85</v>
      </c>
      <c r="M62" s="117">
        <v>0</v>
      </c>
      <c r="N62" s="100" t="s">
        <v>85</v>
      </c>
      <c r="O62" s="117">
        <v>0.26500000000000001</v>
      </c>
      <c r="P62" s="100">
        <v>46101</v>
      </c>
      <c r="Q62" s="117">
        <v>0</v>
      </c>
      <c r="R62" s="100" t="s">
        <v>85</v>
      </c>
      <c r="S62" s="117">
        <v>0</v>
      </c>
      <c r="T62" s="100" t="s">
        <v>85</v>
      </c>
      <c r="U62" s="117">
        <v>0.21299999999999999</v>
      </c>
      <c r="V62" s="100">
        <v>46191</v>
      </c>
      <c r="W62" s="117">
        <v>0</v>
      </c>
      <c r="X62" s="100" t="s">
        <v>85</v>
      </c>
      <c r="Y62" s="117">
        <v>0</v>
      </c>
      <c r="Z62" s="100" t="s">
        <v>85</v>
      </c>
      <c r="AA62" s="117">
        <v>0.20699999999999999</v>
      </c>
      <c r="AB62" s="100">
        <v>46283</v>
      </c>
      <c r="AC62" s="117">
        <v>0</v>
      </c>
      <c r="AD62" s="100" t="s">
        <v>85</v>
      </c>
      <c r="AE62" s="117"/>
      <c r="AF62" s="100"/>
      <c r="AG62" s="117"/>
      <c r="AH62" s="100"/>
      <c r="AI62" s="65">
        <v>137229028</v>
      </c>
      <c r="AJ62" s="15" t="s">
        <v>40</v>
      </c>
      <c r="AK62" s="15" t="s">
        <v>5</v>
      </c>
      <c r="AL62" s="15" t="s">
        <v>9</v>
      </c>
      <c r="AM62" s="118">
        <v>5.4999999999999997E-3</v>
      </c>
      <c r="AN62" s="118">
        <v>5.4999999999999997E-3</v>
      </c>
      <c r="AO62" s="118">
        <v>0</v>
      </c>
      <c r="AP62" s="100">
        <v>46054</v>
      </c>
      <c r="AQ62" s="99"/>
    </row>
    <row r="63" spans="1:43" x14ac:dyDescent="0.25">
      <c r="A63" s="99" t="b">
        <v>1</v>
      </c>
      <c r="B63" s="54" t="s">
        <v>492</v>
      </c>
      <c r="C63" s="109"/>
      <c r="D63" s="95" t="s">
        <v>507</v>
      </c>
      <c r="E63" s="15" t="s">
        <v>541</v>
      </c>
      <c r="F63" s="98"/>
      <c r="G63" s="99" t="s">
        <v>550</v>
      </c>
      <c r="H63" s="106">
        <v>8.9999999999999998E-4</v>
      </c>
      <c r="I63" s="117">
        <v>0.58211999999999997</v>
      </c>
      <c r="J63" s="100">
        <v>46010</v>
      </c>
      <c r="K63" s="117">
        <v>0</v>
      </c>
      <c r="L63" s="100" t="s">
        <v>85</v>
      </c>
      <c r="M63" s="117">
        <v>0</v>
      </c>
      <c r="N63" s="100" t="s">
        <v>85</v>
      </c>
      <c r="O63" s="117">
        <v>0</v>
      </c>
      <c r="P63" s="100" t="s">
        <v>85</v>
      </c>
      <c r="Q63" s="117">
        <v>0</v>
      </c>
      <c r="R63" s="100" t="s">
        <v>85</v>
      </c>
      <c r="S63" s="117">
        <v>0</v>
      </c>
      <c r="T63" s="100" t="s">
        <v>85</v>
      </c>
      <c r="U63" s="117">
        <v>0.48543999999999998</v>
      </c>
      <c r="V63" s="100">
        <v>46199</v>
      </c>
      <c r="W63" s="117">
        <v>0</v>
      </c>
      <c r="X63" s="100" t="s">
        <v>85</v>
      </c>
      <c r="Y63" s="117">
        <v>0</v>
      </c>
      <c r="Z63" s="100" t="s">
        <v>85</v>
      </c>
      <c r="AA63" s="117">
        <v>0</v>
      </c>
      <c r="AB63" s="100" t="s">
        <v>85</v>
      </c>
      <c r="AC63" s="117">
        <v>0</v>
      </c>
      <c r="AD63" s="100" t="s">
        <v>85</v>
      </c>
      <c r="AE63" s="117"/>
      <c r="AF63" s="100"/>
      <c r="AG63" s="117"/>
      <c r="AH63" s="100"/>
      <c r="AI63" s="15">
        <v>295156239</v>
      </c>
      <c r="AJ63" s="15" t="s">
        <v>40</v>
      </c>
      <c r="AK63" s="15" t="s">
        <v>5</v>
      </c>
      <c r="AL63" s="15" t="s">
        <v>9</v>
      </c>
      <c r="AM63" s="118">
        <v>5.4999999999999997E-3</v>
      </c>
      <c r="AN63" s="118">
        <v>5.4999999999999997E-3</v>
      </c>
      <c r="AO63" s="118">
        <v>0</v>
      </c>
      <c r="AP63" s="100">
        <v>46060</v>
      </c>
      <c r="AQ63" s="99"/>
    </row>
    <row r="64" spans="1:43" x14ac:dyDescent="0.25">
      <c r="A64" s="99" t="b">
        <v>1</v>
      </c>
      <c r="B64" s="54" t="s">
        <v>496</v>
      </c>
      <c r="C64" s="109"/>
      <c r="D64" s="95" t="s">
        <v>507</v>
      </c>
      <c r="E64" s="15" t="s">
        <v>547</v>
      </c>
      <c r="F64" s="98"/>
      <c r="G64" s="99" t="s">
        <v>550</v>
      </c>
      <c r="H64" s="106">
        <v>1.9E-3</v>
      </c>
      <c r="I64" s="117">
        <v>0.45985999999999999</v>
      </c>
      <c r="J64" s="100">
        <v>46021</v>
      </c>
      <c r="K64" s="117">
        <v>0</v>
      </c>
      <c r="L64" s="100" t="s">
        <v>85</v>
      </c>
      <c r="M64" s="117">
        <v>0</v>
      </c>
      <c r="N64" s="100" t="s">
        <v>85</v>
      </c>
      <c r="O64" s="117">
        <v>0</v>
      </c>
      <c r="P64" s="100" t="s">
        <v>85</v>
      </c>
      <c r="Q64" s="117">
        <v>0</v>
      </c>
      <c r="R64" s="100" t="s">
        <v>85</v>
      </c>
      <c r="S64" s="117">
        <v>0</v>
      </c>
      <c r="T64" s="100" t="s">
        <v>85</v>
      </c>
      <c r="U64" s="117">
        <v>0.26134000000000002</v>
      </c>
      <c r="V64" s="100">
        <v>46199</v>
      </c>
      <c r="W64" s="117">
        <v>0</v>
      </c>
      <c r="X64" s="100" t="s">
        <v>85</v>
      </c>
      <c r="Y64" s="117">
        <v>0</v>
      </c>
      <c r="Z64" s="100" t="s">
        <v>85</v>
      </c>
      <c r="AA64" s="117">
        <v>0</v>
      </c>
      <c r="AB64" s="100" t="s">
        <v>85</v>
      </c>
      <c r="AC64" s="117">
        <v>0</v>
      </c>
      <c r="AD64" s="100" t="s">
        <v>85</v>
      </c>
      <c r="AE64" s="117"/>
      <c r="AF64" s="100"/>
      <c r="AG64" s="117"/>
      <c r="AH64" s="100"/>
      <c r="AI64" s="15">
        <v>295156241</v>
      </c>
      <c r="AJ64" s="15" t="s">
        <v>40</v>
      </c>
      <c r="AK64" s="15" t="s">
        <v>5</v>
      </c>
      <c r="AL64" s="15" t="s">
        <v>9</v>
      </c>
      <c r="AM64" s="118">
        <v>5.4999999999999997E-3</v>
      </c>
      <c r="AN64" s="118">
        <v>5.4999999999999997E-3</v>
      </c>
      <c r="AO64" s="118">
        <v>0</v>
      </c>
      <c r="AP64" s="100">
        <v>46060</v>
      </c>
      <c r="AQ64" s="99"/>
    </row>
    <row r="65" spans="1:43" x14ac:dyDescent="0.25">
      <c r="A65" s="99" t="b">
        <v>1</v>
      </c>
      <c r="B65" s="54" t="s">
        <v>490</v>
      </c>
      <c r="C65" s="109"/>
      <c r="D65" s="95" t="s">
        <v>507</v>
      </c>
      <c r="E65" s="15" t="s">
        <v>544</v>
      </c>
      <c r="F65" s="98"/>
      <c r="G65" s="99" t="s">
        <v>550</v>
      </c>
      <c r="H65" s="106">
        <v>8.9999999999999998E-4</v>
      </c>
      <c r="I65" s="117">
        <v>0.59155999999999997</v>
      </c>
      <c r="J65" s="100">
        <v>46010</v>
      </c>
      <c r="K65" s="117">
        <v>0</v>
      </c>
      <c r="L65" s="100" t="s">
        <v>85</v>
      </c>
      <c r="M65" s="117">
        <v>0</v>
      </c>
      <c r="N65" s="100" t="s">
        <v>85</v>
      </c>
      <c r="O65" s="117">
        <v>0</v>
      </c>
      <c r="P65" s="100" t="s">
        <v>85</v>
      </c>
      <c r="Q65" s="117">
        <v>0</v>
      </c>
      <c r="R65" s="100" t="s">
        <v>85</v>
      </c>
      <c r="S65" s="117">
        <v>0</v>
      </c>
      <c r="T65" s="100" t="s">
        <v>85</v>
      </c>
      <c r="U65" s="117">
        <v>0.46568999999999999</v>
      </c>
      <c r="V65" s="100">
        <v>46199</v>
      </c>
      <c r="W65" s="117">
        <v>0</v>
      </c>
      <c r="X65" s="100" t="s">
        <v>85</v>
      </c>
      <c r="Y65" s="117">
        <v>0</v>
      </c>
      <c r="Z65" s="100" t="s">
        <v>85</v>
      </c>
      <c r="AA65" s="117">
        <v>0</v>
      </c>
      <c r="AB65" s="100" t="s">
        <v>85</v>
      </c>
      <c r="AC65" s="117">
        <v>0</v>
      </c>
      <c r="AD65" s="100" t="s">
        <v>85</v>
      </c>
      <c r="AE65" s="117"/>
      <c r="AF65" s="100"/>
      <c r="AG65" s="117"/>
      <c r="AH65" s="100"/>
      <c r="AI65" s="15">
        <v>295156299</v>
      </c>
      <c r="AJ65" s="15" t="s">
        <v>40</v>
      </c>
      <c r="AK65" s="15" t="s">
        <v>5</v>
      </c>
      <c r="AL65" s="15" t="s">
        <v>9</v>
      </c>
      <c r="AM65" s="118">
        <v>5.4999999999999997E-3</v>
      </c>
      <c r="AN65" s="118">
        <v>5.4999999999999997E-3</v>
      </c>
      <c r="AO65" s="118">
        <v>0</v>
      </c>
      <c r="AP65" s="100">
        <v>46060</v>
      </c>
      <c r="AQ65" s="99"/>
    </row>
    <row r="66" spans="1:43" x14ac:dyDescent="0.25">
      <c r="A66" s="99" t="b">
        <v>1</v>
      </c>
      <c r="B66" s="54" t="s">
        <v>500</v>
      </c>
      <c r="C66" s="109"/>
      <c r="D66" s="95" t="s">
        <v>507</v>
      </c>
      <c r="E66" s="15" t="s">
        <v>546</v>
      </c>
      <c r="F66" s="98"/>
      <c r="G66" s="99" t="s">
        <v>550</v>
      </c>
      <c r="H66" s="106">
        <v>8.9999999999999998E-4</v>
      </c>
      <c r="I66" s="117">
        <v>1.1739999999999999</v>
      </c>
      <c r="J66" s="100">
        <v>46010</v>
      </c>
      <c r="K66" s="117">
        <v>0</v>
      </c>
      <c r="L66" s="100" t="s">
        <v>85</v>
      </c>
      <c r="M66" s="117">
        <v>0</v>
      </c>
      <c r="N66" s="100" t="s">
        <v>85</v>
      </c>
      <c r="O66" s="117">
        <v>0</v>
      </c>
      <c r="P66" s="100" t="s">
        <v>85</v>
      </c>
      <c r="Q66" s="117">
        <v>0</v>
      </c>
      <c r="R66" s="100" t="s">
        <v>85</v>
      </c>
      <c r="S66" s="117">
        <v>0</v>
      </c>
      <c r="T66" s="100" t="s">
        <v>85</v>
      </c>
      <c r="U66" s="117">
        <v>0.29809000000000002</v>
      </c>
      <c r="V66" s="100">
        <v>46199</v>
      </c>
      <c r="W66" s="117">
        <v>0</v>
      </c>
      <c r="X66" s="100" t="s">
        <v>85</v>
      </c>
      <c r="Y66" s="117">
        <v>0</v>
      </c>
      <c r="Z66" s="100" t="s">
        <v>85</v>
      </c>
      <c r="AA66" s="117">
        <v>0</v>
      </c>
      <c r="AB66" s="100" t="s">
        <v>85</v>
      </c>
      <c r="AC66" s="117">
        <v>0</v>
      </c>
      <c r="AD66" s="100" t="s">
        <v>85</v>
      </c>
      <c r="AE66" s="117"/>
      <c r="AF66" s="100"/>
      <c r="AG66" s="117"/>
      <c r="AH66" s="100"/>
      <c r="AI66" s="15">
        <v>295156289</v>
      </c>
      <c r="AJ66" s="15" t="s">
        <v>40</v>
      </c>
      <c r="AK66" s="15" t="s">
        <v>5</v>
      </c>
      <c r="AL66" s="15" t="s">
        <v>9</v>
      </c>
      <c r="AM66" s="118">
        <v>5.4999999999999997E-3</v>
      </c>
      <c r="AN66" s="118">
        <v>5.4999999999999997E-3</v>
      </c>
      <c r="AO66" s="118">
        <v>0</v>
      </c>
      <c r="AP66" s="100">
        <v>46060</v>
      </c>
      <c r="AQ66" s="99"/>
    </row>
    <row r="67" spans="1:43" x14ac:dyDescent="0.25">
      <c r="A67" s="99" t="b">
        <v>1</v>
      </c>
      <c r="B67" s="54" t="s">
        <v>494</v>
      </c>
      <c r="C67" s="109"/>
      <c r="D67" s="95" t="s">
        <v>507</v>
      </c>
      <c r="E67" s="15" t="s">
        <v>545</v>
      </c>
      <c r="F67" s="98"/>
      <c r="G67" s="99" t="s">
        <v>550</v>
      </c>
      <c r="H67" s="106">
        <v>1.9E-3</v>
      </c>
      <c r="I67" s="117">
        <v>4.0829999999999998E-2</v>
      </c>
      <c r="J67" s="100">
        <v>46021</v>
      </c>
      <c r="K67" s="117">
        <v>0</v>
      </c>
      <c r="L67" s="100" t="s">
        <v>85</v>
      </c>
      <c r="M67" s="117">
        <v>0</v>
      </c>
      <c r="N67" s="100" t="s">
        <v>85</v>
      </c>
      <c r="O67" s="117">
        <v>0</v>
      </c>
      <c r="P67" s="100" t="s">
        <v>85</v>
      </c>
      <c r="Q67" s="117">
        <v>0</v>
      </c>
      <c r="R67" s="100" t="s">
        <v>85</v>
      </c>
      <c r="S67" s="117">
        <v>0</v>
      </c>
      <c r="T67" s="100" t="s">
        <v>85</v>
      </c>
      <c r="U67" s="117">
        <v>0.72097</v>
      </c>
      <c r="V67" s="100">
        <v>46199</v>
      </c>
      <c r="W67" s="117">
        <v>0</v>
      </c>
      <c r="X67" s="100" t="s">
        <v>85</v>
      </c>
      <c r="Y67" s="117">
        <v>0</v>
      </c>
      <c r="Z67" s="100" t="s">
        <v>85</v>
      </c>
      <c r="AA67" s="117">
        <v>0</v>
      </c>
      <c r="AB67" s="100" t="s">
        <v>85</v>
      </c>
      <c r="AC67" s="117">
        <v>0</v>
      </c>
      <c r="AD67" s="100" t="s">
        <v>85</v>
      </c>
      <c r="AE67" s="117"/>
      <c r="AF67" s="100"/>
      <c r="AG67" s="117"/>
      <c r="AH67" s="100"/>
      <c r="AI67" s="15">
        <v>295156284</v>
      </c>
      <c r="AJ67" s="15" t="s">
        <v>40</v>
      </c>
      <c r="AK67" s="15" t="s">
        <v>5</v>
      </c>
      <c r="AL67" s="15" t="s">
        <v>9</v>
      </c>
      <c r="AM67" s="118">
        <v>5.4999999999999997E-3</v>
      </c>
      <c r="AN67" s="118">
        <v>5.4999999999999997E-3</v>
      </c>
      <c r="AO67" s="118">
        <v>0</v>
      </c>
      <c r="AP67" s="100">
        <v>46060</v>
      </c>
      <c r="AQ67" s="99"/>
    </row>
    <row r="68" spans="1:43" x14ac:dyDescent="0.25">
      <c r="A68" s="99" t="b">
        <v>1</v>
      </c>
      <c r="B68" s="54" t="s">
        <v>498</v>
      </c>
      <c r="C68" s="109"/>
      <c r="D68" s="95" t="s">
        <v>507</v>
      </c>
      <c r="E68" s="15" t="s">
        <v>543</v>
      </c>
      <c r="F68" s="98"/>
      <c r="G68" s="99" t="s">
        <v>550</v>
      </c>
      <c r="H68" s="106">
        <v>1.9E-3</v>
      </c>
      <c r="I68" s="117">
        <v>1.4561299999999999</v>
      </c>
      <c r="J68" s="100">
        <v>46010</v>
      </c>
      <c r="K68" s="117">
        <v>0</v>
      </c>
      <c r="L68" s="100" t="s">
        <v>85</v>
      </c>
      <c r="M68" s="117">
        <v>0</v>
      </c>
      <c r="N68" s="100" t="s">
        <v>85</v>
      </c>
      <c r="O68" s="117">
        <v>0</v>
      </c>
      <c r="P68" s="100" t="s">
        <v>85</v>
      </c>
      <c r="Q68" s="117">
        <v>0</v>
      </c>
      <c r="R68" s="100" t="s">
        <v>85</v>
      </c>
      <c r="S68" s="117">
        <v>0</v>
      </c>
      <c r="T68" s="100" t="s">
        <v>85</v>
      </c>
      <c r="U68" s="117">
        <v>0.18434</v>
      </c>
      <c r="V68" s="100">
        <v>46199</v>
      </c>
      <c r="W68" s="117">
        <v>0</v>
      </c>
      <c r="X68" s="100" t="s">
        <v>85</v>
      </c>
      <c r="Y68" s="117">
        <v>0</v>
      </c>
      <c r="Z68" s="100" t="s">
        <v>85</v>
      </c>
      <c r="AA68" s="117">
        <v>0</v>
      </c>
      <c r="AB68" s="100" t="s">
        <v>85</v>
      </c>
      <c r="AC68" s="117">
        <v>0</v>
      </c>
      <c r="AD68" s="100" t="s">
        <v>85</v>
      </c>
      <c r="AE68" s="117"/>
      <c r="AF68" s="100"/>
      <c r="AG68" s="117"/>
      <c r="AH68" s="100"/>
      <c r="AI68" s="15">
        <v>295156292</v>
      </c>
      <c r="AJ68" s="15" t="s">
        <v>40</v>
      </c>
      <c r="AK68" s="15" t="s">
        <v>5</v>
      </c>
      <c r="AL68" s="15" t="s">
        <v>9</v>
      </c>
      <c r="AM68" s="118">
        <v>5.4999999999999997E-3</v>
      </c>
      <c r="AN68" s="118">
        <v>5.4999999999999997E-3</v>
      </c>
      <c r="AO68" s="118">
        <v>0</v>
      </c>
      <c r="AP68" s="100">
        <v>46060</v>
      </c>
      <c r="AQ68" s="99"/>
    </row>
    <row r="69" spans="1:43" x14ac:dyDescent="0.25">
      <c r="A69" s="17" t="b">
        <v>1</v>
      </c>
      <c r="B69" s="101" t="s">
        <v>276</v>
      </c>
      <c r="C69" s="109"/>
      <c r="D69" s="95" t="s">
        <v>300</v>
      </c>
      <c r="E69" s="110" t="s">
        <v>325</v>
      </c>
      <c r="F69" s="98"/>
      <c r="G69" s="99" t="s">
        <v>548</v>
      </c>
      <c r="H69" s="106">
        <v>8.0000000000000004E-4</v>
      </c>
      <c r="I69" s="117">
        <v>0.27100000000000002</v>
      </c>
      <c r="J69" s="100">
        <v>46010</v>
      </c>
      <c r="K69" s="117">
        <v>0</v>
      </c>
      <c r="L69" s="100" t="s">
        <v>85</v>
      </c>
      <c r="M69" s="117">
        <v>0</v>
      </c>
      <c r="N69" s="100" t="s">
        <v>85</v>
      </c>
      <c r="O69" s="117">
        <v>0.29799999999999999</v>
      </c>
      <c r="P69" s="100">
        <v>46101</v>
      </c>
      <c r="Q69" s="117">
        <v>0</v>
      </c>
      <c r="R69" s="100" t="s">
        <v>85</v>
      </c>
      <c r="S69" s="117">
        <v>0</v>
      </c>
      <c r="T69" s="100" t="s">
        <v>85</v>
      </c>
      <c r="U69" s="117">
        <v>0.27600000000000002</v>
      </c>
      <c r="V69" s="100">
        <v>46191</v>
      </c>
      <c r="W69" s="117">
        <v>0</v>
      </c>
      <c r="X69" s="100" t="s">
        <v>85</v>
      </c>
      <c r="Y69" s="117">
        <v>0</v>
      </c>
      <c r="Z69" s="100" t="s">
        <v>85</v>
      </c>
      <c r="AA69" s="117">
        <v>0.31</v>
      </c>
      <c r="AB69" s="100">
        <v>46283</v>
      </c>
      <c r="AC69" s="117">
        <v>0</v>
      </c>
      <c r="AD69" s="100" t="s">
        <v>85</v>
      </c>
      <c r="AE69" s="117"/>
      <c r="AF69" s="100"/>
      <c r="AG69" s="117"/>
      <c r="AH69" s="100"/>
      <c r="AI69" s="65">
        <v>137229021</v>
      </c>
      <c r="AJ69" s="15" t="s">
        <v>40</v>
      </c>
      <c r="AK69" s="15" t="s">
        <v>5</v>
      </c>
      <c r="AL69" s="15" t="s">
        <v>9</v>
      </c>
      <c r="AM69" s="118">
        <v>5.4999999999999997E-3</v>
      </c>
      <c r="AN69" s="118">
        <v>5.4999999999999997E-3</v>
      </c>
      <c r="AO69" s="118">
        <v>0</v>
      </c>
      <c r="AP69" s="100">
        <v>46054</v>
      </c>
      <c r="AQ69" s="99"/>
    </row>
    <row r="70" spans="1:43" x14ac:dyDescent="0.25">
      <c r="A70" s="17" t="b">
        <v>1</v>
      </c>
      <c r="B70" s="101" t="s">
        <v>330</v>
      </c>
      <c r="C70" s="109"/>
      <c r="D70" s="95" t="s">
        <v>506</v>
      </c>
      <c r="E70" s="110" t="s">
        <v>338</v>
      </c>
      <c r="F70" s="98"/>
      <c r="G70" s="99" t="s">
        <v>207</v>
      </c>
      <c r="H70" s="106">
        <v>0</v>
      </c>
      <c r="I70" s="117">
        <v>0</v>
      </c>
      <c r="J70" s="100" t="s">
        <v>85</v>
      </c>
      <c r="K70" s="117">
        <v>0</v>
      </c>
      <c r="L70" s="100" t="s">
        <v>85</v>
      </c>
      <c r="M70" s="117">
        <v>0</v>
      </c>
      <c r="N70" s="100" t="s">
        <v>85</v>
      </c>
      <c r="O70" s="117">
        <v>0.28000000000000003</v>
      </c>
      <c r="P70" s="100">
        <v>46085</v>
      </c>
      <c r="Q70" s="117">
        <v>0</v>
      </c>
      <c r="R70" s="100" t="s">
        <v>85</v>
      </c>
      <c r="S70" s="117">
        <v>0</v>
      </c>
      <c r="T70" s="100" t="s">
        <v>85</v>
      </c>
      <c r="U70" s="117">
        <v>0</v>
      </c>
      <c r="V70" s="100" t="s">
        <v>85</v>
      </c>
      <c r="W70" s="117">
        <v>0</v>
      </c>
      <c r="X70" s="100" t="s">
        <v>85</v>
      </c>
      <c r="Y70" s="117">
        <v>0</v>
      </c>
      <c r="Z70" s="100" t="s">
        <v>85</v>
      </c>
      <c r="AA70" s="117">
        <v>0.28999999999999998</v>
      </c>
      <c r="AB70" s="100">
        <v>46267</v>
      </c>
      <c r="AC70" s="117">
        <v>0</v>
      </c>
      <c r="AD70" s="100" t="s">
        <v>85</v>
      </c>
      <c r="AE70" s="117"/>
      <c r="AF70" s="100"/>
      <c r="AG70" s="117"/>
      <c r="AH70" s="100"/>
      <c r="AI70" s="65">
        <v>356858007</v>
      </c>
      <c r="AJ70" s="15" t="s">
        <v>40</v>
      </c>
      <c r="AK70" s="15" t="s">
        <v>5</v>
      </c>
      <c r="AL70" s="15" t="s">
        <v>9</v>
      </c>
      <c r="AM70" s="118">
        <v>5.4999999999999997E-3</v>
      </c>
      <c r="AN70" s="118">
        <v>5.4999999999999997E-3</v>
      </c>
      <c r="AO70" s="118">
        <v>0</v>
      </c>
      <c r="AP70" s="100">
        <v>46057</v>
      </c>
      <c r="AQ70" s="99"/>
    </row>
    <row r="71" spans="1:43" x14ac:dyDescent="0.25">
      <c r="A71" s="17" t="b">
        <v>1</v>
      </c>
      <c r="B71" s="101" t="s">
        <v>331</v>
      </c>
      <c r="C71" s="109"/>
      <c r="D71" s="95" t="s">
        <v>506</v>
      </c>
      <c r="E71" s="110" t="s">
        <v>338</v>
      </c>
      <c r="F71" s="98"/>
      <c r="G71" s="99" t="s">
        <v>207</v>
      </c>
      <c r="H71" s="106">
        <v>0</v>
      </c>
      <c r="I71" s="117">
        <v>0</v>
      </c>
      <c r="J71" s="100" t="s">
        <v>85</v>
      </c>
      <c r="K71" s="117">
        <v>0</v>
      </c>
      <c r="L71" s="100" t="s">
        <v>85</v>
      </c>
      <c r="M71" s="117">
        <v>0</v>
      </c>
      <c r="N71" s="100" t="s">
        <v>85</v>
      </c>
      <c r="O71" s="117">
        <v>0.28000000000000003</v>
      </c>
      <c r="P71" s="100">
        <v>46085</v>
      </c>
      <c r="Q71" s="117">
        <v>0</v>
      </c>
      <c r="R71" s="100" t="s">
        <v>85</v>
      </c>
      <c r="S71" s="117">
        <v>0</v>
      </c>
      <c r="T71" s="100" t="s">
        <v>85</v>
      </c>
      <c r="U71" s="117">
        <v>0</v>
      </c>
      <c r="V71" s="100" t="s">
        <v>85</v>
      </c>
      <c r="W71" s="117">
        <v>0</v>
      </c>
      <c r="X71" s="100" t="s">
        <v>85</v>
      </c>
      <c r="Y71" s="117">
        <v>0</v>
      </c>
      <c r="Z71" s="100" t="s">
        <v>85</v>
      </c>
      <c r="AA71" s="117">
        <v>0.28999999999999998</v>
      </c>
      <c r="AB71" s="100">
        <v>46267</v>
      </c>
      <c r="AC71" s="117">
        <v>0</v>
      </c>
      <c r="AD71" s="100" t="s">
        <v>85</v>
      </c>
      <c r="AE71" s="117"/>
      <c r="AF71" s="100"/>
      <c r="AG71" s="117"/>
      <c r="AH71" s="100"/>
      <c r="AI71" s="65">
        <v>356858008</v>
      </c>
      <c r="AJ71" s="15" t="s">
        <v>40</v>
      </c>
      <c r="AK71" s="15" t="s">
        <v>5</v>
      </c>
      <c r="AL71" s="15" t="s">
        <v>9</v>
      </c>
      <c r="AM71" s="118">
        <v>5.4999999999999997E-3</v>
      </c>
      <c r="AN71" s="118">
        <v>5.4999999999999997E-3</v>
      </c>
      <c r="AO71" s="118">
        <v>0</v>
      </c>
      <c r="AP71" s="100">
        <v>46058</v>
      </c>
      <c r="AQ71" s="99"/>
    </row>
    <row r="72" spans="1:43" x14ac:dyDescent="0.25">
      <c r="A72" s="99" t="b">
        <v>1</v>
      </c>
      <c r="B72" s="101" t="s">
        <v>288</v>
      </c>
      <c r="C72" s="109"/>
      <c r="D72" s="95" t="s">
        <v>300</v>
      </c>
      <c r="E72" s="110" t="s">
        <v>322</v>
      </c>
      <c r="F72" s="98"/>
      <c r="G72" s="99" t="s">
        <v>548</v>
      </c>
      <c r="H72" s="106">
        <v>8.0000000000000004E-4</v>
      </c>
      <c r="I72" s="117">
        <v>0.216</v>
      </c>
      <c r="J72" s="100">
        <v>46010</v>
      </c>
      <c r="K72" s="117">
        <v>0</v>
      </c>
      <c r="L72" s="100" t="s">
        <v>85</v>
      </c>
      <c r="M72" s="117">
        <v>0</v>
      </c>
      <c r="N72" s="100" t="s">
        <v>85</v>
      </c>
      <c r="O72" s="117">
        <v>0.25</v>
      </c>
      <c r="P72" s="100">
        <v>46101</v>
      </c>
      <c r="Q72" s="117">
        <v>0</v>
      </c>
      <c r="R72" s="100" t="s">
        <v>85</v>
      </c>
      <c r="S72" s="117">
        <v>0</v>
      </c>
      <c r="T72" s="100" t="s">
        <v>85</v>
      </c>
      <c r="U72" s="117">
        <v>0.27300000000000002</v>
      </c>
      <c r="V72" s="100">
        <v>46191</v>
      </c>
      <c r="W72" s="117">
        <v>0</v>
      </c>
      <c r="X72" s="100" t="s">
        <v>85</v>
      </c>
      <c r="Y72" s="117">
        <v>0</v>
      </c>
      <c r="Z72" s="100" t="s">
        <v>85</v>
      </c>
      <c r="AA72" s="117">
        <v>0.23300000000000001</v>
      </c>
      <c r="AB72" s="100">
        <v>46283</v>
      </c>
      <c r="AC72" s="117">
        <v>0</v>
      </c>
      <c r="AD72" s="100" t="s">
        <v>85</v>
      </c>
      <c r="AE72" s="117"/>
      <c r="AF72" s="100"/>
      <c r="AG72" s="117"/>
      <c r="AH72" s="100"/>
      <c r="AI72" s="65">
        <v>183005003</v>
      </c>
      <c r="AJ72" s="15" t="s">
        <v>40</v>
      </c>
      <c r="AK72" s="15" t="s">
        <v>5</v>
      </c>
      <c r="AL72" s="15" t="s">
        <v>9</v>
      </c>
      <c r="AM72" s="118">
        <v>5.4999999999999997E-3</v>
      </c>
      <c r="AN72" s="118">
        <v>5.4999999999999997E-3</v>
      </c>
      <c r="AO72" s="118">
        <v>0</v>
      </c>
      <c r="AP72" s="100">
        <v>46054</v>
      </c>
      <c r="AQ72" s="99"/>
    </row>
    <row r="73" spans="1:43" x14ac:dyDescent="0.25">
      <c r="A73" s="99" t="b">
        <v>1</v>
      </c>
      <c r="B73" s="101" t="s">
        <v>268</v>
      </c>
      <c r="C73" s="109"/>
      <c r="D73" s="95" t="s">
        <v>300</v>
      </c>
      <c r="E73" s="110" t="s">
        <v>326</v>
      </c>
      <c r="F73" s="98"/>
      <c r="G73" s="99" t="s">
        <v>548</v>
      </c>
      <c r="H73" s="106">
        <v>8.0000000000000004E-4</v>
      </c>
      <c r="I73" s="117">
        <v>0.30199999999999999</v>
      </c>
      <c r="J73" s="100">
        <v>46010</v>
      </c>
      <c r="K73" s="117">
        <v>0</v>
      </c>
      <c r="L73" s="100" t="s">
        <v>85</v>
      </c>
      <c r="M73" s="117">
        <v>0</v>
      </c>
      <c r="N73" s="100" t="s">
        <v>85</v>
      </c>
      <c r="O73" s="117">
        <v>0.28999999999999998</v>
      </c>
      <c r="P73" s="100">
        <v>46101</v>
      </c>
      <c r="Q73" s="117">
        <v>0</v>
      </c>
      <c r="R73" s="100" t="s">
        <v>85</v>
      </c>
      <c r="S73" s="117">
        <v>0</v>
      </c>
      <c r="T73" s="100" t="s">
        <v>85</v>
      </c>
      <c r="U73" s="117">
        <v>0.29599999999999999</v>
      </c>
      <c r="V73" s="100">
        <v>46191</v>
      </c>
      <c r="W73" s="117">
        <v>0</v>
      </c>
      <c r="X73" s="100" t="s">
        <v>85</v>
      </c>
      <c r="Y73" s="117">
        <v>0</v>
      </c>
      <c r="Z73" s="100" t="s">
        <v>85</v>
      </c>
      <c r="AA73" s="117">
        <v>0.29099999999999998</v>
      </c>
      <c r="AB73" s="100">
        <v>46283</v>
      </c>
      <c r="AC73" s="117">
        <v>0</v>
      </c>
      <c r="AD73" s="100" t="s">
        <v>85</v>
      </c>
      <c r="AE73" s="117"/>
      <c r="AF73" s="100"/>
      <c r="AG73" s="117"/>
      <c r="AH73" s="100"/>
      <c r="AI73" s="65">
        <v>137229015</v>
      </c>
      <c r="AJ73" s="15" t="s">
        <v>40</v>
      </c>
      <c r="AK73" s="15" t="s">
        <v>5</v>
      </c>
      <c r="AL73" s="15" t="s">
        <v>9</v>
      </c>
      <c r="AM73" s="118">
        <v>5.4999999999999997E-3</v>
      </c>
      <c r="AN73" s="118">
        <v>5.4999999999999997E-3</v>
      </c>
      <c r="AO73" s="118">
        <v>0</v>
      </c>
      <c r="AP73" s="100">
        <v>46054</v>
      </c>
      <c r="AQ73" s="99"/>
    </row>
    <row r="74" spans="1:43" x14ac:dyDescent="0.25">
      <c r="A74" s="99" t="b">
        <v>1</v>
      </c>
      <c r="B74" s="101" t="s">
        <v>292</v>
      </c>
      <c r="C74" s="109"/>
      <c r="D74" s="95" t="s">
        <v>300</v>
      </c>
      <c r="E74" s="110" t="s">
        <v>323</v>
      </c>
      <c r="F74" s="98"/>
      <c r="G74" s="99" t="s">
        <v>548</v>
      </c>
      <c r="H74" s="106">
        <v>8.0000000000000004E-4</v>
      </c>
      <c r="I74" s="117">
        <v>0.26700000000000002</v>
      </c>
      <c r="J74" s="100">
        <v>46010</v>
      </c>
      <c r="K74" s="117">
        <v>0</v>
      </c>
      <c r="L74" s="100" t="s">
        <v>85</v>
      </c>
      <c r="M74" s="117">
        <v>0</v>
      </c>
      <c r="N74" s="100" t="s">
        <v>85</v>
      </c>
      <c r="O74" s="117">
        <v>0.221</v>
      </c>
      <c r="P74" s="100">
        <v>46101</v>
      </c>
      <c r="Q74" s="117">
        <v>0</v>
      </c>
      <c r="R74" s="100" t="s">
        <v>85</v>
      </c>
      <c r="S74" s="117">
        <v>0</v>
      </c>
      <c r="T74" s="100" t="s">
        <v>85</v>
      </c>
      <c r="U74" s="117">
        <v>0.28899999999999998</v>
      </c>
      <c r="V74" s="100">
        <v>46191</v>
      </c>
      <c r="W74" s="117">
        <v>0</v>
      </c>
      <c r="X74" s="100" t="s">
        <v>85</v>
      </c>
      <c r="Y74" s="117">
        <v>0</v>
      </c>
      <c r="Z74" s="100" t="s">
        <v>85</v>
      </c>
      <c r="AA74" s="117">
        <v>0.33200000000000002</v>
      </c>
      <c r="AB74" s="100">
        <v>46283</v>
      </c>
      <c r="AC74" s="117">
        <v>0</v>
      </c>
      <c r="AD74" s="100" t="s">
        <v>85</v>
      </c>
      <c r="AE74" s="117"/>
      <c r="AF74" s="100"/>
      <c r="AG74" s="117"/>
      <c r="AH74" s="100"/>
      <c r="AI74" s="65">
        <v>137229035</v>
      </c>
      <c r="AJ74" s="15" t="s">
        <v>40</v>
      </c>
      <c r="AK74" s="15" t="s">
        <v>5</v>
      </c>
      <c r="AL74" s="15" t="s">
        <v>9</v>
      </c>
      <c r="AM74" s="118">
        <v>5.4999999999999997E-3</v>
      </c>
      <c r="AN74" s="118">
        <v>5.4999999999999997E-3</v>
      </c>
      <c r="AO74" s="118">
        <v>0</v>
      </c>
      <c r="AP74" s="100">
        <v>46054</v>
      </c>
      <c r="AQ74" s="99"/>
    </row>
    <row r="75" spans="1:43" x14ac:dyDescent="0.25">
      <c r="A75" s="99" t="b">
        <v>1</v>
      </c>
      <c r="B75" s="101" t="s">
        <v>476</v>
      </c>
      <c r="C75" s="111"/>
      <c r="D75" s="15" t="s">
        <v>450</v>
      </c>
      <c r="E75" s="15" t="s">
        <v>487</v>
      </c>
      <c r="F75" s="98"/>
      <c r="G75" s="99" t="s">
        <v>549</v>
      </c>
      <c r="H75" s="106">
        <v>6.0000000000000001E-3</v>
      </c>
      <c r="I75" s="117">
        <v>0.16919999999999999</v>
      </c>
      <c r="J75" s="100">
        <v>46003</v>
      </c>
      <c r="K75" s="117">
        <v>0</v>
      </c>
      <c r="L75" s="100" t="s">
        <v>85</v>
      </c>
      <c r="M75" s="117">
        <v>0</v>
      </c>
      <c r="N75" s="100" t="s">
        <v>85</v>
      </c>
      <c r="O75" s="117">
        <v>3.4200000000000001E-2</v>
      </c>
      <c r="P75" s="100">
        <v>46107</v>
      </c>
      <c r="Q75" s="117">
        <v>0</v>
      </c>
      <c r="R75" s="100" t="s">
        <v>85</v>
      </c>
      <c r="S75" s="117">
        <v>0</v>
      </c>
      <c r="T75" s="100" t="s">
        <v>85</v>
      </c>
      <c r="U75" s="117">
        <v>0.1268</v>
      </c>
      <c r="V75" s="100">
        <v>46198</v>
      </c>
      <c r="W75" s="117">
        <v>0</v>
      </c>
      <c r="X75" s="100" t="s">
        <v>85</v>
      </c>
      <c r="Y75" s="117">
        <v>0</v>
      </c>
      <c r="Z75" s="100" t="s">
        <v>85</v>
      </c>
      <c r="AA75" s="117">
        <v>0.1191</v>
      </c>
      <c r="AB75" s="100">
        <v>46289</v>
      </c>
      <c r="AC75" s="117">
        <v>0</v>
      </c>
      <c r="AD75" s="100" t="s">
        <v>85</v>
      </c>
      <c r="AE75" s="117"/>
      <c r="AF75" s="100"/>
      <c r="AG75" s="117"/>
      <c r="AH75" s="100"/>
      <c r="AI75" s="65">
        <v>248755986</v>
      </c>
      <c r="AJ75" s="15" t="s">
        <v>40</v>
      </c>
      <c r="AK75" s="15" t="s">
        <v>5</v>
      </c>
      <c r="AL75" s="15" t="s">
        <v>9</v>
      </c>
      <c r="AM75" s="118">
        <v>5.4999999999999997E-3</v>
      </c>
      <c r="AN75" s="118">
        <v>5.4999999999999997E-3</v>
      </c>
      <c r="AO75" s="115">
        <v>0</v>
      </c>
      <c r="AP75" s="100">
        <v>46060</v>
      </c>
      <c r="AQ75" s="99"/>
    </row>
    <row r="76" spans="1:43" x14ac:dyDescent="0.25">
      <c r="A76" s="99" t="b">
        <v>1</v>
      </c>
      <c r="B76" s="101" t="s">
        <v>296</v>
      </c>
      <c r="C76" s="109"/>
      <c r="D76" s="95" t="s">
        <v>300</v>
      </c>
      <c r="E76" s="110" t="s">
        <v>324</v>
      </c>
      <c r="F76" s="98"/>
      <c r="G76" s="99" t="s">
        <v>548</v>
      </c>
      <c r="H76" s="106">
        <v>8.0000000000000004E-4</v>
      </c>
      <c r="I76" s="117">
        <v>0.35199999999999998</v>
      </c>
      <c r="J76" s="100">
        <v>46010</v>
      </c>
      <c r="K76" s="117">
        <v>0</v>
      </c>
      <c r="L76" s="100" t="s">
        <v>85</v>
      </c>
      <c r="M76" s="117">
        <v>0</v>
      </c>
      <c r="N76" s="100" t="s">
        <v>85</v>
      </c>
      <c r="O76" s="117">
        <v>0.38600000000000001</v>
      </c>
      <c r="P76" s="100">
        <v>46101</v>
      </c>
      <c r="Q76" s="117">
        <v>0</v>
      </c>
      <c r="R76" s="100" t="s">
        <v>85</v>
      </c>
      <c r="S76" s="117">
        <v>0</v>
      </c>
      <c r="T76" s="100" t="s">
        <v>85</v>
      </c>
      <c r="U76" s="117">
        <v>0.40100000000000002</v>
      </c>
      <c r="V76" s="100">
        <v>46191</v>
      </c>
      <c r="W76" s="117">
        <v>0</v>
      </c>
      <c r="X76" s="100" t="s">
        <v>85</v>
      </c>
      <c r="Y76" s="117">
        <v>0</v>
      </c>
      <c r="Z76" s="100" t="s">
        <v>85</v>
      </c>
      <c r="AA76" s="117">
        <v>0.39100000000000001</v>
      </c>
      <c r="AB76" s="100">
        <v>46283</v>
      </c>
      <c r="AC76" s="117">
        <v>0</v>
      </c>
      <c r="AD76" s="100" t="s">
        <v>85</v>
      </c>
      <c r="AE76" s="117"/>
      <c r="AF76" s="100"/>
      <c r="AG76" s="117"/>
      <c r="AH76" s="100"/>
      <c r="AI76" s="65">
        <v>137229045</v>
      </c>
      <c r="AJ76" s="15" t="s">
        <v>40</v>
      </c>
      <c r="AK76" s="15" t="s">
        <v>5</v>
      </c>
      <c r="AL76" s="15" t="s">
        <v>9</v>
      </c>
      <c r="AM76" s="118">
        <v>5.4999999999999997E-3</v>
      </c>
      <c r="AN76" s="118">
        <v>5.4999999999999997E-3</v>
      </c>
      <c r="AO76" s="118">
        <v>0</v>
      </c>
      <c r="AP76" s="100">
        <v>46054</v>
      </c>
      <c r="AQ76" s="99"/>
    </row>
    <row r="77" spans="1:43" x14ac:dyDescent="0.25">
      <c r="A77" s="17" t="b">
        <v>1</v>
      </c>
      <c r="B77" s="101" t="s">
        <v>440</v>
      </c>
      <c r="C77" s="109"/>
      <c r="D77" s="95" t="s">
        <v>506</v>
      </c>
      <c r="E77" s="110" t="s">
        <v>434</v>
      </c>
      <c r="F77" s="98"/>
      <c r="G77" s="99" t="s">
        <v>207</v>
      </c>
      <c r="H77" s="106">
        <v>0</v>
      </c>
      <c r="I77" s="117">
        <v>0</v>
      </c>
      <c r="J77" s="100" t="s">
        <v>85</v>
      </c>
      <c r="K77" s="117">
        <v>0</v>
      </c>
      <c r="L77" s="100" t="s">
        <v>85</v>
      </c>
      <c r="M77" s="117">
        <v>0</v>
      </c>
      <c r="N77" s="100" t="s">
        <v>85</v>
      </c>
      <c r="O77" s="117">
        <v>0</v>
      </c>
      <c r="P77" s="100" t="s">
        <v>85</v>
      </c>
      <c r="Q77" s="117">
        <v>0</v>
      </c>
      <c r="R77" s="100" t="s">
        <v>85</v>
      </c>
      <c r="S77" s="117">
        <v>0</v>
      </c>
      <c r="T77" s="100" t="s">
        <v>85</v>
      </c>
      <c r="U77" s="117">
        <v>0</v>
      </c>
      <c r="V77" s="100" t="s">
        <v>85</v>
      </c>
      <c r="W77" s="117">
        <v>0</v>
      </c>
      <c r="X77" s="100" t="s">
        <v>85</v>
      </c>
      <c r="Y77" s="117">
        <v>0</v>
      </c>
      <c r="Z77" s="100" t="s">
        <v>85</v>
      </c>
      <c r="AA77" s="117">
        <v>0</v>
      </c>
      <c r="AB77" s="100" t="s">
        <v>85</v>
      </c>
      <c r="AC77" s="117">
        <v>0</v>
      </c>
      <c r="AD77" s="100" t="s">
        <v>85</v>
      </c>
      <c r="AE77" s="117"/>
      <c r="AF77" s="100"/>
      <c r="AG77" s="117"/>
      <c r="AH77" s="100"/>
      <c r="AI77" s="65">
        <v>644840991</v>
      </c>
      <c r="AJ77" s="15" t="s">
        <v>40</v>
      </c>
      <c r="AK77" s="15" t="s">
        <v>5</v>
      </c>
      <c r="AL77" s="15" t="s">
        <v>9</v>
      </c>
      <c r="AM77" s="118">
        <v>5.4999999999999997E-3</v>
      </c>
      <c r="AN77" s="118">
        <v>5.4999999999999997E-3</v>
      </c>
      <c r="AO77" s="118"/>
      <c r="AP77" s="100">
        <v>46054</v>
      </c>
      <c r="AQ77" s="99"/>
    </row>
    <row r="78" spans="1:43" x14ac:dyDescent="0.25">
      <c r="A78" s="17" t="b">
        <v>1</v>
      </c>
      <c r="B78" s="101" t="s">
        <v>441</v>
      </c>
      <c r="C78" s="109"/>
      <c r="D78" s="95" t="s">
        <v>506</v>
      </c>
      <c r="E78" s="110" t="s">
        <v>434</v>
      </c>
      <c r="F78" s="98"/>
      <c r="G78" s="99" t="s">
        <v>207</v>
      </c>
      <c r="H78" s="106">
        <v>0</v>
      </c>
      <c r="I78" s="117">
        <v>0</v>
      </c>
      <c r="J78" s="100" t="s">
        <v>85</v>
      </c>
      <c r="K78" s="117">
        <v>0</v>
      </c>
      <c r="L78" s="100" t="s">
        <v>85</v>
      </c>
      <c r="M78" s="117">
        <v>0</v>
      </c>
      <c r="N78" s="100" t="s">
        <v>85</v>
      </c>
      <c r="O78" s="117">
        <v>0</v>
      </c>
      <c r="P78" s="100" t="s">
        <v>85</v>
      </c>
      <c r="Q78" s="117">
        <v>0</v>
      </c>
      <c r="R78" s="100" t="s">
        <v>85</v>
      </c>
      <c r="S78" s="117">
        <v>0</v>
      </c>
      <c r="T78" s="100" t="s">
        <v>85</v>
      </c>
      <c r="U78" s="117">
        <v>0</v>
      </c>
      <c r="V78" s="100" t="s">
        <v>85</v>
      </c>
      <c r="W78" s="117">
        <v>0</v>
      </c>
      <c r="X78" s="100" t="s">
        <v>85</v>
      </c>
      <c r="Y78" s="117">
        <v>0</v>
      </c>
      <c r="Z78" s="100" t="s">
        <v>85</v>
      </c>
      <c r="AA78" s="117">
        <v>0</v>
      </c>
      <c r="AB78" s="100" t="s">
        <v>85</v>
      </c>
      <c r="AC78" s="117">
        <v>0</v>
      </c>
      <c r="AD78" s="100" t="s">
        <v>85</v>
      </c>
      <c r="AE78" s="117"/>
      <c r="AF78" s="100"/>
      <c r="AG78" s="117"/>
      <c r="AH78" s="100"/>
      <c r="AI78" s="65">
        <v>646549324</v>
      </c>
      <c r="AJ78" s="15" t="s">
        <v>40</v>
      </c>
      <c r="AK78" s="15" t="s">
        <v>5</v>
      </c>
      <c r="AL78" s="15" t="s">
        <v>9</v>
      </c>
      <c r="AM78" s="118">
        <v>5.4999999999999997E-3</v>
      </c>
      <c r="AN78" s="118">
        <v>5.4999999999999997E-3</v>
      </c>
      <c r="AO78" s="118"/>
      <c r="AP78" s="100">
        <v>46054</v>
      </c>
      <c r="AQ78" s="99"/>
    </row>
    <row r="79" spans="1:43" x14ac:dyDescent="0.25">
      <c r="A79" s="17" t="b">
        <v>1</v>
      </c>
      <c r="B79" s="101" t="s">
        <v>435</v>
      </c>
      <c r="C79" s="109"/>
      <c r="D79" s="95" t="s">
        <v>506</v>
      </c>
      <c r="E79" s="110" t="s">
        <v>434</v>
      </c>
      <c r="F79" s="98"/>
      <c r="G79" s="99" t="s">
        <v>207</v>
      </c>
      <c r="H79" s="106">
        <v>0</v>
      </c>
      <c r="I79" s="117">
        <v>0</v>
      </c>
      <c r="J79" s="100" t="s">
        <v>85</v>
      </c>
      <c r="K79" s="117">
        <v>0</v>
      </c>
      <c r="L79" s="100" t="s">
        <v>85</v>
      </c>
      <c r="M79" s="117">
        <v>0</v>
      </c>
      <c r="N79" s="100" t="s">
        <v>85</v>
      </c>
      <c r="O79" s="117">
        <v>0</v>
      </c>
      <c r="P79" s="100" t="s">
        <v>85</v>
      </c>
      <c r="Q79" s="117">
        <v>0</v>
      </c>
      <c r="R79" s="100" t="s">
        <v>85</v>
      </c>
      <c r="S79" s="117">
        <v>0</v>
      </c>
      <c r="T79" s="100" t="s">
        <v>85</v>
      </c>
      <c r="U79" s="117">
        <v>0</v>
      </c>
      <c r="V79" s="100" t="s">
        <v>85</v>
      </c>
      <c r="W79" s="117">
        <v>0</v>
      </c>
      <c r="X79" s="100" t="s">
        <v>85</v>
      </c>
      <c r="Y79" s="117">
        <v>0</v>
      </c>
      <c r="Z79" s="100" t="s">
        <v>85</v>
      </c>
      <c r="AA79" s="117">
        <v>0</v>
      </c>
      <c r="AB79" s="100" t="s">
        <v>85</v>
      </c>
      <c r="AC79" s="117">
        <v>0</v>
      </c>
      <c r="AD79" s="100" t="s">
        <v>85</v>
      </c>
      <c r="AE79" s="117"/>
      <c r="AF79" s="100"/>
      <c r="AG79" s="117"/>
      <c r="AH79" s="100"/>
      <c r="AI79" s="65">
        <v>798501305</v>
      </c>
      <c r="AJ79" s="15" t="s">
        <v>40</v>
      </c>
      <c r="AK79" s="15" t="s">
        <v>5</v>
      </c>
      <c r="AL79" s="15" t="s">
        <v>9</v>
      </c>
      <c r="AM79" s="118">
        <v>5.4999999999999997E-3</v>
      </c>
      <c r="AN79" s="118">
        <v>5.4999999999999997E-3</v>
      </c>
      <c r="AO79" s="118"/>
      <c r="AP79" s="100">
        <v>46054</v>
      </c>
      <c r="AQ79" s="99"/>
    </row>
    <row r="80" spans="1:43" x14ac:dyDescent="0.25">
      <c r="A80" s="17" t="b">
        <v>1</v>
      </c>
      <c r="B80" s="101" t="s">
        <v>436</v>
      </c>
      <c r="C80" s="109"/>
      <c r="D80" s="95" t="s">
        <v>506</v>
      </c>
      <c r="E80" s="110" t="s">
        <v>434</v>
      </c>
      <c r="F80" s="98"/>
      <c r="G80" s="99" t="s">
        <v>207</v>
      </c>
      <c r="H80" s="106">
        <v>0</v>
      </c>
      <c r="I80" s="117">
        <v>0</v>
      </c>
      <c r="J80" s="100" t="s">
        <v>85</v>
      </c>
      <c r="K80" s="117">
        <v>0</v>
      </c>
      <c r="L80" s="100" t="s">
        <v>85</v>
      </c>
      <c r="M80" s="117">
        <v>0</v>
      </c>
      <c r="N80" s="100" t="s">
        <v>85</v>
      </c>
      <c r="O80" s="117">
        <v>0</v>
      </c>
      <c r="P80" s="100" t="s">
        <v>85</v>
      </c>
      <c r="Q80" s="117">
        <v>0</v>
      </c>
      <c r="R80" s="100" t="s">
        <v>85</v>
      </c>
      <c r="S80" s="117">
        <v>0</v>
      </c>
      <c r="T80" s="100" t="s">
        <v>85</v>
      </c>
      <c r="U80" s="117">
        <v>0</v>
      </c>
      <c r="V80" s="100" t="s">
        <v>85</v>
      </c>
      <c r="W80" s="117">
        <v>0</v>
      </c>
      <c r="X80" s="100" t="s">
        <v>85</v>
      </c>
      <c r="Y80" s="117">
        <v>0</v>
      </c>
      <c r="Z80" s="100" t="s">
        <v>85</v>
      </c>
      <c r="AA80" s="117">
        <v>0</v>
      </c>
      <c r="AB80" s="100" t="s">
        <v>85</v>
      </c>
      <c r="AC80" s="117">
        <v>0</v>
      </c>
      <c r="AD80" s="100" t="s">
        <v>85</v>
      </c>
      <c r="AE80" s="117"/>
      <c r="AF80" s="100"/>
      <c r="AG80" s="117"/>
      <c r="AH80" s="100"/>
      <c r="AI80" s="65">
        <v>798501308</v>
      </c>
      <c r="AJ80" s="15" t="s">
        <v>40</v>
      </c>
      <c r="AK80" s="15" t="s">
        <v>5</v>
      </c>
      <c r="AL80" s="15" t="s">
        <v>9</v>
      </c>
      <c r="AM80" s="118">
        <v>5.4999999999999997E-3</v>
      </c>
      <c r="AN80" s="118">
        <v>5.4999999999999997E-3</v>
      </c>
      <c r="AO80" s="118"/>
      <c r="AP80" s="100">
        <v>46054</v>
      </c>
      <c r="AQ80" s="99"/>
    </row>
    <row r="81" spans="1:43" x14ac:dyDescent="0.25">
      <c r="A81" s="17" t="b">
        <v>1</v>
      </c>
      <c r="B81" s="101" t="s">
        <v>328</v>
      </c>
      <c r="C81" s="109"/>
      <c r="D81" s="95" t="s">
        <v>506</v>
      </c>
      <c r="E81" s="110" t="s">
        <v>336</v>
      </c>
      <c r="F81" s="98"/>
      <c r="G81" s="99" t="s">
        <v>207</v>
      </c>
      <c r="H81" s="106">
        <v>0</v>
      </c>
      <c r="I81" s="117">
        <v>0.21</v>
      </c>
      <c r="J81" s="100">
        <v>45999</v>
      </c>
      <c r="K81" s="117">
        <v>0</v>
      </c>
      <c r="L81" s="100" t="s">
        <v>85</v>
      </c>
      <c r="M81" s="117">
        <v>0</v>
      </c>
      <c r="N81" s="100" t="s">
        <v>85</v>
      </c>
      <c r="O81" s="117">
        <v>0.21</v>
      </c>
      <c r="P81" s="100">
        <v>46090</v>
      </c>
      <c r="Q81" s="117">
        <v>0</v>
      </c>
      <c r="R81" s="100" t="s">
        <v>85</v>
      </c>
      <c r="S81" s="117">
        <v>0</v>
      </c>
      <c r="T81" s="100" t="s">
        <v>85</v>
      </c>
      <c r="U81" s="117">
        <v>0.22</v>
      </c>
      <c r="V81" s="100">
        <v>46181</v>
      </c>
      <c r="W81" s="117">
        <v>0</v>
      </c>
      <c r="X81" s="100" t="s">
        <v>85</v>
      </c>
      <c r="Y81" s="117">
        <v>0</v>
      </c>
      <c r="Z81" s="100" t="s">
        <v>85</v>
      </c>
      <c r="AA81" s="117">
        <v>0.22</v>
      </c>
      <c r="AB81" s="100">
        <v>46269</v>
      </c>
      <c r="AC81" s="117">
        <v>0</v>
      </c>
      <c r="AD81" s="100" t="s">
        <v>85</v>
      </c>
      <c r="AE81" s="117"/>
      <c r="AF81" s="100"/>
      <c r="AG81" s="117"/>
      <c r="AH81" s="100"/>
      <c r="AI81" s="65">
        <v>208813720</v>
      </c>
      <c r="AJ81" s="15" t="s">
        <v>40</v>
      </c>
      <c r="AK81" s="15" t="s">
        <v>5</v>
      </c>
      <c r="AL81" s="15" t="s">
        <v>9</v>
      </c>
      <c r="AM81" s="118">
        <v>5.4999999999999997E-3</v>
      </c>
      <c r="AN81" s="118">
        <v>5.4999999999999997E-3</v>
      </c>
      <c r="AO81" s="118">
        <v>0</v>
      </c>
      <c r="AP81" s="100">
        <v>46055</v>
      </c>
      <c r="AQ81" s="99"/>
    </row>
    <row r="82" spans="1:43" x14ac:dyDescent="0.25">
      <c r="A82" s="17" t="b">
        <v>1</v>
      </c>
      <c r="B82" s="101" t="s">
        <v>329</v>
      </c>
      <c r="C82" s="109"/>
      <c r="D82" s="95" t="s">
        <v>506</v>
      </c>
      <c r="E82" s="110" t="s">
        <v>336</v>
      </c>
      <c r="F82" s="98"/>
      <c r="G82" s="99" t="s">
        <v>207</v>
      </c>
      <c r="H82" s="106">
        <v>0</v>
      </c>
      <c r="I82" s="117">
        <v>0.21</v>
      </c>
      <c r="J82" s="100">
        <v>45999</v>
      </c>
      <c r="K82" s="117">
        <v>0</v>
      </c>
      <c r="L82" s="100" t="s">
        <v>85</v>
      </c>
      <c r="M82" s="117">
        <v>0</v>
      </c>
      <c r="N82" s="100" t="s">
        <v>85</v>
      </c>
      <c r="O82" s="117">
        <v>0.21</v>
      </c>
      <c r="P82" s="100">
        <v>46090</v>
      </c>
      <c r="Q82" s="117">
        <v>0</v>
      </c>
      <c r="R82" s="100" t="s">
        <v>85</v>
      </c>
      <c r="S82" s="117">
        <v>0</v>
      </c>
      <c r="T82" s="100" t="s">
        <v>85</v>
      </c>
      <c r="U82" s="117">
        <v>0.22</v>
      </c>
      <c r="V82" s="100">
        <v>46181</v>
      </c>
      <c r="W82" s="117">
        <v>0</v>
      </c>
      <c r="X82" s="100" t="s">
        <v>85</v>
      </c>
      <c r="Y82" s="117">
        <v>0</v>
      </c>
      <c r="Z82" s="100" t="s">
        <v>85</v>
      </c>
      <c r="AA82" s="117">
        <v>0.22</v>
      </c>
      <c r="AB82" s="100">
        <v>46269</v>
      </c>
      <c r="AC82" s="117">
        <v>0</v>
      </c>
      <c r="AD82" s="100" t="s">
        <v>85</v>
      </c>
      <c r="AE82" s="117"/>
      <c r="AF82" s="100"/>
      <c r="AG82" s="117"/>
      <c r="AH82" s="100"/>
      <c r="AI82" s="65">
        <v>208813719</v>
      </c>
      <c r="AJ82" s="15" t="s">
        <v>40</v>
      </c>
      <c r="AK82" s="15" t="s">
        <v>5</v>
      </c>
      <c r="AL82" s="15" t="s">
        <v>9</v>
      </c>
      <c r="AM82" s="118">
        <v>5.4999999999999997E-3</v>
      </c>
      <c r="AN82" s="118">
        <v>5.4999999999999997E-3</v>
      </c>
      <c r="AO82" s="118">
        <v>0</v>
      </c>
      <c r="AP82" s="100">
        <v>46056</v>
      </c>
      <c r="AQ82" s="99"/>
    </row>
    <row r="83" spans="1:43" x14ac:dyDescent="0.25">
      <c r="A83" s="17" t="b">
        <v>1</v>
      </c>
      <c r="B83" s="101" t="s">
        <v>334</v>
      </c>
      <c r="C83" s="109"/>
      <c r="D83" s="95" t="s">
        <v>506</v>
      </c>
      <c r="E83" s="110" t="s">
        <v>339</v>
      </c>
      <c r="F83" s="98"/>
      <c r="G83" s="99" t="s">
        <v>207</v>
      </c>
      <c r="H83" s="106">
        <v>0</v>
      </c>
      <c r="I83" s="117">
        <v>0</v>
      </c>
      <c r="J83" s="100" t="s">
        <v>85</v>
      </c>
      <c r="K83" s="117">
        <v>0.12</v>
      </c>
      <c r="L83" s="100">
        <v>46027</v>
      </c>
      <c r="M83" s="117">
        <v>0</v>
      </c>
      <c r="N83" s="100" t="s">
        <v>85</v>
      </c>
      <c r="O83" s="117">
        <v>0</v>
      </c>
      <c r="P83" s="100" t="s">
        <v>85</v>
      </c>
      <c r="Q83" s="117">
        <v>0</v>
      </c>
      <c r="R83" s="100" t="s">
        <v>85</v>
      </c>
      <c r="S83" s="117">
        <v>0</v>
      </c>
      <c r="T83" s="100" t="s">
        <v>85</v>
      </c>
      <c r="U83" s="117">
        <v>0</v>
      </c>
      <c r="V83" s="100" t="s">
        <v>85</v>
      </c>
      <c r="W83" s="117">
        <v>0.13</v>
      </c>
      <c r="X83" s="100">
        <v>46204</v>
      </c>
      <c r="Y83" s="117">
        <v>0</v>
      </c>
      <c r="Z83" s="100" t="s">
        <v>85</v>
      </c>
      <c r="AA83" s="117">
        <v>0</v>
      </c>
      <c r="AB83" s="100" t="s">
        <v>85</v>
      </c>
      <c r="AC83" s="117">
        <v>0</v>
      </c>
      <c r="AD83" s="100">
        <v>46296</v>
      </c>
      <c r="AE83" s="117"/>
      <c r="AF83" s="100"/>
      <c r="AG83" s="117"/>
      <c r="AH83" s="100"/>
      <c r="AI83" s="65">
        <v>754990</v>
      </c>
      <c r="AJ83" s="15" t="s">
        <v>40</v>
      </c>
      <c r="AK83" s="15" t="s">
        <v>5</v>
      </c>
      <c r="AL83" s="15" t="s">
        <v>9</v>
      </c>
      <c r="AM83" s="118">
        <v>5.4999999999999997E-3</v>
      </c>
      <c r="AN83" s="118">
        <v>5.4999999999999997E-3</v>
      </c>
      <c r="AO83" s="118">
        <v>0</v>
      </c>
      <c r="AP83" s="100">
        <v>46061</v>
      </c>
      <c r="AQ83" s="99"/>
    </row>
    <row r="84" spans="1:43" x14ac:dyDescent="0.25">
      <c r="A84" s="17" t="b">
        <v>1</v>
      </c>
      <c r="B84" s="101" t="s">
        <v>335</v>
      </c>
      <c r="C84" s="109"/>
      <c r="D84" s="95" t="s">
        <v>506</v>
      </c>
      <c r="E84" s="110" t="s">
        <v>339</v>
      </c>
      <c r="F84" s="98"/>
      <c r="G84" s="99" t="s">
        <v>207</v>
      </c>
      <c r="H84" s="106">
        <v>0</v>
      </c>
      <c r="I84" s="117">
        <v>0</v>
      </c>
      <c r="J84" s="100" t="s">
        <v>85</v>
      </c>
      <c r="K84" s="117">
        <v>0.12</v>
      </c>
      <c r="L84" s="100">
        <v>46027</v>
      </c>
      <c r="M84" s="117">
        <v>0</v>
      </c>
      <c r="N84" s="100" t="s">
        <v>85</v>
      </c>
      <c r="O84" s="117">
        <v>0</v>
      </c>
      <c r="P84" s="100" t="s">
        <v>85</v>
      </c>
      <c r="Q84" s="117">
        <v>0</v>
      </c>
      <c r="R84" s="100" t="s">
        <v>85</v>
      </c>
      <c r="S84" s="117">
        <v>0</v>
      </c>
      <c r="T84" s="100" t="s">
        <v>85</v>
      </c>
      <c r="U84" s="117">
        <v>0</v>
      </c>
      <c r="V84" s="100" t="s">
        <v>85</v>
      </c>
      <c r="W84" s="117">
        <v>0.13</v>
      </c>
      <c r="X84" s="100">
        <v>46204</v>
      </c>
      <c r="Y84" s="117">
        <v>0</v>
      </c>
      <c r="Z84" s="100" t="s">
        <v>85</v>
      </c>
      <c r="AA84" s="117">
        <v>0</v>
      </c>
      <c r="AB84" s="100" t="s">
        <v>85</v>
      </c>
      <c r="AC84" s="117">
        <v>0</v>
      </c>
      <c r="AD84" s="100">
        <v>46296</v>
      </c>
      <c r="AE84" s="117"/>
      <c r="AF84" s="100"/>
      <c r="AG84" s="117"/>
      <c r="AH84" s="100"/>
      <c r="AI84" s="65">
        <v>6207405</v>
      </c>
      <c r="AJ84" s="15" t="s">
        <v>40</v>
      </c>
      <c r="AK84" s="15" t="s">
        <v>5</v>
      </c>
      <c r="AL84" s="15" t="s">
        <v>9</v>
      </c>
      <c r="AM84" s="118">
        <v>5.4999999999999997E-3</v>
      </c>
      <c r="AN84" s="118">
        <v>5.4999999999999997E-3</v>
      </c>
      <c r="AO84" s="118">
        <v>0</v>
      </c>
      <c r="AP84" s="100">
        <v>46062</v>
      </c>
      <c r="AQ84" s="99"/>
    </row>
    <row r="85" spans="1:43" x14ac:dyDescent="0.25">
      <c r="A85" s="17" t="b">
        <v>1</v>
      </c>
      <c r="B85" s="101" t="s">
        <v>235</v>
      </c>
      <c r="C85" s="109"/>
      <c r="D85" s="95" t="s">
        <v>307</v>
      </c>
      <c r="E85" s="95" t="s">
        <v>313</v>
      </c>
      <c r="F85" s="98"/>
      <c r="G85" s="99" t="s">
        <v>532</v>
      </c>
      <c r="H85" s="106">
        <v>4.8999999999999998E-3</v>
      </c>
      <c r="I85" s="117">
        <v>0.38062400000000002</v>
      </c>
      <c r="J85" s="100">
        <v>46010</v>
      </c>
      <c r="K85" s="117">
        <v>0</v>
      </c>
      <c r="L85" s="100" t="s">
        <v>85</v>
      </c>
      <c r="M85" s="117">
        <v>0.39868999999999999</v>
      </c>
      <c r="N85" s="100">
        <v>46055</v>
      </c>
      <c r="O85" s="117">
        <v>0.39373999999999998</v>
      </c>
      <c r="P85" s="100">
        <v>46083</v>
      </c>
      <c r="Q85" s="117">
        <v>0.38373000000000002</v>
      </c>
      <c r="R85" s="100">
        <v>46113</v>
      </c>
      <c r="S85" s="117">
        <v>0.41871000000000003</v>
      </c>
      <c r="T85" s="100">
        <v>46143</v>
      </c>
      <c r="U85" s="117">
        <v>0.40897</v>
      </c>
      <c r="V85" s="100">
        <v>46174</v>
      </c>
      <c r="W85" s="117">
        <v>0.36879000000000001</v>
      </c>
      <c r="X85" s="100">
        <v>46204</v>
      </c>
      <c r="Y85" s="117">
        <v>0.38429000000000002</v>
      </c>
      <c r="Z85" s="100">
        <v>46237</v>
      </c>
      <c r="AA85" s="117">
        <v>0.435025</v>
      </c>
      <c r="AB85" s="100">
        <v>46266</v>
      </c>
      <c r="AC85" s="117">
        <v>0.34163900000000003</v>
      </c>
      <c r="AD85" s="100">
        <v>46296</v>
      </c>
      <c r="AE85" s="117"/>
      <c r="AF85" s="100"/>
      <c r="AG85" s="117"/>
      <c r="AH85" s="100"/>
      <c r="AI85" s="108">
        <v>43652089</v>
      </c>
      <c r="AJ85" s="15" t="s">
        <v>40</v>
      </c>
      <c r="AK85" s="15" t="s">
        <v>5</v>
      </c>
      <c r="AL85" s="15" t="s">
        <v>9</v>
      </c>
      <c r="AM85" s="118">
        <v>5.4999999999999997E-3</v>
      </c>
      <c r="AN85" s="118">
        <v>5.4999999999999997E-3</v>
      </c>
      <c r="AO85" s="118">
        <v>0</v>
      </c>
      <c r="AP85" s="100">
        <v>46054</v>
      </c>
      <c r="AQ85" s="99"/>
    </row>
    <row r="86" spans="1:43" x14ac:dyDescent="0.25">
      <c r="A86" s="99" t="b">
        <v>1</v>
      </c>
      <c r="B86" s="101" t="s">
        <v>236</v>
      </c>
      <c r="C86" s="109"/>
      <c r="D86" s="95" t="s">
        <v>307</v>
      </c>
      <c r="E86" s="95" t="s">
        <v>313</v>
      </c>
      <c r="F86" s="98"/>
      <c r="G86" s="99" t="s">
        <v>551</v>
      </c>
      <c r="H86" s="106">
        <v>5.0000000000000001E-4</v>
      </c>
      <c r="I86" s="117">
        <v>0.20891000000000001</v>
      </c>
      <c r="J86" s="100">
        <v>46013</v>
      </c>
      <c r="K86" s="117">
        <v>0</v>
      </c>
      <c r="L86" s="100" t="s">
        <v>85</v>
      </c>
      <c r="M86" s="117">
        <v>0.20602999999999999</v>
      </c>
      <c r="N86" s="100">
        <v>46055</v>
      </c>
      <c r="O86" s="117">
        <v>0.17266000000000001</v>
      </c>
      <c r="P86" s="100">
        <v>46083</v>
      </c>
      <c r="Q86" s="117">
        <v>0.22111</v>
      </c>
      <c r="R86" s="100">
        <v>46113</v>
      </c>
      <c r="S86" s="117">
        <v>0.18801999999999999</v>
      </c>
      <c r="T86" s="100">
        <v>46143</v>
      </c>
      <c r="U86" s="117">
        <v>0.19889999999999999</v>
      </c>
      <c r="V86" s="100">
        <v>46174</v>
      </c>
      <c r="W86" s="117">
        <v>0.19264999999999999</v>
      </c>
      <c r="X86" s="100">
        <v>46204</v>
      </c>
      <c r="Y86" s="117">
        <v>0.20161999999999999</v>
      </c>
      <c r="Z86" s="100">
        <v>46237</v>
      </c>
      <c r="AA86" s="117">
        <v>0.19292999999999999</v>
      </c>
      <c r="AB86" s="100">
        <v>46266</v>
      </c>
      <c r="AC86" s="117">
        <v>0.20483999999999999</v>
      </c>
      <c r="AD86" s="100">
        <v>46296</v>
      </c>
      <c r="AE86" s="117"/>
      <c r="AF86" s="100"/>
      <c r="AG86" s="117"/>
      <c r="AH86" s="100"/>
      <c r="AI86" s="108">
        <v>257944560</v>
      </c>
      <c r="AJ86" s="15" t="s">
        <v>40</v>
      </c>
      <c r="AK86" s="15" t="s">
        <v>5</v>
      </c>
      <c r="AL86" s="15" t="s">
        <v>9</v>
      </c>
      <c r="AM86" s="118">
        <v>5.4999999999999997E-3</v>
      </c>
      <c r="AN86" s="118">
        <v>5.4999999999999997E-3</v>
      </c>
      <c r="AO86" s="118">
        <v>0</v>
      </c>
      <c r="AP86" s="100">
        <v>46054</v>
      </c>
      <c r="AQ86" s="99"/>
    </row>
    <row r="87" spans="1:43" x14ac:dyDescent="0.25">
      <c r="A87" s="17" t="b">
        <v>1</v>
      </c>
      <c r="B87" s="101" t="s">
        <v>251</v>
      </c>
      <c r="C87" s="109"/>
      <c r="D87" s="95" t="s">
        <v>307</v>
      </c>
      <c r="E87" s="95" t="s">
        <v>572</v>
      </c>
      <c r="F87" s="98" t="s">
        <v>571</v>
      </c>
      <c r="G87" s="99" t="s">
        <v>532</v>
      </c>
      <c r="H87" s="106">
        <v>6.9999999999999999E-4</v>
      </c>
      <c r="I87" s="117">
        <v>1.5387740000000001</v>
      </c>
      <c r="J87" s="100">
        <v>46010</v>
      </c>
      <c r="K87" s="117">
        <v>0</v>
      </c>
      <c r="L87" s="100" t="s">
        <v>85</v>
      </c>
      <c r="M87" s="117">
        <v>0.10698000000000001</v>
      </c>
      <c r="N87" s="100">
        <v>46055</v>
      </c>
      <c r="O87" s="117">
        <v>0</v>
      </c>
      <c r="P87" s="100">
        <v>46083</v>
      </c>
      <c r="Q87" s="117">
        <v>0.19075</v>
      </c>
      <c r="R87" s="100">
        <v>46113</v>
      </c>
      <c r="S87" s="117">
        <v>0</v>
      </c>
      <c r="T87" s="100" t="s">
        <v>85</v>
      </c>
      <c r="U87" s="117">
        <v>0</v>
      </c>
      <c r="V87" s="100">
        <v>46174</v>
      </c>
      <c r="W87" s="117">
        <v>0.41535</v>
      </c>
      <c r="X87" s="100">
        <v>46204</v>
      </c>
      <c r="Y87" s="117">
        <v>0</v>
      </c>
      <c r="Z87" s="100">
        <v>46237</v>
      </c>
      <c r="AA87" s="117">
        <v>0</v>
      </c>
      <c r="AB87" s="100">
        <v>46266</v>
      </c>
      <c r="AC87" s="117">
        <v>0.31508799999999998</v>
      </c>
      <c r="AD87" s="100">
        <v>46296</v>
      </c>
      <c r="AE87" s="117"/>
      <c r="AF87" s="100"/>
      <c r="AG87" s="117"/>
      <c r="AH87" s="100"/>
      <c r="AI87" s="108">
        <v>212290413</v>
      </c>
      <c r="AJ87" s="15" t="s">
        <v>40</v>
      </c>
      <c r="AK87" s="15" t="s">
        <v>5</v>
      </c>
      <c r="AL87" s="15" t="s">
        <v>9</v>
      </c>
      <c r="AM87" s="118">
        <v>5.4999999999999997E-3</v>
      </c>
      <c r="AN87" s="118">
        <v>5.4999999999999997E-3</v>
      </c>
      <c r="AO87" s="118">
        <v>0</v>
      </c>
      <c r="AP87" s="100">
        <v>46054</v>
      </c>
      <c r="AQ87" s="99"/>
    </row>
    <row r="88" spans="1:43" x14ac:dyDescent="0.25">
      <c r="A88" s="99" t="b">
        <v>1</v>
      </c>
      <c r="B88" s="101" t="s">
        <v>345</v>
      </c>
      <c r="C88" s="109"/>
      <c r="D88" s="15" t="s">
        <v>450</v>
      </c>
      <c r="E88" s="15" t="s">
        <v>344</v>
      </c>
      <c r="F88" s="98"/>
      <c r="G88" s="99" t="s">
        <v>532</v>
      </c>
      <c r="H88" s="106">
        <v>4.4000000000000003E-3</v>
      </c>
      <c r="I88" s="117">
        <v>0.18309900000000001</v>
      </c>
      <c r="J88" s="100">
        <v>46007</v>
      </c>
      <c r="K88" s="117">
        <v>0</v>
      </c>
      <c r="L88" s="100" t="s">
        <v>85</v>
      </c>
      <c r="M88" s="117">
        <v>0</v>
      </c>
      <c r="N88" s="100" t="s">
        <v>85</v>
      </c>
      <c r="O88" s="117">
        <v>0.121818</v>
      </c>
      <c r="P88" s="100">
        <v>46098</v>
      </c>
      <c r="Q88" s="117">
        <v>0</v>
      </c>
      <c r="R88" s="100" t="s">
        <v>85</v>
      </c>
      <c r="S88" s="117">
        <v>0</v>
      </c>
      <c r="T88" s="100" t="s">
        <v>85</v>
      </c>
      <c r="U88" s="117">
        <v>2.3774E-2</v>
      </c>
      <c r="V88" s="100">
        <v>46188</v>
      </c>
      <c r="W88" s="117">
        <v>0</v>
      </c>
      <c r="X88" s="100" t="s">
        <v>85</v>
      </c>
      <c r="Y88" s="117">
        <v>0</v>
      </c>
      <c r="Z88" s="100" t="s">
        <v>85</v>
      </c>
      <c r="AA88" s="117">
        <v>1.1194000000000001E-2</v>
      </c>
      <c r="AB88" s="100">
        <v>46280</v>
      </c>
      <c r="AC88" s="117">
        <v>0</v>
      </c>
      <c r="AD88" s="100" t="s">
        <v>85</v>
      </c>
      <c r="AE88" s="117"/>
      <c r="AF88" s="100"/>
      <c r="AG88" s="117"/>
      <c r="AH88" s="100"/>
      <c r="AI88" s="65">
        <v>11517520</v>
      </c>
      <c r="AJ88" s="15" t="s">
        <v>40</v>
      </c>
      <c r="AK88" s="15" t="s">
        <v>5</v>
      </c>
      <c r="AL88" s="15" t="s">
        <v>9</v>
      </c>
      <c r="AM88" s="118">
        <v>5.4999999999999997E-3</v>
      </c>
      <c r="AN88" s="118">
        <v>5.4999999999999997E-3</v>
      </c>
      <c r="AO88" s="118">
        <v>0</v>
      </c>
      <c r="AP88" s="100">
        <v>46054</v>
      </c>
      <c r="AQ88" s="99"/>
    </row>
    <row r="89" spans="1:43" x14ac:dyDescent="0.25">
      <c r="A89" s="99" t="b">
        <v>1</v>
      </c>
      <c r="B89" s="101" t="s">
        <v>396</v>
      </c>
      <c r="C89" s="109"/>
      <c r="D89" s="95" t="s">
        <v>397</v>
      </c>
      <c r="E89" s="95" t="s">
        <v>311</v>
      </c>
      <c r="F89" s="98">
        <v>2035</v>
      </c>
      <c r="G89" s="99" t="s">
        <v>532</v>
      </c>
      <c r="H89" s="106">
        <v>1E-3</v>
      </c>
      <c r="I89" s="117">
        <v>9.8752000000000006E-2</v>
      </c>
      <c r="J89" s="100">
        <v>46010</v>
      </c>
      <c r="K89" s="117">
        <v>0</v>
      </c>
      <c r="L89" s="100" t="s">
        <v>85</v>
      </c>
      <c r="M89" s="117">
        <v>9.9039000000000002E-2</v>
      </c>
      <c r="N89" s="100">
        <v>46055</v>
      </c>
      <c r="O89" s="117">
        <v>0.101322</v>
      </c>
      <c r="P89" s="100">
        <v>46083</v>
      </c>
      <c r="Q89" s="117">
        <v>0.10424600000000001</v>
      </c>
      <c r="R89" s="100">
        <v>46113</v>
      </c>
      <c r="S89" s="117">
        <v>0.103631</v>
      </c>
      <c r="T89" s="100">
        <v>46143</v>
      </c>
      <c r="U89" s="117">
        <v>0.103494</v>
      </c>
      <c r="V89" s="100">
        <v>46174</v>
      </c>
      <c r="W89" s="117">
        <v>0.10444100000000001</v>
      </c>
      <c r="X89" s="100">
        <v>46204</v>
      </c>
      <c r="Y89" s="117">
        <v>0.103218</v>
      </c>
      <c r="Z89" s="100">
        <v>46237</v>
      </c>
      <c r="AA89" s="117">
        <v>0.10022300000000001</v>
      </c>
      <c r="AB89" s="100">
        <v>46266</v>
      </c>
      <c r="AC89" s="117">
        <v>0.106159</v>
      </c>
      <c r="AD89" s="100">
        <v>46296</v>
      </c>
      <c r="AE89" s="117"/>
      <c r="AF89" s="100"/>
      <c r="AG89" s="117"/>
      <c r="AH89" s="100"/>
      <c r="AI89" s="15">
        <v>771558770</v>
      </c>
      <c r="AJ89" s="15" t="s">
        <v>40</v>
      </c>
      <c r="AK89" s="15" t="s">
        <v>5</v>
      </c>
      <c r="AL89" s="17" t="s">
        <v>9</v>
      </c>
      <c r="AM89" s="118">
        <v>5.4999999999999997E-3</v>
      </c>
      <c r="AN89" s="118">
        <v>5.4999999999999997E-3</v>
      </c>
      <c r="AO89" s="118">
        <v>0</v>
      </c>
      <c r="AP89" s="100">
        <v>46054</v>
      </c>
      <c r="AQ89" s="99"/>
    </row>
    <row r="90" spans="1:43" x14ac:dyDescent="0.25">
      <c r="A90" s="99" t="b">
        <v>1</v>
      </c>
      <c r="B90" s="101" t="s">
        <v>378</v>
      </c>
      <c r="C90" s="109"/>
      <c r="D90" s="95" t="s">
        <v>397</v>
      </c>
      <c r="E90" s="95" t="s">
        <v>311</v>
      </c>
      <c r="F90" s="98">
        <v>2026</v>
      </c>
      <c r="G90" s="99" t="s">
        <v>532</v>
      </c>
      <c r="H90" s="106">
        <v>1E-3</v>
      </c>
      <c r="I90" s="117">
        <v>8.6232000000000003E-2</v>
      </c>
      <c r="J90" s="100">
        <v>46010</v>
      </c>
      <c r="K90" s="117">
        <v>0</v>
      </c>
      <c r="L90" s="100" t="s">
        <v>85</v>
      </c>
      <c r="M90" s="117">
        <v>8.3278000000000005E-2</v>
      </c>
      <c r="N90" s="100">
        <v>46055</v>
      </c>
      <c r="O90" s="117">
        <v>8.0851999999999993E-2</v>
      </c>
      <c r="P90" s="100">
        <v>46083</v>
      </c>
      <c r="Q90" s="117">
        <v>8.1023999999999999E-2</v>
      </c>
      <c r="R90" s="100">
        <v>46113</v>
      </c>
      <c r="S90" s="117">
        <v>8.0202999999999997E-2</v>
      </c>
      <c r="T90" s="100">
        <v>46143</v>
      </c>
      <c r="U90" s="117">
        <v>8.0268999999999993E-2</v>
      </c>
      <c r="V90" s="100">
        <v>46174</v>
      </c>
      <c r="W90" s="117">
        <v>8.0004000000000006E-2</v>
      </c>
      <c r="X90" s="100">
        <v>46204</v>
      </c>
      <c r="Y90" s="117">
        <v>8.0145999999999995E-2</v>
      </c>
      <c r="Z90" s="100">
        <v>46237</v>
      </c>
      <c r="AA90" s="117">
        <v>7.8698000000000004E-2</v>
      </c>
      <c r="AB90" s="100">
        <v>46266</v>
      </c>
      <c r="AC90" s="117">
        <v>7.8196000000000002E-2</v>
      </c>
      <c r="AD90" s="100">
        <v>46296</v>
      </c>
      <c r="AE90" s="117"/>
      <c r="AF90" s="100"/>
      <c r="AG90" s="117"/>
      <c r="AH90" s="100"/>
      <c r="AI90" s="15">
        <v>247848905</v>
      </c>
      <c r="AJ90" s="15" t="s">
        <v>40</v>
      </c>
      <c r="AK90" s="15" t="s">
        <v>5</v>
      </c>
      <c r="AL90" s="17" t="s">
        <v>9</v>
      </c>
      <c r="AM90" s="118">
        <v>5.4999999999999997E-3</v>
      </c>
      <c r="AN90" s="118">
        <v>5.4999999999999997E-3</v>
      </c>
      <c r="AO90" s="118">
        <v>0</v>
      </c>
      <c r="AP90" s="100">
        <v>46054</v>
      </c>
      <c r="AQ90" s="99"/>
    </row>
    <row r="91" spans="1:43" x14ac:dyDescent="0.25">
      <c r="A91" s="99" t="b">
        <v>1</v>
      </c>
      <c r="B91" s="101" t="s">
        <v>380</v>
      </c>
      <c r="C91" s="109"/>
      <c r="D91" s="95" t="s">
        <v>397</v>
      </c>
      <c r="E91" s="95" t="s">
        <v>311</v>
      </c>
      <c r="F91" s="98">
        <v>2027</v>
      </c>
      <c r="G91" s="99" t="s">
        <v>532</v>
      </c>
      <c r="H91" s="106">
        <v>1E-3</v>
      </c>
      <c r="I91" s="117">
        <v>9.1224E-2</v>
      </c>
      <c r="J91" s="100">
        <v>46010</v>
      </c>
      <c r="K91" s="117">
        <v>0</v>
      </c>
      <c r="L91" s="100" t="s">
        <v>85</v>
      </c>
      <c r="M91" s="117">
        <v>8.5075999999999999E-2</v>
      </c>
      <c r="N91" s="100">
        <v>46055</v>
      </c>
      <c r="O91" s="117">
        <v>8.4543999999999994E-2</v>
      </c>
      <c r="P91" s="100">
        <v>46083</v>
      </c>
      <c r="Q91" s="117">
        <v>8.5801000000000002E-2</v>
      </c>
      <c r="R91" s="100">
        <v>46113</v>
      </c>
      <c r="S91" s="117">
        <v>8.5629999999999998E-2</v>
      </c>
      <c r="T91" s="100">
        <v>46143</v>
      </c>
      <c r="U91" s="117">
        <v>8.6120000000000002E-2</v>
      </c>
      <c r="V91" s="100">
        <v>46174</v>
      </c>
      <c r="W91" s="117">
        <v>8.4610000000000005E-2</v>
      </c>
      <c r="X91" s="100">
        <v>46204</v>
      </c>
      <c r="Y91" s="117">
        <v>8.4954000000000002E-2</v>
      </c>
      <c r="Z91" s="100">
        <v>46237</v>
      </c>
      <c r="AA91" s="117">
        <v>8.4963999999999998E-2</v>
      </c>
      <c r="AB91" s="100">
        <v>46266</v>
      </c>
      <c r="AC91" s="117">
        <v>8.4226999999999996E-2</v>
      </c>
      <c r="AD91" s="100">
        <v>46296</v>
      </c>
      <c r="AE91" s="117"/>
      <c r="AF91" s="100"/>
      <c r="AG91" s="117"/>
      <c r="AH91" s="100"/>
      <c r="AI91" s="15">
        <v>288992388</v>
      </c>
      <c r="AJ91" s="15" t="s">
        <v>40</v>
      </c>
      <c r="AK91" s="15" t="s">
        <v>5</v>
      </c>
      <c r="AL91" s="17" t="s">
        <v>9</v>
      </c>
      <c r="AM91" s="118">
        <v>5.4999999999999997E-3</v>
      </c>
      <c r="AN91" s="118">
        <v>5.4999999999999997E-3</v>
      </c>
      <c r="AO91" s="118">
        <v>0</v>
      </c>
      <c r="AP91" s="100">
        <v>46054</v>
      </c>
      <c r="AQ91" s="99"/>
    </row>
    <row r="92" spans="1:43" x14ac:dyDescent="0.25">
      <c r="A92" s="99" t="b">
        <v>1</v>
      </c>
      <c r="B92" s="101" t="s">
        <v>382</v>
      </c>
      <c r="C92" s="109"/>
      <c r="D92" s="95" t="s">
        <v>397</v>
      </c>
      <c r="E92" s="95" t="s">
        <v>311</v>
      </c>
      <c r="F92" s="98">
        <v>2028</v>
      </c>
      <c r="G92" s="99" t="s">
        <v>532</v>
      </c>
      <c r="H92" s="106">
        <v>1E-3</v>
      </c>
      <c r="I92" s="117">
        <v>9.9053000000000002E-2</v>
      </c>
      <c r="J92" s="100">
        <v>46010</v>
      </c>
      <c r="K92" s="117">
        <v>0</v>
      </c>
      <c r="L92" s="100" t="s">
        <v>85</v>
      </c>
      <c r="M92" s="117">
        <v>9.3501000000000001E-2</v>
      </c>
      <c r="N92" s="100">
        <v>46055</v>
      </c>
      <c r="O92" s="117">
        <v>9.3022999999999995E-2</v>
      </c>
      <c r="P92" s="100">
        <v>46083</v>
      </c>
      <c r="Q92" s="117">
        <v>9.3478000000000006E-2</v>
      </c>
      <c r="R92" s="100">
        <v>46113</v>
      </c>
      <c r="S92" s="117">
        <v>9.3645000000000006E-2</v>
      </c>
      <c r="T92" s="100">
        <v>46143</v>
      </c>
      <c r="U92" s="117">
        <v>9.2997999999999997E-2</v>
      </c>
      <c r="V92" s="100">
        <v>46174</v>
      </c>
      <c r="W92" s="117">
        <v>9.1302999999999995E-2</v>
      </c>
      <c r="X92" s="100">
        <v>46204</v>
      </c>
      <c r="Y92" s="117">
        <v>9.3121999999999996E-2</v>
      </c>
      <c r="Z92" s="100">
        <v>46237</v>
      </c>
      <c r="AA92" s="117">
        <v>9.3339000000000005E-2</v>
      </c>
      <c r="AB92" s="100">
        <v>46266</v>
      </c>
      <c r="AC92" s="117">
        <v>9.2812000000000006E-2</v>
      </c>
      <c r="AD92" s="100">
        <v>46296</v>
      </c>
      <c r="AE92" s="117"/>
      <c r="AF92" s="100"/>
      <c r="AG92" s="117"/>
      <c r="AH92" s="100"/>
      <c r="AI92" s="15">
        <v>333970426</v>
      </c>
      <c r="AJ92" s="15" t="s">
        <v>40</v>
      </c>
      <c r="AK92" s="15" t="s">
        <v>5</v>
      </c>
      <c r="AL92" s="17" t="s">
        <v>9</v>
      </c>
      <c r="AM92" s="118">
        <v>5.4999999999999997E-3</v>
      </c>
      <c r="AN92" s="118">
        <v>5.4999999999999997E-3</v>
      </c>
      <c r="AO92" s="118">
        <v>0</v>
      </c>
      <c r="AP92" s="100">
        <v>46054</v>
      </c>
      <c r="AQ92" s="99"/>
    </row>
    <row r="93" spans="1:43" x14ac:dyDescent="0.25">
      <c r="A93" s="99" t="b">
        <v>1</v>
      </c>
      <c r="B93" s="101" t="s">
        <v>384</v>
      </c>
      <c r="C93" s="109"/>
      <c r="D93" s="95" t="s">
        <v>397</v>
      </c>
      <c r="E93" s="95" t="s">
        <v>311</v>
      </c>
      <c r="F93" s="98">
        <v>2029</v>
      </c>
      <c r="G93" s="99" t="s">
        <v>532</v>
      </c>
      <c r="H93" s="106">
        <v>1E-3</v>
      </c>
      <c r="I93" s="117">
        <v>9.3605999999999995E-2</v>
      </c>
      <c r="J93" s="100">
        <v>46010</v>
      </c>
      <c r="K93" s="117">
        <v>0</v>
      </c>
      <c r="L93" s="100" t="s">
        <v>85</v>
      </c>
      <c r="M93" s="117">
        <v>8.8202000000000003E-2</v>
      </c>
      <c r="N93" s="100">
        <v>46055</v>
      </c>
      <c r="O93" s="117">
        <v>8.7762999999999994E-2</v>
      </c>
      <c r="P93" s="100">
        <v>46083</v>
      </c>
      <c r="Q93" s="117">
        <v>8.8961999999999999E-2</v>
      </c>
      <c r="R93" s="100">
        <v>46113</v>
      </c>
      <c r="S93" s="117">
        <v>8.8770000000000002E-2</v>
      </c>
      <c r="T93" s="100">
        <v>46143</v>
      </c>
      <c r="U93" s="117">
        <v>8.7981000000000004E-2</v>
      </c>
      <c r="V93" s="100">
        <v>46174</v>
      </c>
      <c r="W93" s="117">
        <v>8.6438000000000001E-2</v>
      </c>
      <c r="X93" s="100">
        <v>46204</v>
      </c>
      <c r="Y93" s="117">
        <v>8.7565000000000004E-2</v>
      </c>
      <c r="Z93" s="100">
        <v>46237</v>
      </c>
      <c r="AA93" s="117">
        <v>9.1003000000000001E-2</v>
      </c>
      <c r="AB93" s="100">
        <v>46266</v>
      </c>
      <c r="AC93" s="117">
        <v>8.8280999999999998E-2</v>
      </c>
      <c r="AD93" s="100">
        <v>46296</v>
      </c>
      <c r="AE93" s="117"/>
      <c r="AF93" s="100"/>
      <c r="AG93" s="117"/>
      <c r="AH93" s="100"/>
      <c r="AI93" s="15">
        <v>383858509</v>
      </c>
      <c r="AJ93" s="15" t="s">
        <v>40</v>
      </c>
      <c r="AK93" s="15" t="s">
        <v>5</v>
      </c>
      <c r="AL93" s="17" t="s">
        <v>9</v>
      </c>
      <c r="AM93" s="118">
        <v>5.4999999999999997E-3</v>
      </c>
      <c r="AN93" s="118">
        <v>5.4999999999999997E-3</v>
      </c>
      <c r="AO93" s="118">
        <v>0</v>
      </c>
      <c r="AP93" s="100">
        <v>46054</v>
      </c>
      <c r="AQ93" s="99"/>
    </row>
    <row r="94" spans="1:43" x14ac:dyDescent="0.25">
      <c r="A94" s="99" t="b">
        <v>1</v>
      </c>
      <c r="B94" s="101" t="s">
        <v>386</v>
      </c>
      <c r="C94" s="109"/>
      <c r="D94" s="95" t="s">
        <v>397</v>
      </c>
      <c r="E94" s="95" t="s">
        <v>311</v>
      </c>
      <c r="F94" s="98">
        <v>2030</v>
      </c>
      <c r="G94" s="99" t="s">
        <v>532</v>
      </c>
      <c r="H94" s="106">
        <v>1E-3</v>
      </c>
      <c r="I94" s="117">
        <v>8.5777999999999993E-2</v>
      </c>
      <c r="J94" s="100">
        <v>46010</v>
      </c>
      <c r="K94" s="117">
        <v>0</v>
      </c>
      <c r="L94" s="100" t="s">
        <v>85</v>
      </c>
      <c r="M94" s="117">
        <v>8.2222000000000003E-2</v>
      </c>
      <c r="N94" s="100">
        <v>46055</v>
      </c>
      <c r="O94" s="117">
        <v>8.1594E-2</v>
      </c>
      <c r="P94" s="100">
        <v>46083</v>
      </c>
      <c r="Q94" s="117">
        <v>8.1864999999999993E-2</v>
      </c>
      <c r="R94" s="100">
        <v>46113</v>
      </c>
      <c r="S94" s="117">
        <v>8.3414000000000002E-2</v>
      </c>
      <c r="T94" s="100">
        <v>46143</v>
      </c>
      <c r="U94" s="117">
        <v>8.2333000000000003E-2</v>
      </c>
      <c r="V94" s="100">
        <v>46174</v>
      </c>
      <c r="W94" s="117">
        <v>8.0950999999999995E-2</v>
      </c>
      <c r="X94" s="100">
        <v>46204</v>
      </c>
      <c r="Y94" s="117">
        <v>8.2263000000000003E-2</v>
      </c>
      <c r="Z94" s="100">
        <v>46237</v>
      </c>
      <c r="AA94" s="117">
        <v>8.3215999999999998E-2</v>
      </c>
      <c r="AB94" s="100">
        <v>46266</v>
      </c>
      <c r="AC94" s="117">
        <v>8.2614000000000007E-2</v>
      </c>
      <c r="AD94" s="100">
        <v>46296</v>
      </c>
      <c r="AE94" s="117"/>
      <c r="AF94" s="100"/>
      <c r="AG94" s="117"/>
      <c r="AH94" s="100"/>
      <c r="AI94" s="15">
        <v>429664996</v>
      </c>
      <c r="AJ94" s="15" t="s">
        <v>40</v>
      </c>
      <c r="AK94" s="15" t="s">
        <v>5</v>
      </c>
      <c r="AL94" s="17" t="s">
        <v>9</v>
      </c>
      <c r="AM94" s="118">
        <v>5.4999999999999997E-3</v>
      </c>
      <c r="AN94" s="118">
        <v>5.4999999999999997E-3</v>
      </c>
      <c r="AO94" s="118">
        <v>0</v>
      </c>
      <c r="AP94" s="100">
        <v>46054</v>
      </c>
      <c r="AQ94" s="99"/>
    </row>
    <row r="95" spans="1:43" x14ac:dyDescent="0.25">
      <c r="A95" s="99" t="b">
        <v>1</v>
      </c>
      <c r="B95" s="101" t="s">
        <v>388</v>
      </c>
      <c r="C95" s="109"/>
      <c r="D95" s="95" t="s">
        <v>397</v>
      </c>
      <c r="E95" s="95" t="s">
        <v>311</v>
      </c>
      <c r="F95" s="98">
        <v>2031</v>
      </c>
      <c r="G95" s="99" t="s">
        <v>532</v>
      </c>
      <c r="H95" s="106">
        <v>1E-3</v>
      </c>
      <c r="I95" s="117">
        <v>8.5337999999999997E-2</v>
      </c>
      <c r="J95" s="100">
        <v>46010</v>
      </c>
      <c r="K95" s="117">
        <v>0</v>
      </c>
      <c r="L95" s="100" t="s">
        <v>85</v>
      </c>
      <c r="M95" s="117">
        <v>8.1687999999999997E-2</v>
      </c>
      <c r="N95" s="100">
        <v>46055</v>
      </c>
      <c r="O95" s="117">
        <v>8.0392000000000005E-2</v>
      </c>
      <c r="P95" s="100">
        <v>46083</v>
      </c>
      <c r="Q95" s="117">
        <v>8.3547999999999997E-2</v>
      </c>
      <c r="R95" s="100">
        <v>46113</v>
      </c>
      <c r="S95" s="117">
        <v>8.2701999999999998E-2</v>
      </c>
      <c r="T95" s="100">
        <v>46143</v>
      </c>
      <c r="U95" s="117">
        <v>8.3049999999999999E-2</v>
      </c>
      <c r="V95" s="100">
        <v>46174</v>
      </c>
      <c r="W95" s="117">
        <v>8.0601000000000006E-2</v>
      </c>
      <c r="X95" s="100">
        <v>46204</v>
      </c>
      <c r="Y95" s="117">
        <v>8.2046999999999995E-2</v>
      </c>
      <c r="Z95" s="100">
        <v>46237</v>
      </c>
      <c r="AA95" s="117">
        <v>8.3126000000000005E-2</v>
      </c>
      <c r="AB95" s="100">
        <v>46266</v>
      </c>
      <c r="AC95" s="117">
        <v>8.2314999999999999E-2</v>
      </c>
      <c r="AD95" s="100">
        <v>46296</v>
      </c>
      <c r="AE95" s="117"/>
      <c r="AF95" s="100"/>
      <c r="AG95" s="117"/>
      <c r="AH95" s="100"/>
      <c r="AI95" s="15">
        <v>498854133</v>
      </c>
      <c r="AJ95" s="15" t="s">
        <v>40</v>
      </c>
      <c r="AK95" s="15" t="s">
        <v>5</v>
      </c>
      <c r="AL95" s="17" t="s">
        <v>9</v>
      </c>
      <c r="AM95" s="118">
        <v>5.4999999999999997E-3</v>
      </c>
      <c r="AN95" s="118">
        <v>5.4999999999999997E-3</v>
      </c>
      <c r="AO95" s="118">
        <v>0</v>
      </c>
      <c r="AP95" s="100">
        <v>46054</v>
      </c>
      <c r="AQ95" s="99"/>
    </row>
    <row r="96" spans="1:43" x14ac:dyDescent="0.25">
      <c r="A96" s="99" t="b">
        <v>1</v>
      </c>
      <c r="B96" s="101" t="s">
        <v>390</v>
      </c>
      <c r="C96" s="109"/>
      <c r="D96" s="95" t="s">
        <v>397</v>
      </c>
      <c r="E96" s="95" t="s">
        <v>311</v>
      </c>
      <c r="F96" s="98">
        <v>2032</v>
      </c>
      <c r="G96" s="99" t="s">
        <v>532</v>
      </c>
      <c r="H96" s="106">
        <v>1E-3</v>
      </c>
      <c r="I96" s="117">
        <v>9.4987000000000002E-2</v>
      </c>
      <c r="J96" s="100">
        <v>46010</v>
      </c>
      <c r="K96" s="117">
        <v>0</v>
      </c>
      <c r="L96" s="100" t="s">
        <v>85</v>
      </c>
      <c r="M96" s="117">
        <v>0.10002999999999999</v>
      </c>
      <c r="N96" s="100">
        <v>46055</v>
      </c>
      <c r="O96" s="117">
        <v>9.9840999999999999E-2</v>
      </c>
      <c r="P96" s="100">
        <v>46083</v>
      </c>
      <c r="Q96" s="117">
        <v>0.10116</v>
      </c>
      <c r="R96" s="100">
        <v>46113</v>
      </c>
      <c r="S96" s="117">
        <v>0.100577</v>
      </c>
      <c r="T96" s="100">
        <v>46143</v>
      </c>
      <c r="U96" s="117">
        <v>0.10101599999999999</v>
      </c>
      <c r="V96" s="100">
        <v>46174</v>
      </c>
      <c r="W96" s="117">
        <v>9.9886000000000003E-2</v>
      </c>
      <c r="X96" s="100">
        <v>46204</v>
      </c>
      <c r="Y96" s="117">
        <v>0.10026599999999999</v>
      </c>
      <c r="Z96" s="100">
        <v>46237</v>
      </c>
      <c r="AA96" s="117">
        <v>9.9994E-2</v>
      </c>
      <c r="AB96" s="100">
        <v>46266</v>
      </c>
      <c r="AC96" s="117">
        <v>0.10079100000000001</v>
      </c>
      <c r="AD96" s="100">
        <v>46296</v>
      </c>
      <c r="AE96" s="117"/>
      <c r="AF96" s="100"/>
      <c r="AG96" s="117"/>
      <c r="AH96" s="100"/>
      <c r="AI96" s="15">
        <v>570487257</v>
      </c>
      <c r="AJ96" s="15" t="s">
        <v>40</v>
      </c>
      <c r="AK96" s="15" t="s">
        <v>5</v>
      </c>
      <c r="AL96" s="17" t="s">
        <v>9</v>
      </c>
      <c r="AM96" s="118">
        <v>5.4999999999999997E-3</v>
      </c>
      <c r="AN96" s="118">
        <v>5.4999999999999997E-3</v>
      </c>
      <c r="AO96" s="118">
        <v>0</v>
      </c>
      <c r="AP96" s="100">
        <v>46054</v>
      </c>
      <c r="AQ96" s="99"/>
    </row>
    <row r="97" spans="1:43" x14ac:dyDescent="0.25">
      <c r="A97" s="99" t="b">
        <v>1</v>
      </c>
      <c r="B97" s="101" t="s">
        <v>392</v>
      </c>
      <c r="C97" s="109"/>
      <c r="D97" s="95" t="s">
        <v>397</v>
      </c>
      <c r="E97" s="95" t="s">
        <v>311</v>
      </c>
      <c r="F97" s="98">
        <v>2033</v>
      </c>
      <c r="G97" s="99" t="s">
        <v>532</v>
      </c>
      <c r="H97" s="106">
        <v>1E-3</v>
      </c>
      <c r="I97" s="117">
        <v>0.106602</v>
      </c>
      <c r="J97" s="100">
        <v>46010</v>
      </c>
      <c r="K97" s="117">
        <v>0</v>
      </c>
      <c r="L97" s="100" t="s">
        <v>85</v>
      </c>
      <c r="M97" s="117">
        <v>0.10385999999999999</v>
      </c>
      <c r="N97" s="100">
        <v>46055</v>
      </c>
      <c r="O97" s="117">
        <v>0.102746</v>
      </c>
      <c r="P97" s="100">
        <v>46083</v>
      </c>
      <c r="Q97" s="117">
        <v>0.105805</v>
      </c>
      <c r="R97" s="100">
        <v>46113</v>
      </c>
      <c r="S97" s="117">
        <v>0.10327</v>
      </c>
      <c r="T97" s="100">
        <v>46143</v>
      </c>
      <c r="U97" s="117">
        <v>0.101692</v>
      </c>
      <c r="V97" s="100">
        <v>46174</v>
      </c>
      <c r="W97" s="117">
        <v>0.10711900000000001</v>
      </c>
      <c r="X97" s="100">
        <v>46204</v>
      </c>
      <c r="Y97" s="117">
        <v>0.103946</v>
      </c>
      <c r="Z97" s="100">
        <v>46237</v>
      </c>
      <c r="AA97" s="117">
        <v>0.10137699999999999</v>
      </c>
      <c r="AB97" s="100">
        <v>46266</v>
      </c>
      <c r="AC97" s="117">
        <v>0.10546</v>
      </c>
      <c r="AD97" s="100">
        <v>46296</v>
      </c>
      <c r="AE97" s="117"/>
      <c r="AF97" s="100"/>
      <c r="AG97" s="117"/>
      <c r="AH97" s="100"/>
      <c r="AI97" s="15">
        <v>638857478</v>
      </c>
      <c r="AJ97" s="15" t="s">
        <v>40</v>
      </c>
      <c r="AK97" s="15" t="s">
        <v>5</v>
      </c>
      <c r="AL97" s="17" t="s">
        <v>9</v>
      </c>
      <c r="AM97" s="118">
        <v>5.4999999999999997E-3</v>
      </c>
      <c r="AN97" s="118">
        <v>5.4999999999999997E-3</v>
      </c>
      <c r="AO97" s="118">
        <v>0</v>
      </c>
      <c r="AP97" s="100">
        <v>46054</v>
      </c>
      <c r="AQ97" s="99"/>
    </row>
    <row r="98" spans="1:43" x14ac:dyDescent="0.25">
      <c r="A98" s="99" t="b">
        <v>1</v>
      </c>
      <c r="B98" s="101" t="s">
        <v>394</v>
      </c>
      <c r="C98" s="109"/>
      <c r="D98" s="95" t="s">
        <v>397</v>
      </c>
      <c r="E98" s="95" t="s">
        <v>311</v>
      </c>
      <c r="F98" s="98">
        <v>2034</v>
      </c>
      <c r="G98" s="99" t="s">
        <v>532</v>
      </c>
      <c r="H98" s="106">
        <v>1E-3</v>
      </c>
      <c r="I98" s="117">
        <v>0.107502</v>
      </c>
      <c r="J98" s="100">
        <v>46010</v>
      </c>
      <c r="K98" s="117">
        <v>0</v>
      </c>
      <c r="L98" s="100" t="s">
        <v>85</v>
      </c>
      <c r="M98" s="117">
        <v>0.104377</v>
      </c>
      <c r="N98" s="100">
        <v>46055</v>
      </c>
      <c r="O98" s="117">
        <v>0.101081</v>
      </c>
      <c r="P98" s="100">
        <v>46083</v>
      </c>
      <c r="Q98" s="117">
        <v>0.101428</v>
      </c>
      <c r="R98" s="100">
        <v>46113</v>
      </c>
      <c r="S98" s="117">
        <v>0.10663300000000001</v>
      </c>
      <c r="T98" s="100">
        <v>46143</v>
      </c>
      <c r="U98" s="117">
        <v>0.10549799999999999</v>
      </c>
      <c r="V98" s="100">
        <v>46174</v>
      </c>
      <c r="W98" s="117">
        <v>0.106946</v>
      </c>
      <c r="X98" s="100">
        <v>46204</v>
      </c>
      <c r="Y98" s="117">
        <v>0.107902</v>
      </c>
      <c r="Z98" s="100">
        <v>46237</v>
      </c>
      <c r="AA98" s="117">
        <v>0.10922999999999999</v>
      </c>
      <c r="AB98" s="100">
        <v>46266</v>
      </c>
      <c r="AC98" s="117">
        <v>0.107003</v>
      </c>
      <c r="AD98" s="100">
        <v>46296</v>
      </c>
      <c r="AE98" s="117"/>
      <c r="AF98" s="100"/>
      <c r="AG98" s="117"/>
      <c r="AH98" s="100"/>
      <c r="AI98" s="15">
        <v>705592553</v>
      </c>
      <c r="AJ98" s="15" t="s">
        <v>40</v>
      </c>
      <c r="AK98" s="15" t="s">
        <v>5</v>
      </c>
      <c r="AL98" s="17" t="s">
        <v>9</v>
      </c>
      <c r="AM98" s="118">
        <v>5.4999999999999997E-3</v>
      </c>
      <c r="AN98" s="118">
        <v>5.4999999999999997E-3</v>
      </c>
      <c r="AO98" s="118">
        <v>0</v>
      </c>
      <c r="AP98" s="100">
        <v>46054</v>
      </c>
      <c r="AQ98" s="99"/>
    </row>
    <row r="99" spans="1:43" x14ac:dyDescent="0.25">
      <c r="A99" s="99" t="b">
        <v>1</v>
      </c>
      <c r="B99" s="101" t="s">
        <v>399</v>
      </c>
      <c r="C99" s="109"/>
      <c r="D99" s="95" t="s">
        <v>397</v>
      </c>
      <c r="E99" s="95" t="s">
        <v>313</v>
      </c>
      <c r="F99" s="98">
        <v>2026</v>
      </c>
      <c r="G99" s="99" t="s">
        <v>532</v>
      </c>
      <c r="H99" s="106">
        <v>3.5000000000000001E-3</v>
      </c>
      <c r="I99" s="117">
        <v>0.120056</v>
      </c>
      <c r="J99" s="100">
        <v>46010</v>
      </c>
      <c r="K99" s="117">
        <v>0</v>
      </c>
      <c r="L99" s="100" t="s">
        <v>85</v>
      </c>
      <c r="M99" s="117">
        <v>0.116934</v>
      </c>
      <c r="N99" s="100">
        <v>46055</v>
      </c>
      <c r="O99" s="117">
        <v>0.113051</v>
      </c>
      <c r="P99" s="100">
        <v>46083</v>
      </c>
      <c r="Q99" s="117">
        <v>0.115329</v>
      </c>
      <c r="R99" s="100">
        <v>46113</v>
      </c>
      <c r="S99" s="117">
        <v>0.110818</v>
      </c>
      <c r="T99" s="100">
        <v>46143</v>
      </c>
      <c r="U99" s="117">
        <v>0.107819</v>
      </c>
      <c r="V99" s="100">
        <v>46174</v>
      </c>
      <c r="W99" s="117">
        <v>8.2505999999999996E-2</v>
      </c>
      <c r="X99" s="100">
        <v>46204</v>
      </c>
      <c r="Y99" s="117">
        <v>8.8297E-2</v>
      </c>
      <c r="Z99" s="100">
        <v>46237</v>
      </c>
      <c r="AA99" s="117">
        <v>7.9295000000000004E-2</v>
      </c>
      <c r="AB99" s="100">
        <v>46266</v>
      </c>
      <c r="AC99" s="117">
        <v>7.3372000000000007E-2</v>
      </c>
      <c r="AD99" s="100">
        <v>46296</v>
      </c>
      <c r="AE99" s="117"/>
      <c r="AF99" s="100"/>
      <c r="AG99" s="117"/>
      <c r="AH99" s="100"/>
      <c r="AI99" s="15">
        <v>454859690</v>
      </c>
      <c r="AJ99" s="15" t="s">
        <v>40</v>
      </c>
      <c r="AK99" s="15" t="s">
        <v>5</v>
      </c>
      <c r="AL99" s="17" t="s">
        <v>9</v>
      </c>
      <c r="AM99" s="118">
        <v>5.4999999999999997E-3</v>
      </c>
      <c r="AN99" s="118">
        <v>5.4999999999999997E-3</v>
      </c>
      <c r="AO99" s="118">
        <v>0</v>
      </c>
      <c r="AP99" s="100">
        <v>46054</v>
      </c>
      <c r="AQ99" s="99"/>
    </row>
    <row r="100" spans="1:43" x14ac:dyDescent="0.25">
      <c r="A100" s="99" t="b">
        <v>1</v>
      </c>
      <c r="B100" s="101" t="s">
        <v>401</v>
      </c>
      <c r="C100" s="109"/>
      <c r="D100" s="95" t="s">
        <v>397</v>
      </c>
      <c r="E100" s="95" t="s">
        <v>313</v>
      </c>
      <c r="F100" s="98">
        <v>2027</v>
      </c>
      <c r="G100" s="99" t="s">
        <v>532</v>
      </c>
      <c r="H100" s="106">
        <v>3.5000000000000001E-3</v>
      </c>
      <c r="I100" s="117">
        <v>0.113576</v>
      </c>
      <c r="J100" s="100">
        <v>46010</v>
      </c>
      <c r="K100" s="117">
        <v>0</v>
      </c>
      <c r="L100" s="100" t="s">
        <v>85</v>
      </c>
      <c r="M100" s="117">
        <v>0.11140899999999999</v>
      </c>
      <c r="N100" s="100">
        <v>46055</v>
      </c>
      <c r="O100" s="117">
        <v>9.8999000000000004E-2</v>
      </c>
      <c r="P100" s="100">
        <v>46083</v>
      </c>
      <c r="Q100" s="117">
        <v>0.108635</v>
      </c>
      <c r="R100" s="100">
        <v>46113</v>
      </c>
      <c r="S100" s="117">
        <v>0.112552</v>
      </c>
      <c r="T100" s="100">
        <v>46143</v>
      </c>
      <c r="U100" s="117">
        <v>0.100993</v>
      </c>
      <c r="V100" s="100">
        <v>46174</v>
      </c>
      <c r="W100" s="117">
        <v>0.108434</v>
      </c>
      <c r="X100" s="100">
        <v>46204</v>
      </c>
      <c r="Y100" s="117">
        <v>0.107213</v>
      </c>
      <c r="Z100" s="100">
        <v>46237</v>
      </c>
      <c r="AA100" s="117">
        <v>0.103851</v>
      </c>
      <c r="AB100" s="100">
        <v>46266</v>
      </c>
      <c r="AC100" s="117">
        <v>9.9260000000000001E-2</v>
      </c>
      <c r="AD100" s="100">
        <v>46296</v>
      </c>
      <c r="AE100" s="117"/>
      <c r="AF100" s="100"/>
      <c r="AG100" s="117"/>
      <c r="AH100" s="100"/>
      <c r="AI100" s="15">
        <v>501314854</v>
      </c>
      <c r="AJ100" s="15" t="s">
        <v>40</v>
      </c>
      <c r="AK100" s="15" t="s">
        <v>5</v>
      </c>
      <c r="AL100" s="17" t="s">
        <v>9</v>
      </c>
      <c r="AM100" s="118">
        <v>5.4999999999999997E-3</v>
      </c>
      <c r="AN100" s="118">
        <v>5.4999999999999997E-3</v>
      </c>
      <c r="AO100" s="118">
        <v>0</v>
      </c>
      <c r="AP100" s="100">
        <v>46054</v>
      </c>
      <c r="AQ100" s="99"/>
    </row>
    <row r="101" spans="1:43" x14ac:dyDescent="0.25">
      <c r="A101" s="99" t="b">
        <v>1</v>
      </c>
      <c r="B101" s="101" t="s">
        <v>403</v>
      </c>
      <c r="C101" s="109"/>
      <c r="D101" s="95" t="s">
        <v>397</v>
      </c>
      <c r="E101" s="95" t="s">
        <v>313</v>
      </c>
      <c r="F101" s="98">
        <v>2028</v>
      </c>
      <c r="G101" s="99" t="s">
        <v>532</v>
      </c>
      <c r="H101" s="106">
        <v>3.5000000000000001E-3</v>
      </c>
      <c r="I101" s="117">
        <v>0.11160399999999999</v>
      </c>
      <c r="J101" s="100">
        <v>46010</v>
      </c>
      <c r="K101" s="117">
        <v>0</v>
      </c>
      <c r="L101" s="100" t="s">
        <v>85</v>
      </c>
      <c r="M101" s="117">
        <v>0.125778</v>
      </c>
      <c r="N101" s="100">
        <v>46055</v>
      </c>
      <c r="O101" s="117">
        <v>0.12077400000000001</v>
      </c>
      <c r="P101" s="100">
        <v>46083</v>
      </c>
      <c r="Q101" s="117">
        <v>0.122832</v>
      </c>
      <c r="R101" s="100">
        <v>46113</v>
      </c>
      <c r="S101" s="117">
        <v>0.124708</v>
      </c>
      <c r="T101" s="100">
        <v>46143</v>
      </c>
      <c r="U101" s="117">
        <v>0.118244</v>
      </c>
      <c r="V101" s="100">
        <v>46174</v>
      </c>
      <c r="W101" s="117">
        <v>0.12083199999999999</v>
      </c>
      <c r="X101" s="100">
        <v>46204</v>
      </c>
      <c r="Y101" s="117">
        <v>0.120436</v>
      </c>
      <c r="Z101" s="100">
        <v>46237</v>
      </c>
      <c r="AA101" s="117">
        <v>0.118087</v>
      </c>
      <c r="AB101" s="100">
        <v>46266</v>
      </c>
      <c r="AC101" s="117">
        <v>0.117704</v>
      </c>
      <c r="AD101" s="100">
        <v>46296</v>
      </c>
      <c r="AE101" s="117"/>
      <c r="AF101" s="100"/>
      <c r="AG101" s="117"/>
      <c r="AH101" s="100"/>
      <c r="AI101" s="15">
        <v>549154760</v>
      </c>
      <c r="AJ101" s="15" t="s">
        <v>40</v>
      </c>
      <c r="AK101" s="15" t="s">
        <v>5</v>
      </c>
      <c r="AL101" s="17" t="s">
        <v>9</v>
      </c>
      <c r="AM101" s="118">
        <v>5.4999999999999997E-3</v>
      </c>
      <c r="AN101" s="118">
        <v>5.4999999999999997E-3</v>
      </c>
      <c r="AO101" s="118">
        <v>0</v>
      </c>
      <c r="AP101" s="100">
        <v>46054</v>
      </c>
      <c r="AQ101" s="99"/>
    </row>
    <row r="102" spans="1:43" x14ac:dyDescent="0.25">
      <c r="A102" s="99" t="b">
        <v>1</v>
      </c>
      <c r="B102" s="101" t="s">
        <v>405</v>
      </c>
      <c r="C102" s="109"/>
      <c r="D102" s="95" t="s">
        <v>397</v>
      </c>
      <c r="E102" s="95" t="s">
        <v>313</v>
      </c>
      <c r="F102" s="98">
        <v>2029</v>
      </c>
      <c r="G102" s="99" t="s">
        <v>532</v>
      </c>
      <c r="H102" s="106">
        <v>3.5000000000000001E-3</v>
      </c>
      <c r="I102" s="117">
        <v>0.130636</v>
      </c>
      <c r="J102" s="100">
        <v>46010</v>
      </c>
      <c r="K102" s="117">
        <v>0</v>
      </c>
      <c r="L102" s="100" t="s">
        <v>85</v>
      </c>
      <c r="M102" s="117">
        <v>0.13374</v>
      </c>
      <c r="N102" s="100">
        <v>46055</v>
      </c>
      <c r="O102" s="117">
        <v>0.128021</v>
      </c>
      <c r="P102" s="100">
        <v>46083</v>
      </c>
      <c r="Q102" s="117">
        <v>0.13294700000000001</v>
      </c>
      <c r="R102" s="100">
        <v>46113</v>
      </c>
      <c r="S102" s="117">
        <v>0.12234399999999999</v>
      </c>
      <c r="T102" s="100">
        <v>46143</v>
      </c>
      <c r="U102" s="117">
        <v>0.12593299999999999</v>
      </c>
      <c r="V102" s="100">
        <v>46174</v>
      </c>
      <c r="W102" s="117">
        <v>0.12606999999999999</v>
      </c>
      <c r="X102" s="100">
        <v>46204</v>
      </c>
      <c r="Y102" s="117">
        <v>0.130135</v>
      </c>
      <c r="Z102" s="100">
        <v>46237</v>
      </c>
      <c r="AA102" s="117">
        <v>0.12810099999999999</v>
      </c>
      <c r="AB102" s="100">
        <v>46266</v>
      </c>
      <c r="AC102" s="117">
        <v>0.12651899999999999</v>
      </c>
      <c r="AD102" s="100">
        <v>46296</v>
      </c>
      <c r="AE102" s="117"/>
      <c r="AF102" s="100"/>
      <c r="AG102" s="117"/>
      <c r="AH102" s="100"/>
      <c r="AI102" s="15">
        <v>549154765</v>
      </c>
      <c r="AJ102" s="15" t="s">
        <v>40</v>
      </c>
      <c r="AK102" s="15" t="s">
        <v>5</v>
      </c>
      <c r="AL102" s="17" t="s">
        <v>9</v>
      </c>
      <c r="AM102" s="118">
        <v>5.4999999999999997E-3</v>
      </c>
      <c r="AN102" s="118">
        <v>5.4999999999999997E-3</v>
      </c>
      <c r="AO102" s="118">
        <v>0</v>
      </c>
      <c r="AP102" s="100">
        <v>46054</v>
      </c>
      <c r="AQ102" s="99"/>
    </row>
    <row r="103" spans="1:43" x14ac:dyDescent="0.25">
      <c r="A103" s="99" t="b">
        <v>1</v>
      </c>
      <c r="B103" s="101" t="s">
        <v>407</v>
      </c>
      <c r="C103" s="109"/>
      <c r="D103" s="95" t="s">
        <v>397</v>
      </c>
      <c r="E103" s="95" t="s">
        <v>313</v>
      </c>
      <c r="F103" s="98">
        <v>2030</v>
      </c>
      <c r="G103" s="99" t="s">
        <v>532</v>
      </c>
      <c r="H103" s="106">
        <v>3.5000000000000001E-3</v>
      </c>
      <c r="I103" s="117">
        <v>0.14511599999999999</v>
      </c>
      <c r="J103" s="100">
        <v>46010</v>
      </c>
      <c r="K103" s="117">
        <v>0</v>
      </c>
      <c r="L103" s="100" t="s">
        <v>85</v>
      </c>
      <c r="M103" s="117">
        <v>0.14724799999999999</v>
      </c>
      <c r="N103" s="100">
        <v>46055</v>
      </c>
      <c r="O103" s="117">
        <v>0.14693300000000001</v>
      </c>
      <c r="P103" s="100">
        <v>46083</v>
      </c>
      <c r="Q103" s="117">
        <v>0.146838</v>
      </c>
      <c r="R103" s="100">
        <v>46113</v>
      </c>
      <c r="S103" s="117">
        <v>0.14566899999999999</v>
      </c>
      <c r="T103" s="100">
        <v>46143</v>
      </c>
      <c r="U103" s="117">
        <v>0.14805199999999999</v>
      </c>
      <c r="V103" s="100">
        <v>46174</v>
      </c>
      <c r="W103" s="117">
        <v>0.145257</v>
      </c>
      <c r="X103" s="100">
        <v>46204</v>
      </c>
      <c r="Y103" s="117">
        <v>0.14666299999999999</v>
      </c>
      <c r="Z103" s="100">
        <v>46237</v>
      </c>
      <c r="AA103" s="117">
        <v>0.14504900000000001</v>
      </c>
      <c r="AB103" s="100">
        <v>46266</v>
      </c>
      <c r="AC103" s="117">
        <v>0.145673</v>
      </c>
      <c r="AD103" s="100">
        <v>46296</v>
      </c>
      <c r="AE103" s="117"/>
      <c r="AF103" s="100"/>
      <c r="AG103" s="117"/>
      <c r="AH103" s="100"/>
      <c r="AI103" s="15">
        <v>638569711</v>
      </c>
      <c r="AJ103" s="15" t="s">
        <v>40</v>
      </c>
      <c r="AK103" s="15" t="s">
        <v>5</v>
      </c>
      <c r="AL103" s="17" t="s">
        <v>9</v>
      </c>
      <c r="AM103" s="118">
        <v>5.4999999999999997E-3</v>
      </c>
      <c r="AN103" s="118">
        <v>5.4999999999999997E-3</v>
      </c>
      <c r="AO103" s="118">
        <v>0</v>
      </c>
      <c r="AP103" s="100">
        <v>46054</v>
      </c>
      <c r="AQ103" s="99"/>
    </row>
    <row r="104" spans="1:43" x14ac:dyDescent="0.25">
      <c r="A104" s="99" t="b">
        <v>1</v>
      </c>
      <c r="B104" s="101" t="s">
        <v>409</v>
      </c>
      <c r="C104" s="109"/>
      <c r="D104" s="95" t="s">
        <v>397</v>
      </c>
      <c r="E104" s="95" t="s">
        <v>313</v>
      </c>
      <c r="F104" s="98">
        <v>2031</v>
      </c>
      <c r="G104" s="99" t="s">
        <v>532</v>
      </c>
      <c r="H104" s="106">
        <v>3.5000000000000001E-3</v>
      </c>
      <c r="I104" s="117">
        <v>0.145926</v>
      </c>
      <c r="J104" s="100">
        <v>46010</v>
      </c>
      <c r="K104" s="117">
        <v>0</v>
      </c>
      <c r="L104" s="100" t="s">
        <v>85</v>
      </c>
      <c r="M104" s="117">
        <v>0.13600699999999999</v>
      </c>
      <c r="N104" s="100">
        <v>46055</v>
      </c>
      <c r="O104" s="117">
        <v>0.13813400000000001</v>
      </c>
      <c r="P104" s="100">
        <v>46083</v>
      </c>
      <c r="Q104" s="117">
        <v>0.13677900000000001</v>
      </c>
      <c r="R104" s="100">
        <v>46113</v>
      </c>
      <c r="S104" s="117">
        <v>0.13735</v>
      </c>
      <c r="T104" s="100">
        <v>46143</v>
      </c>
      <c r="U104" s="117">
        <v>0.13816800000000001</v>
      </c>
      <c r="V104" s="100">
        <v>46174</v>
      </c>
      <c r="W104" s="117">
        <v>0.13428799999999999</v>
      </c>
      <c r="X104" s="100">
        <v>46204</v>
      </c>
      <c r="Y104" s="117">
        <v>0.13982800000000001</v>
      </c>
      <c r="Z104" s="100">
        <v>46237</v>
      </c>
      <c r="AA104" s="117">
        <v>0.1457</v>
      </c>
      <c r="AB104" s="100">
        <v>46266</v>
      </c>
      <c r="AC104" s="117">
        <v>0.13886799999999999</v>
      </c>
      <c r="AD104" s="100">
        <v>46296</v>
      </c>
      <c r="AE104" s="117"/>
      <c r="AF104" s="100"/>
      <c r="AG104" s="117"/>
      <c r="AH104" s="100"/>
      <c r="AI104" s="15">
        <v>705599048</v>
      </c>
      <c r="AJ104" s="15" t="s">
        <v>40</v>
      </c>
      <c r="AK104" s="15" t="s">
        <v>5</v>
      </c>
      <c r="AL104" s="17" t="s">
        <v>9</v>
      </c>
      <c r="AM104" s="118">
        <v>5.4999999999999997E-3</v>
      </c>
      <c r="AN104" s="118">
        <v>5.4999999999999997E-3</v>
      </c>
      <c r="AO104" s="118">
        <v>0</v>
      </c>
      <c r="AP104" s="100">
        <v>46054</v>
      </c>
      <c r="AQ104" s="99"/>
    </row>
    <row r="105" spans="1:43" x14ac:dyDescent="0.25">
      <c r="A105" s="99" t="b">
        <v>1</v>
      </c>
      <c r="B105" s="101" t="s">
        <v>411</v>
      </c>
      <c r="C105" s="109"/>
      <c r="D105" s="95" t="s">
        <v>397</v>
      </c>
      <c r="E105" s="95" t="s">
        <v>313</v>
      </c>
      <c r="F105" s="98">
        <v>2032</v>
      </c>
      <c r="G105" s="99" t="s">
        <v>532</v>
      </c>
      <c r="H105" s="106">
        <v>3.5000000000000001E-3</v>
      </c>
      <c r="I105" s="117">
        <v>0.138625</v>
      </c>
      <c r="J105" s="100">
        <v>46010</v>
      </c>
      <c r="K105" s="117">
        <v>0</v>
      </c>
      <c r="L105" s="100" t="s">
        <v>85</v>
      </c>
      <c r="M105" s="117">
        <v>0.125586</v>
      </c>
      <c r="N105" s="100">
        <v>46055</v>
      </c>
      <c r="O105" s="117">
        <v>0.129716</v>
      </c>
      <c r="P105" s="100">
        <v>46083</v>
      </c>
      <c r="Q105" s="117">
        <v>0.123239</v>
      </c>
      <c r="R105" s="100">
        <v>46113</v>
      </c>
      <c r="S105" s="117">
        <v>0.13374800000000001</v>
      </c>
      <c r="T105" s="100">
        <v>46143</v>
      </c>
      <c r="U105" s="117">
        <v>0.13145799999999999</v>
      </c>
      <c r="V105" s="100">
        <v>46174</v>
      </c>
      <c r="W105" s="117">
        <v>0.13281200000000001</v>
      </c>
      <c r="X105" s="100">
        <v>46204</v>
      </c>
      <c r="Y105" s="117">
        <v>0.12787899999999999</v>
      </c>
      <c r="Z105" s="100">
        <v>46237</v>
      </c>
      <c r="AA105" s="117">
        <v>0.13913800000000001</v>
      </c>
      <c r="AB105" s="100">
        <v>46266</v>
      </c>
      <c r="AC105" s="117">
        <v>0.132464</v>
      </c>
      <c r="AD105" s="100">
        <v>46296</v>
      </c>
      <c r="AE105" s="117"/>
      <c r="AF105" s="100"/>
      <c r="AG105" s="117"/>
      <c r="AH105" s="100"/>
      <c r="AI105" s="15">
        <v>771558803</v>
      </c>
      <c r="AJ105" s="15" t="s">
        <v>40</v>
      </c>
      <c r="AK105" s="15" t="s">
        <v>5</v>
      </c>
      <c r="AL105" s="17" t="s">
        <v>9</v>
      </c>
      <c r="AM105" s="118">
        <v>5.4999999999999997E-3</v>
      </c>
      <c r="AN105" s="118">
        <v>5.4999999999999997E-3</v>
      </c>
      <c r="AO105" s="118">
        <v>0</v>
      </c>
      <c r="AP105" s="100">
        <v>46054</v>
      </c>
      <c r="AQ105" s="99"/>
    </row>
    <row r="106" spans="1:43" x14ac:dyDescent="0.25">
      <c r="A106" s="99" t="b">
        <v>1</v>
      </c>
      <c r="B106" s="101" t="s">
        <v>413</v>
      </c>
      <c r="C106" s="109"/>
      <c r="D106" s="95" t="s">
        <v>397</v>
      </c>
      <c r="E106" s="95" t="s">
        <v>316</v>
      </c>
      <c r="F106" s="98">
        <v>2026</v>
      </c>
      <c r="G106" s="99" t="s">
        <v>532</v>
      </c>
      <c r="H106" s="106">
        <v>1E-3</v>
      </c>
      <c r="I106" s="117">
        <v>5.1290000000000002E-2</v>
      </c>
      <c r="J106" s="100">
        <v>46010</v>
      </c>
      <c r="K106" s="117">
        <v>0</v>
      </c>
      <c r="L106" s="100" t="s">
        <v>85</v>
      </c>
      <c r="M106" s="117">
        <v>4.9089000000000001E-2</v>
      </c>
      <c r="N106" s="100">
        <v>46055</v>
      </c>
      <c r="O106" s="117">
        <v>5.3262999999999998E-2</v>
      </c>
      <c r="P106" s="100">
        <v>46083</v>
      </c>
      <c r="Q106" s="117">
        <v>4.9772999999999998E-2</v>
      </c>
      <c r="R106" s="100">
        <v>46113</v>
      </c>
      <c r="S106" s="117">
        <v>5.4158999999999999E-2</v>
      </c>
      <c r="T106" s="100">
        <v>46143</v>
      </c>
      <c r="U106" s="117">
        <v>4.7924000000000001E-2</v>
      </c>
      <c r="V106" s="100">
        <v>46174</v>
      </c>
      <c r="W106" s="117">
        <v>5.2659999999999998E-2</v>
      </c>
      <c r="X106" s="100">
        <v>46204</v>
      </c>
      <c r="Y106" s="117">
        <v>5.0182999999999998E-2</v>
      </c>
      <c r="Z106" s="100">
        <v>46237</v>
      </c>
      <c r="AA106" s="117">
        <v>4.9771000000000003E-2</v>
      </c>
      <c r="AB106" s="100">
        <v>46266</v>
      </c>
      <c r="AC106" s="117">
        <v>5.8608E-2</v>
      </c>
      <c r="AD106" s="100">
        <v>46296</v>
      </c>
      <c r="AE106" s="117"/>
      <c r="AF106" s="100"/>
      <c r="AG106" s="117"/>
      <c r="AH106" s="100"/>
      <c r="AI106" s="15">
        <v>359815312</v>
      </c>
      <c r="AJ106" s="15" t="s">
        <v>40</v>
      </c>
      <c r="AK106" s="15" t="s">
        <v>5</v>
      </c>
      <c r="AL106" s="17" t="s">
        <v>9</v>
      </c>
      <c r="AM106" s="118">
        <v>5.4999999999999997E-3</v>
      </c>
      <c r="AN106" s="118">
        <v>5.4999999999999997E-3</v>
      </c>
      <c r="AO106" s="118">
        <v>0</v>
      </c>
      <c r="AP106" s="100">
        <v>46054</v>
      </c>
      <c r="AQ106" s="99"/>
    </row>
    <row r="107" spans="1:43" x14ac:dyDescent="0.25">
      <c r="A107" s="99" t="b">
        <v>1</v>
      </c>
      <c r="B107" s="101" t="s">
        <v>415</v>
      </c>
      <c r="C107" s="109"/>
      <c r="D107" s="95" t="s">
        <v>397</v>
      </c>
      <c r="E107" s="95" t="s">
        <v>316</v>
      </c>
      <c r="F107" s="98">
        <v>2027</v>
      </c>
      <c r="G107" s="99" t="s">
        <v>532</v>
      </c>
      <c r="H107" s="106">
        <v>1E-3</v>
      </c>
      <c r="I107" s="117">
        <v>5.1947E-2</v>
      </c>
      <c r="J107" s="100">
        <v>46010</v>
      </c>
      <c r="K107" s="117">
        <v>0</v>
      </c>
      <c r="L107" s="100" t="s">
        <v>85</v>
      </c>
      <c r="M107" s="117">
        <v>5.1598999999999999E-2</v>
      </c>
      <c r="N107" s="100">
        <v>46055</v>
      </c>
      <c r="O107" s="117">
        <v>5.6203999999999997E-2</v>
      </c>
      <c r="P107" s="100">
        <v>46083</v>
      </c>
      <c r="Q107" s="117">
        <v>5.2123999999999997E-2</v>
      </c>
      <c r="R107" s="100">
        <v>46113</v>
      </c>
      <c r="S107" s="117">
        <v>5.3094000000000002E-2</v>
      </c>
      <c r="T107" s="100">
        <v>46143</v>
      </c>
      <c r="U107" s="117">
        <v>5.2299999999999999E-2</v>
      </c>
      <c r="V107" s="100">
        <v>46174</v>
      </c>
      <c r="W107" s="117">
        <v>5.4976999999999998E-2</v>
      </c>
      <c r="X107" s="100">
        <v>46204</v>
      </c>
      <c r="Y107" s="117">
        <v>5.2295000000000001E-2</v>
      </c>
      <c r="Z107" s="100">
        <v>46237</v>
      </c>
      <c r="AA107" s="117">
        <v>5.5072000000000003E-2</v>
      </c>
      <c r="AB107" s="100">
        <v>46266</v>
      </c>
      <c r="AC107" s="117">
        <v>5.6043999999999997E-2</v>
      </c>
      <c r="AD107" s="100">
        <v>46296</v>
      </c>
      <c r="AE107" s="117"/>
      <c r="AF107" s="100"/>
      <c r="AG107" s="117"/>
      <c r="AH107" s="100"/>
      <c r="AI107" s="15">
        <v>360508598</v>
      </c>
      <c r="AJ107" s="15" t="s">
        <v>40</v>
      </c>
      <c r="AK107" s="15" t="s">
        <v>5</v>
      </c>
      <c r="AL107" s="17" t="s">
        <v>9</v>
      </c>
      <c r="AM107" s="118">
        <v>5.4999999999999997E-3</v>
      </c>
      <c r="AN107" s="118">
        <v>5.4999999999999997E-3</v>
      </c>
      <c r="AO107" s="118">
        <v>0</v>
      </c>
      <c r="AP107" s="100">
        <v>46054</v>
      </c>
      <c r="AQ107" s="99"/>
    </row>
    <row r="108" spans="1:43" x14ac:dyDescent="0.25">
      <c r="A108" s="99" t="b">
        <v>1</v>
      </c>
      <c r="B108" s="101" t="s">
        <v>417</v>
      </c>
      <c r="C108" s="109"/>
      <c r="D108" s="95" t="s">
        <v>397</v>
      </c>
      <c r="E108" s="95" t="s">
        <v>316</v>
      </c>
      <c r="F108" s="98">
        <v>2028</v>
      </c>
      <c r="G108" s="99" t="s">
        <v>532</v>
      </c>
      <c r="H108" s="106">
        <v>1E-3</v>
      </c>
      <c r="I108" s="117">
        <v>5.0652999999999997E-2</v>
      </c>
      <c r="J108" s="100">
        <v>46010</v>
      </c>
      <c r="K108" s="117">
        <v>0</v>
      </c>
      <c r="L108" s="100" t="s">
        <v>85</v>
      </c>
      <c r="M108" s="117">
        <v>5.0062000000000002E-2</v>
      </c>
      <c r="N108" s="100">
        <v>46055</v>
      </c>
      <c r="O108" s="117">
        <v>5.5073999999999998E-2</v>
      </c>
      <c r="P108" s="100">
        <v>46083</v>
      </c>
      <c r="Q108" s="117">
        <v>5.1598999999999999E-2</v>
      </c>
      <c r="R108" s="100">
        <v>46113</v>
      </c>
      <c r="S108" s="117">
        <v>5.2905000000000001E-2</v>
      </c>
      <c r="T108" s="100">
        <v>46143</v>
      </c>
      <c r="U108" s="117">
        <v>5.1343E-2</v>
      </c>
      <c r="V108" s="100">
        <v>46174</v>
      </c>
      <c r="W108" s="117">
        <v>5.3441000000000002E-2</v>
      </c>
      <c r="X108" s="100">
        <v>46204</v>
      </c>
      <c r="Y108" s="117">
        <v>5.2197E-2</v>
      </c>
      <c r="Z108" s="100">
        <v>46237</v>
      </c>
      <c r="AA108" s="117">
        <v>5.4365999999999998E-2</v>
      </c>
      <c r="AB108" s="100">
        <v>46266</v>
      </c>
      <c r="AC108" s="117">
        <v>5.5342000000000002E-2</v>
      </c>
      <c r="AD108" s="100">
        <v>46296</v>
      </c>
      <c r="AE108" s="117"/>
      <c r="AF108" s="100"/>
      <c r="AG108" s="117"/>
      <c r="AH108" s="100"/>
      <c r="AI108" s="15">
        <v>361208024</v>
      </c>
      <c r="AJ108" s="15" t="s">
        <v>40</v>
      </c>
      <c r="AK108" s="15" t="s">
        <v>5</v>
      </c>
      <c r="AL108" s="17" t="s">
        <v>9</v>
      </c>
      <c r="AM108" s="118">
        <v>5.4999999999999997E-3</v>
      </c>
      <c r="AN108" s="118">
        <v>5.4999999999999997E-3</v>
      </c>
      <c r="AO108" s="118">
        <v>0</v>
      </c>
      <c r="AP108" s="100">
        <v>46054</v>
      </c>
      <c r="AQ108" s="99"/>
    </row>
    <row r="109" spans="1:43" x14ac:dyDescent="0.25">
      <c r="A109" s="99" t="b">
        <v>1</v>
      </c>
      <c r="B109" s="101" t="s">
        <v>419</v>
      </c>
      <c r="C109" s="109"/>
      <c r="D109" s="95" t="s">
        <v>397</v>
      </c>
      <c r="E109" s="95" t="s">
        <v>316</v>
      </c>
      <c r="F109" s="98">
        <v>2029</v>
      </c>
      <c r="G109" s="99" t="s">
        <v>532</v>
      </c>
      <c r="H109" s="106">
        <v>1E-3</v>
      </c>
      <c r="I109" s="117">
        <v>5.1839999999999997E-2</v>
      </c>
      <c r="J109" s="100">
        <v>46010</v>
      </c>
      <c r="K109" s="117">
        <v>0</v>
      </c>
      <c r="L109" s="100" t="s">
        <v>85</v>
      </c>
      <c r="M109" s="117">
        <v>5.0701000000000003E-2</v>
      </c>
      <c r="N109" s="100">
        <v>46055</v>
      </c>
      <c r="O109" s="117">
        <v>5.5750000000000001E-2</v>
      </c>
      <c r="P109" s="100">
        <v>46083</v>
      </c>
      <c r="Q109" s="117">
        <v>5.2402999999999998E-2</v>
      </c>
      <c r="R109" s="100">
        <v>46113</v>
      </c>
      <c r="S109" s="117">
        <v>5.3580000000000003E-2</v>
      </c>
      <c r="T109" s="100">
        <v>46143</v>
      </c>
      <c r="U109" s="117">
        <v>5.2248000000000003E-2</v>
      </c>
      <c r="V109" s="100">
        <v>46174</v>
      </c>
      <c r="W109" s="117">
        <v>5.3658999999999998E-2</v>
      </c>
      <c r="X109" s="100">
        <v>46204</v>
      </c>
      <c r="Y109" s="117">
        <v>5.2179999999999997E-2</v>
      </c>
      <c r="Z109" s="100">
        <v>46237</v>
      </c>
      <c r="AA109" s="117">
        <v>5.3982000000000002E-2</v>
      </c>
      <c r="AB109" s="100">
        <v>46266</v>
      </c>
      <c r="AC109" s="117">
        <v>5.4767999999999997E-2</v>
      </c>
      <c r="AD109" s="100">
        <v>46296</v>
      </c>
      <c r="AE109" s="117"/>
      <c r="AF109" s="100"/>
      <c r="AG109" s="117"/>
      <c r="AH109" s="100"/>
      <c r="AI109" s="15">
        <v>630282887</v>
      </c>
      <c r="AJ109" s="15" t="s">
        <v>40</v>
      </c>
      <c r="AK109" s="15" t="s">
        <v>5</v>
      </c>
      <c r="AL109" s="17" t="s">
        <v>9</v>
      </c>
      <c r="AM109" s="118">
        <v>5.4999999999999997E-3</v>
      </c>
      <c r="AN109" s="118">
        <v>5.4999999999999997E-3</v>
      </c>
      <c r="AO109" s="118">
        <v>0</v>
      </c>
      <c r="AP109" s="100">
        <v>46054</v>
      </c>
      <c r="AQ109" s="99"/>
    </row>
    <row r="110" spans="1:43" x14ac:dyDescent="0.25">
      <c r="A110" s="99" t="b">
        <v>1</v>
      </c>
      <c r="B110" s="101" t="s">
        <v>421</v>
      </c>
      <c r="C110" s="109"/>
      <c r="D110" s="95" t="s">
        <v>397</v>
      </c>
      <c r="E110" s="95" t="s">
        <v>316</v>
      </c>
      <c r="F110" s="98">
        <v>2030</v>
      </c>
      <c r="G110" s="99" t="s">
        <v>532</v>
      </c>
      <c r="H110" s="106">
        <v>1E-3</v>
      </c>
      <c r="I110" s="117">
        <v>5.1898E-2</v>
      </c>
      <c r="J110" s="100">
        <v>46010</v>
      </c>
      <c r="K110" s="117">
        <v>0</v>
      </c>
      <c r="L110" s="100" t="s">
        <v>85</v>
      </c>
      <c r="M110" s="117">
        <v>5.1353999999999997E-2</v>
      </c>
      <c r="N110" s="100">
        <v>46055</v>
      </c>
      <c r="O110" s="117">
        <v>5.6112000000000002E-2</v>
      </c>
      <c r="P110" s="100">
        <v>46083</v>
      </c>
      <c r="Q110" s="117">
        <v>5.2269000000000003E-2</v>
      </c>
      <c r="R110" s="100">
        <v>46113</v>
      </c>
      <c r="S110" s="117">
        <v>5.4368E-2</v>
      </c>
      <c r="T110" s="100">
        <v>46143</v>
      </c>
      <c r="U110" s="117">
        <v>5.2332999999999998E-2</v>
      </c>
      <c r="V110" s="100">
        <v>46174</v>
      </c>
      <c r="W110" s="117">
        <v>5.2956000000000003E-2</v>
      </c>
      <c r="X110" s="100">
        <v>46204</v>
      </c>
      <c r="Y110" s="117">
        <v>5.3124999999999999E-2</v>
      </c>
      <c r="Z110" s="100">
        <v>46237</v>
      </c>
      <c r="AA110" s="117">
        <v>5.4912999999999997E-2</v>
      </c>
      <c r="AB110" s="100">
        <v>46266</v>
      </c>
      <c r="AC110" s="117">
        <v>5.5814999999999997E-2</v>
      </c>
      <c r="AD110" s="100">
        <v>46296</v>
      </c>
      <c r="AE110" s="117"/>
      <c r="AF110" s="100"/>
      <c r="AG110" s="117"/>
      <c r="AH110" s="100"/>
      <c r="AI110" s="15">
        <v>705599349</v>
      </c>
      <c r="AJ110" s="15" t="s">
        <v>40</v>
      </c>
      <c r="AK110" s="15" t="s">
        <v>5</v>
      </c>
      <c r="AL110" s="17" t="s">
        <v>9</v>
      </c>
      <c r="AM110" s="118">
        <v>5.4999999999999997E-3</v>
      </c>
      <c r="AN110" s="118">
        <v>5.4999999999999997E-3</v>
      </c>
      <c r="AO110" s="118">
        <v>0</v>
      </c>
      <c r="AP110" s="100">
        <v>46054</v>
      </c>
      <c r="AQ110" s="99"/>
    </row>
    <row r="111" spans="1:43" x14ac:dyDescent="0.25">
      <c r="A111" s="99" t="b">
        <v>1</v>
      </c>
      <c r="B111" s="101" t="s">
        <v>423</v>
      </c>
      <c r="C111" s="109"/>
      <c r="D111" s="95" t="s">
        <v>397</v>
      </c>
      <c r="E111" s="95" t="s">
        <v>316</v>
      </c>
      <c r="F111" s="98">
        <v>2031</v>
      </c>
      <c r="G111" s="99" t="s">
        <v>532</v>
      </c>
      <c r="H111" s="106">
        <v>1E-3</v>
      </c>
      <c r="I111" s="117">
        <v>4.5398000000000001E-2</v>
      </c>
      <c r="J111" s="100">
        <v>46010</v>
      </c>
      <c r="K111" s="117">
        <v>0</v>
      </c>
      <c r="L111" s="100" t="s">
        <v>85</v>
      </c>
      <c r="M111" s="117">
        <v>4.6269999999999999E-2</v>
      </c>
      <c r="N111" s="100">
        <v>46055</v>
      </c>
      <c r="O111" s="117">
        <v>5.4005999999999998E-2</v>
      </c>
      <c r="P111" s="100">
        <v>46083</v>
      </c>
      <c r="Q111" s="117">
        <v>5.1423000000000003E-2</v>
      </c>
      <c r="R111" s="100">
        <v>46113</v>
      </c>
      <c r="S111" s="117">
        <v>5.3869E-2</v>
      </c>
      <c r="T111" s="100">
        <v>46143</v>
      </c>
      <c r="U111" s="117">
        <v>5.0755000000000002E-2</v>
      </c>
      <c r="V111" s="100">
        <v>46174</v>
      </c>
      <c r="W111" s="117">
        <v>4.9785000000000003E-2</v>
      </c>
      <c r="X111" s="100">
        <v>46204</v>
      </c>
      <c r="Y111" s="117">
        <v>5.0610000000000002E-2</v>
      </c>
      <c r="Z111" s="100">
        <v>46237</v>
      </c>
      <c r="AA111" s="117">
        <v>5.4363000000000002E-2</v>
      </c>
      <c r="AB111" s="100">
        <v>46266</v>
      </c>
      <c r="AC111" s="117">
        <v>5.2463000000000003E-2</v>
      </c>
      <c r="AD111" s="100">
        <v>46296</v>
      </c>
      <c r="AE111" s="117"/>
      <c r="AF111" s="100"/>
      <c r="AG111" s="117"/>
      <c r="AH111" s="100"/>
      <c r="AI111" s="15">
        <v>771558806</v>
      </c>
      <c r="AJ111" s="15" t="s">
        <v>40</v>
      </c>
      <c r="AK111" s="15" t="s">
        <v>5</v>
      </c>
      <c r="AL111" s="17" t="s">
        <v>9</v>
      </c>
      <c r="AM111" s="118">
        <v>5.4999999999999997E-3</v>
      </c>
      <c r="AN111" s="118">
        <v>5.4999999999999997E-3</v>
      </c>
      <c r="AO111" s="118">
        <v>0</v>
      </c>
      <c r="AP111" s="100">
        <v>46054</v>
      </c>
      <c r="AQ111" s="99"/>
    </row>
    <row r="112" spans="1:43" x14ac:dyDescent="0.25">
      <c r="A112" s="99" t="b">
        <v>1</v>
      </c>
      <c r="B112" s="101" t="s">
        <v>425</v>
      </c>
      <c r="C112" s="109"/>
      <c r="D112" s="95" t="s">
        <v>397</v>
      </c>
      <c r="E112" s="95" t="s">
        <v>555</v>
      </c>
      <c r="F112" s="98">
        <v>2027</v>
      </c>
      <c r="G112" s="99" t="s">
        <v>532</v>
      </c>
      <c r="H112" s="106">
        <v>6.9999999999999999E-4</v>
      </c>
      <c r="I112" s="117">
        <v>7.1554000000000006E-2</v>
      </c>
      <c r="J112" s="100">
        <v>46010</v>
      </c>
      <c r="K112" s="117">
        <v>0</v>
      </c>
      <c r="L112" s="100" t="s">
        <v>85</v>
      </c>
      <c r="M112" s="117">
        <v>7.0761000000000004E-2</v>
      </c>
      <c r="N112" s="100">
        <v>46055</v>
      </c>
      <c r="O112" s="117">
        <v>6.4446000000000003E-2</v>
      </c>
      <c r="P112" s="100">
        <v>46083</v>
      </c>
      <c r="Q112" s="117">
        <v>7.1067000000000005E-2</v>
      </c>
      <c r="R112" s="100">
        <v>46113</v>
      </c>
      <c r="S112" s="117">
        <v>6.8220000000000003E-2</v>
      </c>
      <c r="T112" s="100">
        <v>46143</v>
      </c>
      <c r="U112" s="117">
        <v>7.0527999999999993E-2</v>
      </c>
      <c r="V112" s="100">
        <v>46174</v>
      </c>
      <c r="W112" s="117">
        <v>6.8615999999999996E-2</v>
      </c>
      <c r="X112" s="100">
        <v>46204</v>
      </c>
      <c r="Y112" s="117">
        <v>6.9953000000000001E-2</v>
      </c>
      <c r="Z112" s="100">
        <v>46237</v>
      </c>
      <c r="AA112" s="117">
        <v>6.9499000000000005E-2</v>
      </c>
      <c r="AB112" s="100">
        <v>46266</v>
      </c>
      <c r="AC112" s="117">
        <v>6.9236000000000006E-2</v>
      </c>
      <c r="AD112" s="100">
        <v>46296</v>
      </c>
      <c r="AE112" s="117"/>
      <c r="AF112" s="100"/>
      <c r="AG112" s="117"/>
      <c r="AH112" s="100"/>
      <c r="AI112" s="15">
        <v>406007063</v>
      </c>
      <c r="AJ112" s="15" t="s">
        <v>40</v>
      </c>
      <c r="AK112" s="15" t="s">
        <v>5</v>
      </c>
      <c r="AL112" s="17" t="s">
        <v>9</v>
      </c>
      <c r="AM112" s="118">
        <v>5.4999999999999997E-3</v>
      </c>
      <c r="AN112" s="118">
        <v>5.4999999999999997E-3</v>
      </c>
      <c r="AO112" s="118">
        <v>0</v>
      </c>
      <c r="AP112" s="100">
        <v>46054</v>
      </c>
      <c r="AQ112" s="99"/>
    </row>
    <row r="113" spans="1:43" x14ac:dyDescent="0.25">
      <c r="A113" s="99" t="b">
        <v>1</v>
      </c>
      <c r="B113" s="101" t="s">
        <v>427</v>
      </c>
      <c r="C113" s="109"/>
      <c r="D113" s="95" t="s">
        <v>397</v>
      </c>
      <c r="E113" s="95" t="s">
        <v>555</v>
      </c>
      <c r="F113" s="98">
        <v>2028</v>
      </c>
      <c r="G113" s="99" t="s">
        <v>532</v>
      </c>
      <c r="H113" s="106">
        <v>6.9999999999999999E-4</v>
      </c>
      <c r="I113" s="117">
        <v>7.0551000000000003E-2</v>
      </c>
      <c r="J113" s="100">
        <v>46010</v>
      </c>
      <c r="K113" s="117">
        <v>0</v>
      </c>
      <c r="L113" s="100" t="s">
        <v>85</v>
      </c>
      <c r="M113" s="117">
        <v>6.9030999999999995E-2</v>
      </c>
      <c r="N113" s="100">
        <v>46055</v>
      </c>
      <c r="O113" s="117">
        <v>6.3974000000000003E-2</v>
      </c>
      <c r="P113" s="100">
        <v>46083</v>
      </c>
      <c r="Q113" s="117">
        <v>6.8852999999999998E-2</v>
      </c>
      <c r="R113" s="100">
        <v>46113</v>
      </c>
      <c r="S113" s="117">
        <v>6.8026000000000003E-2</v>
      </c>
      <c r="T113" s="100">
        <v>46143</v>
      </c>
      <c r="U113" s="117">
        <v>7.0260000000000003E-2</v>
      </c>
      <c r="V113" s="100">
        <v>46174</v>
      </c>
      <c r="W113" s="117">
        <v>6.7915000000000003E-2</v>
      </c>
      <c r="X113" s="100">
        <v>46204</v>
      </c>
      <c r="Y113" s="117">
        <v>6.9355E-2</v>
      </c>
      <c r="Z113" s="100">
        <v>46237</v>
      </c>
      <c r="AA113" s="117">
        <v>7.0137000000000005E-2</v>
      </c>
      <c r="AB113" s="100">
        <v>46266</v>
      </c>
      <c r="AC113" s="117">
        <v>6.8936999999999998E-2</v>
      </c>
      <c r="AD113" s="100">
        <v>46296</v>
      </c>
      <c r="AE113" s="117"/>
      <c r="AF113" s="100"/>
      <c r="AG113" s="117"/>
      <c r="AH113" s="100"/>
      <c r="AI113" s="15">
        <v>406006833</v>
      </c>
      <c r="AJ113" s="15" t="s">
        <v>40</v>
      </c>
      <c r="AK113" s="15" t="s">
        <v>5</v>
      </c>
      <c r="AL113" s="17" t="s">
        <v>9</v>
      </c>
      <c r="AM113" s="118">
        <v>5.4999999999999997E-3</v>
      </c>
      <c r="AN113" s="118">
        <v>5.4999999999999997E-3</v>
      </c>
      <c r="AO113" s="118">
        <v>0</v>
      </c>
      <c r="AP113" s="100">
        <v>46054</v>
      </c>
      <c r="AQ113" s="99"/>
    </row>
    <row r="114" spans="1:43" x14ac:dyDescent="0.25">
      <c r="A114" s="99" t="b">
        <v>1</v>
      </c>
      <c r="B114" s="101" t="s">
        <v>429</v>
      </c>
      <c r="C114" s="109"/>
      <c r="D114" s="95" t="s">
        <v>397</v>
      </c>
      <c r="E114" s="95" t="s">
        <v>555</v>
      </c>
      <c r="F114" s="98">
        <v>2029</v>
      </c>
      <c r="G114" s="99" t="s">
        <v>532</v>
      </c>
      <c r="H114" s="106">
        <v>6.9999999999999999E-4</v>
      </c>
      <c r="I114" s="117">
        <v>6.3366000000000006E-2</v>
      </c>
      <c r="J114" s="100">
        <v>46010</v>
      </c>
      <c r="K114" s="117">
        <v>0</v>
      </c>
      <c r="L114" s="100" t="s">
        <v>85</v>
      </c>
      <c r="M114" s="117">
        <v>7.0493E-2</v>
      </c>
      <c r="N114" s="100">
        <v>46055</v>
      </c>
      <c r="O114" s="117">
        <v>6.2632999999999994E-2</v>
      </c>
      <c r="P114" s="100">
        <v>46083</v>
      </c>
      <c r="Q114" s="117">
        <v>6.8685999999999997E-2</v>
      </c>
      <c r="R114" s="100">
        <v>46113</v>
      </c>
      <c r="S114" s="117">
        <v>6.8722000000000005E-2</v>
      </c>
      <c r="T114" s="100">
        <v>46143</v>
      </c>
      <c r="U114" s="117">
        <v>6.8852999999999998E-2</v>
      </c>
      <c r="V114" s="100">
        <v>46174</v>
      </c>
      <c r="W114" s="117">
        <v>6.6864999999999994E-2</v>
      </c>
      <c r="X114" s="100">
        <v>46204</v>
      </c>
      <c r="Y114" s="117">
        <v>6.8566000000000002E-2</v>
      </c>
      <c r="Z114" s="100">
        <v>46237</v>
      </c>
      <c r="AA114" s="117">
        <v>6.9536000000000001E-2</v>
      </c>
      <c r="AB114" s="100">
        <v>46266</v>
      </c>
      <c r="AC114" s="117">
        <v>6.6775000000000001E-2</v>
      </c>
      <c r="AD114" s="100">
        <v>46296</v>
      </c>
      <c r="AE114" s="117"/>
      <c r="AF114" s="100"/>
      <c r="AG114" s="117"/>
      <c r="AH114" s="100"/>
      <c r="AI114" s="15">
        <v>406006516</v>
      </c>
      <c r="AJ114" s="15" t="s">
        <v>40</v>
      </c>
      <c r="AK114" s="15" t="s">
        <v>5</v>
      </c>
      <c r="AL114" s="17" t="s">
        <v>9</v>
      </c>
      <c r="AM114" s="118">
        <v>5.4999999999999997E-3</v>
      </c>
      <c r="AN114" s="118">
        <v>5.4999999999999997E-3</v>
      </c>
      <c r="AO114" s="118">
        <v>0</v>
      </c>
      <c r="AP114" s="100">
        <v>46054</v>
      </c>
      <c r="AQ114" s="99"/>
    </row>
    <row r="115" spans="1:43" x14ac:dyDescent="0.25">
      <c r="A115" s="99" t="b">
        <v>1</v>
      </c>
      <c r="B115" s="101" t="s">
        <v>431</v>
      </c>
      <c r="C115" s="109"/>
      <c r="D115" s="95" t="s">
        <v>397</v>
      </c>
      <c r="E115" s="95" t="s">
        <v>555</v>
      </c>
      <c r="F115" s="98">
        <v>2030</v>
      </c>
      <c r="G115" s="99" t="s">
        <v>532</v>
      </c>
      <c r="H115" s="106">
        <v>6.9999999999999999E-4</v>
      </c>
      <c r="I115" s="117">
        <v>5.8741000000000002E-2</v>
      </c>
      <c r="J115" s="100">
        <v>46010</v>
      </c>
      <c r="K115" s="117">
        <v>0</v>
      </c>
      <c r="L115" s="100" t="s">
        <v>85</v>
      </c>
      <c r="M115" s="117">
        <v>6.1397E-2</v>
      </c>
      <c r="N115" s="100">
        <v>46055</v>
      </c>
      <c r="O115" s="117">
        <v>5.7037999999999998E-2</v>
      </c>
      <c r="P115" s="100">
        <v>46083</v>
      </c>
      <c r="Q115" s="117">
        <v>6.2357999999999997E-2</v>
      </c>
      <c r="R115" s="100">
        <v>46113</v>
      </c>
      <c r="S115" s="117">
        <v>6.0146999999999999E-2</v>
      </c>
      <c r="T115" s="100">
        <v>46143</v>
      </c>
      <c r="U115" s="117">
        <v>6.3145000000000007E-2</v>
      </c>
      <c r="V115" s="100">
        <v>46174</v>
      </c>
      <c r="W115" s="117">
        <v>6.0521999999999999E-2</v>
      </c>
      <c r="X115" s="100">
        <v>46204</v>
      </c>
      <c r="Y115" s="117">
        <v>6.0269999999999997E-2</v>
      </c>
      <c r="Z115" s="100">
        <v>46237</v>
      </c>
      <c r="AA115" s="117">
        <v>6.1877000000000001E-2</v>
      </c>
      <c r="AB115" s="100">
        <v>46266</v>
      </c>
      <c r="AC115" s="117">
        <v>5.9066E-2</v>
      </c>
      <c r="AD115" s="100">
        <v>46296</v>
      </c>
      <c r="AE115" s="117"/>
      <c r="AF115" s="100"/>
      <c r="AG115" s="117"/>
      <c r="AH115" s="100"/>
      <c r="AI115" s="15">
        <v>434693586</v>
      </c>
      <c r="AJ115" s="15" t="s">
        <v>40</v>
      </c>
      <c r="AK115" s="15" t="s">
        <v>5</v>
      </c>
      <c r="AL115" s="17" t="s">
        <v>9</v>
      </c>
      <c r="AM115" s="118">
        <v>5.4999999999999997E-3</v>
      </c>
      <c r="AN115" s="118">
        <v>5.4999999999999997E-3</v>
      </c>
      <c r="AO115" s="118">
        <v>0</v>
      </c>
      <c r="AP115" s="100">
        <v>46054</v>
      </c>
      <c r="AQ115" s="99"/>
    </row>
    <row r="116" spans="1:43" ht="15" customHeight="1" x14ac:dyDescent="0.25">
      <c r="A116" s="99" t="b">
        <v>1</v>
      </c>
      <c r="B116" s="102" t="s">
        <v>433</v>
      </c>
      <c r="C116" s="111"/>
      <c r="D116" s="96" t="s">
        <v>397</v>
      </c>
      <c r="E116" s="96" t="s">
        <v>555</v>
      </c>
      <c r="F116" s="98">
        <v>2031</v>
      </c>
      <c r="G116" s="99" t="s">
        <v>532</v>
      </c>
      <c r="H116" s="106">
        <v>6.9999999999999999E-4</v>
      </c>
      <c r="I116" s="117">
        <v>6.3132999999999995E-2</v>
      </c>
      <c r="J116" s="100">
        <v>46010</v>
      </c>
      <c r="K116" s="117">
        <v>0</v>
      </c>
      <c r="L116" s="100" t="s">
        <v>85</v>
      </c>
      <c r="M116" s="117">
        <v>6.3516000000000003E-2</v>
      </c>
      <c r="N116" s="100">
        <v>46055</v>
      </c>
      <c r="O116" s="117">
        <v>6.1471999999999999E-2</v>
      </c>
      <c r="P116" s="100">
        <v>46083</v>
      </c>
      <c r="Q116" s="117">
        <v>6.6687999999999997E-2</v>
      </c>
      <c r="R116" s="100">
        <v>46113</v>
      </c>
      <c r="S116" s="117">
        <v>6.5906000000000006E-2</v>
      </c>
      <c r="T116" s="100">
        <v>46143</v>
      </c>
      <c r="U116" s="117">
        <v>6.8459000000000006E-2</v>
      </c>
      <c r="V116" s="100">
        <v>46174</v>
      </c>
      <c r="W116" s="117">
        <v>6.1768999999999998E-2</v>
      </c>
      <c r="X116" s="100">
        <v>46204</v>
      </c>
      <c r="Y116" s="117">
        <v>6.6023999999999999E-2</v>
      </c>
      <c r="Z116" s="100">
        <v>46237</v>
      </c>
      <c r="AA116" s="117">
        <v>6.6060999999999995E-2</v>
      </c>
      <c r="AB116" s="100">
        <v>46266</v>
      </c>
      <c r="AC116" s="117">
        <v>6.5558000000000005E-2</v>
      </c>
      <c r="AD116" s="100">
        <v>46296</v>
      </c>
      <c r="AE116" s="117"/>
      <c r="AF116" s="100"/>
      <c r="AG116" s="117"/>
      <c r="AH116" s="100"/>
      <c r="AI116" s="15">
        <v>502252204</v>
      </c>
      <c r="AJ116" s="15" t="s">
        <v>40</v>
      </c>
      <c r="AK116" s="15" t="s">
        <v>5</v>
      </c>
      <c r="AL116" s="99" t="s">
        <v>9</v>
      </c>
      <c r="AM116" s="115">
        <v>5.4999999999999997E-3</v>
      </c>
      <c r="AN116" s="115">
        <v>5.4999999999999997E-3</v>
      </c>
      <c r="AO116" s="115">
        <v>0</v>
      </c>
      <c r="AP116" s="100">
        <v>46054</v>
      </c>
      <c r="AQ116" s="99"/>
    </row>
    <row r="117" spans="1:43" ht="15" customHeight="1" x14ac:dyDescent="0.25">
      <c r="A117" s="17" t="b">
        <v>1</v>
      </c>
      <c r="B117" s="101" t="s">
        <v>193</v>
      </c>
      <c r="C117" s="109"/>
      <c r="D117" s="95" t="s">
        <v>307</v>
      </c>
      <c r="E117" s="95" t="s">
        <v>312</v>
      </c>
      <c r="F117" s="98"/>
      <c r="G117" s="99" t="s">
        <v>532</v>
      </c>
      <c r="H117" s="106">
        <v>2E-3</v>
      </c>
      <c r="I117" s="117">
        <v>0.21784200000000001</v>
      </c>
      <c r="J117" s="100">
        <v>46010</v>
      </c>
      <c r="K117" s="117">
        <v>0</v>
      </c>
      <c r="L117" s="100" t="s">
        <v>85</v>
      </c>
      <c r="M117" s="117">
        <v>0.107402</v>
      </c>
      <c r="N117" s="100">
        <v>46055</v>
      </c>
      <c r="O117" s="117">
        <v>0.129662</v>
      </c>
      <c r="P117" s="100">
        <v>46083</v>
      </c>
      <c r="Q117" s="117">
        <v>0.133766</v>
      </c>
      <c r="R117" s="100">
        <v>46113</v>
      </c>
      <c r="S117" s="117">
        <v>0.12153</v>
      </c>
      <c r="T117" s="100">
        <v>46143</v>
      </c>
      <c r="U117" s="117">
        <v>0.12951599999999999</v>
      </c>
      <c r="V117" s="100">
        <v>46174</v>
      </c>
      <c r="W117" s="117">
        <v>0.12010999999999999</v>
      </c>
      <c r="X117" s="100">
        <v>46204</v>
      </c>
      <c r="Y117" s="117">
        <v>0.13896</v>
      </c>
      <c r="Z117" s="100">
        <v>46237</v>
      </c>
      <c r="AA117" s="117">
        <v>0.134461</v>
      </c>
      <c r="AB117" s="100">
        <v>46266</v>
      </c>
      <c r="AC117" s="117">
        <v>0.137324</v>
      </c>
      <c r="AD117" s="100">
        <v>46296</v>
      </c>
      <c r="AE117" s="117"/>
      <c r="AF117" s="100"/>
      <c r="AG117" s="117"/>
      <c r="AH117" s="100"/>
      <c r="AI117" s="108">
        <v>196234342</v>
      </c>
      <c r="AJ117" s="15" t="s">
        <v>40</v>
      </c>
      <c r="AK117" s="15" t="s">
        <v>5</v>
      </c>
      <c r="AL117" s="15" t="s">
        <v>9</v>
      </c>
      <c r="AM117" s="118">
        <v>5.4999999999999997E-3</v>
      </c>
      <c r="AN117" s="118">
        <v>5.4999999999999997E-3</v>
      </c>
      <c r="AO117" s="118">
        <v>0</v>
      </c>
      <c r="AP117" s="100">
        <v>46054</v>
      </c>
      <c r="AQ117" s="99"/>
    </row>
    <row r="118" spans="1:43" ht="15" customHeight="1" x14ac:dyDescent="0.25">
      <c r="A118" s="99" t="b">
        <v>1</v>
      </c>
      <c r="B118" s="101" t="s">
        <v>297</v>
      </c>
      <c r="C118" s="109"/>
      <c r="D118" s="95" t="s">
        <v>300</v>
      </c>
      <c r="E118" s="110" t="s">
        <v>324</v>
      </c>
      <c r="F118" s="98"/>
      <c r="G118" s="99" t="s">
        <v>532</v>
      </c>
      <c r="H118" s="106">
        <v>3.7000000000000002E-3</v>
      </c>
      <c r="I118" s="117">
        <v>0.67869000000000002</v>
      </c>
      <c r="J118" s="100">
        <v>46007</v>
      </c>
      <c r="K118" s="117">
        <v>0</v>
      </c>
      <c r="L118" s="100" t="s">
        <v>85</v>
      </c>
      <c r="M118" s="117">
        <v>0</v>
      </c>
      <c r="N118" s="100" t="s">
        <v>85</v>
      </c>
      <c r="O118" s="117">
        <v>0.62162899999999999</v>
      </c>
      <c r="P118" s="100">
        <v>46098</v>
      </c>
      <c r="Q118" s="117">
        <v>0</v>
      </c>
      <c r="R118" s="100" t="s">
        <v>85</v>
      </c>
      <c r="S118" s="117">
        <v>0</v>
      </c>
      <c r="T118" s="100" t="s">
        <v>85</v>
      </c>
      <c r="U118" s="117">
        <v>0.63148800000000005</v>
      </c>
      <c r="V118" s="100">
        <v>46188</v>
      </c>
      <c r="W118" s="117">
        <v>0</v>
      </c>
      <c r="X118" s="100" t="s">
        <v>85</v>
      </c>
      <c r="Y118" s="117">
        <v>0</v>
      </c>
      <c r="Z118" s="100" t="s">
        <v>85</v>
      </c>
      <c r="AA118" s="117">
        <v>0.64697700000000002</v>
      </c>
      <c r="AB118" s="100">
        <v>46280</v>
      </c>
      <c r="AC118" s="117">
        <v>0</v>
      </c>
      <c r="AD118" s="100" t="s">
        <v>85</v>
      </c>
      <c r="AE118" s="117"/>
      <c r="AF118" s="100"/>
      <c r="AG118" s="117"/>
      <c r="AH118" s="100"/>
      <c r="AI118" s="65">
        <v>10190333</v>
      </c>
      <c r="AJ118" s="15" t="s">
        <v>40</v>
      </c>
      <c r="AK118" s="15" t="s">
        <v>5</v>
      </c>
      <c r="AL118" s="15" t="s">
        <v>9</v>
      </c>
      <c r="AM118" s="118">
        <v>5.4999999999999997E-3</v>
      </c>
      <c r="AN118" s="118">
        <v>5.4999999999999997E-3</v>
      </c>
      <c r="AO118" s="118">
        <v>0</v>
      </c>
      <c r="AP118" s="100">
        <v>46054</v>
      </c>
      <c r="AQ118" s="99"/>
    </row>
    <row r="119" spans="1:43" ht="15" customHeight="1" x14ac:dyDescent="0.25">
      <c r="A119" s="99" t="b">
        <v>1</v>
      </c>
      <c r="B119" s="101" t="s">
        <v>484</v>
      </c>
      <c r="C119" s="111"/>
      <c r="D119" s="15" t="s">
        <v>450</v>
      </c>
      <c r="E119" s="15" t="s">
        <v>577</v>
      </c>
      <c r="F119" s="98" t="s">
        <v>576</v>
      </c>
      <c r="G119" s="99" t="s">
        <v>532</v>
      </c>
      <c r="H119" s="106">
        <v>3.7000000000000002E-3</v>
      </c>
      <c r="I119" s="117">
        <v>0.63600299999999999</v>
      </c>
      <c r="J119" s="100">
        <v>46007</v>
      </c>
      <c r="K119" s="117">
        <v>0</v>
      </c>
      <c r="L119" s="100" t="s">
        <v>85</v>
      </c>
      <c r="M119" s="117">
        <v>0</v>
      </c>
      <c r="N119" s="100" t="s">
        <v>85</v>
      </c>
      <c r="O119" s="117">
        <v>0.55268099999999998</v>
      </c>
      <c r="P119" s="100">
        <v>46098</v>
      </c>
      <c r="Q119" s="117">
        <v>0</v>
      </c>
      <c r="R119" s="100" t="s">
        <v>85</v>
      </c>
      <c r="S119" s="117">
        <v>0</v>
      </c>
      <c r="T119" s="100" t="s">
        <v>85</v>
      </c>
      <c r="U119" s="117">
        <v>0.50520600000000004</v>
      </c>
      <c r="V119" s="100">
        <v>46188</v>
      </c>
      <c r="W119" s="117">
        <v>0</v>
      </c>
      <c r="X119" s="100" t="s">
        <v>85</v>
      </c>
      <c r="Y119" s="117">
        <v>0</v>
      </c>
      <c r="Z119" s="100" t="s">
        <v>85</v>
      </c>
      <c r="AA119" s="117">
        <v>0.49335400000000001</v>
      </c>
      <c r="AB119" s="100">
        <v>46280</v>
      </c>
      <c r="AC119" s="117">
        <v>0</v>
      </c>
      <c r="AD119" s="100" t="s">
        <v>85</v>
      </c>
      <c r="AE119" s="117"/>
      <c r="AF119" s="100"/>
      <c r="AG119" s="117"/>
      <c r="AH119" s="100"/>
      <c r="AI119" s="65">
        <v>39046971</v>
      </c>
      <c r="AJ119" s="15" t="s">
        <v>40</v>
      </c>
      <c r="AK119" s="15" t="s">
        <v>5</v>
      </c>
      <c r="AL119" s="15" t="s">
        <v>9</v>
      </c>
      <c r="AM119" s="118">
        <v>5.4999999999999997E-3</v>
      </c>
      <c r="AN119" s="118">
        <v>5.4999999999999997E-3</v>
      </c>
      <c r="AO119" s="115">
        <v>0</v>
      </c>
      <c r="AP119" s="100">
        <v>46060</v>
      </c>
      <c r="AQ119" s="99"/>
    </row>
    <row r="120" spans="1:43" x14ac:dyDescent="0.25">
      <c r="A120" s="99" t="b">
        <v>1</v>
      </c>
      <c r="B120" s="101" t="s">
        <v>485</v>
      </c>
      <c r="C120" s="111"/>
      <c r="D120" s="15" t="s">
        <v>450</v>
      </c>
      <c r="E120" s="15" t="s">
        <v>577</v>
      </c>
      <c r="F120" s="98" t="s">
        <v>575</v>
      </c>
      <c r="G120" s="99" t="s">
        <v>532</v>
      </c>
      <c r="H120" s="106">
        <v>3.7000000000000002E-3</v>
      </c>
      <c r="I120" s="117">
        <v>8.4005999999999997E-2</v>
      </c>
      <c r="J120" s="100">
        <v>46007</v>
      </c>
      <c r="K120" s="117">
        <v>0</v>
      </c>
      <c r="L120" s="100" t="s">
        <v>85</v>
      </c>
      <c r="M120" s="117">
        <v>0</v>
      </c>
      <c r="N120" s="100" t="s">
        <v>85</v>
      </c>
      <c r="O120" s="117">
        <v>6.3935000000000006E-2</v>
      </c>
      <c r="P120" s="100">
        <v>46098</v>
      </c>
      <c r="Q120" s="117">
        <v>0</v>
      </c>
      <c r="R120" s="100" t="s">
        <v>85</v>
      </c>
      <c r="S120" s="117">
        <v>0</v>
      </c>
      <c r="T120" s="100" t="s">
        <v>85</v>
      </c>
      <c r="U120" s="117">
        <v>8.5372000000000003E-2</v>
      </c>
      <c r="V120" s="100">
        <v>46188</v>
      </c>
      <c r="W120" s="117">
        <v>0</v>
      </c>
      <c r="X120" s="100" t="s">
        <v>85</v>
      </c>
      <c r="Y120" s="117">
        <v>0</v>
      </c>
      <c r="Z120" s="100" t="s">
        <v>85</v>
      </c>
      <c r="AA120" s="117">
        <v>9.6550999999999998E-2</v>
      </c>
      <c r="AB120" s="100">
        <v>46280</v>
      </c>
      <c r="AC120" s="117">
        <v>0</v>
      </c>
      <c r="AD120" s="100" t="s">
        <v>85</v>
      </c>
      <c r="AE120" s="117"/>
      <c r="AF120" s="100"/>
      <c r="AG120" s="117"/>
      <c r="AH120" s="100"/>
      <c r="AI120" s="65">
        <v>39046974</v>
      </c>
      <c r="AJ120" s="15" t="s">
        <v>40</v>
      </c>
      <c r="AK120" s="15" t="s">
        <v>5</v>
      </c>
      <c r="AL120" s="15" t="s">
        <v>9</v>
      </c>
      <c r="AM120" s="118">
        <v>5.4999999999999997E-3</v>
      </c>
      <c r="AN120" s="118">
        <v>5.4999999999999997E-3</v>
      </c>
      <c r="AO120" s="115">
        <v>0</v>
      </c>
      <c r="AP120" s="100">
        <v>46060</v>
      </c>
      <c r="AQ120" s="99"/>
    </row>
    <row r="121" spans="1:43" x14ac:dyDescent="0.25">
      <c r="A121" s="99" t="b">
        <v>0</v>
      </c>
      <c r="B121" s="101" t="s">
        <v>194</v>
      </c>
      <c r="C121" s="109"/>
      <c r="D121" s="95" t="s">
        <v>307</v>
      </c>
      <c r="E121" s="95" t="s">
        <v>314</v>
      </c>
      <c r="F121" s="98"/>
      <c r="G121" s="99" t="s">
        <v>532</v>
      </c>
      <c r="H121" s="120">
        <v>4.0000000000000002E-4</v>
      </c>
      <c r="I121" s="117"/>
      <c r="J121" s="100"/>
      <c r="K121" s="117"/>
      <c r="L121" s="100"/>
      <c r="M121" s="117"/>
      <c r="N121" s="100"/>
      <c r="O121" s="117"/>
      <c r="P121" s="100"/>
      <c r="Q121" s="117"/>
      <c r="R121" s="100"/>
      <c r="S121" s="117"/>
      <c r="T121" s="100"/>
      <c r="U121" s="117"/>
      <c r="V121" s="100"/>
      <c r="W121" s="117"/>
      <c r="X121" s="100"/>
      <c r="Y121" s="117"/>
      <c r="Z121" s="100"/>
      <c r="AA121" s="117"/>
      <c r="AB121" s="100"/>
      <c r="AC121" s="117"/>
      <c r="AD121" s="100"/>
      <c r="AE121" s="117"/>
      <c r="AF121" s="100"/>
      <c r="AG121" s="117"/>
      <c r="AH121" s="100"/>
      <c r="AI121" s="108">
        <v>69342629</v>
      </c>
      <c r="AJ121" s="15" t="s">
        <v>40</v>
      </c>
      <c r="AK121" s="15" t="s">
        <v>5</v>
      </c>
      <c r="AL121" s="15" t="s">
        <v>9</v>
      </c>
      <c r="AM121" s="118">
        <v>5.4999999999999997E-3</v>
      </c>
      <c r="AN121" s="118">
        <v>5.4999999999999997E-3</v>
      </c>
      <c r="AO121" s="118">
        <v>0</v>
      </c>
      <c r="AP121" s="100">
        <v>46054</v>
      </c>
      <c r="AQ121" s="99"/>
    </row>
    <row r="122" spans="1:43" x14ac:dyDescent="0.25">
      <c r="A122" s="17" t="b">
        <v>1</v>
      </c>
      <c r="B122" s="101" t="s">
        <v>252</v>
      </c>
      <c r="C122" s="109"/>
      <c r="D122" s="95" t="s">
        <v>307</v>
      </c>
      <c r="E122" s="95" t="s">
        <v>574</v>
      </c>
      <c r="F122" s="98" t="s">
        <v>573</v>
      </c>
      <c r="G122" s="99" t="s">
        <v>532</v>
      </c>
      <c r="H122" s="106">
        <v>3.5000000000000001E-3</v>
      </c>
      <c r="I122" s="117">
        <v>0.58702200000000004</v>
      </c>
      <c r="J122" s="100">
        <v>46010</v>
      </c>
      <c r="K122" s="117">
        <v>0</v>
      </c>
      <c r="L122" s="100" t="s">
        <v>85</v>
      </c>
      <c r="M122" s="117">
        <v>0</v>
      </c>
      <c r="N122" s="100">
        <v>46055</v>
      </c>
      <c r="O122" s="117">
        <v>0</v>
      </c>
      <c r="P122" s="100">
        <v>46083</v>
      </c>
      <c r="Q122" s="117">
        <v>0</v>
      </c>
      <c r="R122" s="100">
        <v>46113</v>
      </c>
      <c r="S122" s="117">
        <v>0</v>
      </c>
      <c r="T122" s="100" t="s">
        <v>85</v>
      </c>
      <c r="U122" s="117">
        <v>0</v>
      </c>
      <c r="V122" s="100">
        <v>46174</v>
      </c>
      <c r="W122" s="117">
        <v>0</v>
      </c>
      <c r="X122" s="100">
        <v>46204</v>
      </c>
      <c r="Y122" s="117">
        <v>0</v>
      </c>
      <c r="Z122" s="100">
        <v>46237</v>
      </c>
      <c r="AA122" s="117">
        <v>0</v>
      </c>
      <c r="AB122" s="100">
        <v>46266</v>
      </c>
      <c r="AC122" s="117">
        <v>0</v>
      </c>
      <c r="AD122" s="100">
        <v>46296</v>
      </c>
      <c r="AE122" s="117"/>
      <c r="AF122" s="100"/>
      <c r="AG122" s="117"/>
      <c r="AH122" s="100"/>
      <c r="AI122" s="108">
        <v>57482345</v>
      </c>
      <c r="AJ122" s="15" t="s">
        <v>40</v>
      </c>
      <c r="AK122" s="15" t="s">
        <v>5</v>
      </c>
      <c r="AL122" s="15" t="s">
        <v>9</v>
      </c>
      <c r="AM122" s="118">
        <v>5.4999999999999997E-3</v>
      </c>
      <c r="AN122" s="118">
        <v>5.4999999999999997E-3</v>
      </c>
      <c r="AO122" s="118">
        <v>0</v>
      </c>
      <c r="AP122" s="100">
        <v>46054</v>
      </c>
      <c r="AQ122" s="99"/>
    </row>
    <row r="123" spans="1:43" x14ac:dyDescent="0.25">
      <c r="A123" s="99" t="b">
        <v>1</v>
      </c>
      <c r="B123" s="101" t="s">
        <v>483</v>
      </c>
      <c r="C123" s="111"/>
      <c r="D123" s="15" t="s">
        <v>450</v>
      </c>
      <c r="E123" s="15" t="s">
        <v>486</v>
      </c>
      <c r="F123" s="98"/>
      <c r="G123" s="99" t="s">
        <v>532</v>
      </c>
      <c r="H123" s="106">
        <v>3.7000000000000002E-3</v>
      </c>
      <c r="I123" s="117">
        <v>0.58525400000000005</v>
      </c>
      <c r="J123" s="100">
        <v>46007</v>
      </c>
      <c r="K123" s="117">
        <v>0</v>
      </c>
      <c r="L123" s="100" t="s">
        <v>85</v>
      </c>
      <c r="M123" s="117">
        <v>0</v>
      </c>
      <c r="N123" s="100" t="s">
        <v>85</v>
      </c>
      <c r="O123" s="117">
        <v>0.28449099999999999</v>
      </c>
      <c r="P123" s="100">
        <v>46098</v>
      </c>
      <c r="Q123" s="117">
        <v>0</v>
      </c>
      <c r="R123" s="100" t="s">
        <v>85</v>
      </c>
      <c r="S123" s="117">
        <v>0</v>
      </c>
      <c r="T123" s="100" t="s">
        <v>85</v>
      </c>
      <c r="U123" s="117">
        <v>0.28478100000000001</v>
      </c>
      <c r="V123" s="100">
        <v>46188</v>
      </c>
      <c r="W123" s="117">
        <v>0</v>
      </c>
      <c r="X123" s="100" t="s">
        <v>85</v>
      </c>
      <c r="Y123" s="117">
        <v>0</v>
      </c>
      <c r="Z123" s="100" t="s">
        <v>85</v>
      </c>
      <c r="AA123" s="117">
        <v>0.27888299999999999</v>
      </c>
      <c r="AB123" s="100">
        <v>46280</v>
      </c>
      <c r="AC123" s="117">
        <v>0</v>
      </c>
      <c r="AD123" s="100" t="s">
        <v>85</v>
      </c>
      <c r="AE123" s="117"/>
      <c r="AF123" s="100"/>
      <c r="AG123" s="117"/>
      <c r="AH123" s="100"/>
      <c r="AI123" s="65">
        <v>39046979</v>
      </c>
      <c r="AJ123" s="15" t="s">
        <v>40</v>
      </c>
      <c r="AK123" s="15" t="s">
        <v>5</v>
      </c>
      <c r="AL123" s="15" t="s">
        <v>9</v>
      </c>
      <c r="AM123" s="118">
        <v>5.4999999999999997E-3</v>
      </c>
      <c r="AN123" s="118">
        <v>5.4999999999999997E-3</v>
      </c>
      <c r="AO123" s="115">
        <v>0</v>
      </c>
      <c r="AP123" s="100">
        <v>46060</v>
      </c>
      <c r="AQ123" s="99"/>
    </row>
    <row r="124" spans="1:43" x14ac:dyDescent="0.25">
      <c r="A124" s="17" t="b">
        <v>1</v>
      </c>
      <c r="B124" s="101" t="s">
        <v>347</v>
      </c>
      <c r="C124" s="109"/>
      <c r="D124" s="15" t="s">
        <v>450</v>
      </c>
      <c r="E124" s="15" t="s">
        <v>346</v>
      </c>
      <c r="F124" s="98"/>
      <c r="G124" s="99" t="s">
        <v>532</v>
      </c>
      <c r="H124" s="106">
        <v>4.7000000000000002E-3</v>
      </c>
      <c r="I124" s="117">
        <v>0</v>
      </c>
      <c r="J124" s="100">
        <v>46007</v>
      </c>
      <c r="K124" s="117">
        <v>0</v>
      </c>
      <c r="L124" s="100" t="s">
        <v>85</v>
      </c>
      <c r="M124" s="117">
        <v>0</v>
      </c>
      <c r="N124" s="100" t="s">
        <v>85</v>
      </c>
      <c r="O124" s="117">
        <v>0.15132499999999999</v>
      </c>
      <c r="P124" s="100">
        <v>46098</v>
      </c>
      <c r="Q124" s="117">
        <v>0</v>
      </c>
      <c r="R124" s="100" t="s">
        <v>85</v>
      </c>
      <c r="S124" s="117">
        <v>0</v>
      </c>
      <c r="T124" s="100" t="s">
        <v>85</v>
      </c>
      <c r="U124" s="117">
        <v>0.16358</v>
      </c>
      <c r="V124" s="100">
        <v>46188</v>
      </c>
      <c r="W124" s="117">
        <v>0</v>
      </c>
      <c r="X124" s="100" t="s">
        <v>85</v>
      </c>
      <c r="Y124" s="117">
        <v>0</v>
      </c>
      <c r="Z124" s="100" t="s">
        <v>85</v>
      </c>
      <c r="AA124" s="117">
        <v>0.25052000000000002</v>
      </c>
      <c r="AB124" s="100">
        <v>46280</v>
      </c>
      <c r="AC124" s="117">
        <v>0</v>
      </c>
      <c r="AD124" s="100" t="s">
        <v>85</v>
      </c>
      <c r="AE124" s="117"/>
      <c r="AF124" s="100"/>
      <c r="AG124" s="117"/>
      <c r="AH124" s="100"/>
      <c r="AI124" s="65">
        <v>39046959</v>
      </c>
      <c r="AJ124" s="15" t="s">
        <v>40</v>
      </c>
      <c r="AK124" s="15" t="s">
        <v>5</v>
      </c>
      <c r="AL124" s="15" t="s">
        <v>9</v>
      </c>
      <c r="AM124" s="118">
        <v>5.4999999999999997E-3</v>
      </c>
      <c r="AN124" s="118">
        <v>5.4999999999999997E-3</v>
      </c>
      <c r="AO124" s="118">
        <v>0</v>
      </c>
      <c r="AP124" s="100">
        <v>46054</v>
      </c>
      <c r="AQ124" s="99"/>
    </row>
    <row r="125" spans="1:43" x14ac:dyDescent="0.25">
      <c r="A125" s="99" t="b">
        <v>1</v>
      </c>
      <c r="B125" s="101" t="s">
        <v>482</v>
      </c>
      <c r="C125" s="111"/>
      <c r="D125" s="15" t="s">
        <v>450</v>
      </c>
      <c r="E125" s="15" t="s">
        <v>488</v>
      </c>
      <c r="F125" s="98"/>
      <c r="G125" s="99" t="s">
        <v>532</v>
      </c>
      <c r="H125" s="106">
        <v>3.7000000000000002E-3</v>
      </c>
      <c r="I125" s="117">
        <v>0.169656</v>
      </c>
      <c r="J125" s="100">
        <v>46007</v>
      </c>
      <c r="K125" s="117">
        <v>0</v>
      </c>
      <c r="L125" s="100" t="s">
        <v>85</v>
      </c>
      <c r="M125" s="117">
        <v>0</v>
      </c>
      <c r="N125" s="100" t="s">
        <v>85</v>
      </c>
      <c r="O125" s="117">
        <v>0.18013699999999999</v>
      </c>
      <c r="P125" s="100">
        <v>46098</v>
      </c>
      <c r="Q125" s="117">
        <v>0</v>
      </c>
      <c r="R125" s="100" t="s">
        <v>85</v>
      </c>
      <c r="S125" s="117">
        <v>0</v>
      </c>
      <c r="T125" s="100" t="s">
        <v>85</v>
      </c>
      <c r="U125" s="117">
        <v>0.15919700000000001</v>
      </c>
      <c r="V125" s="100">
        <v>46188</v>
      </c>
      <c r="W125" s="117">
        <v>0</v>
      </c>
      <c r="X125" s="100" t="s">
        <v>85</v>
      </c>
      <c r="Y125" s="117">
        <v>0</v>
      </c>
      <c r="Z125" s="100" t="s">
        <v>85</v>
      </c>
      <c r="AA125" s="117">
        <v>0.75390800000000002</v>
      </c>
      <c r="AB125" s="100">
        <v>46280</v>
      </c>
      <c r="AC125" s="117">
        <v>0</v>
      </c>
      <c r="AD125" s="100" t="s">
        <v>85</v>
      </c>
      <c r="AE125" s="117"/>
      <c r="AF125" s="100"/>
      <c r="AG125" s="117"/>
      <c r="AH125" s="100"/>
      <c r="AI125" s="65">
        <v>39046954</v>
      </c>
      <c r="AJ125" s="15" t="s">
        <v>40</v>
      </c>
      <c r="AK125" s="15" t="s">
        <v>5</v>
      </c>
      <c r="AL125" s="15" t="s">
        <v>9</v>
      </c>
      <c r="AM125" s="118">
        <v>5.4999999999999997E-3</v>
      </c>
      <c r="AN125" s="118">
        <v>5.4999999999999997E-3</v>
      </c>
      <c r="AO125" s="115">
        <v>0</v>
      </c>
      <c r="AP125" s="100">
        <v>46060</v>
      </c>
      <c r="AQ125" s="99"/>
    </row>
    <row r="126" spans="1:43" x14ac:dyDescent="0.25">
      <c r="A126" s="99" t="b">
        <v>0</v>
      </c>
      <c r="B126" s="101" t="s">
        <v>237</v>
      </c>
      <c r="C126" s="109"/>
      <c r="D126" s="95" t="s">
        <v>307</v>
      </c>
      <c r="E126" s="95" t="s">
        <v>308</v>
      </c>
      <c r="F126" s="98"/>
      <c r="G126" s="99" t="s">
        <v>532</v>
      </c>
      <c r="H126" s="120">
        <v>5.9999999999999995E-4</v>
      </c>
      <c r="I126" s="117"/>
      <c r="J126" s="100"/>
      <c r="K126" s="117"/>
      <c r="L126" s="100"/>
      <c r="M126" s="117"/>
      <c r="N126" s="100"/>
      <c r="O126" s="117"/>
      <c r="P126" s="100"/>
      <c r="Q126" s="117"/>
      <c r="R126" s="100"/>
      <c r="S126" s="117"/>
      <c r="T126" s="100"/>
      <c r="U126" s="117"/>
      <c r="V126" s="100"/>
      <c r="W126" s="117"/>
      <c r="X126" s="100"/>
      <c r="Y126" s="117"/>
      <c r="Z126" s="100"/>
      <c r="AA126" s="117"/>
      <c r="AB126" s="100"/>
      <c r="AC126" s="117"/>
      <c r="AD126" s="100"/>
      <c r="AE126" s="117"/>
      <c r="AF126" s="100"/>
      <c r="AG126" s="117"/>
      <c r="AH126" s="100"/>
      <c r="AI126" s="108">
        <v>155518924</v>
      </c>
      <c r="AJ126" s="15" t="s">
        <v>40</v>
      </c>
      <c r="AK126" s="15" t="s">
        <v>5</v>
      </c>
      <c r="AL126" s="15" t="s">
        <v>9</v>
      </c>
      <c r="AM126" s="118">
        <v>5.4999999999999997E-3</v>
      </c>
      <c r="AN126" s="118">
        <v>5.4999999999999997E-3</v>
      </c>
      <c r="AO126" s="118">
        <v>0</v>
      </c>
      <c r="AP126" s="100">
        <v>46054</v>
      </c>
      <c r="AQ126" s="99"/>
    </row>
    <row r="127" spans="1:43" x14ac:dyDescent="0.25">
      <c r="A127" s="17" t="b">
        <v>1</v>
      </c>
      <c r="B127" s="101" t="s">
        <v>265</v>
      </c>
      <c r="C127" s="109"/>
      <c r="D127" s="95" t="s">
        <v>300</v>
      </c>
      <c r="E127" s="110" t="s">
        <v>327</v>
      </c>
      <c r="F127" s="98"/>
      <c r="G127" s="99" t="s">
        <v>532</v>
      </c>
      <c r="H127" s="106">
        <v>3.7000000000000002E-3</v>
      </c>
      <c r="I127" s="117">
        <v>0.108711</v>
      </c>
      <c r="J127" s="100">
        <v>46007</v>
      </c>
      <c r="K127" s="117">
        <v>0</v>
      </c>
      <c r="L127" s="100" t="s">
        <v>85</v>
      </c>
      <c r="M127" s="117">
        <v>0</v>
      </c>
      <c r="N127" s="100" t="s">
        <v>85</v>
      </c>
      <c r="O127" s="117">
        <v>0.12673200000000001</v>
      </c>
      <c r="P127" s="100">
        <v>46098</v>
      </c>
      <c r="Q127" s="117">
        <v>0</v>
      </c>
      <c r="R127" s="100" t="s">
        <v>85</v>
      </c>
      <c r="S127" s="117">
        <v>0</v>
      </c>
      <c r="T127" s="100" t="s">
        <v>85</v>
      </c>
      <c r="U127" s="117">
        <v>0.14061399999999999</v>
      </c>
      <c r="V127" s="100">
        <v>46188</v>
      </c>
      <c r="W127" s="117">
        <v>0</v>
      </c>
      <c r="X127" s="100" t="s">
        <v>85</v>
      </c>
      <c r="Y127" s="117">
        <v>0</v>
      </c>
      <c r="Z127" s="100" t="s">
        <v>85</v>
      </c>
      <c r="AA127" s="117">
        <v>0.150284</v>
      </c>
      <c r="AB127" s="100">
        <v>46280</v>
      </c>
      <c r="AC127" s="117">
        <v>0</v>
      </c>
      <c r="AD127" s="100" t="s">
        <v>85</v>
      </c>
      <c r="AE127" s="117"/>
      <c r="AF127" s="100"/>
      <c r="AG127" s="117"/>
      <c r="AH127" s="100"/>
      <c r="AI127" s="65">
        <v>10190337</v>
      </c>
      <c r="AJ127" s="15" t="s">
        <v>40</v>
      </c>
      <c r="AK127" s="15" t="s">
        <v>5</v>
      </c>
      <c r="AL127" s="15" t="s">
        <v>9</v>
      </c>
      <c r="AM127" s="118">
        <v>5.4999999999999997E-3</v>
      </c>
      <c r="AN127" s="118">
        <v>5.4999999999999997E-3</v>
      </c>
      <c r="AO127" s="118">
        <v>0</v>
      </c>
      <c r="AP127" s="100">
        <v>46054</v>
      </c>
      <c r="AQ127" s="99"/>
    </row>
    <row r="128" spans="1:43" x14ac:dyDescent="0.25">
      <c r="A128" s="17" t="b">
        <v>1</v>
      </c>
      <c r="B128" s="101" t="s">
        <v>273</v>
      </c>
      <c r="C128" s="109"/>
      <c r="D128" s="95" t="s">
        <v>300</v>
      </c>
      <c r="E128" s="110" t="s">
        <v>319</v>
      </c>
      <c r="F128" s="98"/>
      <c r="G128" s="99" t="s">
        <v>532</v>
      </c>
      <c r="H128" s="106">
        <v>3.7000000000000002E-3</v>
      </c>
      <c r="I128" s="117">
        <v>0.34088200000000002</v>
      </c>
      <c r="J128" s="100">
        <v>46007</v>
      </c>
      <c r="K128" s="117">
        <v>0</v>
      </c>
      <c r="L128" s="100" t="s">
        <v>85</v>
      </c>
      <c r="M128" s="117">
        <v>0</v>
      </c>
      <c r="N128" s="100" t="s">
        <v>85</v>
      </c>
      <c r="O128" s="117">
        <v>0.30672700000000003</v>
      </c>
      <c r="P128" s="100">
        <v>46098</v>
      </c>
      <c r="Q128" s="117">
        <v>0</v>
      </c>
      <c r="R128" s="100" t="s">
        <v>85</v>
      </c>
      <c r="S128" s="117">
        <v>0</v>
      </c>
      <c r="T128" s="100" t="s">
        <v>85</v>
      </c>
      <c r="U128" s="117">
        <v>0.30908999999999998</v>
      </c>
      <c r="V128" s="100">
        <v>46188</v>
      </c>
      <c r="W128" s="117">
        <v>0</v>
      </c>
      <c r="X128" s="100" t="s">
        <v>85</v>
      </c>
      <c r="Y128" s="117">
        <v>0</v>
      </c>
      <c r="Z128" s="100" t="s">
        <v>85</v>
      </c>
      <c r="AA128" s="117">
        <v>0.39350299999999999</v>
      </c>
      <c r="AB128" s="100">
        <v>46280</v>
      </c>
      <c r="AC128" s="117">
        <v>0</v>
      </c>
      <c r="AD128" s="100" t="s">
        <v>85</v>
      </c>
      <c r="AE128" s="117"/>
      <c r="AF128" s="100"/>
      <c r="AG128" s="117"/>
      <c r="AH128" s="100"/>
      <c r="AI128" s="65">
        <v>10190340</v>
      </c>
      <c r="AJ128" s="15" t="s">
        <v>40</v>
      </c>
      <c r="AK128" s="15" t="s">
        <v>5</v>
      </c>
      <c r="AL128" s="15" t="s">
        <v>9</v>
      </c>
      <c r="AM128" s="118">
        <v>5.4999999999999997E-3</v>
      </c>
      <c r="AN128" s="118">
        <v>5.4999999999999997E-3</v>
      </c>
      <c r="AO128" s="118">
        <v>0</v>
      </c>
      <c r="AP128" s="100">
        <v>46054</v>
      </c>
      <c r="AQ128" s="99"/>
    </row>
    <row r="129" spans="1:43" x14ac:dyDescent="0.25">
      <c r="A129" s="17" t="b">
        <v>1</v>
      </c>
      <c r="B129" s="101" t="s">
        <v>277</v>
      </c>
      <c r="C129" s="109"/>
      <c r="D129" s="95" t="s">
        <v>300</v>
      </c>
      <c r="E129" s="110" t="s">
        <v>325</v>
      </c>
      <c r="F129" s="98"/>
      <c r="G129" s="99" t="s">
        <v>532</v>
      </c>
      <c r="H129" s="106">
        <v>3.7000000000000002E-3</v>
      </c>
      <c r="I129" s="117">
        <v>0.57199199999999994</v>
      </c>
      <c r="J129" s="100">
        <v>46007</v>
      </c>
      <c r="K129" s="117">
        <v>0</v>
      </c>
      <c r="L129" s="100" t="s">
        <v>85</v>
      </c>
      <c r="M129" s="117">
        <v>0</v>
      </c>
      <c r="N129" s="100" t="s">
        <v>85</v>
      </c>
      <c r="O129" s="117">
        <v>0.57623199999999997</v>
      </c>
      <c r="P129" s="100">
        <v>46098</v>
      </c>
      <c r="Q129" s="117">
        <v>0</v>
      </c>
      <c r="R129" s="100" t="s">
        <v>85</v>
      </c>
      <c r="S129" s="117">
        <v>0</v>
      </c>
      <c r="T129" s="100" t="s">
        <v>85</v>
      </c>
      <c r="U129" s="117">
        <v>0.38038300000000003</v>
      </c>
      <c r="V129" s="100">
        <v>46188</v>
      </c>
      <c r="W129" s="117">
        <v>0</v>
      </c>
      <c r="X129" s="100" t="s">
        <v>85</v>
      </c>
      <c r="Y129" s="117">
        <v>0</v>
      </c>
      <c r="Z129" s="100" t="s">
        <v>85</v>
      </c>
      <c r="AA129" s="117">
        <v>0.41789900000000002</v>
      </c>
      <c r="AB129" s="100">
        <v>46280</v>
      </c>
      <c r="AC129" s="117">
        <v>0</v>
      </c>
      <c r="AD129" s="100" t="s">
        <v>85</v>
      </c>
      <c r="AE129" s="117"/>
      <c r="AF129" s="100"/>
      <c r="AG129" s="117"/>
      <c r="AH129" s="100"/>
      <c r="AI129" s="65">
        <v>9579962</v>
      </c>
      <c r="AJ129" s="15" t="s">
        <v>40</v>
      </c>
      <c r="AK129" s="15" t="s">
        <v>5</v>
      </c>
      <c r="AL129" s="15" t="s">
        <v>9</v>
      </c>
      <c r="AM129" s="118">
        <v>5.4999999999999997E-3</v>
      </c>
      <c r="AN129" s="118">
        <v>5.4999999999999997E-3</v>
      </c>
      <c r="AO129" s="118">
        <v>0</v>
      </c>
      <c r="AP129" s="100">
        <v>46054</v>
      </c>
      <c r="AQ129" s="99"/>
    </row>
    <row r="130" spans="1:43" x14ac:dyDescent="0.25">
      <c r="A130" s="17" t="b">
        <v>1</v>
      </c>
      <c r="B130" s="101" t="s">
        <v>281</v>
      </c>
      <c r="C130" s="109"/>
      <c r="D130" s="95" t="s">
        <v>300</v>
      </c>
      <c r="E130" s="110" t="s">
        <v>320</v>
      </c>
      <c r="F130" s="98"/>
      <c r="G130" s="99" t="s">
        <v>532</v>
      </c>
      <c r="H130" s="106">
        <v>3.7000000000000002E-3</v>
      </c>
      <c r="I130" s="117">
        <v>0.249694</v>
      </c>
      <c r="J130" s="100">
        <v>46007</v>
      </c>
      <c r="K130" s="117">
        <v>0</v>
      </c>
      <c r="L130" s="100" t="s">
        <v>85</v>
      </c>
      <c r="M130" s="117">
        <v>0</v>
      </c>
      <c r="N130" s="100" t="s">
        <v>85</v>
      </c>
      <c r="O130" s="117">
        <v>0.19481999999999999</v>
      </c>
      <c r="P130" s="100">
        <v>46098</v>
      </c>
      <c r="Q130" s="117">
        <v>0</v>
      </c>
      <c r="R130" s="100" t="s">
        <v>85</v>
      </c>
      <c r="S130" s="117">
        <v>0</v>
      </c>
      <c r="T130" s="100" t="s">
        <v>85</v>
      </c>
      <c r="U130" s="117">
        <v>0.16336000000000001</v>
      </c>
      <c r="V130" s="100">
        <v>46188</v>
      </c>
      <c r="W130" s="117">
        <v>0</v>
      </c>
      <c r="X130" s="100" t="s">
        <v>85</v>
      </c>
      <c r="Y130" s="117">
        <v>0</v>
      </c>
      <c r="Z130" s="100" t="s">
        <v>85</v>
      </c>
      <c r="AA130" s="117">
        <v>0.190827</v>
      </c>
      <c r="AB130" s="100">
        <v>46280</v>
      </c>
      <c r="AC130" s="117">
        <v>0</v>
      </c>
      <c r="AD130" s="100" t="s">
        <v>85</v>
      </c>
      <c r="AE130" s="117"/>
      <c r="AF130" s="100"/>
      <c r="AG130" s="117"/>
      <c r="AH130" s="100"/>
      <c r="AI130" s="65">
        <v>10753238</v>
      </c>
      <c r="AJ130" s="15" t="s">
        <v>40</v>
      </c>
      <c r="AK130" s="15" t="s">
        <v>5</v>
      </c>
      <c r="AL130" s="15" t="s">
        <v>9</v>
      </c>
      <c r="AM130" s="118">
        <v>5.4999999999999997E-3</v>
      </c>
      <c r="AN130" s="118">
        <v>5.4999999999999997E-3</v>
      </c>
      <c r="AO130" s="118">
        <v>0</v>
      </c>
      <c r="AP130" s="100">
        <v>46054</v>
      </c>
      <c r="AQ130" s="99"/>
    </row>
    <row r="131" spans="1:43" x14ac:dyDescent="0.25">
      <c r="A131" s="17" t="b">
        <v>1</v>
      </c>
      <c r="B131" s="101" t="s">
        <v>285</v>
      </c>
      <c r="C131" s="109"/>
      <c r="D131" s="95" t="s">
        <v>300</v>
      </c>
      <c r="E131" s="110" t="s">
        <v>321</v>
      </c>
      <c r="F131" s="98"/>
      <c r="G131" s="99" t="s">
        <v>532</v>
      </c>
      <c r="H131" s="106">
        <v>3.7000000000000002E-3</v>
      </c>
      <c r="I131" s="117">
        <v>0.26978000000000002</v>
      </c>
      <c r="J131" s="100">
        <v>46007</v>
      </c>
      <c r="K131" s="117">
        <v>0</v>
      </c>
      <c r="L131" s="100" t="s">
        <v>85</v>
      </c>
      <c r="M131" s="117">
        <v>0</v>
      </c>
      <c r="N131" s="100" t="s">
        <v>85</v>
      </c>
      <c r="O131" s="117">
        <v>0.27506799999999998</v>
      </c>
      <c r="P131" s="100">
        <v>46098</v>
      </c>
      <c r="Q131" s="117">
        <v>0</v>
      </c>
      <c r="R131" s="100" t="s">
        <v>85</v>
      </c>
      <c r="S131" s="117">
        <v>0</v>
      </c>
      <c r="T131" s="100" t="s">
        <v>85</v>
      </c>
      <c r="U131" s="117">
        <v>0.262299</v>
      </c>
      <c r="V131" s="100">
        <v>46188</v>
      </c>
      <c r="W131" s="117">
        <v>0</v>
      </c>
      <c r="X131" s="100" t="s">
        <v>85</v>
      </c>
      <c r="Y131" s="117">
        <v>0</v>
      </c>
      <c r="Z131" s="100" t="s">
        <v>85</v>
      </c>
      <c r="AA131" s="117">
        <v>0.30100700000000002</v>
      </c>
      <c r="AB131" s="100">
        <v>46280</v>
      </c>
      <c r="AC131" s="117">
        <v>0</v>
      </c>
      <c r="AD131" s="100" t="s">
        <v>85</v>
      </c>
      <c r="AE131" s="117"/>
      <c r="AF131" s="100"/>
      <c r="AG131" s="117"/>
      <c r="AH131" s="100"/>
      <c r="AI131" s="65">
        <v>10753241</v>
      </c>
      <c r="AJ131" s="15" t="s">
        <v>40</v>
      </c>
      <c r="AK131" s="15" t="s">
        <v>5</v>
      </c>
      <c r="AL131" s="15" t="s">
        <v>9</v>
      </c>
      <c r="AM131" s="118">
        <v>5.4999999999999997E-3</v>
      </c>
      <c r="AN131" s="118">
        <v>5.4999999999999997E-3</v>
      </c>
      <c r="AO131" s="118">
        <v>0</v>
      </c>
      <c r="AP131" s="100">
        <v>46054</v>
      </c>
      <c r="AQ131" s="99"/>
    </row>
    <row r="132" spans="1:43" x14ac:dyDescent="0.25">
      <c r="A132" s="99" t="b">
        <v>1</v>
      </c>
      <c r="B132" s="101" t="s">
        <v>269</v>
      </c>
      <c r="C132" s="109"/>
      <c r="D132" s="95" t="s">
        <v>300</v>
      </c>
      <c r="E132" s="110" t="s">
        <v>326</v>
      </c>
      <c r="F132" s="98"/>
      <c r="G132" s="99" t="s">
        <v>532</v>
      </c>
      <c r="H132" s="106">
        <v>3.7000000000000002E-3</v>
      </c>
      <c r="I132" s="117">
        <v>0.69611699999999999</v>
      </c>
      <c r="J132" s="100">
        <v>46007</v>
      </c>
      <c r="K132" s="117">
        <v>0</v>
      </c>
      <c r="L132" s="100" t="s">
        <v>85</v>
      </c>
      <c r="M132" s="117">
        <v>0</v>
      </c>
      <c r="N132" s="100" t="s">
        <v>85</v>
      </c>
      <c r="O132" s="117">
        <v>0.28752899999999998</v>
      </c>
      <c r="P132" s="100">
        <v>46098</v>
      </c>
      <c r="Q132" s="117">
        <v>0</v>
      </c>
      <c r="R132" s="100" t="s">
        <v>85</v>
      </c>
      <c r="S132" s="117">
        <v>0</v>
      </c>
      <c r="T132" s="100" t="s">
        <v>85</v>
      </c>
      <c r="U132" s="117">
        <v>0.40746500000000002</v>
      </c>
      <c r="V132" s="100">
        <v>46188</v>
      </c>
      <c r="W132" s="117">
        <v>0</v>
      </c>
      <c r="X132" s="100" t="s">
        <v>85</v>
      </c>
      <c r="Y132" s="117">
        <v>0</v>
      </c>
      <c r="Z132" s="100" t="s">
        <v>85</v>
      </c>
      <c r="AA132" s="117">
        <v>0.43650299999999997</v>
      </c>
      <c r="AB132" s="100">
        <v>46280</v>
      </c>
      <c r="AC132" s="117">
        <v>0</v>
      </c>
      <c r="AD132" s="100" t="s">
        <v>85</v>
      </c>
      <c r="AE132" s="117"/>
      <c r="AF132" s="100"/>
      <c r="AG132" s="117"/>
      <c r="AH132" s="100"/>
      <c r="AI132" s="65">
        <v>10753235</v>
      </c>
      <c r="AJ132" s="15" t="s">
        <v>40</v>
      </c>
      <c r="AK132" s="15" t="s">
        <v>5</v>
      </c>
      <c r="AL132" s="15" t="s">
        <v>9</v>
      </c>
      <c r="AM132" s="118">
        <v>5.4999999999999997E-3</v>
      </c>
      <c r="AN132" s="118">
        <v>5.4999999999999997E-3</v>
      </c>
      <c r="AO132" s="118">
        <v>0</v>
      </c>
      <c r="AP132" s="100">
        <v>46054</v>
      </c>
      <c r="AQ132" s="99"/>
    </row>
    <row r="133" spans="1:43" x14ac:dyDescent="0.25">
      <c r="A133" s="99" t="b">
        <v>1</v>
      </c>
      <c r="B133" s="101" t="s">
        <v>289</v>
      </c>
      <c r="C133" s="109"/>
      <c r="D133" s="95" t="s">
        <v>300</v>
      </c>
      <c r="E133" s="110" t="s">
        <v>322</v>
      </c>
      <c r="F133" s="98"/>
      <c r="G133" s="99" t="s">
        <v>532</v>
      </c>
      <c r="H133" s="106">
        <v>3.7000000000000002E-3</v>
      </c>
      <c r="I133" s="117">
        <v>0.86209499999999994</v>
      </c>
      <c r="J133" s="100">
        <v>46007</v>
      </c>
      <c r="K133" s="117">
        <v>0</v>
      </c>
      <c r="L133" s="100" t="s">
        <v>85</v>
      </c>
      <c r="M133" s="117">
        <v>0</v>
      </c>
      <c r="N133" s="100" t="s">
        <v>85</v>
      </c>
      <c r="O133" s="117">
        <v>0.27537</v>
      </c>
      <c r="P133" s="100">
        <v>46098</v>
      </c>
      <c r="Q133" s="117">
        <v>0</v>
      </c>
      <c r="R133" s="100" t="s">
        <v>85</v>
      </c>
      <c r="S133" s="117">
        <v>0</v>
      </c>
      <c r="T133" s="100" t="s">
        <v>85</v>
      </c>
      <c r="U133" s="117">
        <v>0.51000999999999996</v>
      </c>
      <c r="V133" s="100">
        <v>46188</v>
      </c>
      <c r="W133" s="117">
        <v>0</v>
      </c>
      <c r="X133" s="100" t="s">
        <v>85</v>
      </c>
      <c r="Y133" s="117">
        <v>0</v>
      </c>
      <c r="Z133" s="100" t="s">
        <v>85</v>
      </c>
      <c r="AA133" s="117">
        <v>0.73818700000000004</v>
      </c>
      <c r="AB133" s="100">
        <v>46280</v>
      </c>
      <c r="AC133" s="117">
        <v>0</v>
      </c>
      <c r="AD133" s="100" t="s">
        <v>85</v>
      </c>
      <c r="AE133" s="117"/>
      <c r="AF133" s="100"/>
      <c r="AG133" s="117"/>
      <c r="AH133" s="100"/>
      <c r="AI133" s="65">
        <v>10209369</v>
      </c>
      <c r="AJ133" s="15" t="s">
        <v>40</v>
      </c>
      <c r="AK133" s="15" t="s">
        <v>5</v>
      </c>
      <c r="AL133" s="15" t="s">
        <v>9</v>
      </c>
      <c r="AM133" s="118">
        <v>5.4999999999999997E-3</v>
      </c>
      <c r="AN133" s="118">
        <v>5.4999999999999997E-3</v>
      </c>
      <c r="AO133" s="118">
        <v>0</v>
      </c>
      <c r="AP133" s="100">
        <v>46054</v>
      </c>
      <c r="AQ133" s="99"/>
    </row>
    <row r="134" spans="1:43" x14ac:dyDescent="0.25">
      <c r="A134" s="99" t="b">
        <v>1</v>
      </c>
      <c r="B134" s="101" t="s">
        <v>481</v>
      </c>
      <c r="C134" s="111"/>
      <c r="D134" s="15" t="s">
        <v>450</v>
      </c>
      <c r="E134" s="15" t="s">
        <v>487</v>
      </c>
      <c r="F134" s="98"/>
      <c r="G134" s="99" t="s">
        <v>532</v>
      </c>
      <c r="H134" s="106">
        <v>3.7000000000000002E-3</v>
      </c>
      <c r="I134" s="117">
        <v>0.14877299999999999</v>
      </c>
      <c r="J134" s="100">
        <v>46007</v>
      </c>
      <c r="K134" s="117">
        <v>0</v>
      </c>
      <c r="L134" s="100" t="s">
        <v>85</v>
      </c>
      <c r="M134" s="117">
        <v>0</v>
      </c>
      <c r="N134" s="100" t="s">
        <v>85</v>
      </c>
      <c r="O134" s="117">
        <v>0.26711600000000002</v>
      </c>
      <c r="P134" s="100">
        <v>46098</v>
      </c>
      <c r="Q134" s="117">
        <v>0</v>
      </c>
      <c r="R134" s="100" t="s">
        <v>85</v>
      </c>
      <c r="S134" s="117">
        <v>0</v>
      </c>
      <c r="T134" s="100" t="s">
        <v>85</v>
      </c>
      <c r="U134" s="117">
        <v>0.15443999999999999</v>
      </c>
      <c r="V134" s="100">
        <v>46188</v>
      </c>
      <c r="W134" s="117">
        <v>0</v>
      </c>
      <c r="X134" s="100" t="s">
        <v>85</v>
      </c>
      <c r="Y134" s="117">
        <v>0</v>
      </c>
      <c r="Z134" s="100" t="s">
        <v>85</v>
      </c>
      <c r="AA134" s="117">
        <v>0.18623600000000001</v>
      </c>
      <c r="AB134" s="100">
        <v>46280</v>
      </c>
      <c r="AC134" s="117">
        <v>0</v>
      </c>
      <c r="AD134" s="100" t="s">
        <v>85</v>
      </c>
      <c r="AE134" s="117"/>
      <c r="AF134" s="100"/>
      <c r="AG134" s="117"/>
      <c r="AH134" s="100"/>
      <c r="AI134" s="65">
        <v>26337175</v>
      </c>
      <c r="AJ134" s="15" t="s">
        <v>40</v>
      </c>
      <c r="AK134" s="15" t="s">
        <v>5</v>
      </c>
      <c r="AL134" s="15" t="s">
        <v>9</v>
      </c>
      <c r="AM134" s="118">
        <v>5.4999999999999997E-3</v>
      </c>
      <c r="AN134" s="118">
        <v>5.4999999999999997E-3</v>
      </c>
      <c r="AO134" s="115">
        <v>0</v>
      </c>
      <c r="AP134" s="100">
        <v>46060</v>
      </c>
      <c r="AQ134" s="99"/>
    </row>
    <row r="135" spans="1:43" x14ac:dyDescent="0.25">
      <c r="A135" s="99" t="b">
        <v>1</v>
      </c>
      <c r="B135" s="101" t="s">
        <v>293</v>
      </c>
      <c r="C135" s="109"/>
      <c r="D135" s="95" t="s">
        <v>300</v>
      </c>
      <c r="E135" s="110" t="s">
        <v>323</v>
      </c>
      <c r="F135" s="98"/>
      <c r="G135" s="99" t="s">
        <v>532</v>
      </c>
      <c r="H135" s="106">
        <v>3.7000000000000002E-3</v>
      </c>
      <c r="I135" s="117">
        <v>5.5414999999999999E-2</v>
      </c>
      <c r="J135" s="100">
        <v>46007</v>
      </c>
      <c r="K135" s="117">
        <v>0</v>
      </c>
      <c r="L135" s="100" t="s">
        <v>85</v>
      </c>
      <c r="M135" s="117">
        <v>0</v>
      </c>
      <c r="N135" s="100" t="s">
        <v>85</v>
      </c>
      <c r="O135" s="117">
        <v>6.9825999999999999E-2</v>
      </c>
      <c r="P135" s="100">
        <v>46098</v>
      </c>
      <c r="Q135" s="117">
        <v>0</v>
      </c>
      <c r="R135" s="100" t="s">
        <v>85</v>
      </c>
      <c r="S135" s="117">
        <v>0</v>
      </c>
      <c r="T135" s="100" t="s">
        <v>85</v>
      </c>
      <c r="U135" s="117">
        <v>7.1818999999999994E-2</v>
      </c>
      <c r="V135" s="100">
        <v>46188</v>
      </c>
      <c r="W135" s="117">
        <v>0</v>
      </c>
      <c r="X135" s="100" t="s">
        <v>85</v>
      </c>
      <c r="Y135" s="117">
        <v>0</v>
      </c>
      <c r="Z135" s="100" t="s">
        <v>85</v>
      </c>
      <c r="AA135" s="117">
        <v>4.9132000000000002E-2</v>
      </c>
      <c r="AB135" s="100">
        <v>46280</v>
      </c>
      <c r="AC135" s="117">
        <v>0</v>
      </c>
      <c r="AD135" s="100" t="s">
        <v>85</v>
      </c>
      <c r="AE135" s="117"/>
      <c r="AF135" s="100"/>
      <c r="AG135" s="117"/>
      <c r="AH135" s="100"/>
      <c r="AI135" s="65">
        <v>10158652</v>
      </c>
      <c r="AJ135" s="15" t="s">
        <v>40</v>
      </c>
      <c r="AK135" s="15" t="s">
        <v>5</v>
      </c>
      <c r="AL135" s="15" t="s">
        <v>9</v>
      </c>
      <c r="AM135" s="118">
        <v>5.4999999999999997E-3</v>
      </c>
      <c r="AN135" s="118">
        <v>5.4999999999999997E-3</v>
      </c>
      <c r="AO135" s="118">
        <v>0</v>
      </c>
      <c r="AP135" s="100">
        <v>46054</v>
      </c>
      <c r="AQ135" s="99"/>
    </row>
    <row r="136" spans="1:43" x14ac:dyDescent="0.25">
      <c r="A136" s="17" t="b">
        <v>1</v>
      </c>
      <c r="B136" s="101" t="s">
        <v>238</v>
      </c>
      <c r="C136" s="109"/>
      <c r="D136" s="95" t="s">
        <v>307</v>
      </c>
      <c r="E136" s="95" t="s">
        <v>313</v>
      </c>
      <c r="F136" s="98"/>
      <c r="G136" s="99" t="s">
        <v>539</v>
      </c>
      <c r="H136" s="106">
        <v>4.0000000000000001E-3</v>
      </c>
      <c r="I136" s="117">
        <v>0.49054799999999998</v>
      </c>
      <c r="J136" s="100">
        <v>46009</v>
      </c>
      <c r="K136" s="117">
        <v>0</v>
      </c>
      <c r="L136" s="100" t="s">
        <v>85</v>
      </c>
      <c r="M136" s="117">
        <v>0.56008999999999998</v>
      </c>
      <c r="N136" s="100">
        <v>46055</v>
      </c>
      <c r="O136" s="117">
        <v>0.52456999999999998</v>
      </c>
      <c r="P136" s="100">
        <v>46083</v>
      </c>
      <c r="Q136" s="117">
        <v>0.52478000000000002</v>
      </c>
      <c r="R136" s="100">
        <v>46113</v>
      </c>
      <c r="S136" s="117">
        <v>0.52693999999999996</v>
      </c>
      <c r="T136" s="100">
        <v>46143</v>
      </c>
      <c r="U136" s="117">
        <v>0.52310000000000001</v>
      </c>
      <c r="V136" s="100">
        <v>46174</v>
      </c>
      <c r="W136" s="117">
        <v>0.53078000000000003</v>
      </c>
      <c r="X136" s="100">
        <v>46204</v>
      </c>
      <c r="Y136" s="117">
        <v>0.52717999999999998</v>
      </c>
      <c r="Z136" s="100">
        <v>46237</v>
      </c>
      <c r="AA136" s="117">
        <v>0.53229499999999996</v>
      </c>
      <c r="AB136" s="100">
        <v>46266</v>
      </c>
      <c r="AC136" s="117">
        <v>0.53129999999999999</v>
      </c>
      <c r="AD136" s="100">
        <v>46296</v>
      </c>
      <c r="AE136" s="117"/>
      <c r="AF136" s="100"/>
      <c r="AG136" s="117"/>
      <c r="AH136" s="100"/>
      <c r="AI136" s="108">
        <v>356312840</v>
      </c>
      <c r="AJ136" s="15" t="s">
        <v>40</v>
      </c>
      <c r="AK136" s="15" t="s">
        <v>5</v>
      </c>
      <c r="AL136" s="15" t="s">
        <v>9</v>
      </c>
      <c r="AM136" s="118">
        <v>5.4999999999999997E-3</v>
      </c>
      <c r="AN136" s="118">
        <v>5.4999999999999997E-3</v>
      </c>
      <c r="AO136" s="118">
        <v>0</v>
      </c>
      <c r="AP136" s="100">
        <v>46054</v>
      </c>
      <c r="AQ136" s="99"/>
    </row>
    <row r="137" spans="1:43" x14ac:dyDescent="0.25">
      <c r="A137" s="99" t="b">
        <v>0</v>
      </c>
      <c r="B137" s="101" t="s">
        <v>351</v>
      </c>
      <c r="C137" s="109" t="s">
        <v>465</v>
      </c>
      <c r="D137" s="15" t="s">
        <v>450</v>
      </c>
      <c r="E137" s="15" t="s">
        <v>353</v>
      </c>
      <c r="F137" s="98"/>
      <c r="G137" s="99" t="s">
        <v>539</v>
      </c>
      <c r="H137" s="120">
        <v>3.5000000000000001E-3</v>
      </c>
      <c r="I137" s="117"/>
      <c r="J137" s="100"/>
      <c r="K137" s="117"/>
      <c r="L137" s="100"/>
      <c r="M137" s="117"/>
      <c r="N137" s="100"/>
      <c r="O137" s="117"/>
      <c r="P137" s="100"/>
      <c r="Q137" s="117"/>
      <c r="R137" s="100"/>
      <c r="S137" s="117"/>
      <c r="T137" s="100"/>
      <c r="U137" s="117"/>
      <c r="V137" s="100"/>
      <c r="W137" s="117"/>
      <c r="X137" s="100"/>
      <c r="Y137" s="117"/>
      <c r="Z137" s="100"/>
      <c r="AA137" s="117"/>
      <c r="AB137" s="100"/>
      <c r="AC137" s="117"/>
      <c r="AD137" s="100"/>
      <c r="AE137" s="117"/>
      <c r="AF137" s="100"/>
      <c r="AG137" s="117"/>
      <c r="AH137" s="100"/>
      <c r="AI137" s="65">
        <v>45540769</v>
      </c>
      <c r="AJ137" s="15" t="s">
        <v>40</v>
      </c>
      <c r="AK137" s="15" t="s">
        <v>5</v>
      </c>
      <c r="AL137" s="15" t="s">
        <v>9</v>
      </c>
      <c r="AM137" s="118">
        <v>5.4999999999999997E-3</v>
      </c>
      <c r="AN137" s="118">
        <v>5.4999999999999997E-3</v>
      </c>
      <c r="AO137" s="118">
        <v>0</v>
      </c>
      <c r="AP137" s="100">
        <v>46054</v>
      </c>
      <c r="AQ137" s="99"/>
    </row>
    <row r="138" spans="1:43" x14ac:dyDescent="0.25">
      <c r="A138" s="17" t="b">
        <v>1</v>
      </c>
      <c r="B138" s="101" t="s">
        <v>352</v>
      </c>
      <c r="C138" s="109"/>
      <c r="D138" s="15" t="s">
        <v>450</v>
      </c>
      <c r="E138" s="15" t="s">
        <v>353</v>
      </c>
      <c r="F138" s="98"/>
      <c r="G138" s="99" t="s">
        <v>538</v>
      </c>
      <c r="H138" s="106">
        <v>3.5000000000000001E-3</v>
      </c>
      <c r="I138" s="117">
        <v>0.44423000000000001</v>
      </c>
      <c r="J138" s="100">
        <v>46013</v>
      </c>
      <c r="K138" s="117">
        <v>0</v>
      </c>
      <c r="L138" s="100" t="s">
        <v>85</v>
      </c>
      <c r="M138" s="117">
        <v>0</v>
      </c>
      <c r="N138" s="100" t="s">
        <v>85</v>
      </c>
      <c r="O138" s="117">
        <v>0.48981000000000002</v>
      </c>
      <c r="P138" s="100">
        <v>46104</v>
      </c>
      <c r="Q138" s="117">
        <v>0</v>
      </c>
      <c r="R138" s="100" t="s">
        <v>85</v>
      </c>
      <c r="S138" s="117">
        <v>0</v>
      </c>
      <c r="T138" s="100" t="s">
        <v>85</v>
      </c>
      <c r="U138" s="117">
        <v>0.47291</v>
      </c>
      <c r="V138" s="100">
        <v>46195</v>
      </c>
      <c r="W138" s="117">
        <v>0</v>
      </c>
      <c r="X138" s="100" t="s">
        <v>85</v>
      </c>
      <c r="Y138" s="117">
        <v>0</v>
      </c>
      <c r="Z138" s="100" t="s">
        <v>85</v>
      </c>
      <c r="AA138" s="117">
        <v>0.46006999999999998</v>
      </c>
      <c r="AB138" s="100">
        <v>46286</v>
      </c>
      <c r="AC138" s="117">
        <v>0</v>
      </c>
      <c r="AD138" s="100" t="s">
        <v>85</v>
      </c>
      <c r="AE138" s="117"/>
      <c r="AF138" s="100"/>
      <c r="AG138" s="117"/>
      <c r="AH138" s="100"/>
      <c r="AI138" s="65">
        <v>320227535</v>
      </c>
      <c r="AJ138" s="15" t="s">
        <v>40</v>
      </c>
      <c r="AK138" s="15" t="s">
        <v>5</v>
      </c>
      <c r="AL138" s="15" t="s">
        <v>9</v>
      </c>
      <c r="AM138" s="118">
        <v>5.4999999999999997E-3</v>
      </c>
      <c r="AN138" s="118">
        <v>5.4999999999999997E-3</v>
      </c>
      <c r="AO138" s="118">
        <v>0</v>
      </c>
      <c r="AP138" s="100">
        <v>46054</v>
      </c>
      <c r="AQ138" s="99"/>
    </row>
    <row r="139" spans="1:43" x14ac:dyDescent="0.25">
      <c r="A139" s="99" t="b">
        <v>0</v>
      </c>
      <c r="B139" s="101" t="s">
        <v>471</v>
      </c>
      <c r="C139" s="109" t="s">
        <v>465</v>
      </c>
      <c r="D139" s="15" t="s">
        <v>450</v>
      </c>
      <c r="E139" s="15" t="s">
        <v>473</v>
      </c>
      <c r="F139" s="98"/>
      <c r="G139" s="99" t="s">
        <v>539</v>
      </c>
      <c r="H139" s="120">
        <v>3.5000000000000001E-3</v>
      </c>
      <c r="I139" s="117"/>
      <c r="J139" s="100"/>
      <c r="K139" s="117"/>
      <c r="L139" s="100"/>
      <c r="M139" s="117"/>
      <c r="N139" s="100"/>
      <c r="O139" s="117"/>
      <c r="P139" s="100"/>
      <c r="Q139" s="117"/>
      <c r="R139" s="100"/>
      <c r="S139" s="117"/>
      <c r="T139" s="100"/>
      <c r="U139" s="117"/>
      <c r="V139" s="100"/>
      <c r="W139" s="117"/>
      <c r="X139" s="100"/>
      <c r="Y139" s="117"/>
      <c r="Z139" s="100"/>
      <c r="AA139" s="117"/>
      <c r="AB139" s="100"/>
      <c r="AC139" s="117"/>
      <c r="AD139" s="100"/>
      <c r="AE139" s="117"/>
      <c r="AF139" s="100"/>
      <c r="AG139" s="117"/>
      <c r="AH139" s="100"/>
      <c r="AI139" s="65">
        <v>45540872</v>
      </c>
      <c r="AJ139" s="15" t="s">
        <v>40</v>
      </c>
      <c r="AK139" s="15" t="s">
        <v>5</v>
      </c>
      <c r="AL139" s="15" t="s">
        <v>9</v>
      </c>
      <c r="AM139" s="118">
        <v>5.4999999999999997E-3</v>
      </c>
      <c r="AN139" s="118">
        <v>5.4999999999999997E-3</v>
      </c>
      <c r="AO139" s="118">
        <v>0</v>
      </c>
      <c r="AP139" s="100">
        <v>46055</v>
      </c>
      <c r="AQ139" s="99"/>
    </row>
    <row r="140" spans="1:43" x14ac:dyDescent="0.25">
      <c r="A140" s="99" t="b">
        <v>0</v>
      </c>
      <c r="B140" s="101" t="s">
        <v>472</v>
      </c>
      <c r="C140" s="109" t="s">
        <v>465</v>
      </c>
      <c r="D140" s="15" t="s">
        <v>450</v>
      </c>
      <c r="E140" s="15" t="s">
        <v>353</v>
      </c>
      <c r="F140" s="98" t="s">
        <v>568</v>
      </c>
      <c r="G140" s="99" t="s">
        <v>539</v>
      </c>
      <c r="H140" s="120">
        <v>3.5000000000000001E-3</v>
      </c>
      <c r="I140" s="117"/>
      <c r="J140" s="100"/>
      <c r="K140" s="117"/>
      <c r="L140" s="100"/>
      <c r="M140" s="117"/>
      <c r="N140" s="100"/>
      <c r="O140" s="117"/>
      <c r="P140" s="100"/>
      <c r="Q140" s="117"/>
      <c r="R140" s="100"/>
      <c r="S140" s="117"/>
      <c r="T140" s="100"/>
      <c r="U140" s="117"/>
      <c r="V140" s="100"/>
      <c r="W140" s="117"/>
      <c r="X140" s="100"/>
      <c r="Y140" s="117"/>
      <c r="Z140" s="100"/>
      <c r="AA140" s="117"/>
      <c r="AB140" s="100"/>
      <c r="AC140" s="117"/>
      <c r="AD140" s="100"/>
      <c r="AE140" s="117"/>
      <c r="AF140" s="100"/>
      <c r="AG140" s="117"/>
      <c r="AH140" s="100"/>
      <c r="AI140" s="65">
        <v>45540822</v>
      </c>
      <c r="AJ140" s="15" t="s">
        <v>40</v>
      </c>
      <c r="AK140" s="15" t="s">
        <v>5</v>
      </c>
      <c r="AL140" s="15" t="s">
        <v>9</v>
      </c>
      <c r="AM140" s="118">
        <v>5.4999999999999997E-3</v>
      </c>
      <c r="AN140" s="118">
        <v>5.4999999999999997E-3</v>
      </c>
      <c r="AO140" s="118">
        <v>0</v>
      </c>
      <c r="AP140" s="100">
        <v>46056</v>
      </c>
      <c r="AQ140" s="99"/>
    </row>
    <row r="141" spans="1:43" x14ac:dyDescent="0.25">
      <c r="A141" s="17" t="b">
        <v>1</v>
      </c>
      <c r="B141" s="101" t="s">
        <v>437</v>
      </c>
      <c r="C141" s="109"/>
      <c r="D141" s="95" t="s">
        <v>506</v>
      </c>
      <c r="E141" s="110" t="s">
        <v>434</v>
      </c>
      <c r="F141" s="98"/>
      <c r="G141" s="99" t="s">
        <v>207</v>
      </c>
      <c r="H141" s="106">
        <v>0</v>
      </c>
      <c r="I141" s="117">
        <v>0</v>
      </c>
      <c r="J141" s="100" t="s">
        <v>85</v>
      </c>
      <c r="K141" s="117">
        <v>0</v>
      </c>
      <c r="L141" s="100" t="s">
        <v>85</v>
      </c>
      <c r="M141" s="117">
        <v>0</v>
      </c>
      <c r="N141" s="100" t="s">
        <v>85</v>
      </c>
      <c r="O141" s="117">
        <v>0</v>
      </c>
      <c r="P141" s="100" t="s">
        <v>85</v>
      </c>
      <c r="Q141" s="117">
        <v>0</v>
      </c>
      <c r="R141" s="100" t="s">
        <v>85</v>
      </c>
      <c r="S141" s="117">
        <v>0</v>
      </c>
      <c r="T141" s="100" t="s">
        <v>85</v>
      </c>
      <c r="U141" s="117">
        <v>0</v>
      </c>
      <c r="V141" s="100" t="s">
        <v>85</v>
      </c>
      <c r="W141" s="117">
        <v>0</v>
      </c>
      <c r="X141" s="100" t="s">
        <v>85</v>
      </c>
      <c r="Y141" s="117">
        <v>0</v>
      </c>
      <c r="Z141" s="100" t="s">
        <v>85</v>
      </c>
      <c r="AA141" s="117">
        <v>0</v>
      </c>
      <c r="AB141" s="100" t="s">
        <v>85</v>
      </c>
      <c r="AC141" s="117">
        <v>0</v>
      </c>
      <c r="AD141" s="100" t="s">
        <v>85</v>
      </c>
      <c r="AE141" s="117"/>
      <c r="AF141" s="100"/>
      <c r="AG141" s="117"/>
      <c r="AH141" s="100"/>
      <c r="AI141" s="65">
        <v>667891544</v>
      </c>
      <c r="AJ141" s="15" t="s">
        <v>40</v>
      </c>
      <c r="AK141" s="15" t="s">
        <v>5</v>
      </c>
      <c r="AL141" s="15" t="s">
        <v>9</v>
      </c>
      <c r="AM141" s="118">
        <v>5.4999999999999997E-3</v>
      </c>
      <c r="AN141" s="118">
        <v>5.4999999999999997E-3</v>
      </c>
      <c r="AO141" s="118"/>
      <c r="AP141" s="100">
        <v>46054</v>
      </c>
      <c r="AQ141" s="99"/>
    </row>
    <row r="142" spans="1:43" x14ac:dyDescent="0.25">
      <c r="A142" s="17" t="b">
        <v>1</v>
      </c>
      <c r="B142" s="101" t="s">
        <v>438</v>
      </c>
      <c r="C142" s="109"/>
      <c r="D142" s="95" t="s">
        <v>506</v>
      </c>
      <c r="E142" s="110" t="s">
        <v>434</v>
      </c>
      <c r="F142" s="98"/>
      <c r="G142" s="99" t="s">
        <v>207</v>
      </c>
      <c r="H142" s="106">
        <v>0</v>
      </c>
      <c r="I142" s="117">
        <v>0</v>
      </c>
      <c r="J142" s="100" t="s">
        <v>85</v>
      </c>
      <c r="K142" s="117">
        <v>0</v>
      </c>
      <c r="L142" s="100" t="s">
        <v>85</v>
      </c>
      <c r="M142" s="117">
        <v>0</v>
      </c>
      <c r="N142" s="100" t="s">
        <v>85</v>
      </c>
      <c r="O142" s="117">
        <v>0</v>
      </c>
      <c r="P142" s="100" t="s">
        <v>85</v>
      </c>
      <c r="Q142" s="117">
        <v>0</v>
      </c>
      <c r="R142" s="100" t="s">
        <v>85</v>
      </c>
      <c r="S142" s="117">
        <v>0</v>
      </c>
      <c r="T142" s="100" t="s">
        <v>85</v>
      </c>
      <c r="U142" s="117">
        <v>0</v>
      </c>
      <c r="V142" s="100" t="s">
        <v>85</v>
      </c>
      <c r="W142" s="117">
        <v>0</v>
      </c>
      <c r="X142" s="100" t="s">
        <v>85</v>
      </c>
      <c r="Y142" s="117">
        <v>0</v>
      </c>
      <c r="Z142" s="100" t="s">
        <v>85</v>
      </c>
      <c r="AA142" s="117">
        <v>0</v>
      </c>
      <c r="AB142" s="100" t="s">
        <v>85</v>
      </c>
      <c r="AC142" s="117">
        <v>0</v>
      </c>
      <c r="AD142" s="100" t="s">
        <v>85</v>
      </c>
      <c r="AE142" s="117"/>
      <c r="AF142" s="100"/>
      <c r="AG142" s="117"/>
      <c r="AH142" s="100"/>
      <c r="AI142" s="65">
        <v>667891543</v>
      </c>
      <c r="AJ142" s="15" t="s">
        <v>40</v>
      </c>
      <c r="AK142" s="15" t="s">
        <v>5</v>
      </c>
      <c r="AL142" s="15" t="s">
        <v>9</v>
      </c>
      <c r="AM142" s="118">
        <v>5.4999999999999997E-3</v>
      </c>
      <c r="AN142" s="118">
        <v>5.4999999999999997E-3</v>
      </c>
      <c r="AO142" s="118"/>
      <c r="AP142" s="100">
        <v>46054</v>
      </c>
      <c r="AQ142" s="99"/>
    </row>
    <row r="143" spans="1:43" x14ac:dyDescent="0.25">
      <c r="A143" s="17" t="b">
        <v>1</v>
      </c>
      <c r="B143" s="101" t="s">
        <v>449</v>
      </c>
      <c r="C143" s="109"/>
      <c r="D143" s="95" t="s">
        <v>307</v>
      </c>
      <c r="E143" s="95" t="s">
        <v>569</v>
      </c>
      <c r="F143" s="98" t="s">
        <v>570</v>
      </c>
      <c r="G143" s="99" t="s">
        <v>532</v>
      </c>
      <c r="H143" s="106">
        <v>3.0000000000000001E-3</v>
      </c>
      <c r="I143" s="117">
        <v>1.01528</v>
      </c>
      <c r="J143" s="100">
        <v>46010</v>
      </c>
      <c r="K143" s="117">
        <v>0</v>
      </c>
      <c r="L143" s="100" t="s">
        <v>85</v>
      </c>
      <c r="M143" s="117">
        <v>0</v>
      </c>
      <c r="N143" s="100" t="s">
        <v>85</v>
      </c>
      <c r="O143" s="117">
        <v>0</v>
      </c>
      <c r="P143" s="100" t="s">
        <v>85</v>
      </c>
      <c r="Q143" s="117">
        <v>0</v>
      </c>
      <c r="R143" s="100" t="s">
        <v>85</v>
      </c>
      <c r="S143" s="117">
        <v>0</v>
      </c>
      <c r="T143" s="100" t="s">
        <v>85</v>
      </c>
      <c r="U143" s="117">
        <v>0</v>
      </c>
      <c r="V143" s="100" t="s">
        <v>85</v>
      </c>
      <c r="W143" s="117">
        <v>0</v>
      </c>
      <c r="X143" s="100" t="s">
        <v>85</v>
      </c>
      <c r="Y143" s="117">
        <v>0</v>
      </c>
      <c r="Z143" s="100" t="s">
        <v>85</v>
      </c>
      <c r="AA143" s="117">
        <v>0</v>
      </c>
      <c r="AB143" s="100" t="s">
        <v>85</v>
      </c>
      <c r="AC143" s="117">
        <v>0</v>
      </c>
      <c r="AD143" s="100" t="s">
        <v>85</v>
      </c>
      <c r="AE143" s="117"/>
      <c r="AF143" s="100"/>
      <c r="AG143" s="117"/>
      <c r="AH143" s="100"/>
      <c r="AI143" s="108">
        <v>96079917</v>
      </c>
      <c r="AJ143" s="15" t="s">
        <v>40</v>
      </c>
      <c r="AK143" s="15" t="s">
        <v>5</v>
      </c>
      <c r="AL143" s="15" t="s">
        <v>9</v>
      </c>
      <c r="AM143" s="118">
        <v>5.4999999999999997E-3</v>
      </c>
      <c r="AN143" s="118">
        <v>5.4999999999999997E-3</v>
      </c>
      <c r="AO143" s="118">
        <v>0</v>
      </c>
      <c r="AP143" s="100">
        <v>46054</v>
      </c>
      <c r="AQ143" s="99"/>
    </row>
    <row r="144" spans="1:43" x14ac:dyDescent="0.25">
      <c r="A144" s="17" t="b">
        <v>1</v>
      </c>
      <c r="B144" s="101" t="s">
        <v>365</v>
      </c>
      <c r="C144" s="109"/>
      <c r="D144" s="95" t="s">
        <v>506</v>
      </c>
      <c r="E144" s="110" t="s">
        <v>371</v>
      </c>
      <c r="F144" s="98"/>
      <c r="G144" s="99" t="s">
        <v>207</v>
      </c>
      <c r="H144" s="106">
        <v>0</v>
      </c>
      <c r="I144" s="117">
        <v>0</v>
      </c>
      <c r="J144" s="100" t="s">
        <v>85</v>
      </c>
      <c r="K144" s="117">
        <v>0</v>
      </c>
      <c r="L144" s="100" t="s">
        <v>85</v>
      </c>
      <c r="M144" s="117">
        <v>0.5</v>
      </c>
      <c r="N144" s="100">
        <v>46057</v>
      </c>
      <c r="O144" s="117">
        <v>0</v>
      </c>
      <c r="P144" s="100" t="s">
        <v>85</v>
      </c>
      <c r="Q144" s="117">
        <v>0.5</v>
      </c>
      <c r="R144" s="100">
        <v>46134</v>
      </c>
      <c r="S144" s="117">
        <v>0</v>
      </c>
      <c r="T144" s="100" t="s">
        <v>85</v>
      </c>
      <c r="U144" s="117">
        <v>0</v>
      </c>
      <c r="V144" s="100" t="s">
        <v>85</v>
      </c>
      <c r="W144" s="117">
        <v>0.5</v>
      </c>
      <c r="X144" s="100">
        <v>46213</v>
      </c>
      <c r="Y144" s="117">
        <v>0</v>
      </c>
      <c r="Z144" s="100" t="s">
        <v>85</v>
      </c>
      <c r="AA144" s="117">
        <v>0</v>
      </c>
      <c r="AB144" s="100" t="s">
        <v>85</v>
      </c>
      <c r="AC144" s="117">
        <v>0.5</v>
      </c>
      <c r="AD144" s="100">
        <v>46302</v>
      </c>
      <c r="AE144" s="117"/>
      <c r="AF144" s="100"/>
      <c r="AG144" s="117"/>
      <c r="AH144" s="100"/>
      <c r="AI144" s="65">
        <v>9091</v>
      </c>
      <c r="AJ144" s="15" t="s">
        <v>40</v>
      </c>
      <c r="AK144" s="15" t="s">
        <v>5</v>
      </c>
      <c r="AL144" s="15" t="s">
        <v>9</v>
      </c>
      <c r="AM144" s="118">
        <v>5.4999999999999997E-3</v>
      </c>
      <c r="AN144" s="118">
        <v>5.4999999999999997E-3</v>
      </c>
      <c r="AO144" s="118">
        <v>0</v>
      </c>
      <c r="AP144" s="100">
        <v>46060</v>
      </c>
      <c r="AQ144" s="99"/>
    </row>
    <row r="145" spans="1:43" x14ac:dyDescent="0.25">
      <c r="A145" s="17" t="b">
        <v>1</v>
      </c>
      <c r="B145" s="101" t="s">
        <v>366</v>
      </c>
      <c r="C145" s="109"/>
      <c r="D145" s="95" t="s">
        <v>506</v>
      </c>
      <c r="E145" s="110" t="s">
        <v>371</v>
      </c>
      <c r="F145" s="98"/>
      <c r="G145" s="99" t="s">
        <v>207</v>
      </c>
      <c r="H145" s="106">
        <v>0</v>
      </c>
      <c r="I145" s="117">
        <v>0</v>
      </c>
      <c r="J145" s="100" t="s">
        <v>85</v>
      </c>
      <c r="K145" s="117">
        <v>0</v>
      </c>
      <c r="L145" s="100" t="s">
        <v>85</v>
      </c>
      <c r="M145" s="117">
        <v>0.5</v>
      </c>
      <c r="N145" s="100">
        <v>46057</v>
      </c>
      <c r="O145" s="117">
        <v>0</v>
      </c>
      <c r="P145" s="100" t="s">
        <v>85</v>
      </c>
      <c r="Q145" s="117">
        <v>0.5</v>
      </c>
      <c r="R145" s="100">
        <v>46134</v>
      </c>
      <c r="S145" s="117">
        <v>0</v>
      </c>
      <c r="T145" s="100" t="s">
        <v>85</v>
      </c>
      <c r="U145" s="117">
        <v>0</v>
      </c>
      <c r="V145" s="100" t="s">
        <v>85</v>
      </c>
      <c r="W145" s="117">
        <v>0.5</v>
      </c>
      <c r="X145" s="100">
        <v>46213</v>
      </c>
      <c r="Y145" s="117">
        <v>0</v>
      </c>
      <c r="Z145" s="100" t="s">
        <v>85</v>
      </c>
      <c r="AA145" s="117">
        <v>0</v>
      </c>
      <c r="AB145" s="100" t="s">
        <v>85</v>
      </c>
      <c r="AC145" s="117">
        <v>0.5</v>
      </c>
      <c r="AD145" s="100">
        <v>46302</v>
      </c>
      <c r="AE145" s="117"/>
      <c r="AF145" s="100"/>
      <c r="AG145" s="117"/>
      <c r="AH145" s="100"/>
      <c r="AI145" s="65">
        <v>17722625</v>
      </c>
      <c r="AJ145" s="15" t="s">
        <v>40</v>
      </c>
      <c r="AK145" s="15" t="s">
        <v>5</v>
      </c>
      <c r="AL145" s="15" t="s">
        <v>9</v>
      </c>
      <c r="AM145" s="118">
        <v>5.4999999999999997E-3</v>
      </c>
      <c r="AN145" s="118">
        <v>5.4999999999999997E-3</v>
      </c>
      <c r="AO145" s="118">
        <v>0</v>
      </c>
      <c r="AP145" s="100">
        <v>46060</v>
      </c>
      <c r="AQ145" s="99"/>
    </row>
    <row r="146" spans="1:43" x14ac:dyDescent="0.25">
      <c r="A146" s="17" t="b">
        <v>1</v>
      </c>
      <c r="B146" s="101" t="s">
        <v>442</v>
      </c>
      <c r="C146" s="109"/>
      <c r="D146" s="95" t="s">
        <v>506</v>
      </c>
      <c r="E146" s="110" t="s">
        <v>434</v>
      </c>
      <c r="F146" s="98"/>
      <c r="G146" s="99" t="s">
        <v>207</v>
      </c>
      <c r="H146" s="106">
        <v>0</v>
      </c>
      <c r="I146" s="117">
        <v>0</v>
      </c>
      <c r="J146" s="100" t="s">
        <v>85</v>
      </c>
      <c r="K146" s="117">
        <v>0</v>
      </c>
      <c r="L146" s="100" t="s">
        <v>85</v>
      </c>
      <c r="M146" s="117">
        <v>0</v>
      </c>
      <c r="N146" s="100" t="s">
        <v>85</v>
      </c>
      <c r="O146" s="117">
        <v>0</v>
      </c>
      <c r="P146" s="100" t="s">
        <v>85</v>
      </c>
      <c r="Q146" s="117">
        <v>0</v>
      </c>
      <c r="R146" s="100" t="s">
        <v>85</v>
      </c>
      <c r="S146" s="117">
        <v>0</v>
      </c>
      <c r="T146" s="100" t="s">
        <v>85</v>
      </c>
      <c r="U146" s="117">
        <v>0</v>
      </c>
      <c r="V146" s="100" t="s">
        <v>85</v>
      </c>
      <c r="W146" s="117">
        <v>0</v>
      </c>
      <c r="X146" s="100" t="s">
        <v>85</v>
      </c>
      <c r="Y146" s="117">
        <v>0</v>
      </c>
      <c r="Z146" s="100" t="s">
        <v>85</v>
      </c>
      <c r="AA146" s="117">
        <v>0</v>
      </c>
      <c r="AB146" s="100" t="s">
        <v>85</v>
      </c>
      <c r="AC146" s="117">
        <v>0</v>
      </c>
      <c r="AD146" s="100" t="s">
        <v>85</v>
      </c>
      <c r="AE146" s="117"/>
      <c r="AF146" s="100"/>
      <c r="AG146" s="117"/>
      <c r="AH146" s="100"/>
      <c r="AI146" s="65">
        <v>301303331</v>
      </c>
      <c r="AJ146" s="15" t="s">
        <v>40</v>
      </c>
      <c r="AK146" s="15" t="s">
        <v>5</v>
      </c>
      <c r="AL146" s="15" t="s">
        <v>9</v>
      </c>
      <c r="AM146" s="118">
        <v>5.4999999999999997E-3</v>
      </c>
      <c r="AN146" s="118">
        <v>5.4999999999999997E-3</v>
      </c>
      <c r="AO146" s="118"/>
      <c r="AP146" s="100">
        <v>46054</v>
      </c>
      <c r="AQ146" s="99"/>
    </row>
    <row r="147" spans="1:43" x14ac:dyDescent="0.25">
      <c r="A147" s="17" t="b">
        <v>1</v>
      </c>
      <c r="B147" s="101" t="s">
        <v>439</v>
      </c>
      <c r="C147" s="109"/>
      <c r="D147" s="95" t="s">
        <v>506</v>
      </c>
      <c r="E147" s="110" t="s">
        <v>434</v>
      </c>
      <c r="F147" s="98"/>
      <c r="G147" s="99" t="s">
        <v>207</v>
      </c>
      <c r="H147" s="106">
        <v>0</v>
      </c>
      <c r="I147" s="117">
        <v>0</v>
      </c>
      <c r="J147" s="100" t="s">
        <v>85</v>
      </c>
      <c r="K147" s="117">
        <v>0</v>
      </c>
      <c r="L147" s="100" t="s">
        <v>85</v>
      </c>
      <c r="M147" s="117">
        <v>0</v>
      </c>
      <c r="N147" s="100" t="s">
        <v>85</v>
      </c>
      <c r="O147" s="117">
        <v>0</v>
      </c>
      <c r="P147" s="100" t="s">
        <v>85</v>
      </c>
      <c r="Q147" s="117">
        <v>0</v>
      </c>
      <c r="R147" s="100" t="s">
        <v>85</v>
      </c>
      <c r="S147" s="117">
        <v>0</v>
      </c>
      <c r="T147" s="100" t="s">
        <v>85</v>
      </c>
      <c r="U147" s="117">
        <v>0</v>
      </c>
      <c r="V147" s="100" t="s">
        <v>85</v>
      </c>
      <c r="W147" s="117">
        <v>0</v>
      </c>
      <c r="X147" s="100" t="s">
        <v>85</v>
      </c>
      <c r="Y147" s="117">
        <v>0</v>
      </c>
      <c r="Z147" s="100" t="s">
        <v>85</v>
      </c>
      <c r="AA147" s="117">
        <v>0</v>
      </c>
      <c r="AB147" s="100" t="s">
        <v>85</v>
      </c>
      <c r="AC147" s="117">
        <v>0</v>
      </c>
      <c r="AD147" s="100" t="s">
        <v>85</v>
      </c>
      <c r="AE147" s="117"/>
      <c r="AF147" s="100"/>
      <c r="AG147" s="117"/>
      <c r="AH147" s="100"/>
      <c r="AI147" s="65">
        <v>301303327</v>
      </c>
      <c r="AJ147" s="15" t="s">
        <v>40</v>
      </c>
      <c r="AK147" s="15" t="s">
        <v>5</v>
      </c>
      <c r="AL147" s="15" t="s">
        <v>9</v>
      </c>
      <c r="AM147" s="118">
        <v>5.4999999999999997E-3</v>
      </c>
      <c r="AN147" s="118">
        <v>5.4999999999999997E-3</v>
      </c>
      <c r="AO147" s="118"/>
      <c r="AP147" s="100">
        <v>46054</v>
      </c>
      <c r="AQ147" s="99"/>
    </row>
    <row r="148" spans="1:43" ht="15" customHeight="1" x14ac:dyDescent="0.25">
      <c r="A148" s="99" t="b">
        <v>0</v>
      </c>
      <c r="B148" s="101" t="s">
        <v>231</v>
      </c>
      <c r="C148" s="109"/>
      <c r="D148" s="95" t="s">
        <v>307</v>
      </c>
      <c r="E148" s="95" t="s">
        <v>311</v>
      </c>
      <c r="F148" s="98"/>
      <c r="G148" s="99" t="s">
        <v>532</v>
      </c>
      <c r="H148" s="120">
        <v>1.4E-3</v>
      </c>
      <c r="I148" s="117"/>
      <c r="J148" s="100"/>
      <c r="K148" s="117"/>
      <c r="L148" s="100"/>
      <c r="M148" s="117"/>
      <c r="N148" s="100"/>
      <c r="O148" s="117"/>
      <c r="P148" s="100"/>
      <c r="Q148" s="117"/>
      <c r="R148" s="100"/>
      <c r="S148" s="117"/>
      <c r="T148" s="100"/>
      <c r="U148" s="117"/>
      <c r="V148" s="100"/>
      <c r="W148" s="117"/>
      <c r="X148" s="100"/>
      <c r="Y148" s="117"/>
      <c r="Z148" s="100"/>
      <c r="AA148" s="117"/>
      <c r="AB148" s="100"/>
      <c r="AC148" s="117"/>
      <c r="AD148" s="100"/>
      <c r="AE148" s="117"/>
      <c r="AF148" s="100"/>
      <c r="AG148" s="117"/>
      <c r="AH148" s="100"/>
      <c r="AI148" s="108">
        <v>15547816</v>
      </c>
      <c r="AJ148" s="15" t="s">
        <v>40</v>
      </c>
      <c r="AK148" s="15" t="s">
        <v>5</v>
      </c>
      <c r="AL148" s="15" t="s">
        <v>9</v>
      </c>
      <c r="AM148" s="118">
        <v>5.4999999999999997E-3</v>
      </c>
      <c r="AN148" s="118">
        <v>5.4999999999999997E-3</v>
      </c>
      <c r="AO148" s="118">
        <v>0</v>
      </c>
      <c r="AP148" s="100">
        <v>46054</v>
      </c>
      <c r="AQ148" s="99"/>
    </row>
    <row r="149" spans="1:43" x14ac:dyDescent="0.25">
      <c r="A149" s="99" t="b">
        <v>0</v>
      </c>
      <c r="B149" s="101" t="s">
        <v>195</v>
      </c>
      <c r="C149" s="109"/>
      <c r="D149" s="95" t="s">
        <v>307</v>
      </c>
      <c r="E149" s="95" t="s">
        <v>315</v>
      </c>
      <c r="F149" s="98"/>
      <c r="G149" s="99" t="s">
        <v>532</v>
      </c>
      <c r="H149" s="120">
        <v>4.0000000000000002E-4</v>
      </c>
      <c r="I149" s="117"/>
      <c r="J149" s="100"/>
      <c r="K149" s="117"/>
      <c r="L149" s="100"/>
      <c r="M149" s="117"/>
      <c r="N149" s="100"/>
      <c r="O149" s="117"/>
      <c r="P149" s="100"/>
      <c r="Q149" s="117"/>
      <c r="R149" s="100"/>
      <c r="S149" s="117"/>
      <c r="T149" s="100"/>
      <c r="U149" s="117"/>
      <c r="V149" s="100"/>
      <c r="W149" s="117"/>
      <c r="X149" s="100"/>
      <c r="Y149" s="117"/>
      <c r="Z149" s="100"/>
      <c r="AA149" s="117"/>
      <c r="AB149" s="100"/>
      <c r="AC149" s="117"/>
      <c r="AD149" s="100"/>
      <c r="AE149" s="117"/>
      <c r="AF149" s="100"/>
      <c r="AG149" s="117"/>
      <c r="AH149" s="100"/>
      <c r="AI149" s="108">
        <v>43283708</v>
      </c>
      <c r="AJ149" s="15" t="s">
        <v>40</v>
      </c>
      <c r="AK149" s="15" t="s">
        <v>5</v>
      </c>
      <c r="AL149" s="15" t="s">
        <v>9</v>
      </c>
      <c r="AM149" s="118">
        <v>5.4999999999999997E-3</v>
      </c>
      <c r="AN149" s="118">
        <v>5.4999999999999997E-3</v>
      </c>
      <c r="AO149" s="118">
        <v>0</v>
      </c>
      <c r="AP149" s="100">
        <v>46054</v>
      </c>
      <c r="AQ149" s="99"/>
    </row>
    <row r="150" spans="1:43" x14ac:dyDescent="0.25">
      <c r="A150" s="17" t="b">
        <v>1</v>
      </c>
      <c r="B150" s="101" t="s">
        <v>363</v>
      </c>
      <c r="C150" s="109"/>
      <c r="D150" s="95" t="s">
        <v>506</v>
      </c>
      <c r="E150" s="110" t="s">
        <v>370</v>
      </c>
      <c r="F150" s="98"/>
      <c r="G150" s="99" t="s">
        <v>207</v>
      </c>
      <c r="H150" s="106">
        <v>0</v>
      </c>
      <c r="I150" s="117">
        <v>0.28999999999999998</v>
      </c>
      <c r="J150" s="100">
        <v>45999</v>
      </c>
      <c r="K150" s="117">
        <v>0</v>
      </c>
      <c r="L150" s="100" t="s">
        <v>85</v>
      </c>
      <c r="M150" s="117">
        <v>0.3</v>
      </c>
      <c r="N150" s="100">
        <v>46070</v>
      </c>
      <c r="O150" s="117">
        <v>0</v>
      </c>
      <c r="P150" s="100" t="s">
        <v>85</v>
      </c>
      <c r="Q150" s="117">
        <v>0</v>
      </c>
      <c r="R150" s="100" t="s">
        <v>85</v>
      </c>
      <c r="S150" s="117">
        <v>0.3</v>
      </c>
      <c r="T150" s="100">
        <v>46154</v>
      </c>
      <c r="U150" s="117">
        <v>0</v>
      </c>
      <c r="V150" s="100" t="s">
        <v>85</v>
      </c>
      <c r="W150" s="117">
        <v>0</v>
      </c>
      <c r="X150" s="100" t="s">
        <v>85</v>
      </c>
      <c r="Y150" s="117">
        <v>0.3</v>
      </c>
      <c r="Z150" s="100">
        <v>46248</v>
      </c>
      <c r="AA150" s="117">
        <v>0</v>
      </c>
      <c r="AB150" s="100" t="s">
        <v>85</v>
      </c>
      <c r="AC150" s="117">
        <v>0</v>
      </c>
      <c r="AD150" s="100" t="s">
        <v>85</v>
      </c>
      <c r="AE150" s="117"/>
      <c r="AF150" s="100"/>
      <c r="AG150" s="117"/>
      <c r="AH150" s="100"/>
      <c r="AI150" s="65">
        <v>755608</v>
      </c>
      <c r="AJ150" s="15" t="s">
        <v>40</v>
      </c>
      <c r="AK150" s="15" t="s">
        <v>5</v>
      </c>
      <c r="AL150" s="15" t="s">
        <v>9</v>
      </c>
      <c r="AM150" s="118">
        <v>5.4999999999999997E-3</v>
      </c>
      <c r="AN150" s="118">
        <v>5.4999999999999997E-3</v>
      </c>
      <c r="AO150" s="118">
        <v>0</v>
      </c>
      <c r="AP150" s="100">
        <v>46060</v>
      </c>
      <c r="AQ150" s="99"/>
    </row>
    <row r="151" spans="1:43" x14ac:dyDescent="0.25">
      <c r="A151" s="17" t="b">
        <v>1</v>
      </c>
      <c r="B151" s="101" t="s">
        <v>364</v>
      </c>
      <c r="C151" s="109"/>
      <c r="D151" s="95" t="s">
        <v>506</v>
      </c>
      <c r="E151" s="110" t="s">
        <v>370</v>
      </c>
      <c r="F151" s="98"/>
      <c r="G151" s="99" t="s">
        <v>207</v>
      </c>
      <c r="H151" s="106">
        <v>0</v>
      </c>
      <c r="I151" s="117">
        <v>0.28999999999999998</v>
      </c>
      <c r="J151" s="100">
        <v>45999</v>
      </c>
      <c r="K151" s="117">
        <v>0</v>
      </c>
      <c r="L151" s="100" t="s">
        <v>85</v>
      </c>
      <c r="M151" s="117">
        <v>0.3</v>
      </c>
      <c r="N151" s="100">
        <v>46070</v>
      </c>
      <c r="O151" s="117">
        <v>0</v>
      </c>
      <c r="P151" s="100" t="s">
        <v>85</v>
      </c>
      <c r="Q151" s="117">
        <v>0</v>
      </c>
      <c r="R151" s="100" t="s">
        <v>85</v>
      </c>
      <c r="S151" s="117">
        <v>0.3</v>
      </c>
      <c r="T151" s="100">
        <v>46154</v>
      </c>
      <c r="U151" s="117">
        <v>0</v>
      </c>
      <c r="V151" s="100" t="s">
        <v>85</v>
      </c>
      <c r="W151" s="117">
        <v>0</v>
      </c>
      <c r="X151" s="100" t="s">
        <v>85</v>
      </c>
      <c r="Y151" s="117">
        <v>0.3</v>
      </c>
      <c r="Z151" s="100">
        <v>46248</v>
      </c>
      <c r="AA151" s="117">
        <v>0</v>
      </c>
      <c r="AB151" s="100" t="s">
        <v>85</v>
      </c>
      <c r="AC151" s="117">
        <v>0</v>
      </c>
      <c r="AD151" s="100" t="s">
        <v>85</v>
      </c>
      <c r="AE151" s="117"/>
      <c r="AF151" s="100"/>
      <c r="AG151" s="117"/>
      <c r="AH151" s="100"/>
      <c r="AI151" s="65">
        <v>755613</v>
      </c>
      <c r="AJ151" s="15" t="s">
        <v>40</v>
      </c>
      <c r="AK151" s="15" t="s">
        <v>5</v>
      </c>
      <c r="AL151" s="15" t="s">
        <v>9</v>
      </c>
      <c r="AM151" s="118">
        <v>5.4999999999999997E-3</v>
      </c>
      <c r="AN151" s="118">
        <v>5.4999999999999997E-3</v>
      </c>
      <c r="AO151" s="118">
        <v>0</v>
      </c>
      <c r="AP151" s="100">
        <v>46060</v>
      </c>
      <c r="AQ151" s="99"/>
    </row>
    <row r="152" spans="1:43" x14ac:dyDescent="0.25">
      <c r="A152" s="99" t="b">
        <v>1</v>
      </c>
      <c r="B152" s="101" t="s">
        <v>196</v>
      </c>
      <c r="C152" s="109"/>
      <c r="D152" s="95" t="s">
        <v>307</v>
      </c>
      <c r="E152" s="95" t="s">
        <v>316</v>
      </c>
      <c r="F152" s="98"/>
      <c r="G152" s="99" t="s">
        <v>532</v>
      </c>
      <c r="H152" s="106">
        <v>5.0000000000000001E-4</v>
      </c>
      <c r="I152" s="117">
        <v>0.285497</v>
      </c>
      <c r="J152" s="100">
        <v>46010</v>
      </c>
      <c r="K152" s="117">
        <v>0</v>
      </c>
      <c r="L152" s="100" t="s">
        <v>85</v>
      </c>
      <c r="M152" s="117">
        <v>0.27905000000000002</v>
      </c>
      <c r="N152" s="100">
        <v>46055</v>
      </c>
      <c r="O152" s="117">
        <v>0.29221999999999998</v>
      </c>
      <c r="P152" s="100">
        <v>46083</v>
      </c>
      <c r="Q152" s="117">
        <v>0.28211999999999998</v>
      </c>
      <c r="R152" s="100">
        <v>46113</v>
      </c>
      <c r="S152" s="117">
        <v>0.28893000000000002</v>
      </c>
      <c r="T152" s="100">
        <v>46143</v>
      </c>
      <c r="U152" s="117">
        <v>0.27983999999999998</v>
      </c>
      <c r="V152" s="100">
        <v>46174</v>
      </c>
      <c r="W152" s="117">
        <v>0.28858</v>
      </c>
      <c r="X152" s="100">
        <v>46204</v>
      </c>
      <c r="Y152" s="117">
        <v>0.2863</v>
      </c>
      <c r="Z152" s="100">
        <v>46237</v>
      </c>
      <c r="AA152" s="117">
        <v>0.28987299999999999</v>
      </c>
      <c r="AB152" s="100">
        <v>46266</v>
      </c>
      <c r="AC152" s="117">
        <v>0.27928199999999997</v>
      </c>
      <c r="AD152" s="100">
        <v>46296</v>
      </c>
      <c r="AE152" s="117"/>
      <c r="AF152" s="100"/>
      <c r="AG152" s="117"/>
      <c r="AH152" s="100"/>
      <c r="AI152" s="108">
        <v>46104034</v>
      </c>
      <c r="AJ152" s="15" t="s">
        <v>40</v>
      </c>
      <c r="AK152" s="15" t="s">
        <v>5</v>
      </c>
      <c r="AL152" s="15" t="s">
        <v>9</v>
      </c>
      <c r="AM152" s="118">
        <v>5.4999999999999997E-3</v>
      </c>
      <c r="AN152" s="118">
        <v>5.4999999999999997E-3</v>
      </c>
      <c r="AO152" s="118">
        <v>0</v>
      </c>
      <c r="AP152" s="100">
        <v>46054</v>
      </c>
      <c r="AQ152" s="99"/>
    </row>
    <row r="153" spans="1:43" x14ac:dyDescent="0.25">
      <c r="A153" s="99" t="b">
        <v>1</v>
      </c>
      <c r="B153" s="101" t="s">
        <v>332</v>
      </c>
      <c r="C153" s="109"/>
      <c r="D153" s="95" t="s">
        <v>506</v>
      </c>
      <c r="E153" s="110" t="s">
        <v>337</v>
      </c>
      <c r="F153" s="98"/>
      <c r="G153" s="99" t="s">
        <v>207</v>
      </c>
      <c r="H153" s="106">
        <v>0</v>
      </c>
      <c r="I153" s="117">
        <v>0</v>
      </c>
      <c r="J153" s="100" t="s">
        <v>85</v>
      </c>
      <c r="K153" s="117">
        <v>0</v>
      </c>
      <c r="L153" s="100" t="s">
        <v>85</v>
      </c>
      <c r="M153" s="117">
        <v>0</v>
      </c>
      <c r="N153" s="100" t="s">
        <v>85</v>
      </c>
      <c r="O153" s="117">
        <v>0.1</v>
      </c>
      <c r="P153" s="100">
        <v>46092</v>
      </c>
      <c r="Q153" s="117">
        <v>0</v>
      </c>
      <c r="R153" s="100" t="s">
        <v>85</v>
      </c>
      <c r="S153" s="117">
        <v>0</v>
      </c>
      <c r="T153" s="100" t="s">
        <v>85</v>
      </c>
      <c r="U153" s="117">
        <v>0</v>
      </c>
      <c r="V153" s="100" t="s">
        <v>85</v>
      </c>
      <c r="W153" s="117">
        <v>0</v>
      </c>
      <c r="X153" s="100" t="s">
        <v>85</v>
      </c>
      <c r="Y153" s="117">
        <v>0</v>
      </c>
      <c r="Z153" s="100" t="s">
        <v>85</v>
      </c>
      <c r="AA153" s="117">
        <v>0.1</v>
      </c>
      <c r="AB153" s="100">
        <v>46274</v>
      </c>
      <c r="AC153" s="117">
        <v>0</v>
      </c>
      <c r="AD153" s="100" t="s">
        <v>85</v>
      </c>
      <c r="AE153" s="117"/>
      <c r="AF153" s="100"/>
      <c r="AG153" s="117"/>
      <c r="AH153" s="100"/>
      <c r="AI153" s="65">
        <v>129348130</v>
      </c>
      <c r="AJ153" s="15" t="s">
        <v>40</v>
      </c>
      <c r="AK153" s="15" t="s">
        <v>5</v>
      </c>
      <c r="AL153" s="15" t="s">
        <v>9</v>
      </c>
      <c r="AM153" s="118">
        <v>5.4999999999999997E-3</v>
      </c>
      <c r="AN153" s="118">
        <v>5.4999999999999997E-3</v>
      </c>
      <c r="AO153" s="118">
        <v>0</v>
      </c>
      <c r="AP153" s="100">
        <v>46059</v>
      </c>
      <c r="AQ153" s="99"/>
    </row>
    <row r="154" spans="1:43" x14ac:dyDescent="0.25">
      <c r="A154" s="99" t="b">
        <v>1</v>
      </c>
      <c r="B154" s="101" t="s">
        <v>333</v>
      </c>
      <c r="C154" s="109"/>
      <c r="D154" s="95" t="s">
        <v>506</v>
      </c>
      <c r="E154" s="110" t="s">
        <v>337</v>
      </c>
      <c r="F154" s="98"/>
      <c r="G154" s="99" t="s">
        <v>207</v>
      </c>
      <c r="H154" s="106">
        <v>0</v>
      </c>
      <c r="I154" s="117">
        <v>0</v>
      </c>
      <c r="J154" s="100" t="s">
        <v>85</v>
      </c>
      <c r="K154" s="117">
        <v>0</v>
      </c>
      <c r="L154" s="100" t="s">
        <v>85</v>
      </c>
      <c r="M154" s="117">
        <v>0</v>
      </c>
      <c r="N154" s="100" t="s">
        <v>85</v>
      </c>
      <c r="O154" s="117">
        <v>0.1</v>
      </c>
      <c r="P154" s="100">
        <v>46092</v>
      </c>
      <c r="Q154" s="117">
        <v>0</v>
      </c>
      <c r="R154" s="100" t="s">
        <v>85</v>
      </c>
      <c r="S154" s="117">
        <v>0</v>
      </c>
      <c r="T154" s="100" t="s">
        <v>85</v>
      </c>
      <c r="U154" s="117">
        <v>0</v>
      </c>
      <c r="V154" s="100" t="s">
        <v>85</v>
      </c>
      <c r="W154" s="117">
        <v>0</v>
      </c>
      <c r="X154" s="100" t="s">
        <v>85</v>
      </c>
      <c r="Y154" s="117">
        <v>0</v>
      </c>
      <c r="Z154" s="100" t="s">
        <v>85</v>
      </c>
      <c r="AA154" s="117">
        <v>0.1</v>
      </c>
      <c r="AB154" s="100">
        <v>46274</v>
      </c>
      <c r="AC154" s="117">
        <v>0</v>
      </c>
      <c r="AD154" s="100" t="s">
        <v>85</v>
      </c>
      <c r="AE154" s="117"/>
      <c r="AF154" s="100"/>
      <c r="AG154" s="117"/>
      <c r="AH154" s="100"/>
      <c r="AI154" s="65">
        <v>129348126</v>
      </c>
      <c r="AJ154" s="15" t="s">
        <v>40</v>
      </c>
      <c r="AK154" s="15" t="s">
        <v>5</v>
      </c>
      <c r="AL154" s="15" t="s">
        <v>9</v>
      </c>
      <c r="AM154" s="118">
        <v>5.4999999999999997E-3</v>
      </c>
      <c r="AN154" s="118">
        <v>5.4999999999999997E-3</v>
      </c>
      <c r="AO154" s="118">
        <v>0</v>
      </c>
      <c r="AP154" s="100">
        <v>46060</v>
      </c>
      <c r="AQ154" s="99"/>
    </row>
    <row r="155" spans="1:43" x14ac:dyDescent="0.25">
      <c r="A155" s="99" t="b">
        <v>1</v>
      </c>
      <c r="B155" s="101" t="s">
        <v>480</v>
      </c>
      <c r="C155" s="111"/>
      <c r="D155" s="15" t="s">
        <v>450</v>
      </c>
      <c r="E155" s="15" t="s">
        <v>577</v>
      </c>
      <c r="F155" s="98" t="s">
        <v>575</v>
      </c>
      <c r="G155" s="99" t="s">
        <v>536</v>
      </c>
      <c r="H155" s="106">
        <v>3.5000000000000001E-3</v>
      </c>
      <c r="I155" s="117">
        <v>4.8689999999999998</v>
      </c>
      <c r="J155" s="100">
        <v>46013</v>
      </c>
      <c r="K155" s="117">
        <v>0</v>
      </c>
      <c r="L155" s="100" t="s">
        <v>85</v>
      </c>
      <c r="M155" s="117">
        <v>0</v>
      </c>
      <c r="N155" s="100" t="s">
        <v>85</v>
      </c>
      <c r="O155" s="117">
        <v>0</v>
      </c>
      <c r="P155" s="100" t="s">
        <v>85</v>
      </c>
      <c r="Q155" s="117">
        <v>0</v>
      </c>
      <c r="R155" s="100" t="s">
        <v>85</v>
      </c>
      <c r="S155" s="117">
        <v>0</v>
      </c>
      <c r="T155" s="100" t="s">
        <v>85</v>
      </c>
      <c r="U155" s="117">
        <v>0</v>
      </c>
      <c r="V155" s="100" t="s">
        <v>85</v>
      </c>
      <c r="W155" s="117">
        <v>0</v>
      </c>
      <c r="X155" s="100" t="s">
        <v>85</v>
      </c>
      <c r="Y155" s="117">
        <v>0</v>
      </c>
      <c r="Z155" s="100" t="s">
        <v>85</v>
      </c>
      <c r="AA155" s="117">
        <v>0</v>
      </c>
      <c r="AB155" s="100" t="s">
        <v>85</v>
      </c>
      <c r="AC155" s="117">
        <v>0</v>
      </c>
      <c r="AD155" s="100" t="s">
        <v>85</v>
      </c>
      <c r="AE155" s="117"/>
      <c r="AF155" s="100"/>
      <c r="AG155" s="117"/>
      <c r="AH155" s="100"/>
      <c r="AI155" s="65">
        <v>415578515</v>
      </c>
      <c r="AJ155" s="15" t="s">
        <v>40</v>
      </c>
      <c r="AK155" s="15" t="s">
        <v>5</v>
      </c>
      <c r="AL155" s="15" t="s">
        <v>9</v>
      </c>
      <c r="AM155" s="118">
        <v>5.4999999999999997E-3</v>
      </c>
      <c r="AN155" s="118">
        <v>5.4999999999999997E-3</v>
      </c>
      <c r="AO155" s="115">
        <v>0</v>
      </c>
      <c r="AP155" s="100">
        <v>46060</v>
      </c>
      <c r="AQ155" s="99"/>
    </row>
    <row r="156" spans="1:43" x14ac:dyDescent="0.25">
      <c r="A156" s="99" t="b">
        <v>0</v>
      </c>
      <c r="B156" s="101" t="s">
        <v>255</v>
      </c>
      <c r="C156" s="109"/>
      <c r="D156" s="95" t="s">
        <v>307</v>
      </c>
      <c r="E156" s="95" t="s">
        <v>565</v>
      </c>
      <c r="F156" s="98" t="s">
        <v>564</v>
      </c>
      <c r="G156" s="99" t="s">
        <v>538</v>
      </c>
      <c r="H156" s="120">
        <v>5.0000000000000001E-3</v>
      </c>
      <c r="I156" s="117"/>
      <c r="J156" s="100"/>
      <c r="K156" s="117"/>
      <c r="L156" s="100"/>
      <c r="M156" s="117"/>
      <c r="N156" s="100"/>
      <c r="O156" s="117"/>
      <c r="P156" s="100"/>
      <c r="Q156" s="117"/>
      <c r="R156" s="100"/>
      <c r="S156" s="117"/>
      <c r="T156" s="100"/>
      <c r="U156" s="117"/>
      <c r="V156" s="100"/>
      <c r="W156" s="117"/>
      <c r="X156" s="100"/>
      <c r="Y156" s="117"/>
      <c r="Z156" s="100"/>
      <c r="AA156" s="117"/>
      <c r="AB156" s="100"/>
      <c r="AC156" s="117"/>
      <c r="AD156" s="100"/>
      <c r="AE156" s="117"/>
      <c r="AF156" s="100"/>
      <c r="AG156" s="117"/>
      <c r="AH156" s="100"/>
      <c r="AI156" s="108">
        <v>319355940</v>
      </c>
      <c r="AJ156" s="15" t="s">
        <v>40</v>
      </c>
      <c r="AK156" s="15" t="s">
        <v>5</v>
      </c>
      <c r="AL156" s="15" t="s">
        <v>9</v>
      </c>
      <c r="AM156" s="118">
        <v>5.4999999999999997E-3</v>
      </c>
      <c r="AN156" s="118">
        <v>5.4999999999999997E-3</v>
      </c>
      <c r="AO156" s="118">
        <v>0</v>
      </c>
      <c r="AP156" s="100">
        <v>46054</v>
      </c>
      <c r="AQ156" s="99"/>
    </row>
    <row r="157" spans="1:43" x14ac:dyDescent="0.25">
      <c r="A157" s="99" t="b">
        <v>1</v>
      </c>
      <c r="B157" s="101" t="s">
        <v>253</v>
      </c>
      <c r="C157" s="109"/>
      <c r="D157" s="95" t="s">
        <v>307</v>
      </c>
      <c r="E157" s="95" t="s">
        <v>317</v>
      </c>
      <c r="F157" s="98"/>
      <c r="G157" s="99" t="s">
        <v>532</v>
      </c>
      <c r="H157" s="106">
        <v>4.4999999999999997E-3</v>
      </c>
      <c r="I157" s="117">
        <v>6.5883999999999998E-2</v>
      </c>
      <c r="J157" s="100">
        <v>46010</v>
      </c>
      <c r="K157" s="117">
        <v>0</v>
      </c>
      <c r="L157" s="100" t="s">
        <v>85</v>
      </c>
      <c r="M157" s="117">
        <v>0.17722599999999999</v>
      </c>
      <c r="N157" s="100">
        <v>46055</v>
      </c>
      <c r="O157" s="117">
        <v>3.1167E-2</v>
      </c>
      <c r="P157" s="100">
        <v>46083</v>
      </c>
      <c r="Q157" s="117">
        <v>0.14196700000000001</v>
      </c>
      <c r="R157" s="100">
        <v>46113</v>
      </c>
      <c r="S157" s="117">
        <v>0.14032500000000001</v>
      </c>
      <c r="T157" s="100">
        <v>46143</v>
      </c>
      <c r="U157" s="117">
        <v>0.13839699999999999</v>
      </c>
      <c r="V157" s="100">
        <v>46174</v>
      </c>
      <c r="W157" s="117">
        <v>0.14174</v>
      </c>
      <c r="X157" s="100">
        <v>46204</v>
      </c>
      <c r="Y157" s="117">
        <v>0.14230999999999999</v>
      </c>
      <c r="Z157" s="100">
        <v>46237</v>
      </c>
      <c r="AA157" s="117">
        <v>0.14724200000000001</v>
      </c>
      <c r="AB157" s="100">
        <v>46266</v>
      </c>
      <c r="AC157" s="117">
        <v>0.159413</v>
      </c>
      <c r="AD157" s="100">
        <v>46296</v>
      </c>
      <c r="AE157" s="117"/>
      <c r="AF157" s="100"/>
      <c r="AG157" s="117"/>
      <c r="AH157" s="100"/>
      <c r="AI157" s="108">
        <v>41037032</v>
      </c>
      <c r="AJ157" s="15" t="s">
        <v>40</v>
      </c>
      <c r="AK157" s="15" t="s">
        <v>5</v>
      </c>
      <c r="AL157" s="15" t="s">
        <v>9</v>
      </c>
      <c r="AM157" s="118">
        <v>5.4999999999999997E-3</v>
      </c>
      <c r="AN157" s="118">
        <v>5.4999999999999997E-3</v>
      </c>
      <c r="AO157" s="118">
        <v>0</v>
      </c>
      <c r="AP157" s="100">
        <v>46054</v>
      </c>
      <c r="AQ157" s="99"/>
    </row>
    <row r="158" spans="1:43" x14ac:dyDescent="0.25">
      <c r="A158" s="99" t="b">
        <v>1</v>
      </c>
      <c r="B158" s="101" t="s">
        <v>254</v>
      </c>
      <c r="C158" s="109"/>
      <c r="D158" s="95" t="s">
        <v>307</v>
      </c>
      <c r="E158" s="95" t="s">
        <v>317</v>
      </c>
      <c r="F158" s="98"/>
      <c r="G158" s="99" t="s">
        <v>552</v>
      </c>
      <c r="H158" s="106">
        <v>2.3E-3</v>
      </c>
      <c r="I158" s="117">
        <v>0.1</v>
      </c>
      <c r="J158" s="100">
        <v>46021</v>
      </c>
      <c r="K158" s="117">
        <v>0</v>
      </c>
      <c r="L158" s="100" t="s">
        <v>85</v>
      </c>
      <c r="M158" s="117">
        <v>0.1</v>
      </c>
      <c r="N158" s="100">
        <v>46055</v>
      </c>
      <c r="O158" s="117">
        <v>0.1</v>
      </c>
      <c r="P158" s="100">
        <v>46083</v>
      </c>
      <c r="Q158" s="117">
        <v>0.1</v>
      </c>
      <c r="R158" s="100">
        <v>46113</v>
      </c>
      <c r="S158" s="117">
        <v>0.1</v>
      </c>
      <c r="T158" s="100">
        <v>46143</v>
      </c>
      <c r="U158" s="117">
        <v>0.1</v>
      </c>
      <c r="V158" s="100">
        <v>46174</v>
      </c>
      <c r="W158" s="117">
        <v>0.1</v>
      </c>
      <c r="X158" s="100">
        <v>46204</v>
      </c>
      <c r="Y158" s="117">
        <v>0.1</v>
      </c>
      <c r="Z158" s="100">
        <v>46237</v>
      </c>
      <c r="AA158" s="117">
        <v>0.1</v>
      </c>
      <c r="AB158" s="100">
        <v>46266</v>
      </c>
      <c r="AC158" s="117">
        <v>0.1</v>
      </c>
      <c r="AD158" s="100">
        <v>46296</v>
      </c>
      <c r="AE158" s="117"/>
      <c r="AF158" s="100"/>
      <c r="AG158" s="117"/>
      <c r="AH158" s="100"/>
      <c r="AI158" s="108">
        <v>288871046</v>
      </c>
      <c r="AJ158" s="15" t="s">
        <v>40</v>
      </c>
      <c r="AK158" s="15" t="s">
        <v>5</v>
      </c>
      <c r="AL158" s="15" t="s">
        <v>9</v>
      </c>
      <c r="AM158" s="118">
        <v>5.4999999999999997E-3</v>
      </c>
      <c r="AN158" s="118">
        <v>5.4999999999999997E-3</v>
      </c>
      <c r="AO158" s="118">
        <v>0</v>
      </c>
      <c r="AP158" s="100">
        <v>46054</v>
      </c>
      <c r="AQ158" s="99"/>
    </row>
    <row r="159" spans="1:43" x14ac:dyDescent="0.25">
      <c r="A159" s="99" t="b">
        <v>0</v>
      </c>
      <c r="B159" s="101" t="s">
        <v>443</v>
      </c>
      <c r="C159" s="109"/>
      <c r="D159" s="95" t="s">
        <v>307</v>
      </c>
      <c r="E159" s="95" t="s">
        <v>317</v>
      </c>
      <c r="F159" s="98"/>
      <c r="G159" s="99" t="s">
        <v>538</v>
      </c>
      <c r="H159" s="120">
        <v>5.0000000000000001E-3</v>
      </c>
      <c r="I159" s="117"/>
      <c r="J159" s="100"/>
      <c r="K159" s="117"/>
      <c r="L159" s="100"/>
      <c r="M159" s="117"/>
      <c r="N159" s="100"/>
      <c r="O159" s="117"/>
      <c r="P159" s="100"/>
      <c r="Q159" s="117"/>
      <c r="R159" s="100"/>
      <c r="S159" s="117"/>
      <c r="T159" s="100"/>
      <c r="U159" s="117"/>
      <c r="V159" s="100"/>
      <c r="W159" s="117"/>
      <c r="X159" s="100"/>
      <c r="Y159" s="117"/>
      <c r="Z159" s="100"/>
      <c r="AA159" s="117"/>
      <c r="AB159" s="100"/>
      <c r="AC159" s="117"/>
      <c r="AD159" s="100"/>
      <c r="AE159" s="117"/>
      <c r="AF159" s="100"/>
      <c r="AG159" s="117"/>
      <c r="AH159" s="100"/>
      <c r="AI159" s="108">
        <v>319357079</v>
      </c>
      <c r="AJ159" s="15" t="s">
        <v>40</v>
      </c>
      <c r="AK159" s="15" t="s">
        <v>5</v>
      </c>
      <c r="AL159" s="15" t="s">
        <v>9</v>
      </c>
      <c r="AM159" s="118">
        <v>5.4999999999999997E-3</v>
      </c>
      <c r="AN159" s="118">
        <v>5.4999999999999997E-3</v>
      </c>
      <c r="AO159" s="118">
        <v>0</v>
      </c>
      <c r="AP159" s="100">
        <v>46054</v>
      </c>
      <c r="AQ159" s="99"/>
    </row>
    <row r="160" spans="1:43" x14ac:dyDescent="0.25">
      <c r="A160" s="99" t="b">
        <v>1</v>
      </c>
      <c r="B160" s="101" t="s">
        <v>478</v>
      </c>
      <c r="C160" s="109"/>
      <c r="D160" s="15" t="s">
        <v>450</v>
      </c>
      <c r="E160" s="15" t="s">
        <v>486</v>
      </c>
      <c r="F160" s="98"/>
      <c r="G160" s="99" t="s">
        <v>538</v>
      </c>
      <c r="H160" s="106">
        <v>5.7999999999999996E-3</v>
      </c>
      <c r="I160" s="117">
        <v>0.24629000000000001</v>
      </c>
      <c r="J160" s="100">
        <v>46013</v>
      </c>
      <c r="K160" s="117">
        <v>0</v>
      </c>
      <c r="L160" s="100" t="s">
        <v>85</v>
      </c>
      <c r="M160" s="117">
        <v>0</v>
      </c>
      <c r="N160" s="100" t="s">
        <v>85</v>
      </c>
      <c r="O160" s="117">
        <v>0.30902000000000002</v>
      </c>
      <c r="P160" s="100">
        <v>46104</v>
      </c>
      <c r="Q160" s="117">
        <v>0</v>
      </c>
      <c r="R160" s="100" t="s">
        <v>85</v>
      </c>
      <c r="S160" s="117">
        <v>0</v>
      </c>
      <c r="T160" s="100" t="s">
        <v>85</v>
      </c>
      <c r="U160" s="117">
        <v>0.27334000000000003</v>
      </c>
      <c r="V160" s="100">
        <v>46195</v>
      </c>
      <c r="W160" s="117">
        <v>0</v>
      </c>
      <c r="X160" s="100" t="s">
        <v>85</v>
      </c>
      <c r="Y160" s="117">
        <v>0</v>
      </c>
      <c r="Z160" s="100" t="s">
        <v>85</v>
      </c>
      <c r="AA160" s="117">
        <v>0.30136000000000002</v>
      </c>
      <c r="AB160" s="100">
        <v>46286</v>
      </c>
      <c r="AC160" s="117">
        <v>0</v>
      </c>
      <c r="AD160" s="100" t="s">
        <v>85</v>
      </c>
      <c r="AE160" s="117"/>
      <c r="AF160" s="100"/>
      <c r="AG160" s="117"/>
      <c r="AH160" s="100"/>
      <c r="AI160" s="65">
        <v>319357012</v>
      </c>
      <c r="AJ160" s="15" t="s">
        <v>40</v>
      </c>
      <c r="AK160" s="15" t="s">
        <v>5</v>
      </c>
      <c r="AL160" s="15" t="s">
        <v>9</v>
      </c>
      <c r="AM160" s="118">
        <v>5.4999999999999997E-3</v>
      </c>
      <c r="AN160" s="118">
        <v>5.4999999999999997E-3</v>
      </c>
      <c r="AO160" s="118">
        <v>0</v>
      </c>
      <c r="AP160" s="100">
        <v>46060</v>
      </c>
      <c r="AQ160" s="99"/>
    </row>
    <row r="161" spans="1:43" x14ac:dyDescent="0.25">
      <c r="A161" s="99" t="b">
        <v>1</v>
      </c>
      <c r="B161" s="101" t="s">
        <v>477</v>
      </c>
      <c r="C161" s="111"/>
      <c r="D161" s="15" t="s">
        <v>450</v>
      </c>
      <c r="E161" s="15" t="s">
        <v>488</v>
      </c>
      <c r="F161" s="98"/>
      <c r="G161" s="99" t="s">
        <v>538</v>
      </c>
      <c r="H161" s="106">
        <v>5.7000000000000002E-3</v>
      </c>
      <c r="I161" s="117">
        <v>3.5279999999999999E-2</v>
      </c>
      <c r="J161" s="100">
        <v>46013</v>
      </c>
      <c r="K161" s="117">
        <v>0</v>
      </c>
      <c r="L161" s="100" t="s">
        <v>85</v>
      </c>
      <c r="M161" s="117">
        <v>0</v>
      </c>
      <c r="N161" s="100" t="s">
        <v>85</v>
      </c>
      <c r="O161" s="117">
        <v>2.666E-2</v>
      </c>
      <c r="P161" s="100">
        <v>46104</v>
      </c>
      <c r="Q161" s="117">
        <v>0</v>
      </c>
      <c r="R161" s="100" t="s">
        <v>85</v>
      </c>
      <c r="S161" s="117">
        <v>0</v>
      </c>
      <c r="T161" s="100" t="s">
        <v>85</v>
      </c>
      <c r="U161" s="117">
        <v>0.11042</v>
      </c>
      <c r="V161" s="100">
        <v>46195</v>
      </c>
      <c r="W161" s="117">
        <v>0</v>
      </c>
      <c r="X161" s="100" t="s">
        <v>85</v>
      </c>
      <c r="Y161" s="117">
        <v>0</v>
      </c>
      <c r="Z161" s="100" t="s">
        <v>85</v>
      </c>
      <c r="AA161" s="117">
        <v>1.111E-2</v>
      </c>
      <c r="AB161" s="100">
        <v>46286</v>
      </c>
      <c r="AC161" s="117">
        <v>0</v>
      </c>
      <c r="AD161" s="100" t="s">
        <v>85</v>
      </c>
      <c r="AE161" s="117"/>
      <c r="AF161" s="100"/>
      <c r="AG161" s="117"/>
      <c r="AH161" s="100"/>
      <c r="AI161" s="65">
        <v>319356929</v>
      </c>
      <c r="AJ161" s="15" t="s">
        <v>40</v>
      </c>
      <c r="AK161" s="15" t="s">
        <v>5</v>
      </c>
      <c r="AL161" s="15" t="s">
        <v>9</v>
      </c>
      <c r="AM161" s="118">
        <v>5.4999999999999997E-3</v>
      </c>
      <c r="AN161" s="118">
        <v>5.4999999999999997E-3</v>
      </c>
      <c r="AO161" s="115">
        <v>0</v>
      </c>
      <c r="AP161" s="100">
        <v>46060</v>
      </c>
      <c r="AQ161" s="99"/>
    </row>
    <row r="162" spans="1:43" x14ac:dyDescent="0.25">
      <c r="A162" s="99" t="b">
        <v>1</v>
      </c>
      <c r="B162" s="101" t="s">
        <v>451</v>
      </c>
      <c r="C162" s="111"/>
      <c r="D162" s="15" t="s">
        <v>450</v>
      </c>
      <c r="E162" s="15" t="s">
        <v>346</v>
      </c>
      <c r="F162" s="98"/>
      <c r="G162" s="99" t="s">
        <v>538</v>
      </c>
      <c r="H162" s="106">
        <v>5.7999999999999996E-3</v>
      </c>
      <c r="I162" s="117">
        <v>0</v>
      </c>
      <c r="J162" s="100">
        <v>46013</v>
      </c>
      <c r="K162" s="117">
        <v>0</v>
      </c>
      <c r="L162" s="100" t="s">
        <v>85</v>
      </c>
      <c r="M162" s="117">
        <v>0</v>
      </c>
      <c r="N162" s="100" t="s">
        <v>85</v>
      </c>
      <c r="O162" s="117">
        <v>4.6149999999999997E-2</v>
      </c>
      <c r="P162" s="100">
        <v>46104</v>
      </c>
      <c r="Q162" s="117">
        <v>0</v>
      </c>
      <c r="R162" s="100" t="s">
        <v>85</v>
      </c>
      <c r="S162" s="117">
        <v>0</v>
      </c>
      <c r="T162" s="100" t="s">
        <v>85</v>
      </c>
      <c r="U162" s="117">
        <v>0.13586000000000001</v>
      </c>
      <c r="V162" s="100">
        <v>46195</v>
      </c>
      <c r="W162" s="117">
        <v>0</v>
      </c>
      <c r="X162" s="100" t="s">
        <v>85</v>
      </c>
      <c r="Y162" s="117">
        <v>0</v>
      </c>
      <c r="Z162" s="100" t="s">
        <v>85</v>
      </c>
      <c r="AA162" s="117">
        <v>0.47869</v>
      </c>
      <c r="AB162" s="100">
        <v>46286</v>
      </c>
      <c r="AC162" s="117">
        <v>0</v>
      </c>
      <c r="AD162" s="100"/>
      <c r="AE162" s="117"/>
      <c r="AF162" s="100"/>
      <c r="AG162" s="117"/>
      <c r="AH162" s="100"/>
      <c r="AI162" s="65">
        <v>319355952</v>
      </c>
      <c r="AJ162" s="15" t="s">
        <v>40</v>
      </c>
      <c r="AK162" s="15" t="s">
        <v>5</v>
      </c>
      <c r="AL162" s="15" t="s">
        <v>9</v>
      </c>
      <c r="AM162" s="118">
        <v>5.4999999999999997E-3</v>
      </c>
      <c r="AN162" s="118">
        <v>5.4999999999999997E-3</v>
      </c>
      <c r="AO162" s="115">
        <v>0</v>
      </c>
      <c r="AP162" s="100">
        <v>46060</v>
      </c>
      <c r="AQ162" s="99"/>
    </row>
    <row r="163" spans="1:43" x14ac:dyDescent="0.25">
      <c r="A163" s="99" t="b">
        <v>1</v>
      </c>
      <c r="B163" s="101" t="s">
        <v>479</v>
      </c>
      <c r="C163" s="111"/>
      <c r="D163" s="15" t="s">
        <v>450</v>
      </c>
      <c r="E163" s="15" t="s">
        <v>577</v>
      </c>
      <c r="F163" s="98" t="s">
        <v>576</v>
      </c>
      <c r="G163" s="99" t="s">
        <v>538</v>
      </c>
      <c r="H163" s="106">
        <v>6.7000000000000002E-3</v>
      </c>
      <c r="I163" s="117">
        <v>0.17896999999999999</v>
      </c>
      <c r="J163" s="100">
        <v>46013</v>
      </c>
      <c r="K163" s="117">
        <v>0</v>
      </c>
      <c r="L163" s="100" t="s">
        <v>85</v>
      </c>
      <c r="M163" s="117">
        <v>0</v>
      </c>
      <c r="N163" s="100" t="s">
        <v>85</v>
      </c>
      <c r="O163" s="117">
        <v>0.10281</v>
      </c>
      <c r="P163" s="100">
        <v>46104</v>
      </c>
      <c r="Q163" s="117">
        <v>0</v>
      </c>
      <c r="R163" s="100" t="s">
        <v>85</v>
      </c>
      <c r="S163" s="117">
        <v>0</v>
      </c>
      <c r="T163" s="100" t="s">
        <v>85</v>
      </c>
      <c r="U163" s="117">
        <v>0.17014000000000001</v>
      </c>
      <c r="V163" s="100">
        <v>46195</v>
      </c>
      <c r="W163" s="117">
        <v>0</v>
      </c>
      <c r="X163" s="100" t="s">
        <v>85</v>
      </c>
      <c r="Y163" s="117">
        <v>0</v>
      </c>
      <c r="Z163" s="100" t="s">
        <v>85</v>
      </c>
      <c r="AA163" s="117">
        <v>0.1734</v>
      </c>
      <c r="AB163" s="100">
        <v>46286</v>
      </c>
      <c r="AC163" s="117">
        <v>0</v>
      </c>
      <c r="AD163" s="100" t="s">
        <v>85</v>
      </c>
      <c r="AE163" s="117"/>
      <c r="AF163" s="100"/>
      <c r="AG163" s="117"/>
      <c r="AH163" s="100"/>
      <c r="AI163" s="65">
        <v>319356959</v>
      </c>
      <c r="AJ163" s="15" t="s">
        <v>40</v>
      </c>
      <c r="AK163" s="15" t="s">
        <v>5</v>
      </c>
      <c r="AL163" s="15" t="s">
        <v>9</v>
      </c>
      <c r="AM163" s="118">
        <v>5.4999999999999997E-3</v>
      </c>
      <c r="AN163" s="118">
        <v>5.4999999999999997E-3</v>
      </c>
      <c r="AO163" s="115">
        <v>0</v>
      </c>
      <c r="AP163" s="100">
        <v>46060</v>
      </c>
      <c r="AQ163" s="99"/>
    </row>
    <row r="164" spans="1:43" x14ac:dyDescent="0.25">
      <c r="A164" s="99" t="b">
        <v>1</v>
      </c>
      <c r="B164" s="101" t="s">
        <v>260</v>
      </c>
      <c r="C164" s="109"/>
      <c r="D164" s="15" t="s">
        <v>450</v>
      </c>
      <c r="E164" s="15" t="s">
        <v>322</v>
      </c>
      <c r="F164" s="98"/>
      <c r="G164" s="99" t="s">
        <v>553</v>
      </c>
      <c r="H164" s="106">
        <v>6.9999999999999999E-4</v>
      </c>
      <c r="I164" s="117">
        <v>0.22220000000000001</v>
      </c>
      <c r="J164" s="100">
        <v>46001</v>
      </c>
      <c r="K164" s="117">
        <v>0</v>
      </c>
      <c r="L164" s="100" t="s">
        <v>85</v>
      </c>
      <c r="M164" s="117">
        <v>0</v>
      </c>
      <c r="N164" s="100" t="s">
        <v>85</v>
      </c>
      <c r="O164" s="117">
        <v>0.1147</v>
      </c>
      <c r="P164" s="100">
        <v>46106</v>
      </c>
      <c r="Q164" s="117">
        <v>0</v>
      </c>
      <c r="R164" s="100" t="s">
        <v>85</v>
      </c>
      <c r="S164" s="117">
        <v>0</v>
      </c>
      <c r="T164" s="100" t="s">
        <v>85</v>
      </c>
      <c r="U164" s="117">
        <v>0.16830000000000001</v>
      </c>
      <c r="V164" s="100">
        <v>46197</v>
      </c>
      <c r="W164" s="117">
        <v>0</v>
      </c>
      <c r="X164" s="100" t="s">
        <v>85</v>
      </c>
      <c r="Y164" s="117">
        <v>0</v>
      </c>
      <c r="Z164" s="100" t="s">
        <v>85</v>
      </c>
      <c r="AA164" s="117">
        <v>0.17319999999999999</v>
      </c>
      <c r="AB164" s="100">
        <v>46288</v>
      </c>
      <c r="AC164" s="117">
        <v>0</v>
      </c>
      <c r="AD164" s="100" t="s">
        <v>85</v>
      </c>
      <c r="AE164" s="117"/>
      <c r="AF164" s="100"/>
      <c r="AG164" s="117"/>
      <c r="AH164" s="100"/>
      <c r="AI164" s="65">
        <v>82817278</v>
      </c>
      <c r="AJ164" s="15" t="s">
        <v>40</v>
      </c>
      <c r="AK164" s="15" t="s">
        <v>5</v>
      </c>
      <c r="AL164" s="15" t="s">
        <v>9</v>
      </c>
      <c r="AM164" s="118">
        <v>5.4999999999999997E-3</v>
      </c>
      <c r="AN164" s="118">
        <v>5.4999999999999997E-3</v>
      </c>
      <c r="AO164" s="118">
        <v>0</v>
      </c>
      <c r="AP164" s="100">
        <v>46054</v>
      </c>
      <c r="AQ164" s="99"/>
    </row>
    <row r="165" spans="1:43" x14ac:dyDescent="0.25">
      <c r="A165" s="99" t="b">
        <v>0</v>
      </c>
      <c r="B165" s="101" t="s">
        <v>197</v>
      </c>
      <c r="C165" s="109"/>
      <c r="D165" s="95" t="s">
        <v>307</v>
      </c>
      <c r="E165" s="95" t="s">
        <v>318</v>
      </c>
      <c r="F165" s="98"/>
      <c r="G165" s="99" t="s">
        <v>553</v>
      </c>
      <c r="H165" s="120">
        <v>2.9999999999999997E-4</v>
      </c>
      <c r="I165" s="117"/>
      <c r="J165" s="100"/>
      <c r="K165" s="117"/>
      <c r="L165" s="100"/>
      <c r="M165" s="117"/>
      <c r="N165" s="100"/>
      <c r="O165" s="117"/>
      <c r="P165" s="100"/>
      <c r="Q165" s="117"/>
      <c r="R165" s="100"/>
      <c r="S165" s="117"/>
      <c r="T165" s="100"/>
      <c r="U165" s="117"/>
      <c r="V165" s="100"/>
      <c r="W165" s="117"/>
      <c r="X165" s="100"/>
      <c r="Y165" s="117"/>
      <c r="Z165" s="100"/>
      <c r="AA165" s="117"/>
      <c r="AB165" s="100"/>
      <c r="AC165" s="117"/>
      <c r="AD165" s="100"/>
      <c r="AE165" s="117"/>
      <c r="AF165" s="100"/>
      <c r="AG165" s="117"/>
      <c r="AH165" s="100"/>
      <c r="AI165" s="108">
        <v>386752912</v>
      </c>
      <c r="AJ165" s="15" t="s">
        <v>40</v>
      </c>
      <c r="AK165" s="15" t="s">
        <v>5</v>
      </c>
      <c r="AL165" s="15" t="s">
        <v>9</v>
      </c>
      <c r="AM165" s="118">
        <v>5.4999999999999997E-3</v>
      </c>
      <c r="AN165" s="118">
        <v>5.4999999999999997E-3</v>
      </c>
      <c r="AO165" s="118">
        <v>0</v>
      </c>
      <c r="AP165" s="100">
        <v>46054</v>
      </c>
      <c r="AQ165" s="99"/>
    </row>
    <row r="166" spans="1:43" x14ac:dyDescent="0.25">
      <c r="A166" s="17" t="b">
        <v>1</v>
      </c>
      <c r="B166" s="101" t="s">
        <v>239</v>
      </c>
      <c r="C166" s="109"/>
      <c r="D166" s="95" t="s">
        <v>307</v>
      </c>
      <c r="E166" s="95" t="s">
        <v>308</v>
      </c>
      <c r="F166" s="98"/>
      <c r="G166" s="99" t="s">
        <v>553</v>
      </c>
      <c r="H166" s="106">
        <v>2.9999999999999997E-4</v>
      </c>
      <c r="I166" s="117">
        <v>7.6999999999999999E-2</v>
      </c>
      <c r="J166" s="100">
        <v>46010</v>
      </c>
      <c r="K166" s="117">
        <v>0</v>
      </c>
      <c r="L166" s="100" t="s">
        <v>85</v>
      </c>
      <c r="M166" s="117">
        <v>8.5000000000000006E-2</v>
      </c>
      <c r="N166" s="100">
        <v>46055</v>
      </c>
      <c r="O166" s="117">
        <v>7.7200000000000005E-2</v>
      </c>
      <c r="P166" s="100">
        <v>46083</v>
      </c>
      <c r="Q166" s="117">
        <v>7.85E-2</v>
      </c>
      <c r="R166" s="100">
        <v>46113</v>
      </c>
      <c r="S166" s="117">
        <v>7.8700000000000006E-2</v>
      </c>
      <c r="T166" s="100">
        <v>46143</v>
      </c>
      <c r="U166" s="117">
        <v>8.09E-2</v>
      </c>
      <c r="V166" s="100">
        <v>46174</v>
      </c>
      <c r="W166" s="117">
        <v>0.08</v>
      </c>
      <c r="X166" s="100">
        <v>46204</v>
      </c>
      <c r="Y166" s="117">
        <v>8.7999999999999995E-2</v>
      </c>
      <c r="Z166" s="100">
        <v>46237</v>
      </c>
      <c r="AA166" s="117">
        <v>7.6600000000000001E-2</v>
      </c>
      <c r="AB166" s="100">
        <v>46266</v>
      </c>
      <c r="AC166" s="117">
        <v>8.2100000000000006E-2</v>
      </c>
      <c r="AD166" s="100">
        <v>46296</v>
      </c>
      <c r="AE166" s="117"/>
      <c r="AF166" s="100"/>
      <c r="AG166" s="117"/>
      <c r="AH166" s="100"/>
      <c r="AI166" s="108">
        <v>90832064</v>
      </c>
      <c r="AJ166" s="15" t="s">
        <v>40</v>
      </c>
      <c r="AK166" s="15" t="s">
        <v>5</v>
      </c>
      <c r="AL166" s="15" t="s">
        <v>9</v>
      </c>
      <c r="AM166" s="118">
        <v>5.4999999999999997E-3</v>
      </c>
      <c r="AN166" s="118">
        <v>5.4999999999999997E-3</v>
      </c>
      <c r="AO166" s="118">
        <v>0</v>
      </c>
      <c r="AP166" s="100">
        <v>46054</v>
      </c>
      <c r="AQ166" s="99"/>
    </row>
    <row r="167" spans="1:43" x14ac:dyDescent="0.25">
      <c r="A167" s="17" t="b">
        <v>1</v>
      </c>
      <c r="B167" s="101" t="s">
        <v>240</v>
      </c>
      <c r="C167" s="109"/>
      <c r="D167" s="95" t="s">
        <v>307</v>
      </c>
      <c r="E167" s="95" t="s">
        <v>313</v>
      </c>
      <c r="F167" s="98"/>
      <c r="G167" s="99" t="s">
        <v>553</v>
      </c>
      <c r="H167" s="106">
        <v>2.9999999999999997E-4</v>
      </c>
      <c r="I167" s="117">
        <v>0.14810000000000001</v>
      </c>
      <c r="J167" s="100">
        <v>46010</v>
      </c>
      <c r="K167" s="117">
        <v>0</v>
      </c>
      <c r="L167" s="100" t="s">
        <v>85</v>
      </c>
      <c r="M167" s="117">
        <v>0.15579999999999999</v>
      </c>
      <c r="N167" s="100">
        <v>46055</v>
      </c>
      <c r="O167" s="117">
        <v>0.1449</v>
      </c>
      <c r="P167" s="100">
        <v>46083</v>
      </c>
      <c r="Q167" s="117">
        <v>0.1537</v>
      </c>
      <c r="R167" s="100">
        <v>46113</v>
      </c>
      <c r="S167" s="117">
        <v>0.1449</v>
      </c>
      <c r="T167" s="100">
        <v>46143</v>
      </c>
      <c r="U167" s="117">
        <v>0.14960000000000001</v>
      </c>
      <c r="V167" s="100">
        <v>46174</v>
      </c>
      <c r="W167" s="117">
        <v>0.1487</v>
      </c>
      <c r="X167" s="100">
        <v>46204</v>
      </c>
      <c r="Y167" s="117">
        <v>0.1547</v>
      </c>
      <c r="Z167" s="100">
        <v>46237</v>
      </c>
      <c r="AA167" s="117">
        <v>0.1396</v>
      </c>
      <c r="AB167" s="100">
        <v>46266</v>
      </c>
      <c r="AC167" s="117">
        <v>0.16250000000000001</v>
      </c>
      <c r="AD167" s="100">
        <v>46296</v>
      </c>
      <c r="AE167" s="117"/>
      <c r="AF167" s="100"/>
      <c r="AG167" s="117"/>
      <c r="AH167" s="100"/>
      <c r="AI167" s="108">
        <v>641561653</v>
      </c>
      <c r="AJ167" s="15" t="s">
        <v>40</v>
      </c>
      <c r="AK167" s="15" t="s">
        <v>5</v>
      </c>
      <c r="AL167" s="15" t="s">
        <v>9</v>
      </c>
      <c r="AM167" s="118">
        <v>5.4999999999999997E-3</v>
      </c>
      <c r="AN167" s="118">
        <v>5.4999999999999997E-3</v>
      </c>
      <c r="AO167" s="118">
        <v>0</v>
      </c>
      <c r="AP167" s="100">
        <v>46054</v>
      </c>
      <c r="AQ167" s="99"/>
    </row>
    <row r="168" spans="1:43" x14ac:dyDescent="0.25">
      <c r="A168" s="99" t="b">
        <v>1</v>
      </c>
      <c r="B168" s="101" t="s">
        <v>350</v>
      </c>
      <c r="C168" s="109"/>
      <c r="D168" s="15" t="s">
        <v>450</v>
      </c>
      <c r="E168" s="15" t="s">
        <v>348</v>
      </c>
      <c r="F168" s="98"/>
      <c r="G168" s="99" t="s">
        <v>536</v>
      </c>
      <c r="H168" s="106">
        <v>3.5000000000000001E-3</v>
      </c>
      <c r="I168" s="117">
        <v>1.1047</v>
      </c>
      <c r="J168" s="100">
        <v>46013</v>
      </c>
      <c r="K168" s="117">
        <v>0</v>
      </c>
      <c r="L168" s="100" t="s">
        <v>85</v>
      </c>
      <c r="M168" s="117">
        <v>0</v>
      </c>
      <c r="N168" s="100" t="s">
        <v>85</v>
      </c>
      <c r="O168" s="117">
        <v>0</v>
      </c>
      <c r="P168" s="100" t="s">
        <v>85</v>
      </c>
      <c r="Q168" s="117">
        <v>0</v>
      </c>
      <c r="R168" s="100" t="s">
        <v>85</v>
      </c>
      <c r="S168" s="117">
        <v>0</v>
      </c>
      <c r="T168" s="100" t="s">
        <v>85</v>
      </c>
      <c r="U168" s="117">
        <v>0</v>
      </c>
      <c r="V168" s="100" t="s">
        <v>85</v>
      </c>
      <c r="W168" s="117">
        <v>0</v>
      </c>
      <c r="X168" s="100" t="s">
        <v>85</v>
      </c>
      <c r="Y168" s="117">
        <v>0</v>
      </c>
      <c r="Z168" s="100" t="s">
        <v>85</v>
      </c>
      <c r="AA168" s="117">
        <v>0</v>
      </c>
      <c r="AB168" s="100" t="s">
        <v>85</v>
      </c>
      <c r="AC168" s="117">
        <v>0</v>
      </c>
      <c r="AD168" s="100" t="s">
        <v>85</v>
      </c>
      <c r="AE168" s="117"/>
      <c r="AF168" s="100"/>
      <c r="AG168" s="117"/>
      <c r="AH168" s="100"/>
      <c r="AI168" s="65">
        <v>229725622</v>
      </c>
      <c r="AJ168" s="15" t="s">
        <v>40</v>
      </c>
      <c r="AK168" s="15" t="s">
        <v>5</v>
      </c>
      <c r="AL168" s="15" t="s">
        <v>9</v>
      </c>
      <c r="AM168" s="118">
        <v>5.4999999999999997E-3</v>
      </c>
      <c r="AN168" s="118">
        <v>5.4999999999999997E-3</v>
      </c>
      <c r="AO168" s="118">
        <v>0</v>
      </c>
      <c r="AP168" s="100">
        <v>46054</v>
      </c>
      <c r="AQ168" s="99"/>
    </row>
    <row r="169" spans="1:43" x14ac:dyDescent="0.25">
      <c r="A169" s="99" t="b">
        <v>1</v>
      </c>
      <c r="B169" s="101" t="s">
        <v>349</v>
      </c>
      <c r="C169" s="109"/>
      <c r="D169" s="15" t="s">
        <v>450</v>
      </c>
      <c r="E169" s="15" t="s">
        <v>348</v>
      </c>
      <c r="F169" s="98"/>
      <c r="G169" s="99" t="s">
        <v>532</v>
      </c>
      <c r="H169" s="106">
        <v>3.3E-3</v>
      </c>
      <c r="I169" s="117">
        <v>0.43627199999999999</v>
      </c>
      <c r="J169" s="100">
        <v>46007</v>
      </c>
      <c r="K169" s="117">
        <v>0</v>
      </c>
      <c r="L169" s="100" t="s">
        <v>85</v>
      </c>
      <c r="M169" s="117">
        <v>0</v>
      </c>
      <c r="N169" s="100" t="s">
        <v>85</v>
      </c>
      <c r="O169" s="117">
        <v>0.20794399999999999</v>
      </c>
      <c r="P169" s="100">
        <v>46098</v>
      </c>
      <c r="Q169" s="117">
        <v>0</v>
      </c>
      <c r="R169" s="100" t="s">
        <v>85</v>
      </c>
      <c r="S169" s="117">
        <v>0</v>
      </c>
      <c r="T169" s="100" t="s">
        <v>85</v>
      </c>
      <c r="U169" s="117">
        <v>0.28272599999999998</v>
      </c>
      <c r="V169" s="100">
        <v>46188</v>
      </c>
      <c r="W169" s="117">
        <v>0</v>
      </c>
      <c r="X169" s="100" t="s">
        <v>85</v>
      </c>
      <c r="Y169" s="117">
        <v>0</v>
      </c>
      <c r="Z169" s="100" t="s">
        <v>85</v>
      </c>
      <c r="AA169" s="117">
        <v>0.325046</v>
      </c>
      <c r="AB169" s="100">
        <v>46280</v>
      </c>
      <c r="AC169" s="117">
        <v>0</v>
      </c>
      <c r="AD169" s="100" t="s">
        <v>85</v>
      </c>
      <c r="AE169" s="117"/>
      <c r="AF169" s="100"/>
      <c r="AG169" s="117"/>
      <c r="AH169" s="100"/>
      <c r="AI169" s="65">
        <v>12658194</v>
      </c>
      <c r="AJ169" s="15" t="s">
        <v>40</v>
      </c>
      <c r="AK169" s="15" t="s">
        <v>5</v>
      </c>
      <c r="AL169" s="15" t="s">
        <v>9</v>
      </c>
      <c r="AM169" s="118">
        <v>5.4999999999999997E-3</v>
      </c>
      <c r="AN169" s="118">
        <v>5.4999999999999997E-3</v>
      </c>
      <c r="AO169" s="118">
        <v>0</v>
      </c>
      <c r="AP169" s="100">
        <v>46054</v>
      </c>
      <c r="AQ169" s="99"/>
    </row>
    <row r="170" spans="1:43" x14ac:dyDescent="0.25">
      <c r="A170" s="99" t="b">
        <v>1</v>
      </c>
      <c r="B170" s="101" t="s">
        <v>241</v>
      </c>
      <c r="C170" s="109"/>
      <c r="D170" s="95" t="s">
        <v>307</v>
      </c>
      <c r="E170" s="95" t="s">
        <v>308</v>
      </c>
      <c r="F170" s="98"/>
      <c r="G170" s="99" t="s">
        <v>539</v>
      </c>
      <c r="H170" s="106">
        <v>2.9999999999999997E-4</v>
      </c>
      <c r="I170" s="117">
        <v>9.1097999999999998E-2</v>
      </c>
      <c r="J170" s="100">
        <v>46009</v>
      </c>
      <c r="K170" s="117">
        <v>0</v>
      </c>
      <c r="L170" s="100" t="s">
        <v>85</v>
      </c>
      <c r="M170" s="117">
        <v>8.1979999999999997E-2</v>
      </c>
      <c r="N170" s="100">
        <v>46055</v>
      </c>
      <c r="O170" s="117">
        <v>8.3150000000000002E-2</v>
      </c>
      <c r="P170" s="100">
        <v>46083</v>
      </c>
      <c r="Q170" s="117">
        <v>8.7540000000000007E-2</v>
      </c>
      <c r="R170" s="100">
        <v>46113</v>
      </c>
      <c r="S170" s="117">
        <v>8.6389999999999995E-2</v>
      </c>
      <c r="T170" s="100">
        <v>46143</v>
      </c>
      <c r="U170" s="117">
        <v>8.7929999999999994E-2</v>
      </c>
      <c r="V170" s="100">
        <v>46174</v>
      </c>
      <c r="W170" s="117">
        <v>8.7480000000000002E-2</v>
      </c>
      <c r="X170" s="100">
        <v>46204</v>
      </c>
      <c r="Y170" s="117">
        <v>8.8980000000000004E-2</v>
      </c>
      <c r="Z170" s="100">
        <v>46237</v>
      </c>
      <c r="AA170" s="117">
        <v>8.9305999999999996E-2</v>
      </c>
      <c r="AB170" s="100">
        <v>46266</v>
      </c>
      <c r="AC170" s="117">
        <v>8.8982000000000006E-2</v>
      </c>
      <c r="AD170" s="100">
        <v>46296</v>
      </c>
      <c r="AE170" s="117"/>
      <c r="AF170" s="100"/>
      <c r="AG170" s="117"/>
      <c r="AH170" s="100"/>
      <c r="AI170" s="108">
        <v>45540687</v>
      </c>
      <c r="AJ170" s="15" t="s">
        <v>40</v>
      </c>
      <c r="AK170" s="15" t="s">
        <v>5</v>
      </c>
      <c r="AL170" s="15" t="s">
        <v>9</v>
      </c>
      <c r="AM170" s="118">
        <v>5.4999999999999997E-3</v>
      </c>
      <c r="AN170" s="118">
        <v>5.4999999999999997E-3</v>
      </c>
      <c r="AO170" s="118">
        <v>0</v>
      </c>
      <c r="AP170" s="100">
        <v>46054</v>
      </c>
      <c r="AQ170" s="99"/>
    </row>
    <row r="171" spans="1:43" x14ac:dyDescent="0.25">
      <c r="A171" s="99" t="b">
        <v>1</v>
      </c>
      <c r="B171" s="101" t="s">
        <v>244</v>
      </c>
      <c r="C171" s="109"/>
      <c r="D171" s="95" t="s">
        <v>307</v>
      </c>
      <c r="E171" s="95" t="s">
        <v>311</v>
      </c>
      <c r="F171" s="98"/>
      <c r="G171" s="99" t="s">
        <v>539</v>
      </c>
      <c r="H171" s="106">
        <v>2.9999999999999997E-4</v>
      </c>
      <c r="I171" s="117">
        <v>0.122505</v>
      </c>
      <c r="J171" s="100">
        <v>46009</v>
      </c>
      <c r="K171" s="117">
        <v>0</v>
      </c>
      <c r="L171" s="100" t="s">
        <v>85</v>
      </c>
      <c r="M171" s="117">
        <v>0.12303</v>
      </c>
      <c r="N171" s="100">
        <v>46055</v>
      </c>
      <c r="O171" s="117">
        <v>0.12246</v>
      </c>
      <c r="P171" s="100">
        <v>46083</v>
      </c>
      <c r="Q171" s="117">
        <v>0.12262000000000001</v>
      </c>
      <c r="R171" s="100">
        <v>46113</v>
      </c>
      <c r="S171" s="117">
        <v>0.12257</v>
      </c>
      <c r="T171" s="100">
        <v>46143</v>
      </c>
      <c r="U171" s="117">
        <v>0.12291000000000001</v>
      </c>
      <c r="V171" s="100">
        <v>46174</v>
      </c>
      <c r="W171" s="117">
        <v>0.12291000000000001</v>
      </c>
      <c r="X171" s="100">
        <v>46204</v>
      </c>
      <c r="Y171" s="117">
        <v>0.12334000000000001</v>
      </c>
      <c r="Z171" s="100">
        <v>46237</v>
      </c>
      <c r="AA171" s="117">
        <v>0.123783</v>
      </c>
      <c r="AB171" s="100">
        <v>46266</v>
      </c>
      <c r="AC171" s="117">
        <v>0.12442300000000001</v>
      </c>
      <c r="AD171" s="100">
        <v>46296</v>
      </c>
      <c r="AE171" s="117"/>
      <c r="AF171" s="100"/>
      <c r="AG171" s="117"/>
      <c r="AH171" s="100"/>
      <c r="AI171" s="108">
        <v>86607525</v>
      </c>
      <c r="AJ171" s="15" t="s">
        <v>40</v>
      </c>
      <c r="AK171" s="15" t="s">
        <v>5</v>
      </c>
      <c r="AL171" s="15" t="s">
        <v>9</v>
      </c>
      <c r="AM171" s="118">
        <v>5.4999999999999997E-3</v>
      </c>
      <c r="AN171" s="118">
        <v>5.4999999999999997E-3</v>
      </c>
      <c r="AO171" s="118">
        <v>0</v>
      </c>
      <c r="AP171" s="100">
        <v>46054</v>
      </c>
      <c r="AQ171" s="99"/>
    </row>
    <row r="172" spans="1:43" x14ac:dyDescent="0.25">
      <c r="A172" s="99" t="b">
        <v>1</v>
      </c>
      <c r="B172" s="101" t="s">
        <v>242</v>
      </c>
      <c r="C172" s="109"/>
      <c r="D172" s="95" t="s">
        <v>307</v>
      </c>
      <c r="E172" s="95" t="s">
        <v>313</v>
      </c>
      <c r="F172" s="98"/>
      <c r="G172" s="99" t="s">
        <v>539</v>
      </c>
      <c r="H172" s="106">
        <v>5.0000000000000001E-4</v>
      </c>
      <c r="I172" s="117">
        <v>0.140677</v>
      </c>
      <c r="J172" s="100">
        <v>46009</v>
      </c>
      <c r="K172" s="117">
        <v>0</v>
      </c>
      <c r="L172" s="100" t="s">
        <v>85</v>
      </c>
      <c r="M172" s="117">
        <v>0.13791</v>
      </c>
      <c r="N172" s="100">
        <v>46055</v>
      </c>
      <c r="O172" s="117">
        <v>0.13963999999999999</v>
      </c>
      <c r="P172" s="100">
        <v>46083</v>
      </c>
      <c r="Q172" s="117">
        <v>0.13836000000000001</v>
      </c>
      <c r="R172" s="100">
        <v>46113</v>
      </c>
      <c r="S172" s="117">
        <v>0.13657</v>
      </c>
      <c r="T172" s="100">
        <v>46143</v>
      </c>
      <c r="U172" s="117">
        <v>0.13750999999999999</v>
      </c>
      <c r="V172" s="100">
        <v>46174</v>
      </c>
      <c r="W172" s="117">
        <v>0.13818</v>
      </c>
      <c r="X172" s="100">
        <v>46204</v>
      </c>
      <c r="Y172" s="117">
        <v>0.13564999999999999</v>
      </c>
      <c r="Z172" s="100">
        <v>46237</v>
      </c>
      <c r="AA172" s="117">
        <v>0.14036100000000001</v>
      </c>
      <c r="AB172" s="100">
        <v>46266</v>
      </c>
      <c r="AC172" s="117">
        <v>0.13883400000000001</v>
      </c>
      <c r="AD172" s="100">
        <v>46296</v>
      </c>
      <c r="AE172" s="117"/>
      <c r="AF172" s="100"/>
      <c r="AG172" s="117"/>
      <c r="AH172" s="100"/>
      <c r="AI172" s="108">
        <v>109385195</v>
      </c>
      <c r="AJ172" s="15" t="s">
        <v>40</v>
      </c>
      <c r="AK172" s="15" t="s">
        <v>5</v>
      </c>
      <c r="AL172" s="15" t="s">
        <v>9</v>
      </c>
      <c r="AM172" s="118">
        <v>5.4999999999999997E-3</v>
      </c>
      <c r="AN172" s="118">
        <v>5.4999999999999997E-3</v>
      </c>
      <c r="AO172" s="118">
        <v>0</v>
      </c>
      <c r="AP172" s="100">
        <v>46054</v>
      </c>
      <c r="AQ172" s="99"/>
    </row>
    <row r="173" spans="1:43" x14ac:dyDescent="0.25">
      <c r="A173" s="99" t="b">
        <v>0</v>
      </c>
      <c r="B173" s="101" t="s">
        <v>198</v>
      </c>
      <c r="C173" s="109"/>
      <c r="D173" s="95" t="s">
        <v>307</v>
      </c>
      <c r="E173" s="95" t="s">
        <v>314</v>
      </c>
      <c r="F173" s="98"/>
      <c r="G173" s="99" t="s">
        <v>539</v>
      </c>
      <c r="H173" s="120">
        <v>4.0000000000000002E-4</v>
      </c>
      <c r="I173" s="117"/>
      <c r="J173" s="100"/>
      <c r="K173" s="117"/>
      <c r="L173" s="100"/>
      <c r="M173" s="117"/>
      <c r="N173" s="100"/>
      <c r="O173" s="117"/>
      <c r="P173" s="100"/>
      <c r="Q173" s="117"/>
      <c r="R173" s="100"/>
      <c r="S173" s="117"/>
      <c r="T173" s="100"/>
      <c r="U173" s="117"/>
      <c r="V173" s="100"/>
      <c r="W173" s="117"/>
      <c r="X173" s="100"/>
      <c r="Y173" s="117"/>
      <c r="Z173" s="100"/>
      <c r="AA173" s="117"/>
      <c r="AB173" s="100"/>
      <c r="AC173" s="117"/>
      <c r="AD173" s="100"/>
      <c r="AE173" s="117"/>
      <c r="AF173" s="100"/>
      <c r="AG173" s="117"/>
      <c r="AH173" s="100"/>
      <c r="AI173" s="108">
        <v>57091568</v>
      </c>
      <c r="AJ173" s="15" t="s">
        <v>40</v>
      </c>
      <c r="AK173" s="15" t="s">
        <v>5</v>
      </c>
      <c r="AL173" s="15" t="s">
        <v>9</v>
      </c>
      <c r="AM173" s="118">
        <v>5.4999999999999997E-3</v>
      </c>
      <c r="AN173" s="118">
        <v>5.4999999999999997E-3</v>
      </c>
      <c r="AO173" s="118">
        <v>0</v>
      </c>
      <c r="AP173" s="100">
        <v>46054</v>
      </c>
      <c r="AQ173" s="99"/>
    </row>
    <row r="174" spans="1:43" x14ac:dyDescent="0.25">
      <c r="A174" s="99" t="b">
        <v>1</v>
      </c>
      <c r="B174" s="101" t="s">
        <v>199</v>
      </c>
      <c r="C174" s="109"/>
      <c r="D174" s="95" t="s">
        <v>307</v>
      </c>
      <c r="E174" s="95" t="s">
        <v>315</v>
      </c>
      <c r="F174" s="98"/>
      <c r="G174" s="99" t="s">
        <v>539</v>
      </c>
      <c r="H174" s="106">
        <v>4.0000000000000002E-4</v>
      </c>
      <c r="I174" s="117">
        <v>0.14300099999999999</v>
      </c>
      <c r="J174" s="100">
        <v>46009</v>
      </c>
      <c r="K174" s="117">
        <v>0</v>
      </c>
      <c r="L174" s="100" t="s">
        <v>85</v>
      </c>
      <c r="M174" s="117">
        <v>7.1540000000000006E-2</v>
      </c>
      <c r="N174" s="100">
        <v>46055</v>
      </c>
      <c r="O174" s="117">
        <v>6.9449999999999998E-2</v>
      </c>
      <c r="P174" s="100">
        <v>46083</v>
      </c>
      <c r="Q174" s="117">
        <v>7.0129999999999998E-2</v>
      </c>
      <c r="R174" s="100">
        <v>46113</v>
      </c>
      <c r="S174" s="117">
        <v>6.9989999999999997E-2</v>
      </c>
      <c r="T174" s="100">
        <v>46143</v>
      </c>
      <c r="U174" s="117">
        <v>7.0120000000000002E-2</v>
      </c>
      <c r="V174" s="100">
        <v>46174</v>
      </c>
      <c r="W174" s="117">
        <v>7.0730000000000001E-2</v>
      </c>
      <c r="X174" s="100">
        <v>46204</v>
      </c>
      <c r="Y174" s="117">
        <v>7.1599999999999997E-2</v>
      </c>
      <c r="Z174" s="100">
        <v>46237</v>
      </c>
      <c r="AA174" s="117">
        <v>7.1248000000000006E-2</v>
      </c>
      <c r="AB174" s="100">
        <v>46266</v>
      </c>
      <c r="AC174" s="117">
        <v>7.2950000000000001E-2</v>
      </c>
      <c r="AD174" s="100">
        <v>46296</v>
      </c>
      <c r="AE174" s="117"/>
      <c r="AF174" s="100"/>
      <c r="AG174" s="117"/>
      <c r="AH174" s="100"/>
      <c r="AI174" s="108">
        <v>57091583</v>
      </c>
      <c r="AJ174" s="15" t="s">
        <v>40</v>
      </c>
      <c r="AK174" s="15" t="s">
        <v>5</v>
      </c>
      <c r="AL174" s="15" t="s">
        <v>9</v>
      </c>
      <c r="AM174" s="118">
        <v>5.4999999999999997E-3</v>
      </c>
      <c r="AN174" s="118">
        <v>5.4999999999999997E-3</v>
      </c>
      <c r="AO174" s="118">
        <v>0</v>
      </c>
      <c r="AP174" s="100">
        <v>46054</v>
      </c>
      <c r="AQ174" s="99"/>
    </row>
    <row r="175" spans="1:43" x14ac:dyDescent="0.25">
      <c r="A175" s="99" t="b">
        <v>0</v>
      </c>
      <c r="B175" s="101" t="s">
        <v>200</v>
      </c>
      <c r="C175" s="109"/>
      <c r="D175" s="95" t="s">
        <v>307</v>
      </c>
      <c r="E175" s="95" t="s">
        <v>318</v>
      </c>
      <c r="F175" s="98"/>
      <c r="G175" s="99" t="s">
        <v>539</v>
      </c>
      <c r="H175" s="120">
        <v>2.9999999999999997E-4</v>
      </c>
      <c r="I175" s="117"/>
      <c r="J175" s="100"/>
      <c r="K175" s="117"/>
      <c r="L175" s="100"/>
      <c r="M175" s="117"/>
      <c r="N175" s="100"/>
      <c r="O175" s="117"/>
      <c r="P175" s="100"/>
      <c r="Q175" s="117"/>
      <c r="R175" s="100"/>
      <c r="S175" s="117"/>
      <c r="T175" s="100"/>
      <c r="U175" s="117"/>
      <c r="V175" s="100"/>
      <c r="W175" s="117"/>
      <c r="X175" s="100"/>
      <c r="Y175" s="117"/>
      <c r="Z175" s="100"/>
      <c r="AA175" s="117"/>
      <c r="AB175" s="100"/>
      <c r="AC175" s="117"/>
      <c r="AD175" s="100"/>
      <c r="AE175" s="117"/>
      <c r="AF175" s="100"/>
      <c r="AG175" s="117"/>
      <c r="AH175" s="100"/>
      <c r="AI175" s="108">
        <v>45540689</v>
      </c>
      <c r="AJ175" s="15" t="s">
        <v>40</v>
      </c>
      <c r="AK175" s="15" t="s">
        <v>5</v>
      </c>
      <c r="AL175" s="15" t="s">
        <v>9</v>
      </c>
      <c r="AM175" s="118">
        <v>5.4999999999999997E-3</v>
      </c>
      <c r="AN175" s="118">
        <v>5.4999999999999997E-3</v>
      </c>
      <c r="AO175" s="118">
        <v>0</v>
      </c>
      <c r="AP175" s="100">
        <v>46054</v>
      </c>
      <c r="AQ175" s="99"/>
    </row>
    <row r="176" spans="1:43" x14ac:dyDescent="0.25">
      <c r="A176" s="99" t="b">
        <v>0</v>
      </c>
      <c r="B176" s="101" t="s">
        <v>446</v>
      </c>
      <c r="C176" s="109" t="s">
        <v>447</v>
      </c>
      <c r="D176" s="95" t="s">
        <v>307</v>
      </c>
      <c r="E176" s="95" t="s">
        <v>444</v>
      </c>
      <c r="F176" s="98"/>
      <c r="G176" s="99" t="s">
        <v>539</v>
      </c>
      <c r="H176" s="120">
        <v>7.0000000000000001E-3</v>
      </c>
      <c r="I176" s="117"/>
      <c r="J176" s="100"/>
      <c r="K176" s="117"/>
      <c r="L176" s="100"/>
      <c r="M176" s="117"/>
      <c r="N176" s="100"/>
      <c r="O176" s="117"/>
      <c r="P176" s="100"/>
      <c r="Q176" s="117"/>
      <c r="R176" s="100"/>
      <c r="S176" s="117"/>
      <c r="T176" s="100"/>
      <c r="U176" s="117"/>
      <c r="V176" s="100"/>
      <c r="W176" s="117"/>
      <c r="X176" s="100"/>
      <c r="Y176" s="117"/>
      <c r="Z176" s="100"/>
      <c r="AA176" s="117"/>
      <c r="AB176" s="100"/>
      <c r="AC176" s="117"/>
      <c r="AD176" s="100"/>
      <c r="AE176" s="117"/>
      <c r="AF176" s="100"/>
      <c r="AG176" s="117"/>
      <c r="AH176" s="100"/>
      <c r="AI176" s="108">
        <v>125373044</v>
      </c>
      <c r="AJ176" s="15" t="s">
        <v>40</v>
      </c>
      <c r="AK176" s="15" t="s">
        <v>5</v>
      </c>
      <c r="AL176" s="15" t="s">
        <v>9</v>
      </c>
      <c r="AM176" s="118">
        <v>5.4999999999999997E-3</v>
      </c>
      <c r="AN176" s="118">
        <v>5.4999999999999997E-3</v>
      </c>
      <c r="AO176" s="118">
        <v>0</v>
      </c>
      <c r="AP176" s="100">
        <v>46054</v>
      </c>
      <c r="AQ176" s="99"/>
    </row>
    <row r="177" spans="1:43" x14ac:dyDescent="0.25">
      <c r="A177" s="99" t="b">
        <v>1</v>
      </c>
      <c r="B177" s="101" t="s">
        <v>201</v>
      </c>
      <c r="C177" s="89"/>
      <c r="D177" s="95" t="s">
        <v>307</v>
      </c>
      <c r="E177" s="95" t="s">
        <v>316</v>
      </c>
      <c r="F177" s="98"/>
      <c r="G177" s="99" t="s">
        <v>539</v>
      </c>
      <c r="H177" s="106">
        <v>2.9999999999999997E-4</v>
      </c>
      <c r="I177" s="117">
        <v>0.13450899999999999</v>
      </c>
      <c r="J177" s="100">
        <v>46009</v>
      </c>
      <c r="K177" s="117">
        <v>0</v>
      </c>
      <c r="L177" s="100" t="s">
        <v>85</v>
      </c>
      <c r="M177" s="117">
        <v>0.13150000000000001</v>
      </c>
      <c r="N177" s="100">
        <v>46055</v>
      </c>
      <c r="O177" s="117">
        <v>0.13635</v>
      </c>
      <c r="P177" s="100">
        <v>46083</v>
      </c>
      <c r="Q177" s="117">
        <v>0.13347000000000001</v>
      </c>
      <c r="R177" s="100">
        <v>46113</v>
      </c>
      <c r="S177" s="117">
        <v>0.13463</v>
      </c>
      <c r="T177" s="100">
        <v>46143</v>
      </c>
      <c r="U177" s="117">
        <v>0.13396</v>
      </c>
      <c r="V177" s="100">
        <v>46174</v>
      </c>
      <c r="W177" s="117">
        <v>0.13542999999999999</v>
      </c>
      <c r="X177" s="100">
        <v>46204</v>
      </c>
      <c r="Y177" s="117">
        <v>0.1351</v>
      </c>
      <c r="Z177" s="100">
        <v>46237</v>
      </c>
      <c r="AA177" s="117">
        <v>0.13560700000000001</v>
      </c>
      <c r="AB177" s="100">
        <v>46266</v>
      </c>
      <c r="AC177" s="117">
        <v>0.13687099999999999</v>
      </c>
      <c r="AD177" s="100">
        <v>46296</v>
      </c>
      <c r="AE177" s="117"/>
      <c r="AF177" s="100"/>
      <c r="AG177" s="117"/>
      <c r="AH177" s="100"/>
      <c r="AI177" s="108">
        <v>225020107</v>
      </c>
      <c r="AJ177" s="15" t="s">
        <v>40</v>
      </c>
      <c r="AK177" s="15" t="s">
        <v>5</v>
      </c>
      <c r="AL177" s="15" t="s">
        <v>9</v>
      </c>
      <c r="AM177" s="118">
        <v>5.4999999999999997E-3</v>
      </c>
      <c r="AN177" s="118">
        <v>5.4999999999999997E-3</v>
      </c>
      <c r="AO177" s="118">
        <v>0</v>
      </c>
      <c r="AP177" s="100">
        <v>46054</v>
      </c>
      <c r="AQ177" s="99"/>
    </row>
    <row r="178" spans="1:43" x14ac:dyDescent="0.25">
      <c r="A178" s="99" t="b">
        <v>0</v>
      </c>
      <c r="B178" s="101" t="s">
        <v>202</v>
      </c>
      <c r="C178" s="109"/>
      <c r="D178" s="95" t="s">
        <v>307</v>
      </c>
      <c r="E178" s="95" t="s">
        <v>318</v>
      </c>
      <c r="F178" s="98"/>
      <c r="G178" s="99" t="s">
        <v>532</v>
      </c>
      <c r="H178" s="120">
        <v>1.5E-3</v>
      </c>
      <c r="I178" s="117"/>
      <c r="J178" s="100"/>
      <c r="K178" s="117"/>
      <c r="L178" s="100"/>
      <c r="M178" s="117"/>
      <c r="N178" s="100"/>
      <c r="O178" s="117"/>
      <c r="P178" s="100"/>
      <c r="Q178" s="117"/>
      <c r="R178" s="100"/>
      <c r="S178" s="117"/>
      <c r="T178" s="100"/>
      <c r="U178" s="117"/>
      <c r="V178" s="100"/>
      <c r="W178" s="117"/>
      <c r="X178" s="100"/>
      <c r="Y178" s="117"/>
      <c r="Z178" s="100"/>
      <c r="AA178" s="117"/>
      <c r="AB178" s="100"/>
      <c r="AC178" s="117"/>
      <c r="AD178" s="100"/>
      <c r="AE178" s="117"/>
      <c r="AF178" s="100"/>
      <c r="AG178" s="117"/>
      <c r="AH178" s="100"/>
      <c r="AI178" s="108">
        <v>15547841</v>
      </c>
      <c r="AJ178" s="15" t="s">
        <v>40</v>
      </c>
      <c r="AK178" s="15" t="s">
        <v>5</v>
      </c>
      <c r="AL178" s="15" t="s">
        <v>9</v>
      </c>
      <c r="AM178" s="118">
        <v>5.4999999999999997E-3</v>
      </c>
      <c r="AN178" s="118">
        <v>5.4999999999999997E-3</v>
      </c>
      <c r="AO178" s="118">
        <v>0</v>
      </c>
      <c r="AP178" s="100">
        <v>46054</v>
      </c>
      <c r="AQ178" s="99"/>
    </row>
    <row r="179" spans="1:43" x14ac:dyDescent="0.25">
      <c r="A179" s="99" t="b">
        <v>1</v>
      </c>
      <c r="B179" s="101" t="s">
        <v>359</v>
      </c>
      <c r="C179" s="109"/>
      <c r="D179" s="95" t="s">
        <v>506</v>
      </c>
      <c r="E179" s="110" t="s">
        <v>358</v>
      </c>
      <c r="F179" s="98"/>
      <c r="G179" s="99" t="s">
        <v>207</v>
      </c>
      <c r="H179" s="106">
        <v>0</v>
      </c>
      <c r="I179" s="117">
        <v>0</v>
      </c>
      <c r="J179" s="100" t="s">
        <v>85</v>
      </c>
      <c r="K179" s="117">
        <v>0</v>
      </c>
      <c r="L179" s="100" t="s">
        <v>85</v>
      </c>
      <c r="M179" s="117">
        <v>0</v>
      </c>
      <c r="N179" s="100" t="s">
        <v>85</v>
      </c>
      <c r="O179" s="117">
        <v>0</v>
      </c>
      <c r="P179" s="100" t="s">
        <v>85</v>
      </c>
      <c r="Q179" s="117">
        <v>0</v>
      </c>
      <c r="R179" s="100" t="s">
        <v>85</v>
      </c>
      <c r="S179" s="117">
        <v>0</v>
      </c>
      <c r="T179" s="100" t="s">
        <v>85</v>
      </c>
      <c r="U179" s="117">
        <v>0</v>
      </c>
      <c r="V179" s="100" t="s">
        <v>85</v>
      </c>
      <c r="W179" s="117">
        <v>0</v>
      </c>
      <c r="X179" s="100" t="s">
        <v>85</v>
      </c>
      <c r="Y179" s="117">
        <v>0</v>
      </c>
      <c r="Z179" s="100" t="s">
        <v>85</v>
      </c>
      <c r="AA179" s="117">
        <v>0</v>
      </c>
      <c r="AB179" s="100" t="s">
        <v>85</v>
      </c>
      <c r="AC179" s="117">
        <v>0</v>
      </c>
      <c r="AD179" s="100" t="s">
        <v>85</v>
      </c>
      <c r="AE179" s="117"/>
      <c r="AF179" s="100"/>
      <c r="AG179" s="117"/>
      <c r="AH179" s="100"/>
      <c r="AI179" s="65">
        <v>225590118</v>
      </c>
      <c r="AJ179" s="15" t="s">
        <v>40</v>
      </c>
      <c r="AK179" s="15" t="s">
        <v>5</v>
      </c>
      <c r="AL179" s="15" t="s">
        <v>9</v>
      </c>
      <c r="AM179" s="118">
        <v>5.4999999999999997E-3</v>
      </c>
      <c r="AN179" s="118">
        <v>5.4999999999999997E-3</v>
      </c>
      <c r="AO179" s="118">
        <v>0</v>
      </c>
      <c r="AP179" s="100">
        <v>46060</v>
      </c>
      <c r="AQ179" s="99"/>
    </row>
    <row r="180" spans="1:43" x14ac:dyDescent="0.25">
      <c r="A180" s="99" t="b">
        <v>1</v>
      </c>
      <c r="B180" s="101" t="s">
        <v>360</v>
      </c>
      <c r="C180" s="109"/>
      <c r="D180" s="95" t="s">
        <v>506</v>
      </c>
      <c r="E180" s="110" t="s">
        <v>358</v>
      </c>
      <c r="F180" s="98"/>
      <c r="G180" s="99" t="s">
        <v>207</v>
      </c>
      <c r="H180" s="106">
        <v>0</v>
      </c>
      <c r="I180" s="117">
        <v>0</v>
      </c>
      <c r="J180" s="100" t="s">
        <v>85</v>
      </c>
      <c r="K180" s="117">
        <v>0</v>
      </c>
      <c r="L180" s="100" t="s">
        <v>85</v>
      </c>
      <c r="M180" s="117">
        <v>0</v>
      </c>
      <c r="N180" s="100" t="s">
        <v>85</v>
      </c>
      <c r="O180" s="117">
        <v>0</v>
      </c>
      <c r="P180" s="100" t="s">
        <v>85</v>
      </c>
      <c r="Q180" s="117">
        <v>0</v>
      </c>
      <c r="R180" s="100" t="s">
        <v>85</v>
      </c>
      <c r="S180" s="117">
        <v>0</v>
      </c>
      <c r="T180" s="100" t="s">
        <v>85</v>
      </c>
      <c r="U180" s="117">
        <v>0</v>
      </c>
      <c r="V180" s="100" t="s">
        <v>85</v>
      </c>
      <c r="W180" s="117">
        <v>0</v>
      </c>
      <c r="X180" s="100" t="s">
        <v>85</v>
      </c>
      <c r="Y180" s="117">
        <v>0</v>
      </c>
      <c r="Z180" s="100" t="s">
        <v>85</v>
      </c>
      <c r="AA180" s="117">
        <v>0</v>
      </c>
      <c r="AB180" s="100" t="s">
        <v>85</v>
      </c>
      <c r="AC180" s="117">
        <v>0</v>
      </c>
      <c r="AD180" s="100" t="s">
        <v>85</v>
      </c>
      <c r="AE180" s="117"/>
      <c r="AF180" s="100"/>
      <c r="AG180" s="117"/>
      <c r="AH180" s="100"/>
      <c r="AI180" s="65">
        <v>36786278</v>
      </c>
      <c r="AJ180" s="15" t="s">
        <v>40</v>
      </c>
      <c r="AK180" s="15" t="s">
        <v>5</v>
      </c>
      <c r="AL180" s="15" t="s">
        <v>9</v>
      </c>
      <c r="AM180" s="118">
        <v>5.4999999999999997E-3</v>
      </c>
      <c r="AN180" s="118">
        <v>5.4999999999999997E-3</v>
      </c>
      <c r="AO180" s="118">
        <v>0</v>
      </c>
      <c r="AP180" s="100">
        <v>46060</v>
      </c>
      <c r="AQ180" s="99"/>
    </row>
    <row r="181" spans="1:43" x14ac:dyDescent="0.25">
      <c r="A181" s="99" t="b">
        <v>1</v>
      </c>
      <c r="B181" s="101" t="s">
        <v>243</v>
      </c>
      <c r="C181" s="109"/>
      <c r="D181" s="95" t="s">
        <v>307</v>
      </c>
      <c r="E181" s="95" t="s">
        <v>313</v>
      </c>
      <c r="F181" s="98"/>
      <c r="G181" s="99" t="s">
        <v>532</v>
      </c>
      <c r="H181" s="106">
        <v>8.0000000000000004E-4</v>
      </c>
      <c r="I181" s="117">
        <v>0.21210300000000001</v>
      </c>
      <c r="J181" s="100">
        <v>46010</v>
      </c>
      <c r="K181" s="117">
        <v>0</v>
      </c>
      <c r="L181" s="100" t="s">
        <v>85</v>
      </c>
      <c r="M181" s="117">
        <v>0.21539</v>
      </c>
      <c r="N181" s="100">
        <v>46055</v>
      </c>
      <c r="O181" s="117">
        <v>0.20236000000000001</v>
      </c>
      <c r="P181" s="100">
        <v>46083</v>
      </c>
      <c r="Q181" s="117">
        <v>0.23028999999999999</v>
      </c>
      <c r="R181" s="100">
        <v>46113</v>
      </c>
      <c r="S181" s="117">
        <v>0.20244999999999999</v>
      </c>
      <c r="T181" s="100">
        <v>46143</v>
      </c>
      <c r="U181" s="117">
        <v>0.20932000000000001</v>
      </c>
      <c r="V181" s="100">
        <v>46174</v>
      </c>
      <c r="W181" s="117">
        <v>0.20629</v>
      </c>
      <c r="X181" s="100">
        <v>46204</v>
      </c>
      <c r="Y181" s="117">
        <v>0.21290000000000001</v>
      </c>
      <c r="Z181" s="100">
        <v>46237</v>
      </c>
      <c r="AA181" s="117">
        <v>0.21326600000000001</v>
      </c>
      <c r="AB181" s="100">
        <v>46266</v>
      </c>
      <c r="AC181" s="117">
        <v>0.22003600000000001</v>
      </c>
      <c r="AD181" s="100">
        <v>46296</v>
      </c>
      <c r="AE181" s="117"/>
      <c r="AF181" s="100"/>
      <c r="AG181" s="117"/>
      <c r="AH181" s="100"/>
      <c r="AI181" s="108">
        <v>293893522</v>
      </c>
      <c r="AJ181" s="15" t="s">
        <v>40</v>
      </c>
      <c r="AK181" s="15" t="s">
        <v>5</v>
      </c>
      <c r="AL181" s="15" t="s">
        <v>9</v>
      </c>
      <c r="AM181" s="118">
        <v>5.4999999999999997E-3</v>
      </c>
      <c r="AN181" s="118">
        <v>5.4999999999999997E-3</v>
      </c>
      <c r="AO181" s="118">
        <v>0</v>
      </c>
      <c r="AP181" s="100">
        <v>46054</v>
      </c>
      <c r="AQ181" s="99"/>
    </row>
    <row r="182" spans="1:43" x14ac:dyDescent="0.25">
      <c r="A182" s="99" t="b">
        <v>1</v>
      </c>
      <c r="B182" s="101" t="s">
        <v>232</v>
      </c>
      <c r="C182" s="109"/>
      <c r="D182" s="95" t="s">
        <v>307</v>
      </c>
      <c r="E182" s="95" t="s">
        <v>311</v>
      </c>
      <c r="F182" s="98"/>
      <c r="G182" s="99" t="s">
        <v>532</v>
      </c>
      <c r="H182" s="106">
        <v>4.0000000000000002E-4</v>
      </c>
      <c r="I182" s="117">
        <v>0.20618</v>
      </c>
      <c r="J182" s="100">
        <v>46010</v>
      </c>
      <c r="K182" s="117">
        <v>0</v>
      </c>
      <c r="L182" s="100" t="s">
        <v>85</v>
      </c>
      <c r="M182" s="117">
        <v>0.19395999999999999</v>
      </c>
      <c r="N182" s="100">
        <v>46055</v>
      </c>
      <c r="O182" s="117">
        <v>0.20302999999999999</v>
      </c>
      <c r="P182" s="100">
        <v>46083</v>
      </c>
      <c r="Q182" s="117">
        <v>0.19914000000000001</v>
      </c>
      <c r="R182" s="100">
        <v>46113</v>
      </c>
      <c r="S182" s="117">
        <v>0.20424999999999999</v>
      </c>
      <c r="T182" s="100">
        <v>46143</v>
      </c>
      <c r="U182" s="117">
        <v>0.20741999999999999</v>
      </c>
      <c r="V182" s="100">
        <v>46174</v>
      </c>
      <c r="W182" s="117">
        <v>0.20164000000000001</v>
      </c>
      <c r="X182" s="100">
        <v>46204</v>
      </c>
      <c r="Y182" s="117">
        <v>0.20637</v>
      </c>
      <c r="Z182" s="100">
        <v>46237</v>
      </c>
      <c r="AA182" s="117">
        <v>0.20414599999999999</v>
      </c>
      <c r="AB182" s="100">
        <v>46266</v>
      </c>
      <c r="AC182" s="117">
        <v>0.20621600000000001</v>
      </c>
      <c r="AD182" s="100">
        <v>46296</v>
      </c>
      <c r="AE182" s="117"/>
      <c r="AF182" s="100"/>
      <c r="AG182" s="117"/>
      <c r="AH182" s="100"/>
      <c r="AI182" s="108">
        <v>42454562</v>
      </c>
      <c r="AJ182" s="15" t="s">
        <v>40</v>
      </c>
      <c r="AK182" s="15" t="s">
        <v>5</v>
      </c>
      <c r="AL182" s="15" t="s">
        <v>9</v>
      </c>
      <c r="AM182" s="118">
        <v>5.4999999999999997E-3</v>
      </c>
      <c r="AN182" s="118">
        <v>5.4999999999999997E-3</v>
      </c>
      <c r="AO182" s="118">
        <v>0</v>
      </c>
      <c r="AP182" s="100">
        <v>46054</v>
      </c>
      <c r="AQ182" s="99"/>
    </row>
    <row r="183" spans="1:43" x14ac:dyDescent="0.25">
      <c r="A183" s="99" t="b">
        <v>1</v>
      </c>
      <c r="B183" s="101" t="s">
        <v>259</v>
      </c>
      <c r="C183" s="109"/>
      <c r="D183" s="15" t="s">
        <v>450</v>
      </c>
      <c r="E183" s="15" t="s">
        <v>322</v>
      </c>
      <c r="F183" s="98"/>
      <c r="G183" s="99" t="s">
        <v>532</v>
      </c>
      <c r="H183" s="106">
        <v>8.0000000000000004E-4</v>
      </c>
      <c r="I183" s="117">
        <v>0.695461</v>
      </c>
      <c r="J183" s="100">
        <v>46007</v>
      </c>
      <c r="K183" s="117">
        <v>0</v>
      </c>
      <c r="L183" s="100" t="s">
        <v>85</v>
      </c>
      <c r="M183" s="117">
        <v>0</v>
      </c>
      <c r="N183" s="100" t="s">
        <v>85</v>
      </c>
      <c r="O183" s="117">
        <v>0.211783</v>
      </c>
      <c r="P183" s="100">
        <v>46098</v>
      </c>
      <c r="Q183" s="117">
        <v>0</v>
      </c>
      <c r="R183" s="100" t="s">
        <v>85</v>
      </c>
      <c r="S183" s="117">
        <v>0</v>
      </c>
      <c r="T183" s="100" t="s">
        <v>85</v>
      </c>
      <c r="U183" s="117">
        <v>0.37368899999999999</v>
      </c>
      <c r="V183" s="100">
        <v>46188</v>
      </c>
      <c r="W183" s="117">
        <v>0</v>
      </c>
      <c r="X183" s="100" t="s">
        <v>85</v>
      </c>
      <c r="Y183" s="117">
        <v>0</v>
      </c>
      <c r="Z183" s="100" t="s">
        <v>85</v>
      </c>
      <c r="AA183" s="117">
        <v>0.473107</v>
      </c>
      <c r="AB183" s="100">
        <v>46280</v>
      </c>
      <c r="AC183" s="117">
        <v>0</v>
      </c>
      <c r="AD183" s="100" t="s">
        <v>85</v>
      </c>
      <c r="AE183" s="117"/>
      <c r="AF183" s="100"/>
      <c r="AG183" s="117"/>
      <c r="AH183" s="100"/>
      <c r="AI183" s="65">
        <v>44053714</v>
      </c>
      <c r="AJ183" s="15" t="s">
        <v>40</v>
      </c>
      <c r="AK183" s="15" t="s">
        <v>5</v>
      </c>
      <c r="AL183" s="15" t="s">
        <v>9</v>
      </c>
      <c r="AM183" s="118">
        <v>5.4999999999999997E-3</v>
      </c>
      <c r="AN183" s="118">
        <v>5.4999999999999997E-3</v>
      </c>
      <c r="AO183" s="118">
        <v>0</v>
      </c>
      <c r="AP183" s="100">
        <v>46054</v>
      </c>
      <c r="AQ183" s="99"/>
    </row>
    <row r="184" spans="1:43" x14ac:dyDescent="0.25">
      <c r="A184" s="99" t="b">
        <v>0</v>
      </c>
      <c r="B184" s="101" t="s">
        <v>203</v>
      </c>
      <c r="C184" s="109"/>
      <c r="D184" s="95" t="s">
        <v>307</v>
      </c>
      <c r="E184" s="95" t="s">
        <v>314</v>
      </c>
      <c r="F184" s="98"/>
      <c r="G184" s="99" t="s">
        <v>537</v>
      </c>
      <c r="H184" s="120">
        <v>2.9999999999999997E-4</v>
      </c>
      <c r="I184" s="117"/>
      <c r="J184" s="100"/>
      <c r="K184" s="117"/>
      <c r="L184" s="100"/>
      <c r="M184" s="117"/>
      <c r="N184" s="100"/>
      <c r="O184" s="117"/>
      <c r="P184" s="100"/>
      <c r="Q184" s="117"/>
      <c r="R184" s="100"/>
      <c r="S184" s="117"/>
      <c r="T184" s="100"/>
      <c r="U184" s="117"/>
      <c r="V184" s="100"/>
      <c r="W184" s="117"/>
      <c r="X184" s="100"/>
      <c r="Y184" s="117"/>
      <c r="Z184" s="100"/>
      <c r="AA184" s="117"/>
      <c r="AB184" s="100"/>
      <c r="AC184" s="117"/>
      <c r="AD184" s="100"/>
      <c r="AE184" s="117"/>
      <c r="AF184" s="100"/>
      <c r="AG184" s="117"/>
      <c r="AH184" s="100"/>
      <c r="AI184" s="108">
        <v>70363054</v>
      </c>
      <c r="AJ184" s="15" t="s">
        <v>40</v>
      </c>
      <c r="AK184" s="15" t="s">
        <v>5</v>
      </c>
      <c r="AL184" s="15" t="s">
        <v>9</v>
      </c>
      <c r="AM184" s="118">
        <v>5.4999999999999997E-3</v>
      </c>
      <c r="AN184" s="118">
        <v>5.4999999999999997E-3</v>
      </c>
      <c r="AO184" s="118">
        <v>0</v>
      </c>
      <c r="AP184" s="100">
        <v>46054</v>
      </c>
      <c r="AQ184" s="99"/>
    </row>
    <row r="185" spans="1:43" x14ac:dyDescent="0.25">
      <c r="A185" s="112" t="b">
        <v>1</v>
      </c>
      <c r="B185" s="101" t="s">
        <v>267</v>
      </c>
      <c r="C185" s="109"/>
      <c r="D185" s="95" t="s">
        <v>300</v>
      </c>
      <c r="E185" s="110" t="s">
        <v>327</v>
      </c>
      <c r="F185" s="98"/>
      <c r="G185" s="99" t="s">
        <v>537</v>
      </c>
      <c r="H185" s="106">
        <v>8.9999999999999998E-4</v>
      </c>
      <c r="I185" s="117">
        <v>0.75129999999999997</v>
      </c>
      <c r="J185" s="100">
        <v>46008</v>
      </c>
      <c r="K185" s="117">
        <v>0</v>
      </c>
      <c r="L185" s="100" t="s">
        <v>85</v>
      </c>
      <c r="M185" s="117">
        <v>0</v>
      </c>
      <c r="N185" s="100" t="s">
        <v>85</v>
      </c>
      <c r="O185" s="117">
        <v>0.71919999999999995</v>
      </c>
      <c r="P185" s="100">
        <v>46105</v>
      </c>
      <c r="Q185" s="117">
        <v>0</v>
      </c>
      <c r="R185" s="100" t="s">
        <v>85</v>
      </c>
      <c r="S185" s="117">
        <v>0</v>
      </c>
      <c r="T185" s="100" t="s">
        <v>85</v>
      </c>
      <c r="U185" s="117">
        <v>0.70720000000000005</v>
      </c>
      <c r="V185" s="100">
        <v>46197</v>
      </c>
      <c r="W185" s="117">
        <v>0</v>
      </c>
      <c r="X185" s="100" t="s">
        <v>85</v>
      </c>
      <c r="Y185" s="117">
        <v>0</v>
      </c>
      <c r="Z185" s="100" t="s">
        <v>85</v>
      </c>
      <c r="AA185" s="117">
        <v>0.81569999999999998</v>
      </c>
      <c r="AB185" s="100">
        <v>46288</v>
      </c>
      <c r="AC185" s="117">
        <v>0</v>
      </c>
      <c r="AD185" s="100" t="s">
        <v>85</v>
      </c>
      <c r="AE185" s="117"/>
      <c r="AF185" s="100"/>
      <c r="AG185" s="117"/>
      <c r="AH185" s="100"/>
      <c r="AI185" s="65">
        <v>27638064</v>
      </c>
      <c r="AJ185" s="15" t="s">
        <v>40</v>
      </c>
      <c r="AK185" s="15" t="s">
        <v>5</v>
      </c>
      <c r="AL185" s="15" t="s">
        <v>9</v>
      </c>
      <c r="AM185" s="118">
        <v>5.4999999999999997E-3</v>
      </c>
      <c r="AN185" s="118">
        <v>5.4999999999999997E-3</v>
      </c>
      <c r="AO185" s="118">
        <v>0</v>
      </c>
      <c r="AP185" s="100">
        <v>46054</v>
      </c>
      <c r="AQ185" s="99"/>
    </row>
    <row r="186" spans="1:43" x14ac:dyDescent="0.25">
      <c r="A186" s="99" t="b">
        <v>1</v>
      </c>
      <c r="B186" s="101" t="s">
        <v>271</v>
      </c>
      <c r="C186" s="109"/>
      <c r="D186" s="95" t="s">
        <v>300</v>
      </c>
      <c r="E186" s="110" t="s">
        <v>326</v>
      </c>
      <c r="F186" s="98"/>
      <c r="G186" s="99" t="s">
        <v>537</v>
      </c>
      <c r="H186" s="106">
        <v>8.9999999999999998E-4</v>
      </c>
      <c r="I186" s="117">
        <v>1.2296</v>
      </c>
      <c r="J186" s="100">
        <v>46008</v>
      </c>
      <c r="K186" s="117">
        <v>0</v>
      </c>
      <c r="L186" s="100" t="s">
        <v>85</v>
      </c>
      <c r="M186" s="117">
        <v>0</v>
      </c>
      <c r="N186" s="100" t="s">
        <v>85</v>
      </c>
      <c r="O186" s="117">
        <v>1.2169000000000001</v>
      </c>
      <c r="P186" s="100">
        <v>46105</v>
      </c>
      <c r="Q186" s="117">
        <v>0</v>
      </c>
      <c r="R186" s="100" t="s">
        <v>85</v>
      </c>
      <c r="S186" s="117">
        <v>0</v>
      </c>
      <c r="T186" s="100" t="s">
        <v>85</v>
      </c>
      <c r="U186" s="117">
        <v>1.2239</v>
      </c>
      <c r="V186" s="100">
        <v>46197</v>
      </c>
      <c r="W186" s="117">
        <v>0</v>
      </c>
      <c r="X186" s="100" t="s">
        <v>85</v>
      </c>
      <c r="Y186" s="117">
        <v>0</v>
      </c>
      <c r="Z186" s="100" t="s">
        <v>85</v>
      </c>
      <c r="AA186" s="117">
        <v>1.2112000000000001</v>
      </c>
      <c r="AB186" s="100">
        <v>46288</v>
      </c>
      <c r="AC186" s="117">
        <v>0</v>
      </c>
      <c r="AD186" s="100" t="s">
        <v>85</v>
      </c>
      <c r="AE186" s="117"/>
      <c r="AF186" s="100"/>
      <c r="AG186" s="117"/>
      <c r="AH186" s="100"/>
      <c r="AI186" s="65">
        <v>27638069</v>
      </c>
      <c r="AJ186" s="15" t="s">
        <v>40</v>
      </c>
      <c r="AK186" s="15" t="s">
        <v>5</v>
      </c>
      <c r="AL186" s="15" t="s">
        <v>9</v>
      </c>
      <c r="AM186" s="118">
        <v>5.4999999999999997E-3</v>
      </c>
      <c r="AN186" s="118">
        <v>5.4999999999999997E-3</v>
      </c>
      <c r="AO186" s="118">
        <v>0</v>
      </c>
      <c r="AP186" s="100">
        <v>46054</v>
      </c>
      <c r="AQ186" s="99"/>
    </row>
    <row r="187" spans="1:43" x14ac:dyDescent="0.25">
      <c r="A187" s="99" t="b">
        <v>1</v>
      </c>
      <c r="B187" s="101" t="s">
        <v>275</v>
      </c>
      <c r="C187" s="109"/>
      <c r="D187" s="95" t="s">
        <v>300</v>
      </c>
      <c r="E187" s="110" t="s">
        <v>319</v>
      </c>
      <c r="F187" s="98"/>
      <c r="G187" s="99" t="s">
        <v>537</v>
      </c>
      <c r="H187" s="106">
        <v>8.9999999999999998E-4</v>
      </c>
      <c r="I187" s="117">
        <v>1.0279</v>
      </c>
      <c r="J187" s="100">
        <v>46008</v>
      </c>
      <c r="K187" s="117">
        <v>0</v>
      </c>
      <c r="L187" s="100" t="s">
        <v>85</v>
      </c>
      <c r="M187" s="117">
        <v>0</v>
      </c>
      <c r="N187" s="100" t="s">
        <v>85</v>
      </c>
      <c r="O187" s="117">
        <v>0.96889999999999998</v>
      </c>
      <c r="P187" s="100">
        <v>46105</v>
      </c>
      <c r="Q187" s="117">
        <v>0</v>
      </c>
      <c r="R187" s="100" t="s">
        <v>85</v>
      </c>
      <c r="S187" s="117">
        <v>0</v>
      </c>
      <c r="T187" s="100" t="s">
        <v>85</v>
      </c>
      <c r="U187" s="117">
        <v>1.0321</v>
      </c>
      <c r="V187" s="100">
        <v>46197</v>
      </c>
      <c r="W187" s="117">
        <v>0</v>
      </c>
      <c r="X187" s="100" t="s">
        <v>85</v>
      </c>
      <c r="Y187" s="117">
        <v>0</v>
      </c>
      <c r="Z187" s="100" t="s">
        <v>85</v>
      </c>
      <c r="AA187" s="117">
        <v>1.0519000000000001</v>
      </c>
      <c r="AB187" s="100">
        <v>46288</v>
      </c>
      <c r="AC187" s="117">
        <v>0</v>
      </c>
      <c r="AD187" s="100" t="s">
        <v>85</v>
      </c>
      <c r="AE187" s="117"/>
      <c r="AF187" s="100"/>
      <c r="AG187" s="117"/>
      <c r="AH187" s="100"/>
      <c r="AI187" s="65">
        <v>27684036</v>
      </c>
      <c r="AJ187" s="15" t="s">
        <v>40</v>
      </c>
      <c r="AK187" s="15" t="s">
        <v>5</v>
      </c>
      <c r="AL187" s="15" t="s">
        <v>9</v>
      </c>
      <c r="AM187" s="118">
        <v>5.4999999999999997E-3</v>
      </c>
      <c r="AN187" s="118">
        <v>5.4999999999999997E-3</v>
      </c>
      <c r="AO187" s="118">
        <v>0</v>
      </c>
      <c r="AP187" s="100">
        <v>46054</v>
      </c>
      <c r="AQ187" s="99"/>
    </row>
    <row r="188" spans="1:43" x14ac:dyDescent="0.25">
      <c r="A188" s="99" t="b">
        <v>1</v>
      </c>
      <c r="B188" s="101" t="s">
        <v>279</v>
      </c>
      <c r="C188" s="109"/>
      <c r="D188" s="95" t="s">
        <v>300</v>
      </c>
      <c r="E188" s="110" t="s">
        <v>325</v>
      </c>
      <c r="F188" s="98"/>
      <c r="G188" s="99" t="s">
        <v>537</v>
      </c>
      <c r="H188" s="106">
        <v>8.9999999999999998E-4</v>
      </c>
      <c r="I188" s="117">
        <v>0.67479999999999996</v>
      </c>
      <c r="J188" s="100">
        <v>46008</v>
      </c>
      <c r="K188" s="117">
        <v>0</v>
      </c>
      <c r="L188" s="100" t="s">
        <v>85</v>
      </c>
      <c r="M188" s="117">
        <v>0</v>
      </c>
      <c r="N188" s="100" t="s">
        <v>85</v>
      </c>
      <c r="O188" s="117">
        <v>0.37930000000000003</v>
      </c>
      <c r="P188" s="100">
        <v>46105</v>
      </c>
      <c r="Q188" s="117">
        <v>0</v>
      </c>
      <c r="R188" s="100" t="s">
        <v>85</v>
      </c>
      <c r="S188" s="117">
        <v>0</v>
      </c>
      <c r="T188" s="100" t="s">
        <v>85</v>
      </c>
      <c r="U188" s="117">
        <v>0.85189999999999999</v>
      </c>
      <c r="V188" s="100">
        <v>46197</v>
      </c>
      <c r="W188" s="117">
        <v>0</v>
      </c>
      <c r="X188" s="100" t="s">
        <v>85</v>
      </c>
      <c r="Y188" s="117">
        <v>0</v>
      </c>
      <c r="Z188" s="100" t="s">
        <v>85</v>
      </c>
      <c r="AA188" s="117">
        <v>0.4461</v>
      </c>
      <c r="AB188" s="100">
        <v>46288</v>
      </c>
      <c r="AC188" s="117">
        <v>0</v>
      </c>
      <c r="AD188" s="100" t="s">
        <v>85</v>
      </c>
      <c r="AE188" s="117"/>
      <c r="AF188" s="100"/>
      <c r="AG188" s="117"/>
      <c r="AH188" s="100"/>
      <c r="AI188" s="65">
        <v>27638074</v>
      </c>
      <c r="AJ188" s="15" t="s">
        <v>40</v>
      </c>
      <c r="AK188" s="15" t="s">
        <v>5</v>
      </c>
      <c r="AL188" s="15" t="s">
        <v>9</v>
      </c>
      <c r="AM188" s="118">
        <v>5.4999999999999997E-3</v>
      </c>
      <c r="AN188" s="118">
        <v>5.4999999999999997E-3</v>
      </c>
      <c r="AO188" s="118">
        <v>0</v>
      </c>
      <c r="AP188" s="100">
        <v>46054</v>
      </c>
      <c r="AQ188" s="99"/>
    </row>
    <row r="189" spans="1:43" x14ac:dyDescent="0.25">
      <c r="A189" s="99" t="b">
        <v>0</v>
      </c>
      <c r="B189" s="101" t="s">
        <v>204</v>
      </c>
      <c r="C189" s="109"/>
      <c r="D189" s="95" t="s">
        <v>307</v>
      </c>
      <c r="E189" s="95" t="s">
        <v>318</v>
      </c>
      <c r="F189" s="98"/>
      <c r="G189" s="99" t="s">
        <v>537</v>
      </c>
      <c r="H189" s="120">
        <v>2.9999999999999997E-4</v>
      </c>
      <c r="I189" s="117"/>
      <c r="J189" s="100"/>
      <c r="K189" s="117"/>
      <c r="L189" s="100"/>
      <c r="M189" s="117"/>
      <c r="N189" s="100"/>
      <c r="O189" s="117"/>
      <c r="P189" s="100"/>
      <c r="Q189" s="117"/>
      <c r="R189" s="100"/>
      <c r="S189" s="117"/>
      <c r="T189" s="100"/>
      <c r="U189" s="117"/>
      <c r="V189" s="100"/>
      <c r="W189" s="117"/>
      <c r="X189" s="100"/>
      <c r="Y189" s="117"/>
      <c r="Z189" s="100"/>
      <c r="AA189" s="117"/>
      <c r="AB189" s="100"/>
      <c r="AC189" s="117"/>
      <c r="AD189" s="100"/>
      <c r="AE189" s="117"/>
      <c r="AF189" s="100"/>
      <c r="AG189" s="117"/>
      <c r="AH189" s="100"/>
      <c r="AI189" s="108">
        <v>70363056</v>
      </c>
      <c r="AJ189" s="15" t="s">
        <v>40</v>
      </c>
      <c r="AK189" s="15" t="s">
        <v>5</v>
      </c>
      <c r="AL189" s="15" t="s">
        <v>9</v>
      </c>
      <c r="AM189" s="118">
        <v>5.4999999999999997E-3</v>
      </c>
      <c r="AN189" s="118">
        <v>5.4999999999999997E-3</v>
      </c>
      <c r="AO189" s="118">
        <v>0</v>
      </c>
      <c r="AP189" s="100">
        <v>46054</v>
      </c>
      <c r="AQ189" s="99"/>
    </row>
    <row r="190" spans="1:43" x14ac:dyDescent="0.25">
      <c r="A190" s="99" t="b">
        <v>1</v>
      </c>
      <c r="B190" s="101" t="s">
        <v>295</v>
      </c>
      <c r="C190" s="109"/>
      <c r="D190" s="95" t="s">
        <v>300</v>
      </c>
      <c r="E190" s="110" t="s">
        <v>323</v>
      </c>
      <c r="F190" s="98"/>
      <c r="G190" s="99" t="s">
        <v>537</v>
      </c>
      <c r="H190" s="106">
        <v>8.9999999999999998E-4</v>
      </c>
      <c r="I190" s="117">
        <v>9.4630000000000006E-2</v>
      </c>
      <c r="J190" s="100">
        <v>46008</v>
      </c>
      <c r="K190" s="117">
        <v>0</v>
      </c>
      <c r="L190" s="100" t="s">
        <v>85</v>
      </c>
      <c r="M190" s="117">
        <v>0</v>
      </c>
      <c r="N190" s="100" t="s">
        <v>85</v>
      </c>
      <c r="O190" s="117">
        <v>9.2975000000000002E-2</v>
      </c>
      <c r="P190" s="100">
        <v>46105</v>
      </c>
      <c r="Q190" s="117">
        <v>0</v>
      </c>
      <c r="R190" s="100" t="s">
        <v>85</v>
      </c>
      <c r="S190" s="117">
        <v>0</v>
      </c>
      <c r="T190" s="100" t="s">
        <v>85</v>
      </c>
      <c r="U190" s="117">
        <v>0.1384</v>
      </c>
      <c r="V190" s="100">
        <v>46197</v>
      </c>
      <c r="W190" s="117">
        <v>0</v>
      </c>
      <c r="X190" s="100" t="s">
        <v>85</v>
      </c>
      <c r="Y190" s="117">
        <v>0</v>
      </c>
      <c r="Z190" s="100" t="s">
        <v>85</v>
      </c>
      <c r="AA190" s="117">
        <v>0.14649999999999999</v>
      </c>
      <c r="AB190" s="100">
        <v>46288</v>
      </c>
      <c r="AC190" s="117">
        <v>0</v>
      </c>
      <c r="AD190" s="100" t="s">
        <v>85</v>
      </c>
      <c r="AE190" s="117"/>
      <c r="AF190" s="100"/>
      <c r="AG190" s="117"/>
      <c r="AH190" s="100"/>
      <c r="AI190" s="65">
        <v>27638079</v>
      </c>
      <c r="AJ190" s="15" t="s">
        <v>40</v>
      </c>
      <c r="AK190" s="15" t="s">
        <v>5</v>
      </c>
      <c r="AL190" s="15" t="s">
        <v>9</v>
      </c>
      <c r="AM190" s="118">
        <v>5.4999999999999997E-3</v>
      </c>
      <c r="AN190" s="118">
        <v>5.4999999999999997E-3</v>
      </c>
      <c r="AO190" s="118">
        <v>0</v>
      </c>
      <c r="AP190" s="100">
        <v>46054</v>
      </c>
      <c r="AQ190" s="99"/>
    </row>
    <row r="191" spans="1:43" x14ac:dyDescent="0.25">
      <c r="A191" s="99" t="b">
        <v>1</v>
      </c>
      <c r="B191" s="101" t="s">
        <v>283</v>
      </c>
      <c r="C191" s="109"/>
      <c r="D191" s="95" t="s">
        <v>300</v>
      </c>
      <c r="E191" s="110" t="s">
        <v>320</v>
      </c>
      <c r="F191" s="98"/>
      <c r="G191" s="99" t="s">
        <v>537</v>
      </c>
      <c r="H191" s="106">
        <v>8.9999999999999998E-4</v>
      </c>
      <c r="I191" s="117">
        <v>1.6654</v>
      </c>
      <c r="J191" s="100">
        <v>46008</v>
      </c>
      <c r="K191" s="117">
        <v>0</v>
      </c>
      <c r="L191" s="100" t="s">
        <v>85</v>
      </c>
      <c r="M191" s="117">
        <v>0</v>
      </c>
      <c r="N191" s="100" t="s">
        <v>85</v>
      </c>
      <c r="O191" s="117">
        <v>0.99399999999999999</v>
      </c>
      <c r="P191" s="100">
        <v>46105</v>
      </c>
      <c r="Q191" s="117">
        <v>0</v>
      </c>
      <c r="R191" s="100" t="s">
        <v>85</v>
      </c>
      <c r="S191" s="117">
        <v>0</v>
      </c>
      <c r="T191" s="100" t="s">
        <v>85</v>
      </c>
      <c r="U191" s="117">
        <v>0.98680000000000001</v>
      </c>
      <c r="V191" s="100">
        <v>46197</v>
      </c>
      <c r="W191" s="117">
        <v>0</v>
      </c>
      <c r="X191" s="100" t="s">
        <v>85</v>
      </c>
      <c r="Y191" s="117">
        <v>0</v>
      </c>
      <c r="Z191" s="100" t="s">
        <v>85</v>
      </c>
      <c r="AA191" s="117">
        <v>0.96850000000000003</v>
      </c>
      <c r="AB191" s="100">
        <v>46288</v>
      </c>
      <c r="AC191" s="117">
        <v>0</v>
      </c>
      <c r="AD191" s="100" t="s">
        <v>85</v>
      </c>
      <c r="AE191" s="117"/>
      <c r="AF191" s="100"/>
      <c r="AG191" s="117"/>
      <c r="AH191" s="100"/>
      <c r="AI191" s="65">
        <v>27638082</v>
      </c>
      <c r="AJ191" s="15" t="s">
        <v>40</v>
      </c>
      <c r="AK191" s="15" t="s">
        <v>5</v>
      </c>
      <c r="AL191" s="15" t="s">
        <v>9</v>
      </c>
      <c r="AM191" s="118">
        <v>5.4999999999999997E-3</v>
      </c>
      <c r="AN191" s="118">
        <v>5.4999999999999997E-3</v>
      </c>
      <c r="AO191" s="118">
        <v>0</v>
      </c>
      <c r="AP191" s="100">
        <v>46054</v>
      </c>
      <c r="AQ191" s="99"/>
    </row>
    <row r="192" spans="1:43" x14ac:dyDescent="0.25">
      <c r="A192" s="99" t="b">
        <v>1</v>
      </c>
      <c r="B192" s="101" t="s">
        <v>287</v>
      </c>
      <c r="C192" s="109"/>
      <c r="D192" s="95" t="s">
        <v>300</v>
      </c>
      <c r="E192" s="110" t="s">
        <v>321</v>
      </c>
      <c r="F192" s="98"/>
      <c r="G192" s="99" t="s">
        <v>537</v>
      </c>
      <c r="H192" s="106">
        <v>8.9999999999999998E-4</v>
      </c>
      <c r="I192" s="117">
        <v>0.81410000000000005</v>
      </c>
      <c r="J192" s="100">
        <v>46008</v>
      </c>
      <c r="K192" s="117">
        <v>0</v>
      </c>
      <c r="L192" s="100" t="s">
        <v>85</v>
      </c>
      <c r="M192" s="117">
        <v>0</v>
      </c>
      <c r="N192" s="100" t="s">
        <v>85</v>
      </c>
      <c r="O192" s="117">
        <v>0.77029999999999998</v>
      </c>
      <c r="P192" s="100">
        <v>46105</v>
      </c>
      <c r="Q192" s="117">
        <v>0</v>
      </c>
      <c r="R192" s="100" t="s">
        <v>85</v>
      </c>
      <c r="S192" s="117">
        <v>0</v>
      </c>
      <c r="T192" s="100" t="s">
        <v>85</v>
      </c>
      <c r="U192" s="117">
        <v>0.70540000000000003</v>
      </c>
      <c r="V192" s="100">
        <v>46197</v>
      </c>
      <c r="W192" s="117">
        <v>0</v>
      </c>
      <c r="X192" s="100" t="s">
        <v>85</v>
      </c>
      <c r="Y192" s="117">
        <v>0</v>
      </c>
      <c r="Z192" s="100" t="s">
        <v>85</v>
      </c>
      <c r="AA192" s="117">
        <v>0.70220000000000005</v>
      </c>
      <c r="AB192" s="100">
        <v>46288</v>
      </c>
      <c r="AC192" s="117">
        <v>0</v>
      </c>
      <c r="AD192" s="100" t="s">
        <v>85</v>
      </c>
      <c r="AE192" s="117"/>
      <c r="AF192" s="100"/>
      <c r="AG192" s="117"/>
      <c r="AH192" s="100"/>
      <c r="AI192" s="65">
        <v>27684007</v>
      </c>
      <c r="AJ192" s="15" t="s">
        <v>40</v>
      </c>
      <c r="AK192" s="15" t="s">
        <v>5</v>
      </c>
      <c r="AL192" s="15" t="s">
        <v>9</v>
      </c>
      <c r="AM192" s="118">
        <v>5.4999999999999997E-3</v>
      </c>
      <c r="AN192" s="118">
        <v>5.4999999999999997E-3</v>
      </c>
      <c r="AO192" s="118">
        <v>0</v>
      </c>
      <c r="AP192" s="100">
        <v>46054</v>
      </c>
      <c r="AQ192" s="99"/>
    </row>
    <row r="193" spans="1:43" x14ac:dyDescent="0.25">
      <c r="A193" s="99" t="b">
        <v>1</v>
      </c>
      <c r="B193" s="101" t="s">
        <v>205</v>
      </c>
      <c r="C193" s="109"/>
      <c r="D193" s="95" t="s">
        <v>307</v>
      </c>
      <c r="E193" s="95" t="s">
        <v>315</v>
      </c>
      <c r="F193" s="98"/>
      <c r="G193" s="99" t="s">
        <v>537</v>
      </c>
      <c r="H193" s="106">
        <v>2.9999999999999997E-4</v>
      </c>
      <c r="I193" s="117">
        <v>0.15989999999999999</v>
      </c>
      <c r="J193" s="100">
        <v>46009</v>
      </c>
      <c r="K193" s="117">
        <v>0</v>
      </c>
      <c r="L193" s="100" t="s">
        <v>85</v>
      </c>
      <c r="M193" s="117">
        <v>0.16450000000000001</v>
      </c>
      <c r="N193" s="100">
        <v>46055</v>
      </c>
      <c r="O193" s="117">
        <v>0.16089999999999999</v>
      </c>
      <c r="P193" s="100">
        <v>46083</v>
      </c>
      <c r="Q193" s="117">
        <v>0.16170000000000001</v>
      </c>
      <c r="R193" s="100">
        <v>46113</v>
      </c>
      <c r="S193" s="117">
        <v>0.16089999999999999</v>
      </c>
      <c r="T193" s="100">
        <v>46143</v>
      </c>
      <c r="U193" s="117">
        <v>0.16339999999999999</v>
      </c>
      <c r="V193" s="100">
        <v>46174</v>
      </c>
      <c r="W193" s="117">
        <v>0.16450000000000001</v>
      </c>
      <c r="X193" s="100">
        <v>46204</v>
      </c>
      <c r="Y193" s="117">
        <v>0.16800000000000001</v>
      </c>
      <c r="Z193" s="100">
        <v>46237</v>
      </c>
      <c r="AA193" s="117">
        <v>0.1666</v>
      </c>
      <c r="AB193" s="100">
        <v>46266</v>
      </c>
      <c r="AC193" s="117">
        <v>0.16320000000000001</v>
      </c>
      <c r="AD193" s="100">
        <v>46296</v>
      </c>
      <c r="AE193" s="117"/>
      <c r="AF193" s="100"/>
      <c r="AG193" s="117"/>
      <c r="AH193" s="100"/>
      <c r="AI193" s="108">
        <v>70363041</v>
      </c>
      <c r="AJ193" s="15" t="s">
        <v>40</v>
      </c>
      <c r="AK193" s="15" t="s">
        <v>5</v>
      </c>
      <c r="AL193" s="15" t="s">
        <v>9</v>
      </c>
      <c r="AM193" s="118">
        <v>5.4999999999999997E-3</v>
      </c>
      <c r="AN193" s="118">
        <v>5.4999999999999997E-3</v>
      </c>
      <c r="AO193" s="118">
        <v>0</v>
      </c>
      <c r="AP193" s="100">
        <v>46054</v>
      </c>
      <c r="AQ193" s="99"/>
    </row>
    <row r="194" spans="1:43" x14ac:dyDescent="0.25">
      <c r="A194" s="99" t="b">
        <v>1</v>
      </c>
      <c r="B194" s="101" t="s">
        <v>291</v>
      </c>
      <c r="C194" s="109"/>
      <c r="D194" s="95" t="s">
        <v>300</v>
      </c>
      <c r="E194" s="110" t="s">
        <v>322</v>
      </c>
      <c r="F194" s="98"/>
      <c r="G194" s="99" t="s">
        <v>537</v>
      </c>
      <c r="H194" s="106">
        <v>1.2999999999999999E-3</v>
      </c>
      <c r="I194" s="117">
        <v>0.80049999999999999</v>
      </c>
      <c r="J194" s="100">
        <v>46013</v>
      </c>
      <c r="K194" s="117">
        <v>0</v>
      </c>
      <c r="L194" s="100" t="s">
        <v>85</v>
      </c>
      <c r="M194" s="117">
        <v>0</v>
      </c>
      <c r="N194" s="100" t="s">
        <v>85</v>
      </c>
      <c r="O194" s="117">
        <v>0.94569999999999999</v>
      </c>
      <c r="P194" s="100">
        <v>46105</v>
      </c>
      <c r="Q194" s="117">
        <v>0</v>
      </c>
      <c r="R194" s="100" t="s">
        <v>85</v>
      </c>
      <c r="S194" s="117">
        <v>0</v>
      </c>
      <c r="T194" s="100" t="s">
        <v>85</v>
      </c>
      <c r="U194" s="117">
        <v>0.85540000000000005</v>
      </c>
      <c r="V194" s="100">
        <v>46197</v>
      </c>
      <c r="W194" s="117">
        <v>0</v>
      </c>
      <c r="X194" s="100" t="s">
        <v>85</v>
      </c>
      <c r="Y194" s="117">
        <v>0</v>
      </c>
      <c r="Z194" s="100" t="s">
        <v>85</v>
      </c>
      <c r="AA194" s="117">
        <v>0.80459999999999998</v>
      </c>
      <c r="AB194" s="100">
        <v>46288</v>
      </c>
      <c r="AC194" s="117">
        <v>0</v>
      </c>
      <c r="AD194" s="100" t="s">
        <v>85</v>
      </c>
      <c r="AE194" s="117"/>
      <c r="AF194" s="100"/>
      <c r="AG194" s="117"/>
      <c r="AH194" s="100"/>
      <c r="AI194" s="65">
        <v>31230302</v>
      </c>
      <c r="AJ194" s="15" t="s">
        <v>40</v>
      </c>
      <c r="AK194" s="15" t="s">
        <v>5</v>
      </c>
      <c r="AL194" s="15" t="s">
        <v>9</v>
      </c>
      <c r="AM194" s="118">
        <v>5.4999999999999997E-3</v>
      </c>
      <c r="AN194" s="118">
        <v>5.4999999999999997E-3</v>
      </c>
      <c r="AO194" s="118">
        <v>0</v>
      </c>
      <c r="AP194" s="100">
        <v>46054</v>
      </c>
      <c r="AQ194" s="99"/>
    </row>
    <row r="195" spans="1:43" x14ac:dyDescent="0.25">
      <c r="A195" s="99" t="b">
        <v>1</v>
      </c>
      <c r="B195" s="101" t="s">
        <v>299</v>
      </c>
      <c r="C195" s="109"/>
      <c r="D195" s="95" t="s">
        <v>300</v>
      </c>
      <c r="E195" s="110" t="s">
        <v>324</v>
      </c>
      <c r="F195" s="98"/>
      <c r="G195" s="99" t="s">
        <v>537</v>
      </c>
      <c r="H195" s="106">
        <v>8.9999999999999998E-4</v>
      </c>
      <c r="I195" s="117">
        <v>1.3633</v>
      </c>
      <c r="J195" s="100">
        <v>46008</v>
      </c>
      <c r="K195" s="117">
        <v>0</v>
      </c>
      <c r="L195" s="100" t="s">
        <v>85</v>
      </c>
      <c r="M195" s="117">
        <v>0</v>
      </c>
      <c r="N195" s="100" t="s">
        <v>85</v>
      </c>
      <c r="O195" s="117">
        <v>1.2768999999999999</v>
      </c>
      <c r="P195" s="100">
        <v>46105</v>
      </c>
      <c r="Q195" s="117">
        <v>0</v>
      </c>
      <c r="R195" s="100" t="s">
        <v>85</v>
      </c>
      <c r="S195" s="117">
        <v>0</v>
      </c>
      <c r="T195" s="100" t="s">
        <v>85</v>
      </c>
      <c r="U195" s="117">
        <v>1.3008999999999999</v>
      </c>
      <c r="V195" s="100">
        <v>46197</v>
      </c>
      <c r="W195" s="117">
        <v>0</v>
      </c>
      <c r="X195" s="100" t="s">
        <v>85</v>
      </c>
      <c r="Y195" s="117">
        <v>0</v>
      </c>
      <c r="Z195" s="100" t="s">
        <v>85</v>
      </c>
      <c r="AA195" s="117">
        <v>1.258</v>
      </c>
      <c r="AB195" s="100">
        <v>46288</v>
      </c>
      <c r="AC195" s="117">
        <v>0</v>
      </c>
      <c r="AD195" s="100" t="s">
        <v>85</v>
      </c>
      <c r="AE195" s="117"/>
      <c r="AF195" s="100"/>
      <c r="AG195" s="117"/>
      <c r="AH195" s="100"/>
      <c r="AI195" s="65">
        <v>27638088</v>
      </c>
      <c r="AJ195" s="15" t="s">
        <v>40</v>
      </c>
      <c r="AK195" s="15" t="s">
        <v>5</v>
      </c>
      <c r="AL195" s="15" t="s">
        <v>9</v>
      </c>
      <c r="AM195" s="118">
        <v>5.4999999999999997E-3</v>
      </c>
      <c r="AN195" s="118">
        <v>5.4999999999999997E-3</v>
      </c>
      <c r="AO195" s="118">
        <v>0</v>
      </c>
      <c r="AP195" s="100">
        <v>46054</v>
      </c>
      <c r="AQ195" s="99"/>
    </row>
    <row r="196" spans="1:43" x14ac:dyDescent="0.25">
      <c r="A196" s="99" t="b">
        <v>1</v>
      </c>
      <c r="B196" s="101" t="s">
        <v>245</v>
      </c>
      <c r="C196" s="109"/>
      <c r="D196" s="95" t="s">
        <v>307</v>
      </c>
      <c r="E196" s="95" t="s">
        <v>311</v>
      </c>
      <c r="F196" s="98"/>
      <c r="G196" s="99" t="s">
        <v>537</v>
      </c>
      <c r="H196" s="106">
        <v>2.9999999999999997E-4</v>
      </c>
      <c r="I196" s="117">
        <v>0.3105</v>
      </c>
      <c r="J196" s="100">
        <v>46009</v>
      </c>
      <c r="K196" s="117">
        <v>0</v>
      </c>
      <c r="L196" s="100" t="s">
        <v>85</v>
      </c>
      <c r="M196" s="117">
        <v>0.32369999999999999</v>
      </c>
      <c r="N196" s="100">
        <v>46055</v>
      </c>
      <c r="O196" s="117">
        <v>0.2913</v>
      </c>
      <c r="P196" s="100">
        <v>46083</v>
      </c>
      <c r="Q196" s="117">
        <v>0.32269999999999999</v>
      </c>
      <c r="R196" s="100">
        <v>46113</v>
      </c>
      <c r="S196" s="117">
        <v>0.31409999999999999</v>
      </c>
      <c r="T196" s="100">
        <v>46143</v>
      </c>
      <c r="U196" s="117">
        <v>0.31900000000000001</v>
      </c>
      <c r="V196" s="100">
        <v>46174</v>
      </c>
      <c r="W196" s="117">
        <v>0.316</v>
      </c>
      <c r="X196" s="100">
        <v>46204</v>
      </c>
      <c r="Y196" s="117">
        <v>0.32619999999999999</v>
      </c>
      <c r="Z196" s="100">
        <v>46237</v>
      </c>
      <c r="AA196" s="117">
        <v>0.32729999999999998</v>
      </c>
      <c r="AB196" s="100">
        <v>46266</v>
      </c>
      <c r="AC196" s="117">
        <v>0.32219999999999999</v>
      </c>
      <c r="AD196" s="100">
        <v>46296</v>
      </c>
      <c r="AE196" s="117"/>
      <c r="AF196" s="100"/>
      <c r="AG196" s="117"/>
      <c r="AH196" s="100"/>
      <c r="AI196" s="108">
        <v>295518938</v>
      </c>
      <c r="AJ196" s="15" t="s">
        <v>40</v>
      </c>
      <c r="AK196" s="15" t="s">
        <v>5</v>
      </c>
      <c r="AL196" s="15" t="s">
        <v>9</v>
      </c>
      <c r="AM196" s="118">
        <v>5.4999999999999997E-3</v>
      </c>
      <c r="AN196" s="118">
        <v>5.4999999999999997E-3</v>
      </c>
      <c r="AO196" s="118">
        <v>0</v>
      </c>
      <c r="AP196" s="100">
        <v>46054</v>
      </c>
      <c r="AQ196" s="99"/>
    </row>
    <row r="197" spans="1:43" x14ac:dyDescent="0.25">
      <c r="A197" s="99" t="b">
        <v>0</v>
      </c>
      <c r="B197" s="101" t="s">
        <v>206</v>
      </c>
      <c r="C197" s="109"/>
      <c r="D197" s="95" t="s">
        <v>307</v>
      </c>
      <c r="E197" s="95" t="s">
        <v>316</v>
      </c>
      <c r="F197" s="98"/>
      <c r="G197" s="99" t="s">
        <v>537</v>
      </c>
      <c r="H197" s="120">
        <v>2.9999999999999997E-4</v>
      </c>
      <c r="I197" s="117"/>
      <c r="J197" s="100"/>
      <c r="K197" s="117"/>
      <c r="L197" s="100"/>
      <c r="M197" s="117"/>
      <c r="N197" s="100"/>
      <c r="O197" s="117"/>
      <c r="P197" s="100"/>
      <c r="Q197" s="117"/>
      <c r="R197" s="100"/>
      <c r="S197" s="117"/>
      <c r="T197" s="100"/>
      <c r="U197" s="117"/>
      <c r="V197" s="100"/>
      <c r="W197" s="117"/>
      <c r="X197" s="100"/>
      <c r="Y197" s="117"/>
      <c r="Z197" s="100"/>
      <c r="AA197" s="117"/>
      <c r="AB197" s="100"/>
      <c r="AC197" s="117"/>
      <c r="AD197" s="100"/>
      <c r="AE197" s="117"/>
      <c r="AF197" s="100"/>
      <c r="AG197" s="117"/>
      <c r="AH197" s="100"/>
      <c r="AI197" s="108">
        <v>204473835</v>
      </c>
      <c r="AJ197" s="15" t="s">
        <v>40</v>
      </c>
      <c r="AK197" s="15" t="s">
        <v>5</v>
      </c>
      <c r="AL197" s="15" t="s">
        <v>9</v>
      </c>
      <c r="AM197" s="118">
        <v>5.4999999999999997E-3</v>
      </c>
      <c r="AN197" s="118">
        <v>5.4999999999999997E-3</v>
      </c>
      <c r="AO197" s="118">
        <v>0</v>
      </c>
      <c r="AP197" s="100">
        <v>46054</v>
      </c>
      <c r="AQ197" s="99"/>
    </row>
    <row r="198" spans="1:43" x14ac:dyDescent="0.25">
      <c r="A198" s="99" t="b">
        <v>1</v>
      </c>
      <c r="B198" s="101" t="s">
        <v>256</v>
      </c>
      <c r="C198" s="109"/>
      <c r="D198" s="95" t="s">
        <v>307</v>
      </c>
      <c r="E198" s="95" t="s">
        <v>310</v>
      </c>
      <c r="F198" s="98"/>
      <c r="G198" s="99" t="s">
        <v>537</v>
      </c>
      <c r="H198" s="106">
        <v>5.9999999999999995E-4</v>
      </c>
      <c r="I198" s="117">
        <v>0.2626</v>
      </c>
      <c r="J198" s="100">
        <v>46015</v>
      </c>
      <c r="K198" s="117">
        <v>0</v>
      </c>
      <c r="L198" s="100" t="s">
        <v>85</v>
      </c>
      <c r="M198" s="117">
        <v>0.25080000000000002</v>
      </c>
      <c r="N198" s="100">
        <v>46055</v>
      </c>
      <c r="O198" s="117">
        <v>0.25669999999999998</v>
      </c>
      <c r="P198" s="100">
        <v>46083</v>
      </c>
      <c r="Q198" s="117">
        <v>0.25819999999999999</v>
      </c>
      <c r="R198" s="100">
        <v>46113</v>
      </c>
      <c r="S198" s="117">
        <v>0.26029999999999998</v>
      </c>
      <c r="T198" s="100">
        <v>46143</v>
      </c>
      <c r="U198" s="117">
        <v>0.25750000000000001</v>
      </c>
      <c r="V198" s="100">
        <v>46174</v>
      </c>
      <c r="W198" s="117">
        <v>0.26240000000000002</v>
      </c>
      <c r="X198" s="100">
        <v>46204</v>
      </c>
      <c r="Y198" s="117">
        <v>0.25640000000000002</v>
      </c>
      <c r="Z198" s="100">
        <v>46237</v>
      </c>
      <c r="AA198" s="117">
        <v>0.26019999999999999</v>
      </c>
      <c r="AB198" s="100">
        <v>46266</v>
      </c>
      <c r="AC198" s="117">
        <v>0.25840000000000002</v>
      </c>
      <c r="AD198" s="100">
        <v>46296</v>
      </c>
      <c r="AE198" s="117"/>
      <c r="AF198" s="100"/>
      <c r="AG198" s="117"/>
      <c r="AH198" s="100"/>
      <c r="AI198" s="108">
        <v>681156853</v>
      </c>
      <c r="AJ198" s="15" t="s">
        <v>40</v>
      </c>
      <c r="AK198" s="15" t="s">
        <v>5</v>
      </c>
      <c r="AL198" s="15" t="s">
        <v>9</v>
      </c>
      <c r="AM198" s="118">
        <v>5.4999999999999997E-3</v>
      </c>
      <c r="AN198" s="118">
        <v>5.4999999999999997E-3</v>
      </c>
      <c r="AO198" s="118">
        <v>0</v>
      </c>
      <c r="AP198" s="100">
        <v>46054</v>
      </c>
      <c r="AQ198" s="99"/>
    </row>
    <row r="199" spans="1:43" x14ac:dyDescent="0.25">
      <c r="A199" s="99" t="b">
        <v>1</v>
      </c>
      <c r="B199" s="101" t="s">
        <v>257</v>
      </c>
      <c r="C199" s="109"/>
      <c r="D199" s="95" t="s">
        <v>307</v>
      </c>
      <c r="E199" s="95" t="s">
        <v>565</v>
      </c>
      <c r="F199" s="98" t="s">
        <v>564</v>
      </c>
      <c r="G199" s="99" t="s">
        <v>537</v>
      </c>
      <c r="H199" s="106">
        <v>1.5E-3</v>
      </c>
      <c r="I199" s="117">
        <v>0.31519999999999998</v>
      </c>
      <c r="J199" s="100">
        <v>46009</v>
      </c>
      <c r="K199" s="117">
        <v>0</v>
      </c>
      <c r="L199" s="100" t="s">
        <v>85</v>
      </c>
      <c r="M199" s="117">
        <v>0.33960000000000001</v>
      </c>
      <c r="N199" s="100">
        <v>46055</v>
      </c>
      <c r="O199" s="117">
        <v>0.3196</v>
      </c>
      <c r="P199" s="100">
        <v>46083</v>
      </c>
      <c r="Q199" s="117">
        <v>0.32879999999999998</v>
      </c>
      <c r="R199" s="100">
        <v>46113</v>
      </c>
      <c r="S199" s="117">
        <v>0.318</v>
      </c>
      <c r="T199" s="100">
        <v>46143</v>
      </c>
      <c r="U199" s="117">
        <v>0.31890000000000002</v>
      </c>
      <c r="V199" s="100">
        <v>46174</v>
      </c>
      <c r="W199" s="117">
        <v>0.31369999999999998</v>
      </c>
      <c r="X199" s="100">
        <v>46204</v>
      </c>
      <c r="Y199" s="117">
        <v>0.34660000000000002</v>
      </c>
      <c r="Z199" s="100">
        <v>46237</v>
      </c>
      <c r="AA199" s="117">
        <v>0.32069999999999999</v>
      </c>
      <c r="AB199" s="100">
        <v>46266</v>
      </c>
      <c r="AC199" s="117">
        <v>0.32550000000000001</v>
      </c>
      <c r="AD199" s="100">
        <v>46296</v>
      </c>
      <c r="AE199" s="117"/>
      <c r="AF199" s="100"/>
      <c r="AG199" s="117"/>
      <c r="AH199" s="100"/>
      <c r="AI199" s="108">
        <v>128835014</v>
      </c>
      <c r="AJ199" s="15" t="s">
        <v>40</v>
      </c>
      <c r="AK199" s="15" t="s">
        <v>5</v>
      </c>
      <c r="AL199" s="15" t="s">
        <v>9</v>
      </c>
      <c r="AM199" s="118">
        <v>5.4999999999999997E-3</v>
      </c>
      <c r="AN199" s="118">
        <v>5.4999999999999997E-3</v>
      </c>
      <c r="AO199" s="118">
        <v>0</v>
      </c>
      <c r="AP199" s="100">
        <v>46054</v>
      </c>
      <c r="AQ199" s="99"/>
    </row>
    <row r="200" spans="1:43" x14ac:dyDescent="0.25">
      <c r="A200" s="99" t="b">
        <v>0</v>
      </c>
      <c r="B200" s="101" t="s">
        <v>356</v>
      </c>
      <c r="C200" s="109" t="s">
        <v>465</v>
      </c>
      <c r="D200" s="15" t="s">
        <v>450</v>
      </c>
      <c r="E200" s="15" t="s">
        <v>346</v>
      </c>
      <c r="F200" s="98"/>
      <c r="G200" s="99" t="s">
        <v>539</v>
      </c>
      <c r="H200" s="120">
        <v>3.5000000000000001E-3</v>
      </c>
      <c r="I200" s="117"/>
      <c r="J200" s="100"/>
      <c r="K200" s="117"/>
      <c r="L200" s="100"/>
      <c r="M200" s="117"/>
      <c r="N200" s="100"/>
      <c r="O200" s="117"/>
      <c r="P200" s="100"/>
      <c r="Q200" s="117"/>
      <c r="R200" s="100"/>
      <c r="S200" s="117"/>
      <c r="T200" s="100"/>
      <c r="U200" s="117"/>
      <c r="V200" s="100"/>
      <c r="W200" s="117"/>
      <c r="X200" s="100"/>
      <c r="Y200" s="117"/>
      <c r="Z200" s="100"/>
      <c r="AA200" s="117"/>
      <c r="AB200" s="100"/>
      <c r="AC200" s="117"/>
      <c r="AD200" s="100"/>
      <c r="AE200" s="117"/>
      <c r="AF200" s="100"/>
      <c r="AG200" s="117"/>
      <c r="AH200" s="100"/>
      <c r="AI200" s="65">
        <v>95346634</v>
      </c>
      <c r="AJ200" s="15" t="s">
        <v>40</v>
      </c>
      <c r="AK200" s="15" t="s">
        <v>5</v>
      </c>
      <c r="AL200" s="15" t="s">
        <v>9</v>
      </c>
      <c r="AM200" s="118">
        <v>5.4999999999999997E-3</v>
      </c>
      <c r="AN200" s="118">
        <v>5.4999999999999997E-3</v>
      </c>
      <c r="AO200" s="118">
        <v>0</v>
      </c>
      <c r="AP200" s="100">
        <v>46054</v>
      </c>
      <c r="AQ200" s="99"/>
    </row>
    <row r="201" spans="1:43" x14ac:dyDescent="0.25">
      <c r="A201" s="99" t="b">
        <v>0</v>
      </c>
      <c r="B201" s="101" t="s">
        <v>357</v>
      </c>
      <c r="C201" s="109" t="s">
        <v>465</v>
      </c>
      <c r="D201" s="15" t="s">
        <v>450</v>
      </c>
      <c r="E201" s="15" t="s">
        <v>344</v>
      </c>
      <c r="F201" s="98"/>
      <c r="G201" s="99" t="s">
        <v>539</v>
      </c>
      <c r="H201" s="120">
        <v>3.5000000000000001E-3</v>
      </c>
      <c r="I201" s="117"/>
      <c r="J201" s="100"/>
      <c r="K201" s="117"/>
      <c r="L201" s="100"/>
      <c r="M201" s="117"/>
      <c r="N201" s="100"/>
      <c r="O201" s="117"/>
      <c r="P201" s="100"/>
      <c r="Q201" s="117"/>
      <c r="R201" s="100"/>
      <c r="S201" s="117"/>
      <c r="T201" s="100"/>
      <c r="U201" s="117"/>
      <c r="V201" s="100"/>
      <c r="W201" s="117"/>
      <c r="X201" s="100"/>
      <c r="Y201" s="117"/>
      <c r="Z201" s="100"/>
      <c r="AA201" s="117"/>
      <c r="AB201" s="100"/>
      <c r="AC201" s="117"/>
      <c r="AD201" s="100"/>
      <c r="AE201" s="117"/>
      <c r="AF201" s="100"/>
      <c r="AG201" s="117"/>
      <c r="AH201" s="100"/>
      <c r="AI201" s="65">
        <v>45540828</v>
      </c>
      <c r="AJ201" s="15" t="s">
        <v>40</v>
      </c>
      <c r="AK201" s="15" t="s">
        <v>5</v>
      </c>
      <c r="AL201" s="15" t="s">
        <v>9</v>
      </c>
      <c r="AM201" s="118">
        <v>5.4999999999999997E-3</v>
      </c>
      <c r="AN201" s="118">
        <v>5.4999999999999997E-3</v>
      </c>
      <c r="AO201" s="118">
        <v>0</v>
      </c>
      <c r="AP201" s="100">
        <v>46054</v>
      </c>
      <c r="AQ201" s="99"/>
    </row>
    <row r="202" spans="1:43" x14ac:dyDescent="0.25">
      <c r="A202" s="99" t="b">
        <v>0</v>
      </c>
      <c r="B202" s="101" t="s">
        <v>457</v>
      </c>
      <c r="C202" s="109" t="s">
        <v>465</v>
      </c>
      <c r="D202" s="15" t="s">
        <v>450</v>
      </c>
      <c r="E202" s="15" t="s">
        <v>577</v>
      </c>
      <c r="F202" s="98" t="s">
        <v>575</v>
      </c>
      <c r="G202" s="99" t="s">
        <v>539</v>
      </c>
      <c r="H202" s="120">
        <v>3.5000000000000001E-3</v>
      </c>
      <c r="I202" s="117"/>
      <c r="J202" s="100"/>
      <c r="K202" s="117"/>
      <c r="L202" s="100"/>
      <c r="M202" s="117"/>
      <c r="N202" s="100"/>
      <c r="O202" s="117"/>
      <c r="P202" s="100"/>
      <c r="Q202" s="117"/>
      <c r="R202" s="100"/>
      <c r="S202" s="117"/>
      <c r="T202" s="100"/>
      <c r="U202" s="117"/>
      <c r="V202" s="100"/>
      <c r="W202" s="117"/>
      <c r="X202" s="100"/>
      <c r="Y202" s="117"/>
      <c r="Z202" s="100"/>
      <c r="AA202" s="117"/>
      <c r="AB202" s="100"/>
      <c r="AC202" s="117"/>
      <c r="AD202" s="100"/>
      <c r="AE202" s="117"/>
      <c r="AF202" s="100"/>
      <c r="AG202" s="117"/>
      <c r="AH202" s="100"/>
      <c r="AI202" s="65">
        <v>413951493</v>
      </c>
      <c r="AJ202" s="15" t="s">
        <v>40</v>
      </c>
      <c r="AK202" s="15" t="s">
        <v>5</v>
      </c>
      <c r="AL202" s="15" t="s">
        <v>9</v>
      </c>
      <c r="AM202" s="118">
        <v>5.4999999999999997E-3</v>
      </c>
      <c r="AN202" s="118">
        <v>5.4999999999999997E-3</v>
      </c>
      <c r="AO202" s="118">
        <v>0</v>
      </c>
      <c r="AP202" s="100">
        <v>46054</v>
      </c>
      <c r="AQ202" s="99"/>
    </row>
    <row r="203" spans="1:43" x14ac:dyDescent="0.25">
      <c r="A203" s="99" t="b">
        <v>0</v>
      </c>
      <c r="B203" s="101" t="s">
        <v>454</v>
      </c>
      <c r="C203" s="109" t="s">
        <v>465</v>
      </c>
      <c r="D203" s="15" t="s">
        <v>450</v>
      </c>
      <c r="E203" s="15" t="s">
        <v>466</v>
      </c>
      <c r="F203" s="98"/>
      <c r="G203" s="99" t="s">
        <v>539</v>
      </c>
      <c r="H203" s="120">
        <v>3.5000000000000001E-3</v>
      </c>
      <c r="I203" s="117"/>
      <c r="J203" s="100"/>
      <c r="K203" s="117"/>
      <c r="L203" s="100"/>
      <c r="M203" s="117"/>
      <c r="N203" s="100"/>
      <c r="O203" s="117"/>
      <c r="P203" s="100"/>
      <c r="Q203" s="117"/>
      <c r="R203" s="100"/>
      <c r="S203" s="117"/>
      <c r="T203" s="100"/>
      <c r="U203" s="117"/>
      <c r="V203" s="100"/>
      <c r="W203" s="117"/>
      <c r="X203" s="100"/>
      <c r="Y203" s="117"/>
      <c r="Z203" s="100"/>
      <c r="AA203" s="117"/>
      <c r="AB203" s="100"/>
      <c r="AC203" s="117"/>
      <c r="AD203" s="100"/>
      <c r="AE203" s="117"/>
      <c r="AF203" s="100"/>
      <c r="AG203" s="117"/>
      <c r="AH203" s="100"/>
      <c r="AI203" s="65">
        <v>45540859</v>
      </c>
      <c r="AJ203" s="15" t="s">
        <v>40</v>
      </c>
      <c r="AK203" s="15" t="s">
        <v>5</v>
      </c>
      <c r="AL203" s="15" t="s">
        <v>9</v>
      </c>
      <c r="AM203" s="118">
        <v>5.4999999999999997E-3</v>
      </c>
      <c r="AN203" s="118">
        <v>5.4999999999999997E-3</v>
      </c>
      <c r="AO203" s="118">
        <v>0</v>
      </c>
      <c r="AP203" s="100">
        <v>46054</v>
      </c>
      <c r="AQ203" s="99"/>
    </row>
    <row r="204" spans="1:43" x14ac:dyDescent="0.25">
      <c r="A204" s="99" t="b">
        <v>0</v>
      </c>
      <c r="B204" s="101" t="s">
        <v>461</v>
      </c>
      <c r="C204" s="109" t="s">
        <v>465</v>
      </c>
      <c r="D204" s="15" t="s">
        <v>450</v>
      </c>
      <c r="E204" s="15" t="s">
        <v>470</v>
      </c>
      <c r="F204" s="98" t="s">
        <v>566</v>
      </c>
      <c r="G204" s="99" t="s">
        <v>539</v>
      </c>
      <c r="H204" s="120">
        <v>3.5000000000000001E-3</v>
      </c>
      <c r="I204" s="117"/>
      <c r="J204" s="100"/>
      <c r="K204" s="117"/>
      <c r="L204" s="100"/>
      <c r="M204" s="117"/>
      <c r="N204" s="100"/>
      <c r="O204" s="117"/>
      <c r="P204" s="100"/>
      <c r="Q204" s="117"/>
      <c r="R204" s="100"/>
      <c r="S204" s="117"/>
      <c r="T204" s="100"/>
      <c r="U204" s="117"/>
      <c r="V204" s="100"/>
      <c r="W204" s="117"/>
      <c r="X204" s="100"/>
      <c r="Y204" s="117"/>
      <c r="Z204" s="100"/>
      <c r="AA204" s="117"/>
      <c r="AB204" s="100"/>
      <c r="AC204" s="117"/>
      <c r="AD204" s="100"/>
      <c r="AE204" s="117"/>
      <c r="AF204" s="100"/>
      <c r="AG204" s="117"/>
      <c r="AH204" s="100"/>
      <c r="AI204" s="65">
        <v>83434867</v>
      </c>
      <c r="AJ204" s="15" t="s">
        <v>40</v>
      </c>
      <c r="AK204" s="15" t="s">
        <v>5</v>
      </c>
      <c r="AL204" s="15" t="s">
        <v>9</v>
      </c>
      <c r="AM204" s="118">
        <v>5.4999999999999997E-3</v>
      </c>
      <c r="AN204" s="118">
        <v>5.4999999999999997E-3</v>
      </c>
      <c r="AO204" s="118">
        <v>0</v>
      </c>
      <c r="AP204" s="100">
        <v>46054</v>
      </c>
      <c r="AQ204" s="99"/>
    </row>
    <row r="205" spans="1:43" x14ac:dyDescent="0.25">
      <c r="A205" s="99" t="b">
        <v>0</v>
      </c>
      <c r="B205" s="101" t="s">
        <v>462</v>
      </c>
      <c r="C205" s="109" t="s">
        <v>465</v>
      </c>
      <c r="D205" s="15" t="s">
        <v>450</v>
      </c>
      <c r="E205" s="15" t="s">
        <v>474</v>
      </c>
      <c r="F205" s="98" t="s">
        <v>567</v>
      </c>
      <c r="G205" s="99" t="s">
        <v>539</v>
      </c>
      <c r="H205" s="120">
        <v>3.5000000000000001E-3</v>
      </c>
      <c r="I205" s="117"/>
      <c r="J205" s="100"/>
      <c r="K205" s="117"/>
      <c r="L205" s="100"/>
      <c r="M205" s="117"/>
      <c r="N205" s="100"/>
      <c r="O205" s="117"/>
      <c r="P205" s="100"/>
      <c r="Q205" s="117"/>
      <c r="R205" s="100"/>
      <c r="S205" s="117"/>
      <c r="T205" s="100"/>
      <c r="U205" s="117"/>
      <c r="V205" s="100"/>
      <c r="W205" s="117"/>
      <c r="X205" s="100"/>
      <c r="Y205" s="117"/>
      <c r="Z205" s="100"/>
      <c r="AA205" s="117"/>
      <c r="AB205" s="100"/>
      <c r="AC205" s="117"/>
      <c r="AD205" s="100"/>
      <c r="AE205" s="117"/>
      <c r="AF205" s="100"/>
      <c r="AG205" s="117"/>
      <c r="AH205" s="100"/>
      <c r="AI205" s="65">
        <v>95346639</v>
      </c>
      <c r="AJ205" s="15" t="s">
        <v>40</v>
      </c>
      <c r="AK205" s="15" t="s">
        <v>5</v>
      </c>
      <c r="AL205" s="15" t="s">
        <v>9</v>
      </c>
      <c r="AM205" s="118">
        <v>5.4999999999999997E-3</v>
      </c>
      <c r="AN205" s="118">
        <v>5.4999999999999997E-3</v>
      </c>
      <c r="AO205" s="118">
        <v>0</v>
      </c>
      <c r="AP205" s="100">
        <v>46057</v>
      </c>
      <c r="AQ205" s="99"/>
    </row>
    <row r="206" spans="1:43" x14ac:dyDescent="0.25">
      <c r="A206" s="99" t="b">
        <v>0</v>
      </c>
      <c r="B206" s="101" t="s">
        <v>462</v>
      </c>
      <c r="C206" s="109" t="s">
        <v>465</v>
      </c>
      <c r="D206" s="15" t="s">
        <v>450</v>
      </c>
      <c r="E206" s="15" t="s">
        <v>320</v>
      </c>
      <c r="F206" s="98"/>
      <c r="G206" s="99" t="s">
        <v>539</v>
      </c>
      <c r="H206" s="120">
        <v>3.5000000000000001E-3</v>
      </c>
      <c r="I206" s="117"/>
      <c r="J206" s="100"/>
      <c r="K206" s="117"/>
      <c r="L206" s="100"/>
      <c r="M206" s="117"/>
      <c r="N206" s="100"/>
      <c r="O206" s="117"/>
      <c r="P206" s="100"/>
      <c r="Q206" s="117"/>
      <c r="R206" s="100"/>
      <c r="S206" s="117"/>
      <c r="T206" s="100"/>
      <c r="U206" s="117"/>
      <c r="V206" s="100"/>
      <c r="W206" s="117"/>
      <c r="X206" s="100"/>
      <c r="Y206" s="117"/>
      <c r="Z206" s="100"/>
      <c r="AA206" s="117"/>
      <c r="AB206" s="100"/>
      <c r="AC206" s="117"/>
      <c r="AD206" s="100"/>
      <c r="AE206" s="117"/>
      <c r="AF206" s="100"/>
      <c r="AG206" s="117"/>
      <c r="AH206" s="100"/>
      <c r="AI206" s="65">
        <v>95346639</v>
      </c>
      <c r="AJ206" s="15" t="s">
        <v>40</v>
      </c>
      <c r="AK206" s="15" t="s">
        <v>5</v>
      </c>
      <c r="AL206" s="15" t="s">
        <v>9</v>
      </c>
      <c r="AM206" s="118">
        <v>5.4999999999999997E-3</v>
      </c>
      <c r="AN206" s="118">
        <v>5.4999999999999997E-3</v>
      </c>
      <c r="AO206" s="118">
        <v>0</v>
      </c>
      <c r="AP206" s="100">
        <v>46054</v>
      </c>
      <c r="AQ206" s="99"/>
    </row>
    <row r="207" spans="1:43" x14ac:dyDescent="0.25">
      <c r="A207" s="99" t="b">
        <v>1</v>
      </c>
      <c r="B207" s="101" t="s">
        <v>274</v>
      </c>
      <c r="C207" s="109"/>
      <c r="D207" s="95" t="s">
        <v>300</v>
      </c>
      <c r="E207" s="110" t="s">
        <v>319</v>
      </c>
      <c r="F207" s="98"/>
      <c r="G207" s="99" t="s">
        <v>539</v>
      </c>
      <c r="H207" s="106">
        <v>8.0000000000000004E-4</v>
      </c>
      <c r="I207" s="117">
        <v>0.37302000000000002</v>
      </c>
      <c r="J207" s="100">
        <v>46013</v>
      </c>
      <c r="K207" s="117">
        <v>0</v>
      </c>
      <c r="L207" s="100" t="s">
        <v>85</v>
      </c>
      <c r="M207" s="117">
        <v>0</v>
      </c>
      <c r="N207" s="100" t="s">
        <v>85</v>
      </c>
      <c r="O207" s="117">
        <v>0.38518000000000002</v>
      </c>
      <c r="P207" s="100">
        <v>46104</v>
      </c>
      <c r="Q207" s="117">
        <v>0</v>
      </c>
      <c r="R207" s="100" t="s">
        <v>85</v>
      </c>
      <c r="S207" s="117">
        <v>0</v>
      </c>
      <c r="T207" s="100" t="s">
        <v>85</v>
      </c>
      <c r="U207" s="117">
        <v>0.38488</v>
      </c>
      <c r="V207" s="100">
        <v>46195</v>
      </c>
      <c r="W207" s="117">
        <v>0</v>
      </c>
      <c r="X207" s="100" t="s">
        <v>85</v>
      </c>
      <c r="Y207" s="117">
        <v>0</v>
      </c>
      <c r="Z207" s="100" t="s">
        <v>85</v>
      </c>
      <c r="AA207" s="117">
        <v>0.38027699999999998</v>
      </c>
      <c r="AB207" s="100">
        <v>46286</v>
      </c>
      <c r="AC207" s="117">
        <v>0</v>
      </c>
      <c r="AD207" s="100" t="s">
        <v>85</v>
      </c>
      <c r="AE207" s="117"/>
      <c r="AF207" s="100"/>
      <c r="AG207" s="117"/>
      <c r="AH207" s="100"/>
      <c r="AI207" s="65">
        <v>4215217</v>
      </c>
      <c r="AJ207" s="15" t="s">
        <v>40</v>
      </c>
      <c r="AK207" s="15" t="s">
        <v>5</v>
      </c>
      <c r="AL207" s="15" t="s">
        <v>9</v>
      </c>
      <c r="AM207" s="118">
        <v>5.4999999999999997E-3</v>
      </c>
      <c r="AN207" s="118">
        <v>5.4999999999999997E-3</v>
      </c>
      <c r="AO207" s="118">
        <v>0</v>
      </c>
      <c r="AP207" s="100">
        <v>46054</v>
      </c>
      <c r="AQ207" s="99"/>
    </row>
    <row r="208" spans="1:43" x14ac:dyDescent="0.25">
      <c r="A208" s="99" t="b">
        <v>1</v>
      </c>
      <c r="B208" s="101" t="s">
        <v>278</v>
      </c>
      <c r="C208" s="109"/>
      <c r="D208" s="95" t="s">
        <v>300</v>
      </c>
      <c r="E208" s="110" t="s">
        <v>325</v>
      </c>
      <c r="F208" s="98"/>
      <c r="G208" s="99" t="s">
        <v>539</v>
      </c>
      <c r="H208" s="106">
        <v>8.0000000000000004E-4</v>
      </c>
      <c r="I208" s="117">
        <v>0.19077</v>
      </c>
      <c r="J208" s="100">
        <v>46013</v>
      </c>
      <c r="K208" s="117">
        <v>0</v>
      </c>
      <c r="L208" s="100" t="s">
        <v>85</v>
      </c>
      <c r="M208" s="117">
        <v>0</v>
      </c>
      <c r="N208" s="100" t="s">
        <v>85</v>
      </c>
      <c r="O208" s="117">
        <v>0.25148999999999999</v>
      </c>
      <c r="P208" s="100">
        <v>46104</v>
      </c>
      <c r="Q208" s="117">
        <v>0</v>
      </c>
      <c r="R208" s="100" t="s">
        <v>85</v>
      </c>
      <c r="S208" s="117">
        <v>0</v>
      </c>
      <c r="T208" s="100" t="s">
        <v>85</v>
      </c>
      <c r="U208" s="117">
        <v>0.18708</v>
      </c>
      <c r="V208" s="100">
        <v>46195</v>
      </c>
      <c r="W208" s="117">
        <v>0</v>
      </c>
      <c r="X208" s="100" t="s">
        <v>85</v>
      </c>
      <c r="Y208" s="117">
        <v>0</v>
      </c>
      <c r="Z208" s="100" t="s">
        <v>85</v>
      </c>
      <c r="AA208" s="117">
        <v>0.19653699999999999</v>
      </c>
      <c r="AB208" s="100">
        <v>46286</v>
      </c>
      <c r="AC208" s="117">
        <v>0</v>
      </c>
      <c r="AD208" s="100" t="s">
        <v>85</v>
      </c>
      <c r="AE208" s="117"/>
      <c r="AF208" s="100"/>
      <c r="AG208" s="117"/>
      <c r="AH208" s="100"/>
      <c r="AI208" s="65">
        <v>4215220</v>
      </c>
      <c r="AJ208" s="15" t="s">
        <v>40</v>
      </c>
      <c r="AK208" s="15" t="s">
        <v>5</v>
      </c>
      <c r="AL208" s="15" t="s">
        <v>9</v>
      </c>
      <c r="AM208" s="118">
        <v>5.4999999999999997E-3</v>
      </c>
      <c r="AN208" s="118">
        <v>5.4999999999999997E-3</v>
      </c>
      <c r="AO208" s="118">
        <v>0</v>
      </c>
      <c r="AP208" s="100">
        <v>46054</v>
      </c>
      <c r="AQ208" s="99"/>
    </row>
    <row r="209" spans="1:43" x14ac:dyDescent="0.25">
      <c r="A209" s="99" t="b">
        <v>1</v>
      </c>
      <c r="B209" s="101" t="s">
        <v>286</v>
      </c>
      <c r="C209" s="109"/>
      <c r="D209" s="95" t="s">
        <v>300</v>
      </c>
      <c r="E209" s="110" t="s">
        <v>321</v>
      </c>
      <c r="F209" s="98"/>
      <c r="G209" s="99" t="s">
        <v>539</v>
      </c>
      <c r="H209" s="106">
        <v>8.0000000000000004E-4</v>
      </c>
      <c r="I209" s="117">
        <v>0.53159999999999996</v>
      </c>
      <c r="J209" s="100">
        <v>46013</v>
      </c>
      <c r="K209" s="117">
        <v>0</v>
      </c>
      <c r="L209" s="100" t="s">
        <v>85</v>
      </c>
      <c r="M209" s="117">
        <v>0</v>
      </c>
      <c r="N209" s="100" t="s">
        <v>85</v>
      </c>
      <c r="O209" s="117">
        <v>0.45321</v>
      </c>
      <c r="P209" s="100">
        <v>46104</v>
      </c>
      <c r="Q209" s="117">
        <v>0</v>
      </c>
      <c r="R209" s="100" t="s">
        <v>85</v>
      </c>
      <c r="S209" s="117">
        <v>0</v>
      </c>
      <c r="T209" s="100" t="s">
        <v>85</v>
      </c>
      <c r="U209" s="117">
        <v>0.44408999999999998</v>
      </c>
      <c r="V209" s="100">
        <v>46195</v>
      </c>
      <c r="W209" s="117">
        <v>0</v>
      </c>
      <c r="X209" s="100" t="s">
        <v>85</v>
      </c>
      <c r="Y209" s="117">
        <v>0</v>
      </c>
      <c r="Z209" s="100" t="s">
        <v>85</v>
      </c>
      <c r="AA209" s="117">
        <v>0.45496999999999999</v>
      </c>
      <c r="AB209" s="100">
        <v>46286</v>
      </c>
      <c r="AC209" s="117">
        <v>0</v>
      </c>
      <c r="AD209" s="100" t="s">
        <v>85</v>
      </c>
      <c r="AE209" s="117"/>
      <c r="AF209" s="100"/>
      <c r="AG209" s="117"/>
      <c r="AH209" s="100"/>
      <c r="AI209" s="65">
        <v>4215227</v>
      </c>
      <c r="AJ209" s="15" t="s">
        <v>40</v>
      </c>
      <c r="AK209" s="15" t="s">
        <v>5</v>
      </c>
      <c r="AL209" s="15" t="s">
        <v>9</v>
      </c>
      <c r="AM209" s="118">
        <v>5.4999999999999997E-3</v>
      </c>
      <c r="AN209" s="118">
        <v>5.4999999999999997E-3</v>
      </c>
      <c r="AO209" s="118">
        <v>0</v>
      </c>
      <c r="AP209" s="100">
        <v>46054</v>
      </c>
      <c r="AQ209" s="99"/>
    </row>
    <row r="210" spans="1:43" x14ac:dyDescent="0.25">
      <c r="A210" s="112" t="b">
        <v>1</v>
      </c>
      <c r="B210" s="101" t="s">
        <v>294</v>
      </c>
      <c r="C210" s="109"/>
      <c r="D210" s="95" t="s">
        <v>300</v>
      </c>
      <c r="E210" s="110" t="s">
        <v>323</v>
      </c>
      <c r="F210" s="98"/>
      <c r="G210" s="99" t="s">
        <v>539</v>
      </c>
      <c r="H210" s="106">
        <v>8.0000000000000004E-4</v>
      </c>
      <c r="I210" s="117">
        <v>0.21883</v>
      </c>
      <c r="J210" s="100">
        <v>46013</v>
      </c>
      <c r="K210" s="117">
        <v>0</v>
      </c>
      <c r="L210" s="100" t="s">
        <v>85</v>
      </c>
      <c r="M210" s="117">
        <v>0</v>
      </c>
      <c r="N210" s="100" t="s">
        <v>85</v>
      </c>
      <c r="O210" s="117">
        <v>0.16750999999999999</v>
      </c>
      <c r="P210" s="100">
        <v>46104</v>
      </c>
      <c r="Q210" s="117">
        <v>0</v>
      </c>
      <c r="R210" s="100" t="s">
        <v>85</v>
      </c>
      <c r="S210" s="117">
        <v>0</v>
      </c>
      <c r="T210" s="100" t="s">
        <v>85</v>
      </c>
      <c r="U210" s="117">
        <v>0.22792000000000001</v>
      </c>
      <c r="V210" s="100">
        <v>46195</v>
      </c>
      <c r="W210" s="117">
        <v>0</v>
      </c>
      <c r="X210" s="100" t="s">
        <v>85</v>
      </c>
      <c r="Y210" s="117">
        <v>0</v>
      </c>
      <c r="Z210" s="100" t="s">
        <v>85</v>
      </c>
      <c r="AA210" s="117">
        <v>0.22068599999999999</v>
      </c>
      <c r="AB210" s="100">
        <v>46286</v>
      </c>
      <c r="AC210" s="117">
        <v>0</v>
      </c>
      <c r="AD210" s="100" t="s">
        <v>85</v>
      </c>
      <c r="AE210" s="117"/>
      <c r="AF210" s="100"/>
      <c r="AG210" s="117"/>
      <c r="AH210" s="100"/>
      <c r="AI210" s="65">
        <v>4215230</v>
      </c>
      <c r="AJ210" s="15" t="s">
        <v>40</v>
      </c>
      <c r="AK210" s="15" t="s">
        <v>5</v>
      </c>
      <c r="AL210" s="15" t="s">
        <v>9</v>
      </c>
      <c r="AM210" s="118">
        <v>5.4999999999999997E-3</v>
      </c>
      <c r="AN210" s="118">
        <v>5.4999999999999997E-3</v>
      </c>
      <c r="AO210" s="118">
        <v>0</v>
      </c>
      <c r="AP210" s="100">
        <v>46054</v>
      </c>
      <c r="AQ210" s="99"/>
    </row>
    <row r="211" spans="1:43" x14ac:dyDescent="0.25">
      <c r="A211" s="112" t="b">
        <v>1</v>
      </c>
      <c r="B211" s="101" t="s">
        <v>270</v>
      </c>
      <c r="C211" s="109"/>
      <c r="D211" s="95" t="s">
        <v>300</v>
      </c>
      <c r="E211" s="110" t="s">
        <v>326</v>
      </c>
      <c r="F211" s="98"/>
      <c r="G211" s="99" t="s">
        <v>539</v>
      </c>
      <c r="H211" s="106">
        <v>8.0000000000000004E-4</v>
      </c>
      <c r="I211" s="117">
        <v>0.62697000000000003</v>
      </c>
      <c r="J211" s="100">
        <v>46013</v>
      </c>
      <c r="K211" s="117">
        <v>0</v>
      </c>
      <c r="L211" s="100" t="s">
        <v>85</v>
      </c>
      <c r="M211" s="117">
        <v>0</v>
      </c>
      <c r="N211" s="100" t="s">
        <v>85</v>
      </c>
      <c r="O211" s="117">
        <v>0.45490000000000003</v>
      </c>
      <c r="P211" s="100">
        <v>46104</v>
      </c>
      <c r="Q211" s="117">
        <v>0</v>
      </c>
      <c r="R211" s="100" t="s">
        <v>85</v>
      </c>
      <c r="S211" s="117">
        <v>0</v>
      </c>
      <c r="T211" s="100" t="s">
        <v>85</v>
      </c>
      <c r="U211" s="117">
        <v>0.57418999999999998</v>
      </c>
      <c r="V211" s="100">
        <v>46195</v>
      </c>
      <c r="W211" s="117">
        <v>0</v>
      </c>
      <c r="X211" s="100" t="s">
        <v>85</v>
      </c>
      <c r="Y211" s="117">
        <v>0</v>
      </c>
      <c r="Z211" s="100" t="s">
        <v>85</v>
      </c>
      <c r="AA211" s="117">
        <v>0.54059999999999997</v>
      </c>
      <c r="AB211" s="100">
        <v>46286</v>
      </c>
      <c r="AC211" s="117">
        <v>0</v>
      </c>
      <c r="AD211" s="100" t="s">
        <v>85</v>
      </c>
      <c r="AE211" s="117"/>
      <c r="AF211" s="100"/>
      <c r="AG211" s="117"/>
      <c r="AH211" s="100"/>
      <c r="AI211" s="65">
        <v>4215210</v>
      </c>
      <c r="AJ211" s="15" t="s">
        <v>40</v>
      </c>
      <c r="AK211" s="15" t="s">
        <v>5</v>
      </c>
      <c r="AL211" s="15" t="s">
        <v>9</v>
      </c>
      <c r="AM211" s="118">
        <v>5.4999999999999997E-3</v>
      </c>
      <c r="AN211" s="118">
        <v>5.4999999999999997E-3</v>
      </c>
      <c r="AO211" s="118">
        <v>0</v>
      </c>
      <c r="AP211" s="100">
        <v>46054</v>
      </c>
      <c r="AQ211" s="99"/>
    </row>
    <row r="212" spans="1:43" x14ac:dyDescent="0.25">
      <c r="A212" s="112" t="b">
        <v>1</v>
      </c>
      <c r="B212" s="101" t="s">
        <v>290</v>
      </c>
      <c r="C212" s="109"/>
      <c r="D212" s="95" t="s">
        <v>300</v>
      </c>
      <c r="E212" s="110" t="s">
        <v>322</v>
      </c>
      <c r="F212" s="98"/>
      <c r="G212" s="99" t="s">
        <v>539</v>
      </c>
      <c r="H212" s="106">
        <v>8.0000000000000004E-4</v>
      </c>
      <c r="I212" s="117">
        <v>0.43611</v>
      </c>
      <c r="J212" s="100">
        <v>46013</v>
      </c>
      <c r="K212" s="117">
        <v>0</v>
      </c>
      <c r="L212" s="100" t="s">
        <v>85</v>
      </c>
      <c r="M212" s="117">
        <v>0</v>
      </c>
      <c r="N212" s="100" t="s">
        <v>85</v>
      </c>
      <c r="O212" s="117">
        <v>0.27106000000000002</v>
      </c>
      <c r="P212" s="100">
        <v>46104</v>
      </c>
      <c r="Q212" s="117">
        <v>0</v>
      </c>
      <c r="R212" s="100" t="s">
        <v>85</v>
      </c>
      <c r="S212" s="117">
        <v>0</v>
      </c>
      <c r="T212" s="100" t="s">
        <v>85</v>
      </c>
      <c r="U212" s="117">
        <v>0.38114999999999999</v>
      </c>
      <c r="V212" s="100">
        <v>46195</v>
      </c>
      <c r="W212" s="117">
        <v>0</v>
      </c>
      <c r="X212" s="100" t="s">
        <v>85</v>
      </c>
      <c r="Y212" s="117">
        <v>0</v>
      </c>
      <c r="Z212" s="100" t="s">
        <v>85</v>
      </c>
      <c r="AA212" s="117">
        <v>0.35473700000000002</v>
      </c>
      <c r="AB212" s="100">
        <v>46286</v>
      </c>
      <c r="AC212" s="117">
        <v>0</v>
      </c>
      <c r="AD212" s="100" t="s">
        <v>85</v>
      </c>
      <c r="AE212" s="117"/>
      <c r="AF212" s="100"/>
      <c r="AG212" s="117"/>
      <c r="AH212" s="100"/>
      <c r="AI212" s="65">
        <v>209048377</v>
      </c>
      <c r="AJ212" s="15" t="s">
        <v>40</v>
      </c>
      <c r="AK212" s="15" t="s">
        <v>5</v>
      </c>
      <c r="AL212" s="15" t="s">
        <v>9</v>
      </c>
      <c r="AM212" s="118">
        <v>5.4999999999999997E-3</v>
      </c>
      <c r="AN212" s="118">
        <v>5.4999999999999997E-3</v>
      </c>
      <c r="AO212" s="118">
        <v>0</v>
      </c>
      <c r="AP212" s="100">
        <v>46054</v>
      </c>
      <c r="AQ212" s="99"/>
    </row>
    <row r="213" spans="1:43" x14ac:dyDescent="0.25">
      <c r="A213" s="112" t="b">
        <v>1</v>
      </c>
      <c r="B213" s="101" t="s">
        <v>298</v>
      </c>
      <c r="C213" s="109"/>
      <c r="D213" s="95" t="s">
        <v>300</v>
      </c>
      <c r="E213" s="110" t="s">
        <v>324</v>
      </c>
      <c r="F213" s="98"/>
      <c r="G213" s="99" t="s">
        <v>539</v>
      </c>
      <c r="H213" s="106">
        <v>8.0000000000000004E-4</v>
      </c>
      <c r="I213" s="117">
        <v>0.31720999999999999</v>
      </c>
      <c r="J213" s="100">
        <v>46013</v>
      </c>
      <c r="K213" s="117">
        <v>0</v>
      </c>
      <c r="L213" s="100" t="s">
        <v>85</v>
      </c>
      <c r="M213" s="117">
        <v>0</v>
      </c>
      <c r="N213" s="100" t="s">
        <v>85</v>
      </c>
      <c r="O213" s="117">
        <v>0.30993999999999999</v>
      </c>
      <c r="P213" s="100">
        <v>46104</v>
      </c>
      <c r="Q213" s="117">
        <v>0</v>
      </c>
      <c r="R213" s="100" t="s">
        <v>85</v>
      </c>
      <c r="S213" s="117">
        <v>0</v>
      </c>
      <c r="T213" s="100" t="s">
        <v>85</v>
      </c>
      <c r="U213" s="117">
        <v>0.28442000000000001</v>
      </c>
      <c r="V213" s="100">
        <v>46195</v>
      </c>
      <c r="W213" s="117">
        <v>0</v>
      </c>
      <c r="X213" s="100" t="s">
        <v>85</v>
      </c>
      <c r="Y213" s="117">
        <v>0</v>
      </c>
      <c r="Z213" s="100" t="s">
        <v>85</v>
      </c>
      <c r="AA213" s="117">
        <v>0.30037599999999998</v>
      </c>
      <c r="AB213" s="100">
        <v>46286</v>
      </c>
      <c r="AC213" s="117">
        <v>0</v>
      </c>
      <c r="AD213" s="100" t="s">
        <v>85</v>
      </c>
      <c r="AE213" s="117"/>
      <c r="AF213" s="100"/>
      <c r="AG213" s="117"/>
      <c r="AH213" s="100"/>
      <c r="AI213" s="65">
        <v>4215235</v>
      </c>
      <c r="AJ213" s="15" t="s">
        <v>40</v>
      </c>
      <c r="AK213" s="15" t="s">
        <v>5</v>
      </c>
      <c r="AL213" s="15" t="s">
        <v>9</v>
      </c>
      <c r="AM213" s="118">
        <v>5.4999999999999997E-3</v>
      </c>
      <c r="AN213" s="118">
        <v>5.4999999999999997E-3</v>
      </c>
      <c r="AO213" s="118">
        <v>0</v>
      </c>
      <c r="AP213" s="100">
        <v>46054</v>
      </c>
      <c r="AQ213" s="99"/>
    </row>
    <row r="214" spans="1:43" x14ac:dyDescent="0.25">
      <c r="A214" s="112" t="b">
        <v>1</v>
      </c>
      <c r="B214" s="101" t="s">
        <v>282</v>
      </c>
      <c r="C214" s="109"/>
      <c r="D214" s="95" t="s">
        <v>300</v>
      </c>
      <c r="E214" s="110" t="s">
        <v>320</v>
      </c>
      <c r="F214" s="98"/>
      <c r="G214" s="99" t="s">
        <v>539</v>
      </c>
      <c r="H214" s="106">
        <v>8.0000000000000004E-4</v>
      </c>
      <c r="I214" s="117">
        <v>0.65681999999999996</v>
      </c>
      <c r="J214" s="100">
        <v>46013</v>
      </c>
      <c r="K214" s="117">
        <v>0</v>
      </c>
      <c r="L214" s="100" t="s">
        <v>85</v>
      </c>
      <c r="M214" s="117">
        <v>0</v>
      </c>
      <c r="N214" s="100" t="s">
        <v>85</v>
      </c>
      <c r="O214" s="117">
        <v>0.59467999999999999</v>
      </c>
      <c r="P214" s="100">
        <v>46104</v>
      </c>
      <c r="Q214" s="117">
        <v>0</v>
      </c>
      <c r="R214" s="100" t="s">
        <v>85</v>
      </c>
      <c r="S214" s="117">
        <v>0</v>
      </c>
      <c r="T214" s="100" t="s">
        <v>85</v>
      </c>
      <c r="U214" s="117">
        <v>0.65625</v>
      </c>
      <c r="V214" s="100">
        <v>46195</v>
      </c>
      <c r="W214" s="117">
        <v>0</v>
      </c>
      <c r="X214" s="100" t="s">
        <v>85</v>
      </c>
      <c r="Y214" s="117">
        <v>0</v>
      </c>
      <c r="Z214" s="100" t="s">
        <v>85</v>
      </c>
      <c r="AA214" s="117">
        <v>0.64222599999999996</v>
      </c>
      <c r="AB214" s="100">
        <v>46286</v>
      </c>
      <c r="AC214" s="117">
        <v>0</v>
      </c>
      <c r="AD214" s="100" t="s">
        <v>85</v>
      </c>
      <c r="AE214" s="117"/>
      <c r="AF214" s="100"/>
      <c r="AG214" s="117"/>
      <c r="AH214" s="100"/>
      <c r="AI214" s="65">
        <v>4215205</v>
      </c>
      <c r="AJ214" s="15" t="s">
        <v>40</v>
      </c>
      <c r="AK214" s="15" t="s">
        <v>5</v>
      </c>
      <c r="AL214" s="15" t="s">
        <v>9</v>
      </c>
      <c r="AM214" s="118">
        <v>5.4999999999999997E-3</v>
      </c>
      <c r="AN214" s="118">
        <v>5.4999999999999997E-3</v>
      </c>
      <c r="AO214" s="118">
        <v>0</v>
      </c>
      <c r="AP214" s="100">
        <v>46054</v>
      </c>
      <c r="AQ214" s="99"/>
    </row>
    <row r="215" spans="1:43" x14ac:dyDescent="0.25">
      <c r="A215" s="112" t="b">
        <v>1</v>
      </c>
      <c r="B215" s="101" t="s">
        <v>266</v>
      </c>
      <c r="C215" s="109"/>
      <c r="D215" s="95" t="s">
        <v>300</v>
      </c>
      <c r="E215" s="110" t="s">
        <v>327</v>
      </c>
      <c r="F215" s="98"/>
      <c r="G215" s="99" t="s">
        <v>539</v>
      </c>
      <c r="H215" s="106">
        <v>8.0000000000000004E-4</v>
      </c>
      <c r="I215" s="117">
        <v>0.24084800000000001</v>
      </c>
      <c r="J215" s="100">
        <v>46013</v>
      </c>
      <c r="K215" s="117">
        <v>0</v>
      </c>
      <c r="L215" s="100" t="s">
        <v>85</v>
      </c>
      <c r="M215" s="117">
        <v>0</v>
      </c>
      <c r="N215" s="100" t="s">
        <v>85</v>
      </c>
      <c r="O215" s="117">
        <v>0.21562300000000001</v>
      </c>
      <c r="P215" s="100">
        <v>46104</v>
      </c>
      <c r="Q215" s="117">
        <v>0</v>
      </c>
      <c r="R215" s="100" t="s">
        <v>85</v>
      </c>
      <c r="S215" s="117">
        <v>0</v>
      </c>
      <c r="T215" s="100" t="s">
        <v>85</v>
      </c>
      <c r="U215" s="117">
        <v>0.23322000000000001</v>
      </c>
      <c r="V215" s="100">
        <v>46195</v>
      </c>
      <c r="W215" s="117">
        <v>0</v>
      </c>
      <c r="X215" s="100" t="s">
        <v>85</v>
      </c>
      <c r="Y215" s="117">
        <v>0</v>
      </c>
      <c r="Z215" s="100" t="s">
        <v>85</v>
      </c>
      <c r="AA215" s="117">
        <v>0.244085</v>
      </c>
      <c r="AB215" s="100">
        <v>46286</v>
      </c>
      <c r="AC215" s="117">
        <v>0</v>
      </c>
      <c r="AD215" s="100" t="s">
        <v>85</v>
      </c>
      <c r="AE215" s="117"/>
      <c r="AF215" s="100"/>
      <c r="AG215" s="117"/>
      <c r="AH215" s="100"/>
      <c r="AI215" s="65">
        <v>4215215</v>
      </c>
      <c r="AJ215" s="15" t="s">
        <v>40</v>
      </c>
      <c r="AK215" s="15" t="s">
        <v>5</v>
      </c>
      <c r="AL215" s="15" t="s">
        <v>9</v>
      </c>
      <c r="AM215" s="118">
        <v>5.4999999999999997E-3</v>
      </c>
      <c r="AN215" s="118">
        <v>5.4999999999999997E-3</v>
      </c>
      <c r="AO215" s="118">
        <v>0</v>
      </c>
      <c r="AP215" s="100">
        <v>46054</v>
      </c>
      <c r="AQ215" s="99"/>
    </row>
    <row r="216" spans="1:43" x14ac:dyDescent="0.25">
      <c r="A216" s="112" t="b">
        <v>0</v>
      </c>
      <c r="B216" s="101" t="s">
        <v>458</v>
      </c>
      <c r="C216" s="109" t="s">
        <v>465</v>
      </c>
      <c r="D216" s="15" t="s">
        <v>450</v>
      </c>
      <c r="E216" s="15" t="s">
        <v>467</v>
      </c>
      <c r="F216" s="98"/>
      <c r="G216" s="99" t="s">
        <v>539</v>
      </c>
      <c r="H216" s="120">
        <v>3.5000000000000001E-3</v>
      </c>
      <c r="I216" s="117"/>
      <c r="J216" s="100"/>
      <c r="K216" s="117"/>
      <c r="L216" s="100"/>
      <c r="M216" s="117"/>
      <c r="N216" s="100"/>
      <c r="O216" s="117"/>
      <c r="P216" s="100"/>
      <c r="Q216" s="117"/>
      <c r="R216" s="100"/>
      <c r="S216" s="117"/>
      <c r="T216" s="100"/>
      <c r="U216" s="117"/>
      <c r="V216" s="100"/>
      <c r="W216" s="117"/>
      <c r="X216" s="100"/>
      <c r="Y216" s="117"/>
      <c r="Z216" s="100"/>
      <c r="AA216" s="117"/>
      <c r="AB216" s="100"/>
      <c r="AC216" s="117"/>
      <c r="AD216" s="100"/>
      <c r="AE216" s="117"/>
      <c r="AF216" s="100"/>
      <c r="AG216" s="117"/>
      <c r="AH216" s="100"/>
      <c r="AI216" s="65">
        <v>45540699</v>
      </c>
      <c r="AJ216" s="15" t="s">
        <v>40</v>
      </c>
      <c r="AK216" s="15" t="s">
        <v>5</v>
      </c>
      <c r="AL216" s="15" t="s">
        <v>9</v>
      </c>
      <c r="AM216" s="118">
        <v>5.4999999999999997E-3</v>
      </c>
      <c r="AN216" s="118">
        <v>5.4999999999999997E-3</v>
      </c>
      <c r="AO216" s="118">
        <v>0</v>
      </c>
      <c r="AP216" s="100">
        <v>46054</v>
      </c>
      <c r="AQ216" s="99"/>
    </row>
    <row r="217" spans="1:43" x14ac:dyDescent="0.25">
      <c r="A217" s="112" t="b">
        <v>0</v>
      </c>
      <c r="B217" s="101" t="s">
        <v>464</v>
      </c>
      <c r="C217" s="109" t="s">
        <v>465</v>
      </c>
      <c r="D217" s="15" t="s">
        <v>450</v>
      </c>
      <c r="E217" s="15" t="s">
        <v>323</v>
      </c>
      <c r="F217" s="98"/>
      <c r="G217" s="99" t="s">
        <v>539</v>
      </c>
      <c r="H217" s="120">
        <v>3.5000000000000001E-3</v>
      </c>
      <c r="I217" s="117"/>
      <c r="J217" s="100"/>
      <c r="K217" s="117"/>
      <c r="L217" s="100"/>
      <c r="M217" s="117"/>
      <c r="N217" s="100"/>
      <c r="O217" s="117"/>
      <c r="P217" s="100"/>
      <c r="Q217" s="117"/>
      <c r="R217" s="100"/>
      <c r="S217" s="117"/>
      <c r="T217" s="100"/>
      <c r="U217" s="117"/>
      <c r="V217" s="100"/>
      <c r="W217" s="117"/>
      <c r="X217" s="100"/>
      <c r="Y217" s="117"/>
      <c r="Z217" s="100"/>
      <c r="AA217" s="117"/>
      <c r="AB217" s="100"/>
      <c r="AC217" s="117"/>
      <c r="AD217" s="100"/>
      <c r="AE217" s="117"/>
      <c r="AF217" s="100"/>
      <c r="AG217" s="117"/>
      <c r="AH217" s="100"/>
      <c r="AI217" s="65">
        <v>45540886</v>
      </c>
      <c r="AJ217" s="15" t="s">
        <v>40</v>
      </c>
      <c r="AK217" s="15" t="s">
        <v>5</v>
      </c>
      <c r="AL217" s="15" t="s">
        <v>9</v>
      </c>
      <c r="AM217" s="118">
        <v>5.4999999999999997E-3</v>
      </c>
      <c r="AN217" s="118">
        <v>5.4999999999999997E-3</v>
      </c>
      <c r="AO217" s="118">
        <v>0</v>
      </c>
      <c r="AP217" s="100">
        <v>46054</v>
      </c>
      <c r="AQ217" s="99"/>
    </row>
    <row r="218" spans="1:43" x14ac:dyDescent="0.25">
      <c r="A218" s="112" t="b">
        <v>0</v>
      </c>
      <c r="B218" s="101" t="s">
        <v>456</v>
      </c>
      <c r="C218" s="109" t="s">
        <v>465</v>
      </c>
      <c r="D218" s="15" t="s">
        <v>450</v>
      </c>
      <c r="E218" s="15" t="s">
        <v>577</v>
      </c>
      <c r="F218" s="98" t="s">
        <v>576</v>
      </c>
      <c r="G218" s="99" t="s">
        <v>539</v>
      </c>
      <c r="H218" s="120">
        <v>3.5000000000000001E-3</v>
      </c>
      <c r="I218" s="117"/>
      <c r="J218" s="100"/>
      <c r="K218" s="117"/>
      <c r="L218" s="100"/>
      <c r="M218" s="117"/>
      <c r="N218" s="100"/>
      <c r="O218" s="117"/>
      <c r="P218" s="100"/>
      <c r="Q218" s="117"/>
      <c r="R218" s="100"/>
      <c r="S218" s="117"/>
      <c r="T218" s="100"/>
      <c r="U218" s="117"/>
      <c r="V218" s="100"/>
      <c r="W218" s="117"/>
      <c r="X218" s="100"/>
      <c r="Y218" s="117"/>
      <c r="Z218" s="100"/>
      <c r="AA218" s="117"/>
      <c r="AB218" s="100"/>
      <c r="AC218" s="117"/>
      <c r="AD218" s="100"/>
      <c r="AE218" s="117"/>
      <c r="AF218" s="100"/>
      <c r="AG218" s="117"/>
      <c r="AH218" s="100"/>
      <c r="AI218" s="65">
        <v>413951498</v>
      </c>
      <c r="AJ218" s="15" t="s">
        <v>40</v>
      </c>
      <c r="AK218" s="15" t="s">
        <v>5</v>
      </c>
      <c r="AL218" s="15" t="s">
        <v>9</v>
      </c>
      <c r="AM218" s="118">
        <v>5.4999999999999997E-3</v>
      </c>
      <c r="AN218" s="118">
        <v>5.4999999999999997E-3</v>
      </c>
      <c r="AO218" s="118">
        <v>0</v>
      </c>
      <c r="AP218" s="100">
        <v>46054</v>
      </c>
      <c r="AQ218" s="99"/>
    </row>
    <row r="219" spans="1:43" x14ac:dyDescent="0.25">
      <c r="A219" s="112" t="b">
        <v>0</v>
      </c>
      <c r="B219" s="101" t="s">
        <v>455</v>
      </c>
      <c r="C219" s="109" t="s">
        <v>465</v>
      </c>
      <c r="D219" s="15" t="s">
        <v>450</v>
      </c>
      <c r="E219" s="15" t="s">
        <v>486</v>
      </c>
      <c r="F219" s="98"/>
      <c r="G219" s="99" t="s">
        <v>539</v>
      </c>
      <c r="H219" s="120">
        <v>3.5000000000000001E-3</v>
      </c>
      <c r="I219" s="117"/>
      <c r="J219" s="100"/>
      <c r="K219" s="117"/>
      <c r="L219" s="100"/>
      <c r="M219" s="117"/>
      <c r="N219" s="100"/>
      <c r="O219" s="117"/>
      <c r="P219" s="100"/>
      <c r="Q219" s="117"/>
      <c r="R219" s="100"/>
      <c r="S219" s="117"/>
      <c r="T219" s="100"/>
      <c r="U219" s="117"/>
      <c r="V219" s="100"/>
      <c r="W219" s="117"/>
      <c r="X219" s="100"/>
      <c r="Y219" s="117"/>
      <c r="Z219" s="100"/>
      <c r="AA219" s="117"/>
      <c r="AB219" s="100"/>
      <c r="AC219" s="117"/>
      <c r="AD219" s="100"/>
      <c r="AE219" s="117"/>
      <c r="AF219" s="100"/>
      <c r="AG219" s="117"/>
      <c r="AH219" s="100"/>
      <c r="AI219" s="65">
        <v>45540802</v>
      </c>
      <c r="AJ219" s="15" t="s">
        <v>40</v>
      </c>
      <c r="AK219" s="15" t="s">
        <v>5</v>
      </c>
      <c r="AL219" s="15" t="s">
        <v>9</v>
      </c>
      <c r="AM219" s="118">
        <v>5.4999999999999997E-3</v>
      </c>
      <c r="AN219" s="118">
        <v>5.4999999999999997E-3</v>
      </c>
      <c r="AO219" s="118">
        <v>0</v>
      </c>
      <c r="AP219" s="100">
        <v>46054</v>
      </c>
      <c r="AQ219" s="99"/>
    </row>
    <row r="220" spans="1:43" x14ac:dyDescent="0.25">
      <c r="A220" s="112" t="b">
        <v>0</v>
      </c>
      <c r="B220" s="101" t="s">
        <v>459</v>
      </c>
      <c r="C220" s="109" t="s">
        <v>465</v>
      </c>
      <c r="D220" s="15" t="s">
        <v>450</v>
      </c>
      <c r="E220" s="15" t="s">
        <v>468</v>
      </c>
      <c r="F220" s="98"/>
      <c r="G220" s="99" t="s">
        <v>539</v>
      </c>
      <c r="H220" s="120">
        <v>3.5000000000000001E-3</v>
      </c>
      <c r="I220" s="117"/>
      <c r="J220" s="100"/>
      <c r="K220" s="117"/>
      <c r="L220" s="100"/>
      <c r="M220" s="117"/>
      <c r="N220" s="100"/>
      <c r="O220" s="117"/>
      <c r="P220" s="100"/>
      <c r="Q220" s="117"/>
      <c r="R220" s="100"/>
      <c r="S220" s="117"/>
      <c r="T220" s="100"/>
      <c r="U220" s="117"/>
      <c r="V220" s="100"/>
      <c r="W220" s="117"/>
      <c r="X220" s="100"/>
      <c r="Y220" s="117"/>
      <c r="Z220" s="100"/>
      <c r="AA220" s="117"/>
      <c r="AB220" s="100"/>
      <c r="AC220" s="117"/>
      <c r="AD220" s="100"/>
      <c r="AE220" s="117"/>
      <c r="AF220" s="100"/>
      <c r="AG220" s="117"/>
      <c r="AH220" s="100"/>
      <c r="AI220" s="65">
        <v>45540784</v>
      </c>
      <c r="AJ220" s="15" t="s">
        <v>40</v>
      </c>
      <c r="AK220" s="15" t="s">
        <v>5</v>
      </c>
      <c r="AL220" s="15" t="s">
        <v>9</v>
      </c>
      <c r="AM220" s="118">
        <v>5.4999999999999997E-3</v>
      </c>
      <c r="AN220" s="118">
        <v>5.4999999999999997E-3</v>
      </c>
      <c r="AO220" s="118">
        <v>0</v>
      </c>
      <c r="AP220" s="100">
        <v>46054</v>
      </c>
      <c r="AQ220" s="99"/>
    </row>
    <row r="221" spans="1:43" x14ac:dyDescent="0.25">
      <c r="A221" s="112" t="b">
        <v>0</v>
      </c>
      <c r="B221" s="101" t="s">
        <v>463</v>
      </c>
      <c r="C221" s="109" t="s">
        <v>465</v>
      </c>
      <c r="D221" s="15" t="s">
        <v>450</v>
      </c>
      <c r="E221" s="15" t="s">
        <v>348</v>
      </c>
      <c r="F221" s="98"/>
      <c r="G221" s="99" t="s">
        <v>539</v>
      </c>
      <c r="H221" s="120">
        <v>3.5000000000000001E-3</v>
      </c>
      <c r="I221" s="117"/>
      <c r="J221" s="100"/>
      <c r="K221" s="117"/>
      <c r="L221" s="100"/>
      <c r="M221" s="117"/>
      <c r="N221" s="100"/>
      <c r="O221" s="117"/>
      <c r="P221" s="100"/>
      <c r="Q221" s="117"/>
      <c r="R221" s="100"/>
      <c r="S221" s="117"/>
      <c r="T221" s="100"/>
      <c r="U221" s="117"/>
      <c r="V221" s="100"/>
      <c r="W221" s="117"/>
      <c r="X221" s="100"/>
      <c r="Y221" s="117"/>
      <c r="Z221" s="100"/>
      <c r="AA221" s="117"/>
      <c r="AB221" s="100"/>
      <c r="AC221" s="117"/>
      <c r="AD221" s="100"/>
      <c r="AE221" s="117"/>
      <c r="AF221" s="100"/>
      <c r="AG221" s="117"/>
      <c r="AH221" s="100"/>
      <c r="AI221" s="65">
        <v>45540808</v>
      </c>
      <c r="AJ221" s="15" t="s">
        <v>40</v>
      </c>
      <c r="AK221" s="15" t="s">
        <v>5</v>
      </c>
      <c r="AL221" s="15" t="s">
        <v>9</v>
      </c>
      <c r="AM221" s="118">
        <v>5.4999999999999997E-3</v>
      </c>
      <c r="AN221" s="118">
        <v>5.4999999999999997E-3</v>
      </c>
      <c r="AO221" s="118">
        <v>0</v>
      </c>
      <c r="AP221" s="100">
        <v>46054</v>
      </c>
      <c r="AQ221" s="99"/>
    </row>
    <row r="222" spans="1:43" x14ac:dyDescent="0.25">
      <c r="A222" s="112" t="b">
        <v>0</v>
      </c>
      <c r="B222" s="101" t="s">
        <v>460</v>
      </c>
      <c r="C222" s="109" t="s">
        <v>465</v>
      </c>
      <c r="D222" s="15" t="s">
        <v>450</v>
      </c>
      <c r="E222" s="15" t="s">
        <v>469</v>
      </c>
      <c r="F222" s="98"/>
      <c r="G222" s="99" t="s">
        <v>539</v>
      </c>
      <c r="H222" s="120">
        <v>3.5000000000000001E-3</v>
      </c>
      <c r="I222" s="117"/>
      <c r="J222" s="100"/>
      <c r="K222" s="117"/>
      <c r="L222" s="100"/>
      <c r="M222" s="117"/>
      <c r="N222" s="100"/>
      <c r="O222" s="117"/>
      <c r="P222" s="100"/>
      <c r="Q222" s="117"/>
      <c r="R222" s="100"/>
      <c r="S222" s="117"/>
      <c r="T222" s="100"/>
      <c r="U222" s="117"/>
      <c r="V222" s="100"/>
      <c r="W222" s="117"/>
      <c r="X222" s="100"/>
      <c r="Y222" s="117"/>
      <c r="Z222" s="100"/>
      <c r="AA222" s="117"/>
      <c r="AB222" s="100"/>
      <c r="AC222" s="117"/>
      <c r="AD222" s="100"/>
      <c r="AE222" s="117"/>
      <c r="AF222" s="100"/>
      <c r="AG222" s="117"/>
      <c r="AH222" s="100"/>
      <c r="AI222" s="65">
        <v>95346641</v>
      </c>
      <c r="AJ222" s="15" t="s">
        <v>40</v>
      </c>
      <c r="AK222" s="15" t="s">
        <v>5</v>
      </c>
      <c r="AL222" s="15" t="s">
        <v>9</v>
      </c>
      <c r="AM222" s="118">
        <v>5.4999999999999997E-3</v>
      </c>
      <c r="AN222" s="118">
        <v>5.4999999999999997E-3</v>
      </c>
      <c r="AO222" s="118">
        <v>0</v>
      </c>
      <c r="AP222" s="100">
        <v>46054</v>
      </c>
      <c r="AQ222" s="99"/>
    </row>
    <row r="223" spans="1:43" x14ac:dyDescent="0.25">
      <c r="A223" s="112" t="b">
        <v>0</v>
      </c>
      <c r="B223" s="101" t="s">
        <v>452</v>
      </c>
      <c r="C223" s="109" t="s">
        <v>465</v>
      </c>
      <c r="D223" s="15" t="s">
        <v>450</v>
      </c>
      <c r="E223" s="15" t="s">
        <v>556</v>
      </c>
      <c r="F223" s="98"/>
      <c r="G223" s="99" t="s">
        <v>539</v>
      </c>
      <c r="H223" s="120">
        <v>3.5000000000000001E-3</v>
      </c>
      <c r="I223" s="117"/>
      <c r="J223" s="100"/>
      <c r="K223" s="117"/>
      <c r="L223" s="100"/>
      <c r="M223" s="117"/>
      <c r="N223" s="100"/>
      <c r="O223" s="117"/>
      <c r="P223" s="100"/>
      <c r="Q223" s="117"/>
      <c r="R223" s="100"/>
      <c r="S223" s="117"/>
      <c r="T223" s="100"/>
      <c r="U223" s="117"/>
      <c r="V223" s="100"/>
      <c r="W223" s="117"/>
      <c r="X223" s="100"/>
      <c r="Y223" s="117"/>
      <c r="Z223" s="100"/>
      <c r="AA223" s="117"/>
      <c r="AB223" s="100"/>
      <c r="AC223" s="117"/>
      <c r="AD223" s="100"/>
      <c r="AE223" s="117"/>
      <c r="AF223" s="100"/>
      <c r="AG223" s="117"/>
      <c r="AH223" s="100"/>
      <c r="AI223" s="65">
        <v>83434870</v>
      </c>
      <c r="AJ223" s="15" t="s">
        <v>40</v>
      </c>
      <c r="AK223" s="15" t="s">
        <v>5</v>
      </c>
      <c r="AL223" s="15" t="s">
        <v>9</v>
      </c>
      <c r="AM223" s="118">
        <v>5.4999999999999997E-3</v>
      </c>
      <c r="AN223" s="118">
        <v>5.4999999999999997E-3</v>
      </c>
      <c r="AO223" s="118">
        <v>0</v>
      </c>
      <c r="AP223" s="100">
        <v>46054</v>
      </c>
      <c r="AQ223" s="99"/>
    </row>
    <row r="224" spans="1:43" x14ac:dyDescent="0.25">
      <c r="A224" s="112" t="b">
        <v>0</v>
      </c>
      <c r="B224" s="101" t="s">
        <v>453</v>
      </c>
      <c r="C224" s="109" t="s">
        <v>465</v>
      </c>
      <c r="D224" s="15" t="s">
        <v>450</v>
      </c>
      <c r="E224" s="15" t="s">
        <v>487</v>
      </c>
      <c r="F224" s="98"/>
      <c r="G224" s="99" t="s">
        <v>539</v>
      </c>
      <c r="H224" s="120">
        <v>3.5000000000000001E-3</v>
      </c>
      <c r="I224" s="117"/>
      <c r="J224" s="100"/>
      <c r="K224" s="117"/>
      <c r="L224" s="100"/>
      <c r="M224" s="117"/>
      <c r="N224" s="100"/>
      <c r="O224" s="117"/>
      <c r="P224" s="100"/>
      <c r="Q224" s="117"/>
      <c r="R224" s="100"/>
      <c r="S224" s="117"/>
      <c r="T224" s="100"/>
      <c r="U224" s="117"/>
      <c r="V224" s="100"/>
      <c r="W224" s="117"/>
      <c r="X224" s="100"/>
      <c r="Y224" s="117"/>
      <c r="Z224" s="100"/>
      <c r="AA224" s="117"/>
      <c r="AB224" s="100"/>
      <c r="AC224" s="117"/>
      <c r="AD224" s="100"/>
      <c r="AE224" s="117"/>
      <c r="AF224" s="100"/>
      <c r="AG224" s="117"/>
      <c r="AH224" s="100"/>
      <c r="AI224" s="65">
        <v>83434873</v>
      </c>
      <c r="AJ224" s="15" t="s">
        <v>40</v>
      </c>
      <c r="AK224" s="15" t="s">
        <v>5</v>
      </c>
      <c r="AL224" s="15" t="s">
        <v>9</v>
      </c>
      <c r="AM224" s="118">
        <v>5.4999999999999997E-3</v>
      </c>
      <c r="AN224" s="118">
        <v>5.4999999999999997E-3</v>
      </c>
      <c r="AO224" s="118">
        <v>0</v>
      </c>
      <c r="AP224" s="100">
        <v>46054</v>
      </c>
      <c r="AQ224" s="99"/>
    </row>
    <row r="225" spans="1:43" x14ac:dyDescent="0.25">
      <c r="A225" s="112" t="b">
        <v>1</v>
      </c>
      <c r="B225" s="101" t="s">
        <v>374</v>
      </c>
      <c r="C225" s="109"/>
      <c r="D225" s="95" t="s">
        <v>506</v>
      </c>
      <c r="E225" s="110" t="s">
        <v>373</v>
      </c>
      <c r="F225" s="98"/>
      <c r="G225" s="99" t="s">
        <v>207</v>
      </c>
      <c r="H225" s="106">
        <v>0</v>
      </c>
      <c r="I225" s="117">
        <v>0</v>
      </c>
      <c r="J225" s="100" t="s">
        <v>85</v>
      </c>
      <c r="K225" s="117">
        <v>0</v>
      </c>
      <c r="L225" s="100" t="s">
        <v>85</v>
      </c>
      <c r="M225" s="117">
        <v>0</v>
      </c>
      <c r="N225" s="100" t="s">
        <v>85</v>
      </c>
      <c r="O225" s="117">
        <v>0</v>
      </c>
      <c r="P225" s="100" t="s">
        <v>85</v>
      </c>
      <c r="Q225" s="117">
        <v>0</v>
      </c>
      <c r="R225" s="100" t="s">
        <v>85</v>
      </c>
      <c r="S225" s="117">
        <v>0</v>
      </c>
      <c r="T225" s="100" t="s">
        <v>85</v>
      </c>
      <c r="U225" s="117">
        <v>0</v>
      </c>
      <c r="V225" s="100" t="s">
        <v>85</v>
      </c>
      <c r="W225" s="117">
        <v>0</v>
      </c>
      <c r="X225" s="100" t="s">
        <v>85</v>
      </c>
      <c r="Y225" s="117">
        <v>0</v>
      </c>
      <c r="Z225" s="100" t="s">
        <v>85</v>
      </c>
      <c r="AA225" s="117">
        <v>0</v>
      </c>
      <c r="AB225" s="100" t="s">
        <v>85</v>
      </c>
      <c r="AC225" s="117">
        <v>0</v>
      </c>
      <c r="AD225" s="100" t="s">
        <v>85</v>
      </c>
      <c r="AE225" s="117"/>
      <c r="AF225" s="100"/>
      <c r="AG225" s="117"/>
      <c r="AH225" s="100"/>
      <c r="AI225" s="65">
        <v>201942684</v>
      </c>
      <c r="AJ225" s="15" t="s">
        <v>40</v>
      </c>
      <c r="AK225" s="15" t="s">
        <v>5</v>
      </c>
      <c r="AL225" s="15" t="s">
        <v>9</v>
      </c>
      <c r="AM225" s="118">
        <v>5.4999999999999997E-3</v>
      </c>
      <c r="AN225" s="118">
        <v>5.4999999999999997E-3</v>
      </c>
      <c r="AO225" s="118">
        <v>0</v>
      </c>
      <c r="AP225" s="100">
        <v>46060</v>
      </c>
      <c r="AQ225" s="99"/>
    </row>
    <row r="226" spans="1:43" x14ac:dyDescent="0.25">
      <c r="A226" s="112" t="b">
        <v>1</v>
      </c>
      <c r="B226" s="101" t="s">
        <v>375</v>
      </c>
      <c r="C226" s="109"/>
      <c r="D226" s="95" t="s">
        <v>506</v>
      </c>
      <c r="E226" s="110" t="s">
        <v>373</v>
      </c>
      <c r="F226" s="98"/>
      <c r="G226" s="99" t="s">
        <v>207</v>
      </c>
      <c r="H226" s="106">
        <v>0</v>
      </c>
      <c r="I226" s="117">
        <v>0</v>
      </c>
      <c r="J226" s="100" t="s">
        <v>85</v>
      </c>
      <c r="K226" s="117">
        <v>0</v>
      </c>
      <c r="L226" s="100" t="s">
        <v>85</v>
      </c>
      <c r="M226" s="117">
        <v>0</v>
      </c>
      <c r="N226" s="100" t="s">
        <v>85</v>
      </c>
      <c r="O226" s="117">
        <v>0</v>
      </c>
      <c r="P226" s="100" t="s">
        <v>85</v>
      </c>
      <c r="Q226" s="117">
        <v>0</v>
      </c>
      <c r="R226" s="100" t="s">
        <v>85</v>
      </c>
      <c r="S226" s="117">
        <v>0</v>
      </c>
      <c r="T226" s="100" t="s">
        <v>85</v>
      </c>
      <c r="U226" s="117">
        <v>0</v>
      </c>
      <c r="V226" s="100" t="s">
        <v>85</v>
      </c>
      <c r="W226" s="117">
        <v>0</v>
      </c>
      <c r="X226" s="100" t="s">
        <v>85</v>
      </c>
      <c r="Y226" s="117">
        <v>0</v>
      </c>
      <c r="Z226" s="100" t="s">
        <v>85</v>
      </c>
      <c r="AA226" s="117">
        <v>0</v>
      </c>
      <c r="AB226" s="100" t="s">
        <v>85</v>
      </c>
      <c r="AC226" s="117">
        <v>0</v>
      </c>
      <c r="AD226" s="100" t="s">
        <v>85</v>
      </c>
      <c r="AE226" s="117"/>
      <c r="AF226" s="100"/>
      <c r="AG226" s="117"/>
      <c r="AH226" s="100"/>
      <c r="AI226" s="65">
        <v>184072087</v>
      </c>
      <c r="AJ226" s="15" t="s">
        <v>40</v>
      </c>
      <c r="AK226" s="15" t="s">
        <v>5</v>
      </c>
      <c r="AL226" s="15" t="s">
        <v>9</v>
      </c>
      <c r="AM226" s="118">
        <v>5.4999999999999997E-3</v>
      </c>
      <c r="AN226" s="118">
        <v>5.4999999999999997E-3</v>
      </c>
      <c r="AO226" s="118">
        <v>0</v>
      </c>
      <c r="AP226" s="100">
        <v>46060</v>
      </c>
      <c r="AQ226" s="99"/>
    </row>
    <row r="227" spans="1:43" x14ac:dyDescent="0.25">
      <c r="K227" s="104"/>
      <c r="M227" s="104"/>
      <c r="O227" s="104"/>
      <c r="Q227" s="104"/>
      <c r="S227" s="104"/>
      <c r="U227" s="104"/>
      <c r="W227" s="104"/>
      <c r="Y227" s="104"/>
      <c r="AA227" s="104"/>
      <c r="AC227" s="104"/>
      <c r="AE227" s="104"/>
      <c r="AG227" s="104"/>
      <c r="AI227" s="104"/>
      <c r="AJ227" s="104"/>
      <c r="AK227" s="107"/>
      <c r="AL227" s="104"/>
      <c r="AM227" s="116"/>
      <c r="AN227" s="115"/>
      <c r="AO227" s="119"/>
      <c r="AP227" s="104"/>
    </row>
    <row r="228" spans="1:43" x14ac:dyDescent="0.25">
      <c r="K228" s="113"/>
      <c r="M228" s="113"/>
      <c r="O228" s="113"/>
      <c r="Q228" s="113"/>
      <c r="S228" s="113"/>
      <c r="U228" s="113"/>
      <c r="W228" s="113"/>
      <c r="Y228" s="113"/>
      <c r="AA228" s="113"/>
      <c r="AC228" s="113"/>
      <c r="AE228" s="113"/>
      <c r="AG228" s="113"/>
      <c r="AI228" s="113"/>
      <c r="AJ228" s="113"/>
      <c r="AL228" s="113"/>
      <c r="AP228" s="113"/>
    </row>
    <row r="229" spans="1:43" x14ac:dyDescent="0.25">
      <c r="K229" s="113"/>
      <c r="M229" s="113"/>
      <c r="O229" s="113"/>
      <c r="Q229" s="113"/>
      <c r="S229" s="113"/>
      <c r="U229" s="113"/>
      <c r="W229" s="113"/>
      <c r="Y229" s="113"/>
      <c r="AA229" s="113"/>
      <c r="AC229" s="113"/>
      <c r="AE229" s="113"/>
      <c r="AG229" s="113"/>
      <c r="AI229" s="113"/>
      <c r="AJ229" s="113"/>
      <c r="AL229" s="113"/>
      <c r="AP229" s="113"/>
    </row>
    <row r="230" spans="1:43" x14ac:dyDescent="0.25">
      <c r="K230" s="113"/>
      <c r="M230" s="113"/>
      <c r="O230" s="113"/>
      <c r="Q230" s="113"/>
      <c r="S230" s="113"/>
      <c r="U230" s="113"/>
      <c r="W230" s="113"/>
      <c r="Y230" s="113"/>
      <c r="AA230" s="113"/>
      <c r="AC230" s="113"/>
      <c r="AE230" s="113"/>
      <c r="AG230" s="113"/>
      <c r="AI230" s="113"/>
      <c r="AJ230" s="113"/>
      <c r="AL230" s="113"/>
      <c r="AP230" s="113"/>
    </row>
    <row r="231" spans="1:43" x14ac:dyDescent="0.25">
      <c r="K231" s="113"/>
      <c r="M231" s="113"/>
      <c r="O231" s="113"/>
      <c r="Q231" s="113"/>
      <c r="S231" s="113"/>
      <c r="U231" s="113"/>
      <c r="W231" s="113"/>
      <c r="Y231" s="113"/>
      <c r="AA231" s="113"/>
      <c r="AC231" s="113"/>
      <c r="AE231" s="113"/>
      <c r="AG231" s="113"/>
      <c r="AI231" s="113"/>
      <c r="AJ231" s="113"/>
      <c r="AL231" s="113"/>
      <c r="AP231" s="113"/>
    </row>
    <row r="232" spans="1:43" x14ac:dyDescent="0.25">
      <c r="AJ232" s="113"/>
      <c r="AL232" s="113"/>
    </row>
    <row r="233" spans="1:43" s="2" customFormat="1" x14ac:dyDescent="0.25">
      <c r="A233" s="6" t="s">
        <v>229</v>
      </c>
      <c r="B233" s="1" t="s">
        <v>152</v>
      </c>
      <c r="C233" s="6" t="s">
        <v>354</v>
      </c>
      <c r="D233" s="6" t="s">
        <v>355</v>
      </c>
      <c r="E233" s="1" t="s">
        <v>11</v>
      </c>
      <c r="G233" s="1" t="s">
        <v>150</v>
      </c>
      <c r="H233" s="13" t="s">
        <v>151</v>
      </c>
      <c r="I233" s="6" t="s">
        <v>153</v>
      </c>
      <c r="J233" s="6" t="s">
        <v>144</v>
      </c>
      <c r="K233" s="1" t="s">
        <v>0</v>
      </c>
      <c r="L233" s="21" t="s">
        <v>1</v>
      </c>
      <c r="M233" s="21" t="s">
        <v>2</v>
      </c>
      <c r="N233" s="6" t="s">
        <v>141</v>
      </c>
      <c r="O233" s="6" t="s">
        <v>10</v>
      </c>
      <c r="P233" s="6" t="s">
        <v>162</v>
      </c>
      <c r="Q233" s="6" t="s">
        <v>343</v>
      </c>
      <c r="U233" s="23"/>
      <c r="W233" s="3"/>
      <c r="X233" s="1"/>
      <c r="Y233" s="6"/>
      <c r="Z233" s="1"/>
      <c r="AA233" s="1"/>
      <c r="AB233" s="1"/>
    </row>
    <row r="234" spans="1:43" x14ac:dyDescent="0.25">
      <c r="A234" s="15" t="b">
        <f>A1=A233</f>
        <v>1</v>
      </c>
      <c r="B234" s="15" t="b">
        <f t="shared" ref="B234:Q234" si="0">B1=B233</f>
        <v>1</v>
      </c>
      <c r="C234" s="15" t="b">
        <f t="shared" si="0"/>
        <v>0</v>
      </c>
      <c r="D234" s="15" t="b">
        <f t="shared" si="0"/>
        <v>0</v>
      </c>
      <c r="E234" s="15" t="b">
        <f t="shared" si="0"/>
        <v>0</v>
      </c>
      <c r="F234" s="15" t="b">
        <f t="shared" si="0"/>
        <v>0</v>
      </c>
      <c r="G234" s="15" t="b">
        <f t="shared" si="0"/>
        <v>0</v>
      </c>
      <c r="H234" s="15" t="b">
        <f t="shared" si="0"/>
        <v>0</v>
      </c>
      <c r="I234" s="15" t="b">
        <f t="shared" si="0"/>
        <v>0</v>
      </c>
      <c r="J234" s="15" t="b">
        <f t="shared" si="0"/>
        <v>0</v>
      </c>
      <c r="K234" s="15" t="b">
        <f t="shared" si="0"/>
        <v>0</v>
      </c>
      <c r="L234" s="15" t="b">
        <f t="shared" si="0"/>
        <v>0</v>
      </c>
      <c r="M234" s="15" t="b">
        <f t="shared" si="0"/>
        <v>0</v>
      </c>
      <c r="N234" s="15" t="b">
        <f t="shared" si="0"/>
        <v>0</v>
      </c>
      <c r="O234" s="15" t="b">
        <f t="shared" si="0"/>
        <v>0</v>
      </c>
      <c r="P234" s="15" t="b">
        <f t="shared" si="0"/>
        <v>0</v>
      </c>
      <c r="Q234" s="15" t="b">
        <f t="shared" si="0"/>
        <v>0</v>
      </c>
      <c r="S234" s="113"/>
      <c r="U234" s="113"/>
      <c r="W234" s="113"/>
      <c r="Y234" s="113"/>
      <c r="AA234" s="113"/>
      <c r="AC234" s="113"/>
      <c r="AE234" s="113"/>
      <c r="AG234" s="113"/>
      <c r="AI234" s="113"/>
      <c r="AJ234" s="113"/>
      <c r="AL234" s="113"/>
      <c r="AO234" s="116"/>
      <c r="AP234" s="113"/>
    </row>
    <row r="235" spans="1:43" x14ac:dyDescent="0.25">
      <c r="K235" s="113"/>
      <c r="M235" s="113"/>
      <c r="O235" s="113"/>
      <c r="Q235" s="113"/>
      <c r="S235" s="113"/>
      <c r="U235" s="113"/>
      <c r="W235" s="113"/>
      <c r="Y235" s="113"/>
      <c r="AA235" s="113"/>
      <c r="AC235" s="113"/>
      <c r="AE235" s="113"/>
      <c r="AG235" s="113"/>
      <c r="AI235" s="113"/>
      <c r="AJ235" s="113"/>
      <c r="AL235" s="113"/>
      <c r="AO235" s="116"/>
      <c r="AP235" s="113"/>
    </row>
    <row r="236" spans="1:43" x14ac:dyDescent="0.25">
      <c r="K236" s="113"/>
      <c r="M236" s="113"/>
      <c r="O236" s="113"/>
      <c r="Q236" s="113"/>
      <c r="S236" s="113"/>
      <c r="U236" s="113"/>
      <c r="W236" s="113"/>
      <c r="Y236" s="113"/>
      <c r="AA236" s="113"/>
      <c r="AC236" s="113"/>
      <c r="AE236" s="113"/>
      <c r="AG236" s="113"/>
      <c r="AI236" s="113"/>
      <c r="AJ236" s="113"/>
      <c r="AL236" s="113"/>
      <c r="AO236" s="116"/>
      <c r="AP236" s="113"/>
    </row>
    <row r="237" spans="1:43" x14ac:dyDescent="0.25">
      <c r="K237" s="113"/>
      <c r="M237" s="113"/>
      <c r="O237" s="113"/>
      <c r="Q237" s="113"/>
      <c r="S237" s="113"/>
      <c r="U237" s="113"/>
      <c r="W237" s="113"/>
      <c r="Y237" s="113"/>
      <c r="AA237" s="113"/>
      <c r="AC237" s="113"/>
      <c r="AE237" s="113"/>
      <c r="AG237" s="113"/>
      <c r="AI237" s="113"/>
      <c r="AJ237" s="113"/>
      <c r="AL237" s="113"/>
      <c r="AO237" s="116"/>
      <c r="AP237" s="113"/>
    </row>
    <row r="238" spans="1:43" x14ac:dyDescent="0.25">
      <c r="K238" s="113"/>
      <c r="M238" s="113"/>
      <c r="O238" s="113"/>
      <c r="Q238" s="113"/>
      <c r="S238" s="113"/>
      <c r="U238" s="113"/>
      <c r="W238" s="113"/>
      <c r="Y238" s="113"/>
      <c r="AA238" s="113"/>
      <c r="AC238" s="113"/>
      <c r="AE238" s="113"/>
      <c r="AG238" s="113"/>
      <c r="AI238" s="113"/>
      <c r="AJ238" s="113"/>
      <c r="AL238" s="113"/>
      <c r="AO238" s="116"/>
      <c r="AP238" s="113"/>
    </row>
    <row r="239" spans="1:43" x14ac:dyDescent="0.25">
      <c r="K239" s="113"/>
      <c r="M239" s="113"/>
      <c r="O239" s="113"/>
      <c r="Q239" s="113"/>
      <c r="S239" s="113"/>
      <c r="U239" s="113"/>
      <c r="W239" s="113"/>
      <c r="Y239" s="113"/>
      <c r="AA239" s="113"/>
      <c r="AC239" s="113"/>
      <c r="AE239" s="113"/>
      <c r="AG239" s="113"/>
      <c r="AI239" s="113"/>
      <c r="AJ239" s="113"/>
      <c r="AL239" s="113"/>
      <c r="AO239" s="116"/>
      <c r="AP239" s="113"/>
    </row>
    <row r="240" spans="1:43" x14ac:dyDescent="0.25">
      <c r="K240" s="113"/>
      <c r="M240" s="113"/>
      <c r="O240" s="113"/>
      <c r="Q240" s="113"/>
      <c r="S240" s="113"/>
      <c r="U240" s="113"/>
      <c r="W240" s="113"/>
      <c r="Y240" s="113"/>
      <c r="AA240" s="113"/>
      <c r="AC240" s="113"/>
      <c r="AE240" s="113"/>
      <c r="AG240" s="113"/>
      <c r="AI240" s="113"/>
      <c r="AJ240" s="113"/>
      <c r="AL240" s="113"/>
      <c r="AO240" s="116"/>
      <c r="AP240" s="113"/>
    </row>
    <row r="241" spans="11:42" x14ac:dyDescent="0.25">
      <c r="K241" s="113"/>
      <c r="M241" s="113"/>
      <c r="O241" s="113"/>
      <c r="Q241" s="113"/>
      <c r="S241" s="113"/>
      <c r="U241" s="113"/>
      <c r="W241" s="113"/>
      <c r="Y241" s="113"/>
      <c r="AA241" s="113"/>
      <c r="AC241" s="113"/>
      <c r="AE241" s="113"/>
      <c r="AG241" s="113"/>
      <c r="AI241" s="113"/>
      <c r="AJ241" s="113"/>
      <c r="AL241" s="113"/>
      <c r="AO241" s="116"/>
      <c r="AP241" s="113"/>
    </row>
    <row r="242" spans="11:42" x14ac:dyDescent="0.25">
      <c r="K242" s="113"/>
      <c r="M242" s="113"/>
      <c r="O242" s="113"/>
      <c r="Q242" s="113"/>
      <c r="S242" s="113"/>
      <c r="U242" s="113"/>
      <c r="W242" s="113"/>
      <c r="Y242" s="113"/>
      <c r="AA242" s="113"/>
      <c r="AC242" s="113"/>
      <c r="AE242" s="113"/>
      <c r="AG242" s="113"/>
      <c r="AI242" s="113"/>
      <c r="AJ242" s="113"/>
      <c r="AL242" s="113"/>
      <c r="AO242" s="116"/>
      <c r="AP242" s="113"/>
    </row>
    <row r="243" spans="11:42" x14ac:dyDescent="0.25">
      <c r="K243" s="113"/>
      <c r="M243" s="113"/>
      <c r="O243" s="113"/>
      <c r="Q243" s="113"/>
      <c r="S243" s="113"/>
      <c r="U243" s="113"/>
      <c r="W243" s="113"/>
      <c r="Y243" s="113"/>
      <c r="AA243" s="113"/>
      <c r="AC243" s="113"/>
      <c r="AE243" s="113"/>
      <c r="AG243" s="113"/>
      <c r="AI243" s="113"/>
      <c r="AJ243" s="113"/>
      <c r="AL243" s="113"/>
      <c r="AO243" s="116"/>
      <c r="AP243" s="113"/>
    </row>
    <row r="244" spans="11:42" x14ac:dyDescent="0.25">
      <c r="K244" s="113"/>
      <c r="M244" s="113"/>
      <c r="O244" s="113"/>
      <c r="Q244" s="113"/>
      <c r="S244" s="113"/>
      <c r="U244" s="113"/>
      <c r="W244" s="113"/>
      <c r="Y244" s="113"/>
      <c r="AA244" s="113"/>
      <c r="AC244" s="113"/>
      <c r="AE244" s="113"/>
      <c r="AG244" s="113"/>
      <c r="AI244" s="113"/>
      <c r="AJ244" s="113"/>
      <c r="AL244" s="113"/>
      <c r="AO244" s="116"/>
      <c r="AP244" s="113"/>
    </row>
    <row r="245" spans="11:42" x14ac:dyDescent="0.25">
      <c r="K245" s="113"/>
      <c r="M245" s="113"/>
      <c r="O245" s="113"/>
      <c r="Q245" s="113"/>
      <c r="S245" s="113"/>
      <c r="U245" s="113"/>
      <c r="W245" s="113"/>
      <c r="Y245" s="113"/>
      <c r="AA245" s="113"/>
      <c r="AC245" s="113"/>
      <c r="AE245" s="113"/>
      <c r="AG245" s="113"/>
      <c r="AI245" s="113"/>
      <c r="AJ245" s="113"/>
      <c r="AL245" s="113"/>
      <c r="AO245" s="116"/>
      <c r="AP245" s="113"/>
    </row>
    <row r="246" spans="11:42" x14ac:dyDescent="0.25">
      <c r="K246" s="113"/>
      <c r="M246" s="113"/>
      <c r="O246" s="113"/>
      <c r="Q246" s="113"/>
      <c r="S246" s="113"/>
      <c r="U246" s="113"/>
      <c r="W246" s="113"/>
      <c r="Y246" s="113"/>
      <c r="AA246" s="113"/>
      <c r="AC246" s="113"/>
      <c r="AE246" s="113"/>
      <c r="AG246" s="113"/>
      <c r="AI246" s="113"/>
      <c r="AO246" s="116"/>
      <c r="AP246" s="113"/>
    </row>
    <row r="247" spans="11:42" x14ac:dyDescent="0.25">
      <c r="K247" s="113"/>
      <c r="M247" s="113"/>
      <c r="O247" s="113"/>
      <c r="Q247" s="113"/>
      <c r="S247" s="113"/>
      <c r="U247" s="113"/>
      <c r="W247" s="113"/>
      <c r="Y247" s="113"/>
      <c r="AA247" s="113"/>
      <c r="AC247" s="113"/>
      <c r="AE247" s="113"/>
      <c r="AG247" s="113"/>
      <c r="AI247" s="113"/>
      <c r="AO247" s="116"/>
      <c r="AP247" s="113"/>
    </row>
    <row r="248" spans="11:42" x14ac:dyDescent="0.25">
      <c r="K248" s="113"/>
      <c r="M248" s="113"/>
      <c r="O248" s="113"/>
      <c r="Q248" s="113"/>
      <c r="S248" s="113"/>
      <c r="U248" s="113"/>
      <c r="W248" s="113"/>
      <c r="Y248" s="113"/>
      <c r="AA248" s="113"/>
      <c r="AC248" s="113"/>
      <c r="AE248" s="113"/>
      <c r="AG248" s="113"/>
      <c r="AI248" s="113"/>
      <c r="AO248" s="116"/>
      <c r="AP248" s="113"/>
    </row>
    <row r="249" spans="11:42" x14ac:dyDescent="0.25">
      <c r="K249" s="113"/>
      <c r="M249" s="113"/>
      <c r="O249" s="113"/>
      <c r="Q249" s="113"/>
      <c r="S249" s="113"/>
      <c r="U249" s="113"/>
      <c r="W249" s="113"/>
      <c r="Y249" s="113"/>
      <c r="AA249" s="113"/>
      <c r="AC249" s="113"/>
      <c r="AE249" s="113"/>
      <c r="AG249" s="113"/>
      <c r="AI249" s="113"/>
      <c r="AO249" s="116"/>
      <c r="AP249" s="113"/>
    </row>
    <row r="250" spans="11:42" x14ac:dyDescent="0.25">
      <c r="K250" s="113"/>
      <c r="M250" s="113"/>
      <c r="O250" s="113"/>
      <c r="Q250" s="113"/>
      <c r="S250" s="113"/>
      <c r="U250" s="113"/>
      <c r="W250" s="113"/>
      <c r="Y250" s="113"/>
      <c r="AA250" s="113"/>
      <c r="AC250" s="113"/>
      <c r="AE250" s="113"/>
      <c r="AG250" s="113"/>
      <c r="AI250" s="113"/>
      <c r="AO250" s="116"/>
      <c r="AP250" s="113"/>
    </row>
    <row r="251" spans="11:42" x14ac:dyDescent="0.25">
      <c r="K251" s="113"/>
      <c r="M251" s="113"/>
      <c r="O251" s="113"/>
      <c r="Q251" s="113"/>
      <c r="S251" s="113"/>
      <c r="U251" s="113"/>
      <c r="W251" s="113"/>
      <c r="Y251" s="113"/>
      <c r="AA251" s="113"/>
      <c r="AC251" s="113"/>
      <c r="AE251" s="113"/>
      <c r="AG251" s="113"/>
      <c r="AI251" s="113"/>
      <c r="AO251" s="116"/>
      <c r="AP251" s="113"/>
    </row>
    <row r="252" spans="11:42" x14ac:dyDescent="0.25">
      <c r="K252" s="113"/>
      <c r="M252" s="113"/>
      <c r="O252" s="113"/>
      <c r="Q252" s="113"/>
      <c r="S252" s="113"/>
      <c r="U252" s="113"/>
      <c r="W252" s="113"/>
      <c r="Y252" s="113"/>
      <c r="AA252" s="113"/>
      <c r="AC252" s="113"/>
      <c r="AE252" s="113"/>
      <c r="AG252" s="113"/>
      <c r="AI252" s="113"/>
      <c r="AO252" s="116"/>
      <c r="AP252" s="113"/>
    </row>
    <row r="253" spans="11:42" x14ac:dyDescent="0.25">
      <c r="K253" s="113"/>
      <c r="M253" s="113"/>
      <c r="O253" s="113"/>
      <c r="Q253" s="113"/>
      <c r="S253" s="113"/>
      <c r="U253" s="113"/>
      <c r="W253" s="113"/>
      <c r="Y253" s="113"/>
      <c r="AA253" s="113"/>
      <c r="AC253" s="113"/>
      <c r="AE253" s="113"/>
      <c r="AG253" s="113"/>
      <c r="AI253" s="113"/>
      <c r="AP253" s="113"/>
    </row>
    <row r="254" spans="11:42" x14ac:dyDescent="0.25">
      <c r="K254" s="113"/>
      <c r="M254" s="113"/>
      <c r="O254" s="113"/>
      <c r="Q254" s="113"/>
      <c r="S254" s="113"/>
      <c r="U254" s="113"/>
      <c r="W254" s="113"/>
      <c r="Y254" s="113"/>
      <c r="AA254" s="113"/>
      <c r="AC254" s="113"/>
      <c r="AE254" s="113"/>
      <c r="AG254" s="113"/>
      <c r="AI254" s="113"/>
      <c r="AP254" s="113"/>
    </row>
    <row r="255" spans="11:42" x14ac:dyDescent="0.25">
      <c r="K255" s="113"/>
      <c r="M255" s="113"/>
      <c r="O255" s="113"/>
      <c r="Q255" s="113"/>
      <c r="S255" s="113"/>
      <c r="U255" s="113"/>
      <c r="W255" s="113"/>
      <c r="Y255" s="113"/>
      <c r="AA255" s="113"/>
      <c r="AC255" s="113"/>
      <c r="AE255" s="113"/>
      <c r="AG255" s="113"/>
      <c r="AI255" s="113"/>
      <c r="AP255" s="113"/>
    </row>
    <row r="256" spans="11:42" x14ac:dyDescent="0.25">
      <c r="K256" s="113"/>
      <c r="M256" s="113"/>
      <c r="O256" s="113"/>
      <c r="Q256" s="113"/>
      <c r="S256" s="113"/>
      <c r="U256" s="113"/>
      <c r="W256" s="113"/>
      <c r="Y256" s="113"/>
      <c r="AA256" s="113"/>
      <c r="AC256" s="113"/>
      <c r="AE256" s="113"/>
      <c r="AG256" s="113"/>
      <c r="AI256" s="113"/>
      <c r="AP256" s="113"/>
    </row>
    <row r="258" spans="11:42" x14ac:dyDescent="0.25">
      <c r="K258" s="113"/>
      <c r="M258" s="113"/>
      <c r="O258" s="113"/>
      <c r="Q258" s="113"/>
      <c r="S258" s="113"/>
      <c r="U258" s="113"/>
      <c r="W258" s="113"/>
      <c r="Y258" s="113"/>
      <c r="AA258" s="113"/>
      <c r="AC258" s="113"/>
      <c r="AE258" s="113"/>
      <c r="AG258" s="113"/>
      <c r="AI258" s="113"/>
      <c r="AP258" s="113"/>
    </row>
    <row r="259" spans="11:42" x14ac:dyDescent="0.25">
      <c r="K259" s="113"/>
      <c r="M259" s="113"/>
      <c r="O259" s="113"/>
      <c r="Q259" s="113"/>
      <c r="S259" s="113"/>
      <c r="U259" s="113"/>
      <c r="W259" s="113"/>
      <c r="Y259" s="113"/>
      <c r="AA259" s="113"/>
      <c r="AC259" s="113"/>
      <c r="AE259" s="113"/>
      <c r="AG259" s="113"/>
      <c r="AI259" s="113"/>
      <c r="AP259" s="113"/>
    </row>
    <row r="260" spans="11:42" x14ac:dyDescent="0.25">
      <c r="K260" s="113"/>
      <c r="M260" s="113"/>
      <c r="O260" s="113"/>
      <c r="Q260" s="113"/>
      <c r="S260" s="113"/>
      <c r="U260" s="113"/>
      <c r="W260" s="113"/>
      <c r="Y260" s="113"/>
      <c r="AA260" s="113"/>
      <c r="AC260" s="113"/>
      <c r="AE260" s="113"/>
      <c r="AG260" s="113"/>
      <c r="AI260" s="113"/>
      <c r="AP260" s="113"/>
    </row>
    <row r="261" spans="11:42" x14ac:dyDescent="0.25">
      <c r="K261" s="113"/>
      <c r="M261" s="113"/>
      <c r="O261" s="113"/>
      <c r="Q261" s="113"/>
      <c r="S261" s="113"/>
      <c r="U261" s="113"/>
      <c r="W261" s="113"/>
      <c r="Y261" s="113"/>
      <c r="AA261" s="113"/>
      <c r="AC261" s="113"/>
      <c r="AE261" s="113"/>
      <c r="AG261" s="113"/>
      <c r="AI261" s="113"/>
      <c r="AP261" s="113"/>
    </row>
    <row r="262" spans="11:42" x14ac:dyDescent="0.25">
      <c r="K262" s="113"/>
      <c r="M262" s="113"/>
      <c r="O262" s="113"/>
      <c r="Q262" s="113"/>
      <c r="S262" s="113"/>
      <c r="U262" s="113"/>
      <c r="W262" s="113"/>
      <c r="Y262" s="113"/>
      <c r="AA262" s="113"/>
      <c r="AC262" s="113"/>
      <c r="AE262" s="113"/>
      <c r="AG262" s="113"/>
      <c r="AI262" s="113"/>
      <c r="AP262" s="113"/>
    </row>
    <row r="263" spans="11:42" x14ac:dyDescent="0.25">
      <c r="K263" s="113"/>
      <c r="M263" s="113"/>
      <c r="O263" s="113"/>
      <c r="Q263" s="113"/>
      <c r="S263" s="113"/>
      <c r="U263" s="113"/>
      <c r="W263" s="113"/>
      <c r="Y263" s="113"/>
      <c r="AA263" s="113"/>
      <c r="AC263" s="113"/>
      <c r="AE263" s="113"/>
      <c r="AG263" s="113"/>
      <c r="AI263" s="113"/>
      <c r="AP263" s="113"/>
    </row>
    <row r="264" spans="11:42" x14ac:dyDescent="0.25">
      <c r="K264" s="113"/>
      <c r="M264" s="113"/>
      <c r="O264" s="113"/>
      <c r="Q264" s="113"/>
      <c r="S264" s="113"/>
      <c r="U264" s="113"/>
      <c r="W264" s="113"/>
      <c r="Y264" s="113"/>
      <c r="AA264" s="113"/>
      <c r="AC264" s="113"/>
      <c r="AE264" s="113"/>
      <c r="AG264" s="113"/>
      <c r="AI264" s="113"/>
      <c r="AP264" s="113"/>
    </row>
    <row r="265" spans="11:42" x14ac:dyDescent="0.25">
      <c r="K265" s="113"/>
      <c r="M265" s="113"/>
      <c r="O265" s="113"/>
      <c r="Q265" s="113"/>
      <c r="S265" s="113"/>
      <c r="U265" s="113"/>
      <c r="W265" s="113"/>
      <c r="Y265" s="113"/>
      <c r="AA265" s="113"/>
      <c r="AC265" s="113"/>
      <c r="AE265" s="113"/>
      <c r="AG265" s="113"/>
      <c r="AI265" s="113"/>
      <c r="AJ265" s="113"/>
      <c r="AK265" s="113"/>
      <c r="AL265" s="104"/>
      <c r="AP265" s="113"/>
    </row>
    <row r="266" spans="11:42" x14ac:dyDescent="0.25">
      <c r="K266" s="113"/>
      <c r="M266" s="113"/>
      <c r="O266" s="113"/>
      <c r="Q266" s="113"/>
      <c r="S266" s="113"/>
      <c r="U266" s="113"/>
      <c r="W266" s="113"/>
      <c r="Y266" s="113"/>
      <c r="AA266" s="113"/>
      <c r="AC266" s="113"/>
      <c r="AE266" s="113"/>
      <c r="AG266" s="113"/>
      <c r="AI266" s="113"/>
      <c r="AJ266" s="113"/>
      <c r="AL266" s="113"/>
      <c r="AP266" s="113"/>
    </row>
    <row r="267" spans="11:42" x14ac:dyDescent="0.25">
      <c r="K267" s="113"/>
      <c r="M267" s="113"/>
      <c r="O267" s="113"/>
      <c r="Q267" s="113"/>
      <c r="S267" s="113"/>
      <c r="U267" s="113"/>
      <c r="W267" s="113"/>
      <c r="Y267" s="113"/>
      <c r="AA267" s="113"/>
      <c r="AC267" s="113"/>
      <c r="AE267" s="113"/>
      <c r="AG267" s="113"/>
      <c r="AI267" s="113"/>
      <c r="AJ267" s="113"/>
      <c r="AL267" s="113"/>
      <c r="AP267" s="113"/>
    </row>
    <row r="268" spans="11:42" x14ac:dyDescent="0.25">
      <c r="K268" s="113"/>
      <c r="M268" s="113"/>
      <c r="O268" s="113"/>
      <c r="Q268" s="113"/>
      <c r="S268" s="113"/>
      <c r="U268" s="113"/>
      <c r="W268" s="113"/>
      <c r="Y268" s="113"/>
      <c r="AA268" s="113"/>
      <c r="AC268" s="113"/>
      <c r="AE268" s="113"/>
      <c r="AG268" s="113"/>
      <c r="AI268" s="113"/>
      <c r="AJ268" s="113"/>
      <c r="AL268" s="113"/>
      <c r="AP268" s="113"/>
    </row>
    <row r="269" spans="11:42" x14ac:dyDescent="0.25">
      <c r="K269" s="113"/>
      <c r="M269" s="113"/>
      <c r="O269" s="113"/>
      <c r="Q269" s="113"/>
      <c r="S269" s="113"/>
      <c r="U269" s="113"/>
      <c r="W269" s="113"/>
      <c r="Y269" s="113"/>
      <c r="AA269" s="113"/>
      <c r="AC269" s="113"/>
      <c r="AE269" s="113"/>
      <c r="AG269" s="113"/>
      <c r="AI269" s="113"/>
      <c r="AJ269" s="113"/>
      <c r="AL269" s="113"/>
      <c r="AP269" s="113"/>
    </row>
    <row r="270" spans="11:42" x14ac:dyDescent="0.25">
      <c r="K270" s="113"/>
      <c r="M270" s="113"/>
      <c r="O270" s="113"/>
      <c r="Q270" s="113"/>
      <c r="S270" s="113"/>
      <c r="U270" s="113"/>
      <c r="W270" s="113"/>
      <c r="Y270" s="113"/>
      <c r="AA270" s="113"/>
      <c r="AC270" s="113"/>
      <c r="AE270" s="113"/>
      <c r="AG270" s="113"/>
      <c r="AI270" s="113"/>
      <c r="AJ270" s="113"/>
      <c r="AL270" s="113"/>
      <c r="AP270" s="113"/>
    </row>
    <row r="271" spans="11:42" x14ac:dyDescent="0.25">
      <c r="K271" s="113"/>
      <c r="M271" s="113"/>
      <c r="O271" s="113"/>
      <c r="Q271" s="113"/>
      <c r="S271" s="113"/>
      <c r="U271" s="113"/>
      <c r="W271" s="113"/>
      <c r="Y271" s="113"/>
      <c r="AA271" s="113"/>
      <c r="AC271" s="113"/>
      <c r="AE271" s="113"/>
      <c r="AG271" s="113"/>
      <c r="AI271" s="113"/>
      <c r="AJ271" s="113"/>
      <c r="AL271" s="113"/>
      <c r="AP271" s="113"/>
    </row>
    <row r="272" spans="11:42" x14ac:dyDescent="0.25">
      <c r="K272" s="113"/>
      <c r="M272" s="113"/>
      <c r="O272" s="113"/>
      <c r="Q272" s="113"/>
      <c r="S272" s="113"/>
      <c r="U272" s="113"/>
      <c r="W272" s="113"/>
      <c r="Y272" s="113"/>
      <c r="AA272" s="113"/>
      <c r="AC272" s="113"/>
      <c r="AE272" s="113"/>
      <c r="AG272" s="113"/>
      <c r="AI272" s="113"/>
      <c r="AJ272" s="113"/>
      <c r="AL272" s="113"/>
      <c r="AP272" s="113"/>
    </row>
    <row r="273" spans="11:42" x14ac:dyDescent="0.25">
      <c r="K273" s="113"/>
      <c r="M273" s="113"/>
      <c r="O273" s="113"/>
      <c r="Q273" s="113"/>
      <c r="S273" s="113"/>
      <c r="U273" s="113"/>
      <c r="W273" s="113"/>
      <c r="Y273" s="113"/>
      <c r="AA273" s="113"/>
      <c r="AC273" s="113"/>
      <c r="AE273" s="113"/>
      <c r="AG273" s="113"/>
      <c r="AI273" s="113"/>
      <c r="AJ273" s="113"/>
      <c r="AL273" s="113"/>
      <c r="AP273" s="113"/>
    </row>
    <row r="274" spans="11:42" x14ac:dyDescent="0.25">
      <c r="K274" s="113"/>
      <c r="M274" s="113"/>
      <c r="O274" s="113"/>
      <c r="Q274" s="113"/>
      <c r="S274" s="113"/>
      <c r="U274" s="113"/>
      <c r="W274" s="113"/>
      <c r="Y274" s="113"/>
      <c r="AA274" s="113"/>
      <c r="AC274" s="113"/>
      <c r="AE274" s="113"/>
      <c r="AG274" s="113"/>
      <c r="AI274" s="113"/>
      <c r="AJ274" s="113"/>
      <c r="AL274" s="113"/>
      <c r="AP274" s="113"/>
    </row>
    <row r="275" spans="11:42" x14ac:dyDescent="0.25">
      <c r="K275" s="113"/>
      <c r="M275" s="113"/>
      <c r="O275" s="113"/>
      <c r="Q275" s="113"/>
      <c r="S275" s="113"/>
      <c r="U275" s="113"/>
      <c r="W275" s="113"/>
      <c r="Y275" s="113"/>
      <c r="AA275" s="113"/>
      <c r="AC275" s="113"/>
      <c r="AE275" s="113"/>
      <c r="AG275" s="113"/>
      <c r="AI275" s="113"/>
      <c r="AJ275" s="113"/>
      <c r="AL275" s="113"/>
      <c r="AP275" s="113"/>
    </row>
    <row r="276" spans="11:42" x14ac:dyDescent="0.25">
      <c r="K276" s="113"/>
      <c r="M276" s="113"/>
      <c r="O276" s="113"/>
      <c r="Q276" s="113"/>
      <c r="S276" s="113"/>
      <c r="U276" s="113"/>
      <c r="W276" s="113"/>
      <c r="Y276" s="113"/>
      <c r="AA276" s="113"/>
      <c r="AC276" s="113"/>
      <c r="AE276" s="113"/>
      <c r="AG276" s="113"/>
      <c r="AI276" s="113"/>
      <c r="AJ276" s="113"/>
      <c r="AL276" s="113"/>
      <c r="AP276" s="113"/>
    </row>
    <row r="277" spans="11:42" x14ac:dyDescent="0.25">
      <c r="K277" s="113"/>
      <c r="M277" s="113"/>
      <c r="O277" s="113"/>
      <c r="Q277" s="113"/>
      <c r="S277" s="113"/>
      <c r="U277" s="113"/>
      <c r="W277" s="113"/>
      <c r="Y277" s="113"/>
      <c r="AA277" s="113"/>
      <c r="AC277" s="113"/>
      <c r="AE277" s="113"/>
      <c r="AG277" s="113"/>
      <c r="AI277" s="113"/>
      <c r="AJ277" s="113"/>
      <c r="AL277" s="113"/>
      <c r="AP277" s="113"/>
    </row>
    <row r="278" spans="11:42" x14ac:dyDescent="0.25">
      <c r="K278" s="113"/>
      <c r="M278" s="113"/>
      <c r="O278" s="113"/>
      <c r="Q278" s="113"/>
      <c r="S278" s="113"/>
      <c r="U278" s="113"/>
      <c r="W278" s="113"/>
      <c r="Y278" s="113"/>
      <c r="AA278" s="113"/>
      <c r="AC278" s="113"/>
      <c r="AE278" s="113"/>
      <c r="AG278" s="113"/>
      <c r="AI278" s="113"/>
      <c r="AJ278" s="113"/>
      <c r="AL278" s="113"/>
      <c r="AP278" s="113"/>
    </row>
    <row r="279" spans="11:42" x14ac:dyDescent="0.25">
      <c r="K279" s="113"/>
      <c r="M279" s="113"/>
      <c r="O279" s="113"/>
      <c r="Q279" s="113"/>
      <c r="S279" s="113"/>
      <c r="U279" s="113"/>
      <c r="W279" s="113"/>
      <c r="Y279" s="113"/>
      <c r="AA279" s="113"/>
      <c r="AC279" s="113"/>
      <c r="AE279" s="113"/>
      <c r="AG279" s="113"/>
      <c r="AI279" s="113"/>
      <c r="AJ279" s="113"/>
      <c r="AL279" s="113"/>
      <c r="AP279" s="113"/>
    </row>
    <row r="280" spans="11:42" x14ac:dyDescent="0.25">
      <c r="K280" s="113"/>
      <c r="M280" s="113"/>
      <c r="O280" s="113"/>
      <c r="Q280" s="113"/>
      <c r="S280" s="113"/>
      <c r="U280" s="113"/>
      <c r="W280" s="113"/>
      <c r="Y280" s="113"/>
      <c r="AA280" s="113"/>
      <c r="AC280" s="113"/>
      <c r="AE280" s="113"/>
      <c r="AG280" s="113"/>
      <c r="AI280" s="113"/>
      <c r="AJ280" s="113"/>
      <c r="AL280" s="113"/>
      <c r="AP280" s="113"/>
    </row>
    <row r="281" spans="11:42" x14ac:dyDescent="0.25">
      <c r="K281" s="113"/>
      <c r="M281" s="113"/>
      <c r="O281" s="113"/>
      <c r="Q281" s="113"/>
      <c r="S281" s="113"/>
      <c r="U281" s="113"/>
      <c r="W281" s="113"/>
      <c r="Y281" s="113"/>
      <c r="AA281" s="113"/>
      <c r="AC281" s="113"/>
      <c r="AE281" s="113"/>
      <c r="AG281" s="113"/>
      <c r="AI281" s="113"/>
      <c r="AJ281" s="113"/>
      <c r="AL281" s="113"/>
      <c r="AP281" s="113"/>
    </row>
    <row r="282" spans="11:42" x14ac:dyDescent="0.25">
      <c r="K282" s="113"/>
      <c r="M282" s="113"/>
      <c r="O282" s="113"/>
      <c r="Q282" s="113"/>
      <c r="S282" s="113"/>
      <c r="U282" s="113"/>
      <c r="W282" s="113"/>
      <c r="Y282" s="113"/>
      <c r="AA282" s="113"/>
      <c r="AC282" s="113"/>
      <c r="AE282" s="113"/>
      <c r="AG282" s="113"/>
      <c r="AI282" s="113"/>
      <c r="AJ282" s="113"/>
      <c r="AL282" s="113"/>
      <c r="AP282" s="113"/>
    </row>
    <row r="283" spans="11:42" x14ac:dyDescent="0.25">
      <c r="K283" s="113"/>
      <c r="M283" s="113"/>
      <c r="O283" s="113"/>
      <c r="Q283" s="113"/>
      <c r="S283" s="113"/>
      <c r="U283" s="113"/>
      <c r="W283" s="113"/>
      <c r="Y283" s="113"/>
      <c r="AA283" s="113"/>
      <c r="AC283" s="113"/>
      <c r="AE283" s="113"/>
      <c r="AG283" s="113"/>
      <c r="AI283" s="113"/>
      <c r="AJ283" s="113"/>
      <c r="AL283" s="113"/>
      <c r="AP283" s="113"/>
    </row>
    <row r="284" spans="11:42" x14ac:dyDescent="0.25">
      <c r="K284" s="113"/>
      <c r="M284" s="113"/>
      <c r="O284" s="113"/>
      <c r="Q284" s="113"/>
      <c r="S284" s="113"/>
      <c r="U284" s="113"/>
      <c r="W284" s="113"/>
      <c r="Y284" s="113"/>
      <c r="AA284" s="113"/>
      <c r="AC284" s="113"/>
      <c r="AE284" s="113"/>
      <c r="AG284" s="113"/>
      <c r="AI284" s="113"/>
      <c r="AJ284" s="113"/>
      <c r="AL284" s="113"/>
      <c r="AP284" s="113"/>
    </row>
    <row r="285" spans="11:42" x14ac:dyDescent="0.25">
      <c r="K285" s="113"/>
      <c r="M285" s="113"/>
      <c r="O285" s="113"/>
      <c r="Q285" s="113"/>
      <c r="S285" s="113"/>
      <c r="U285" s="113"/>
      <c r="W285" s="113"/>
      <c r="Y285" s="113"/>
      <c r="AA285" s="113"/>
      <c r="AC285" s="113"/>
      <c r="AE285" s="113"/>
      <c r="AG285" s="113"/>
      <c r="AI285" s="113"/>
      <c r="AJ285" s="113"/>
      <c r="AL285" s="113"/>
      <c r="AP285" s="113"/>
    </row>
    <row r="286" spans="11:42" x14ac:dyDescent="0.25">
      <c r="K286" s="113"/>
      <c r="M286" s="113"/>
      <c r="O286" s="113"/>
      <c r="Q286" s="113"/>
      <c r="S286" s="113"/>
      <c r="U286" s="113"/>
      <c r="W286" s="113"/>
      <c r="Y286" s="113"/>
      <c r="AA286" s="113"/>
      <c r="AC286" s="113"/>
      <c r="AE286" s="113"/>
      <c r="AG286" s="113"/>
      <c r="AI286" s="113"/>
      <c r="AJ286" s="113"/>
      <c r="AL286" s="113"/>
      <c r="AP286" s="113"/>
    </row>
    <row r="287" spans="11:42" x14ac:dyDescent="0.25">
      <c r="K287" s="113"/>
      <c r="M287" s="113"/>
      <c r="O287" s="113"/>
      <c r="Q287" s="113"/>
      <c r="S287" s="113"/>
      <c r="U287" s="113"/>
      <c r="W287" s="113"/>
      <c r="Y287" s="113"/>
      <c r="AA287" s="113"/>
      <c r="AC287" s="113"/>
      <c r="AE287" s="113"/>
      <c r="AG287" s="113"/>
      <c r="AI287" s="113"/>
      <c r="AJ287" s="113"/>
      <c r="AL287" s="113"/>
      <c r="AP287" s="113"/>
    </row>
    <row r="288" spans="11:42" x14ac:dyDescent="0.25">
      <c r="K288" s="113"/>
      <c r="M288" s="113"/>
      <c r="O288" s="113"/>
      <c r="Q288" s="113"/>
      <c r="S288" s="113"/>
      <c r="U288" s="113"/>
      <c r="W288" s="113"/>
      <c r="Y288" s="113"/>
      <c r="AA288" s="113"/>
      <c r="AC288" s="113"/>
      <c r="AE288" s="113"/>
      <c r="AG288" s="113"/>
      <c r="AI288" s="113"/>
      <c r="AJ288" s="113"/>
      <c r="AL288" s="113"/>
      <c r="AP288" s="113"/>
    </row>
    <row r="289" spans="11:42" x14ac:dyDescent="0.25">
      <c r="K289" s="113"/>
      <c r="M289" s="113"/>
      <c r="O289" s="113"/>
      <c r="Q289" s="113"/>
      <c r="S289" s="113"/>
      <c r="U289" s="113"/>
      <c r="W289" s="113"/>
      <c r="Y289" s="113"/>
      <c r="AA289" s="113"/>
      <c r="AC289" s="113"/>
      <c r="AE289" s="113"/>
      <c r="AG289" s="113"/>
      <c r="AI289" s="113"/>
      <c r="AJ289" s="113"/>
      <c r="AL289" s="113"/>
      <c r="AP289" s="113"/>
    </row>
    <row r="290" spans="11:42" x14ac:dyDescent="0.25">
      <c r="K290" s="113"/>
      <c r="M290" s="113"/>
      <c r="O290" s="113"/>
      <c r="Q290" s="113"/>
      <c r="S290" s="113"/>
      <c r="U290" s="113"/>
      <c r="W290" s="113"/>
      <c r="Y290" s="113"/>
      <c r="AA290" s="113"/>
      <c r="AC290" s="113"/>
      <c r="AE290" s="113"/>
      <c r="AG290" s="113"/>
      <c r="AI290" s="113"/>
      <c r="AJ290" s="113"/>
      <c r="AL290" s="113"/>
      <c r="AP290" s="113"/>
    </row>
    <row r="291" spans="11:42" x14ac:dyDescent="0.25">
      <c r="K291" s="113"/>
      <c r="M291" s="113"/>
      <c r="O291" s="113"/>
      <c r="Q291" s="113"/>
      <c r="S291" s="113"/>
      <c r="U291" s="113"/>
      <c r="W291" s="113"/>
      <c r="Y291" s="113"/>
      <c r="AA291" s="113"/>
      <c r="AC291" s="113"/>
      <c r="AE291" s="113"/>
      <c r="AG291" s="113"/>
      <c r="AI291" s="113"/>
      <c r="AJ291" s="113"/>
      <c r="AL291" s="113"/>
      <c r="AP291" s="113"/>
    </row>
    <row r="292" spans="11:42" x14ac:dyDescent="0.25">
      <c r="K292" s="113"/>
      <c r="M292" s="113"/>
      <c r="O292" s="113"/>
      <c r="Q292" s="113"/>
      <c r="S292" s="113"/>
      <c r="U292" s="113"/>
      <c r="W292" s="113"/>
      <c r="Y292" s="113"/>
      <c r="AA292" s="113"/>
      <c r="AC292" s="113"/>
      <c r="AE292" s="113"/>
      <c r="AG292" s="113"/>
      <c r="AI292" s="113"/>
      <c r="AJ292" s="113"/>
      <c r="AL292" s="113"/>
      <c r="AP292" s="113"/>
    </row>
    <row r="293" spans="11:42" x14ac:dyDescent="0.25">
      <c r="K293" s="113"/>
      <c r="M293" s="113"/>
      <c r="O293" s="113"/>
      <c r="Q293" s="113"/>
      <c r="S293" s="113"/>
      <c r="U293" s="113"/>
      <c r="W293" s="113"/>
      <c r="Y293" s="113"/>
      <c r="AA293" s="113"/>
      <c r="AC293" s="113"/>
      <c r="AE293" s="113"/>
      <c r="AG293" s="113"/>
      <c r="AI293" s="113"/>
      <c r="AJ293" s="113"/>
      <c r="AL293" s="113"/>
      <c r="AP293" s="113"/>
    </row>
    <row r="294" spans="11:42" x14ac:dyDescent="0.25">
      <c r="K294" s="113"/>
      <c r="M294" s="113"/>
      <c r="O294" s="113"/>
      <c r="Q294" s="113"/>
      <c r="S294" s="113"/>
      <c r="U294" s="113"/>
      <c r="W294" s="113"/>
      <c r="Y294" s="113"/>
      <c r="AA294" s="113"/>
      <c r="AC294" s="113"/>
      <c r="AE294" s="113"/>
      <c r="AG294" s="113"/>
      <c r="AI294" s="113"/>
      <c r="AJ294" s="113"/>
      <c r="AL294" s="113"/>
      <c r="AP294" s="113"/>
    </row>
    <row r="295" spans="11:42" x14ac:dyDescent="0.25">
      <c r="K295" s="113"/>
      <c r="M295" s="113"/>
      <c r="O295" s="113"/>
      <c r="Q295" s="113"/>
      <c r="S295" s="113"/>
      <c r="U295" s="113"/>
      <c r="W295" s="113"/>
      <c r="Y295" s="113"/>
      <c r="AA295" s="113"/>
      <c r="AC295" s="113"/>
      <c r="AE295" s="113"/>
      <c r="AG295" s="113"/>
      <c r="AI295" s="113"/>
      <c r="AJ295" s="113"/>
      <c r="AL295" s="113"/>
      <c r="AP295" s="113"/>
    </row>
    <row r="296" spans="11:42" x14ac:dyDescent="0.25">
      <c r="K296" s="113"/>
      <c r="M296" s="113"/>
      <c r="O296" s="113"/>
      <c r="Q296" s="113"/>
      <c r="S296" s="113"/>
      <c r="U296" s="113"/>
      <c r="W296" s="113"/>
      <c r="Y296" s="113"/>
      <c r="AA296" s="113"/>
      <c r="AC296" s="113"/>
      <c r="AE296" s="113"/>
      <c r="AG296" s="113"/>
      <c r="AI296" s="113"/>
      <c r="AJ296" s="113"/>
      <c r="AL296" s="113"/>
      <c r="AP296" s="113"/>
    </row>
    <row r="297" spans="11:42" x14ac:dyDescent="0.25">
      <c r="K297" s="113"/>
      <c r="M297" s="113"/>
      <c r="O297" s="113"/>
      <c r="Q297" s="113"/>
      <c r="S297" s="113"/>
      <c r="U297" s="113"/>
      <c r="W297" s="113"/>
      <c r="Y297" s="113"/>
      <c r="AA297" s="113"/>
      <c r="AC297" s="113"/>
      <c r="AE297" s="113"/>
      <c r="AG297" s="113"/>
      <c r="AI297" s="113"/>
      <c r="AJ297" s="113"/>
      <c r="AL297" s="113"/>
      <c r="AP297" s="113"/>
    </row>
    <row r="298" spans="11:42" x14ac:dyDescent="0.25">
      <c r="K298" s="113"/>
      <c r="M298" s="113"/>
      <c r="O298" s="113"/>
      <c r="Q298" s="113"/>
      <c r="S298" s="113"/>
      <c r="U298" s="113"/>
      <c r="W298" s="113"/>
      <c r="Y298" s="113"/>
      <c r="AA298" s="113"/>
      <c r="AC298" s="113"/>
      <c r="AE298" s="113"/>
      <c r="AG298" s="113"/>
      <c r="AI298" s="113"/>
      <c r="AJ298" s="113"/>
      <c r="AL298" s="113"/>
      <c r="AP298" s="113"/>
    </row>
    <row r="299" spans="11:42" x14ac:dyDescent="0.25">
      <c r="K299" s="113"/>
      <c r="M299" s="113"/>
      <c r="O299" s="113"/>
      <c r="Q299" s="113"/>
      <c r="S299" s="113"/>
      <c r="U299" s="113"/>
      <c r="W299" s="113"/>
      <c r="Y299" s="113"/>
      <c r="AA299" s="113"/>
      <c r="AC299" s="113"/>
      <c r="AE299" s="113"/>
      <c r="AG299" s="113"/>
      <c r="AI299" s="113"/>
      <c r="AJ299" s="113"/>
      <c r="AL299" s="113"/>
      <c r="AP299" s="113"/>
    </row>
    <row r="300" spans="11:42" x14ac:dyDescent="0.25">
      <c r="K300" s="113"/>
      <c r="M300" s="113"/>
      <c r="O300" s="113"/>
      <c r="Q300" s="113"/>
      <c r="S300" s="113"/>
      <c r="U300" s="113"/>
      <c r="W300" s="113"/>
      <c r="Y300" s="113"/>
      <c r="AA300" s="113"/>
      <c r="AC300" s="113"/>
      <c r="AE300" s="113"/>
      <c r="AG300" s="113"/>
      <c r="AI300" s="113"/>
      <c r="AJ300" s="113"/>
      <c r="AL300" s="113"/>
      <c r="AP300" s="113"/>
    </row>
    <row r="301" spans="11:42" x14ac:dyDescent="0.25">
      <c r="K301" s="113"/>
      <c r="M301" s="113"/>
      <c r="O301" s="113"/>
      <c r="Q301" s="113"/>
      <c r="S301" s="113"/>
      <c r="U301" s="113"/>
      <c r="W301" s="113"/>
      <c r="Y301" s="113"/>
      <c r="AA301" s="113"/>
      <c r="AC301" s="113"/>
      <c r="AE301" s="113"/>
      <c r="AG301" s="113"/>
      <c r="AI301" s="113"/>
      <c r="AJ301" s="113"/>
      <c r="AL301" s="113"/>
      <c r="AP301" s="113"/>
    </row>
    <row r="302" spans="11:42" x14ac:dyDescent="0.25">
      <c r="K302" s="113"/>
      <c r="M302" s="113"/>
      <c r="O302" s="113"/>
      <c r="Q302" s="113"/>
      <c r="S302" s="113"/>
      <c r="U302" s="113"/>
      <c r="W302" s="113"/>
      <c r="Y302" s="113"/>
      <c r="AA302" s="113"/>
      <c r="AC302" s="113"/>
      <c r="AE302" s="113"/>
      <c r="AG302" s="113"/>
      <c r="AI302" s="113"/>
      <c r="AJ302" s="113"/>
      <c r="AL302" s="113"/>
      <c r="AP302" s="113"/>
    </row>
    <row r="303" spans="11:42" x14ac:dyDescent="0.25">
      <c r="K303" s="113"/>
      <c r="M303" s="113"/>
      <c r="O303" s="113"/>
      <c r="Q303" s="113"/>
      <c r="S303" s="113"/>
      <c r="U303" s="113"/>
      <c r="W303" s="113"/>
      <c r="Y303" s="113"/>
      <c r="AA303" s="113"/>
      <c r="AC303" s="113"/>
      <c r="AE303" s="113"/>
      <c r="AG303" s="113"/>
      <c r="AI303" s="113"/>
      <c r="AJ303" s="113"/>
      <c r="AL303" s="113"/>
      <c r="AP303" s="113"/>
    </row>
    <row r="304" spans="11:42" x14ac:dyDescent="0.25">
      <c r="K304" s="113"/>
      <c r="M304" s="113"/>
      <c r="O304" s="113"/>
      <c r="Q304" s="113"/>
      <c r="S304" s="113"/>
      <c r="U304" s="113"/>
      <c r="W304" s="113"/>
      <c r="Y304" s="113"/>
      <c r="AA304" s="113"/>
      <c r="AC304" s="113"/>
      <c r="AE304" s="113"/>
      <c r="AG304" s="113"/>
      <c r="AI304" s="113"/>
      <c r="AJ304" s="113"/>
      <c r="AL304" s="113"/>
      <c r="AP304" s="113"/>
    </row>
    <row r="305" spans="11:42" x14ac:dyDescent="0.25">
      <c r="K305" s="113"/>
      <c r="M305" s="113"/>
      <c r="O305" s="113"/>
      <c r="Q305" s="113"/>
      <c r="S305" s="113"/>
      <c r="U305" s="113"/>
      <c r="W305" s="113"/>
      <c r="Y305" s="113"/>
      <c r="AA305" s="113"/>
      <c r="AC305" s="113"/>
      <c r="AE305" s="113"/>
      <c r="AG305" s="113"/>
      <c r="AI305" s="113"/>
      <c r="AJ305" s="113"/>
      <c r="AL305" s="113"/>
      <c r="AP305" s="113"/>
    </row>
    <row r="306" spans="11:42" x14ac:dyDescent="0.25">
      <c r="K306" s="113"/>
      <c r="M306" s="113"/>
      <c r="O306" s="113"/>
      <c r="Q306" s="113"/>
      <c r="S306" s="113"/>
      <c r="U306" s="113"/>
      <c r="W306" s="113"/>
      <c r="Y306" s="113"/>
      <c r="AA306" s="113"/>
      <c r="AC306" s="113"/>
      <c r="AE306" s="113"/>
      <c r="AG306" s="113"/>
      <c r="AI306" s="113"/>
      <c r="AJ306" s="113"/>
      <c r="AL306" s="113"/>
      <c r="AP306" s="113"/>
    </row>
    <row r="307" spans="11:42" x14ac:dyDescent="0.25">
      <c r="K307" s="113"/>
      <c r="M307" s="113"/>
      <c r="O307" s="113"/>
      <c r="Q307" s="113"/>
      <c r="S307" s="113"/>
      <c r="U307" s="113"/>
      <c r="W307" s="113"/>
      <c r="Y307" s="113"/>
      <c r="AA307" s="113"/>
      <c r="AC307" s="113"/>
      <c r="AE307" s="113"/>
      <c r="AG307" s="113"/>
      <c r="AI307" s="113"/>
      <c r="AJ307" s="113"/>
      <c r="AL307" s="113"/>
      <c r="AP307" s="113"/>
    </row>
    <row r="308" spans="11:42" x14ac:dyDescent="0.25">
      <c r="K308" s="113"/>
      <c r="M308" s="113"/>
      <c r="O308" s="113"/>
      <c r="Q308" s="113"/>
      <c r="S308" s="113"/>
      <c r="U308" s="113"/>
      <c r="W308" s="113"/>
      <c r="Y308" s="113"/>
      <c r="AA308" s="113"/>
      <c r="AC308" s="113"/>
      <c r="AE308" s="113"/>
      <c r="AG308" s="113"/>
      <c r="AI308" s="113"/>
      <c r="AJ308" s="113"/>
      <c r="AL308" s="113"/>
      <c r="AP308" s="113"/>
    </row>
    <row r="309" spans="11:42" x14ac:dyDescent="0.25">
      <c r="K309" s="113"/>
      <c r="M309" s="113"/>
      <c r="O309" s="113"/>
      <c r="Q309" s="113"/>
      <c r="S309" s="113"/>
      <c r="U309" s="113"/>
      <c r="W309" s="113"/>
      <c r="Y309" s="113"/>
      <c r="AA309" s="113"/>
      <c r="AC309" s="113"/>
      <c r="AE309" s="113"/>
      <c r="AG309" s="113"/>
      <c r="AI309" s="113"/>
      <c r="AJ309" s="113"/>
      <c r="AL309" s="113"/>
      <c r="AP309" s="113"/>
    </row>
    <row r="310" spans="11:42" x14ac:dyDescent="0.25">
      <c r="K310" s="113"/>
      <c r="M310" s="113"/>
      <c r="O310" s="113"/>
      <c r="Q310" s="113"/>
      <c r="S310" s="113"/>
      <c r="U310" s="113"/>
      <c r="W310" s="113"/>
      <c r="Y310" s="113"/>
      <c r="AA310" s="113"/>
      <c r="AC310" s="113"/>
      <c r="AE310" s="113"/>
      <c r="AG310" s="113"/>
      <c r="AI310" s="113"/>
      <c r="AJ310" s="113"/>
      <c r="AL310" s="113"/>
      <c r="AP310" s="113"/>
    </row>
    <row r="311" spans="11:42" x14ac:dyDescent="0.25">
      <c r="K311" s="113"/>
      <c r="M311" s="113"/>
      <c r="O311" s="113"/>
      <c r="Q311" s="113"/>
      <c r="S311" s="113"/>
      <c r="U311" s="113"/>
      <c r="W311" s="113"/>
      <c r="Y311" s="113"/>
      <c r="AA311" s="113"/>
      <c r="AC311" s="113"/>
      <c r="AE311" s="113"/>
      <c r="AG311" s="113"/>
      <c r="AI311" s="113"/>
      <c r="AJ311" s="113"/>
      <c r="AL311" s="113"/>
      <c r="AP311" s="113"/>
    </row>
    <row r="312" spans="11:42" x14ac:dyDescent="0.25">
      <c r="K312" s="113"/>
      <c r="M312" s="113"/>
      <c r="O312" s="113"/>
      <c r="Q312" s="113"/>
      <c r="S312" s="113"/>
      <c r="U312" s="113"/>
      <c r="W312" s="113"/>
      <c r="Y312" s="113"/>
      <c r="AA312" s="113"/>
      <c r="AC312" s="113"/>
      <c r="AE312" s="113"/>
      <c r="AG312" s="113"/>
      <c r="AI312" s="113"/>
      <c r="AJ312" s="113"/>
      <c r="AL312" s="113"/>
      <c r="AP312" s="113"/>
    </row>
    <row r="313" spans="11:42" x14ac:dyDescent="0.25">
      <c r="K313" s="113"/>
      <c r="M313" s="113"/>
      <c r="O313" s="113"/>
      <c r="Q313" s="113"/>
      <c r="S313" s="113"/>
      <c r="U313" s="113"/>
      <c r="W313" s="113"/>
      <c r="Y313" s="113"/>
      <c r="AA313" s="113"/>
      <c r="AC313" s="113"/>
      <c r="AE313" s="113"/>
      <c r="AG313" s="113"/>
      <c r="AI313" s="113"/>
      <c r="AJ313" s="113"/>
      <c r="AL313" s="113"/>
      <c r="AP313" s="113"/>
    </row>
    <row r="314" spans="11:42" x14ac:dyDescent="0.25">
      <c r="K314" s="113"/>
      <c r="M314" s="113"/>
      <c r="O314" s="113"/>
      <c r="Q314" s="113"/>
      <c r="S314" s="113"/>
      <c r="U314" s="113"/>
      <c r="W314" s="113"/>
      <c r="Y314" s="113"/>
      <c r="AA314" s="113"/>
      <c r="AC314" s="113"/>
      <c r="AE314" s="113"/>
      <c r="AG314" s="113"/>
      <c r="AI314" s="113"/>
      <c r="AJ314" s="113"/>
      <c r="AL314" s="113"/>
      <c r="AP314" s="113"/>
    </row>
    <row r="315" spans="11:42" x14ac:dyDescent="0.25">
      <c r="K315" s="113"/>
      <c r="M315" s="113"/>
      <c r="O315" s="113"/>
      <c r="Q315" s="113"/>
      <c r="S315" s="113"/>
      <c r="U315" s="113"/>
      <c r="W315" s="113"/>
      <c r="Y315" s="113"/>
      <c r="AA315" s="113"/>
      <c r="AC315" s="113"/>
      <c r="AE315" s="113"/>
      <c r="AG315" s="113"/>
      <c r="AI315" s="113"/>
      <c r="AJ315" s="113"/>
      <c r="AL315" s="113"/>
      <c r="AP315" s="113"/>
    </row>
    <row r="316" spans="11:42" x14ac:dyDescent="0.25">
      <c r="K316" s="113"/>
      <c r="M316" s="113"/>
      <c r="O316" s="113"/>
      <c r="Q316" s="113"/>
      <c r="S316" s="113"/>
      <c r="U316" s="113"/>
      <c r="W316" s="113"/>
      <c r="Y316" s="113"/>
      <c r="AA316" s="113"/>
      <c r="AC316" s="113"/>
      <c r="AE316" s="113"/>
      <c r="AG316" s="113"/>
      <c r="AI316" s="113"/>
      <c r="AJ316" s="113"/>
      <c r="AL316" s="113"/>
      <c r="AP316" s="113"/>
    </row>
    <row r="317" spans="11:42" x14ac:dyDescent="0.25">
      <c r="K317" s="113"/>
      <c r="M317" s="113"/>
      <c r="O317" s="113"/>
      <c r="Q317" s="113"/>
      <c r="S317" s="113"/>
      <c r="U317" s="113"/>
      <c r="W317" s="113"/>
      <c r="Y317" s="113"/>
      <c r="AA317" s="113"/>
      <c r="AC317" s="113"/>
      <c r="AE317" s="113"/>
      <c r="AG317" s="113"/>
      <c r="AI317" s="113"/>
      <c r="AJ317" s="113"/>
      <c r="AL317" s="113"/>
      <c r="AP317" s="113"/>
    </row>
    <row r="318" spans="11:42" x14ac:dyDescent="0.25">
      <c r="K318" s="113"/>
      <c r="M318" s="113"/>
      <c r="O318" s="113"/>
      <c r="Q318" s="113"/>
      <c r="S318" s="113"/>
      <c r="U318" s="113"/>
      <c r="W318" s="113"/>
      <c r="Y318" s="113"/>
      <c r="AA318" s="113"/>
      <c r="AC318" s="113"/>
      <c r="AE318" s="113"/>
      <c r="AG318" s="113"/>
      <c r="AI318" s="113"/>
      <c r="AJ318" s="113"/>
      <c r="AL318" s="113"/>
      <c r="AP318" s="113"/>
    </row>
    <row r="319" spans="11:42" x14ac:dyDescent="0.25">
      <c r="K319" s="113"/>
      <c r="M319" s="113"/>
      <c r="O319" s="113"/>
      <c r="Q319" s="113"/>
      <c r="S319" s="113"/>
      <c r="U319" s="113"/>
      <c r="W319" s="113"/>
      <c r="Y319" s="113"/>
      <c r="AA319" s="113"/>
      <c r="AC319" s="113"/>
      <c r="AE319" s="113"/>
      <c r="AG319" s="113"/>
      <c r="AI319" s="113"/>
      <c r="AJ319" s="113"/>
      <c r="AL319" s="113"/>
      <c r="AP319" s="113"/>
    </row>
    <row r="320" spans="11:42" x14ac:dyDescent="0.25">
      <c r="K320" s="113"/>
      <c r="M320" s="113"/>
      <c r="O320" s="113"/>
      <c r="Q320" s="113"/>
      <c r="S320" s="113"/>
      <c r="U320" s="113"/>
      <c r="W320" s="113"/>
      <c r="Y320" s="113"/>
      <c r="AA320" s="113"/>
      <c r="AC320" s="113"/>
      <c r="AE320" s="113"/>
      <c r="AG320" s="113"/>
      <c r="AI320" s="113"/>
      <c r="AJ320" s="113"/>
      <c r="AL320" s="113"/>
      <c r="AP320" s="113"/>
    </row>
    <row r="321" spans="11:42" x14ac:dyDescent="0.25">
      <c r="K321" s="113"/>
      <c r="M321" s="113"/>
      <c r="O321" s="113"/>
      <c r="Q321" s="113"/>
      <c r="S321" s="113"/>
      <c r="U321" s="113"/>
      <c r="W321" s="113"/>
      <c r="Y321" s="113"/>
      <c r="AA321" s="113"/>
      <c r="AC321" s="113"/>
      <c r="AE321" s="113"/>
      <c r="AG321" s="113"/>
      <c r="AI321" s="113"/>
      <c r="AJ321" s="113"/>
      <c r="AL321" s="113"/>
      <c r="AP321" s="113"/>
    </row>
    <row r="322" spans="11:42" x14ac:dyDescent="0.25">
      <c r="K322" s="113"/>
      <c r="M322" s="113"/>
      <c r="O322" s="113"/>
      <c r="Q322" s="113"/>
      <c r="S322" s="113"/>
      <c r="U322" s="113"/>
      <c r="W322" s="113"/>
      <c r="Y322" s="113"/>
      <c r="AA322" s="113"/>
      <c r="AC322" s="113"/>
      <c r="AE322" s="113"/>
      <c r="AG322" s="113"/>
      <c r="AI322" s="113"/>
      <c r="AJ322" s="113"/>
      <c r="AL322" s="113"/>
      <c r="AP322" s="113"/>
    </row>
    <row r="323" spans="11:42" x14ac:dyDescent="0.25">
      <c r="K323" s="113"/>
      <c r="M323" s="113"/>
      <c r="O323" s="113"/>
      <c r="Q323" s="113"/>
      <c r="S323" s="113"/>
      <c r="U323" s="113"/>
      <c r="W323" s="113"/>
      <c r="Y323" s="113"/>
      <c r="AA323" s="113"/>
      <c r="AC323" s="113"/>
      <c r="AE323" s="113"/>
      <c r="AG323" s="113"/>
      <c r="AI323" s="113"/>
      <c r="AJ323" s="113"/>
      <c r="AL323" s="113"/>
      <c r="AP323" s="113"/>
    </row>
    <row r="324" spans="11:42" x14ac:dyDescent="0.25">
      <c r="K324" s="113"/>
      <c r="M324" s="113"/>
      <c r="O324" s="113"/>
      <c r="Q324" s="113"/>
      <c r="S324" s="113"/>
      <c r="U324" s="113"/>
      <c r="W324" s="113"/>
      <c r="Y324" s="113"/>
      <c r="AA324" s="113"/>
      <c r="AC324" s="113"/>
      <c r="AE324" s="113"/>
      <c r="AG324" s="113"/>
      <c r="AI324" s="113"/>
      <c r="AJ324" s="113"/>
      <c r="AL324" s="113"/>
      <c r="AP324" s="113"/>
    </row>
    <row r="325" spans="11:42" x14ac:dyDescent="0.25">
      <c r="K325" s="113"/>
      <c r="M325" s="113"/>
      <c r="O325" s="113"/>
      <c r="Q325" s="113"/>
      <c r="S325" s="113"/>
      <c r="U325" s="113"/>
      <c r="W325" s="113"/>
      <c r="Y325" s="113"/>
      <c r="AA325" s="113"/>
      <c r="AC325" s="113"/>
      <c r="AE325" s="113"/>
      <c r="AG325" s="113"/>
      <c r="AI325" s="113"/>
      <c r="AJ325" s="113"/>
      <c r="AL325" s="113"/>
      <c r="AP325" s="113"/>
    </row>
    <row r="326" spans="11:42" x14ac:dyDescent="0.25">
      <c r="K326" s="113"/>
      <c r="M326" s="113"/>
      <c r="O326" s="113"/>
      <c r="Q326" s="113"/>
      <c r="S326" s="113"/>
      <c r="U326" s="113"/>
      <c r="W326" s="113"/>
      <c r="Y326" s="113"/>
      <c r="AA326" s="113"/>
      <c r="AC326" s="113"/>
      <c r="AE326" s="113"/>
      <c r="AG326" s="113"/>
      <c r="AI326" s="113"/>
      <c r="AJ326" s="113"/>
      <c r="AL326" s="113"/>
      <c r="AP326" s="113"/>
    </row>
    <row r="327" spans="11:42" x14ac:dyDescent="0.25">
      <c r="K327" s="113"/>
      <c r="M327" s="113"/>
      <c r="O327" s="113"/>
      <c r="Q327" s="113"/>
      <c r="S327" s="113"/>
      <c r="U327" s="113"/>
      <c r="W327" s="113"/>
      <c r="Y327" s="113"/>
      <c r="AA327" s="113"/>
      <c r="AC327" s="113"/>
      <c r="AE327" s="113"/>
      <c r="AG327" s="113"/>
      <c r="AI327" s="113"/>
      <c r="AJ327" s="113"/>
      <c r="AL327" s="113"/>
      <c r="AP327" s="113"/>
    </row>
    <row r="328" spans="11:42" x14ac:dyDescent="0.25">
      <c r="K328" s="113"/>
      <c r="M328" s="113"/>
      <c r="O328" s="113"/>
      <c r="Q328" s="113"/>
      <c r="S328" s="113"/>
      <c r="U328" s="113"/>
      <c r="W328" s="113"/>
      <c r="Y328" s="113"/>
      <c r="AA328" s="113"/>
      <c r="AC328" s="113"/>
      <c r="AE328" s="113"/>
      <c r="AG328" s="113"/>
      <c r="AI328" s="113"/>
      <c r="AJ328" s="113"/>
      <c r="AL328" s="113"/>
      <c r="AP328" s="113"/>
    </row>
    <row r="329" spans="11:42" x14ac:dyDescent="0.25">
      <c r="K329" s="113"/>
      <c r="M329" s="113"/>
      <c r="O329" s="113"/>
      <c r="Q329" s="113"/>
      <c r="S329" s="113"/>
      <c r="U329" s="113"/>
      <c r="W329" s="113"/>
      <c r="Y329" s="113"/>
      <c r="AA329" s="113"/>
      <c r="AC329" s="113"/>
      <c r="AE329" s="113"/>
      <c r="AG329" s="113"/>
      <c r="AI329" s="113"/>
      <c r="AJ329" s="113"/>
      <c r="AL329" s="113"/>
      <c r="AP329" s="113"/>
    </row>
    <row r="330" spans="11:42" x14ac:dyDescent="0.25">
      <c r="K330" s="113"/>
      <c r="M330" s="113"/>
      <c r="O330" s="113"/>
      <c r="Q330" s="113"/>
      <c r="S330" s="113"/>
      <c r="U330" s="113"/>
      <c r="W330" s="113"/>
      <c r="Y330" s="113"/>
      <c r="AA330" s="113"/>
      <c r="AC330" s="113"/>
      <c r="AE330" s="113"/>
      <c r="AG330" s="113"/>
      <c r="AI330" s="113"/>
      <c r="AJ330" s="113"/>
      <c r="AL330" s="113"/>
      <c r="AP330" s="113"/>
    </row>
    <row r="331" spans="11:42" x14ac:dyDescent="0.25">
      <c r="K331" s="113"/>
      <c r="M331" s="113"/>
      <c r="O331" s="113"/>
      <c r="Q331" s="113"/>
      <c r="S331" s="113"/>
      <c r="U331" s="113"/>
      <c r="W331" s="113"/>
      <c r="Y331" s="113"/>
      <c r="AA331" s="113"/>
      <c r="AC331" s="113"/>
      <c r="AE331" s="113"/>
      <c r="AG331" s="113"/>
      <c r="AI331" s="113"/>
      <c r="AJ331" s="113"/>
      <c r="AL331" s="113"/>
      <c r="AP331" s="113"/>
    </row>
    <row r="332" spans="11:42" x14ac:dyDescent="0.25">
      <c r="K332" s="113"/>
      <c r="M332" s="113"/>
      <c r="O332" s="113"/>
      <c r="Q332" s="113"/>
      <c r="S332" s="113"/>
      <c r="U332" s="113"/>
      <c r="W332" s="113"/>
      <c r="Y332" s="113"/>
      <c r="AA332" s="113"/>
      <c r="AC332" s="113"/>
      <c r="AE332" s="113"/>
      <c r="AG332" s="113"/>
      <c r="AI332" s="113"/>
      <c r="AJ332" s="113"/>
      <c r="AL332" s="113"/>
      <c r="AP332" s="113"/>
    </row>
    <row r="333" spans="11:42" x14ac:dyDescent="0.25">
      <c r="K333" s="113"/>
      <c r="M333" s="113"/>
      <c r="O333" s="113"/>
      <c r="Q333" s="113"/>
      <c r="S333" s="113"/>
      <c r="U333" s="113"/>
      <c r="W333" s="113"/>
      <c r="Y333" s="113"/>
      <c r="AA333" s="113"/>
      <c r="AC333" s="113"/>
      <c r="AE333" s="113"/>
      <c r="AG333" s="113"/>
      <c r="AI333" s="113"/>
      <c r="AJ333" s="113"/>
      <c r="AL333" s="113"/>
      <c r="AP333" s="113"/>
    </row>
    <row r="334" spans="11:42" x14ac:dyDescent="0.25">
      <c r="K334" s="113"/>
      <c r="M334" s="113"/>
      <c r="O334" s="113"/>
      <c r="Q334" s="113"/>
      <c r="S334" s="113"/>
      <c r="U334" s="113"/>
      <c r="W334" s="113"/>
      <c r="Y334" s="113"/>
      <c r="AA334" s="113"/>
      <c r="AC334" s="113"/>
      <c r="AE334" s="113"/>
      <c r="AG334" s="113"/>
      <c r="AI334" s="113"/>
      <c r="AJ334" s="113"/>
      <c r="AL334" s="113"/>
      <c r="AP334" s="113"/>
    </row>
    <row r="335" spans="11:42" x14ac:dyDescent="0.25">
      <c r="K335" s="113"/>
      <c r="M335" s="113"/>
      <c r="O335" s="113"/>
      <c r="Q335" s="113"/>
      <c r="S335" s="113"/>
      <c r="U335" s="113"/>
      <c r="W335" s="113"/>
      <c r="Y335" s="113"/>
      <c r="AA335" s="113"/>
      <c r="AC335" s="113"/>
      <c r="AE335" s="113"/>
      <c r="AG335" s="113"/>
      <c r="AI335" s="113"/>
      <c r="AJ335" s="113"/>
      <c r="AL335" s="113"/>
      <c r="AP335" s="113"/>
    </row>
    <row r="336" spans="11:42" x14ac:dyDescent="0.25">
      <c r="K336" s="113"/>
      <c r="M336" s="113"/>
      <c r="O336" s="113"/>
      <c r="Q336" s="113"/>
      <c r="S336" s="113"/>
      <c r="U336" s="113"/>
      <c r="W336" s="113"/>
      <c r="Y336" s="113"/>
      <c r="AA336" s="113"/>
      <c r="AC336" s="113"/>
      <c r="AE336" s="113"/>
      <c r="AG336" s="113"/>
      <c r="AI336" s="113"/>
      <c r="AJ336" s="113"/>
      <c r="AL336" s="113"/>
      <c r="AP336" s="113"/>
    </row>
    <row r="337" spans="11:42" x14ac:dyDescent="0.25">
      <c r="K337" s="113"/>
      <c r="M337" s="113"/>
      <c r="O337" s="113"/>
      <c r="Q337" s="113"/>
      <c r="S337" s="113"/>
      <c r="U337" s="113"/>
      <c r="W337" s="113"/>
      <c r="Y337" s="113"/>
      <c r="AA337" s="113"/>
      <c r="AC337" s="113"/>
      <c r="AE337" s="113"/>
      <c r="AG337" s="113"/>
      <c r="AI337" s="113"/>
      <c r="AJ337" s="113"/>
      <c r="AL337" s="113"/>
      <c r="AP337" s="113"/>
    </row>
    <row r="338" spans="11:42" x14ac:dyDescent="0.25">
      <c r="K338" s="113"/>
      <c r="M338" s="113"/>
      <c r="O338" s="113"/>
      <c r="Q338" s="113"/>
      <c r="S338" s="113"/>
      <c r="U338" s="113"/>
      <c r="W338" s="113"/>
      <c r="Y338" s="113"/>
      <c r="AA338" s="113"/>
      <c r="AC338" s="113"/>
      <c r="AE338" s="113"/>
      <c r="AG338" s="113"/>
      <c r="AI338" s="113"/>
      <c r="AJ338" s="113"/>
      <c r="AL338" s="113"/>
      <c r="AP338" s="113"/>
    </row>
    <row r="339" spans="11:42" x14ac:dyDescent="0.25">
      <c r="K339" s="113"/>
      <c r="M339" s="113"/>
      <c r="O339" s="113"/>
      <c r="Q339" s="113"/>
      <c r="S339" s="113"/>
      <c r="U339" s="113"/>
      <c r="W339" s="113"/>
      <c r="Y339" s="113"/>
      <c r="AA339" s="113"/>
      <c r="AC339" s="113"/>
      <c r="AE339" s="113"/>
      <c r="AG339" s="113"/>
      <c r="AI339" s="113"/>
      <c r="AJ339" s="113"/>
      <c r="AL339" s="113"/>
      <c r="AP339" s="113"/>
    </row>
    <row r="340" spans="11:42" x14ac:dyDescent="0.25">
      <c r="K340" s="113"/>
      <c r="M340" s="113"/>
      <c r="O340" s="113"/>
      <c r="Q340" s="113"/>
      <c r="S340" s="113"/>
      <c r="U340" s="113"/>
      <c r="W340" s="113"/>
      <c r="Y340" s="113"/>
      <c r="AA340" s="113"/>
      <c r="AC340" s="113"/>
      <c r="AE340" s="113"/>
      <c r="AG340" s="113"/>
      <c r="AI340" s="113"/>
      <c r="AJ340" s="113"/>
      <c r="AL340" s="113"/>
      <c r="AP340" s="113"/>
    </row>
    <row r="341" spans="11:42" x14ac:dyDescent="0.25">
      <c r="K341" s="113"/>
      <c r="M341" s="113"/>
      <c r="O341" s="113"/>
      <c r="Q341" s="113"/>
      <c r="S341" s="113"/>
      <c r="U341" s="113"/>
      <c r="W341" s="113"/>
      <c r="Y341" s="113"/>
      <c r="AA341" s="113"/>
      <c r="AC341" s="113"/>
      <c r="AE341" s="113"/>
      <c r="AG341" s="113"/>
      <c r="AI341" s="113"/>
      <c r="AJ341" s="113"/>
      <c r="AL341" s="113"/>
      <c r="AP341" s="113"/>
    </row>
    <row r="342" spans="11:42" x14ac:dyDescent="0.25">
      <c r="K342" s="113"/>
      <c r="M342" s="113"/>
      <c r="O342" s="113"/>
      <c r="Q342" s="113"/>
      <c r="S342" s="113"/>
      <c r="U342" s="113"/>
      <c r="W342" s="113"/>
      <c r="Y342" s="113"/>
      <c r="AA342" s="113"/>
      <c r="AC342" s="113"/>
      <c r="AE342" s="113"/>
      <c r="AG342" s="113"/>
      <c r="AI342" s="113"/>
      <c r="AJ342" s="113"/>
      <c r="AL342" s="113"/>
      <c r="AP342" s="113"/>
    </row>
    <row r="343" spans="11:42" x14ac:dyDescent="0.25">
      <c r="K343" s="113"/>
      <c r="M343" s="113"/>
      <c r="O343" s="113"/>
      <c r="Q343" s="113"/>
      <c r="S343" s="113"/>
      <c r="U343" s="113"/>
      <c r="W343" s="113"/>
      <c r="Y343" s="113"/>
      <c r="AA343" s="113"/>
      <c r="AC343" s="113"/>
      <c r="AE343" s="113"/>
      <c r="AG343" s="113"/>
      <c r="AI343" s="113"/>
      <c r="AJ343" s="113"/>
      <c r="AL343" s="113"/>
      <c r="AP343" s="113"/>
    </row>
    <row r="344" spans="11:42" x14ac:dyDescent="0.25">
      <c r="K344" s="113"/>
      <c r="M344" s="113"/>
      <c r="O344" s="113"/>
      <c r="Q344" s="113"/>
      <c r="S344" s="113"/>
      <c r="U344" s="113"/>
      <c r="W344" s="113"/>
      <c r="Y344" s="113"/>
      <c r="AA344" s="113"/>
      <c r="AC344" s="113"/>
      <c r="AE344" s="113"/>
      <c r="AG344" s="113"/>
      <c r="AI344" s="113"/>
      <c r="AJ344" s="113"/>
      <c r="AL344" s="113"/>
      <c r="AP344" s="113"/>
    </row>
    <row r="345" spans="11:42" x14ac:dyDescent="0.25">
      <c r="K345" s="113"/>
      <c r="M345" s="113"/>
      <c r="O345" s="113"/>
      <c r="Q345" s="113"/>
      <c r="S345" s="113"/>
      <c r="U345" s="113"/>
      <c r="W345" s="113"/>
      <c r="Y345" s="113"/>
      <c r="AA345" s="113"/>
      <c r="AC345" s="113"/>
      <c r="AE345" s="113"/>
      <c r="AG345" s="113"/>
      <c r="AI345" s="113"/>
      <c r="AJ345" s="113"/>
      <c r="AL345" s="113"/>
      <c r="AP345" s="113"/>
    </row>
    <row r="346" spans="11:42" x14ac:dyDescent="0.25">
      <c r="K346" s="113"/>
      <c r="M346" s="113"/>
      <c r="O346" s="113"/>
      <c r="Q346" s="113"/>
      <c r="S346" s="113"/>
      <c r="U346" s="113"/>
      <c r="W346" s="113"/>
      <c r="Y346" s="113"/>
      <c r="AA346" s="113"/>
      <c r="AC346" s="113"/>
      <c r="AE346" s="113"/>
      <c r="AG346" s="113"/>
      <c r="AI346" s="113"/>
      <c r="AJ346" s="113"/>
      <c r="AL346" s="113"/>
      <c r="AP346" s="113"/>
    </row>
    <row r="347" spans="11:42" x14ac:dyDescent="0.25">
      <c r="K347" s="113"/>
      <c r="M347" s="113"/>
      <c r="O347" s="113"/>
      <c r="Q347" s="113"/>
      <c r="S347" s="113"/>
      <c r="U347" s="113"/>
      <c r="W347" s="113"/>
      <c r="Y347" s="113"/>
      <c r="AA347" s="113"/>
      <c r="AC347" s="113"/>
      <c r="AE347" s="113"/>
      <c r="AG347" s="113"/>
      <c r="AI347" s="113"/>
      <c r="AJ347" s="113"/>
      <c r="AL347" s="113"/>
      <c r="AP347" s="113"/>
    </row>
    <row r="348" spans="11:42" x14ac:dyDescent="0.25">
      <c r="K348" s="113"/>
      <c r="M348" s="113"/>
      <c r="O348" s="113"/>
      <c r="Q348" s="113"/>
      <c r="S348" s="113"/>
      <c r="U348" s="113"/>
      <c r="W348" s="113"/>
      <c r="Y348" s="113"/>
      <c r="AA348" s="113"/>
      <c r="AC348" s="113"/>
      <c r="AE348" s="113"/>
      <c r="AG348" s="113"/>
      <c r="AI348" s="113"/>
      <c r="AJ348" s="113"/>
      <c r="AL348" s="113"/>
      <c r="AP348" s="113"/>
    </row>
    <row r="349" spans="11:42" x14ac:dyDescent="0.25">
      <c r="K349" s="113"/>
      <c r="M349" s="113"/>
      <c r="O349" s="113"/>
      <c r="Q349" s="113"/>
      <c r="S349" s="113"/>
      <c r="U349" s="113"/>
      <c r="W349" s="113"/>
      <c r="Y349" s="113"/>
      <c r="AA349" s="113"/>
      <c r="AC349" s="113"/>
      <c r="AE349" s="113"/>
      <c r="AG349" s="113"/>
      <c r="AI349" s="113"/>
      <c r="AJ349" s="113"/>
      <c r="AL349" s="113"/>
      <c r="AP349" s="113"/>
    </row>
    <row r="350" spans="11:42" x14ac:dyDescent="0.25">
      <c r="K350" s="113"/>
      <c r="M350" s="113"/>
      <c r="O350" s="113"/>
      <c r="Q350" s="113"/>
      <c r="S350" s="113"/>
      <c r="U350" s="113"/>
      <c r="W350" s="113"/>
      <c r="Y350" s="113"/>
      <c r="AA350" s="113"/>
      <c r="AC350" s="113"/>
      <c r="AE350" s="113"/>
      <c r="AG350" s="113"/>
      <c r="AI350" s="113"/>
      <c r="AJ350" s="113"/>
      <c r="AL350" s="113"/>
      <c r="AP350" s="113"/>
    </row>
    <row r="351" spans="11:42" x14ac:dyDescent="0.25">
      <c r="K351" s="113"/>
      <c r="M351" s="113"/>
      <c r="O351" s="113"/>
      <c r="Q351" s="113"/>
      <c r="S351" s="113"/>
      <c r="U351" s="113"/>
      <c r="W351" s="113"/>
      <c r="Y351" s="113"/>
      <c r="AA351" s="113"/>
      <c r="AC351" s="113"/>
      <c r="AE351" s="113"/>
      <c r="AG351" s="113"/>
      <c r="AI351" s="113"/>
      <c r="AJ351" s="113"/>
      <c r="AL351" s="113"/>
      <c r="AP351" s="113"/>
    </row>
    <row r="352" spans="11:42" x14ac:dyDescent="0.25">
      <c r="K352" s="113"/>
      <c r="M352" s="113"/>
      <c r="O352" s="113"/>
      <c r="Q352" s="113"/>
      <c r="S352" s="113"/>
      <c r="U352" s="113"/>
      <c r="W352" s="113"/>
      <c r="Y352" s="113"/>
      <c r="AA352" s="113"/>
      <c r="AC352" s="113"/>
      <c r="AE352" s="113"/>
      <c r="AG352" s="113"/>
      <c r="AI352" s="113"/>
      <c r="AJ352" s="113"/>
      <c r="AL352" s="113"/>
      <c r="AP352" s="113"/>
    </row>
    <row r="353" spans="11:42" x14ac:dyDescent="0.25">
      <c r="K353" s="113"/>
      <c r="M353" s="113"/>
      <c r="O353" s="113"/>
      <c r="Q353" s="113"/>
      <c r="S353" s="113"/>
      <c r="U353" s="113"/>
      <c r="W353" s="113"/>
      <c r="Y353" s="113"/>
      <c r="AA353" s="113"/>
      <c r="AC353" s="113"/>
      <c r="AE353" s="113"/>
      <c r="AG353" s="113"/>
      <c r="AI353" s="113"/>
      <c r="AJ353" s="113"/>
      <c r="AL353" s="113"/>
      <c r="AP353" s="113"/>
    </row>
    <row r="354" spans="11:42" x14ac:dyDescent="0.25">
      <c r="K354" s="113"/>
      <c r="M354" s="113"/>
      <c r="O354" s="113"/>
      <c r="Q354" s="113"/>
      <c r="S354" s="113"/>
      <c r="U354" s="113"/>
      <c r="W354" s="113"/>
      <c r="Y354" s="113"/>
      <c r="AA354" s="113"/>
      <c r="AC354" s="113"/>
      <c r="AE354" s="113"/>
      <c r="AG354" s="113"/>
      <c r="AI354" s="113"/>
      <c r="AJ354" s="113"/>
      <c r="AL354" s="113"/>
      <c r="AP354" s="113"/>
    </row>
    <row r="355" spans="11:42" x14ac:dyDescent="0.25">
      <c r="K355" s="113"/>
      <c r="M355" s="113"/>
      <c r="O355" s="113"/>
      <c r="Q355" s="113"/>
      <c r="S355" s="113"/>
      <c r="U355" s="113"/>
      <c r="W355" s="113"/>
      <c r="Y355" s="113"/>
      <c r="AA355" s="113"/>
      <c r="AC355" s="113"/>
      <c r="AE355" s="113"/>
      <c r="AG355" s="113"/>
      <c r="AI355" s="113"/>
      <c r="AJ355" s="113"/>
      <c r="AL355" s="113"/>
      <c r="AP355" s="113"/>
    </row>
  </sheetData>
  <phoneticPr fontId="3" type="noConversion"/>
  <conditionalFormatting sqref="A1:A226">
    <cfRule type="cellIs" dxfId="11" priority="4" operator="equal">
      <formula>FALSE</formula>
    </cfRule>
    <cfRule type="cellIs" dxfId="10" priority="5" operator="equal">
      <formula>TRUE</formula>
    </cfRule>
  </conditionalFormatting>
  <conditionalFormatting sqref="A233">
    <cfRule type="cellIs" dxfId="9" priority="1" operator="equal">
      <formula>FALSE</formula>
    </cfRule>
    <cfRule type="cellIs" dxfId="8" priority="2" operator="equal">
      <formula>TRUE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6070-4930-43CA-8CCB-326DB2A26EC1}">
  <sheetPr codeName="Sheet5"/>
  <dimension ref="A1:E35"/>
  <sheetViews>
    <sheetView zoomScaleNormal="100" workbookViewId="0">
      <selection activeCell="D26" sqref="D26"/>
    </sheetView>
  </sheetViews>
  <sheetFormatPr defaultColWidth="9.140625" defaultRowHeight="14.25" x14ac:dyDescent="0.2"/>
  <cols>
    <col min="1" max="1" width="34.42578125" style="75" bestFit="1" customWidth="1"/>
    <col min="2" max="2" width="27.140625" style="75" customWidth="1"/>
    <col min="3" max="3" width="31.7109375" style="75" customWidth="1"/>
    <col min="4" max="4" width="42" style="75" customWidth="1"/>
    <col min="5" max="16384" width="9.140625" style="75"/>
  </cols>
  <sheetData>
    <row r="1" spans="1:5" x14ac:dyDescent="0.2">
      <c r="A1" s="75" t="s">
        <v>209</v>
      </c>
      <c r="B1" s="78" t="s">
        <v>208</v>
      </c>
      <c r="C1" s="78" t="s">
        <v>262</v>
      </c>
      <c r="D1" s="78" t="s">
        <v>261</v>
      </c>
    </row>
    <row r="2" spans="1:5" ht="15" x14ac:dyDescent="0.25">
      <c r="A2" s="82" t="s">
        <v>227</v>
      </c>
      <c r="B2" s="84" t="b">
        <v>1</v>
      </c>
      <c r="C2" s="79" t="b">
        <v>1</v>
      </c>
      <c r="D2" s="79" t="b">
        <v>0</v>
      </c>
      <c r="E2" s="77"/>
    </row>
    <row r="3" spans="1:5" ht="15" x14ac:dyDescent="0.25">
      <c r="A3" s="83" t="s">
        <v>210</v>
      </c>
      <c r="B3" s="84" t="s">
        <v>207</v>
      </c>
      <c r="C3" s="84" t="s">
        <v>207</v>
      </c>
      <c r="D3" s="84" t="s">
        <v>207</v>
      </c>
      <c r="E3" s="77"/>
    </row>
    <row r="4" spans="1:5" ht="15" x14ac:dyDescent="0.25">
      <c r="A4" s="83" t="s">
        <v>211</v>
      </c>
      <c r="B4" s="84" t="s">
        <v>207</v>
      </c>
      <c r="C4" s="84" t="s">
        <v>207</v>
      </c>
      <c r="D4" s="84" t="s">
        <v>225</v>
      </c>
      <c r="E4" s="77"/>
    </row>
    <row r="5" spans="1:5" ht="15" x14ac:dyDescent="0.25">
      <c r="A5" s="83" t="s">
        <v>212</v>
      </c>
      <c r="B5" s="84" t="s">
        <v>222</v>
      </c>
      <c r="C5" s="84" t="s">
        <v>505</v>
      </c>
      <c r="D5" s="84" t="str">
        <f ca="1">_xlfn.CONCAT("ETF_",D15,".csv")</f>
        <v>ETF_2026-10-25.csv</v>
      </c>
      <c r="E5" s="77"/>
    </row>
    <row r="6" spans="1:5" ht="15" x14ac:dyDescent="0.25">
      <c r="A6" s="83" t="s">
        <v>213</v>
      </c>
      <c r="B6" s="84" t="s">
        <v>223</v>
      </c>
      <c r="C6" s="84" t="s">
        <v>223</v>
      </c>
      <c r="D6" s="84" t="s">
        <v>207</v>
      </c>
      <c r="E6" s="77"/>
    </row>
    <row r="7" spans="1:5" ht="15" x14ac:dyDescent="0.25">
      <c r="A7" s="83" t="s">
        <v>214</v>
      </c>
      <c r="B7" s="84" t="s">
        <v>224</v>
      </c>
      <c r="C7" s="84" t="s">
        <v>224</v>
      </c>
      <c r="D7" s="84" t="s">
        <v>207</v>
      </c>
      <c r="E7" s="77"/>
    </row>
    <row r="8" spans="1:5" ht="15" x14ac:dyDescent="0.25">
      <c r="A8" s="83" t="s">
        <v>215</v>
      </c>
      <c r="B8" s="84" t="b">
        <v>1</v>
      </c>
      <c r="C8" s="84" t="b">
        <v>1</v>
      </c>
      <c r="D8" s="84" t="b">
        <v>0</v>
      </c>
      <c r="E8" s="77"/>
    </row>
    <row r="9" spans="1:5" ht="15" x14ac:dyDescent="0.25">
      <c r="A9" s="83" t="s">
        <v>216</v>
      </c>
      <c r="B9" s="85" t="b">
        <v>1</v>
      </c>
      <c r="C9" s="85" t="b">
        <v>1</v>
      </c>
      <c r="D9" s="84" t="b">
        <v>1</v>
      </c>
      <c r="E9" s="77"/>
    </row>
    <row r="10" spans="1:5" ht="15" x14ac:dyDescent="0.25">
      <c r="A10" s="83" t="s">
        <v>217</v>
      </c>
      <c r="B10" s="84" t="b">
        <v>0</v>
      </c>
      <c r="C10" s="84" t="b">
        <v>0</v>
      </c>
      <c r="D10" s="84" t="b">
        <v>0</v>
      </c>
      <c r="E10" s="77"/>
    </row>
    <row r="11" spans="1:5" ht="15" x14ac:dyDescent="0.25">
      <c r="A11" s="83" t="s">
        <v>218</v>
      </c>
      <c r="B11" s="84" t="b">
        <v>0</v>
      </c>
      <c r="C11" s="84" t="b">
        <v>0</v>
      </c>
      <c r="D11" s="84" t="s">
        <v>226</v>
      </c>
      <c r="E11" s="77"/>
    </row>
    <row r="12" spans="1:5" ht="15" x14ac:dyDescent="0.25">
      <c r="A12" s="83" t="s">
        <v>219</v>
      </c>
      <c r="B12" s="84" t="s">
        <v>220</v>
      </c>
      <c r="C12" s="84" t="s">
        <v>220</v>
      </c>
      <c r="D12" s="84" t="b">
        <v>0</v>
      </c>
      <c r="E12" s="77"/>
    </row>
    <row r="13" spans="1:5" s="80" customFormat="1" ht="15" x14ac:dyDescent="0.25">
      <c r="A13" s="83" t="s">
        <v>221</v>
      </c>
      <c r="B13" s="79">
        <v>30</v>
      </c>
      <c r="C13" s="79">
        <v>30</v>
      </c>
      <c r="D13" s="84">
        <f>15*60</f>
        <v>900</v>
      </c>
      <c r="E13" s="77"/>
    </row>
    <row r="14" spans="1:5" ht="15" thickBot="1" x14ac:dyDescent="0.25"/>
    <row r="15" spans="1:5" ht="15" thickBot="1" x14ac:dyDescent="0.25">
      <c r="D15" s="88" t="str">
        <f t="shared" ref="D15" ca="1" si="0">TEXT(TODAY(),"yyyy-mm-dd")</f>
        <v>2026-10-25</v>
      </c>
    </row>
    <row r="16" spans="1:5" ht="15" x14ac:dyDescent="0.2">
      <c r="A16" s="86" t="s">
        <v>263</v>
      </c>
    </row>
    <row r="17" spans="1:3" ht="15.75" thickBot="1" x14ac:dyDescent="0.25">
      <c r="A17" s="87" t="s">
        <v>228</v>
      </c>
    </row>
    <row r="25" spans="1:3" s="81" customFormat="1" x14ac:dyDescent="0.2">
      <c r="C25" s="75"/>
    </row>
    <row r="35" spans="1:2" x14ac:dyDescent="0.2">
      <c r="A35" s="76"/>
      <c r="B35" s="77"/>
    </row>
  </sheetData>
  <phoneticPr fontId="3" type="noConversion"/>
  <conditionalFormatting sqref="B2:D2">
    <cfRule type="cellIs" dxfId="7" priority="2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BFCB-6BF0-4949-A6ED-2039D785401C}">
  <sheetPr codeName="Sheet2"/>
  <dimension ref="A1:AA56"/>
  <sheetViews>
    <sheetView workbookViewId="0">
      <selection activeCell="D64" sqref="D64"/>
    </sheetView>
  </sheetViews>
  <sheetFormatPr defaultRowHeight="15" x14ac:dyDescent="0.25"/>
  <sheetData>
    <row r="1" spans="1:27" s="29" customFormat="1" x14ac:dyDescent="0.25">
      <c r="A1" s="28" t="s">
        <v>117</v>
      </c>
      <c r="B1" s="29" t="s">
        <v>118</v>
      </c>
      <c r="C1" s="29" t="s">
        <v>122</v>
      </c>
      <c r="D1" s="29" t="s">
        <v>119</v>
      </c>
      <c r="E1" s="37" t="s">
        <v>120</v>
      </c>
      <c r="F1" s="37" t="s">
        <v>121</v>
      </c>
      <c r="G1" s="29" t="s">
        <v>123</v>
      </c>
      <c r="H1" s="37" t="s">
        <v>124</v>
      </c>
      <c r="I1" s="51" t="s">
        <v>154</v>
      </c>
      <c r="J1" s="51" t="s">
        <v>155</v>
      </c>
      <c r="K1" s="37" t="s">
        <v>156</v>
      </c>
      <c r="L1" s="37" t="s">
        <v>157</v>
      </c>
      <c r="M1" s="29" t="s">
        <v>125</v>
      </c>
      <c r="N1" s="41" t="s">
        <v>126</v>
      </c>
      <c r="O1" s="37" t="s">
        <v>127</v>
      </c>
      <c r="P1" s="90" t="s">
        <v>128</v>
      </c>
      <c r="Q1" s="37" t="s">
        <v>129</v>
      </c>
      <c r="R1" s="37" t="s">
        <v>130</v>
      </c>
      <c r="S1" s="30" t="s">
        <v>131</v>
      </c>
      <c r="T1" s="29" t="s">
        <v>132</v>
      </c>
      <c r="U1" s="31" t="s">
        <v>133</v>
      </c>
      <c r="V1" s="31" t="s">
        <v>134</v>
      </c>
      <c r="W1" s="29" t="s">
        <v>135</v>
      </c>
      <c r="X1" s="46" t="s">
        <v>136</v>
      </c>
      <c r="Y1" s="29" t="s">
        <v>137</v>
      </c>
      <c r="Z1" s="29" t="s">
        <v>138</v>
      </c>
      <c r="AA1" s="31" t="s">
        <v>139</v>
      </c>
    </row>
    <row r="2" spans="1:27" s="2" customFormat="1" hidden="1" x14ac:dyDescent="0.25">
      <c r="A2" s="4"/>
      <c r="B2" s="15" t="s">
        <v>44</v>
      </c>
      <c r="C2" s="15" t="s">
        <v>61</v>
      </c>
      <c r="D2" s="2" t="s">
        <v>24</v>
      </c>
      <c r="E2" s="32" t="s">
        <v>18</v>
      </c>
      <c r="F2" s="7" t="s">
        <v>33</v>
      </c>
      <c r="G2" s="2" t="s">
        <v>47</v>
      </c>
      <c r="H2" s="7"/>
      <c r="I2" s="26"/>
      <c r="J2" s="26"/>
      <c r="K2" s="7"/>
      <c r="L2" s="7"/>
      <c r="M2" s="2" t="s">
        <v>24</v>
      </c>
      <c r="N2" s="35" t="s">
        <v>24</v>
      </c>
      <c r="O2" s="7" t="s">
        <v>24</v>
      </c>
      <c r="P2" s="91"/>
      <c r="Q2" s="7"/>
      <c r="R2" s="7"/>
      <c r="S2" s="23"/>
      <c r="U2" s="3"/>
      <c r="V2" s="3"/>
      <c r="X2" s="33"/>
      <c r="Y2" s="2" t="s">
        <v>18</v>
      </c>
      <c r="AA2" s="3"/>
    </row>
    <row r="3" spans="1:27" s="9" customFormat="1" hidden="1" x14ac:dyDescent="0.25">
      <c r="A3" s="4"/>
      <c r="B3" s="15" t="s">
        <v>44</v>
      </c>
      <c r="C3" s="15" t="s">
        <v>60</v>
      </c>
      <c r="D3" s="2" t="s">
        <v>24</v>
      </c>
      <c r="E3" s="32" t="s">
        <v>18</v>
      </c>
      <c r="F3" s="7" t="s">
        <v>32</v>
      </c>
      <c r="G3" s="2" t="s">
        <v>36</v>
      </c>
      <c r="H3" s="7"/>
      <c r="I3" s="26"/>
      <c r="J3" s="26"/>
      <c r="K3" s="7"/>
      <c r="L3" s="7"/>
      <c r="M3" s="2" t="s">
        <v>24</v>
      </c>
      <c r="N3" s="35" t="s">
        <v>24</v>
      </c>
      <c r="O3" s="7" t="s">
        <v>24</v>
      </c>
      <c r="P3" s="91"/>
      <c r="Q3" s="7"/>
      <c r="R3" s="7"/>
      <c r="S3" s="23"/>
      <c r="T3" s="2"/>
      <c r="U3" s="3"/>
      <c r="V3" s="3"/>
      <c r="W3" s="2"/>
      <c r="X3" s="33"/>
      <c r="Y3" s="2" t="s">
        <v>32</v>
      </c>
      <c r="Z3" s="2"/>
      <c r="AA3" s="3"/>
    </row>
    <row r="4" spans="1:27" s="14" customFormat="1" hidden="1" x14ac:dyDescent="0.25">
      <c r="A4" s="4"/>
      <c r="B4" s="2" t="s">
        <v>43</v>
      </c>
      <c r="C4" s="15" t="s">
        <v>70</v>
      </c>
      <c r="D4" s="2" t="s">
        <v>23</v>
      </c>
      <c r="E4" s="32" t="s">
        <v>18</v>
      </c>
      <c r="F4" s="7" t="s">
        <v>32</v>
      </c>
      <c r="G4" s="2"/>
      <c r="H4" s="7"/>
      <c r="I4" s="26"/>
      <c r="J4" s="26"/>
      <c r="K4" s="7"/>
      <c r="L4" s="7"/>
      <c r="M4" s="2" t="s">
        <v>24</v>
      </c>
      <c r="N4" s="35"/>
      <c r="O4" s="7"/>
      <c r="P4" s="91"/>
      <c r="Q4" s="34"/>
      <c r="R4" s="34"/>
      <c r="S4" s="23"/>
      <c r="T4" s="5"/>
      <c r="U4" s="3"/>
      <c r="V4" s="3"/>
      <c r="W4" s="5"/>
      <c r="X4" s="33"/>
      <c r="Y4" s="2"/>
      <c r="Z4" s="2"/>
      <c r="AA4" s="3"/>
    </row>
    <row r="5" spans="1:27" s="2" customFormat="1" hidden="1" x14ac:dyDescent="0.25">
      <c r="A5" s="4" t="s">
        <v>140</v>
      </c>
      <c r="B5" s="15" t="s">
        <v>31</v>
      </c>
      <c r="C5" s="15" t="s">
        <v>29</v>
      </c>
      <c r="D5" s="15" t="s">
        <v>77</v>
      </c>
      <c r="E5" s="32" t="s">
        <v>18</v>
      </c>
      <c r="F5" s="32" t="s">
        <v>32</v>
      </c>
      <c r="G5" s="15" t="s">
        <v>35</v>
      </c>
      <c r="H5" s="39" t="s">
        <v>24</v>
      </c>
      <c r="I5" s="50"/>
      <c r="J5" s="50"/>
      <c r="K5" s="39"/>
      <c r="L5" s="39"/>
      <c r="M5" s="17" t="s">
        <v>24</v>
      </c>
      <c r="N5" s="40" t="s">
        <v>24</v>
      </c>
      <c r="O5" s="39" t="s">
        <v>24</v>
      </c>
      <c r="P5" s="92" t="s">
        <v>8</v>
      </c>
      <c r="Q5" s="43">
        <v>0</v>
      </c>
      <c r="R5" s="43">
        <v>0</v>
      </c>
      <c r="S5" s="17">
        <v>0</v>
      </c>
      <c r="T5" s="16">
        <v>46047</v>
      </c>
      <c r="U5" s="17">
        <v>0</v>
      </c>
      <c r="V5" s="17">
        <v>0</v>
      </c>
      <c r="W5" s="16">
        <v>46046</v>
      </c>
      <c r="X5" s="47" t="s">
        <v>24</v>
      </c>
      <c r="Y5" s="15" t="s">
        <v>24</v>
      </c>
      <c r="Z5" s="15" t="s">
        <v>24</v>
      </c>
      <c r="AA5" s="3"/>
    </row>
    <row r="6" spans="1:27" s="20" customFormat="1" x14ac:dyDescent="0.25">
      <c r="A6" s="4"/>
      <c r="B6" s="15" t="s">
        <v>3</v>
      </c>
      <c r="C6" s="32" t="s">
        <v>62</v>
      </c>
      <c r="D6" s="15" t="s">
        <v>23</v>
      </c>
      <c r="E6" s="32" t="s">
        <v>18</v>
      </c>
      <c r="F6" s="32"/>
      <c r="G6" s="15"/>
      <c r="H6" s="32"/>
      <c r="I6" s="50"/>
      <c r="J6" s="50"/>
      <c r="K6" s="32"/>
      <c r="L6" s="32"/>
      <c r="M6" s="15" t="s">
        <v>24</v>
      </c>
      <c r="N6" s="42"/>
      <c r="O6" s="32"/>
      <c r="P6" s="92"/>
      <c r="Q6" s="43"/>
      <c r="R6" s="43"/>
      <c r="S6" s="24"/>
      <c r="T6" s="16"/>
      <c r="U6" s="17"/>
      <c r="V6" s="17"/>
      <c r="W6" s="16"/>
      <c r="X6" s="39"/>
      <c r="Y6" s="15"/>
      <c r="Z6" s="15"/>
      <c r="AA6" s="3"/>
    </row>
    <row r="7" spans="1:27" s="15" customFormat="1" hidden="1" x14ac:dyDescent="0.25">
      <c r="A7" s="4"/>
      <c r="B7" s="15" t="s">
        <v>44</v>
      </c>
      <c r="C7" s="15" t="s">
        <v>62</v>
      </c>
      <c r="D7" s="15" t="s">
        <v>24</v>
      </c>
      <c r="E7" s="32" t="s">
        <v>18</v>
      </c>
      <c r="F7" s="32" t="s">
        <v>33</v>
      </c>
      <c r="G7" s="15" t="s">
        <v>50</v>
      </c>
      <c r="H7" s="32"/>
      <c r="I7" s="50"/>
      <c r="J7" s="50"/>
      <c r="K7" s="32"/>
      <c r="L7" s="32"/>
      <c r="M7" s="15" t="s">
        <v>24</v>
      </c>
      <c r="N7" s="40" t="s">
        <v>24</v>
      </c>
      <c r="O7" s="32" t="s">
        <v>24</v>
      </c>
      <c r="P7" s="92"/>
      <c r="Q7" s="43"/>
      <c r="R7" s="43"/>
      <c r="S7" s="24"/>
      <c r="T7" s="16"/>
      <c r="U7" s="17"/>
      <c r="V7" s="17"/>
      <c r="W7" s="16"/>
      <c r="X7" s="39"/>
      <c r="Y7" s="15" t="s">
        <v>33</v>
      </c>
      <c r="AA7" s="3"/>
    </row>
    <row r="8" spans="1:27" s="15" customFormat="1" hidden="1" x14ac:dyDescent="0.25">
      <c r="A8" s="4" t="s">
        <v>140</v>
      </c>
      <c r="B8" s="2" t="s">
        <v>31</v>
      </c>
      <c r="C8" s="2" t="s">
        <v>26</v>
      </c>
      <c r="D8" s="2" t="s">
        <v>78</v>
      </c>
      <c r="E8" s="32" t="s">
        <v>18</v>
      </c>
      <c r="F8" s="7" t="s">
        <v>32</v>
      </c>
      <c r="G8" s="2" t="s">
        <v>54</v>
      </c>
      <c r="H8" s="33" t="s">
        <v>24</v>
      </c>
      <c r="I8" s="26"/>
      <c r="J8" s="26"/>
      <c r="K8" s="33"/>
      <c r="L8" s="33"/>
      <c r="M8" s="3" t="s">
        <v>24</v>
      </c>
      <c r="N8" s="35" t="s">
        <v>24</v>
      </c>
      <c r="O8" s="33" t="s">
        <v>24</v>
      </c>
      <c r="P8" s="91"/>
      <c r="Q8" s="25"/>
      <c r="R8" s="25"/>
      <c r="S8" s="26"/>
      <c r="T8" s="8"/>
      <c r="U8" s="3">
        <v>0</v>
      </c>
      <c r="V8" s="3">
        <v>0</v>
      </c>
      <c r="W8" s="5">
        <v>46053</v>
      </c>
      <c r="X8" s="33" t="s">
        <v>24</v>
      </c>
      <c r="Y8" s="2" t="s">
        <v>24</v>
      </c>
      <c r="Z8" s="2" t="s">
        <v>24</v>
      </c>
      <c r="AA8" s="3"/>
    </row>
    <row r="9" spans="1:27" s="9" customFormat="1" hidden="1" x14ac:dyDescent="0.25">
      <c r="A9" s="4"/>
      <c r="B9" s="15" t="s">
        <v>44</v>
      </c>
      <c r="C9" s="15" t="s">
        <v>63</v>
      </c>
      <c r="D9" s="2" t="s">
        <v>24</v>
      </c>
      <c r="E9" s="32" t="s">
        <v>18</v>
      </c>
      <c r="F9" s="7" t="s">
        <v>32</v>
      </c>
      <c r="G9" s="2" t="s">
        <v>52</v>
      </c>
      <c r="H9" s="7"/>
      <c r="I9" s="26"/>
      <c r="J9" s="26"/>
      <c r="K9" s="7"/>
      <c r="L9" s="7"/>
      <c r="M9" s="2" t="s">
        <v>24</v>
      </c>
      <c r="N9" s="35" t="s">
        <v>24</v>
      </c>
      <c r="O9" s="7" t="s">
        <v>24</v>
      </c>
      <c r="P9" s="91"/>
      <c r="Q9" s="7"/>
      <c r="R9" s="7"/>
      <c r="S9" s="23"/>
      <c r="T9" s="2"/>
      <c r="U9" s="3"/>
      <c r="V9" s="3"/>
      <c r="W9" s="2"/>
      <c r="X9" s="33"/>
      <c r="Y9" s="2" t="s">
        <v>32</v>
      </c>
      <c r="Z9" s="2"/>
      <c r="AA9" s="3"/>
    </row>
    <row r="10" spans="1:27" s="20" customFormat="1" hidden="1" x14ac:dyDescent="0.25">
      <c r="A10" s="4"/>
      <c r="B10" s="15" t="s">
        <v>44</v>
      </c>
      <c r="C10" s="15" t="s">
        <v>63</v>
      </c>
      <c r="D10" s="2" t="s">
        <v>24</v>
      </c>
      <c r="E10" s="32" t="s">
        <v>18</v>
      </c>
      <c r="F10" s="7" t="s">
        <v>33</v>
      </c>
      <c r="G10" s="2" t="s">
        <v>53</v>
      </c>
      <c r="H10" s="7"/>
      <c r="I10" s="26"/>
      <c r="J10" s="26"/>
      <c r="K10" s="7"/>
      <c r="L10" s="7"/>
      <c r="M10" s="2" t="s">
        <v>24</v>
      </c>
      <c r="N10" s="35" t="s">
        <v>24</v>
      </c>
      <c r="O10" s="7" t="s">
        <v>24</v>
      </c>
      <c r="P10" s="91"/>
      <c r="Q10" s="7"/>
      <c r="R10" s="7"/>
      <c r="S10" s="23"/>
      <c r="T10" s="2"/>
      <c r="U10" s="3"/>
      <c r="V10" s="3"/>
      <c r="W10" s="2"/>
      <c r="X10" s="33"/>
      <c r="Y10" s="2" t="s">
        <v>18</v>
      </c>
      <c r="Z10" s="2"/>
      <c r="AA10" s="3"/>
    </row>
    <row r="11" spans="1:27" s="2" customFormat="1" x14ac:dyDescent="0.25">
      <c r="A11" s="4"/>
      <c r="B11" s="15" t="s">
        <v>3</v>
      </c>
      <c r="C11" s="15" t="s">
        <v>51</v>
      </c>
      <c r="D11" s="15" t="s">
        <v>23</v>
      </c>
      <c r="E11" s="32" t="s">
        <v>18</v>
      </c>
      <c r="F11" s="32"/>
      <c r="G11" s="15"/>
      <c r="H11" s="32"/>
      <c r="I11" s="50"/>
      <c r="J11" s="50"/>
      <c r="K11" s="32"/>
      <c r="L11" s="32"/>
      <c r="M11" s="15" t="s">
        <v>24</v>
      </c>
      <c r="N11" s="42" t="e">
        <v>#REF!</v>
      </c>
      <c r="O11" s="32"/>
      <c r="P11" s="92"/>
      <c r="Q11" s="32"/>
      <c r="R11" s="32"/>
      <c r="S11" s="24"/>
      <c r="T11" s="15"/>
      <c r="U11" s="17"/>
      <c r="V11" s="17"/>
      <c r="W11" s="15"/>
      <c r="X11" s="39"/>
      <c r="Y11" s="15"/>
      <c r="Z11" s="15"/>
      <c r="AA11" s="3"/>
    </row>
    <row r="12" spans="1:27" s="15" customFormat="1" hidden="1" x14ac:dyDescent="0.25">
      <c r="A12" s="4"/>
      <c r="B12" s="2" t="s">
        <v>43</v>
      </c>
      <c r="C12" s="15" t="s">
        <v>71</v>
      </c>
      <c r="D12" s="19" t="s">
        <v>23</v>
      </c>
      <c r="E12" s="32" t="s">
        <v>18</v>
      </c>
      <c r="F12" s="38"/>
      <c r="G12" s="9"/>
      <c r="H12" s="38"/>
      <c r="I12" s="52"/>
      <c r="J12" s="52"/>
      <c r="K12" s="38"/>
      <c r="L12" s="38"/>
      <c r="M12" s="2" t="s">
        <v>24</v>
      </c>
      <c r="N12" s="35"/>
      <c r="O12" s="38"/>
      <c r="P12" s="93"/>
      <c r="Q12" s="44"/>
      <c r="R12" s="44"/>
      <c r="S12" s="23"/>
      <c r="T12" s="12"/>
      <c r="U12" s="3"/>
      <c r="V12" s="3"/>
      <c r="W12" s="12"/>
      <c r="X12" s="33"/>
      <c r="Y12" s="9"/>
      <c r="Z12" s="9"/>
      <c r="AA12" s="3"/>
    </row>
    <row r="13" spans="1:27" s="15" customFormat="1" hidden="1" x14ac:dyDescent="0.25">
      <c r="A13" s="4"/>
      <c r="B13" s="2" t="s">
        <v>43</v>
      </c>
      <c r="C13" s="15" t="s">
        <v>25</v>
      </c>
      <c r="D13" s="2" t="s">
        <v>23</v>
      </c>
      <c r="E13" s="32" t="s">
        <v>18</v>
      </c>
      <c r="F13" s="7"/>
      <c r="G13" s="2"/>
      <c r="H13" s="7"/>
      <c r="I13" s="26"/>
      <c r="J13" s="26"/>
      <c r="K13" s="7"/>
      <c r="L13" s="7"/>
      <c r="M13" s="2" t="s">
        <v>24</v>
      </c>
      <c r="N13" s="35"/>
      <c r="O13" s="7"/>
      <c r="P13" s="91"/>
      <c r="Q13" s="34"/>
      <c r="R13" s="34"/>
      <c r="S13" s="23"/>
      <c r="T13" s="5"/>
      <c r="U13" s="3"/>
      <c r="V13" s="3"/>
      <c r="W13" s="5"/>
      <c r="X13" s="33"/>
      <c r="Y13" s="2"/>
      <c r="Z13" s="2"/>
      <c r="AA13" s="3"/>
    </row>
    <row r="14" spans="1:27" s="15" customFormat="1" hidden="1" x14ac:dyDescent="0.25">
      <c r="A14" s="4" t="s">
        <v>140</v>
      </c>
      <c r="B14" s="15" t="s">
        <v>31</v>
      </c>
      <c r="C14" s="15" t="s">
        <v>25</v>
      </c>
      <c r="D14" s="15" t="s">
        <v>79</v>
      </c>
      <c r="E14" s="32" t="s">
        <v>18</v>
      </c>
      <c r="F14" s="32" t="s">
        <v>32</v>
      </c>
      <c r="G14" s="15" t="s">
        <v>36</v>
      </c>
      <c r="H14" s="39" t="s">
        <v>24</v>
      </c>
      <c r="I14" s="50"/>
      <c r="J14" s="50"/>
      <c r="K14" s="39"/>
      <c r="L14" s="39"/>
      <c r="M14" s="17" t="s">
        <v>24</v>
      </c>
      <c r="N14" s="40" t="s">
        <v>24</v>
      </c>
      <c r="O14" s="39" t="s">
        <v>24</v>
      </c>
      <c r="P14" s="92" t="s">
        <v>8</v>
      </c>
      <c r="Q14" s="43">
        <v>5.0000000000000001E-4</v>
      </c>
      <c r="R14" s="43">
        <v>5.9999999999999995E-4</v>
      </c>
      <c r="S14" s="17">
        <v>0</v>
      </c>
      <c r="T14" s="16">
        <v>46047</v>
      </c>
      <c r="U14" s="17">
        <v>0</v>
      </c>
      <c r="V14" s="17">
        <v>0</v>
      </c>
      <c r="W14" s="16">
        <v>46046</v>
      </c>
      <c r="X14" s="47" t="s">
        <v>24</v>
      </c>
      <c r="Y14" s="15" t="s">
        <v>24</v>
      </c>
      <c r="Z14" s="15" t="s">
        <v>24</v>
      </c>
      <c r="AA14" s="3"/>
    </row>
    <row r="15" spans="1:27" s="15" customFormat="1" x14ac:dyDescent="0.25">
      <c r="A15" s="4"/>
      <c r="B15" s="15" t="s">
        <v>3</v>
      </c>
      <c r="C15" s="32" t="s">
        <v>64</v>
      </c>
      <c r="D15" s="15" t="s">
        <v>23</v>
      </c>
      <c r="E15" s="32" t="s">
        <v>18</v>
      </c>
      <c r="F15" s="32"/>
      <c r="H15" s="32"/>
      <c r="I15" s="50"/>
      <c r="J15" s="50"/>
      <c r="K15" s="32"/>
      <c r="L15" s="32"/>
      <c r="M15" s="15" t="s">
        <v>24</v>
      </c>
      <c r="N15" s="40"/>
      <c r="O15" s="32"/>
      <c r="P15" s="92"/>
      <c r="Q15" s="43"/>
      <c r="R15" s="43"/>
      <c r="S15" s="24"/>
      <c r="T15" s="16"/>
      <c r="U15" s="17"/>
      <c r="V15" s="17"/>
      <c r="W15" s="16"/>
      <c r="X15" s="39"/>
      <c r="AA15" s="3"/>
    </row>
    <row r="16" spans="1:27" s="15" customFormat="1" hidden="1" x14ac:dyDescent="0.25">
      <c r="A16" s="4"/>
      <c r="B16" s="15" t="s">
        <v>44</v>
      </c>
      <c r="C16" s="15" t="s">
        <v>64</v>
      </c>
      <c r="D16" s="2" t="s">
        <v>24</v>
      </c>
      <c r="E16" s="32" t="s">
        <v>18</v>
      </c>
      <c r="F16" s="7" t="s">
        <v>32</v>
      </c>
      <c r="G16" s="2" t="s">
        <v>36</v>
      </c>
      <c r="H16" s="7"/>
      <c r="I16" s="26"/>
      <c r="J16" s="26"/>
      <c r="K16" s="7"/>
      <c r="L16" s="7"/>
      <c r="M16" s="2" t="s">
        <v>24</v>
      </c>
      <c r="N16" s="35" t="s">
        <v>24</v>
      </c>
      <c r="O16" s="7" t="s">
        <v>24</v>
      </c>
      <c r="P16" s="91"/>
      <c r="Q16" s="7"/>
      <c r="R16" s="7"/>
      <c r="S16" s="23"/>
      <c r="T16" s="2"/>
      <c r="U16" s="3"/>
      <c r="V16" s="3"/>
      <c r="W16" s="2"/>
      <c r="X16" s="33"/>
      <c r="Y16" s="2" t="s">
        <v>32</v>
      </c>
      <c r="Z16" s="2"/>
      <c r="AA16" s="3"/>
    </row>
    <row r="17" spans="1:27" s="14" customFormat="1" hidden="1" x14ac:dyDescent="0.25">
      <c r="A17" s="4"/>
      <c r="B17" s="15" t="s">
        <v>44</v>
      </c>
      <c r="C17" s="15" t="s">
        <v>64</v>
      </c>
      <c r="D17" s="2" t="s">
        <v>24</v>
      </c>
      <c r="E17" s="32" t="s">
        <v>18</v>
      </c>
      <c r="F17" s="7" t="s">
        <v>33</v>
      </c>
      <c r="G17" s="2" t="s">
        <v>38</v>
      </c>
      <c r="H17" s="7"/>
      <c r="I17" s="26"/>
      <c r="J17" s="26"/>
      <c r="K17" s="7"/>
      <c r="L17" s="7"/>
      <c r="M17" s="2" t="s">
        <v>24</v>
      </c>
      <c r="N17" s="35" t="s">
        <v>24</v>
      </c>
      <c r="O17" s="7" t="s">
        <v>24</v>
      </c>
      <c r="P17" s="91"/>
      <c r="Q17" s="7"/>
      <c r="R17" s="7"/>
      <c r="S17" s="23"/>
      <c r="T17" s="2"/>
      <c r="U17" s="3"/>
      <c r="V17" s="3"/>
      <c r="W17" s="2"/>
      <c r="X17" s="33"/>
      <c r="Y17" s="2" t="s">
        <v>18</v>
      </c>
      <c r="Z17" s="2"/>
      <c r="AA17" s="3"/>
    </row>
    <row r="18" spans="1:27" s="9" customFormat="1" x14ac:dyDescent="0.25">
      <c r="A18" s="4"/>
      <c r="B18" s="15" t="s">
        <v>3</v>
      </c>
      <c r="C18" s="32" t="s">
        <v>6</v>
      </c>
      <c r="D18" s="15" t="s">
        <v>23</v>
      </c>
      <c r="E18" s="32" t="s">
        <v>18</v>
      </c>
      <c r="F18" s="32" t="s">
        <v>33</v>
      </c>
      <c r="G18" s="2"/>
      <c r="H18" s="7"/>
      <c r="I18" s="26"/>
      <c r="J18" s="26"/>
      <c r="K18" s="7"/>
      <c r="L18" s="7"/>
      <c r="M18" s="15" t="s">
        <v>24</v>
      </c>
      <c r="N18" s="40"/>
      <c r="O18" s="7"/>
      <c r="P18" s="92" t="s">
        <v>8</v>
      </c>
      <c r="Q18" s="43">
        <v>0</v>
      </c>
      <c r="R18" s="43">
        <v>0</v>
      </c>
      <c r="S18" s="24">
        <v>0</v>
      </c>
      <c r="T18" s="16"/>
      <c r="U18" s="17">
        <v>0</v>
      </c>
      <c r="V18" s="17">
        <v>0</v>
      </c>
      <c r="W18" s="16"/>
      <c r="X18" s="39">
        <v>0</v>
      </c>
      <c r="Y18" s="15" t="s">
        <v>33</v>
      </c>
      <c r="Z18" s="15" t="s">
        <v>81</v>
      </c>
      <c r="AA18" s="3"/>
    </row>
    <row r="19" spans="1:27" s="15" customFormat="1" hidden="1" x14ac:dyDescent="0.25">
      <c r="A19" s="4"/>
      <c r="B19" s="15" t="s">
        <v>44</v>
      </c>
      <c r="C19" s="15" t="s">
        <v>65</v>
      </c>
      <c r="D19" s="2" t="s">
        <v>76</v>
      </c>
      <c r="E19" s="32" t="s">
        <v>18</v>
      </c>
      <c r="F19" s="32" t="s">
        <v>33</v>
      </c>
      <c r="G19" s="15" t="s">
        <v>76</v>
      </c>
      <c r="H19" s="32"/>
      <c r="I19" s="50"/>
      <c r="J19" s="50"/>
      <c r="K19" s="32"/>
      <c r="L19" s="32"/>
      <c r="M19" s="15" t="s">
        <v>24</v>
      </c>
      <c r="N19" s="35" t="s">
        <v>24</v>
      </c>
      <c r="O19" s="32" t="s">
        <v>24</v>
      </c>
      <c r="P19" s="92" t="s">
        <v>8</v>
      </c>
      <c r="Q19" s="43">
        <v>0</v>
      </c>
      <c r="R19" s="43">
        <v>0</v>
      </c>
      <c r="S19" s="24">
        <v>0</v>
      </c>
      <c r="T19" s="16"/>
      <c r="U19" s="17">
        <v>0</v>
      </c>
      <c r="V19" s="17">
        <v>0</v>
      </c>
      <c r="W19" s="16"/>
      <c r="X19" s="39">
        <v>0</v>
      </c>
      <c r="Y19" s="15" t="s">
        <v>33</v>
      </c>
      <c r="Z19" s="15" t="s">
        <v>24</v>
      </c>
      <c r="AA19" s="3"/>
    </row>
    <row r="20" spans="1:27" s="15" customFormat="1" x14ac:dyDescent="0.25">
      <c r="A20" s="4" t="b">
        <v>1</v>
      </c>
      <c r="B20" s="2" t="s">
        <v>3</v>
      </c>
      <c r="C20" s="2" t="s">
        <v>142</v>
      </c>
      <c r="D20" s="2">
        <f>crypto_inputs[[#This Row],[pf_locator]]</f>
        <v>817976231</v>
      </c>
      <c r="E20" s="32" t="s">
        <v>18</v>
      </c>
      <c r="F20" s="7" t="s">
        <v>33</v>
      </c>
      <c r="G20" s="2" t="s">
        <v>75</v>
      </c>
      <c r="H20" s="7" t="s">
        <v>74</v>
      </c>
      <c r="I20" s="26"/>
      <c r="J20" s="26"/>
      <c r="K20" s="7"/>
      <c r="L20" s="7"/>
      <c r="M20" s="4">
        <v>1</v>
      </c>
      <c r="N20" s="18">
        <v>1</v>
      </c>
      <c r="O20" s="7" t="s">
        <v>9</v>
      </c>
      <c r="P20" s="94">
        <v>0</v>
      </c>
      <c r="Q20" s="34">
        <v>0</v>
      </c>
      <c r="R20" s="35">
        <v>0</v>
      </c>
      <c r="S20" s="8">
        <v>0</v>
      </c>
      <c r="T20" s="33">
        <v>0</v>
      </c>
      <c r="U20" s="33">
        <v>0</v>
      </c>
      <c r="V20" s="8">
        <v>0</v>
      </c>
      <c r="W20" s="36">
        <v>0</v>
      </c>
      <c r="X20" s="7" t="s">
        <v>24</v>
      </c>
      <c r="Y20" s="5" t="e">
        <f>#REF!</f>
        <v>#REF!</v>
      </c>
    </row>
    <row r="21" spans="1:27" s="2" customFormat="1" x14ac:dyDescent="0.25">
      <c r="A21" s="4"/>
      <c r="B21" s="15" t="s">
        <v>3</v>
      </c>
      <c r="C21" s="15" t="s">
        <v>41</v>
      </c>
      <c r="D21" s="15" t="s">
        <v>23</v>
      </c>
      <c r="E21" s="32" t="s">
        <v>18</v>
      </c>
      <c r="F21" s="32"/>
      <c r="G21" s="15"/>
      <c r="H21" s="32"/>
      <c r="I21" s="50"/>
      <c r="J21" s="50"/>
      <c r="K21" s="32"/>
      <c r="L21" s="32"/>
      <c r="M21" s="15" t="s">
        <v>24</v>
      </c>
      <c r="N21" s="40"/>
      <c r="O21" s="32"/>
      <c r="P21" s="92"/>
      <c r="Q21" s="45"/>
      <c r="R21" s="45"/>
      <c r="S21" s="24"/>
      <c r="T21" s="16"/>
      <c r="U21" s="17"/>
      <c r="V21" s="17"/>
      <c r="W21" s="16"/>
      <c r="X21" s="39"/>
      <c r="Y21" s="15"/>
      <c r="Z21" s="15"/>
      <c r="AA21" s="3"/>
    </row>
    <row r="22" spans="1:27" s="2" customFormat="1" hidden="1" x14ac:dyDescent="0.25">
      <c r="A22" s="4"/>
      <c r="B22" s="2" t="s">
        <v>43</v>
      </c>
      <c r="C22" s="15" t="s">
        <v>41</v>
      </c>
      <c r="D22" s="2" t="s">
        <v>23</v>
      </c>
      <c r="E22" s="32" t="s">
        <v>18</v>
      </c>
      <c r="F22" s="7"/>
      <c r="H22" s="7"/>
      <c r="I22" s="26"/>
      <c r="J22" s="26"/>
      <c r="K22" s="7"/>
      <c r="L22" s="7"/>
      <c r="M22" s="2" t="s">
        <v>24</v>
      </c>
      <c r="N22" s="35"/>
      <c r="O22" s="7"/>
      <c r="P22" s="91"/>
      <c r="Q22" s="34"/>
      <c r="R22" s="34"/>
      <c r="S22" s="23"/>
      <c r="T22" s="5"/>
      <c r="U22" s="3"/>
      <c r="V22" s="3"/>
      <c r="W22" s="5"/>
      <c r="X22" s="33"/>
      <c r="AA22" s="3"/>
    </row>
    <row r="23" spans="1:27" s="2" customFormat="1" hidden="1" x14ac:dyDescent="0.25">
      <c r="A23" s="4"/>
      <c r="B23" s="2" t="s">
        <v>31</v>
      </c>
      <c r="C23" s="2" t="s">
        <v>41</v>
      </c>
      <c r="D23" s="2" t="s">
        <v>80</v>
      </c>
      <c r="E23" s="32" t="s">
        <v>18</v>
      </c>
      <c r="F23" s="7" t="s">
        <v>32</v>
      </c>
      <c r="G23" s="2" t="s">
        <v>36</v>
      </c>
      <c r="H23" s="33" t="s">
        <v>24</v>
      </c>
      <c r="I23" s="26"/>
      <c r="J23" s="26"/>
      <c r="K23" s="33"/>
      <c r="L23" s="33"/>
      <c r="M23" s="3" t="s">
        <v>24</v>
      </c>
      <c r="N23" s="35" t="s">
        <v>24</v>
      </c>
      <c r="O23" s="33" t="s">
        <v>24</v>
      </c>
      <c r="P23" s="91"/>
      <c r="Q23" s="25"/>
      <c r="R23" s="25"/>
      <c r="S23" s="26"/>
      <c r="T23" s="8"/>
      <c r="U23" s="3">
        <v>0</v>
      </c>
      <c r="V23" s="3">
        <v>0</v>
      </c>
      <c r="W23" s="5">
        <v>46053</v>
      </c>
      <c r="X23" s="33" t="s">
        <v>24</v>
      </c>
      <c r="Y23" s="2" t="s">
        <v>24</v>
      </c>
      <c r="Z23" s="2" t="s">
        <v>24</v>
      </c>
      <c r="AA23" s="3"/>
    </row>
    <row r="24" spans="1:27" s="2" customFormat="1" hidden="1" x14ac:dyDescent="0.25">
      <c r="A24" s="4"/>
      <c r="B24" s="15" t="s">
        <v>44</v>
      </c>
      <c r="C24" s="15" t="s">
        <v>66</v>
      </c>
      <c r="D24" s="2" t="s">
        <v>24</v>
      </c>
      <c r="E24" s="32" t="s">
        <v>18</v>
      </c>
      <c r="F24" s="7" t="s">
        <v>32</v>
      </c>
      <c r="G24" s="2" t="s">
        <v>46</v>
      </c>
      <c r="H24" s="7"/>
      <c r="I24" s="26"/>
      <c r="J24" s="26"/>
      <c r="K24" s="7"/>
      <c r="L24" s="7"/>
      <c r="M24" s="2" t="s">
        <v>24</v>
      </c>
      <c r="N24" s="35" t="s">
        <v>24</v>
      </c>
      <c r="O24" s="7" t="s">
        <v>24</v>
      </c>
      <c r="P24" s="91"/>
      <c r="Q24" s="34"/>
      <c r="R24" s="34"/>
      <c r="S24" s="23"/>
      <c r="T24" s="5"/>
      <c r="U24" s="3"/>
      <c r="V24" s="3"/>
      <c r="W24" s="5"/>
      <c r="X24" s="33"/>
      <c r="Y24" s="2" t="s">
        <v>32</v>
      </c>
      <c r="AA24" s="3"/>
    </row>
    <row r="25" spans="1:27" s="15" customFormat="1" x14ac:dyDescent="0.25">
      <c r="A25" s="4"/>
      <c r="B25" s="15" t="s">
        <v>3</v>
      </c>
      <c r="C25" s="32" t="s">
        <v>22</v>
      </c>
      <c r="D25" s="15" t="s">
        <v>23</v>
      </c>
      <c r="E25" s="32" t="s">
        <v>18</v>
      </c>
      <c r="F25" s="32"/>
      <c r="H25" s="32"/>
      <c r="I25" s="50"/>
      <c r="J25" s="50"/>
      <c r="K25" s="32"/>
      <c r="L25" s="32"/>
      <c r="M25" s="15" t="s">
        <v>24</v>
      </c>
      <c r="N25" s="40"/>
      <c r="O25" s="32"/>
      <c r="P25" s="92"/>
      <c r="Q25" s="45"/>
      <c r="R25" s="45"/>
      <c r="S25" s="24"/>
      <c r="T25" s="16"/>
      <c r="U25" s="17"/>
      <c r="V25" s="17"/>
      <c r="W25" s="16"/>
      <c r="X25" s="39"/>
      <c r="AA25" s="3"/>
    </row>
    <row r="26" spans="1:27" s="15" customFormat="1" hidden="1" x14ac:dyDescent="0.25">
      <c r="A26" s="4"/>
      <c r="B26" s="2" t="s">
        <v>43</v>
      </c>
      <c r="C26" s="15" t="s">
        <v>22</v>
      </c>
      <c r="D26" s="2" t="s">
        <v>23</v>
      </c>
      <c r="E26" s="32" t="s">
        <v>18</v>
      </c>
      <c r="F26" s="7"/>
      <c r="G26" s="2"/>
      <c r="H26" s="7"/>
      <c r="I26" s="26"/>
      <c r="J26" s="26"/>
      <c r="K26" s="7"/>
      <c r="L26" s="7"/>
      <c r="M26" s="2" t="s">
        <v>24</v>
      </c>
      <c r="N26" s="35"/>
      <c r="O26" s="7"/>
      <c r="P26" s="91"/>
      <c r="Q26" s="34"/>
      <c r="R26" s="34"/>
      <c r="S26" s="23"/>
      <c r="T26" s="5"/>
      <c r="U26" s="3"/>
      <c r="V26" s="3"/>
      <c r="W26" s="5"/>
      <c r="X26" s="33"/>
      <c r="Y26" s="2"/>
      <c r="Z26" s="2"/>
      <c r="AA26" s="3"/>
    </row>
    <row r="27" spans="1:27" s="15" customFormat="1" hidden="1" x14ac:dyDescent="0.25">
      <c r="A27" s="4"/>
      <c r="B27" s="15" t="s">
        <v>44</v>
      </c>
      <c r="C27" s="15" t="s">
        <v>22</v>
      </c>
      <c r="D27" s="2" t="s">
        <v>24</v>
      </c>
      <c r="E27" s="32" t="s">
        <v>18</v>
      </c>
      <c r="F27" s="7" t="s">
        <v>33</v>
      </c>
      <c r="G27" s="2" t="s">
        <v>55</v>
      </c>
      <c r="H27" s="7"/>
      <c r="I27" s="26"/>
      <c r="J27" s="26"/>
      <c r="K27" s="7"/>
      <c r="L27" s="7"/>
      <c r="M27" s="2" t="s">
        <v>24</v>
      </c>
      <c r="N27" s="35" t="s">
        <v>24</v>
      </c>
      <c r="O27" s="7" t="s">
        <v>24</v>
      </c>
      <c r="P27" s="91"/>
      <c r="Q27" s="7"/>
      <c r="R27" s="7"/>
      <c r="S27" s="23"/>
      <c r="T27" s="2"/>
      <c r="U27" s="3"/>
      <c r="V27" s="3"/>
      <c r="W27" s="2"/>
      <c r="X27" s="33"/>
      <c r="Y27" s="2" t="s">
        <v>18</v>
      </c>
      <c r="Z27" s="2"/>
      <c r="AA27" s="3"/>
    </row>
    <row r="28" spans="1:27" s="15" customFormat="1" x14ac:dyDescent="0.25">
      <c r="A28" s="4"/>
      <c r="B28" s="15" t="s">
        <v>3</v>
      </c>
      <c r="C28" s="15" t="s">
        <v>28</v>
      </c>
      <c r="D28" s="15" t="s">
        <v>23</v>
      </c>
      <c r="E28" s="32" t="s">
        <v>18</v>
      </c>
      <c r="F28" s="32"/>
      <c r="H28" s="32"/>
      <c r="I28" s="50"/>
      <c r="J28" s="50"/>
      <c r="K28" s="32"/>
      <c r="L28" s="32"/>
      <c r="M28" s="15" t="s">
        <v>24</v>
      </c>
      <c r="N28" s="40"/>
      <c r="O28" s="32"/>
      <c r="P28" s="92"/>
      <c r="Q28" s="32"/>
      <c r="R28" s="32"/>
      <c r="S28" s="24"/>
      <c r="U28" s="17"/>
      <c r="V28" s="17"/>
      <c r="X28" s="39"/>
      <c r="AA28" s="3"/>
    </row>
    <row r="29" spans="1:27" s="15" customFormat="1" hidden="1" x14ac:dyDescent="0.25">
      <c r="A29" s="4"/>
      <c r="B29" s="2" t="s">
        <v>43</v>
      </c>
      <c r="C29" s="15" t="s">
        <v>28</v>
      </c>
      <c r="D29" s="2" t="s">
        <v>23</v>
      </c>
      <c r="E29" s="32" t="s">
        <v>18</v>
      </c>
      <c r="F29" s="7"/>
      <c r="G29" s="2"/>
      <c r="H29" s="7"/>
      <c r="I29" s="26"/>
      <c r="J29" s="26"/>
      <c r="K29" s="7"/>
      <c r="L29" s="7"/>
      <c r="M29" s="2" t="s">
        <v>24</v>
      </c>
      <c r="N29" s="35"/>
      <c r="O29" s="7"/>
      <c r="P29" s="91"/>
      <c r="Q29" s="25"/>
      <c r="R29" s="25"/>
      <c r="S29" s="23"/>
      <c r="T29" s="5"/>
      <c r="U29" s="3"/>
      <c r="V29" s="3"/>
      <c r="W29" s="5"/>
      <c r="X29" s="33"/>
      <c r="Y29" s="2"/>
      <c r="Z29" s="2"/>
      <c r="AA29" s="3"/>
    </row>
    <row r="30" spans="1:27" s="2" customFormat="1" hidden="1" x14ac:dyDescent="0.25">
      <c r="A30" s="4"/>
      <c r="B30" s="15" t="s">
        <v>44</v>
      </c>
      <c r="C30" s="15" t="s">
        <v>67</v>
      </c>
      <c r="D30" s="2" t="s">
        <v>24</v>
      </c>
      <c r="E30" s="32" t="s">
        <v>18</v>
      </c>
      <c r="F30" s="7" t="s">
        <v>33</v>
      </c>
      <c r="G30" s="2" t="s">
        <v>56</v>
      </c>
      <c r="H30" s="7"/>
      <c r="I30" s="26"/>
      <c r="J30" s="26"/>
      <c r="K30" s="7"/>
      <c r="L30" s="7"/>
      <c r="M30" s="2" t="s">
        <v>24</v>
      </c>
      <c r="N30" s="35" t="s">
        <v>24</v>
      </c>
      <c r="O30" s="7" t="s">
        <v>24</v>
      </c>
      <c r="P30" s="91"/>
      <c r="Q30" s="25"/>
      <c r="R30" s="25"/>
      <c r="S30" s="23"/>
      <c r="T30" s="5"/>
      <c r="U30" s="3"/>
      <c r="V30" s="3"/>
      <c r="W30" s="5"/>
      <c r="X30" s="33"/>
      <c r="Y30" s="2" t="s">
        <v>18</v>
      </c>
      <c r="AA30" s="3"/>
    </row>
    <row r="31" spans="1:27" s="2" customFormat="1" hidden="1" x14ac:dyDescent="0.25">
      <c r="A31" s="4"/>
      <c r="B31" s="2" t="s">
        <v>43</v>
      </c>
      <c r="C31" s="2" t="s">
        <v>5</v>
      </c>
      <c r="D31" s="2" t="s">
        <v>23</v>
      </c>
      <c r="E31" s="32" t="s">
        <v>18</v>
      </c>
      <c r="F31" s="7" t="s">
        <v>33</v>
      </c>
      <c r="G31" s="2" t="s">
        <v>12</v>
      </c>
      <c r="H31" s="7"/>
      <c r="I31" s="26"/>
      <c r="J31" s="26"/>
      <c r="K31" s="7"/>
      <c r="L31" s="7"/>
      <c r="M31" s="2" t="s">
        <v>23</v>
      </c>
      <c r="N31" s="18"/>
      <c r="O31" s="7"/>
      <c r="P31" s="91"/>
      <c r="Q31" s="7"/>
      <c r="R31" s="7"/>
      <c r="S31" s="23"/>
      <c r="U31" s="3"/>
      <c r="V31" s="3"/>
      <c r="X31" s="33"/>
      <c r="AA31" s="3"/>
    </row>
    <row r="32" spans="1:27" s="2" customFormat="1" hidden="1" x14ac:dyDescent="0.25">
      <c r="A32" s="4"/>
      <c r="B32" s="2" t="s">
        <v>43</v>
      </c>
      <c r="C32" s="2" t="s">
        <v>5</v>
      </c>
      <c r="D32" s="2" t="s">
        <v>23</v>
      </c>
      <c r="E32" s="32" t="s">
        <v>18</v>
      </c>
      <c r="F32" s="7" t="s">
        <v>33</v>
      </c>
      <c r="G32" s="2" t="s">
        <v>13</v>
      </c>
      <c r="H32" s="7"/>
      <c r="I32" s="26"/>
      <c r="J32" s="26"/>
      <c r="K32" s="7"/>
      <c r="L32" s="7"/>
      <c r="M32" s="2" t="s">
        <v>23</v>
      </c>
      <c r="N32" s="18"/>
      <c r="O32" s="7"/>
      <c r="P32" s="91"/>
      <c r="Q32" s="7"/>
      <c r="R32" s="7"/>
      <c r="S32" s="23"/>
      <c r="U32" s="3"/>
      <c r="V32" s="3"/>
      <c r="X32" s="33"/>
      <c r="AA32" s="3"/>
    </row>
    <row r="33" spans="1:27" s="2" customFormat="1" hidden="1" x14ac:dyDescent="0.25">
      <c r="A33" s="11" t="s">
        <v>85</v>
      </c>
      <c r="B33" s="9" t="s">
        <v>43</v>
      </c>
      <c r="C33" s="9" t="s">
        <v>5</v>
      </c>
      <c r="D33" s="9" t="s">
        <v>23</v>
      </c>
      <c r="E33" s="38" t="s">
        <v>18</v>
      </c>
      <c r="F33" s="38" t="s">
        <v>33</v>
      </c>
      <c r="G33" s="9" t="s">
        <v>14</v>
      </c>
      <c r="H33" s="38" t="s">
        <v>24</v>
      </c>
      <c r="I33" s="52"/>
      <c r="J33" s="52"/>
      <c r="K33" s="38"/>
      <c r="L33" s="38"/>
      <c r="M33" s="9" t="s">
        <v>24</v>
      </c>
      <c r="N33" s="38" t="s">
        <v>24</v>
      </c>
      <c r="O33" s="38" t="s">
        <v>24</v>
      </c>
      <c r="P33" s="93" t="s">
        <v>24</v>
      </c>
      <c r="Q33" s="44" t="s">
        <v>24</v>
      </c>
      <c r="R33" s="44" t="s">
        <v>24</v>
      </c>
      <c r="S33" s="27" t="s">
        <v>24</v>
      </c>
      <c r="T33" s="12" t="s">
        <v>24</v>
      </c>
      <c r="U33" s="10" t="s">
        <v>24</v>
      </c>
      <c r="V33" s="10" t="s">
        <v>24</v>
      </c>
      <c r="W33" s="12" t="s">
        <v>24</v>
      </c>
      <c r="X33" s="48" t="s">
        <v>24</v>
      </c>
      <c r="Y33" s="10" t="s">
        <v>24</v>
      </c>
      <c r="Z33" s="10" t="s">
        <v>24</v>
      </c>
      <c r="AA33" s="3"/>
    </row>
    <row r="34" spans="1:27" s="2" customFormat="1" hidden="1" x14ac:dyDescent="0.25">
      <c r="A34" s="4"/>
      <c r="B34" s="2" t="s">
        <v>43</v>
      </c>
      <c r="C34" s="2" t="s">
        <v>5</v>
      </c>
      <c r="D34" s="2" t="s">
        <v>23</v>
      </c>
      <c r="E34" s="32" t="s">
        <v>18</v>
      </c>
      <c r="F34" s="7" t="s">
        <v>33</v>
      </c>
      <c r="G34" s="2" t="s">
        <v>18</v>
      </c>
      <c r="H34" s="7"/>
      <c r="I34" s="26"/>
      <c r="J34" s="26"/>
      <c r="K34" s="7"/>
      <c r="L34" s="7"/>
      <c r="M34" s="2" t="s">
        <v>23</v>
      </c>
      <c r="N34" s="18"/>
      <c r="O34" s="7"/>
      <c r="P34" s="91"/>
      <c r="Q34" s="7"/>
      <c r="R34" s="7"/>
      <c r="S34" s="23"/>
      <c r="U34" s="3"/>
      <c r="V34" s="3"/>
      <c r="X34" s="33"/>
      <c r="AA34" s="3"/>
    </row>
    <row r="35" spans="1:27" s="2" customFormat="1" hidden="1" x14ac:dyDescent="0.25">
      <c r="A35" s="4"/>
      <c r="B35" s="2" t="s">
        <v>43</v>
      </c>
      <c r="C35" s="2" t="s">
        <v>5</v>
      </c>
      <c r="D35" s="2" t="s">
        <v>23</v>
      </c>
      <c r="E35" s="32" t="s">
        <v>18</v>
      </c>
      <c r="F35" s="7" t="s">
        <v>33</v>
      </c>
      <c r="G35" s="2" t="s">
        <v>15</v>
      </c>
      <c r="H35" s="7"/>
      <c r="I35" s="26"/>
      <c r="J35" s="26"/>
      <c r="K35" s="7"/>
      <c r="L35" s="7"/>
      <c r="M35" s="2" t="s">
        <v>23</v>
      </c>
      <c r="N35" s="18"/>
      <c r="O35" s="7"/>
      <c r="P35" s="91"/>
      <c r="Q35" s="7"/>
      <c r="R35" s="7"/>
      <c r="S35" s="23"/>
      <c r="U35" s="3"/>
      <c r="V35" s="3"/>
      <c r="X35" s="33"/>
      <c r="AA35" s="3"/>
    </row>
    <row r="36" spans="1:27" s="15" customFormat="1" hidden="1" x14ac:dyDescent="0.25">
      <c r="A36" s="4"/>
      <c r="B36" s="2" t="s">
        <v>43</v>
      </c>
      <c r="C36" s="2" t="s">
        <v>5</v>
      </c>
      <c r="D36" s="2" t="s">
        <v>23</v>
      </c>
      <c r="E36" s="32" t="s">
        <v>18</v>
      </c>
      <c r="F36" s="7" t="s">
        <v>33</v>
      </c>
      <c r="G36" s="2" t="s">
        <v>16</v>
      </c>
      <c r="H36" s="7"/>
      <c r="I36" s="26"/>
      <c r="J36" s="26"/>
      <c r="K36" s="7"/>
      <c r="L36" s="7"/>
      <c r="M36" s="2" t="s">
        <v>23</v>
      </c>
      <c r="N36" s="18"/>
      <c r="O36" s="7"/>
      <c r="P36" s="91"/>
      <c r="Q36" s="7"/>
      <c r="R36" s="7"/>
      <c r="S36" s="23"/>
      <c r="T36" s="2"/>
      <c r="U36" s="3"/>
      <c r="V36" s="3"/>
      <c r="W36" s="2"/>
      <c r="X36" s="33"/>
      <c r="Y36" s="2"/>
      <c r="Z36" s="2"/>
      <c r="AA36" s="3"/>
    </row>
    <row r="37" spans="1:27" s="2" customFormat="1" hidden="1" x14ac:dyDescent="0.25">
      <c r="A37" s="4"/>
      <c r="B37" s="2" t="s">
        <v>43</v>
      </c>
      <c r="C37" s="2" t="s">
        <v>5</v>
      </c>
      <c r="D37" s="2" t="s">
        <v>23</v>
      </c>
      <c r="E37" s="32" t="s">
        <v>18</v>
      </c>
      <c r="F37" s="7" t="s">
        <v>33</v>
      </c>
      <c r="G37" s="2" t="s">
        <v>21</v>
      </c>
      <c r="H37" s="7"/>
      <c r="I37" s="26"/>
      <c r="J37" s="26"/>
      <c r="K37" s="7"/>
      <c r="L37" s="7"/>
      <c r="M37" s="2" t="s">
        <v>23</v>
      </c>
      <c r="N37" s="18"/>
      <c r="O37" s="7"/>
      <c r="P37" s="91"/>
      <c r="Q37" s="34"/>
      <c r="R37" s="34"/>
      <c r="S37" s="23"/>
      <c r="T37" s="5"/>
      <c r="U37" s="3"/>
      <c r="V37" s="3"/>
      <c r="W37" s="5"/>
      <c r="X37" s="33"/>
      <c r="AA37" s="3"/>
    </row>
    <row r="38" spans="1:27" s="2" customFormat="1" hidden="1" x14ac:dyDescent="0.25">
      <c r="A38" s="4"/>
      <c r="B38" s="2" t="s">
        <v>43</v>
      </c>
      <c r="C38" s="2" t="s">
        <v>5</v>
      </c>
      <c r="D38" s="2" t="s">
        <v>23</v>
      </c>
      <c r="E38" s="32" t="s">
        <v>18</v>
      </c>
      <c r="F38" s="7" t="s">
        <v>33</v>
      </c>
      <c r="G38" s="2" t="s">
        <v>17</v>
      </c>
      <c r="H38" s="7"/>
      <c r="I38" s="26"/>
      <c r="J38" s="26"/>
      <c r="K38" s="7"/>
      <c r="L38" s="7"/>
      <c r="M38" s="2" t="s">
        <v>23</v>
      </c>
      <c r="N38" s="18"/>
      <c r="O38" s="7"/>
      <c r="P38" s="91"/>
      <c r="Q38" s="7"/>
      <c r="R38" s="7"/>
      <c r="S38" s="23"/>
      <c r="U38" s="3"/>
      <c r="V38" s="3"/>
      <c r="X38" s="33"/>
      <c r="AA38" s="3"/>
    </row>
    <row r="39" spans="1:27" s="15" customFormat="1" hidden="1" x14ac:dyDescent="0.25">
      <c r="A39" s="4"/>
      <c r="B39" s="2" t="s">
        <v>43</v>
      </c>
      <c r="C39" s="2" t="s">
        <v>5</v>
      </c>
      <c r="D39" s="2" t="s">
        <v>23</v>
      </c>
      <c r="E39" s="32" t="s">
        <v>18</v>
      </c>
      <c r="F39" s="7" t="s">
        <v>33</v>
      </c>
      <c r="G39" s="2" t="s">
        <v>42</v>
      </c>
      <c r="H39" s="7"/>
      <c r="I39" s="26"/>
      <c r="J39" s="26"/>
      <c r="K39" s="7"/>
      <c r="L39" s="7"/>
      <c r="M39" s="2" t="s">
        <v>23</v>
      </c>
      <c r="N39" s="18"/>
      <c r="O39" s="7"/>
      <c r="P39" s="91"/>
      <c r="Q39" s="7"/>
      <c r="R39" s="7"/>
      <c r="S39" s="23"/>
      <c r="T39" s="2"/>
      <c r="U39" s="3"/>
      <c r="V39" s="3"/>
      <c r="W39" s="2"/>
      <c r="X39" s="33"/>
      <c r="Y39" s="2"/>
      <c r="Z39" s="2"/>
      <c r="AA39" s="3"/>
    </row>
    <row r="40" spans="1:27" s="2" customFormat="1" hidden="1" x14ac:dyDescent="0.25">
      <c r="A40" s="4"/>
      <c r="B40" s="2" t="s">
        <v>43</v>
      </c>
      <c r="C40" s="2" t="s">
        <v>5</v>
      </c>
      <c r="D40" s="2" t="s">
        <v>23</v>
      </c>
      <c r="E40" s="32" t="s">
        <v>18</v>
      </c>
      <c r="F40" s="7" t="s">
        <v>33</v>
      </c>
      <c r="G40" s="2" t="s">
        <v>4</v>
      </c>
      <c r="H40" s="7"/>
      <c r="I40" s="26"/>
      <c r="J40" s="26"/>
      <c r="K40" s="7"/>
      <c r="L40" s="7"/>
      <c r="M40" s="2" t="s">
        <v>23</v>
      </c>
      <c r="N40" s="18"/>
      <c r="O40" s="7"/>
      <c r="P40" s="91"/>
      <c r="Q40" s="7"/>
      <c r="R40" s="7"/>
      <c r="S40" s="23"/>
      <c r="U40" s="3"/>
      <c r="V40" s="3"/>
      <c r="X40" s="33"/>
      <c r="AA40" s="3"/>
    </row>
    <row r="41" spans="1:27" s="2" customFormat="1" x14ac:dyDescent="0.25">
      <c r="A41" s="4"/>
      <c r="B41" s="15" t="s">
        <v>3</v>
      </c>
      <c r="C41" s="15" t="s">
        <v>7</v>
      </c>
      <c r="D41" s="15" t="s">
        <v>23</v>
      </c>
      <c r="E41" s="32" t="s">
        <v>18</v>
      </c>
      <c r="F41" s="32"/>
      <c r="G41" s="15"/>
      <c r="H41" s="32"/>
      <c r="I41" s="50"/>
      <c r="J41" s="50"/>
      <c r="K41" s="32"/>
      <c r="L41" s="32"/>
      <c r="M41" s="15" t="s">
        <v>24</v>
      </c>
      <c r="N41" s="40"/>
      <c r="O41" s="32"/>
      <c r="P41" s="92"/>
      <c r="Q41" s="45"/>
      <c r="R41" s="45"/>
      <c r="S41" s="24"/>
      <c r="T41" s="16"/>
      <c r="U41" s="17"/>
      <c r="V41" s="17"/>
      <c r="W41" s="16"/>
      <c r="X41" s="39"/>
      <c r="Y41" s="15"/>
      <c r="Z41" s="15"/>
      <c r="AA41" s="3"/>
    </row>
    <row r="42" spans="1:27" s="2" customFormat="1" hidden="1" x14ac:dyDescent="0.25">
      <c r="A42" s="4"/>
      <c r="B42" s="2" t="s">
        <v>43</v>
      </c>
      <c r="C42" s="15" t="s">
        <v>7</v>
      </c>
      <c r="D42" s="2" t="s">
        <v>23</v>
      </c>
      <c r="E42" s="32" t="s">
        <v>18</v>
      </c>
      <c r="F42" s="7"/>
      <c r="H42" s="7"/>
      <c r="I42" s="26"/>
      <c r="J42" s="26"/>
      <c r="K42" s="7"/>
      <c r="L42" s="7"/>
      <c r="M42" s="2" t="s">
        <v>24</v>
      </c>
      <c r="N42" s="35"/>
      <c r="O42" s="7"/>
      <c r="P42" s="91"/>
      <c r="Q42" s="25"/>
      <c r="R42" s="25"/>
      <c r="S42" s="23"/>
      <c r="T42" s="5"/>
      <c r="U42" s="3"/>
      <c r="V42" s="3"/>
      <c r="W42" s="5"/>
      <c r="X42" s="33"/>
      <c r="AA42" s="3"/>
    </row>
    <row r="43" spans="1:27" s="15" customFormat="1" hidden="1" x14ac:dyDescent="0.25">
      <c r="A43" s="4" t="s">
        <v>92</v>
      </c>
      <c r="B43" s="15" t="s">
        <v>44</v>
      </c>
      <c r="C43" s="15" t="s">
        <v>68</v>
      </c>
      <c r="D43" s="2" t="s">
        <v>24</v>
      </c>
      <c r="E43" s="32" t="s">
        <v>18</v>
      </c>
      <c r="F43" s="7" t="s">
        <v>33</v>
      </c>
      <c r="G43" s="2" t="s">
        <v>59</v>
      </c>
      <c r="H43" s="7"/>
      <c r="I43" s="26"/>
      <c r="J43" s="26"/>
      <c r="K43" s="7"/>
      <c r="L43" s="7"/>
      <c r="M43" s="2" t="s">
        <v>24</v>
      </c>
      <c r="N43" s="35" t="s">
        <v>24</v>
      </c>
      <c r="O43" s="7" t="s">
        <v>24</v>
      </c>
      <c r="P43" s="91"/>
      <c r="Q43" s="7"/>
      <c r="R43" s="7"/>
      <c r="S43" s="23"/>
      <c r="T43" s="2"/>
      <c r="U43" s="3"/>
      <c r="V43" s="3"/>
      <c r="W43" s="2"/>
      <c r="X43" s="33"/>
      <c r="Y43" s="2" t="s">
        <v>57</v>
      </c>
      <c r="Z43" s="2"/>
      <c r="AA43" s="3"/>
    </row>
    <row r="44" spans="1:27" s="2" customFormat="1" hidden="1" x14ac:dyDescent="0.25">
      <c r="A44" s="4"/>
      <c r="B44" s="2" t="s">
        <v>43</v>
      </c>
      <c r="C44" s="15" t="s">
        <v>30</v>
      </c>
      <c r="D44" s="2" t="s">
        <v>23</v>
      </c>
      <c r="E44" s="32" t="s">
        <v>18</v>
      </c>
      <c r="F44" s="7"/>
      <c r="H44" s="7"/>
      <c r="I44" s="26"/>
      <c r="J44" s="26"/>
      <c r="K44" s="7"/>
      <c r="L44" s="7"/>
      <c r="M44" s="2" t="s">
        <v>24</v>
      </c>
      <c r="N44" s="35"/>
      <c r="O44" s="7"/>
      <c r="P44" s="91"/>
      <c r="Q44" s="25"/>
      <c r="R44" s="25"/>
      <c r="S44" s="23"/>
      <c r="T44" s="5"/>
      <c r="U44" s="3"/>
      <c r="V44" s="3"/>
      <c r="W44" s="5"/>
      <c r="X44" s="33"/>
      <c r="AA44" s="3"/>
    </row>
    <row r="45" spans="1:27" s="2" customFormat="1" x14ac:dyDescent="0.25">
      <c r="A45" s="4"/>
      <c r="B45" s="15" t="s">
        <v>3</v>
      </c>
      <c r="C45" s="15" t="s">
        <v>69</v>
      </c>
      <c r="D45" s="15" t="s">
        <v>88</v>
      </c>
      <c r="E45" s="32" t="s">
        <v>18</v>
      </c>
      <c r="F45" s="32"/>
      <c r="G45" s="15" t="s">
        <v>88</v>
      </c>
      <c r="H45" s="32"/>
      <c r="I45" s="50"/>
      <c r="J45" s="50"/>
      <c r="K45" s="32"/>
      <c r="L45" s="32"/>
      <c r="M45" s="17" t="s">
        <v>24</v>
      </c>
      <c r="N45" s="40" t="s">
        <v>24</v>
      </c>
      <c r="O45" s="32" t="s">
        <v>24</v>
      </c>
      <c r="P45" s="92">
        <v>0</v>
      </c>
      <c r="Q45" s="43">
        <v>0</v>
      </c>
      <c r="R45" s="43">
        <v>0</v>
      </c>
      <c r="S45" s="24">
        <v>0</v>
      </c>
      <c r="T45" s="16"/>
      <c r="U45" s="17">
        <v>0</v>
      </c>
      <c r="V45" s="17">
        <v>0</v>
      </c>
      <c r="W45" s="16"/>
      <c r="X45" s="39"/>
      <c r="Y45" s="15"/>
      <c r="Z45" s="15"/>
      <c r="AA45" s="3"/>
    </row>
    <row r="46" spans="1:27" s="2" customFormat="1" hidden="1" x14ac:dyDescent="0.25">
      <c r="A46" s="4"/>
      <c r="B46" s="15" t="s">
        <v>44</v>
      </c>
      <c r="C46" s="15" t="s">
        <v>69</v>
      </c>
      <c r="D46" s="15"/>
      <c r="E46" s="32" t="s">
        <v>18</v>
      </c>
      <c r="F46" s="32" t="s">
        <v>73</v>
      </c>
      <c r="G46" s="2" t="s">
        <v>91</v>
      </c>
      <c r="H46" s="32"/>
      <c r="I46" s="50"/>
      <c r="J46" s="50"/>
      <c r="K46" s="32"/>
      <c r="L46" s="32"/>
      <c r="M46" s="2" t="s">
        <v>24</v>
      </c>
      <c r="N46" s="35" t="s">
        <v>24</v>
      </c>
      <c r="O46" s="32" t="s">
        <v>24</v>
      </c>
      <c r="P46" s="91">
        <v>0</v>
      </c>
      <c r="Q46" s="25">
        <v>0</v>
      </c>
      <c r="R46" s="25">
        <v>0</v>
      </c>
      <c r="S46" s="23">
        <v>-2</v>
      </c>
      <c r="T46" s="16"/>
      <c r="U46" s="17"/>
      <c r="V46" s="17"/>
      <c r="W46" s="16"/>
      <c r="X46" s="39"/>
      <c r="Y46" s="15" t="s">
        <v>73</v>
      </c>
      <c r="Z46" s="15"/>
      <c r="AA46" s="3"/>
    </row>
    <row r="47" spans="1:27" s="2" customFormat="1" hidden="1" x14ac:dyDescent="0.25">
      <c r="A47" s="4" t="s">
        <v>93</v>
      </c>
      <c r="B47" s="15" t="s">
        <v>44</v>
      </c>
      <c r="C47" s="15" t="s">
        <v>69</v>
      </c>
      <c r="D47" s="15"/>
      <c r="E47" s="32" t="s">
        <v>18</v>
      </c>
      <c r="F47" s="32"/>
      <c r="G47" s="2" t="s">
        <v>90</v>
      </c>
      <c r="H47" s="32"/>
      <c r="I47" s="50"/>
      <c r="J47" s="50"/>
      <c r="K47" s="32"/>
      <c r="L47" s="32"/>
      <c r="M47" s="2" t="s">
        <v>24</v>
      </c>
      <c r="N47" s="35" t="s">
        <v>24</v>
      </c>
      <c r="O47" s="32" t="s">
        <v>24</v>
      </c>
      <c r="P47" s="91">
        <v>0</v>
      </c>
      <c r="Q47" s="25">
        <v>0</v>
      </c>
      <c r="R47" s="25">
        <v>0</v>
      </c>
      <c r="S47" s="23">
        <v>-1</v>
      </c>
      <c r="T47" s="16"/>
      <c r="U47" s="17"/>
      <c r="V47" s="17"/>
      <c r="W47" s="16"/>
      <c r="X47" s="39"/>
      <c r="Y47" s="15"/>
      <c r="Z47" s="15"/>
      <c r="AA47" s="3"/>
    </row>
    <row r="48" spans="1:27" s="2" customFormat="1" hidden="1" x14ac:dyDescent="0.25">
      <c r="A48" s="4"/>
      <c r="B48" s="15" t="s">
        <v>44</v>
      </c>
      <c r="C48" s="15" t="s">
        <v>69</v>
      </c>
      <c r="D48" s="2" t="s">
        <v>58</v>
      </c>
      <c r="E48" s="32" t="s">
        <v>18</v>
      </c>
      <c r="F48" s="7" t="s">
        <v>32</v>
      </c>
      <c r="G48" s="2" t="s">
        <v>89</v>
      </c>
      <c r="H48" s="7"/>
      <c r="I48" s="26"/>
      <c r="J48" s="26"/>
      <c r="K48" s="7"/>
      <c r="L48" s="7"/>
      <c r="M48" s="2" t="s">
        <v>24</v>
      </c>
      <c r="N48" s="35" t="s">
        <v>24</v>
      </c>
      <c r="O48" s="7" t="s">
        <v>24</v>
      </c>
      <c r="P48" s="91">
        <v>0</v>
      </c>
      <c r="Q48" s="25">
        <v>0</v>
      </c>
      <c r="R48" s="25">
        <v>0</v>
      </c>
      <c r="S48" s="23">
        <v>0</v>
      </c>
      <c r="T48" s="5"/>
      <c r="U48" s="3">
        <v>0</v>
      </c>
      <c r="V48" s="3">
        <v>0</v>
      </c>
      <c r="W48" s="5"/>
      <c r="X48" s="33"/>
      <c r="Y48" s="2" t="s">
        <v>32</v>
      </c>
      <c r="AA48" s="3"/>
    </row>
    <row r="49" spans="1:27" s="2" customFormat="1" x14ac:dyDescent="0.25">
      <c r="A49" s="4"/>
      <c r="B49" s="15" t="s">
        <v>3</v>
      </c>
      <c r="C49" s="15" t="s">
        <v>27</v>
      </c>
      <c r="D49" s="15" t="s">
        <v>87</v>
      </c>
      <c r="E49" s="32" t="s">
        <v>18</v>
      </c>
      <c r="F49" s="32" t="s">
        <v>32</v>
      </c>
      <c r="G49" s="15" t="s">
        <v>86</v>
      </c>
      <c r="H49" s="32" t="s">
        <v>83</v>
      </c>
      <c r="I49" s="50"/>
      <c r="J49" s="50"/>
      <c r="K49" s="32"/>
      <c r="L49" s="32"/>
      <c r="M49" s="15" t="s">
        <v>24</v>
      </c>
      <c r="N49" s="40" t="s">
        <v>24</v>
      </c>
      <c r="O49" s="32" t="s">
        <v>24</v>
      </c>
      <c r="P49" s="91" t="s">
        <v>8</v>
      </c>
      <c r="Q49" s="7">
        <v>0</v>
      </c>
      <c r="R49" s="7">
        <v>0</v>
      </c>
      <c r="S49" s="23">
        <v>0</v>
      </c>
      <c r="T49" s="15"/>
      <c r="U49" s="17">
        <v>0</v>
      </c>
      <c r="V49" s="17">
        <v>0</v>
      </c>
      <c r="W49" s="15"/>
      <c r="X49" s="39">
        <v>0</v>
      </c>
      <c r="Y49" s="15"/>
      <c r="Z49" s="15"/>
      <c r="AA49" s="3"/>
    </row>
    <row r="50" spans="1:27" s="2" customFormat="1" hidden="1" x14ac:dyDescent="0.25">
      <c r="A50" s="4"/>
      <c r="B50" s="2" t="s">
        <v>43</v>
      </c>
      <c r="C50" s="15" t="s">
        <v>27</v>
      </c>
      <c r="D50" s="2" t="s">
        <v>23</v>
      </c>
      <c r="E50" s="32" t="s">
        <v>18</v>
      </c>
      <c r="F50" s="38"/>
      <c r="G50" s="9"/>
      <c r="H50" s="38"/>
      <c r="I50" s="52"/>
      <c r="J50" s="52"/>
      <c r="K50" s="38"/>
      <c r="L50" s="38"/>
      <c r="M50" s="2" t="s">
        <v>24</v>
      </c>
      <c r="N50" s="35"/>
      <c r="O50" s="38"/>
      <c r="P50" s="93"/>
      <c r="Q50" s="44"/>
      <c r="R50" s="44"/>
      <c r="S50" s="23"/>
      <c r="T50" s="12"/>
      <c r="U50" s="3">
        <v>0</v>
      </c>
      <c r="V50" s="3">
        <v>0</v>
      </c>
      <c r="W50" s="12"/>
      <c r="X50" s="33">
        <v>0</v>
      </c>
      <c r="Y50" s="9"/>
      <c r="Z50" s="9"/>
      <c r="AA50" s="3"/>
    </row>
    <row r="51" spans="1:27" s="2" customFormat="1" hidden="1" x14ac:dyDescent="0.25">
      <c r="A51" s="4"/>
      <c r="B51" s="15" t="s">
        <v>44</v>
      </c>
      <c r="C51" s="15" t="s">
        <v>27</v>
      </c>
      <c r="D51" s="2" t="s">
        <v>84</v>
      </c>
      <c r="E51" s="32" t="s">
        <v>18</v>
      </c>
      <c r="F51" s="7" t="s">
        <v>32</v>
      </c>
      <c r="G51" s="2" t="s">
        <v>49</v>
      </c>
      <c r="H51" s="7" t="s">
        <v>82</v>
      </c>
      <c r="I51" s="26"/>
      <c r="J51" s="26"/>
      <c r="K51" s="7"/>
      <c r="L51" s="7"/>
      <c r="M51" s="2" t="s">
        <v>24</v>
      </c>
      <c r="N51" s="35" t="s">
        <v>24</v>
      </c>
      <c r="O51" s="7" t="s">
        <v>24</v>
      </c>
      <c r="P51" s="91" t="s">
        <v>8</v>
      </c>
      <c r="Q51" s="7">
        <v>0</v>
      </c>
      <c r="R51" s="7">
        <v>0</v>
      </c>
      <c r="S51" s="23">
        <v>0</v>
      </c>
      <c r="U51" s="3"/>
      <c r="V51" s="3"/>
      <c r="X51" s="33"/>
      <c r="Y51" s="2" t="s">
        <v>32</v>
      </c>
      <c r="AA51" s="3"/>
    </row>
    <row r="52" spans="1:27" s="2" customFormat="1" hidden="1" x14ac:dyDescent="0.25">
      <c r="A52" s="4"/>
      <c r="B52" s="15" t="s">
        <v>44</v>
      </c>
      <c r="C52" s="15" t="s">
        <v>27</v>
      </c>
      <c r="E52" s="32" t="s">
        <v>18</v>
      </c>
      <c r="F52" s="7" t="s">
        <v>33</v>
      </c>
      <c r="G52" s="2" t="s">
        <v>48</v>
      </c>
      <c r="H52" s="7" t="s">
        <v>82</v>
      </c>
      <c r="I52" s="26"/>
      <c r="J52" s="26"/>
      <c r="K52" s="7"/>
      <c r="L52" s="7"/>
      <c r="M52" s="2" t="s">
        <v>24</v>
      </c>
      <c r="N52" s="35" t="s">
        <v>24</v>
      </c>
      <c r="O52" s="7" t="s">
        <v>24</v>
      </c>
      <c r="P52" s="91"/>
      <c r="Q52" s="7"/>
      <c r="R52" s="7"/>
      <c r="S52" s="23"/>
      <c r="U52" s="3"/>
      <c r="V52" s="3"/>
      <c r="X52" s="33"/>
      <c r="Y52" s="2" t="s">
        <v>18</v>
      </c>
      <c r="AA52" s="3"/>
    </row>
    <row r="53" spans="1:27" s="2" customFormat="1" x14ac:dyDescent="0.25">
      <c r="A53" s="4"/>
      <c r="B53" s="15" t="s">
        <v>3</v>
      </c>
      <c r="C53" s="15"/>
      <c r="D53" s="15" t="s">
        <v>23</v>
      </c>
      <c r="E53" s="32" t="s">
        <v>18</v>
      </c>
      <c r="F53" s="32" t="s">
        <v>32</v>
      </c>
      <c r="G53" s="15"/>
      <c r="H53" s="32"/>
      <c r="I53" s="50"/>
      <c r="J53" s="50"/>
      <c r="K53" s="32"/>
      <c r="L53" s="32"/>
      <c r="M53" s="15" t="s">
        <v>24</v>
      </c>
      <c r="N53" s="40"/>
      <c r="O53" s="32"/>
      <c r="P53" s="92"/>
      <c r="Q53" s="32"/>
      <c r="R53" s="32"/>
      <c r="S53" s="24"/>
      <c r="T53" s="15"/>
      <c r="U53" s="17"/>
      <c r="V53" s="17"/>
      <c r="W53" s="15"/>
      <c r="X53" s="39"/>
      <c r="Y53" s="15"/>
      <c r="Z53" s="15"/>
      <c r="AA53" s="3"/>
    </row>
    <row r="54" spans="1:27" s="2" customFormat="1" x14ac:dyDescent="0.25">
      <c r="A54" s="15"/>
      <c r="B54" s="15"/>
      <c r="C54" s="54" t="s">
        <v>143</v>
      </c>
      <c r="D54" s="15"/>
      <c r="E54" s="32"/>
      <c r="F54" s="32"/>
      <c r="H54" s="35"/>
      <c r="I54" s="26"/>
      <c r="J54" s="26"/>
      <c r="K54" s="35"/>
      <c r="L54" s="35"/>
      <c r="M54" s="4"/>
      <c r="N54" s="35"/>
      <c r="O54" s="35"/>
      <c r="P54" s="91"/>
      <c r="Q54" s="26"/>
      <c r="R54" s="7"/>
      <c r="S54" s="3"/>
      <c r="T54" s="3"/>
      <c r="U54" s="3"/>
      <c r="V54" s="3"/>
      <c r="W54" s="3"/>
      <c r="X54" s="33"/>
    </row>
    <row r="55" spans="1:27" s="2" customFormat="1" x14ac:dyDescent="0.25">
      <c r="A55" s="15"/>
      <c r="B55" s="15"/>
      <c r="C55" s="15"/>
      <c r="D55" s="15"/>
      <c r="E55" s="15"/>
      <c r="F55" s="15"/>
      <c r="I55" s="23"/>
      <c r="J55" s="23"/>
      <c r="M55" s="4"/>
      <c r="N55" s="4"/>
      <c r="P55"/>
      <c r="T55" s="23"/>
      <c r="V55" s="3"/>
      <c r="W55" s="3"/>
      <c r="X55" s="3"/>
    </row>
    <row r="56" spans="1:27" s="2" customFormat="1" x14ac:dyDescent="0.25">
      <c r="A56" s="15"/>
      <c r="B56" s="15"/>
      <c r="C56" s="15"/>
      <c r="D56" s="15"/>
      <c r="E56" s="15"/>
      <c r="F56" s="15"/>
      <c r="I56" s="23"/>
      <c r="J56" s="23"/>
      <c r="M56" s="4"/>
      <c r="N56" s="4"/>
      <c r="P56"/>
      <c r="T56" s="23"/>
      <c r="V56" s="3"/>
      <c r="W56" s="3"/>
      <c r="X56" s="3"/>
    </row>
  </sheetData>
  <conditionalFormatting sqref="C7:D7 P7:X7 C11:D11 M11 H47:L47">
    <cfRule type="cellIs" dxfId="6" priority="7" operator="equal">
      <formula>"usdt"</formula>
    </cfRule>
  </conditionalFormatting>
  <conditionalFormatting sqref="F1:F54 Y1:Z54">
    <cfRule type="cellIs" dxfId="5" priority="2" operator="equal">
      <formula>"USDC"</formula>
    </cfRule>
    <cfRule type="cellIs" dxfId="4" priority="3" operator="equal">
      <formula>"usdt"</formula>
    </cfRule>
  </conditionalFormatting>
  <conditionalFormatting sqref="G28">
    <cfRule type="cellIs" dxfId="3" priority="5" operator="equal">
      <formula>"usdt"</formula>
    </cfRule>
  </conditionalFormatting>
  <conditionalFormatting sqref="G47:G48">
    <cfRule type="cellIs" dxfId="2" priority="4" operator="equal">
      <formula>"usdt"</formula>
    </cfRule>
  </conditionalFormatting>
  <conditionalFormatting sqref="O47">
    <cfRule type="cellIs" dxfId="1" priority="1" operator="equal">
      <formula>"usdt"</formula>
    </cfRule>
  </conditionalFormatting>
  <conditionalFormatting sqref="AA11">
    <cfRule type="cellIs" dxfId="0" priority="6" operator="equal">
      <formula>"usdt"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Crypto Inputs</vt:lpstr>
      <vt:lpstr>Equity Inputs</vt:lpstr>
      <vt:lpstr>Mkt Data Streaming Inputs</vt:lpstr>
      <vt:lpstr>Alts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cp:lastPrinted>2026-04-16T21:16:24Z</cp:lastPrinted>
  <dcterms:created xsi:type="dcterms:W3CDTF">2026-01-24T15:44:31Z</dcterms:created>
  <dcterms:modified xsi:type="dcterms:W3CDTF">2026-10-25T20:00:45Z</dcterms:modified>
</cp:coreProperties>
</file>