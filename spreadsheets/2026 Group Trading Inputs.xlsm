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micha\git-projects\trading\spreadsheets\"/>
    </mc:Choice>
  </mc:AlternateContent>
  <xr:revisionPtr revIDLastSave="0" documentId="13_ncr:1_{AD185FDB-9FD3-431F-B295-885DEBFB63C4}" xr6:coauthVersionLast="47" xr6:coauthVersionMax="47" xr10:uidLastSave="{00000000-0000-0000-0000-000000000000}"/>
  <bookViews>
    <workbookView xWindow="28680" yWindow="-120" windowWidth="29040" windowHeight="15720" tabRatio="762" activeTab="10" xr2:uid="{7864433A-DFC4-4915-B0C9-D347D4BABFCE}"/>
  </bookViews>
  <sheets>
    <sheet name="ADMIN INPUTS" sheetId="15" r:id="rId1"/>
    <sheet name="ANCHOR INPUTS" sheetId="16" r:id="rId2"/>
    <sheet name="SCALARS" sheetId="21" r:id="rId3"/>
    <sheet name="MKT DATA" sheetId="19" r:id="rId4"/>
    <sheet name="FIXED INCOME" sheetId="20" r:id="rId5"/>
    <sheet name="SECTORS" sheetId="23" r:id="rId6"/>
    <sheet name="CORPS" sheetId="25" r:id="rId7"/>
    <sheet name="TARGETS" sheetId="26" r:id="rId8"/>
    <sheet name="ADRS" sheetId="27" r:id="rId9"/>
    <sheet name="CEFS" sheetId="28" r:id="rId10"/>
    <sheet name="TRADING INPUTS" sheetId="24"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 i="23" l="1"/>
  <c r="B24" i="23"/>
  <c r="C24" i="23" a="1"/>
  <c r="D24" i="23" a="1"/>
  <c r="F24" i="23" a="1"/>
  <c r="H24" i="23" a="1"/>
  <c r="I24" i="23" a="1"/>
  <c r="L24" i="23" s="1"/>
  <c r="J24" i="23" a="1"/>
  <c r="M24" i="23" a="1"/>
  <c r="X24" i="23" a="1"/>
  <c r="AB24" i="23"/>
  <c r="AC24" i="23" a="1"/>
  <c r="A25" i="23"/>
  <c r="B25" i="23"/>
  <c r="C25" i="23" a="1"/>
  <c r="D25" i="23" a="1"/>
  <c r="F25" i="23" a="1"/>
  <c r="H25" i="23" a="1"/>
  <c r="I25" i="23" a="1"/>
  <c r="L25" i="23" s="1"/>
  <c r="J25" i="23" a="1"/>
  <c r="M25" i="23" a="1"/>
  <c r="X25" i="23" a="1"/>
  <c r="AB25" i="23"/>
  <c r="AC25" i="23" a="1"/>
  <c r="A26" i="23"/>
  <c r="B26" i="23"/>
  <c r="C26" i="23" a="1"/>
  <c r="D26" i="23" a="1"/>
  <c r="F26" i="23" a="1"/>
  <c r="H26" i="23" a="1"/>
  <c r="I26" i="23" a="1"/>
  <c r="L26" i="23" s="1"/>
  <c r="J26" i="23" a="1"/>
  <c r="M26" i="23" a="1"/>
  <c r="X26" i="23" a="1"/>
  <c r="AB26" i="23"/>
  <c r="AC26" i="23" a="1"/>
  <c r="A27" i="23"/>
  <c r="B27" i="23"/>
  <c r="C27" i="23" a="1"/>
  <c r="D27" i="23" a="1"/>
  <c r="F27" i="23" a="1"/>
  <c r="H27" i="23" a="1"/>
  <c r="I27" i="23" a="1"/>
  <c r="L27" i="23" s="1"/>
  <c r="J27" i="23" a="1"/>
  <c r="M27" i="23" a="1"/>
  <c r="X27" i="23" a="1"/>
  <c r="AB27" i="23"/>
  <c r="AC27" i="23" a="1"/>
  <c r="A29" i="23"/>
  <c r="B29" i="23"/>
  <c r="C29" i="23" a="1"/>
  <c r="D29" i="23" a="1"/>
  <c r="F29" i="23" a="1"/>
  <c r="H29" i="23" a="1"/>
  <c r="I29" i="23" a="1"/>
  <c r="L29" i="23" s="1"/>
  <c r="J29" i="23" a="1"/>
  <c r="M29" i="23" a="1"/>
  <c r="X29" i="23" a="1"/>
  <c r="AB29" i="23"/>
  <c r="AC29" i="23" a="1"/>
  <c r="A30" i="23"/>
  <c r="B30" i="23"/>
  <c r="C30" i="23" a="1"/>
  <c r="D30" i="23" a="1"/>
  <c r="F30" i="23" a="1"/>
  <c r="H30" i="23" a="1"/>
  <c r="I30" i="23" a="1"/>
  <c r="L30" i="23" s="1"/>
  <c r="J30" i="23" a="1"/>
  <c r="M30" i="23" a="1"/>
  <c r="X30" i="23" a="1"/>
  <c r="AB30" i="23"/>
  <c r="AC30" i="23" a="1"/>
  <c r="A31" i="23"/>
  <c r="B31" i="23"/>
  <c r="C31" i="23" a="1"/>
  <c r="D31" i="23" a="1"/>
  <c r="F31" i="23" a="1"/>
  <c r="H31" i="23" a="1"/>
  <c r="I31" i="23" a="1"/>
  <c r="L31" i="23" s="1"/>
  <c r="J31" i="23" a="1"/>
  <c r="M31" i="23" a="1"/>
  <c r="X31" i="23" a="1"/>
  <c r="AB31" i="23"/>
  <c r="AC31" i="23" a="1"/>
  <c r="A32" i="23"/>
  <c r="B32" i="23"/>
  <c r="C32" i="23" a="1"/>
  <c r="D32" i="23" a="1"/>
  <c r="F32" i="23" a="1"/>
  <c r="H32" i="23" a="1"/>
  <c r="I32" i="23" a="1"/>
  <c r="L32" i="23" s="1"/>
  <c r="J32" i="23" a="1"/>
  <c r="M32" i="23" a="1"/>
  <c r="X32" i="23" a="1"/>
  <c r="AB32" i="23"/>
  <c r="AC32" i="23" a="1"/>
  <c r="AB24" i="25"/>
  <c r="B24" i="25"/>
  <c r="A24" i="25"/>
  <c r="AB23" i="25"/>
  <c r="B23" i="25"/>
  <c r="A23" i="25"/>
  <c r="AB8" i="25"/>
  <c r="B8" i="25"/>
  <c r="A8" i="25"/>
  <c r="AB7" i="25"/>
  <c r="B7" i="25"/>
  <c r="A7" i="25"/>
  <c r="AB6" i="25"/>
  <c r="B6" i="25"/>
  <c r="A6" i="25"/>
  <c r="AB5" i="25"/>
  <c r="B5" i="25"/>
  <c r="A5" i="25"/>
  <c r="AB20" i="25"/>
  <c r="B20" i="25"/>
  <c r="A20" i="25"/>
  <c r="AB19" i="25"/>
  <c r="B19" i="25"/>
  <c r="A19" i="25"/>
  <c r="AB18" i="25"/>
  <c r="B18" i="25"/>
  <c r="A18" i="25"/>
  <c r="AB17" i="25"/>
  <c r="B17" i="25"/>
  <c r="A17" i="25"/>
  <c r="AB26" i="25"/>
  <c r="B26" i="25"/>
  <c r="A26" i="25"/>
  <c r="AB25" i="25"/>
  <c r="B25" i="25"/>
  <c r="A25" i="25"/>
  <c r="AC6" i="23" a="1"/>
  <c r="AB6" i="23"/>
  <c r="AC5" i="23" a="1"/>
  <c r="AB5" i="23"/>
  <c r="X6" i="23" a="1"/>
  <c r="X5" i="23" a="1"/>
  <c r="A90" i="24"/>
  <c r="B90" i="24"/>
  <c r="C90" i="24"/>
  <c r="D90" i="24"/>
  <c r="E90" i="24"/>
  <c r="F90" i="24"/>
  <c r="G90" i="24"/>
  <c r="A91" i="24"/>
  <c r="B91" i="24"/>
  <c r="C91" i="24"/>
  <c r="D91" i="24"/>
  <c r="E91" i="24"/>
  <c r="F91" i="24"/>
  <c r="G91" i="24"/>
  <c r="A92" i="24"/>
  <c r="B92" i="24"/>
  <c r="C92" i="24"/>
  <c r="D92" i="24"/>
  <c r="E92" i="24"/>
  <c r="F92" i="24"/>
  <c r="G92" i="24"/>
  <c r="A93" i="24"/>
  <c r="B93" i="24"/>
  <c r="C93" i="24"/>
  <c r="D93" i="24"/>
  <c r="E93" i="24"/>
  <c r="F93" i="24"/>
  <c r="G93" i="24"/>
  <c r="A94" i="24"/>
  <c r="B94" i="24"/>
  <c r="C94" i="24"/>
  <c r="D94" i="24"/>
  <c r="E94" i="24"/>
  <c r="F94" i="24"/>
  <c r="G94" i="24"/>
  <c r="A95" i="24"/>
  <c r="B95" i="24"/>
  <c r="C95" i="24"/>
  <c r="D95" i="24"/>
  <c r="E95" i="24"/>
  <c r="F95" i="24"/>
  <c r="G95" i="24"/>
  <c r="A96" i="24"/>
  <c r="B96" i="24"/>
  <c r="C96" i="24"/>
  <c r="D96" i="24"/>
  <c r="E96" i="24"/>
  <c r="F96" i="24"/>
  <c r="G96" i="24"/>
  <c r="A97" i="24"/>
  <c r="B97" i="24"/>
  <c r="C97" i="24"/>
  <c r="D97" i="24"/>
  <c r="E97" i="24"/>
  <c r="F97" i="24"/>
  <c r="G97" i="24"/>
  <c r="AB4" i="20"/>
  <c r="AB4" i="23"/>
  <c r="AB4" i="25"/>
  <c r="AB16" i="25"/>
  <c r="B16" i="25"/>
  <c r="A16" i="25"/>
  <c r="AB15" i="25"/>
  <c r="B15" i="25"/>
  <c r="A15" i="25"/>
  <c r="AB14" i="25"/>
  <c r="B14" i="25"/>
  <c r="A14" i="25"/>
  <c r="AB13" i="25"/>
  <c r="B13" i="25"/>
  <c r="A13" i="25"/>
  <c r="AB10" i="25"/>
  <c r="B10" i="25"/>
  <c r="A10" i="25"/>
  <c r="AB9" i="25"/>
  <c r="B9" i="25"/>
  <c r="A9" i="25"/>
  <c r="AB22" i="25"/>
  <c r="B22" i="25"/>
  <c r="A22" i="25"/>
  <c r="AB21" i="25"/>
  <c r="B21" i="25"/>
  <c r="A21" i="25"/>
  <c r="AB12" i="25"/>
  <c r="B12" i="25"/>
  <c r="A12" i="25"/>
  <c r="AB11" i="25"/>
  <c r="B11" i="25"/>
  <c r="A11" i="25"/>
  <c r="AB47" i="20"/>
  <c r="AB46" i="20"/>
  <c r="AB45" i="20"/>
  <c r="AB44" i="20"/>
  <c r="AB43" i="20"/>
  <c r="AB42" i="20"/>
  <c r="AB41" i="20"/>
  <c r="AB40" i="20"/>
  <c r="AB39" i="20"/>
  <c r="AB38" i="20"/>
  <c r="AB37" i="20"/>
  <c r="AB36" i="20"/>
  <c r="AB35" i="20"/>
  <c r="AB34" i="20"/>
  <c r="AB33" i="20"/>
  <c r="AB32" i="20"/>
  <c r="AB31" i="20"/>
  <c r="AB30" i="20"/>
  <c r="AB29" i="20"/>
  <c r="AB28" i="20"/>
  <c r="AB27" i="20"/>
  <c r="AB26" i="20"/>
  <c r="AB25" i="20"/>
  <c r="AB24" i="20"/>
  <c r="AB23" i="20"/>
  <c r="AB22" i="20"/>
  <c r="AB18" i="20"/>
  <c r="AB17" i="20"/>
  <c r="AB16" i="20"/>
  <c r="AB15" i="20"/>
  <c r="AB14" i="20"/>
  <c r="AB13" i="20"/>
  <c r="AB12" i="20"/>
  <c r="AB11" i="20"/>
  <c r="AB10" i="20"/>
  <c r="AB9" i="20"/>
  <c r="AB8" i="20"/>
  <c r="AB7" i="20"/>
  <c r="AB6" i="20"/>
  <c r="AB5" i="20"/>
  <c r="K20" i="20"/>
  <c r="AB22" i="23"/>
  <c r="AB21" i="23"/>
  <c r="AB20" i="23"/>
  <c r="AB19" i="23"/>
  <c r="AB18" i="23"/>
  <c r="AB17" i="23"/>
  <c r="AB16" i="23"/>
  <c r="AB15" i="23"/>
  <c r="AB14" i="23"/>
  <c r="AB13" i="23"/>
  <c r="AB12" i="23"/>
  <c r="AB11" i="23"/>
  <c r="AB10" i="23"/>
  <c r="AB9" i="23"/>
  <c r="AB8" i="23"/>
  <c r="AB7" i="23"/>
  <c r="AB34" i="23"/>
  <c r="AB35" i="23"/>
  <c r="AB36" i="23"/>
  <c r="AB37" i="23"/>
  <c r="AB38" i="23"/>
  <c r="AB39" i="23"/>
  <c r="AB40" i="23"/>
  <c r="AB41" i="23"/>
  <c r="AB42" i="23"/>
  <c r="AB43" i="23"/>
  <c r="AB44" i="23"/>
  <c r="AB45" i="23"/>
  <c r="AB46" i="23"/>
  <c r="AB47" i="23"/>
  <c r="AB48" i="23"/>
  <c r="AB49" i="23"/>
  <c r="AB50" i="23"/>
  <c r="AB51" i="23"/>
  <c r="G89" i="24"/>
  <c r="G88" i="24"/>
  <c r="G87" i="24"/>
  <c r="G86" i="24"/>
  <c r="G85" i="24"/>
  <c r="G84" i="24"/>
  <c r="G83" i="24"/>
  <c r="G82" i="24"/>
  <c r="G81" i="24"/>
  <c r="G80" i="24"/>
  <c r="G79" i="24"/>
  <c r="G78" i="24"/>
  <c r="G77" i="24"/>
  <c r="G76" i="24"/>
  <c r="G75" i="24"/>
  <c r="G74" i="24"/>
  <c r="G73" i="24"/>
  <c r="G72" i="24"/>
  <c r="G71" i="24"/>
  <c r="G70" i="24"/>
  <c r="G69" i="24"/>
  <c r="G68" i="24"/>
  <c r="G67" i="24"/>
  <c r="G66" i="24"/>
  <c r="G65" i="24"/>
  <c r="G64" i="24"/>
  <c r="G63" i="24"/>
  <c r="G62" i="24"/>
  <c r="G61" i="24"/>
  <c r="G60" i="24"/>
  <c r="G59" i="24"/>
  <c r="G58" i="24"/>
  <c r="G57" i="24"/>
  <c r="G56" i="24"/>
  <c r="G55" i="24"/>
  <c r="G54" i="24"/>
  <c r="G53" i="24"/>
  <c r="G52" i="24"/>
  <c r="G51" i="24"/>
  <c r="G50" i="24"/>
  <c r="G49" i="24"/>
  <c r="G48" i="24"/>
  <c r="G47" i="24"/>
  <c r="G46" i="24"/>
  <c r="G45" i="24"/>
  <c r="G44" i="24"/>
  <c r="G43" i="24"/>
  <c r="G42" i="24"/>
  <c r="G41" i="24"/>
  <c r="G40" i="24"/>
  <c r="G39" i="24"/>
  <c r="G38" i="24"/>
  <c r="G37" i="24"/>
  <c r="G36" i="24"/>
  <c r="G35" i="24"/>
  <c r="G34" i="24"/>
  <c r="G33" i="24"/>
  <c r="G32" i="24"/>
  <c r="G31" i="24"/>
  <c r="G30" i="24"/>
  <c r="G29" i="24"/>
  <c r="G28" i="24"/>
  <c r="G27" i="24"/>
  <c r="G26" i="24"/>
  <c r="G25" i="24"/>
  <c r="G24" i="24"/>
  <c r="G23" i="24"/>
  <c r="G22" i="24"/>
  <c r="G21" i="24"/>
  <c r="G20" i="24"/>
  <c r="G19" i="24"/>
  <c r="G18" i="24"/>
  <c r="G17" i="24"/>
  <c r="G16" i="24"/>
  <c r="G15" i="24"/>
  <c r="G14" i="24"/>
  <c r="G13" i="24"/>
  <c r="G12" i="24"/>
  <c r="G11" i="24"/>
  <c r="G10" i="24"/>
  <c r="G9" i="24"/>
  <c r="G8" i="24"/>
  <c r="G7" i="24"/>
  <c r="G6" i="24"/>
  <c r="G5" i="24"/>
  <c r="G4" i="24"/>
  <c r="G3" i="24"/>
  <c r="G2" i="24"/>
  <c r="G1" i="24"/>
  <c r="A88" i="24"/>
  <c r="B88" i="24"/>
  <c r="C88" i="24"/>
  <c r="D88" i="24"/>
  <c r="E88" i="24"/>
  <c r="F88" i="24"/>
  <c r="A89" i="24"/>
  <c r="B89" i="24"/>
  <c r="C89" i="24"/>
  <c r="D89" i="24"/>
  <c r="E89" i="24"/>
  <c r="F89" i="24"/>
  <c r="A74" i="24"/>
  <c r="B74" i="24"/>
  <c r="C74" i="24"/>
  <c r="D74" i="24"/>
  <c r="E74" i="24"/>
  <c r="F74" i="24"/>
  <c r="A75" i="24"/>
  <c r="B75" i="24"/>
  <c r="C75" i="24"/>
  <c r="D75" i="24"/>
  <c r="E75" i="24"/>
  <c r="F75" i="24"/>
  <c r="A76" i="24"/>
  <c r="B76" i="24"/>
  <c r="C76" i="24"/>
  <c r="D76" i="24"/>
  <c r="E76" i="24"/>
  <c r="F76" i="24"/>
  <c r="A77" i="24"/>
  <c r="B77" i="24"/>
  <c r="C77" i="24"/>
  <c r="D77" i="24"/>
  <c r="E77" i="24"/>
  <c r="F77" i="24"/>
  <c r="A78" i="24"/>
  <c r="B78" i="24"/>
  <c r="C78" i="24"/>
  <c r="D78" i="24"/>
  <c r="E78" i="24"/>
  <c r="F78" i="24"/>
  <c r="A79" i="24"/>
  <c r="B79" i="24"/>
  <c r="C79" i="24"/>
  <c r="D79" i="24"/>
  <c r="E79" i="24"/>
  <c r="F79" i="24"/>
  <c r="A80" i="24"/>
  <c r="B80" i="24"/>
  <c r="C80" i="24"/>
  <c r="D80" i="24"/>
  <c r="E80" i="24"/>
  <c r="F80" i="24"/>
  <c r="A81" i="24"/>
  <c r="B81" i="24"/>
  <c r="C81" i="24"/>
  <c r="D81" i="24"/>
  <c r="E81" i="24"/>
  <c r="F81" i="24"/>
  <c r="A82" i="24"/>
  <c r="B82" i="24"/>
  <c r="C82" i="24"/>
  <c r="D82" i="24"/>
  <c r="E82" i="24"/>
  <c r="F82" i="24"/>
  <c r="A83" i="24"/>
  <c r="B83" i="24"/>
  <c r="C83" i="24"/>
  <c r="D83" i="24"/>
  <c r="E83" i="24"/>
  <c r="F83" i="24"/>
  <c r="A84" i="24"/>
  <c r="B84" i="24"/>
  <c r="C84" i="24"/>
  <c r="D84" i="24"/>
  <c r="E84" i="24"/>
  <c r="F84" i="24"/>
  <c r="A85" i="24"/>
  <c r="B85" i="24"/>
  <c r="C85" i="24"/>
  <c r="D85" i="24"/>
  <c r="E85" i="24"/>
  <c r="F85" i="24"/>
  <c r="A86" i="24"/>
  <c r="B86" i="24"/>
  <c r="C86" i="24"/>
  <c r="D86" i="24"/>
  <c r="E86" i="24"/>
  <c r="F86" i="24"/>
  <c r="A87" i="24"/>
  <c r="B87" i="24"/>
  <c r="C87" i="24"/>
  <c r="D87" i="24"/>
  <c r="E87" i="24"/>
  <c r="F87" i="24"/>
  <c r="B6" i="23"/>
  <c r="A6" i="23"/>
  <c r="B5" i="23"/>
  <c r="A5" i="23"/>
  <c r="B35" i="23"/>
  <c r="A35" i="23"/>
  <c r="B34" i="23"/>
  <c r="A34" i="23"/>
  <c r="P1" i="25"/>
  <c r="P1" i="23"/>
  <c r="F6" i="23" a="1"/>
  <c r="C35" i="23" a="1"/>
  <c r="F34" i="23" a="1"/>
  <c r="C6" i="23" a="1"/>
  <c r="F5" i="23" a="1"/>
  <c r="AC34" i="23" a="1"/>
  <c r="C34" i="23" a="1"/>
  <c r="C5" i="23" a="1"/>
  <c r="AC35" i="23" a="1"/>
  <c r="F35" i="23" a="1"/>
  <c r="O25" i="23" l="1"/>
  <c r="O32" i="23"/>
  <c r="O26" i="23"/>
  <c r="O24" i="23"/>
  <c r="O27" i="23"/>
  <c r="O29" i="23"/>
  <c r="O30" i="23"/>
  <c r="O31" i="23"/>
  <c r="K24" i="23"/>
  <c r="N24" i="23" s="1"/>
  <c r="AD24" i="23"/>
  <c r="AE24" i="23" s="1"/>
  <c r="AG24" i="23" s="1"/>
  <c r="AH24" i="23" s="1"/>
  <c r="Y24" i="23"/>
  <c r="Z24" i="23"/>
  <c r="K25" i="23"/>
  <c r="N25" i="23" s="1"/>
  <c r="AD25" i="23"/>
  <c r="AE25" i="23" s="1"/>
  <c r="AG25" i="23" s="1"/>
  <c r="AH25" i="23" s="1"/>
  <c r="Y25" i="23"/>
  <c r="Z25" i="23"/>
  <c r="K26" i="23"/>
  <c r="N26" i="23" s="1"/>
  <c r="AD26" i="23"/>
  <c r="AE26" i="23" s="1"/>
  <c r="AG26" i="23" s="1"/>
  <c r="AH26" i="23" s="1"/>
  <c r="Y26" i="23"/>
  <c r="Z26" i="23"/>
  <c r="K27" i="23"/>
  <c r="N27" i="23" s="1"/>
  <c r="AD27" i="23"/>
  <c r="AE27" i="23" s="1"/>
  <c r="AG27" i="23" s="1"/>
  <c r="AH27" i="23" s="1"/>
  <c r="Y27" i="23"/>
  <c r="Z27" i="23"/>
  <c r="K29" i="23"/>
  <c r="N29" i="23" s="1"/>
  <c r="AD29" i="23"/>
  <c r="AE29" i="23" s="1"/>
  <c r="AG29" i="23" s="1"/>
  <c r="AH29" i="23" s="1"/>
  <c r="Z29" i="23"/>
  <c r="Y29" i="23"/>
  <c r="K30" i="23"/>
  <c r="N30" i="23" s="1"/>
  <c r="AD30" i="23"/>
  <c r="AE30" i="23" s="1"/>
  <c r="AG30" i="23" s="1"/>
  <c r="AH30" i="23" s="1"/>
  <c r="Y30" i="23"/>
  <c r="Z30" i="23"/>
  <c r="K31" i="23"/>
  <c r="N31" i="23" s="1"/>
  <c r="AD31" i="23"/>
  <c r="AE31" i="23" s="1"/>
  <c r="AG31" i="23" s="1"/>
  <c r="AH31" i="23" s="1"/>
  <c r="Y31" i="23"/>
  <c r="Z31" i="23"/>
  <c r="K32" i="23"/>
  <c r="N32" i="23" s="1"/>
  <c r="AD32" i="23"/>
  <c r="AE32" i="23" s="1"/>
  <c r="AG32" i="23" s="1"/>
  <c r="AH32" i="23" s="1"/>
  <c r="Y32" i="23"/>
  <c r="Z32" i="23"/>
  <c r="AC24" i="25" a="1"/>
  <c r="X24" i="25" a="1"/>
  <c r="I24" i="25" a="1"/>
  <c r="L24" i="25" s="1"/>
  <c r="H24" i="25" a="1"/>
  <c r="M24" i="25" a="1"/>
  <c r="J24" i="25" a="1"/>
  <c r="F24" i="25" a="1"/>
  <c r="C24" i="25" a="1"/>
  <c r="D24" i="25" a="1"/>
  <c r="AC23" i="25" a="1"/>
  <c r="X23" i="25" a="1"/>
  <c r="I23" i="25" a="1"/>
  <c r="L23" i="25" s="1"/>
  <c r="H23" i="25" a="1"/>
  <c r="J23" i="25" a="1"/>
  <c r="F23" i="25" a="1"/>
  <c r="D23" i="25" a="1"/>
  <c r="M23" i="25" a="1"/>
  <c r="C23" i="25" a="1"/>
  <c r="AC8" i="25" a="1"/>
  <c r="X8" i="25" a="1"/>
  <c r="I8" i="25" a="1"/>
  <c r="L8" i="25" s="1"/>
  <c r="H8" i="25" a="1"/>
  <c r="M8" i="25" a="1"/>
  <c r="J8" i="25" a="1"/>
  <c r="F8" i="25" a="1"/>
  <c r="D8" i="25" a="1"/>
  <c r="C8" i="25" a="1"/>
  <c r="AC7" i="25" a="1"/>
  <c r="H7" i="25" a="1"/>
  <c r="X7" i="25" a="1"/>
  <c r="I7" i="25" a="1"/>
  <c r="L7" i="25" s="1"/>
  <c r="C7" i="25" a="1"/>
  <c r="M7" i="25" a="1"/>
  <c r="F7" i="25" a="1"/>
  <c r="J7" i="25" a="1"/>
  <c r="D7" i="25" a="1"/>
  <c r="AC6" i="25" a="1"/>
  <c r="X6" i="25" a="1"/>
  <c r="I6" i="25" a="1"/>
  <c r="L6" i="25" s="1"/>
  <c r="H6" i="25" a="1"/>
  <c r="M6" i="25" a="1"/>
  <c r="J6" i="25" a="1"/>
  <c r="F6" i="25" a="1"/>
  <c r="D6" i="25" a="1"/>
  <c r="C6" i="25" a="1"/>
  <c r="AC5" i="25" a="1"/>
  <c r="I5" i="25" a="1"/>
  <c r="L5" i="25" s="1"/>
  <c r="X5" i="25" a="1"/>
  <c r="H5" i="25" a="1"/>
  <c r="J5" i="25" a="1"/>
  <c r="D5" i="25" a="1"/>
  <c r="F5" i="25" a="1"/>
  <c r="M5" i="25" a="1"/>
  <c r="C5" i="25" a="1"/>
  <c r="AC20" i="25" a="1"/>
  <c r="X20" i="25" a="1"/>
  <c r="I20" i="25" a="1"/>
  <c r="L20" i="25" s="1"/>
  <c r="H20" i="25" a="1"/>
  <c r="M20" i="25" a="1"/>
  <c r="J20" i="25" a="1"/>
  <c r="F20" i="25" a="1"/>
  <c r="D20" i="25" a="1"/>
  <c r="C20" i="25" a="1"/>
  <c r="I19" i="25" a="1"/>
  <c r="L19" i="25" s="1"/>
  <c r="H19" i="25" a="1"/>
  <c r="AC19" i="25" a="1"/>
  <c r="X19" i="25" a="1"/>
  <c r="F19" i="25" a="1"/>
  <c r="D19" i="25" a="1"/>
  <c r="J19" i="25" a="1"/>
  <c r="M19" i="25" a="1"/>
  <c r="C19" i="25" a="1"/>
  <c r="H18" i="25" a="1"/>
  <c r="I18" i="25" a="1"/>
  <c r="L18" i="25" s="1"/>
  <c r="AC18" i="25" a="1"/>
  <c r="X18" i="25" a="1"/>
  <c r="D18" i="25" a="1"/>
  <c r="C18" i="25" a="1"/>
  <c r="F18" i="25" a="1"/>
  <c r="M18" i="25" a="1"/>
  <c r="J18" i="25" a="1"/>
  <c r="X17" i="25" a="1"/>
  <c r="AC17" i="25" a="1"/>
  <c r="H17" i="25" a="1"/>
  <c r="I17" i="25" a="1"/>
  <c r="L17" i="25" s="1"/>
  <c r="C17" i="25" a="1"/>
  <c r="F17" i="25" a="1"/>
  <c r="M17" i="25" a="1"/>
  <c r="J17" i="25" a="1"/>
  <c r="D17" i="25" a="1"/>
  <c r="X26" i="25" a="1"/>
  <c r="I26" i="25" a="1"/>
  <c r="L26" i="25" s="1"/>
  <c r="AC26" i="25" a="1"/>
  <c r="H26" i="25" a="1"/>
  <c r="F26" i="25" a="1"/>
  <c r="J26" i="25" a="1"/>
  <c r="D26" i="25" a="1"/>
  <c r="M26" i="25" a="1"/>
  <c r="C26" i="25" a="1"/>
  <c r="AC25" i="25" a="1"/>
  <c r="I25" i="25" a="1"/>
  <c r="L25" i="25" s="1"/>
  <c r="X25" i="25" a="1"/>
  <c r="H25" i="25" a="1"/>
  <c r="D25" i="25" a="1"/>
  <c r="J25" i="25" a="1"/>
  <c r="M25" i="25" a="1"/>
  <c r="F25" i="25" a="1"/>
  <c r="C25" i="25" a="1"/>
  <c r="X16" i="25" a="1"/>
  <c r="I16" i="25" a="1"/>
  <c r="L16" i="25" s="1"/>
  <c r="H16" i="25" a="1"/>
  <c r="AC16" i="25" a="1"/>
  <c r="M16" i="25" a="1"/>
  <c r="D16" i="25" a="1"/>
  <c r="F16" i="25" a="1"/>
  <c r="C16" i="25" a="1"/>
  <c r="J16" i="25" a="1"/>
  <c r="X15" i="25" a="1"/>
  <c r="H15" i="25" a="1"/>
  <c r="AC15" i="25" a="1"/>
  <c r="I15" i="25" a="1"/>
  <c r="L15" i="25" s="1"/>
  <c r="D15" i="25" a="1"/>
  <c r="C15" i="25" a="1"/>
  <c r="M15" i="25" a="1"/>
  <c r="F15" i="25" a="1"/>
  <c r="J15" i="25" a="1"/>
  <c r="AC14" i="25" a="1"/>
  <c r="X14" i="25" a="1"/>
  <c r="I14" i="25" a="1"/>
  <c r="L14" i="25" s="1"/>
  <c r="H14" i="25" a="1"/>
  <c r="M14" i="25" a="1"/>
  <c r="J14" i="25" a="1"/>
  <c r="F14" i="25" a="1"/>
  <c r="D14" i="25" a="1"/>
  <c r="C14" i="25" a="1"/>
  <c r="AC13" i="25" a="1"/>
  <c r="X13" i="25" a="1"/>
  <c r="I13" i="25" a="1"/>
  <c r="L13" i="25" s="1"/>
  <c r="H13" i="25" a="1"/>
  <c r="M13" i="25" a="1"/>
  <c r="J13" i="25" a="1"/>
  <c r="F13" i="25" a="1"/>
  <c r="D13" i="25" a="1"/>
  <c r="C13" i="25" a="1"/>
  <c r="X10" i="25" a="1"/>
  <c r="AC10" i="25" a="1"/>
  <c r="I10" i="25" a="1"/>
  <c r="L10" i="25" s="1"/>
  <c r="H10" i="25" a="1"/>
  <c r="M10" i="25" a="1"/>
  <c r="F10" i="25" a="1"/>
  <c r="C10" i="25" a="1"/>
  <c r="J10" i="25" a="1"/>
  <c r="D10" i="25" a="1"/>
  <c r="AC9" i="25" a="1"/>
  <c r="H9" i="25" a="1"/>
  <c r="I9" i="25" a="1"/>
  <c r="L9" i="25" s="1"/>
  <c r="X9" i="25" a="1"/>
  <c r="F9" i="25" a="1"/>
  <c r="D9" i="25" a="1"/>
  <c r="J9" i="25" a="1"/>
  <c r="M9" i="25" a="1"/>
  <c r="C9" i="25" a="1"/>
  <c r="X22" i="25" a="1"/>
  <c r="AC22" i="25" a="1"/>
  <c r="I22" i="25" a="1"/>
  <c r="L22" i="25" s="1"/>
  <c r="H22" i="25" a="1"/>
  <c r="M22" i="25" a="1"/>
  <c r="F22" i="25" a="1"/>
  <c r="C22" i="25" a="1"/>
  <c r="D22" i="25" a="1"/>
  <c r="J22" i="25" a="1"/>
  <c r="AC21" i="25" a="1"/>
  <c r="X21" i="25" a="1"/>
  <c r="I21" i="25" a="1"/>
  <c r="L21" i="25" s="1"/>
  <c r="H21" i="25" a="1"/>
  <c r="J21" i="25" a="1"/>
  <c r="F21" i="25" a="1"/>
  <c r="C21" i="25" a="1"/>
  <c r="M21" i="25" a="1"/>
  <c r="D21" i="25" a="1"/>
  <c r="AC12" i="25" a="1"/>
  <c r="I12" i="25" a="1"/>
  <c r="L12" i="25" s="1"/>
  <c r="X12" i="25" a="1"/>
  <c r="H12" i="25" a="1"/>
  <c r="D12" i="25" a="1"/>
  <c r="C12" i="25" a="1"/>
  <c r="J12" i="25" a="1"/>
  <c r="F12" i="25" a="1"/>
  <c r="M12" i="25" a="1"/>
  <c r="H11" i="25" a="1"/>
  <c r="I11" i="25" a="1"/>
  <c r="L11" i="25" s="1"/>
  <c r="X11" i="25" a="1"/>
  <c r="AC11" i="25" a="1"/>
  <c r="D11" i="25" a="1"/>
  <c r="F11" i="25" a="1"/>
  <c r="J11" i="25" a="1"/>
  <c r="M11" i="25" a="1"/>
  <c r="C11" i="25" a="1"/>
  <c r="A2" i="24"/>
  <c r="B2" i="24"/>
  <c r="C2" i="24"/>
  <c r="D2" i="24"/>
  <c r="E2" i="24"/>
  <c r="F2" i="24"/>
  <c r="A3" i="24"/>
  <c r="B3" i="24"/>
  <c r="C3" i="24"/>
  <c r="D3" i="24"/>
  <c r="E3" i="24"/>
  <c r="F3" i="24"/>
  <c r="A4" i="24"/>
  <c r="B4" i="24"/>
  <c r="C4" i="24"/>
  <c r="D4" i="24"/>
  <c r="E4" i="24"/>
  <c r="F4" i="24"/>
  <c r="A5" i="24"/>
  <c r="B5" i="24"/>
  <c r="C5" i="24"/>
  <c r="D5" i="24"/>
  <c r="E5" i="24"/>
  <c r="F5" i="24"/>
  <c r="A6" i="24"/>
  <c r="B6" i="24"/>
  <c r="C6" i="24"/>
  <c r="D6" i="24"/>
  <c r="E6" i="24"/>
  <c r="F6" i="24"/>
  <c r="A7" i="24"/>
  <c r="B7" i="24"/>
  <c r="C7" i="24"/>
  <c r="D7" i="24"/>
  <c r="E7" i="24"/>
  <c r="F7" i="24"/>
  <c r="A8" i="24"/>
  <c r="B8" i="24"/>
  <c r="C8" i="24"/>
  <c r="D8" i="24"/>
  <c r="E8" i="24"/>
  <c r="F8" i="24"/>
  <c r="A9" i="24"/>
  <c r="B9" i="24"/>
  <c r="C9" i="24"/>
  <c r="D9" i="24"/>
  <c r="E9" i="24"/>
  <c r="F9" i="24"/>
  <c r="A10" i="24"/>
  <c r="B10" i="24"/>
  <c r="C10" i="24"/>
  <c r="D10" i="24"/>
  <c r="E10" i="24"/>
  <c r="F10" i="24"/>
  <c r="A11" i="24"/>
  <c r="B11" i="24"/>
  <c r="C11" i="24"/>
  <c r="D11" i="24"/>
  <c r="E11" i="24"/>
  <c r="F11" i="24"/>
  <c r="A12" i="24"/>
  <c r="B12" i="24"/>
  <c r="C12" i="24"/>
  <c r="D12" i="24"/>
  <c r="E12" i="24"/>
  <c r="F12" i="24"/>
  <c r="A13" i="24"/>
  <c r="B13" i="24"/>
  <c r="C13" i="24"/>
  <c r="D13" i="24"/>
  <c r="E13" i="24"/>
  <c r="F13" i="24"/>
  <c r="A14" i="24"/>
  <c r="B14" i="24"/>
  <c r="C14" i="24"/>
  <c r="D14" i="24"/>
  <c r="E14" i="24"/>
  <c r="F14" i="24"/>
  <c r="A15" i="24"/>
  <c r="B15" i="24"/>
  <c r="C15" i="24"/>
  <c r="D15" i="24"/>
  <c r="E15" i="24"/>
  <c r="F15" i="24"/>
  <c r="A16" i="24"/>
  <c r="B16" i="24"/>
  <c r="C16" i="24"/>
  <c r="D16" i="24"/>
  <c r="E16" i="24"/>
  <c r="F16" i="24"/>
  <c r="A17" i="24"/>
  <c r="B17" i="24"/>
  <c r="C17" i="24"/>
  <c r="D17" i="24"/>
  <c r="E17" i="24"/>
  <c r="F17" i="24"/>
  <c r="A18" i="24"/>
  <c r="B18" i="24"/>
  <c r="C18" i="24"/>
  <c r="D18" i="24"/>
  <c r="E18" i="24"/>
  <c r="F18" i="24"/>
  <c r="A19" i="24"/>
  <c r="B19" i="24"/>
  <c r="C19" i="24"/>
  <c r="D19" i="24"/>
  <c r="E19" i="24"/>
  <c r="F19" i="24"/>
  <c r="A20" i="24"/>
  <c r="B20" i="24"/>
  <c r="C20" i="24"/>
  <c r="D20" i="24"/>
  <c r="E20" i="24"/>
  <c r="F20" i="24"/>
  <c r="A21" i="24"/>
  <c r="B21" i="24"/>
  <c r="C21" i="24"/>
  <c r="D21" i="24"/>
  <c r="E21" i="24"/>
  <c r="F21" i="24"/>
  <c r="A22" i="24"/>
  <c r="B22" i="24"/>
  <c r="C22" i="24"/>
  <c r="D22" i="24"/>
  <c r="E22" i="24"/>
  <c r="F22" i="24"/>
  <c r="A23" i="24"/>
  <c r="B23" i="24"/>
  <c r="C23" i="24"/>
  <c r="D23" i="24"/>
  <c r="E23" i="24"/>
  <c r="F23" i="24"/>
  <c r="A24" i="24"/>
  <c r="B24" i="24"/>
  <c r="C24" i="24"/>
  <c r="D24" i="24"/>
  <c r="E24" i="24"/>
  <c r="F24" i="24"/>
  <c r="A25" i="24"/>
  <c r="B25" i="24"/>
  <c r="C25" i="24"/>
  <c r="D25" i="24"/>
  <c r="E25" i="24"/>
  <c r="F25" i="24"/>
  <c r="A26" i="24"/>
  <c r="B26" i="24"/>
  <c r="C26" i="24"/>
  <c r="D26" i="24"/>
  <c r="E26" i="24"/>
  <c r="F26" i="24"/>
  <c r="A27" i="24"/>
  <c r="B27" i="24"/>
  <c r="C27" i="24"/>
  <c r="D27" i="24"/>
  <c r="E27" i="24"/>
  <c r="F27" i="24"/>
  <c r="A28" i="24"/>
  <c r="B28" i="24"/>
  <c r="C28" i="24"/>
  <c r="D28" i="24"/>
  <c r="E28" i="24"/>
  <c r="F28" i="24"/>
  <c r="A29" i="24"/>
  <c r="B29" i="24"/>
  <c r="C29" i="24"/>
  <c r="D29" i="24"/>
  <c r="E29" i="24"/>
  <c r="F29" i="24"/>
  <c r="A30" i="24"/>
  <c r="B30" i="24"/>
  <c r="C30" i="24"/>
  <c r="D30" i="24"/>
  <c r="E30" i="24"/>
  <c r="F30" i="24"/>
  <c r="A31" i="24"/>
  <c r="B31" i="24"/>
  <c r="C31" i="24"/>
  <c r="D31" i="24"/>
  <c r="E31" i="24"/>
  <c r="F31" i="24"/>
  <c r="A32" i="24"/>
  <c r="B32" i="24"/>
  <c r="C32" i="24"/>
  <c r="D32" i="24"/>
  <c r="E32" i="24"/>
  <c r="F32" i="24"/>
  <c r="A33" i="24"/>
  <c r="B33" i="24"/>
  <c r="C33" i="24"/>
  <c r="D33" i="24"/>
  <c r="E33" i="24"/>
  <c r="F33" i="24"/>
  <c r="A34" i="24"/>
  <c r="B34" i="24"/>
  <c r="C34" i="24"/>
  <c r="D34" i="24"/>
  <c r="E34" i="24"/>
  <c r="F34" i="24"/>
  <c r="A35" i="24"/>
  <c r="B35" i="24"/>
  <c r="C35" i="24"/>
  <c r="D35" i="24"/>
  <c r="E35" i="24"/>
  <c r="F35" i="24"/>
  <c r="A36" i="24"/>
  <c r="B36" i="24"/>
  <c r="C36" i="24"/>
  <c r="D36" i="24"/>
  <c r="E36" i="24"/>
  <c r="F36" i="24"/>
  <c r="A37" i="24"/>
  <c r="B37" i="24"/>
  <c r="C37" i="24"/>
  <c r="D37" i="24"/>
  <c r="E37" i="24"/>
  <c r="F37" i="24"/>
  <c r="A38" i="24"/>
  <c r="B38" i="24"/>
  <c r="C38" i="24"/>
  <c r="D38" i="24"/>
  <c r="E38" i="24"/>
  <c r="F38" i="24"/>
  <c r="A39" i="24"/>
  <c r="B39" i="24"/>
  <c r="C39" i="24"/>
  <c r="D39" i="24"/>
  <c r="E39" i="24"/>
  <c r="F39" i="24"/>
  <c r="A40" i="24"/>
  <c r="B40" i="24"/>
  <c r="C40" i="24"/>
  <c r="D40" i="24"/>
  <c r="E40" i="24"/>
  <c r="F40" i="24"/>
  <c r="A41" i="24"/>
  <c r="B41" i="24"/>
  <c r="C41" i="24"/>
  <c r="D41" i="24"/>
  <c r="E41" i="24"/>
  <c r="F41" i="24"/>
  <c r="A42" i="24"/>
  <c r="B42" i="24"/>
  <c r="C42" i="24"/>
  <c r="D42" i="24"/>
  <c r="E42" i="24"/>
  <c r="F42" i="24"/>
  <c r="A43" i="24"/>
  <c r="B43" i="24"/>
  <c r="C43" i="24"/>
  <c r="D43" i="24"/>
  <c r="E43" i="24"/>
  <c r="F43" i="24"/>
  <c r="A44" i="24"/>
  <c r="B44" i="24"/>
  <c r="C44" i="24"/>
  <c r="D44" i="24"/>
  <c r="E44" i="24"/>
  <c r="F44" i="24"/>
  <c r="A45" i="24"/>
  <c r="B45" i="24"/>
  <c r="C45" i="24"/>
  <c r="D45" i="24"/>
  <c r="E45" i="24"/>
  <c r="F45" i="24"/>
  <c r="A46" i="24"/>
  <c r="B46" i="24"/>
  <c r="C46" i="24"/>
  <c r="D46" i="24"/>
  <c r="E46" i="24"/>
  <c r="F46" i="24"/>
  <c r="A47" i="24"/>
  <c r="B47" i="24"/>
  <c r="C47" i="24"/>
  <c r="D47" i="24"/>
  <c r="E47" i="24"/>
  <c r="F47" i="24"/>
  <c r="A48" i="24"/>
  <c r="B48" i="24"/>
  <c r="C48" i="24"/>
  <c r="D48" i="24"/>
  <c r="E48" i="24"/>
  <c r="F48" i="24"/>
  <c r="A49" i="24"/>
  <c r="B49" i="24"/>
  <c r="C49" i="24"/>
  <c r="D49" i="24"/>
  <c r="E49" i="24"/>
  <c r="F49" i="24"/>
  <c r="A50" i="24"/>
  <c r="B50" i="24"/>
  <c r="C50" i="24"/>
  <c r="D50" i="24"/>
  <c r="E50" i="24"/>
  <c r="F50" i="24"/>
  <c r="A51" i="24"/>
  <c r="B51" i="24"/>
  <c r="C51" i="24"/>
  <c r="D51" i="24"/>
  <c r="E51" i="24"/>
  <c r="F51" i="24"/>
  <c r="A52" i="24"/>
  <c r="B52" i="24"/>
  <c r="C52" i="24"/>
  <c r="D52" i="24"/>
  <c r="E52" i="24"/>
  <c r="F52" i="24"/>
  <c r="A53" i="24"/>
  <c r="B53" i="24"/>
  <c r="C53" i="24"/>
  <c r="D53" i="24"/>
  <c r="E53" i="24"/>
  <c r="F53" i="24"/>
  <c r="A54" i="24"/>
  <c r="B54" i="24"/>
  <c r="C54" i="24"/>
  <c r="D54" i="24"/>
  <c r="E54" i="24"/>
  <c r="F54" i="24"/>
  <c r="A55" i="24"/>
  <c r="B55" i="24"/>
  <c r="C55" i="24"/>
  <c r="D55" i="24"/>
  <c r="E55" i="24"/>
  <c r="F55" i="24"/>
  <c r="A56" i="24"/>
  <c r="B56" i="24"/>
  <c r="C56" i="24"/>
  <c r="D56" i="24"/>
  <c r="E56" i="24"/>
  <c r="F56" i="24"/>
  <c r="A57" i="24"/>
  <c r="B57" i="24"/>
  <c r="C57" i="24"/>
  <c r="D57" i="24"/>
  <c r="E57" i="24"/>
  <c r="F57" i="24"/>
  <c r="A58" i="24"/>
  <c r="B58" i="24"/>
  <c r="C58" i="24"/>
  <c r="D58" i="24"/>
  <c r="E58" i="24"/>
  <c r="F58" i="24"/>
  <c r="A59" i="24"/>
  <c r="B59" i="24"/>
  <c r="C59" i="24"/>
  <c r="D59" i="24"/>
  <c r="E59" i="24"/>
  <c r="F59" i="24"/>
  <c r="A60" i="24"/>
  <c r="B60" i="24"/>
  <c r="C60" i="24"/>
  <c r="D60" i="24"/>
  <c r="E60" i="24"/>
  <c r="F60" i="24"/>
  <c r="A61" i="24"/>
  <c r="B61" i="24"/>
  <c r="C61" i="24"/>
  <c r="D61" i="24"/>
  <c r="E61" i="24"/>
  <c r="F61" i="24"/>
  <c r="A62" i="24"/>
  <c r="B62" i="24"/>
  <c r="C62" i="24"/>
  <c r="D62" i="24"/>
  <c r="E62" i="24"/>
  <c r="F62" i="24"/>
  <c r="A63" i="24"/>
  <c r="B63" i="24"/>
  <c r="C63" i="24"/>
  <c r="D63" i="24"/>
  <c r="E63" i="24"/>
  <c r="F63" i="24"/>
  <c r="A64" i="24"/>
  <c r="B64" i="24"/>
  <c r="C64" i="24"/>
  <c r="D64" i="24"/>
  <c r="E64" i="24"/>
  <c r="F64" i="24"/>
  <c r="A65" i="24"/>
  <c r="B65" i="24"/>
  <c r="C65" i="24"/>
  <c r="D65" i="24"/>
  <c r="E65" i="24"/>
  <c r="F65" i="24"/>
  <c r="A66" i="24"/>
  <c r="B66" i="24"/>
  <c r="C66" i="24"/>
  <c r="D66" i="24"/>
  <c r="E66" i="24"/>
  <c r="F66" i="24"/>
  <c r="A67" i="24"/>
  <c r="B67" i="24"/>
  <c r="C67" i="24"/>
  <c r="D67" i="24"/>
  <c r="E67" i="24"/>
  <c r="F67" i="24"/>
  <c r="A68" i="24"/>
  <c r="B68" i="24"/>
  <c r="C68" i="24"/>
  <c r="D68" i="24"/>
  <c r="E68" i="24"/>
  <c r="F68" i="24"/>
  <c r="A69" i="24"/>
  <c r="B69" i="24"/>
  <c r="C69" i="24"/>
  <c r="D69" i="24"/>
  <c r="E69" i="24"/>
  <c r="F69" i="24"/>
  <c r="A70" i="24"/>
  <c r="B70" i="24"/>
  <c r="C70" i="24"/>
  <c r="D70" i="24"/>
  <c r="E70" i="24"/>
  <c r="F70" i="24"/>
  <c r="A71" i="24"/>
  <c r="B71" i="24"/>
  <c r="C71" i="24"/>
  <c r="D71" i="24"/>
  <c r="E71" i="24"/>
  <c r="F71" i="24"/>
  <c r="A72" i="24"/>
  <c r="B72" i="24"/>
  <c r="C72" i="24"/>
  <c r="D72" i="24"/>
  <c r="E72" i="24"/>
  <c r="F72" i="24"/>
  <c r="A73" i="24"/>
  <c r="B73" i="24"/>
  <c r="C73" i="24"/>
  <c r="D73" i="24"/>
  <c r="E73" i="24"/>
  <c r="F73" i="24"/>
  <c r="B1" i="24"/>
  <c r="C1" i="24"/>
  <c r="D1" i="24"/>
  <c r="E1" i="24"/>
  <c r="F1" i="24"/>
  <c r="A1" i="24"/>
  <c r="B6" i="15" a="1"/>
  <c r="J21" i="20"/>
  <c r="D21" i="20"/>
  <c r="C21" i="20"/>
  <c r="O20" i="20"/>
  <c r="N20" i="20"/>
  <c r="I20" i="20"/>
  <c r="H20" i="20"/>
  <c r="AA20" i="20"/>
  <c r="Z20" i="20"/>
  <c r="Y20" i="20"/>
  <c r="X20" i="20"/>
  <c r="B20" i="20"/>
  <c r="A20" i="20"/>
  <c r="O21" i="20"/>
  <c r="N21" i="20"/>
  <c r="M21" i="20"/>
  <c r="L21" i="20"/>
  <c r="K21" i="20"/>
  <c r="I21" i="20"/>
  <c r="H21" i="20"/>
  <c r="AA21" i="20"/>
  <c r="Z21" i="20"/>
  <c r="Y21" i="20"/>
  <c r="X21" i="20"/>
  <c r="G21" i="20"/>
  <c r="AB21" i="20" s="1"/>
  <c r="F21" i="20"/>
  <c r="B21" i="20"/>
  <c r="A21" i="20"/>
  <c r="B18" i="23"/>
  <c r="B17" i="23"/>
  <c r="B14" i="23"/>
  <c r="B13" i="23"/>
  <c r="B43" i="23"/>
  <c r="B42" i="23"/>
  <c r="B39" i="23"/>
  <c r="B38" i="23"/>
  <c r="A18" i="23"/>
  <c r="A17" i="23"/>
  <c r="A14" i="23"/>
  <c r="A13" i="23"/>
  <c r="A43" i="23"/>
  <c r="A42" i="23"/>
  <c r="A39" i="23"/>
  <c r="A38" i="23"/>
  <c r="B22" i="23"/>
  <c r="A22" i="23"/>
  <c r="B21" i="23"/>
  <c r="A21" i="23"/>
  <c r="B20" i="23"/>
  <c r="A20" i="23"/>
  <c r="B19" i="23"/>
  <c r="A19" i="23"/>
  <c r="B16" i="23"/>
  <c r="A16" i="23"/>
  <c r="B15" i="23"/>
  <c r="A15" i="23"/>
  <c r="B12" i="23"/>
  <c r="A12" i="23"/>
  <c r="B11" i="23"/>
  <c r="A11" i="23"/>
  <c r="B10" i="23"/>
  <c r="A10" i="23"/>
  <c r="B9" i="23"/>
  <c r="A9" i="23"/>
  <c r="B8" i="23"/>
  <c r="A8" i="23"/>
  <c r="B7" i="23"/>
  <c r="A7" i="23"/>
  <c r="B41" i="23"/>
  <c r="A41" i="23"/>
  <c r="B40" i="23"/>
  <c r="A40" i="23"/>
  <c r="B37" i="23"/>
  <c r="A37" i="23"/>
  <c r="B36" i="23"/>
  <c r="A36" i="23"/>
  <c r="B45" i="23"/>
  <c r="A45" i="23"/>
  <c r="B44" i="23"/>
  <c r="A44" i="23"/>
  <c r="B49" i="23"/>
  <c r="A49" i="23"/>
  <c r="B48" i="23"/>
  <c r="A48" i="23"/>
  <c r="B51" i="23"/>
  <c r="A51" i="23"/>
  <c r="B50" i="23"/>
  <c r="A50" i="23"/>
  <c r="B47" i="23"/>
  <c r="A47" i="23"/>
  <c r="B46" i="23"/>
  <c r="A46" i="23"/>
  <c r="B18" i="20"/>
  <c r="B17" i="20"/>
  <c r="B16" i="20"/>
  <c r="B15" i="20"/>
  <c r="B14" i="20"/>
  <c r="B13" i="20"/>
  <c r="B12" i="20"/>
  <c r="B11" i="20"/>
  <c r="B10" i="20"/>
  <c r="B9" i="20"/>
  <c r="B8" i="20"/>
  <c r="B7" i="20"/>
  <c r="B6" i="20"/>
  <c r="B5" i="20"/>
  <c r="A18" i="20"/>
  <c r="A17" i="20"/>
  <c r="A16" i="20"/>
  <c r="A15" i="20"/>
  <c r="A14" i="20"/>
  <c r="A13" i="20"/>
  <c r="A12" i="20"/>
  <c r="A11" i="20"/>
  <c r="A10" i="20"/>
  <c r="A9" i="20"/>
  <c r="A8" i="20"/>
  <c r="A7" i="20"/>
  <c r="A6" i="20"/>
  <c r="A5" i="20"/>
  <c r="P1" i="20"/>
  <c r="A23" i="20"/>
  <c r="B23" i="20"/>
  <c r="A24" i="20"/>
  <c r="B24" i="20"/>
  <c r="A25" i="20"/>
  <c r="B25" i="20"/>
  <c r="A26" i="20"/>
  <c r="B26" i="20"/>
  <c r="A27" i="20"/>
  <c r="B27" i="20"/>
  <c r="A38" i="20"/>
  <c r="B38" i="20"/>
  <c r="A39" i="20"/>
  <c r="B39" i="20"/>
  <c r="A40" i="20"/>
  <c r="B40" i="20"/>
  <c r="A41" i="20"/>
  <c r="B41" i="20"/>
  <c r="A42" i="20"/>
  <c r="B42" i="20"/>
  <c r="A43" i="20"/>
  <c r="B43" i="20"/>
  <c r="A28" i="20"/>
  <c r="B28" i="20"/>
  <c r="A29" i="20"/>
  <c r="B29" i="20"/>
  <c r="A30" i="20"/>
  <c r="B30" i="20"/>
  <c r="A31" i="20"/>
  <c r="B31" i="20"/>
  <c r="A44" i="20"/>
  <c r="B44" i="20"/>
  <c r="A45" i="20"/>
  <c r="B45" i="20"/>
  <c r="A46" i="20"/>
  <c r="B46" i="20"/>
  <c r="A47" i="20"/>
  <c r="B47" i="20"/>
  <c r="A32" i="20"/>
  <c r="B32" i="20"/>
  <c r="A33" i="20"/>
  <c r="B33" i="20"/>
  <c r="A34" i="20"/>
  <c r="B34" i="20"/>
  <c r="A35" i="20"/>
  <c r="B35" i="20"/>
  <c r="A36" i="20"/>
  <c r="B36" i="20"/>
  <c r="A37" i="20"/>
  <c r="B37" i="20"/>
  <c r="B22" i="20"/>
  <c r="A22" i="20"/>
  <c r="B2" i="15" a="1"/>
  <c r="E21" i="20"/>
  <c r="X37" i="20" a="1"/>
  <c r="M10" i="20" a="1"/>
  <c r="M28" i="20" a="1"/>
  <c r="AC16" i="23" a="1"/>
  <c r="M17" i="23" a="1"/>
  <c r="I18" i="20" a="1"/>
  <c r="AC13" i="20" a="1"/>
  <c r="I13" i="20" a="1"/>
  <c r="M42" i="20" a="1"/>
  <c r="M46" i="23" a="1"/>
  <c r="AC18" i="23" a="1"/>
  <c r="H35" i="23" a="1"/>
  <c r="X29" i="20" a="1"/>
  <c r="M19" i="23" a="1"/>
  <c r="I41" i="23" a="1"/>
  <c r="I42" i="20" a="1"/>
  <c r="AC14" i="23" a="1"/>
  <c r="M33" i="20" a="1"/>
  <c r="H32" i="20" a="1"/>
  <c r="X28" i="20" a="1"/>
  <c r="H39" i="23" a="1"/>
  <c r="AC9" i="20" a="1"/>
  <c r="H7" i="20" a="1"/>
  <c r="H11" i="20" a="1"/>
  <c r="X6" i="20" a="1"/>
  <c r="I49" i="23" a="1"/>
  <c r="H10" i="20" a="1"/>
  <c r="X48" i="23" a="1"/>
  <c r="M34" i="23" a="1"/>
  <c r="AC46" i="23" a="1"/>
  <c r="M15" i="23" a="1"/>
  <c r="I9" i="20" a="1"/>
  <c r="H16" i="23" a="1"/>
  <c r="AC8" i="20" a="1"/>
  <c r="H22" i="23" a="1"/>
  <c r="I32" i="20" a="1"/>
  <c r="I47" i="20" a="1"/>
  <c r="M39" i="23" a="1"/>
  <c r="X47" i="20" a="1"/>
  <c r="H7" i="23" a="1"/>
  <c r="AC7" i="23" a="1"/>
  <c r="I39" i="23" a="1"/>
  <c r="H20" i="23" a="1"/>
  <c r="M5" i="20" a="1"/>
  <c r="I37" i="23" a="1"/>
  <c r="I42" i="23" a="1"/>
  <c r="X44" i="20" a="1"/>
  <c r="AC12" i="20" a="1"/>
  <c r="H29" i="20" a="1"/>
  <c r="X39" i="23" a="1"/>
  <c r="X38" i="23" a="1"/>
  <c r="X13" i="23" a="1"/>
  <c r="X15" i="23" a="1"/>
  <c r="X15" i="20" a="1"/>
  <c r="AC22" i="23" a="1"/>
  <c r="H42" i="23" a="1"/>
  <c r="H44" i="20" a="1"/>
  <c r="M45" i="20" a="1"/>
  <c r="H22" i="20" a="1"/>
  <c r="X42" i="20" a="1"/>
  <c r="X42" i="23" a="1"/>
  <c r="M39" i="20" a="1"/>
  <c r="X51" i="23" a="1"/>
  <c r="AC21" i="23" a="1"/>
  <c r="M7" i="20" a="1"/>
  <c r="I5" i="23" a="1"/>
  <c r="X12" i="23" a="1"/>
  <c r="AC10" i="23" a="1"/>
  <c r="M21" i="23" a="1"/>
  <c r="H10" i="23" a="1"/>
  <c r="M11" i="23" a="1"/>
  <c r="I10" i="23" a="1"/>
  <c r="M36" i="23" a="1"/>
  <c r="I9" i="23" a="1"/>
  <c r="AC49" i="23" a="1"/>
  <c r="H30" i="20" a="1"/>
  <c r="I16" i="23" a="1"/>
  <c r="H27" i="20" a="1"/>
  <c r="M43" i="20" a="1"/>
  <c r="M14" i="20" a="1"/>
  <c r="M13" i="20" a="1"/>
  <c r="M15" i="20" a="1"/>
  <c r="M16" i="20" a="1"/>
  <c r="I40" i="20" a="1"/>
  <c r="M5" i="23" a="1"/>
  <c r="Z5" i="23" s="1"/>
  <c r="I22" i="23" a="1"/>
  <c r="AC11" i="23" a="1"/>
  <c r="H9" i="23" a="1"/>
  <c r="I48" i="23" a="1"/>
  <c r="X14" i="23" a="1"/>
  <c r="AC39" i="23" a="1"/>
  <c r="AC38" i="23" a="1"/>
  <c r="X39" i="20" a="1"/>
  <c r="H39" i="20" a="1"/>
  <c r="AC9" i="23" a="1"/>
  <c r="AC19" i="23" a="1"/>
  <c r="X45" i="23" a="1"/>
  <c r="AC12" i="23" a="1"/>
  <c r="H6" i="20" a="1"/>
  <c r="J5" i="23" a="1"/>
  <c r="H28" i="20" a="1"/>
  <c r="X25" i="20" a="1"/>
  <c r="I36" i="20" a="1"/>
  <c r="M17" i="20" a="1"/>
  <c r="J34" i="23" a="1"/>
  <c r="X44" i="23" a="1"/>
  <c r="I47" i="23" a="1"/>
  <c r="I43" i="23" a="1"/>
  <c r="X30" i="20" a="1"/>
  <c r="H8" i="20" a="1"/>
  <c r="M47" i="23" a="1"/>
  <c r="AC16" i="20" a="1"/>
  <c r="I36" i="23" a="1"/>
  <c r="D35" i="23" a="1"/>
  <c r="H42" i="20" a="1"/>
  <c r="I13" i="23" a="1"/>
  <c r="X38" i="20" a="1"/>
  <c r="I14" i="20" a="1"/>
  <c r="M18" i="23" a="1"/>
  <c r="H44" i="23" a="1"/>
  <c r="AC44" i="23" a="1"/>
  <c r="AC17" i="23" a="1"/>
  <c r="X40" i="20" a="1"/>
  <c r="H38" i="23" a="1"/>
  <c r="X11" i="23" a="1"/>
  <c r="AC50" i="23" a="1"/>
  <c r="H9" i="20" a="1"/>
  <c r="I11" i="20" a="1"/>
  <c r="M38" i="23" a="1"/>
  <c r="AC20" i="23" a="1"/>
  <c r="X20" i="23" a="1"/>
  <c r="H17" i="23" a="1"/>
  <c r="M44" i="20" a="1"/>
  <c r="X9" i="20" a="1"/>
  <c r="X22" i="20" a="1"/>
  <c r="H45" i="23" a="1"/>
  <c r="AC48" i="23" a="1"/>
  <c r="I38" i="20" a="1"/>
  <c r="I25" i="20" a="1"/>
  <c r="H35" i="20" a="1"/>
  <c r="M24" i="20" a="1"/>
  <c r="H26" i="20" a="1"/>
  <c r="M51" i="23" a="1"/>
  <c r="M6" i="20" a="1"/>
  <c r="I50" i="23" a="1"/>
  <c r="H36" i="23" a="1"/>
  <c r="H41" i="23" a="1"/>
  <c r="AC17" i="20" a="1"/>
  <c r="I16" i="20" a="1"/>
  <c r="M6" i="23" a="1"/>
  <c r="Z6" i="23" s="1"/>
  <c r="M13" i="23" a="1"/>
  <c r="AC5" i="20" a="1"/>
  <c r="I24" i="20" a="1"/>
  <c r="H17" i="20" a="1"/>
  <c r="I12" i="20" a="1"/>
  <c r="H8" i="23" a="1"/>
  <c r="I23" i="20" a="1"/>
  <c r="X10" i="23" a="1"/>
  <c r="H41" i="20" a="1"/>
  <c r="X16" i="20" a="1"/>
  <c r="M22" i="20" a="1"/>
  <c r="AC11" i="20" a="1"/>
  <c r="H15" i="20" a="1"/>
  <c r="X18" i="23" a="1"/>
  <c r="AC10" i="20" a="1"/>
  <c r="X50" i="23" a="1"/>
  <c r="X41" i="23" a="1"/>
  <c r="X31" i="20" a="1"/>
  <c r="AC45" i="23" a="1"/>
  <c r="X35" i="20" a="1"/>
  <c r="I5" i="20" a="1"/>
  <c r="H34" i="20" a="1"/>
  <c r="M31" i="20" a="1"/>
  <c r="H38" i="20" a="1"/>
  <c r="H51" i="23" a="1"/>
  <c r="D6" i="23" a="1"/>
  <c r="I6" i="20" a="1"/>
  <c r="X18" i="20" a="1"/>
  <c r="X45" i="20" a="1"/>
  <c r="I14" i="23" a="1"/>
  <c r="H25" i="20" a="1"/>
  <c r="I45" i="20" a="1"/>
  <c r="I44" i="20" a="1"/>
  <c r="M12" i="23" a="1"/>
  <c r="X7" i="20" a="1"/>
  <c r="AC15" i="23" a="1"/>
  <c r="H13" i="20" a="1"/>
  <c r="H40" i="20" a="1"/>
  <c r="X17" i="20" a="1"/>
  <c r="I29" i="20" a="1"/>
  <c r="AC40" i="23" a="1"/>
  <c r="M38" i="20" a="1"/>
  <c r="X22" i="23" a="1"/>
  <c r="X16" i="23" a="1"/>
  <c r="M32" i="20" a="1"/>
  <c r="M23" i="20" a="1"/>
  <c r="I34" i="23" a="1"/>
  <c r="M9" i="20" a="1"/>
  <c r="I45" i="23" a="1"/>
  <c r="I19" i="23" a="1"/>
  <c r="AC36" i="23" a="1"/>
  <c r="M42" i="23" a="1"/>
  <c r="I11" i="23" a="1"/>
  <c r="AC6" i="20" a="1"/>
  <c r="I15" i="23" a="1"/>
  <c r="X12" i="20" a="1"/>
  <c r="M26" i="20" a="1"/>
  <c r="M36" i="20" a="1"/>
  <c r="M37" i="23" a="1"/>
  <c r="I21" i="23" a="1"/>
  <c r="H49" i="23" a="1"/>
  <c r="M37" i="20" a="1"/>
  <c r="M25" i="20" a="1"/>
  <c r="H47" i="23" a="1"/>
  <c r="I10" i="20" a="1"/>
  <c r="I31" i="20" a="1"/>
  <c r="AC42" i="23" a="1"/>
  <c r="I26" i="20" a="1"/>
  <c r="I51" i="23" a="1"/>
  <c r="I34" i="20" a="1"/>
  <c r="I46" i="20" a="1"/>
  <c r="AC47" i="23" a="1"/>
  <c r="H45" i="20" a="1"/>
  <c r="H12" i="20" a="1"/>
  <c r="M11" i="20" a="1"/>
  <c r="AC51" i="23" a="1"/>
  <c r="H37" i="23" a="1"/>
  <c r="X33" i="20" a="1"/>
  <c r="X21" i="23" a="1"/>
  <c r="M20" i="23" a="1"/>
  <c r="M47" i="20" a="1"/>
  <c r="M46" i="20" a="1"/>
  <c r="X46" i="23" a="1"/>
  <c r="M18" i="20" a="1"/>
  <c r="M50" i="23" a="1"/>
  <c r="H6" i="23" a="1"/>
  <c r="I33" i="20" a="1"/>
  <c r="H14" i="20" a="1"/>
  <c r="M30" i="20" a="1"/>
  <c r="I39" i="20" a="1"/>
  <c r="J35" i="23" a="1"/>
  <c r="I17" i="20" a="1"/>
  <c r="M41" i="20" a="1"/>
  <c r="X43" i="20" a="1"/>
  <c r="H43" i="23" a="1"/>
  <c r="X10" i="20" a="1"/>
  <c r="I12" i="23" a="1"/>
  <c r="M9" i="23" a="1"/>
  <c r="I37" i="20" a="1"/>
  <c r="AC43" i="23" a="1"/>
  <c r="AC7" i="20" a="1"/>
  <c r="H21" i="23" a="1"/>
  <c r="H37" i="20" a="1"/>
  <c r="H18" i="20" a="1"/>
  <c r="D34" i="23" a="1"/>
  <c r="M40" i="23" a="1"/>
  <c r="M29" i="20" a="1"/>
  <c r="H40" i="23" a="1"/>
  <c r="M27" i="20" a="1"/>
  <c r="M43" i="23" a="1"/>
  <c r="M44" i="23" a="1"/>
  <c r="M35" i="23" a="1"/>
  <c r="H46" i="20" a="1"/>
  <c r="I8" i="23" a="1"/>
  <c r="M7" i="23" a="1"/>
  <c r="M8" i="20" a="1"/>
  <c r="X32" i="20" a="1"/>
  <c r="H16" i="20" a="1"/>
  <c r="X46" i="20" a="1"/>
  <c r="H50" i="23" a="1"/>
  <c r="X24" i="20" a="1"/>
  <c r="X27" i="20" a="1"/>
  <c r="H23" i="20" a="1"/>
  <c r="X34" i="20" a="1"/>
  <c r="I27" i="20" a="1"/>
  <c r="X8" i="20" a="1"/>
  <c r="X13" i="20" a="1"/>
  <c r="I8" i="20" a="1"/>
  <c r="H31" i="20" a="1"/>
  <c r="X36" i="23" a="1"/>
  <c r="H13" i="23" a="1"/>
  <c r="X37" i="23" a="1"/>
  <c r="H11" i="23" a="1"/>
  <c r="M12" i="20" a="1"/>
  <c r="M10" i="23" a="1"/>
  <c r="M45" i="23" a="1"/>
  <c r="H19" i="23" a="1"/>
  <c r="X47" i="23" a="1"/>
  <c r="AC41" i="23" a="1"/>
  <c r="I41" i="20" a="1"/>
  <c r="AC18" i="20" a="1"/>
  <c r="M41" i="23" a="1"/>
  <c r="H5" i="23" a="1"/>
  <c r="I43" i="20" a="1"/>
  <c r="AC37" i="23" a="1"/>
  <c r="I17" i="23" a="1"/>
  <c r="M48" i="23" a="1"/>
  <c r="I44" i="23" a="1"/>
  <c r="H24" i="20" a="1"/>
  <c r="M16" i="23" a="1"/>
  <c r="D5" i="23" a="1"/>
  <c r="H33" i="20" a="1"/>
  <c r="AC8" i="23" a="1"/>
  <c r="M34" i="20" a="1"/>
  <c r="H46" i="23" a="1"/>
  <c r="X23" i="20" a="1"/>
  <c r="J6" i="23" a="1"/>
  <c r="AC15" i="20" a="1"/>
  <c r="X49" i="23" a="1"/>
  <c r="X40" i="23" a="1"/>
  <c r="X26" i="20" a="1"/>
  <c r="I28" i="20" a="1"/>
  <c r="H43" i="20" a="1"/>
  <c r="X41" i="20" a="1"/>
  <c r="H15" i="23" a="1"/>
  <c r="AC13" i="23" a="1"/>
  <c r="I7" i="23" a="1"/>
  <c r="I35" i="23" a="1"/>
  <c r="I6" i="23" a="1"/>
  <c r="H14" i="23" a="1"/>
  <c r="I22" i="20" a="1"/>
  <c r="I40" i="23" a="1"/>
  <c r="I15" i="20" a="1"/>
  <c r="I35" i="20" a="1"/>
  <c r="H5" i="20" a="1"/>
  <c r="H34" i="23" a="1"/>
  <c r="H48" i="23" a="1"/>
  <c r="I38" i="23" a="1"/>
  <c r="X9" i="23" a="1"/>
  <c r="I30" i="20" a="1"/>
  <c r="I20" i="23" a="1"/>
  <c r="X34" i="23" a="1"/>
  <c r="H36" i="20" a="1"/>
  <c r="M14" i="23" a="1"/>
  <c r="X11" i="20" a="1"/>
  <c r="M8" i="23" a="1"/>
  <c r="I46" i="23" a="1"/>
  <c r="H18" i="23" a="1"/>
  <c r="I18" i="23" a="1"/>
  <c r="X14" i="20" a="1"/>
  <c r="X19" i="23" a="1"/>
  <c r="H12" i="23" a="1"/>
  <c r="I7" i="20" a="1"/>
  <c r="X35" i="23" a="1"/>
  <c r="M35" i="20" a="1"/>
  <c r="X5" i="20" a="1"/>
  <c r="M40" i="20" a="1"/>
  <c r="H47" i="20" a="1"/>
  <c r="X36" i="20" a="1"/>
  <c r="M49" i="23" a="1"/>
  <c r="AC14" i="20" a="1"/>
  <c r="X43" i="23" a="1"/>
  <c r="X7" i="23" a="1"/>
  <c r="X17" i="23" a="1"/>
  <c r="M22" i="23" a="1"/>
  <c r="X8" i="23" a="1"/>
  <c r="S24" i="23" l="1"/>
  <c r="R24" i="23"/>
  <c r="Q24" i="23"/>
  <c r="P24" i="23"/>
  <c r="S26" i="23"/>
  <c r="R26" i="23"/>
  <c r="Q26" i="23"/>
  <c r="P26" i="23"/>
  <c r="R29" i="23"/>
  <c r="S29" i="23"/>
  <c r="P29" i="23"/>
  <c r="Q29" i="23"/>
  <c r="S31" i="23"/>
  <c r="R31" i="23"/>
  <c r="P31" i="23"/>
  <c r="Q31" i="23"/>
  <c r="AI24" i="23"/>
  <c r="AA24" i="23"/>
  <c r="AI26" i="23"/>
  <c r="AA26" i="23"/>
  <c r="AI29" i="23"/>
  <c r="AA29" i="23"/>
  <c r="AI31" i="23"/>
  <c r="AA31" i="23"/>
  <c r="O23" i="25"/>
  <c r="Y24" i="25"/>
  <c r="Z24" i="25"/>
  <c r="K24" i="25"/>
  <c r="N24" i="25" s="1"/>
  <c r="AD24" i="25"/>
  <c r="AE24" i="25" s="1"/>
  <c r="AG24" i="25" s="1"/>
  <c r="AH24" i="25" s="1"/>
  <c r="Y23" i="25"/>
  <c r="Z23" i="25"/>
  <c r="K23" i="25"/>
  <c r="N23" i="25" s="1"/>
  <c r="AD23" i="25"/>
  <c r="AE23" i="25" s="1"/>
  <c r="AG23" i="25" s="1"/>
  <c r="AH23" i="25" s="1"/>
  <c r="O24" i="25"/>
  <c r="O19" i="25"/>
  <c r="O7" i="25"/>
  <c r="O8" i="25"/>
  <c r="O20" i="25"/>
  <c r="Y8" i="25"/>
  <c r="Z8" i="25"/>
  <c r="K8" i="25"/>
  <c r="N8" i="25" s="1"/>
  <c r="AD8" i="25"/>
  <c r="AE8" i="25" s="1"/>
  <c r="AG8" i="25" s="1"/>
  <c r="AH8" i="25" s="1"/>
  <c r="K7" i="25"/>
  <c r="N7" i="25" s="1"/>
  <c r="AD7" i="25"/>
  <c r="AE7" i="25" s="1"/>
  <c r="AG7" i="25" s="1"/>
  <c r="AH7" i="25" s="1"/>
  <c r="Y7" i="25"/>
  <c r="Z7" i="25"/>
  <c r="O18" i="25"/>
  <c r="O6" i="25"/>
  <c r="O17" i="25"/>
  <c r="O5" i="25"/>
  <c r="Y6" i="25"/>
  <c r="Z6" i="25"/>
  <c r="K6" i="25"/>
  <c r="N6" i="25" s="1"/>
  <c r="AD6" i="25"/>
  <c r="AE6" i="25" s="1"/>
  <c r="AG6" i="25" s="1"/>
  <c r="AH6" i="25" s="1"/>
  <c r="Y5" i="25"/>
  <c r="Z5" i="25"/>
  <c r="K5" i="25"/>
  <c r="N5" i="25" s="1"/>
  <c r="AD5" i="25"/>
  <c r="AE5" i="25" s="1"/>
  <c r="AG5" i="25" s="1"/>
  <c r="AH5" i="25" s="1"/>
  <c r="Y20" i="25"/>
  <c r="Z20" i="25"/>
  <c r="K20" i="25"/>
  <c r="N20" i="25" s="1"/>
  <c r="AD20" i="25"/>
  <c r="AE20" i="25" s="1"/>
  <c r="AG20" i="25" s="1"/>
  <c r="AH20" i="25" s="1"/>
  <c r="K19" i="25"/>
  <c r="N19" i="25" s="1"/>
  <c r="AD19" i="25"/>
  <c r="AE19" i="25" s="1"/>
  <c r="AG19" i="25" s="1"/>
  <c r="AH19" i="25" s="1"/>
  <c r="Y19" i="25"/>
  <c r="Z19" i="25"/>
  <c r="K18" i="25"/>
  <c r="N18" i="25" s="1"/>
  <c r="AD18" i="25"/>
  <c r="AE18" i="25" s="1"/>
  <c r="AG18" i="25" s="1"/>
  <c r="AH18" i="25" s="1"/>
  <c r="Y18" i="25"/>
  <c r="Z18" i="25"/>
  <c r="Y17" i="25"/>
  <c r="Z17" i="25"/>
  <c r="K17" i="25"/>
  <c r="N17" i="25" s="1"/>
  <c r="AD17" i="25"/>
  <c r="AE17" i="25" s="1"/>
  <c r="AG17" i="25" s="1"/>
  <c r="AH17" i="25" s="1"/>
  <c r="Y26" i="25"/>
  <c r="Z26" i="25"/>
  <c r="K26" i="25"/>
  <c r="N26" i="25" s="1"/>
  <c r="AD26" i="25"/>
  <c r="AE26" i="25" s="1"/>
  <c r="AG26" i="25" s="1"/>
  <c r="AH26" i="25" s="1"/>
  <c r="Y25" i="25"/>
  <c r="Z25" i="25"/>
  <c r="AD25" i="25"/>
  <c r="AE25" i="25" s="1"/>
  <c r="AG25" i="25" s="1"/>
  <c r="AH25" i="25" s="1"/>
  <c r="K25" i="25"/>
  <c r="N25" i="25" s="1"/>
  <c r="O26" i="25"/>
  <c r="O25" i="25"/>
  <c r="Y6" i="23"/>
  <c r="AD6" i="23"/>
  <c r="AE6" i="23" s="1"/>
  <c r="AG6" i="23" s="1"/>
  <c r="AH6" i="23" s="1"/>
  <c r="Y5" i="23"/>
  <c r="AD5" i="23"/>
  <c r="AE5" i="23" s="1"/>
  <c r="AG5" i="23" s="1"/>
  <c r="AH5" i="23" s="1"/>
  <c r="AA5" i="23"/>
  <c r="O16" i="25"/>
  <c r="O10" i="25"/>
  <c r="O15" i="25"/>
  <c r="O13" i="25"/>
  <c r="O9" i="25"/>
  <c r="O12" i="25"/>
  <c r="O14" i="25"/>
  <c r="Z16" i="25"/>
  <c r="Y16" i="25"/>
  <c r="AD16" i="25"/>
  <c r="AE16" i="25" s="1"/>
  <c r="AG16" i="25" s="1"/>
  <c r="AH16" i="25" s="1"/>
  <c r="K16" i="25"/>
  <c r="N16" i="25" s="1"/>
  <c r="Y15" i="25"/>
  <c r="Z15" i="25"/>
  <c r="K15" i="25"/>
  <c r="N15" i="25" s="1"/>
  <c r="AD15" i="25"/>
  <c r="AE15" i="25" s="1"/>
  <c r="AG15" i="25" s="1"/>
  <c r="AH15" i="25" s="1"/>
  <c r="Y14" i="25"/>
  <c r="Z14" i="25"/>
  <c r="K14" i="25"/>
  <c r="N14" i="25" s="1"/>
  <c r="AD14" i="25"/>
  <c r="AE14" i="25" s="1"/>
  <c r="AG14" i="25" s="1"/>
  <c r="AH14" i="25" s="1"/>
  <c r="Y13" i="25"/>
  <c r="Z13" i="25"/>
  <c r="K13" i="25"/>
  <c r="N13" i="25" s="1"/>
  <c r="AD13" i="25"/>
  <c r="AE13" i="25" s="1"/>
  <c r="AG13" i="25" s="1"/>
  <c r="AH13" i="25" s="1"/>
  <c r="O22" i="25"/>
  <c r="O21" i="25"/>
  <c r="O11" i="25"/>
  <c r="Y10" i="25"/>
  <c r="Z10" i="25"/>
  <c r="K10" i="25"/>
  <c r="N10" i="25" s="1"/>
  <c r="AD10" i="25"/>
  <c r="AE10" i="25" s="1"/>
  <c r="AG10" i="25" s="1"/>
  <c r="AH10" i="25" s="1"/>
  <c r="AD9" i="25"/>
  <c r="AE9" i="25" s="1"/>
  <c r="AG9" i="25" s="1"/>
  <c r="AH9" i="25" s="1"/>
  <c r="K9" i="25"/>
  <c r="N9" i="25" s="1"/>
  <c r="Y9" i="25"/>
  <c r="Z9" i="25"/>
  <c r="Y22" i="25"/>
  <c r="Z22" i="25"/>
  <c r="K22" i="25"/>
  <c r="N22" i="25" s="1"/>
  <c r="AD22" i="25"/>
  <c r="AE22" i="25" s="1"/>
  <c r="AG22" i="25" s="1"/>
  <c r="AH22" i="25" s="1"/>
  <c r="Z21" i="25"/>
  <c r="Y21" i="25"/>
  <c r="K21" i="25"/>
  <c r="N21" i="25" s="1"/>
  <c r="AD21" i="25"/>
  <c r="AE21" i="25" s="1"/>
  <c r="AG21" i="25" s="1"/>
  <c r="AH21" i="25" s="1"/>
  <c r="Z12" i="25"/>
  <c r="Y12" i="25"/>
  <c r="K12" i="25"/>
  <c r="N12" i="25" s="1"/>
  <c r="AD12" i="25"/>
  <c r="AE12" i="25" s="1"/>
  <c r="AG12" i="25" s="1"/>
  <c r="AH12" i="25" s="1"/>
  <c r="K11" i="25"/>
  <c r="N11" i="25" s="1"/>
  <c r="AD11" i="25"/>
  <c r="AE11" i="25" s="1"/>
  <c r="AG11" i="25" s="1"/>
  <c r="AH11" i="25" s="1"/>
  <c r="Y11" i="25"/>
  <c r="Z11" i="25"/>
  <c r="J25" i="20" a="1"/>
  <c r="D42" i="23" a="1"/>
  <c r="D49" i="23" a="1"/>
  <c r="F17" i="23" a="1"/>
  <c r="D48" i="23" a="1"/>
  <c r="D42" i="20" a="1"/>
  <c r="J16" i="23" a="1"/>
  <c r="F18" i="23" a="1"/>
  <c r="D21" i="23" a="1"/>
  <c r="C42" i="23" a="1"/>
  <c r="D45" i="20" a="1"/>
  <c r="J49" i="23" a="1"/>
  <c r="C12" i="23" a="1"/>
  <c r="C14" i="20" a="1"/>
  <c r="C48" i="23" a="1"/>
  <c r="F21" i="23" a="1"/>
  <c r="J17" i="23" a="1"/>
  <c r="F32" i="20" a="1"/>
  <c r="C13" i="23" a="1"/>
  <c r="D31" i="20" a="1"/>
  <c r="D36" i="23" a="1"/>
  <c r="J39" i="23" a="1"/>
  <c r="C46" i="23" a="1"/>
  <c r="C51" i="23" a="1"/>
  <c r="J10" i="20" a="1"/>
  <c r="J48" i="23" a="1"/>
  <c r="D17" i="20" a="1"/>
  <c r="J44" i="23" a="1"/>
  <c r="D51" i="23" a="1"/>
  <c r="J38" i="23" a="1"/>
  <c r="D36" i="20" a="1"/>
  <c r="C40" i="23" a="1"/>
  <c r="F22" i="20" a="1"/>
  <c r="F9" i="20" a="1"/>
  <c r="C10" i="23" a="1"/>
  <c r="J22" i="23" a="1"/>
  <c r="F20" i="23" a="1"/>
  <c r="D34" i="20" a="1"/>
  <c r="J47" i="23" a="1"/>
  <c r="C38" i="23" a="1"/>
  <c r="F12" i="20" a="1"/>
  <c r="J14" i="20" a="1"/>
  <c r="J24" i="20" a="1"/>
  <c r="F40" i="23" a="1"/>
  <c r="D10" i="20" a="1"/>
  <c r="J47" i="20" a="1"/>
  <c r="D29" i="20" a="1"/>
  <c r="J12" i="23" a="1"/>
  <c r="F11" i="23" a="1"/>
  <c r="D28" i="20" a="1"/>
  <c r="C16" i="23" a="1"/>
  <c r="C15" i="23" a="1"/>
  <c r="D12" i="20" a="1"/>
  <c r="C7" i="23" a="1"/>
  <c r="D43" i="23" a="1"/>
  <c r="C41" i="23" a="1"/>
  <c r="C15" i="20" a="1"/>
  <c r="C39" i="23" a="1"/>
  <c r="F36" i="20" a="1"/>
  <c r="C36" i="23" a="1"/>
  <c r="J11" i="23" a="1"/>
  <c r="D5" i="20" a="1"/>
  <c r="F9" i="23" a="1"/>
  <c r="J14" i="23" a="1"/>
  <c r="F42" i="23" a="1"/>
  <c r="F8" i="20" a="1"/>
  <c r="C39" i="20" a="1"/>
  <c r="F37" i="23" a="1"/>
  <c r="J41" i="20" a="1"/>
  <c r="D47" i="20" a="1"/>
  <c r="D24" i="20" a="1"/>
  <c r="F15" i="20" a="1"/>
  <c r="D38" i="23" a="1"/>
  <c r="D12" i="23" a="1"/>
  <c r="D19" i="23" a="1"/>
  <c r="C16" i="20" a="1"/>
  <c r="F26" i="20" a="1"/>
  <c r="F15" i="23" a="1"/>
  <c r="D15" i="20" a="1"/>
  <c r="F47" i="23" a="1"/>
  <c r="J37" i="23" a="1"/>
  <c r="D39" i="20" a="1"/>
  <c r="F45" i="23" a="1"/>
  <c r="J21" i="23" a="1"/>
  <c r="F7" i="23" a="1"/>
  <c r="C37" i="20" a="1"/>
  <c r="C30" i="20" a="1"/>
  <c r="C43" i="23" a="1"/>
  <c r="J44" i="20" a="1"/>
  <c r="F47" i="20" a="1"/>
  <c r="D41" i="20" a="1"/>
  <c r="D15" i="23" a="1"/>
  <c r="C47" i="20" a="1"/>
  <c r="J6" i="20" a="1"/>
  <c r="F43" i="20" a="1"/>
  <c r="F39" i="23" a="1"/>
  <c r="D38" i="20" a="1"/>
  <c r="C49" i="23" a="1"/>
  <c r="F17" i="20" a="1"/>
  <c r="D8" i="23" a="1"/>
  <c r="C25" i="20" a="1"/>
  <c r="F37" i="20" a="1"/>
  <c r="F41" i="23" a="1"/>
  <c r="J26" i="20" a="1"/>
  <c r="C13" i="20" a="1"/>
  <c r="J50" i="23" a="1"/>
  <c r="J30" i="20" a="1"/>
  <c r="F46" i="23" a="1"/>
  <c r="J10" i="23" a="1"/>
  <c r="C10" i="20" a="1"/>
  <c r="D7" i="20" a="1"/>
  <c r="F33" i="20" a="1"/>
  <c r="F19" i="23" a="1"/>
  <c r="D35" i="20" a="1"/>
  <c r="F43" i="23" a="1"/>
  <c r="D44" i="20" a="1"/>
  <c r="F28" i="20" a="1"/>
  <c r="J38" i="20" a="1"/>
  <c r="C11" i="23" a="1"/>
  <c r="C44" i="20" a="1"/>
  <c r="F8" i="23" a="1"/>
  <c r="C19" i="23" a="1"/>
  <c r="F27" i="20" a="1"/>
  <c r="J51" i="23" a="1"/>
  <c r="C11" i="20" a="1"/>
  <c r="C22" i="20" a="1"/>
  <c r="J27" i="20" a="1"/>
  <c r="J43" i="23" a="1"/>
  <c r="D46" i="23" a="1"/>
  <c r="D39" i="23" a="1"/>
  <c r="C43" i="20" a="1"/>
  <c r="J19" i="23" a="1"/>
  <c r="D14" i="23" a="1"/>
  <c r="F31" i="20" a="1"/>
  <c r="C29" i="20" a="1"/>
  <c r="J22" i="20" a="1"/>
  <c r="F10" i="20" a="1"/>
  <c r="D44" i="23" a="1"/>
  <c r="F42" i="20" a="1"/>
  <c r="D27" i="20" a="1"/>
  <c r="F48" i="23" a="1"/>
  <c r="D37" i="20" a="1"/>
  <c r="C6" i="20" a="1"/>
  <c r="F14" i="23" a="1"/>
  <c r="J33" i="20" a="1"/>
  <c r="C12" i="20" a="1"/>
  <c r="J36" i="23" a="1"/>
  <c r="D22" i="20" a="1"/>
  <c r="D18" i="20" a="1"/>
  <c r="D13" i="23" a="1"/>
  <c r="J35" i="20" a="1"/>
  <c r="C50" i="23" a="1"/>
  <c r="F16" i="23" a="1"/>
  <c r="F18" i="20" a="1"/>
  <c r="J42" i="23" a="1"/>
  <c r="J18" i="20" a="1"/>
  <c r="C17" i="20" a="1"/>
  <c r="D9" i="20" a="1"/>
  <c r="C26" i="20" a="1"/>
  <c r="J34" i="20" a="1"/>
  <c r="C31" i="20" a="1"/>
  <c r="J13" i="20" a="1"/>
  <c r="J7" i="23" a="1"/>
  <c r="C9" i="23" a="1"/>
  <c r="C28" i="20" a="1"/>
  <c r="D40" i="20" a="1"/>
  <c r="J17" i="20" a="1"/>
  <c r="D18" i="23" a="1"/>
  <c r="F24" i="20" a="1"/>
  <c r="C42" i="20" a="1"/>
  <c r="F45" i="20" a="1"/>
  <c r="J15" i="23" a="1"/>
  <c r="F16" i="20" a="1"/>
  <c r="D16" i="23" a="1"/>
  <c r="C38" i="20" a="1"/>
  <c r="C21" i="23" a="1"/>
  <c r="D17" i="23" a="1"/>
  <c r="C5" i="20" a="1"/>
  <c r="D47" i="23" a="1"/>
  <c r="C35" i="20" a="1"/>
  <c r="J41" i="23" a="1"/>
  <c r="J31" i="20" a="1"/>
  <c r="F44" i="23" a="1"/>
  <c r="J20" i="23" a="1"/>
  <c r="C8" i="23" a="1"/>
  <c r="J13" i="23" a="1"/>
  <c r="D6" i="20" a="1"/>
  <c r="C37" i="23" a="1"/>
  <c r="F7" i="20" a="1"/>
  <c r="F44" i="20" a="1"/>
  <c r="D43" i="20" a="1"/>
  <c r="F25" i="20" a="1"/>
  <c r="C32" i="20" a="1"/>
  <c r="F36" i="23" a="1"/>
  <c r="F30" i="20" a="1"/>
  <c r="J11" i="20" a="1"/>
  <c r="F50" i="23" a="1"/>
  <c r="D9" i="23" a="1"/>
  <c r="J32" i="20" a="1"/>
  <c r="C36" i="20" a="1"/>
  <c r="J5" i="20" a="1"/>
  <c r="F13" i="20" a="1"/>
  <c r="F13" i="23" a="1"/>
  <c r="F23" i="20" a="1"/>
  <c r="D7" i="23" a="1"/>
  <c r="J39" i="20" a="1"/>
  <c r="J8" i="23" a="1"/>
  <c r="F40" i="20" a="1"/>
  <c r="J28" i="20" a="1"/>
  <c r="J23" i="20" a="1"/>
  <c r="C46" i="20" a="1"/>
  <c r="C24" i="20" a="1"/>
  <c r="C14" i="23" a="1"/>
  <c r="C45" i="23" a="1"/>
  <c r="J42" i="20" a="1"/>
  <c r="F41" i="20" a="1"/>
  <c r="J15" i="20" a="1"/>
  <c r="D8" i="20" a="1"/>
  <c r="C18" i="23" a="1"/>
  <c r="C9" i="20" a="1"/>
  <c r="F38" i="23" a="1"/>
  <c r="F29" i="20" a="1"/>
  <c r="F10" i="23" a="1"/>
  <c r="D22" i="23" a="1"/>
  <c r="F39" i="20" a="1"/>
  <c r="F5" i="20" a="1"/>
  <c r="J9" i="20" a="1"/>
  <c r="C22" i="23" a="1"/>
  <c r="D10" i="23" a="1"/>
  <c r="C18" i="20" a="1"/>
  <c r="J9" i="23" a="1"/>
  <c r="C44" i="23" a="1"/>
  <c r="D20" i="23" a="1"/>
  <c r="D40" i="23" a="1"/>
  <c r="F14" i="20" a="1"/>
  <c r="J40" i="23" a="1"/>
  <c r="D26" i="20" a="1"/>
  <c r="F12" i="23" a="1"/>
  <c r="C8" i="20" a="1"/>
  <c r="D11" i="23" a="1"/>
  <c r="D25" i="20" a="1"/>
  <c r="D45" i="23" a="1"/>
  <c r="J46" i="20" a="1"/>
  <c r="J40" i="20" a="1"/>
  <c r="C40" i="20" a="1"/>
  <c r="C17" i="23" a="1"/>
  <c r="J37" i="20" a="1"/>
  <c r="D11" i="20" a="1"/>
  <c r="J36" i="20" a="1"/>
  <c r="F49" i="23" a="1"/>
  <c r="F38" i="20" a="1"/>
  <c r="F51" i="23" a="1"/>
  <c r="F22" i="23" a="1"/>
  <c r="C7" i="20" a="1"/>
  <c r="F34" i="20" a="1"/>
  <c r="F35" i="20" a="1"/>
  <c r="J43" i="20" a="1"/>
  <c r="D46" i="20" a="1"/>
  <c r="F46" i="20" a="1"/>
  <c r="C45" i="20" a="1"/>
  <c r="D14" i="20" a="1"/>
  <c r="J12" i="20" a="1"/>
  <c r="C47" i="23" a="1"/>
  <c r="D37" i="23" a="1"/>
  <c r="C33" i="20" a="1"/>
  <c r="D23" i="20" a="1"/>
  <c r="J45" i="20" a="1"/>
  <c r="C27" i="20" a="1"/>
  <c r="C41" i="20" a="1"/>
  <c r="C23" i="20" a="1"/>
  <c r="J46" i="23" a="1"/>
  <c r="F11" i="20" a="1"/>
  <c r="J45" i="23" a="1"/>
  <c r="J29" i="20" a="1"/>
  <c r="D32" i="20" a="1"/>
  <c r="J16" i="20" a="1"/>
  <c r="D41" i="23" a="1"/>
  <c r="D50" i="23" a="1"/>
  <c r="D16" i="20" a="1"/>
  <c r="D13" i="20" a="1"/>
  <c r="J8" i="20" a="1"/>
  <c r="F6" i="20" a="1"/>
  <c r="C20" i="23" a="1"/>
  <c r="J18" i="23" a="1"/>
  <c r="D30" i="20" a="1"/>
  <c r="C34" i="20" a="1"/>
  <c r="D33" i="20" a="1"/>
  <c r="J7" i="20" a="1"/>
  <c r="AA17" i="25" l="1"/>
  <c r="AA7" i="25"/>
  <c r="AA23" i="25"/>
  <c r="W27" i="23"/>
  <c r="U27" i="23"/>
  <c r="V27" i="23"/>
  <c r="T27" i="23"/>
  <c r="W30" i="23"/>
  <c r="U30" i="23"/>
  <c r="T30" i="23"/>
  <c r="V30" i="23"/>
  <c r="W32" i="23"/>
  <c r="U32" i="23"/>
  <c r="T32" i="23"/>
  <c r="V32" i="23"/>
  <c r="AA5" i="25"/>
  <c r="AA19" i="25"/>
  <c r="AH1" i="25"/>
  <c r="AI23" i="25"/>
  <c r="Q23" i="25"/>
  <c r="P23" i="25"/>
  <c r="S23" i="25"/>
  <c r="R23" i="25"/>
  <c r="AA25" i="25"/>
  <c r="AI7" i="25"/>
  <c r="AI19" i="25"/>
  <c r="Q7" i="25"/>
  <c r="P7" i="25"/>
  <c r="R7" i="25"/>
  <c r="S7" i="25"/>
  <c r="AI17" i="25"/>
  <c r="AI5" i="25"/>
  <c r="P5" i="25"/>
  <c r="Q5" i="25"/>
  <c r="R5" i="25"/>
  <c r="S5" i="25"/>
  <c r="P19" i="25"/>
  <c r="Q19" i="25"/>
  <c r="R19" i="25"/>
  <c r="S19" i="25"/>
  <c r="P17" i="25"/>
  <c r="Q17" i="25"/>
  <c r="S17" i="25"/>
  <c r="R17" i="25"/>
  <c r="AI25" i="25"/>
  <c r="Q25" i="25"/>
  <c r="P25" i="25"/>
  <c r="R25" i="25"/>
  <c r="S25" i="25"/>
  <c r="AI5" i="23"/>
  <c r="AA15" i="25"/>
  <c r="AA11" i="25"/>
  <c r="AI15" i="25"/>
  <c r="AI13" i="25"/>
  <c r="AA9" i="25"/>
  <c r="AA13" i="25"/>
  <c r="AI11" i="25"/>
  <c r="P15" i="25"/>
  <c r="Q15" i="25"/>
  <c r="R15" i="25"/>
  <c r="S15" i="25"/>
  <c r="P13" i="25"/>
  <c r="Q13" i="25"/>
  <c r="R13" i="25"/>
  <c r="S13" i="25"/>
  <c r="AI21" i="25"/>
  <c r="AI9" i="25"/>
  <c r="AA21" i="25"/>
  <c r="P9" i="25"/>
  <c r="Q9" i="25"/>
  <c r="R9" i="25"/>
  <c r="S9" i="25"/>
  <c r="P21" i="25"/>
  <c r="Q21" i="25"/>
  <c r="R21" i="25"/>
  <c r="S21" i="25"/>
  <c r="P11" i="25"/>
  <c r="Q11" i="25"/>
  <c r="R11" i="25"/>
  <c r="S11" i="25"/>
  <c r="L45" i="20"/>
  <c r="L44" i="20" s="1"/>
  <c r="L38" i="20" s="1"/>
  <c r="L37" i="20" s="1"/>
  <c r="L33" i="20" s="1"/>
  <c r="L30" i="20" s="1"/>
  <c r="L24" i="20" s="1"/>
  <c r="L13" i="20" s="1"/>
  <c r="L7" i="20" s="1"/>
  <c r="L19" i="23" s="1"/>
  <c r="L11" i="23" s="1"/>
  <c r="L5" i="23" s="1"/>
  <c r="L44" i="23" s="1"/>
  <c r="L38" i="23" s="1"/>
  <c r="AI1" i="25" l="1"/>
  <c r="T26" i="25"/>
  <c r="V26" i="25"/>
  <c r="W26" i="25"/>
  <c r="U26" i="25"/>
  <c r="V24" i="25"/>
  <c r="T24" i="25"/>
  <c r="W24" i="25"/>
  <c r="U24" i="25"/>
  <c r="V22" i="25"/>
  <c r="T22" i="25"/>
  <c r="W22" i="25"/>
  <c r="U22" i="25"/>
  <c r="V20" i="25"/>
  <c r="T20" i="25"/>
  <c r="W20" i="25"/>
  <c r="U20" i="25"/>
  <c r="V18" i="25"/>
  <c r="T18" i="25"/>
  <c r="W18" i="25"/>
  <c r="U18" i="25"/>
  <c r="V16" i="25"/>
  <c r="T16" i="25"/>
  <c r="W16" i="25"/>
  <c r="U16" i="25"/>
  <c r="V14" i="25"/>
  <c r="T14" i="25"/>
  <c r="W14" i="25"/>
  <c r="U14" i="25"/>
  <c r="V12" i="25"/>
  <c r="T12" i="25"/>
  <c r="W12" i="25"/>
  <c r="U12" i="25"/>
  <c r="V10" i="25"/>
  <c r="T10" i="25"/>
  <c r="U10" i="25"/>
  <c r="W10" i="25"/>
  <c r="V8" i="25"/>
  <c r="T8" i="25"/>
  <c r="W8" i="25"/>
  <c r="U8" i="25"/>
  <c r="T6" i="25"/>
  <c r="V6" i="25"/>
  <c r="W6" i="25"/>
  <c r="U6" i="25"/>
  <c r="L43" i="23"/>
  <c r="O43" i="23" s="1"/>
  <c r="L10" i="23"/>
  <c r="O10" i="23" s="1"/>
  <c r="L12" i="20"/>
  <c r="O12" i="20" s="1"/>
  <c r="K30" i="20"/>
  <c r="N30" i="20" s="1"/>
  <c r="K37" i="20"/>
  <c r="N37" i="20" s="1"/>
  <c r="K44" i="20"/>
  <c r="N44" i="20" s="1"/>
  <c r="K29" i="20"/>
  <c r="N29" i="20" s="1"/>
  <c r="K36" i="20"/>
  <c r="N36" i="20" s="1"/>
  <c r="K43" i="20"/>
  <c r="N43" i="20" s="1"/>
  <c r="L50" i="23"/>
  <c r="O50" i="23" s="1"/>
  <c r="L17" i="23"/>
  <c r="O17" i="23" s="1"/>
  <c r="L5" i="20"/>
  <c r="O5" i="20" s="1"/>
  <c r="L22" i="20"/>
  <c r="O22" i="20" s="1"/>
  <c r="L29" i="20"/>
  <c r="O29" i="20" s="1"/>
  <c r="L36" i="20"/>
  <c r="O36" i="20" s="1"/>
  <c r="L43" i="20"/>
  <c r="O43" i="20" s="1"/>
  <c r="L46" i="20"/>
  <c r="O46" i="20" s="1"/>
  <c r="K34" i="20"/>
  <c r="N34" i="20" s="1"/>
  <c r="K41" i="20"/>
  <c r="N41" i="20" s="1"/>
  <c r="L36" i="23"/>
  <c r="O36" i="23" s="1"/>
  <c r="L42" i="23"/>
  <c r="O42" i="23" s="1"/>
  <c r="L9" i="23"/>
  <c r="O9" i="23" s="1"/>
  <c r="L11" i="20"/>
  <c r="O11" i="20" s="1"/>
  <c r="L27" i="20"/>
  <c r="O27" i="20" s="1"/>
  <c r="L34" i="20"/>
  <c r="O34" i="20" s="1"/>
  <c r="L41" i="20"/>
  <c r="O41" i="20" s="1"/>
  <c r="L37" i="23"/>
  <c r="O37" i="23" s="1"/>
  <c r="L51" i="23"/>
  <c r="O51" i="23" s="1"/>
  <c r="L18" i="23"/>
  <c r="O18" i="23" s="1"/>
  <c r="L6" i="20"/>
  <c r="O6" i="20" s="1"/>
  <c r="K25" i="20"/>
  <c r="N25" i="20" s="1"/>
  <c r="L34" i="23"/>
  <c r="O34" i="23" s="1"/>
  <c r="L48" i="23"/>
  <c r="O48" i="23" s="1"/>
  <c r="L15" i="23"/>
  <c r="O15" i="23" s="1"/>
  <c r="L17" i="20"/>
  <c r="O17" i="20" s="1"/>
  <c r="L39" i="20"/>
  <c r="O39" i="20" s="1"/>
  <c r="O37" i="20"/>
  <c r="O44" i="20"/>
  <c r="K42" i="20"/>
  <c r="N42" i="20" s="1"/>
  <c r="L46" i="23"/>
  <c r="O46" i="23" s="1"/>
  <c r="L13" i="23"/>
  <c r="O13" i="23" s="1"/>
  <c r="L15" i="20"/>
  <c r="O15" i="20" s="1"/>
  <c r="O33" i="20"/>
  <c r="L35" i="20"/>
  <c r="O35" i="20" s="1"/>
  <c r="L42" i="20"/>
  <c r="O42" i="20" s="1"/>
  <c r="L47" i="23"/>
  <c r="O47" i="23" s="1"/>
  <c r="L14" i="23"/>
  <c r="O14" i="23" s="1"/>
  <c r="L16" i="20"/>
  <c r="O16" i="20" s="1"/>
  <c r="K24" i="20"/>
  <c r="N24" i="20" s="1"/>
  <c r="K31" i="20"/>
  <c r="N31" i="20" s="1"/>
  <c r="K38" i="20"/>
  <c r="N38" i="20" s="1"/>
  <c r="K45" i="20"/>
  <c r="N45" i="20" s="1"/>
  <c r="L41" i="23"/>
  <c r="O41" i="23" s="1"/>
  <c r="L8" i="23"/>
  <c r="O8" i="23" s="1"/>
  <c r="L22" i="23"/>
  <c r="O22" i="23" s="1"/>
  <c r="L10" i="20"/>
  <c r="O10" i="20" s="1"/>
  <c r="K26" i="20"/>
  <c r="N26" i="20" s="1"/>
  <c r="K33" i="20"/>
  <c r="N33" i="20" s="1"/>
  <c r="AD10" i="20"/>
  <c r="AE10" i="20" s="1"/>
  <c r="AG10" i="20" s="1"/>
  <c r="AH10" i="20" s="1"/>
  <c r="K10" i="20"/>
  <c r="N10" i="20" s="1"/>
  <c r="O13" i="20"/>
  <c r="L35" i="23"/>
  <c r="O35" i="23" s="1"/>
  <c r="Z44" i="23"/>
  <c r="Y44" i="23"/>
  <c r="AD46" i="23"/>
  <c r="AE46" i="23" s="1"/>
  <c r="AG46" i="23" s="1"/>
  <c r="AH46" i="23" s="1"/>
  <c r="K46" i="23"/>
  <c r="N46" i="23" s="1"/>
  <c r="L49" i="23"/>
  <c r="O49" i="23" s="1"/>
  <c r="Y11" i="23"/>
  <c r="Z11" i="23"/>
  <c r="AD13" i="23"/>
  <c r="AE13" i="23" s="1"/>
  <c r="AG13" i="23" s="1"/>
  <c r="AH13" i="23" s="1"/>
  <c r="K13" i="23"/>
  <c r="N13" i="23" s="1"/>
  <c r="L16" i="23"/>
  <c r="O16" i="23" s="1"/>
  <c r="Z13" i="20"/>
  <c r="Y13" i="20"/>
  <c r="AD15" i="20"/>
  <c r="AE15" i="20" s="1"/>
  <c r="AG15" i="20" s="1"/>
  <c r="AH15" i="20" s="1"/>
  <c r="K15" i="20"/>
  <c r="N15" i="20" s="1"/>
  <c r="L18" i="20"/>
  <c r="O18" i="20" s="1"/>
  <c r="O24" i="20"/>
  <c r="L26" i="20"/>
  <c r="O26" i="20" s="1"/>
  <c r="Z29" i="20"/>
  <c r="Y29" i="20"/>
  <c r="L31" i="20"/>
  <c r="O31" i="20" s="1"/>
  <c r="Z41" i="20"/>
  <c r="Y41" i="20"/>
  <c r="Y45" i="23"/>
  <c r="Z45" i="23"/>
  <c r="Z12" i="23"/>
  <c r="Y12" i="23"/>
  <c r="Z14" i="20"/>
  <c r="Y14" i="20"/>
  <c r="Y25" i="20"/>
  <c r="Z25" i="20"/>
  <c r="Y30" i="20"/>
  <c r="Z30" i="20"/>
  <c r="AD19" i="23"/>
  <c r="AE19" i="23" s="1"/>
  <c r="AG19" i="23" s="1"/>
  <c r="AH19" i="23" s="1"/>
  <c r="K19" i="23"/>
  <c r="N19" i="23" s="1"/>
  <c r="AD7" i="20"/>
  <c r="AE7" i="20" s="1"/>
  <c r="AG7" i="20" s="1"/>
  <c r="AH7" i="20" s="1"/>
  <c r="K7" i="20"/>
  <c r="N7" i="20" s="1"/>
  <c r="Y27" i="20"/>
  <c r="Z27" i="20"/>
  <c r="O44" i="23"/>
  <c r="AD49" i="23"/>
  <c r="AE49" i="23" s="1"/>
  <c r="AG49" i="23" s="1"/>
  <c r="AH49" i="23" s="1"/>
  <c r="K49" i="23"/>
  <c r="N49" i="23" s="1"/>
  <c r="Z41" i="23"/>
  <c r="Y41" i="23"/>
  <c r="AD10" i="23"/>
  <c r="AE10" i="23" s="1"/>
  <c r="AG10" i="23" s="1"/>
  <c r="AH10" i="23" s="1"/>
  <c r="K10" i="23"/>
  <c r="N10" i="23" s="1"/>
  <c r="O19" i="23"/>
  <c r="Y22" i="23"/>
  <c r="Z22" i="23"/>
  <c r="Z38" i="23"/>
  <c r="Y38" i="23"/>
  <c r="AD40" i="23"/>
  <c r="AE40" i="23" s="1"/>
  <c r="AG40" i="23" s="1"/>
  <c r="AH40" i="23" s="1"/>
  <c r="K40" i="23"/>
  <c r="N40" i="23" s="1"/>
  <c r="AD7" i="23"/>
  <c r="AE7" i="23" s="1"/>
  <c r="AG7" i="23" s="1"/>
  <c r="AH7" i="23" s="1"/>
  <c r="K7" i="23"/>
  <c r="N7" i="23" s="1"/>
  <c r="Z19" i="23"/>
  <c r="Y19" i="23"/>
  <c r="AD21" i="23"/>
  <c r="AE21" i="23" s="1"/>
  <c r="AG21" i="23" s="1"/>
  <c r="AH21" i="23" s="1"/>
  <c r="K21" i="23"/>
  <c r="N21" i="23" s="1"/>
  <c r="Y7" i="20"/>
  <c r="Z7" i="20"/>
  <c r="AD9" i="20"/>
  <c r="AE9" i="20" s="1"/>
  <c r="AG9" i="20" s="1"/>
  <c r="AH9" i="20" s="1"/>
  <c r="K9" i="20"/>
  <c r="N9" i="20" s="1"/>
  <c r="K23" i="20"/>
  <c r="N23" i="20" s="1"/>
  <c r="K28" i="20"/>
  <c r="N28" i="20" s="1"/>
  <c r="Y36" i="20"/>
  <c r="Z36" i="20"/>
  <c r="K40" i="20"/>
  <c r="N40" i="20" s="1"/>
  <c r="Y43" i="20"/>
  <c r="Z43" i="20"/>
  <c r="K47" i="20"/>
  <c r="N47" i="20" s="1"/>
  <c r="AD47" i="23"/>
  <c r="AE47" i="23" s="1"/>
  <c r="AG47" i="23" s="1"/>
  <c r="AH47" i="23" s="1"/>
  <c r="K47" i="23"/>
  <c r="N47" i="23" s="1"/>
  <c r="AD14" i="23"/>
  <c r="AE14" i="23" s="1"/>
  <c r="AG14" i="23" s="1"/>
  <c r="AH14" i="23" s="1"/>
  <c r="K14" i="23"/>
  <c r="N14" i="23" s="1"/>
  <c r="AD16" i="20"/>
  <c r="AE16" i="20" s="1"/>
  <c r="AG16" i="20" s="1"/>
  <c r="AH16" i="20" s="1"/>
  <c r="K16" i="20"/>
  <c r="N16" i="20" s="1"/>
  <c r="Y42" i="23"/>
  <c r="Z42" i="23"/>
  <c r="AD44" i="23"/>
  <c r="AE44" i="23" s="1"/>
  <c r="AG44" i="23" s="1"/>
  <c r="AH44" i="23" s="1"/>
  <c r="K44" i="23"/>
  <c r="N44" i="23" s="1"/>
  <c r="Z9" i="23"/>
  <c r="Y9" i="23"/>
  <c r="AD11" i="23"/>
  <c r="AE11" i="23" s="1"/>
  <c r="AG11" i="23" s="1"/>
  <c r="AH11" i="23" s="1"/>
  <c r="K11" i="23"/>
  <c r="N11" i="23" s="1"/>
  <c r="Y11" i="20"/>
  <c r="Z11" i="20"/>
  <c r="AD13" i="20"/>
  <c r="AE13" i="20" s="1"/>
  <c r="AG13" i="20" s="1"/>
  <c r="AH13" i="20" s="1"/>
  <c r="K13" i="20"/>
  <c r="N13" i="20" s="1"/>
  <c r="Z37" i="20"/>
  <c r="Y37" i="20"/>
  <c r="Z44" i="20"/>
  <c r="Y44" i="20"/>
  <c r="AD41" i="23"/>
  <c r="AE41" i="23" s="1"/>
  <c r="AG41" i="23" s="1"/>
  <c r="AH41" i="23" s="1"/>
  <c r="K41" i="23"/>
  <c r="N41" i="23" s="1"/>
  <c r="Z20" i="23"/>
  <c r="Y20" i="23"/>
  <c r="Y8" i="20"/>
  <c r="Z8" i="20"/>
  <c r="Z32" i="20"/>
  <c r="Y32" i="20"/>
  <c r="Y36" i="23"/>
  <c r="Z36" i="23"/>
  <c r="AD38" i="23"/>
  <c r="AE38" i="23" s="1"/>
  <c r="AG38" i="23" s="1"/>
  <c r="AH38" i="23" s="1"/>
  <c r="K38" i="23"/>
  <c r="N38" i="23" s="1"/>
  <c r="Y50" i="23"/>
  <c r="Z50" i="23"/>
  <c r="K5" i="23"/>
  <c r="N5" i="23" s="1"/>
  <c r="Z39" i="20"/>
  <c r="Y39" i="20"/>
  <c r="O11" i="23"/>
  <c r="Z34" i="20"/>
  <c r="Y34" i="20"/>
  <c r="O38" i="23"/>
  <c r="AD43" i="23"/>
  <c r="AE43" i="23" s="1"/>
  <c r="AG43" i="23" s="1"/>
  <c r="AH43" i="23" s="1"/>
  <c r="K43" i="23"/>
  <c r="N43" i="23" s="1"/>
  <c r="O5" i="23"/>
  <c r="Z8" i="23"/>
  <c r="Y8" i="23"/>
  <c r="O7" i="20"/>
  <c r="Y10" i="20"/>
  <c r="Z10" i="20"/>
  <c r="AD12" i="20"/>
  <c r="AE12" i="20" s="1"/>
  <c r="AG12" i="20" s="1"/>
  <c r="AH12" i="20" s="1"/>
  <c r="K12" i="20"/>
  <c r="N12" i="20" s="1"/>
  <c r="Z24" i="20"/>
  <c r="Y24" i="20"/>
  <c r="Y35" i="23"/>
  <c r="Z35" i="23"/>
  <c r="AD37" i="23"/>
  <c r="AE37" i="23" s="1"/>
  <c r="AG37" i="23" s="1"/>
  <c r="AH37" i="23" s="1"/>
  <c r="K37" i="23"/>
  <c r="N37" i="23" s="1"/>
  <c r="L40" i="23"/>
  <c r="O40" i="23" s="1"/>
  <c r="Z49" i="23"/>
  <c r="Y49" i="23"/>
  <c r="AD51" i="23"/>
  <c r="AE51" i="23" s="1"/>
  <c r="AG51" i="23" s="1"/>
  <c r="AH51" i="23" s="1"/>
  <c r="K51" i="23"/>
  <c r="N51" i="23" s="1"/>
  <c r="L7" i="23"/>
  <c r="O7" i="23" s="1"/>
  <c r="Z16" i="23"/>
  <c r="Y16" i="23"/>
  <c r="AD18" i="23"/>
  <c r="AE18" i="23" s="1"/>
  <c r="AG18" i="23" s="1"/>
  <c r="AH18" i="23" s="1"/>
  <c r="K18" i="23"/>
  <c r="N18" i="23" s="1"/>
  <c r="L21" i="23"/>
  <c r="O21" i="23" s="1"/>
  <c r="AD6" i="20"/>
  <c r="AE6" i="20" s="1"/>
  <c r="AG6" i="20" s="1"/>
  <c r="AH6" i="20" s="1"/>
  <c r="K6" i="20"/>
  <c r="N6" i="20" s="1"/>
  <c r="L9" i="20"/>
  <c r="O9" i="20" s="1"/>
  <c r="Y18" i="20"/>
  <c r="Z18" i="20"/>
  <c r="L23" i="20"/>
  <c r="O23" i="20" s="1"/>
  <c r="L28" i="20"/>
  <c r="O28" i="20" s="1"/>
  <c r="Z31" i="20"/>
  <c r="Y31" i="20"/>
  <c r="K35" i="20"/>
  <c r="N35" i="20" s="1"/>
  <c r="O38" i="20"/>
  <c r="L40" i="20"/>
  <c r="O40" i="20" s="1"/>
  <c r="O45" i="20"/>
  <c r="L47" i="20"/>
  <c r="O47" i="20" s="1"/>
  <c r="Z17" i="23"/>
  <c r="Y17" i="23"/>
  <c r="Z46" i="20"/>
  <c r="Y46" i="20"/>
  <c r="K35" i="23"/>
  <c r="N35" i="23" s="1"/>
  <c r="AD35" i="23"/>
  <c r="AE35" i="23" s="1"/>
  <c r="AG35" i="23" s="1"/>
  <c r="AH35" i="23" s="1"/>
  <c r="AD16" i="23"/>
  <c r="AE16" i="23" s="1"/>
  <c r="AG16" i="23" s="1"/>
  <c r="AH16" i="23" s="1"/>
  <c r="K16" i="23"/>
  <c r="N16" i="23" s="1"/>
  <c r="AD18" i="20"/>
  <c r="AE18" i="20" s="1"/>
  <c r="AG18" i="20" s="1"/>
  <c r="AH18" i="20" s="1"/>
  <c r="K18" i="20"/>
  <c r="N18" i="20" s="1"/>
  <c r="L8" i="20"/>
  <c r="O8" i="20" s="1"/>
  <c r="Z43" i="23"/>
  <c r="Y43" i="23"/>
  <c r="Y10" i="23"/>
  <c r="Z10" i="23"/>
  <c r="Y12" i="20"/>
  <c r="Z12" i="20"/>
  <c r="AD14" i="20"/>
  <c r="AE14" i="20" s="1"/>
  <c r="AG14" i="20" s="1"/>
  <c r="AH14" i="20" s="1"/>
  <c r="K14" i="20"/>
  <c r="N14" i="20" s="1"/>
  <c r="Y33" i="20"/>
  <c r="Z33" i="20"/>
  <c r="Z39" i="23"/>
  <c r="Y39" i="23"/>
  <c r="AD22" i="23"/>
  <c r="AE22" i="23" s="1"/>
  <c r="AG22" i="23" s="1"/>
  <c r="AH22" i="23" s="1"/>
  <c r="K22" i="23"/>
  <c r="N22" i="23" s="1"/>
  <c r="Y5" i="20"/>
  <c r="Z5" i="20"/>
  <c r="Y16" i="20"/>
  <c r="Z16" i="20"/>
  <c r="Y40" i="23"/>
  <c r="Z40" i="23"/>
  <c r="AD42" i="23"/>
  <c r="AE42" i="23" s="1"/>
  <c r="AG42" i="23" s="1"/>
  <c r="AH42" i="23" s="1"/>
  <c r="K42" i="23"/>
  <c r="N42" i="23" s="1"/>
  <c r="L45" i="23"/>
  <c r="O45" i="23" s="1"/>
  <c r="Z7" i="23"/>
  <c r="Y7" i="23"/>
  <c r="AD9" i="23"/>
  <c r="AE9" i="23" s="1"/>
  <c r="AG9" i="23" s="1"/>
  <c r="AH9" i="23" s="1"/>
  <c r="K9" i="23"/>
  <c r="N9" i="23" s="1"/>
  <c r="L12" i="23"/>
  <c r="O12" i="23" s="1"/>
  <c r="Y21" i="23"/>
  <c r="Z21" i="23"/>
  <c r="Z9" i="20"/>
  <c r="Y9" i="20"/>
  <c r="AD11" i="20"/>
  <c r="AE11" i="20" s="1"/>
  <c r="AG11" i="20" s="1"/>
  <c r="AH11" i="20" s="1"/>
  <c r="K11" i="20"/>
  <c r="N11" i="20" s="1"/>
  <c r="L14" i="20"/>
  <c r="O14" i="20" s="1"/>
  <c r="L25" i="20"/>
  <c r="O25" i="20" s="1"/>
  <c r="Y28" i="20"/>
  <c r="Z28" i="20"/>
  <c r="Z40" i="20"/>
  <c r="Y40" i="20"/>
  <c r="Z47" i="20"/>
  <c r="Y47" i="20"/>
  <c r="AD8" i="23"/>
  <c r="AE8" i="23" s="1"/>
  <c r="AG8" i="23" s="1"/>
  <c r="AH8" i="23" s="1"/>
  <c r="K8" i="23"/>
  <c r="N8" i="23" s="1"/>
  <c r="Y47" i="23"/>
  <c r="Z47" i="23"/>
  <c r="Z14" i="23"/>
  <c r="Y14" i="23"/>
  <c r="Y46" i="23"/>
  <c r="Z46" i="23"/>
  <c r="AD15" i="23"/>
  <c r="AE15" i="23" s="1"/>
  <c r="AG15" i="23" s="1"/>
  <c r="AH15" i="23" s="1"/>
  <c r="K15" i="23"/>
  <c r="N15" i="23" s="1"/>
  <c r="Y15" i="20"/>
  <c r="Z15" i="20"/>
  <c r="Y26" i="20"/>
  <c r="Z26" i="20"/>
  <c r="AD45" i="23"/>
  <c r="AE45" i="23" s="1"/>
  <c r="AG45" i="23" s="1"/>
  <c r="AH45" i="23" s="1"/>
  <c r="K45" i="23"/>
  <c r="N45" i="23" s="1"/>
  <c r="AD39" i="23"/>
  <c r="AE39" i="23" s="1"/>
  <c r="AG39" i="23" s="1"/>
  <c r="AH39" i="23" s="1"/>
  <c r="K39" i="23"/>
  <c r="N39" i="23" s="1"/>
  <c r="Z51" i="23"/>
  <c r="Y51" i="23"/>
  <c r="K6" i="23"/>
  <c r="N6" i="23" s="1"/>
  <c r="Y18" i="23"/>
  <c r="Z18" i="23"/>
  <c r="AD20" i="23"/>
  <c r="AE20" i="23" s="1"/>
  <c r="AG20" i="23" s="1"/>
  <c r="AH20" i="23" s="1"/>
  <c r="K20" i="23"/>
  <c r="N20" i="23" s="1"/>
  <c r="Y6" i="20"/>
  <c r="Z6" i="20"/>
  <c r="AD8" i="20"/>
  <c r="AE8" i="20" s="1"/>
  <c r="AG8" i="20" s="1"/>
  <c r="AH8" i="20" s="1"/>
  <c r="K8" i="20"/>
  <c r="N8" i="20" s="1"/>
  <c r="Z23" i="20"/>
  <c r="Y23" i="20"/>
  <c r="O30" i="20"/>
  <c r="K32" i="20"/>
  <c r="N32" i="20" s="1"/>
  <c r="Y22" i="20"/>
  <c r="Z22" i="20"/>
  <c r="K34" i="23"/>
  <c r="N34" i="23" s="1"/>
  <c r="AD34" i="23"/>
  <c r="AE34" i="23" s="1"/>
  <c r="AG34" i="23" s="1"/>
  <c r="AH34" i="23" s="1"/>
  <c r="AD48" i="23"/>
  <c r="AE48" i="23" s="1"/>
  <c r="AG48" i="23" s="1"/>
  <c r="AH48" i="23" s="1"/>
  <c r="K48" i="23"/>
  <c r="N48" i="23" s="1"/>
  <c r="Y13" i="23"/>
  <c r="Z13" i="23"/>
  <c r="AD17" i="20"/>
  <c r="AE17" i="20" s="1"/>
  <c r="AG17" i="20" s="1"/>
  <c r="AH17" i="20" s="1"/>
  <c r="K17" i="20"/>
  <c r="N17" i="20" s="1"/>
  <c r="Y38" i="20"/>
  <c r="Z38" i="20"/>
  <c r="Z45" i="20"/>
  <c r="Y45" i="20"/>
  <c r="AD12" i="23"/>
  <c r="AE12" i="23" s="1"/>
  <c r="AG12" i="23" s="1"/>
  <c r="AH12" i="23" s="1"/>
  <c r="K12" i="23"/>
  <c r="N12" i="23" s="1"/>
  <c r="Z37" i="23"/>
  <c r="Y37" i="23"/>
  <c r="Y34" i="23"/>
  <c r="Z34" i="23"/>
  <c r="AD36" i="23"/>
  <c r="AE36" i="23" s="1"/>
  <c r="AG36" i="23" s="1"/>
  <c r="AH36" i="23" s="1"/>
  <c r="K36" i="23"/>
  <c r="N36" i="23" s="1"/>
  <c r="L39" i="23"/>
  <c r="O39" i="23" s="1"/>
  <c r="Z48" i="23"/>
  <c r="Y48" i="23"/>
  <c r="AD50" i="23"/>
  <c r="AE50" i="23" s="1"/>
  <c r="AG50" i="23" s="1"/>
  <c r="AH50" i="23" s="1"/>
  <c r="K50" i="23"/>
  <c r="N50" i="23" s="1"/>
  <c r="L6" i="23"/>
  <c r="O6" i="23" s="1"/>
  <c r="Z15" i="23"/>
  <c r="Y15" i="23"/>
  <c r="AD17" i="23"/>
  <c r="AE17" i="23" s="1"/>
  <c r="AG17" i="23" s="1"/>
  <c r="AH17" i="23" s="1"/>
  <c r="K17" i="23"/>
  <c r="N17" i="23" s="1"/>
  <c r="L20" i="23"/>
  <c r="O20" i="23" s="1"/>
  <c r="AD5" i="20"/>
  <c r="AE5" i="20" s="1"/>
  <c r="AG5" i="20" s="1"/>
  <c r="AH5" i="20" s="1"/>
  <c r="K5" i="20"/>
  <c r="N5" i="20" s="1"/>
  <c r="Y17" i="20"/>
  <c r="Z17" i="20"/>
  <c r="K22" i="20"/>
  <c r="N22" i="20" s="1"/>
  <c r="K27" i="20"/>
  <c r="N27" i="20" s="1"/>
  <c r="L32" i="20"/>
  <c r="O32" i="20" s="1"/>
  <c r="Y35" i="20"/>
  <c r="Z35" i="20"/>
  <c r="K39" i="20"/>
  <c r="N39" i="20" s="1"/>
  <c r="Y42" i="20"/>
  <c r="Z42" i="20"/>
  <c r="K46" i="20"/>
  <c r="N46" i="20" s="1"/>
  <c r="Q7" i="23" l="1"/>
  <c r="AH1" i="23"/>
  <c r="AI50" i="23"/>
  <c r="P22" i="20"/>
  <c r="AI9" i="23"/>
  <c r="AA5" i="20"/>
  <c r="AA40" i="23"/>
  <c r="R42" i="23"/>
  <c r="S19" i="23"/>
  <c r="AI9" i="20"/>
  <c r="AA38" i="23"/>
  <c r="P25" i="20"/>
  <c r="P41" i="20"/>
  <c r="AA7" i="20"/>
  <c r="AA7" i="23"/>
  <c r="AI38" i="23"/>
  <c r="Q38" i="20"/>
  <c r="Q32" i="20"/>
  <c r="AA13" i="23"/>
  <c r="AA42" i="23"/>
  <c r="AI36" i="23"/>
  <c r="P7" i="23"/>
  <c r="AA28" i="20"/>
  <c r="AA34" i="23"/>
  <c r="AA19" i="23"/>
  <c r="AI15" i="23"/>
  <c r="S44" i="23"/>
  <c r="AA44" i="20"/>
  <c r="S7" i="23"/>
  <c r="AI42" i="23"/>
  <c r="AI19" i="23"/>
  <c r="AA15" i="23"/>
  <c r="S42" i="23"/>
  <c r="AI46" i="23"/>
  <c r="AA15" i="20"/>
  <c r="P32" i="20"/>
  <c r="AI44" i="23"/>
  <c r="R17" i="23"/>
  <c r="AI17" i="23"/>
  <c r="AA46" i="23"/>
  <c r="AI11" i="20"/>
  <c r="AI48" i="23"/>
  <c r="S17" i="20"/>
  <c r="U18" i="20" s="1"/>
  <c r="Q44" i="20"/>
  <c r="P28" i="20"/>
  <c r="R40" i="23"/>
  <c r="AI15" i="20"/>
  <c r="AA21" i="23"/>
  <c r="S36" i="23"/>
  <c r="Q25" i="20"/>
  <c r="AA32" i="20"/>
  <c r="R21" i="23"/>
  <c r="S21" i="23"/>
  <c r="P11" i="23"/>
  <c r="Q11" i="23"/>
  <c r="AI34" i="23"/>
  <c r="Q15" i="23"/>
  <c r="P15" i="23"/>
  <c r="AI21" i="23"/>
  <c r="Q48" i="23"/>
  <c r="P48" i="23"/>
  <c r="R44" i="23"/>
  <c r="R15" i="23"/>
  <c r="S15" i="23"/>
  <c r="P5" i="20"/>
  <c r="Q5" i="20"/>
  <c r="P21" i="23"/>
  <c r="Q21" i="23"/>
  <c r="P36" i="23"/>
  <c r="Q36" i="23"/>
  <c r="R50" i="23"/>
  <c r="S50" i="23"/>
  <c r="S34" i="23"/>
  <c r="R34" i="23"/>
  <c r="Q38" i="23"/>
  <c r="P38" i="23"/>
  <c r="P17" i="23"/>
  <c r="Q17" i="23"/>
  <c r="P42" i="23"/>
  <c r="Q42" i="23"/>
  <c r="AA50" i="23"/>
  <c r="R13" i="20"/>
  <c r="S13" i="20"/>
  <c r="P38" i="20"/>
  <c r="AA44" i="23"/>
  <c r="AA9" i="20"/>
  <c r="AI13" i="20"/>
  <c r="P15" i="20"/>
  <c r="Q15" i="20"/>
  <c r="AA13" i="20"/>
  <c r="S40" i="23"/>
  <c r="Q13" i="20"/>
  <c r="P13" i="20"/>
  <c r="R5" i="23"/>
  <c r="S5" i="23"/>
  <c r="R15" i="20"/>
  <c r="S15" i="20"/>
  <c r="Q7" i="20"/>
  <c r="P7" i="20"/>
  <c r="AA17" i="20"/>
  <c r="AA22" i="20"/>
  <c r="P44" i="23"/>
  <c r="Q44" i="23"/>
  <c r="P44" i="20"/>
  <c r="Q34" i="23"/>
  <c r="P34" i="23"/>
  <c r="AA11" i="20"/>
  <c r="P17" i="20"/>
  <c r="Q17" i="20"/>
  <c r="Q22" i="20"/>
  <c r="R11" i="23"/>
  <c r="S11" i="23"/>
  <c r="AI7" i="23"/>
  <c r="Q9" i="23"/>
  <c r="P9" i="23"/>
  <c r="AA25" i="20"/>
  <c r="P5" i="23"/>
  <c r="Q5" i="23"/>
  <c r="R48" i="23"/>
  <c r="S48" i="23"/>
  <c r="R11" i="20"/>
  <c r="S11" i="20"/>
  <c r="R38" i="23"/>
  <c r="S38" i="23"/>
  <c r="Q28" i="20"/>
  <c r="AA38" i="20"/>
  <c r="P19" i="23"/>
  <c r="Q19" i="23"/>
  <c r="R5" i="20"/>
  <c r="S5" i="20"/>
  <c r="S17" i="23"/>
  <c r="AA36" i="23"/>
  <c r="AI11" i="23"/>
  <c r="Q46" i="23"/>
  <c r="P46" i="23"/>
  <c r="R7" i="20"/>
  <c r="S7" i="20"/>
  <c r="AA41" i="20"/>
  <c r="R13" i="23"/>
  <c r="S13" i="23"/>
  <c r="Q41" i="20"/>
  <c r="AA48" i="23"/>
  <c r="Q13" i="23"/>
  <c r="P13" i="23"/>
  <c r="R7" i="23"/>
  <c r="AI5" i="20"/>
  <c r="AH1" i="20"/>
  <c r="R36" i="23"/>
  <c r="R17" i="20"/>
  <c r="AA17" i="23"/>
  <c r="P50" i="23"/>
  <c r="Q50" i="23"/>
  <c r="Q11" i="20"/>
  <c r="P11" i="20"/>
  <c r="AI7" i="20"/>
  <c r="AI13" i="23"/>
  <c r="P9" i="20"/>
  <c r="Q9" i="20"/>
  <c r="R9" i="20"/>
  <c r="S9" i="20"/>
  <c r="AI40" i="23"/>
  <c r="R46" i="23"/>
  <c r="S46" i="23"/>
  <c r="AI17" i="20"/>
  <c r="R9" i="23"/>
  <c r="S9" i="23"/>
  <c r="Q40" i="23"/>
  <c r="P40" i="23"/>
  <c r="AA9" i="23"/>
  <c r="R19" i="23"/>
  <c r="AA11" i="23"/>
  <c r="V12" i="23" l="1"/>
  <c r="T12" i="23"/>
  <c r="W12" i="23"/>
  <c r="U12" i="23"/>
  <c r="U6" i="23"/>
  <c r="W6" i="23"/>
  <c r="V6" i="23"/>
  <c r="T6" i="23"/>
  <c r="W45" i="23"/>
  <c r="U45" i="23"/>
  <c r="V45" i="23"/>
  <c r="T45" i="23"/>
  <c r="W41" i="23"/>
  <c r="U41" i="23"/>
  <c r="V41" i="23"/>
  <c r="T41" i="23"/>
  <c r="W37" i="23"/>
  <c r="U37" i="23"/>
  <c r="V49" i="23"/>
  <c r="T49" i="23"/>
  <c r="V37" i="23"/>
  <c r="T37" i="23"/>
  <c r="W51" i="23"/>
  <c r="U51" i="23"/>
  <c r="W49" i="23"/>
  <c r="U49" i="23"/>
  <c r="V47" i="23"/>
  <c r="T47" i="23"/>
  <c r="V51" i="23"/>
  <c r="T51" i="23"/>
  <c r="W47" i="23"/>
  <c r="U47" i="23"/>
  <c r="W22" i="23"/>
  <c r="U22" i="23"/>
  <c r="V22" i="23"/>
  <c r="T22" i="23"/>
  <c r="W20" i="23"/>
  <c r="U20" i="23"/>
  <c r="T18" i="23"/>
  <c r="V18" i="23"/>
  <c r="T20" i="23"/>
  <c r="V20" i="23"/>
  <c r="W18" i="23"/>
  <c r="U18" i="23"/>
  <c r="W14" i="23"/>
  <c r="U14" i="23"/>
  <c r="V14" i="23"/>
  <c r="T14" i="23"/>
  <c r="V10" i="23"/>
  <c r="T10" i="23"/>
  <c r="W10" i="23"/>
  <c r="U10" i="23"/>
  <c r="W8" i="23"/>
  <c r="U8" i="23"/>
  <c r="V8" i="23"/>
  <c r="T8" i="23"/>
  <c r="AI1" i="23"/>
  <c r="R22" i="20"/>
  <c r="S22" i="20" s="1"/>
  <c r="R25" i="20"/>
  <c r="S25" i="20" s="1"/>
  <c r="R38" i="20"/>
  <c r="S38" i="20" s="1"/>
  <c r="R41" i="20"/>
  <c r="S41" i="20" s="1"/>
  <c r="R32" i="20"/>
  <c r="S32" i="20" s="1"/>
  <c r="R28" i="20"/>
  <c r="S28" i="20" s="1"/>
  <c r="U30" i="20" s="1" a="1"/>
  <c r="W18" i="20"/>
  <c r="R44" i="20"/>
  <c r="S44" i="20" s="1"/>
  <c r="AI1" i="20"/>
  <c r="V18" i="20"/>
  <c r="T18" i="20"/>
  <c r="W14" i="20"/>
  <c r="U14" i="20"/>
  <c r="W12" i="20"/>
  <c r="U12" i="20"/>
  <c r="V12" i="20"/>
  <c r="T12" i="20"/>
  <c r="W10" i="20"/>
  <c r="U10" i="20"/>
  <c r="V14" i="20"/>
  <c r="T14" i="20"/>
  <c r="V16" i="20"/>
  <c r="T16" i="20"/>
  <c r="T8" i="20"/>
  <c r="V8" i="20"/>
  <c r="T10" i="20"/>
  <c r="V10" i="20"/>
  <c r="W6" i="20"/>
  <c r="U6" i="20"/>
  <c r="V6" i="20"/>
  <c r="T6" i="20"/>
  <c r="W8" i="20"/>
  <c r="U8" i="20"/>
  <c r="U16" i="20"/>
  <c r="W16" i="20"/>
  <c r="AJ1" i="23" l="1"/>
  <c r="T35" i="20"/>
  <c r="U35" i="20" a="1"/>
  <c r="T23" i="20"/>
  <c r="U23" i="20" a="1"/>
  <c r="T26" i="20"/>
  <c r="U26" i="20" a="1"/>
  <c r="T30"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<sst xmlns="http://schemas.openxmlformats.org/spreadsheetml/2006/main" count="1904" uniqueCount="302">
  <si>
    <t>IBKR</t>
  </si>
  <si>
    <t>my_pf_name</t>
  </si>
  <si>
    <t>my_fi_name</t>
  </si>
  <si>
    <t>VTEB</t>
  </si>
  <si>
    <t>MUB</t>
  </si>
  <si>
    <t>SCHZ</t>
  </si>
  <si>
    <t>SPAB</t>
  </si>
  <si>
    <t>BND</t>
  </si>
  <si>
    <t>AGG</t>
  </si>
  <si>
    <t>moving_avg_days</t>
  </si>
  <si>
    <t>Keys</t>
  </si>
  <si>
    <t>Values</t>
  </si>
  <si>
    <t>SPHY</t>
  </si>
  <si>
    <t>SCYB</t>
  </si>
  <si>
    <t>HYLB</t>
  </si>
  <si>
    <t>USHY</t>
  </si>
  <si>
    <t>HYG</t>
  </si>
  <si>
    <t>JNK</t>
  </si>
  <si>
    <t>SPMB</t>
  </si>
  <si>
    <t>VMBS</t>
  </si>
  <si>
    <t>MBB</t>
  </si>
  <si>
    <t>TFI</t>
  </si>
  <si>
    <t>SPLB</t>
  </si>
  <si>
    <t>IGLB</t>
  </si>
  <si>
    <t>VCLT</t>
  </si>
  <si>
    <t>SPTL</t>
  </si>
  <si>
    <t>SCHQ</t>
  </si>
  <si>
    <t>VGLT</t>
  </si>
  <si>
    <t>SPBO</t>
  </si>
  <si>
    <t>USIG</t>
  </si>
  <si>
    <t>VTC</t>
  </si>
  <si>
    <t>CORP</t>
  </si>
  <si>
    <t>pct</t>
  </si>
  <si>
    <t>multiplier</t>
  </si>
  <si>
    <t>trading_inputs_sheet</t>
  </si>
  <si>
    <t>$A$1</t>
  </si>
  <si>
    <t>my_prod_type</t>
  </si>
  <si>
    <t>size_screen_bid</t>
  </si>
  <si>
    <t>size_screen_ask</t>
  </si>
  <si>
    <t>price_screen_close</t>
  </si>
  <si>
    <t>time</t>
  </si>
  <si>
    <t>equity</t>
  </si>
  <si>
    <t>ANGL</t>
  </si>
  <si>
    <t>BNDX</t>
  </si>
  <si>
    <t>BWX</t>
  </si>
  <si>
    <t>CMF</t>
  </si>
  <si>
    <t>CWB</t>
  </si>
  <si>
    <t>EMB</t>
  </si>
  <si>
    <t>FALN</t>
  </si>
  <si>
    <t>IAGG</t>
  </si>
  <si>
    <t>ICVT</t>
  </si>
  <si>
    <t>IGOV</t>
  </si>
  <si>
    <t>PFF</t>
  </si>
  <si>
    <t>PFFD</t>
  </si>
  <si>
    <t>SCHH</t>
  </si>
  <si>
    <t>USRT</t>
  </si>
  <si>
    <t>VTEC</t>
  </si>
  <si>
    <t>VWOB</t>
  </si>
  <si>
    <t>position</t>
  </si>
  <si>
    <t>symbol</t>
  </si>
  <si>
    <t>scalar</t>
  </si>
  <si>
    <t>best_unit_cf</t>
  </si>
  <si>
    <t>hit bid</t>
  </si>
  <si>
    <t>lift ask</t>
  </si>
  <si>
    <t>rows</t>
  </si>
  <si>
    <t>mkt data</t>
  </si>
  <si>
    <t>mkt prices</t>
  </si>
  <si>
    <t>bid</t>
  </si>
  <si>
    <t>ask</t>
  </si>
  <si>
    <t>unit cf</t>
  </si>
  <si>
    <t>current position</t>
  </si>
  <si>
    <t>shs</t>
  </si>
  <si>
    <t>net units</t>
  </si>
  <si>
    <t>FIs_sheet</t>
  </si>
  <si>
    <t>FIs_table</t>
  </si>
  <si>
    <t>trading_inputs_upload_cell</t>
  </si>
  <si>
    <t>margin</t>
  </si>
  <si>
    <t>net price</t>
  </si>
  <si>
    <t>research hurdles</t>
  </si>
  <si>
    <t>enter</t>
  </si>
  <si>
    <t>exit</t>
  </si>
  <si>
    <t>lift top/hit bottom</t>
  </si>
  <si>
    <t>hit top/lift bottom</t>
  </si>
  <si>
    <t>buy top</t>
  </si>
  <si>
    <t>sell top</t>
  </si>
  <si>
    <t>units</t>
  </si>
  <si>
    <t>$val</t>
  </si>
  <si>
    <t>cd git-projects\trading\stat_arb</t>
  </si>
  <si>
    <t>python App_StatArb_Trade.py</t>
  </si>
  <si>
    <t>anchor</t>
  </si>
  <si>
    <t>FSTA</t>
  </si>
  <si>
    <t>VDC</t>
  </si>
  <si>
    <t>XLP</t>
  </si>
  <si>
    <t>FENY</t>
  </si>
  <si>
    <t>IYE</t>
  </si>
  <si>
    <t>VDE</t>
  </si>
  <si>
    <t>XLE</t>
  </si>
  <si>
    <t>IYF</t>
  </si>
  <si>
    <t>VFH</t>
  </si>
  <si>
    <t>XLF</t>
  </si>
  <si>
    <t>FHLC</t>
  </si>
  <si>
    <t>IYH</t>
  </si>
  <si>
    <t>VHT</t>
  </si>
  <si>
    <t>XLV</t>
  </si>
  <si>
    <t>FIDU</t>
  </si>
  <si>
    <t>XLI</t>
  </si>
  <si>
    <t>FREL</t>
  </si>
  <si>
    <t>IYR</t>
  </si>
  <si>
    <t>VNQ</t>
  </si>
  <si>
    <t>XLRE</t>
  </si>
  <si>
    <t>FTEC</t>
  </si>
  <si>
    <t>IYW</t>
  </si>
  <si>
    <t>VGT</t>
  </si>
  <si>
    <t>XLK</t>
  </si>
  <si>
    <t>FUTY</t>
  </si>
  <si>
    <t>IDU</t>
  </si>
  <si>
    <t>VPU</t>
  </si>
  <si>
    <t>XLU</t>
  </si>
  <si>
    <t>sector</t>
  </si>
  <si>
    <t>staples</t>
  </si>
  <si>
    <t>utilities</t>
  </si>
  <si>
    <t>real estate</t>
  </si>
  <si>
    <t>energy</t>
  </si>
  <si>
    <t>healthcare</t>
  </si>
  <si>
    <t>financials</t>
  </si>
  <si>
    <t>discretionary</t>
  </si>
  <si>
    <t>FNCL</t>
  </si>
  <si>
    <t>VIS</t>
  </si>
  <si>
    <t>IYJ</t>
  </si>
  <si>
    <t>IYK</t>
  </si>
  <si>
    <t>anchor_inputs</t>
  </si>
  <si>
    <t>div_treatment</t>
  </si>
  <si>
    <t>fixed income</t>
  </si>
  <si>
    <t>agg</t>
  </si>
  <si>
    <t>fallen angels</t>
  </si>
  <si>
    <t>corps</t>
  </si>
  <si>
    <t>em gov -us</t>
  </si>
  <si>
    <t>intl agg - hedged</t>
  </si>
  <si>
    <t>converts</t>
  </si>
  <si>
    <t>intl gov - unhedged</t>
  </si>
  <si>
    <t>hi yld</t>
  </si>
  <si>
    <t>mortgages</t>
  </si>
  <si>
    <t>munis</t>
  </si>
  <si>
    <t>prefs</t>
  </si>
  <si>
    <t>long term corps</t>
  </si>
  <si>
    <t>long term tsy</t>
  </si>
  <si>
    <t>calif munis</t>
  </si>
  <si>
    <t>technology</t>
  </si>
  <si>
    <t>div adj</t>
  </si>
  <si>
    <t>div_adj</t>
  </si>
  <si>
    <t>adv</t>
  </si>
  <si>
    <t>industrials</t>
  </si>
  <si>
    <t>TRUE/FALSE</t>
  </si>
  <si>
    <t>profit_margin</t>
  </si>
  <si>
    <t>buy_or_sell</t>
  </si>
  <si>
    <t>g_or_p</t>
  </si>
  <si>
    <t>buy_size</t>
  </si>
  <si>
    <t>sell_size</t>
  </si>
  <si>
    <t>SCALARS</t>
  </si>
  <si>
    <t>scalar_outputs_download_cell</t>
  </si>
  <si>
    <t>scalar_outputs_sheet</t>
  </si>
  <si>
    <t>avg_daily_volume</t>
  </si>
  <si>
    <t>simple moving avg</t>
  </si>
  <si>
    <t>add 1st div between ex-dates</t>
  </si>
  <si>
    <t>annual div accumulation</t>
  </si>
  <si>
    <t>shop-shop*usdcad</t>
  </si>
  <si>
    <t>GOOG</t>
  </si>
  <si>
    <t>GOOGL</t>
  </si>
  <si>
    <t>FOX</t>
  </si>
  <si>
    <t>FOXA</t>
  </si>
  <si>
    <t>NWS</t>
  </si>
  <si>
    <t>NWSA</t>
  </si>
  <si>
    <t>HEI</t>
  </si>
  <si>
    <t>FDIS</t>
  </si>
  <si>
    <t>IYC</t>
  </si>
  <si>
    <t>XLY</t>
  </si>
  <si>
    <t>VCR</t>
  </si>
  <si>
    <t>google</t>
  </si>
  <si>
    <t>fox corp</t>
  </si>
  <si>
    <t>news corp</t>
  </si>
  <si>
    <t>heico</t>
  </si>
  <si>
    <t>HEI A</t>
  </si>
  <si>
    <t>berkshire</t>
  </si>
  <si>
    <t>BRK A</t>
  </si>
  <si>
    <t>BRK B</t>
  </si>
  <si>
    <t>SMH</t>
  </si>
  <si>
    <t>SOXX</t>
  </si>
  <si>
    <t>XBI</t>
  </si>
  <si>
    <t>IBB</t>
  </si>
  <si>
    <t>AERO</t>
  </si>
  <si>
    <t>ITA</t>
  </si>
  <si>
    <t>PPA</t>
  </si>
  <si>
    <t>SHLD</t>
  </si>
  <si>
    <t>XAR</t>
  </si>
  <si>
    <t>IDEF</t>
  </si>
  <si>
    <t>KBE</t>
  </si>
  <si>
    <t>KBWB</t>
  </si>
  <si>
    <t>REIT</t>
  </si>
  <si>
    <t>ICF</t>
  </si>
  <si>
    <t>RWR</t>
  </si>
  <si>
    <t>INFRA</t>
  </si>
  <si>
    <t>DFAR - active?</t>
  </si>
  <si>
    <t>scalars</t>
  </si>
  <si>
    <t>close</t>
  </si>
  <si>
    <t>div</t>
  </si>
  <si>
    <t>chg</t>
  </si>
  <si>
    <t>pnl</t>
  </si>
  <si>
    <t>avg of</t>
  </si>
  <si>
    <t>TOTAL</t>
  </si>
  <si>
    <t>bid / ask</t>
  </si>
  <si>
    <t>price</t>
  </si>
  <si>
    <t>total</t>
  </si>
  <si>
    <t>price w/ comm &amp; div</t>
  </si>
  <si>
    <t>countries</t>
  </si>
  <si>
    <t>regions</t>
  </si>
  <si>
    <t>semis</t>
  </si>
  <si>
    <t>biotech</t>
  </si>
  <si>
    <t>aerospace</t>
  </si>
  <si>
    <t>banks</t>
  </si>
  <si>
    <t>grouping</t>
  </si>
  <si>
    <t>subgroup</t>
  </si>
  <si>
    <t>sector alt</t>
  </si>
  <si>
    <t>price_screen_bid</t>
  </si>
  <si>
    <t>price_screen_ask</t>
  </si>
  <si>
    <t>pref vs pref - espcially banks and fin companies</t>
  </si>
  <si>
    <t>Year</t>
  </si>
  <si>
    <t>iShares iBonds</t>
  </si>
  <si>
    <t>Invesco BulletShares</t>
  </si>
  <si>
    <t>IBDR</t>
  </si>
  <si>
    <t>BSCQ</t>
  </si>
  <si>
    <t>IBDS</t>
  </si>
  <si>
    <t>BSCR</t>
  </si>
  <si>
    <t>IBDT</t>
  </si>
  <si>
    <t>BSCS</t>
  </si>
  <si>
    <t>IBDU</t>
  </si>
  <si>
    <t>BSCT</t>
  </si>
  <si>
    <t>IBDV</t>
  </si>
  <si>
    <t>BSCU</t>
  </si>
  <si>
    <t>IBDW</t>
  </si>
  <si>
    <t>BSCV</t>
  </si>
  <si>
    <t>IBDX</t>
  </si>
  <si>
    <t>BSCW</t>
  </si>
  <si>
    <t>IBDY</t>
  </si>
  <si>
    <t>BSCX</t>
  </si>
  <si>
    <t>IBDZ</t>
  </si>
  <si>
    <t>BSCY</t>
  </si>
  <si>
    <t>IBCA</t>
  </si>
  <si>
    <t>BSCZ</t>
  </si>
  <si>
    <t>UA</t>
  </si>
  <si>
    <t>UAA</t>
  </si>
  <si>
    <t>under armour</t>
  </si>
  <si>
    <t>brown foreman</t>
  </si>
  <si>
    <t>BF A</t>
  </si>
  <si>
    <t>BF B</t>
  </si>
  <si>
    <t>moog</t>
  </si>
  <si>
    <t>MOG A</t>
  </si>
  <si>
    <t>MOG B</t>
  </si>
  <si>
    <t>lenar</t>
  </si>
  <si>
    <t>LEN</t>
  </si>
  <si>
    <t>LEN B</t>
  </si>
  <si>
    <t>atlanta braves</t>
  </si>
  <si>
    <t>BATRA</t>
  </si>
  <si>
    <t>BATRK</t>
  </si>
  <si>
    <t>Company</t>
  </si>
  <si>
    <t>Pair</t>
  </si>
  <si>
    <t>Structure</t>
  </si>
  <si>
    <t>My note</t>
  </si>
  <si>
    <t>Class A / Class C</t>
  </si>
  <si>
    <t>Series A / Series C</t>
  </si>
  <si>
    <t>Liberty Global</t>
  </si>
  <si>
    <t>LBTYA / LBTYK</t>
  </si>
  <si>
    <t>Very interesting; also LBTYB exists (SEC)</t>
  </si>
  <si>
    <t>Liberty Latin America</t>
  </si>
  <si>
    <t>LILA / LILAK</t>
  </si>
  <si>
    <t>Very interesting; both Nasdaq-listed (SEC)</t>
  </si>
  <si>
    <t>Liberty Media / Formula One</t>
  </si>
  <si>
    <t>FWONA / FWONK</t>
  </si>
  <si>
    <t>Particularly interesting now; both Nasdaq-listed (SEC)</t>
  </si>
  <si>
    <t>Liberty Capital / GCI</t>
  </si>
  <si>
    <t>GLIBA / GLIBK</t>
  </si>
  <si>
    <t>Newer pair; both Nasdaq-listed</t>
  </si>
  <si>
    <t>Z</t>
  </si>
  <si>
    <t>ZG</t>
  </si>
  <si>
    <t>zillow</t>
  </si>
  <si>
    <t>PFF vs PGX vs PFXF</t>
  </si>
  <si>
    <r>
      <t xml:space="preserve">Both providers also run </t>
    </r>
    <r>
      <rPr>
        <b/>
        <sz val="11"/>
        <color theme="1"/>
        <rFont val="Aptos Narrow"/>
        <family val="2"/>
        <scheme val="minor"/>
      </rPr>
      <t>high-yield</t>
    </r>
    <r>
      <rPr>
        <sz val="11"/>
        <color theme="1"/>
        <rFont val="Aptos Narrow"/>
        <family val="2"/>
        <scheme val="minor"/>
      </rPr>
      <t xml:space="preserve"> versions (iShares iBonds HY vs Invesco BulletShares HY) at matching maturity years — wider credit spreads mean bigger absolute basis, likely a stronger signal-to-noise ratio for your kind of trade.</t>
    </r>
  </si>
  <si>
    <r>
      <t xml:space="preserve">iShares additionally runs a </t>
    </r>
    <r>
      <rPr>
        <b/>
        <sz val="11"/>
        <color theme="1"/>
        <rFont val="Aptos Narrow"/>
        <family val="2"/>
        <scheme val="minor"/>
      </rPr>
      <t>Treasury</t>
    </r>
    <r>
      <rPr>
        <sz val="11"/>
        <color theme="1"/>
        <rFont val="Aptos Narrow"/>
        <family val="2"/>
        <scheme val="minor"/>
      </rPr>
      <t xml:space="preserve"> ladder (no direct BulletShares Treasury equivalent that I'd trust without checking), and both run </t>
    </r>
    <r>
      <rPr>
        <b/>
        <sz val="11"/>
        <color theme="1"/>
        <rFont val="Aptos Narrow"/>
        <family val="2"/>
        <scheme val="minor"/>
      </rPr>
      <t>municipal</t>
    </r>
    <r>
      <rPr>
        <sz val="11"/>
        <color theme="1"/>
        <rFont val="Aptos Narrow"/>
        <family val="2"/>
        <scheme val="minor"/>
      </rPr>
      <t xml:space="preserve"> ladders — worth checking whether Invesco's muni BulletShares line overlaps with iShares' muni iBonds on the same years.</t>
    </r>
  </si>
  <si>
    <t>are there many Canadian, Mexican and South American ADRs? they are in my time zone</t>
  </si>
  <si>
    <t>Good instinct on the time zone — that actually changes the trade's character quite a bit, not just its convenience. Let me break down availability first, then the mechanism difference.</t>
  </si>
  <si>
    <r>
      <t>Canada</t>
    </r>
    <r>
      <rPr>
        <sz val="11"/>
        <color theme="1"/>
        <rFont val="Aptos Narrow"/>
        <family val="2"/>
        <scheme val="minor"/>
      </rPr>
      <t xml:space="preserve"> — technically the smallest ADR opportunity set, but for a good reason: most large Canadian names aren't ADRs at all, they're </t>
    </r>
    <r>
      <rPr>
        <b/>
        <sz val="11"/>
        <color theme="1"/>
        <rFont val="Aptos Narrow"/>
        <family val="2"/>
        <scheme val="minor"/>
      </rPr>
      <t>interlisted ordinary shares</t>
    </r>
    <r>
      <rPr>
        <sz val="11"/>
        <color theme="1"/>
        <rFont val="Aptos Narrow"/>
        <family val="2"/>
        <scheme val="minor"/>
      </rPr>
      <t xml:space="preserve"> trading directly on both the TSX and NYSE/Nasdaq under the same or a very similar ticker (RY, TD, BMO, BNS, CNQ, SU, ENB, SHOP, CP, CNI). No depositary bank, no conversion ratio, no depositary fee — it's the identical share, just listed on two exchanges. This is actually a </t>
    </r>
    <r>
      <rPr>
        <i/>
        <sz val="11"/>
        <color theme="1"/>
        <rFont val="Aptos Narrow"/>
        <family val="2"/>
        <scheme val="minor"/>
      </rPr>
      <t>cleaner</t>
    </r>
    <r>
      <rPr>
        <sz val="11"/>
        <color theme="1"/>
        <rFont val="Aptos Narrow"/>
        <family val="2"/>
        <scheme val="minor"/>
      </rPr>
      <t xml:space="preserve"> trade than true ADR arb: the only frictions left are FX (CAD/USD) and cross-border settlement/liquidity timing, since both legs trade during full overlapping hours (TSX and NYSE both run ~9:30am–4pm ET). This is close to your GOOG/GOOGL trade with an FX leg bolted on, rather than classic ADR arb.</t>
    </r>
  </si>
  <si>
    <r>
      <t>Mexico</t>
    </r>
    <r>
      <rPr>
        <sz val="11"/>
        <color theme="1"/>
        <rFont val="Aptos Narrow"/>
        <family val="2"/>
        <scheme val="minor"/>
      </rPr>
      <t xml:space="preserve"> — a real but moderate set of true ADRs: América Móvil (AMX), Cemex (CX, fixed 10:1 ratio confirmed against the CEMEX.CPO Mexico line), and a handful of others (Grupo Televisa, Vitro historically, Grupo Aeroportuario names). Mexican and US markets overlap almost entirely (Mexico City is US Central time), so again you lose the overnight-gap dynamic — but Cemex is liquid enough on both sides to be a workable real-time basis trade, and the peso adds a genuine FX-hedging leg since USD/MXN moves are non-trivial.</t>
    </r>
  </si>
  <si>
    <r>
      <t>Brazil</t>
    </r>
    <r>
      <rPr>
        <sz val="11"/>
        <color theme="1"/>
        <rFont val="Aptos Narrow"/>
        <family val="2"/>
        <scheme val="minor"/>
      </rPr>
      <t xml:space="preserve"> — the deepest South American ADR list: Petrobras (PBR/PBR-A), Vale (VALE), Itaú Unibanco (ITUB), Banco Bradesco (BBD), Ambev (ABEV), Gerdau (GGB), and more. Brazil is only 1-2 hours ahead of US Eastern depending on DST alignment, so overlap is substantial for most of the US trading day — similar dynamic to Mexico.</t>
    </r>
  </si>
  <si>
    <r>
      <t>Argentina</t>
    </r>
    <r>
      <rPr>
        <sz val="11"/>
        <color theme="1"/>
        <rFont val="Aptos Narrow"/>
        <family val="2"/>
        <scheme val="minor"/>
      </rPr>
      <t xml:space="preserve"> — disproportionately ADR-heavy relative to the size of its market, because Argentine capital controls have historically pushed a lot of trading volume into the ADR structure rather than the local Buenos Aires exchange. Confirmed a long list still active: YPF, Grupo Financiero Galicia (GGAL), Banco Macro (BMA), BBVA Argentina (BBAR), Grupo Supervielle (SUPV), IRSA, Telecom Argentina (TEO), Pampa Energía, Vista Energy, Cresud (CRESY), Loma Negra, Adecoagro, Corporación América Airports (CAAP), Transportadora de Gas del Sur — a genuinely rich set for a systematic screener, and Argentina trades same time zone as US Eastern (no offset at all most of the year).</t>
    </r>
  </si>
  <si>
    <r>
      <t>Chile, Peru, Colombia</t>
    </r>
    <r>
      <rPr>
        <sz val="11"/>
        <color theme="1"/>
        <rFont val="Aptos Narrow"/>
        <family val="2"/>
        <scheme val="minor"/>
      </rPr>
      <t xml:space="preserve"> — thin. A handful of ADRs each (e.g., Banco de Chile, Credicorp for Peru, Bancolombia, Ecopetrol), generally lower liquidity, wider spreads — workable but you'll be capacity-constrained fast.</t>
    </r>
  </si>
  <si>
    <t>Why the time-zone overlap changes the trade, not just the convenience</t>
  </si>
  <si>
    <r>
      <t xml:space="preserve">For Asian/European ADRs, a meaningful chunk of the "edge" is really a forecasting problem — the ADR is stale against an overnight move you haven't seen yet, so you're pricing in expected home-market reaction, which is closer to alpha generation than arb. With Canada/Mexico/Argentina/Brazil trading concurrently (or near-concurrently) with the US, that overnight-gap source of edge mostly disappears — which is good for you in one sense (removes a forecasting risk you can't easily model) but means the remaining edge is purely mechanical: bid-ask/liquidity mismatches between the two listings, real-time FX slippage, and periodic conversion-ratio or corporate-action mispricings. That's a </t>
    </r>
    <r>
      <rPr>
        <i/>
        <sz val="11"/>
        <color theme="1"/>
        <rFont val="Aptos Narrow"/>
        <family val="2"/>
        <scheme val="minor"/>
      </rPr>
      <t>higher win-rate, lower magnitude-per-trade</t>
    </r>
    <r>
      <rPr>
        <sz val="11"/>
        <color theme="1"/>
        <rFont val="Aptos Narrow"/>
        <family val="2"/>
        <scheme val="minor"/>
      </rPr>
      <t xml:space="preserve"> profile — much closer in character to your existing pairs trades than to the classical ADR-arb literature, which is written almost entirely around the Asian/European overnight-gap case.</t>
    </r>
  </si>
  <si>
    <t>Given your IBKR access already covers TSX, BMV (Mexico), B3 (Brazil), and BYMA (Argentina), this is one of the more directly executable extensions of what you're already running — the Canadian interlisted names in particular are close to a drop-in addition to your existing screener with an FX-hedge module bolted on.</t>
  </si>
  <si>
    <t>class diffs</t>
  </si>
  <si>
    <t>pair</t>
  </si>
  <si>
    <t>sell</t>
  </si>
  <si>
    <t>buy</t>
  </si>
  <si>
    <t>2026-09-23_15-46-38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</si>
</sst>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 #,##0.0000_);_(* \(#,##0.0000\);_(* &quot;-&quot;??_);_(@_)"/>
    <numFmt numFmtId="165" formatCode="_(* #,##0_);_(* \(#,##0\);_(* &quot;-&quot;??_);_(@_)"/>
    <numFmt numFmtId="166" formatCode="_(&quot;$&quot;* #,##0.000_);_(&quot;$&quot;* \(#,##0.000\);_(&quot;$&quot;* &quot;-&quot;??_);_(@_)"/>
    <numFmt numFmtId="167" formatCode="0.000%"/>
    <numFmt numFmtId="168" formatCode="_(&quot;$&quot;* #,##0_);_(&quot;$&quot;* \(#,##0\);_(&quot;$&quot;* &quot;-&quot;??_);_(@_)"/>
    <numFmt numFmtId="169" formatCode="0.0000"/>
    <numFmt numFmtId="170" formatCode="0.00000"/>
    <numFmt numFmtId="171" formatCode="_(* #,##0.0000_);_(* \(#,##0.0000\);_(* &quot;-&quot;????_);_(@_)"/>
    <numFmt numFmtId="172" formatCode="_(&quot;$&quot;* #,##0.0000_);_(&quot;$&quot;* \(#,##0.0000\);_(&quot;$&quot;* &quot;-&quot;??_);_(@_)"/>
    <numFmt numFmtId="173" formatCode="_(&quot;$&quot;* #,##0.000000_);_(&quot;$&quot;* \(#,##0.000000\);_(&quot;$&quot;* &quot;-&quot;??_);_(@_)"/>
    <numFmt numFmtId="174" formatCode="&quot;$&quot;#,##0.0000"/>
  </numFmts>
  <fonts count="33" x14ac:knownFonts="1">
    <font>
      <sz val="11"/>
      <color theme="1"/>
      <name val="Aptos Narrow"/>
      <family val="2"/>
      <scheme val="minor"/>
    </font>
    <font>
      <sz val="11"/>
      <color theme="1"/>
      <name val="Aptos Narrow"/>
      <family val="2"/>
      <scheme val="minor"/>
    </font>
    <font>
      <sz val="8"/>
      <name val="Aptos Narrow"/>
      <family val="2"/>
      <scheme val="minor"/>
    </font>
    <font>
      <b/>
      <u/>
      <sz val="11"/>
      <color theme="1"/>
      <name val="Aptos Narrow"/>
      <family val="2"/>
      <scheme val="minor"/>
    </font>
    <font>
      <b/>
      <sz val="11"/>
      <color theme="1"/>
      <name val="Aptos Narrow"/>
      <family val="2"/>
      <scheme val="minor"/>
    </font>
    <font>
      <b/>
      <sz val="9"/>
      <color theme="1"/>
      <name val="Aptos Narrow"/>
      <family val="2"/>
      <scheme val="minor"/>
    </font>
    <font>
      <b/>
      <u/>
      <sz val="9"/>
      <color theme="1"/>
      <name val="Aptos Narrow"/>
      <family val="2"/>
      <scheme val="minor"/>
    </font>
    <font>
      <b/>
      <u/>
      <sz val="9"/>
      <color theme="0" tint="-0.499984740745262"/>
      <name val="Aptos Narrow"/>
      <family val="2"/>
      <scheme val="minor"/>
    </font>
    <font>
      <sz val="11"/>
      <color theme="0" tint="-0.499984740745262"/>
      <name val="Aptos Narrow"/>
      <family val="2"/>
      <scheme val="minor"/>
    </font>
    <font>
      <b/>
      <sz val="9"/>
      <color theme="0" tint="-0.499984740745262"/>
      <name val="Aptos Narrow"/>
      <family val="2"/>
      <scheme val="minor"/>
    </font>
    <font>
      <b/>
      <sz val="9"/>
      <color rgb="FFFF0000"/>
      <name val="Aptos Narrow"/>
      <family val="2"/>
      <scheme val="minor"/>
    </font>
    <font>
      <b/>
      <sz val="11"/>
      <name val="Aptos Narrow"/>
      <family val="2"/>
      <scheme val="minor"/>
    </font>
    <font>
      <b/>
      <sz val="9"/>
      <color rgb="FF7030A0"/>
      <name val="Aptos Narrow"/>
      <family val="2"/>
      <scheme val="minor"/>
    </font>
    <font>
      <b/>
      <u/>
      <sz val="9"/>
      <color rgb="FF7030A0"/>
      <name val="Aptos Narrow"/>
      <family val="2"/>
      <scheme val="minor"/>
    </font>
    <font>
      <b/>
      <sz val="11"/>
      <color rgb="FF7030A0"/>
      <name val="Aptos Narrow"/>
      <family val="2"/>
      <scheme val="minor"/>
    </font>
    <font>
      <sz val="11"/>
      <name val="Aptos Narrow"/>
      <family val="2"/>
      <scheme val="minor"/>
    </font>
    <font>
      <sz val="9"/>
      <color theme="1"/>
      <name val="Aptos Narrow"/>
      <family val="2"/>
      <scheme val="minor"/>
    </font>
    <font>
      <strike/>
      <sz val="11"/>
      <color theme="0" tint="-0.499984740745262"/>
      <name val="Aptos Narrow"/>
      <family val="2"/>
      <scheme val="minor"/>
    </font>
    <font>
      <b/>
      <strike/>
      <sz val="11"/>
      <color theme="1"/>
      <name val="Aptos Narrow"/>
      <family val="2"/>
      <scheme val="minor"/>
    </font>
    <font>
      <strike/>
      <sz val="11"/>
      <color theme="1"/>
      <name val="Aptos Narrow"/>
      <family val="2"/>
      <scheme val="minor"/>
    </font>
    <font>
      <b/>
      <strike/>
      <sz val="11"/>
      <color rgb="FF7030A0"/>
      <name val="Aptos Narrow"/>
      <family val="2"/>
      <scheme val="minor"/>
    </font>
    <font>
      <strike/>
      <sz val="11"/>
      <name val="Aptos Narrow"/>
      <family val="2"/>
      <scheme val="minor"/>
    </font>
    <font>
      <sz val="12"/>
      <color theme="1"/>
      <name val="Arial"/>
      <family val="2"/>
    </font>
    <font>
      <b/>
      <sz val="11"/>
      <color theme="0" tint="-0.499984740745262"/>
      <name val="Aptos Narrow"/>
      <family val="2"/>
      <scheme val="minor"/>
    </font>
    <font>
      <b/>
      <sz val="11"/>
      <color rgb="FF0070C0"/>
      <name val="Aptos Narrow"/>
      <family val="2"/>
      <scheme val="minor"/>
    </font>
    <font>
      <sz val="11"/>
      <color rgb="FF7030A0"/>
      <name val="Aptos Narrow"/>
      <family val="2"/>
      <scheme val="minor"/>
    </font>
    <font>
      <b/>
      <sz val="11"/>
      <color rgb="FFFF0000"/>
      <name val="Aptos Narrow"/>
      <family val="2"/>
      <scheme val="minor"/>
    </font>
    <font>
      <b/>
      <sz val="9"/>
      <name val="Aptos Narrow"/>
      <family val="2"/>
      <scheme val="minor"/>
    </font>
    <font>
      <b/>
      <u/>
      <sz val="9"/>
      <name val="Aptos Narrow"/>
      <family val="2"/>
      <scheme val="minor"/>
    </font>
    <font>
      <sz val="11"/>
      <color rgb="FFFF0000"/>
      <name val="Aptos Narrow"/>
      <family val="2"/>
      <scheme val="minor"/>
    </font>
    <font>
      <b/>
      <sz val="11"/>
      <color theme="8"/>
      <name val="Aptos Narrow"/>
      <family val="2"/>
      <scheme val="minor"/>
    </font>
    <font>
      <b/>
      <strike/>
      <sz val="11"/>
      <color rgb="FFFF0000"/>
      <name val="Aptos Narrow"/>
      <family val="2"/>
      <scheme val="minor"/>
    </font>
    <font>
      <i/>
      <sz val="11"/>
      <color theme="1"/>
      <name val="Aptos Narrow"/>
      <family val="2"/>
      <scheme val="minor"/>
    </font>
  </fonts>
  <fills count="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top/>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497">
    <xf numFmtId="0" fontId="0" fillId="0" borderId="0" xfId="0"/>
    <xf numFmtId="0" fontId="0" fillId="0" borderId="0" xfId="0" applyAlignment="1">
      <alignment horizontal="center"/>
    </xf>
    <xf numFmtId="44" fontId="0" fillId="0" borderId="0" xfId="1" applyFont="1"/>
    <xf numFmtId="0" fontId="3" fillId="0" borderId="0" xfId="0" applyFont="1"/>
    <xf numFmtId="164" fontId="0" fillId="0" borderId="0" xfId="3" applyNumberFormat="1" applyFont="1"/>
    <xf numFmtId="0" fontId="3" fillId="0" borderId="0" xfId="0" applyFont="1" applyAlignment="1">
      <alignment horizontal="left"/>
    </xf>
    <xf numFmtId="165" fontId="0" fillId="0" borderId="0" xfId="3" applyNumberFormat="1" applyFont="1"/>
    <xf numFmtId="166" fontId="0" fillId="0" borderId="0" xfId="1" applyNumberFormat="1" applyFont="1"/>
    <xf numFmtId="0" fontId="4" fillId="0" borderId="0" xfId="0" applyFont="1"/>
    <xf numFmtId="0" fontId="5" fillId="0" borderId="0" xfId="0" applyFont="1"/>
    <xf numFmtId="0" fontId="8" fillId="0" borderId="0" xfId="0" applyFont="1"/>
    <xf numFmtId="166" fontId="0" fillId="0" borderId="0" xfId="0" applyNumberFormat="1"/>
    <xf numFmtId="0" fontId="6" fillId="0" borderId="0" xfId="0" applyFont="1" applyAlignment="1">
      <alignment horizontal="center"/>
    </xf>
    <xf numFmtId="166" fontId="8" fillId="0" borderId="0" xfId="1" applyNumberFormat="1" applyFont="1"/>
    <xf numFmtId="0" fontId="8" fillId="0" borderId="2" xfId="0" applyFont="1" applyBorder="1"/>
    <xf numFmtId="0" fontId="4" fillId="0" borderId="2" xfId="0" applyFont="1" applyBorder="1"/>
    <xf numFmtId="166" fontId="8" fillId="0" borderId="2" xfId="1" applyNumberFormat="1" applyFont="1" applyBorder="1"/>
    <xf numFmtId="166" fontId="0" fillId="0" borderId="2" xfId="1" applyNumberFormat="1" applyFont="1" applyBorder="1"/>
    <xf numFmtId="166" fontId="8" fillId="0" borderId="0" xfId="1" applyNumberFormat="1" applyFont="1" applyBorder="1"/>
    <xf numFmtId="166" fontId="0" fillId="0" borderId="0" xfId="1" applyNumberFormat="1" applyFont="1" applyBorder="1"/>
    <xf numFmtId="0" fontId="8" fillId="0" borderId="7" xfId="0" applyFont="1" applyBorder="1"/>
    <xf numFmtId="0" fontId="4" fillId="0" borderId="7" xfId="0" applyFont="1" applyBorder="1"/>
    <xf numFmtId="166" fontId="8" fillId="0" borderId="7" xfId="1" applyNumberFormat="1" applyFont="1" applyBorder="1"/>
    <xf numFmtId="166" fontId="0" fillId="0" borderId="7" xfId="1" applyNumberFormat="1" applyFont="1" applyBorder="1"/>
    <xf numFmtId="22" fontId="0" fillId="0" borderId="0" xfId="0" applyNumberFormat="1" applyAlignment="1">
      <alignment horizontal="center"/>
    </xf>
    <xf numFmtId="43" fontId="14" fillId="0" borderId="0" xfId="0" applyNumberFormat="1" applyFont="1"/>
    <xf numFmtId="0" fontId="14" fillId="0" borderId="0" xfId="0" applyFont="1"/>
    <xf numFmtId="165" fontId="14" fillId="0" borderId="2" xfId="3" applyNumberFormat="1" applyFont="1" applyBorder="1"/>
    <xf numFmtId="165" fontId="14" fillId="0" borderId="0" xfId="3" applyNumberFormat="1" applyFont="1" applyBorder="1"/>
    <xf numFmtId="165" fontId="14" fillId="0" borderId="7" xfId="3" applyNumberFormat="1" applyFont="1" applyBorder="1"/>
    <xf numFmtId="165" fontId="14" fillId="0" borderId="0" xfId="3" applyNumberFormat="1" applyFont="1"/>
    <xf numFmtId="0" fontId="7" fillId="0" borderId="4" xfId="0" applyFont="1" applyBorder="1" applyAlignment="1">
      <alignment horizontal="center"/>
    </xf>
    <xf numFmtId="0" fontId="7" fillId="0" borderId="5" xfId="0" applyFont="1" applyBorder="1" applyAlignment="1">
      <alignment horizontal="center"/>
    </xf>
    <xf numFmtId="44" fontId="0" fillId="0" borderId="1" xfId="1" applyFont="1" applyBorder="1"/>
    <xf numFmtId="44" fontId="0" fillId="0" borderId="3" xfId="1" applyFont="1" applyBorder="1"/>
    <xf numFmtId="44" fontId="0" fillId="0" borderId="4" xfId="1" applyFont="1" applyBorder="1"/>
    <xf numFmtId="44" fontId="0" fillId="0" borderId="5" xfId="1" applyFont="1" applyBorder="1"/>
    <xf numFmtId="44" fontId="0" fillId="0" borderId="6" xfId="1" applyFont="1" applyBorder="1"/>
    <xf numFmtId="44" fontId="0" fillId="0" borderId="8" xfId="1" applyFont="1" applyBorder="1"/>
    <xf numFmtId="164" fontId="5" fillId="0" borderId="9" xfId="3" applyNumberFormat="1" applyFont="1" applyBorder="1"/>
    <xf numFmtId="0" fontId="6" fillId="0" borderId="4" xfId="0" applyFont="1" applyBorder="1" applyAlignment="1">
      <alignment horizontal="center"/>
    </xf>
    <xf numFmtId="166" fontId="6" fillId="0" borderId="0" xfId="0" applyNumberFormat="1" applyFont="1" applyAlignment="1">
      <alignment horizontal="center"/>
    </xf>
    <xf numFmtId="165" fontId="14" fillId="0" borderId="1" xfId="3" applyNumberFormat="1" applyFont="1" applyBorder="1"/>
    <xf numFmtId="165" fontId="14" fillId="0" borderId="4" xfId="3" applyNumberFormat="1" applyFont="1" applyBorder="1"/>
    <xf numFmtId="165" fontId="14" fillId="0" borderId="6" xfId="3" applyNumberFormat="1" applyFont="1" applyBorder="1"/>
    <xf numFmtId="166" fontId="5" fillId="0" borderId="1" xfId="1" applyNumberFormat="1" applyFont="1" applyBorder="1" applyAlignment="1">
      <alignment horizontal="center"/>
    </xf>
    <xf numFmtId="166" fontId="5" fillId="0" borderId="3" xfId="1" applyNumberFormat="1" applyFont="1" applyBorder="1" applyAlignment="1">
      <alignment horizontal="center"/>
    </xf>
    <xf numFmtId="166" fontId="5" fillId="0" borderId="2" xfId="1" applyNumberFormat="1" applyFont="1" applyBorder="1" applyAlignment="1">
      <alignment horizontal="center"/>
    </xf>
    <xf numFmtId="0" fontId="6" fillId="0" borderId="5" xfId="0" applyFont="1" applyBorder="1" applyAlignment="1">
      <alignment horizontal="center"/>
    </xf>
    <xf numFmtId="164" fontId="4" fillId="0" borderId="9" xfId="3" applyNumberFormat="1" applyFont="1" applyBorder="1"/>
    <xf numFmtId="164" fontId="4" fillId="0" borderId="11" xfId="3" applyNumberFormat="1" applyFont="1" applyBorder="1"/>
    <xf numFmtId="164" fontId="4" fillId="0" borderId="10" xfId="3" applyNumberFormat="1" applyFont="1" applyBorder="1"/>
    <xf numFmtId="164" fontId="4" fillId="0" borderId="0" xfId="3" applyNumberFormat="1" applyFont="1"/>
    <xf numFmtId="168" fontId="14" fillId="0" borderId="2" xfId="1" applyNumberFormat="1" applyFont="1" applyBorder="1"/>
    <xf numFmtId="168" fontId="14" fillId="0" borderId="0" xfId="1" applyNumberFormat="1" applyFont="1" applyBorder="1"/>
    <xf numFmtId="168" fontId="14" fillId="0" borderId="7" xfId="1" applyNumberFormat="1" applyFont="1" applyBorder="1"/>
    <xf numFmtId="168" fontId="4" fillId="0" borderId="0" xfId="1" applyNumberFormat="1" applyFont="1"/>
    <xf numFmtId="0" fontId="5" fillId="0" borderId="1" xfId="0" applyFont="1" applyBorder="1"/>
    <xf numFmtId="0" fontId="5" fillId="0" borderId="2" xfId="0" applyFont="1" applyBorder="1"/>
    <xf numFmtId="0" fontId="6" fillId="0" borderId="7" xfId="0" applyFont="1" applyBorder="1" applyAlignment="1">
      <alignment horizontal="center"/>
    </xf>
    <xf numFmtId="168" fontId="13" fillId="0" borderId="7" xfId="1" applyNumberFormat="1" applyFont="1" applyBorder="1" applyAlignment="1">
      <alignment horizontal="center"/>
    </xf>
    <xf numFmtId="0" fontId="13" fillId="0" borderId="7" xfId="0" applyFont="1" applyBorder="1" applyAlignment="1">
      <alignment horizontal="center"/>
    </xf>
    <xf numFmtId="0" fontId="13" fillId="0" borderId="8" xfId="0" applyFont="1" applyBorder="1" applyAlignment="1">
      <alignment horizontal="center"/>
    </xf>
    <xf numFmtId="44" fontId="6" fillId="0" borderId="6" xfId="1" applyFont="1" applyBorder="1" applyAlignment="1">
      <alignment horizontal="center"/>
    </xf>
    <xf numFmtId="44" fontId="6" fillId="0" borderId="8" xfId="1" applyFont="1" applyBorder="1" applyAlignment="1">
      <alignment horizontal="center"/>
    </xf>
    <xf numFmtId="166" fontId="7" fillId="0" borderId="7" xfId="1" applyNumberFormat="1" applyFont="1" applyBorder="1" applyAlignment="1">
      <alignment horizontal="center"/>
    </xf>
    <xf numFmtId="164" fontId="6" fillId="0" borderId="11" xfId="3" applyNumberFormat="1" applyFont="1" applyBorder="1" applyAlignment="1">
      <alignment horizontal="center"/>
    </xf>
    <xf numFmtId="166" fontId="6" fillId="0" borderId="7" xfId="1" applyNumberFormat="1" applyFont="1" applyBorder="1" applyAlignment="1">
      <alignment horizontal="center"/>
    </xf>
    <xf numFmtId="166" fontId="6" fillId="0" borderId="8" xfId="1" applyNumberFormat="1" applyFont="1" applyBorder="1" applyAlignment="1">
      <alignment horizontal="center"/>
    </xf>
    <xf numFmtId="166" fontId="6" fillId="0" borderId="4" xfId="1" applyNumberFormat="1" applyFont="1" applyFill="1" applyBorder="1" applyAlignment="1">
      <alignment horizontal="center"/>
    </xf>
    <xf numFmtId="166" fontId="6" fillId="0" borderId="5" xfId="1" applyNumberFormat="1" applyFont="1" applyFill="1" applyBorder="1" applyAlignment="1">
      <alignment horizontal="center"/>
    </xf>
    <xf numFmtId="10" fontId="16" fillId="0" borderId="1" xfId="0" applyNumberFormat="1" applyFont="1" applyBorder="1"/>
    <xf numFmtId="10" fontId="16" fillId="0" borderId="3" xfId="0" applyNumberFormat="1" applyFont="1" applyBorder="1"/>
    <xf numFmtId="10" fontId="16" fillId="0" borderId="6" xfId="0" applyNumberFormat="1" applyFont="1" applyBorder="1"/>
    <xf numFmtId="10" fontId="16" fillId="0" borderId="8" xfId="0" applyNumberFormat="1" applyFont="1" applyBorder="1"/>
    <xf numFmtId="165" fontId="13" fillId="0" borderId="7" xfId="3" applyNumberFormat="1" applyFont="1" applyBorder="1" applyAlignment="1">
      <alignment horizontal="center"/>
    </xf>
    <xf numFmtId="0" fontId="5" fillId="0" borderId="9" xfId="0" applyFont="1" applyBorder="1"/>
    <xf numFmtId="0" fontId="6" fillId="0" borderId="11" xfId="0" applyFont="1" applyBorder="1" applyAlignment="1">
      <alignment horizontal="center"/>
    </xf>
    <xf numFmtId="10" fontId="1" fillId="2" borderId="10" xfId="2" applyNumberFormat="1" applyFont="1" applyFill="1" applyBorder="1"/>
    <xf numFmtId="10" fontId="1" fillId="2" borderId="11" xfId="2" applyNumberFormat="1" applyFont="1" applyFill="1" applyBorder="1"/>
    <xf numFmtId="10" fontId="0" fillId="2" borderId="9" xfId="2" applyNumberFormat="1" applyFont="1" applyFill="1" applyBorder="1"/>
    <xf numFmtId="10" fontId="0" fillId="2" borderId="11" xfId="2" applyNumberFormat="1" applyFont="1" applyFill="1" applyBorder="1"/>
    <xf numFmtId="10" fontId="0" fillId="2" borderId="10" xfId="2" applyNumberFormat="1" applyFont="1" applyFill="1" applyBorder="1"/>
    <xf numFmtId="0" fontId="17" fillId="0" borderId="2" xfId="0" applyFont="1" applyBorder="1"/>
    <xf numFmtId="0" fontId="18" fillId="0" borderId="2" xfId="0" applyFont="1" applyBorder="1"/>
    <xf numFmtId="165" fontId="20" fillId="0" borderId="2" xfId="3" applyNumberFormat="1" applyFont="1" applyBorder="1"/>
    <xf numFmtId="168" fontId="20" fillId="0" borderId="2" xfId="1" applyNumberFormat="1" applyFont="1" applyBorder="1"/>
    <xf numFmtId="44" fontId="19" fillId="0" borderId="1" xfId="1" applyFont="1" applyBorder="1"/>
    <xf numFmtId="44" fontId="19" fillId="0" borderId="3" xfId="1" applyFont="1" applyBorder="1"/>
    <xf numFmtId="166" fontId="17" fillId="0" borderId="2" xfId="1" applyNumberFormat="1" applyFont="1" applyBorder="1"/>
    <xf numFmtId="164" fontId="18" fillId="0" borderId="9" xfId="3" applyNumberFormat="1" applyFont="1" applyBorder="1"/>
    <xf numFmtId="166" fontId="19" fillId="0" borderId="2" xfId="1" applyNumberFormat="1" applyFont="1" applyBorder="1"/>
    <xf numFmtId="0" fontId="19" fillId="0" borderId="0" xfId="0" applyFont="1"/>
    <xf numFmtId="0" fontId="17" fillId="0" borderId="7" xfId="0" applyFont="1" applyBorder="1"/>
    <xf numFmtId="0" fontId="18" fillId="0" borderId="7" xfId="0" applyFont="1" applyBorder="1"/>
    <xf numFmtId="165" fontId="20" fillId="0" borderId="7" xfId="3" applyNumberFormat="1" applyFont="1" applyBorder="1"/>
    <xf numFmtId="168" fontId="20" fillId="0" borderId="7" xfId="1" applyNumberFormat="1" applyFont="1" applyBorder="1"/>
    <xf numFmtId="44" fontId="19" fillId="0" borderId="6" xfId="1" applyFont="1" applyBorder="1"/>
    <xf numFmtId="44" fontId="19" fillId="0" borderId="8" xfId="1" applyFont="1" applyBorder="1"/>
    <xf numFmtId="166" fontId="17" fillId="0" borderId="7" xfId="1" applyNumberFormat="1" applyFont="1" applyBorder="1"/>
    <xf numFmtId="164" fontId="18" fillId="0" borderId="11" xfId="3" applyNumberFormat="1" applyFont="1" applyBorder="1"/>
    <xf numFmtId="166" fontId="19" fillId="0" borderId="7" xfId="1" applyNumberFormat="1" applyFont="1" applyBorder="1"/>
    <xf numFmtId="0" fontId="17" fillId="0" borderId="0" xfId="0" applyFont="1"/>
    <xf numFmtId="0" fontId="18" fillId="0" borderId="0" xfId="0" applyFont="1"/>
    <xf numFmtId="165" fontId="20" fillId="0" borderId="0" xfId="3" applyNumberFormat="1" applyFont="1" applyBorder="1"/>
    <xf numFmtId="168" fontId="20" fillId="0" borderId="0" xfId="1" applyNumberFormat="1" applyFont="1" applyBorder="1"/>
    <xf numFmtId="44" fontId="19" fillId="0" borderId="4" xfId="1" applyFont="1" applyBorder="1"/>
    <xf numFmtId="44" fontId="19" fillId="0" borderId="5" xfId="1" applyFont="1" applyBorder="1"/>
    <xf numFmtId="166" fontId="17" fillId="0" borderId="0" xfId="1" applyNumberFormat="1" applyFont="1" applyBorder="1"/>
    <xf numFmtId="164" fontId="18" fillId="0" borderId="10" xfId="3" applyNumberFormat="1" applyFont="1" applyBorder="1"/>
    <xf numFmtId="166" fontId="19" fillId="0" borderId="0" xfId="1" applyNumberFormat="1" applyFont="1" applyBorder="1"/>
    <xf numFmtId="0" fontId="5" fillId="0" borderId="3" xfId="0" applyFont="1" applyBorder="1"/>
    <xf numFmtId="165" fontId="15" fillId="0" borderId="4" xfId="3" applyNumberFormat="1" applyFont="1" applyBorder="1"/>
    <xf numFmtId="0" fontId="15" fillId="0" borderId="5" xfId="0" applyFont="1" applyBorder="1"/>
    <xf numFmtId="0" fontId="14" fillId="0" borderId="5" xfId="0" applyFont="1" applyBorder="1"/>
    <xf numFmtId="165" fontId="20" fillId="0" borderId="4" xfId="3" applyNumberFormat="1" applyFont="1" applyBorder="1"/>
    <xf numFmtId="0" fontId="20" fillId="0" borderId="5" xfId="0" applyFont="1" applyBorder="1"/>
    <xf numFmtId="165" fontId="20" fillId="0" borderId="6" xfId="3" applyNumberFormat="1" applyFont="1" applyBorder="1"/>
    <xf numFmtId="0" fontId="20" fillId="0" borderId="8" xfId="0" applyFont="1" applyBorder="1"/>
    <xf numFmtId="10" fontId="19" fillId="0" borderId="9" xfId="2" applyNumberFormat="1" applyFont="1" applyFill="1" applyBorder="1"/>
    <xf numFmtId="10" fontId="19" fillId="0" borderId="10" xfId="2" applyNumberFormat="1" applyFont="1" applyFill="1" applyBorder="1"/>
    <xf numFmtId="10" fontId="19" fillId="0" borderId="11" xfId="2" applyNumberFormat="1" applyFont="1" applyFill="1" applyBorder="1"/>
    <xf numFmtId="0" fontId="14" fillId="0" borderId="3" xfId="0" applyFont="1" applyBorder="1"/>
    <xf numFmtId="0" fontId="14" fillId="0" borderId="8" xfId="0" applyFont="1" applyBorder="1"/>
    <xf numFmtId="10" fontId="16" fillId="0" borderId="4" xfId="0" applyNumberFormat="1" applyFont="1" applyBorder="1"/>
    <xf numFmtId="10" fontId="16" fillId="0" borderId="5" xfId="0" applyNumberFormat="1" applyFont="1" applyBorder="1"/>
    <xf numFmtId="0" fontId="22" fillId="3" borderId="9" xfId="0" applyFont="1" applyFill="1" applyBorder="1"/>
    <xf numFmtId="0" fontId="22" fillId="3" borderId="11" xfId="0" applyFont="1" applyFill="1" applyBorder="1"/>
    <xf numFmtId="0" fontId="0" fillId="0" borderId="0" xfId="0" applyAlignment="1">
      <alignment vertical="center" wrapText="1"/>
    </xf>
    <xf numFmtId="0" fontId="3" fillId="0" borderId="0" xfId="0" applyFont="1" applyAlignment="1">
      <alignment horizontal="center"/>
    </xf>
    <xf numFmtId="0" fontId="7" fillId="0" borderId="7" xfId="0" applyFont="1" applyBorder="1" applyAlignment="1">
      <alignment horizontal="center"/>
    </xf>
    <xf numFmtId="0" fontId="9" fillId="0" borderId="9" xfId="0" applyFont="1" applyBorder="1" applyAlignment="1">
      <alignment horizontal="center"/>
    </xf>
    <xf numFmtId="0" fontId="7" fillId="0" borderId="10" xfId="0" applyFont="1" applyBorder="1" applyAlignment="1">
      <alignment horizontal="center"/>
    </xf>
    <xf numFmtId="164" fontId="11" fillId="0" borderId="11" xfId="3" applyNumberFormat="1" applyFont="1" applyBorder="1"/>
    <xf numFmtId="164" fontId="11" fillId="0" borderId="9" xfId="3" applyNumberFormat="1" applyFont="1" applyBorder="1"/>
    <xf numFmtId="0" fontId="8" fillId="0" borderId="0" xfId="0" applyFont="1" applyAlignment="1">
      <alignment horizontal="center"/>
    </xf>
    <xf numFmtId="0" fontId="8" fillId="0" borderId="1" xfId="0" applyFont="1" applyBorder="1"/>
    <xf numFmtId="0" fontId="8" fillId="0" borderId="3" xfId="0" applyFont="1" applyBorder="1"/>
    <xf numFmtId="0" fontId="8" fillId="0" borderId="6" xfId="0" applyFont="1" applyBorder="1"/>
    <xf numFmtId="0" fontId="8" fillId="0" borderId="8" xfId="0" applyFont="1" applyBorder="1"/>
    <xf numFmtId="0" fontId="8" fillId="0" borderId="1" xfId="0" applyFont="1" applyBorder="1" applyAlignment="1">
      <alignment horizontal="center"/>
    </xf>
    <xf numFmtId="0" fontId="8" fillId="0" borderId="3" xfId="0" applyFont="1" applyBorder="1" applyAlignment="1">
      <alignment horizontal="center"/>
    </xf>
    <xf numFmtId="0" fontId="8" fillId="0" borderId="6" xfId="0" applyFont="1" applyBorder="1" applyAlignment="1">
      <alignment horizontal="center"/>
    </xf>
    <xf numFmtId="0" fontId="8" fillId="0" borderId="8" xfId="0" applyFont="1" applyBorder="1" applyAlignment="1">
      <alignment horizontal="center"/>
    </xf>
    <xf numFmtId="0" fontId="8" fillId="0" borderId="4" xfId="0" applyFont="1" applyBorder="1" applyAlignment="1">
      <alignment horizontal="center"/>
    </xf>
    <xf numFmtId="0" fontId="17" fillId="0" borderId="1" xfId="0" applyFont="1" applyBorder="1" applyAlignment="1">
      <alignment horizontal="center"/>
    </xf>
    <xf numFmtId="0" fontId="17" fillId="0" borderId="3" xfId="0" applyFont="1" applyBorder="1" applyAlignment="1">
      <alignment horizontal="center"/>
    </xf>
    <xf numFmtId="0" fontId="17" fillId="0" borderId="6" xfId="0" applyFont="1" applyBorder="1" applyAlignment="1">
      <alignment horizontal="center"/>
    </xf>
    <xf numFmtId="0" fontId="17" fillId="0" borderId="8" xfId="0" applyFont="1" applyBorder="1" applyAlignment="1">
      <alignment horizontal="center"/>
    </xf>
    <xf numFmtId="0" fontId="8" fillId="0" borderId="5" xfId="0" applyFont="1" applyBorder="1" applyAlignment="1">
      <alignment horizontal="center"/>
    </xf>
    <xf numFmtId="0" fontId="17" fillId="0" borderId="4" xfId="0" applyFont="1" applyBorder="1" applyAlignment="1">
      <alignment horizontal="center"/>
    </xf>
    <xf numFmtId="0" fontId="17" fillId="0" borderId="5" xfId="0" applyFont="1" applyBorder="1" applyAlignment="1">
      <alignment horizontal="center"/>
    </xf>
    <xf numFmtId="0" fontId="9" fillId="0" borderId="1" xfId="0" applyFont="1" applyBorder="1" applyAlignment="1">
      <alignment horizontal="center"/>
    </xf>
    <xf numFmtId="164" fontId="24" fillId="0" borderId="9" xfId="3" applyNumberFormat="1" applyFont="1" applyBorder="1"/>
    <xf numFmtId="164" fontId="24" fillId="0" borderId="11" xfId="3" applyNumberFormat="1" applyFont="1" applyBorder="1"/>
    <xf numFmtId="0" fontId="24" fillId="0" borderId="2" xfId="0" applyFont="1" applyBorder="1"/>
    <xf numFmtId="0" fontId="24" fillId="0" borderId="7" xfId="0" applyFont="1" applyBorder="1"/>
    <xf numFmtId="44" fontId="5" fillId="0" borderId="9" xfId="1" applyFont="1" applyBorder="1" applyAlignment="1">
      <alignment horizontal="center"/>
    </xf>
    <xf numFmtId="44" fontId="6" fillId="0" borderId="11" xfId="1" applyFont="1" applyBorder="1" applyAlignment="1">
      <alignment horizontal="center"/>
    </xf>
    <xf numFmtId="0" fontId="8" fillId="4" borderId="1" xfId="0" applyFont="1" applyFill="1" applyBorder="1" applyAlignment="1">
      <alignment horizontal="center"/>
    </xf>
    <xf numFmtId="0" fontId="8" fillId="4" borderId="3" xfId="0" applyFont="1" applyFill="1" applyBorder="1" applyAlignment="1">
      <alignment horizontal="center"/>
    </xf>
    <xf numFmtId="0" fontId="8" fillId="4" borderId="2" xfId="0" applyFont="1" applyFill="1" applyBorder="1"/>
    <xf numFmtId="165" fontId="25" fillId="4" borderId="2" xfId="3" applyNumberFormat="1" applyFont="1" applyFill="1" applyBorder="1"/>
    <xf numFmtId="168" fontId="25" fillId="4" borderId="2" xfId="1" applyNumberFormat="1" applyFont="1" applyFill="1" applyBorder="1"/>
    <xf numFmtId="44" fontId="1" fillId="4" borderId="1" xfId="1" applyFont="1" applyFill="1" applyBorder="1"/>
    <xf numFmtId="44" fontId="1" fillId="4" borderId="3" xfId="1" applyFont="1" applyFill="1" applyBorder="1"/>
    <xf numFmtId="166" fontId="8" fillId="4" borderId="2" xfId="1" applyNumberFormat="1" applyFont="1" applyFill="1" applyBorder="1"/>
    <xf numFmtId="166" fontId="1" fillId="4" borderId="2" xfId="1" applyNumberFormat="1" applyFont="1" applyFill="1" applyBorder="1"/>
    <xf numFmtId="10" fontId="16" fillId="4" borderId="1" xfId="0" applyNumberFormat="1" applyFont="1" applyFill="1" applyBorder="1"/>
    <xf numFmtId="10" fontId="16" fillId="4" borderId="3" xfId="0" applyNumberFormat="1" applyFont="1" applyFill="1" applyBorder="1"/>
    <xf numFmtId="0" fontId="8" fillId="4" borderId="6" xfId="0" applyFont="1" applyFill="1" applyBorder="1" applyAlignment="1">
      <alignment horizontal="center"/>
    </xf>
    <xf numFmtId="0" fontId="8" fillId="4" borderId="8" xfId="0" applyFont="1" applyFill="1" applyBorder="1" applyAlignment="1">
      <alignment horizontal="center"/>
    </xf>
    <xf numFmtId="0" fontId="8" fillId="4" borderId="7" xfId="0" applyFont="1" applyFill="1" applyBorder="1"/>
    <xf numFmtId="165" fontId="25" fillId="4" borderId="7" xfId="3" applyNumberFormat="1" applyFont="1" applyFill="1" applyBorder="1"/>
    <xf numFmtId="168" fontId="25" fillId="4" borderId="7" xfId="1" applyNumberFormat="1" applyFont="1" applyFill="1" applyBorder="1"/>
    <xf numFmtId="44" fontId="1" fillId="4" borderId="6" xfId="1" applyFont="1" applyFill="1" applyBorder="1"/>
    <xf numFmtId="44" fontId="1" fillId="4" borderId="8" xfId="1" applyFont="1" applyFill="1" applyBorder="1"/>
    <xf numFmtId="166" fontId="8" fillId="4" borderId="7" xfId="1" applyNumberFormat="1" applyFont="1" applyFill="1" applyBorder="1"/>
    <xf numFmtId="166" fontId="1" fillId="4" borderId="7" xfId="1" applyNumberFormat="1" applyFont="1" applyFill="1" applyBorder="1"/>
    <xf numFmtId="10" fontId="16" fillId="4" borderId="6" xfId="0" applyNumberFormat="1" applyFont="1" applyFill="1" applyBorder="1"/>
    <xf numFmtId="10" fontId="16" fillId="4" borderId="8" xfId="0" applyNumberFormat="1" applyFont="1" applyFill="1" applyBorder="1"/>
    <xf numFmtId="0" fontId="0" fillId="4" borderId="2" xfId="0" applyFill="1" applyBorder="1"/>
    <xf numFmtId="164" fontId="1" fillId="4" borderId="9" xfId="3" applyNumberFormat="1" applyFont="1" applyFill="1" applyBorder="1"/>
    <xf numFmtId="0" fontId="0" fillId="4" borderId="7" xfId="0" applyFill="1" applyBorder="1"/>
    <xf numFmtId="164" fontId="15" fillId="4" borderId="11" xfId="3" applyNumberFormat="1" applyFont="1" applyFill="1" applyBorder="1"/>
    <xf numFmtId="169" fontId="0" fillId="0" borderId="0" xfId="0" applyNumberFormat="1" applyAlignment="1">
      <alignment horizontal="center"/>
    </xf>
    <xf numFmtId="44" fontId="0" fillId="0" borderId="0" xfId="1" applyFont="1" applyAlignment="1">
      <alignment horizontal="center"/>
    </xf>
    <xf numFmtId="165" fontId="8" fillId="4" borderId="9" xfId="3" applyNumberFormat="1" applyFont="1" applyFill="1" applyBorder="1" applyAlignment="1">
      <alignment horizontal="center"/>
    </xf>
    <xf numFmtId="10" fontId="0" fillId="4" borderId="9" xfId="2" applyNumberFormat="1" applyFont="1" applyFill="1" applyBorder="1"/>
    <xf numFmtId="165" fontId="14" fillId="4" borderId="2" xfId="3" applyNumberFormat="1" applyFont="1" applyFill="1" applyBorder="1"/>
    <xf numFmtId="168" fontId="14" fillId="4" borderId="2" xfId="1" applyNumberFormat="1" applyFont="1" applyFill="1" applyBorder="1"/>
    <xf numFmtId="44" fontId="0" fillId="4" borderId="1" xfId="1" applyFont="1" applyFill="1" applyBorder="1"/>
    <xf numFmtId="44" fontId="0" fillId="4" borderId="3" xfId="1" applyFont="1" applyFill="1" applyBorder="1"/>
    <xf numFmtId="166" fontId="0" fillId="4" borderId="2" xfId="1" applyNumberFormat="1" applyFont="1" applyFill="1" applyBorder="1"/>
    <xf numFmtId="165" fontId="8" fillId="4" borderId="11" xfId="3" applyNumberFormat="1" applyFont="1" applyFill="1" applyBorder="1" applyAlignment="1">
      <alignment horizontal="center"/>
    </xf>
    <xf numFmtId="10" fontId="0" fillId="4" borderId="11" xfId="2" applyNumberFormat="1" applyFont="1" applyFill="1" applyBorder="1"/>
    <xf numFmtId="165" fontId="14" fillId="4" borderId="7" xfId="3" applyNumberFormat="1" applyFont="1" applyFill="1" applyBorder="1"/>
    <xf numFmtId="168" fontId="14" fillId="4" borderId="7" xfId="1" applyNumberFormat="1" applyFont="1" applyFill="1" applyBorder="1"/>
    <xf numFmtId="44" fontId="0" fillId="4" borderId="6" xfId="1" applyFont="1" applyFill="1" applyBorder="1"/>
    <xf numFmtId="44" fontId="0" fillId="4" borderId="8" xfId="1" applyFont="1" applyFill="1" applyBorder="1"/>
    <xf numFmtId="166" fontId="0" fillId="4" borderId="7" xfId="1" applyNumberFormat="1" applyFont="1" applyFill="1" applyBorder="1"/>
    <xf numFmtId="0" fontId="23" fillId="4" borderId="2" xfId="0" applyFont="1" applyFill="1" applyBorder="1"/>
    <xf numFmtId="164" fontId="4" fillId="4" borderId="9" xfId="3" applyNumberFormat="1" applyFont="1" applyFill="1" applyBorder="1"/>
    <xf numFmtId="0" fontId="23" fillId="4" borderId="7" xfId="0" applyFont="1" applyFill="1" applyBorder="1"/>
    <xf numFmtId="164" fontId="4" fillId="4" borderId="11" xfId="3" applyNumberFormat="1" applyFont="1" applyFill="1" applyBorder="1"/>
    <xf numFmtId="0" fontId="9" fillId="0" borderId="2" xfId="0" applyFont="1" applyBorder="1" applyAlignment="1">
      <alignment horizontal="center"/>
    </xf>
    <xf numFmtId="0" fontId="7" fillId="0" borderId="0" xfId="0" applyFont="1" applyAlignment="1">
      <alignment horizontal="center"/>
    </xf>
    <xf numFmtId="0" fontId="8" fillId="0" borderId="2" xfId="0" applyFont="1" applyBorder="1" applyAlignment="1">
      <alignment horizontal="center"/>
    </xf>
    <xf numFmtId="0" fontId="8" fillId="0" borderId="7" xfId="0" applyFont="1" applyBorder="1" applyAlignment="1">
      <alignment horizontal="center"/>
    </xf>
    <xf numFmtId="0" fontId="17" fillId="0" borderId="2" xfId="0" applyFont="1" applyBorder="1" applyAlignment="1">
      <alignment horizontal="center"/>
    </xf>
    <xf numFmtId="0" fontId="17" fillId="0" borderId="0" xfId="0" applyFont="1" applyAlignment="1">
      <alignment horizontal="center"/>
    </xf>
    <xf numFmtId="0" fontId="17" fillId="0" borderId="7" xfId="0" applyFont="1" applyBorder="1" applyAlignment="1">
      <alignment horizontal="center"/>
    </xf>
    <xf numFmtId="0" fontId="9" fillId="0" borderId="2" xfId="0" applyFont="1" applyBorder="1"/>
    <xf numFmtId="0" fontId="0" fillId="2" borderId="0" xfId="0" applyFill="1" applyAlignment="1">
      <alignment horizontal="center"/>
    </xf>
    <xf numFmtId="170" fontId="0" fillId="0" borderId="0" xfId="0" applyNumberFormat="1"/>
    <xf numFmtId="0" fontId="3" fillId="0" borderId="0" xfId="0" applyFont="1" applyAlignment="1">
      <alignment horizontal="right"/>
    </xf>
    <xf numFmtId="0" fontId="3" fillId="2" borderId="0" xfId="0" applyFont="1" applyFill="1" applyAlignment="1">
      <alignment horizontal="center"/>
    </xf>
    <xf numFmtId="165" fontId="8" fillId="0" borderId="9" xfId="3" applyNumberFormat="1" applyFont="1" applyFill="1" applyBorder="1" applyAlignment="1">
      <alignment horizontal="center"/>
    </xf>
    <xf numFmtId="165" fontId="8" fillId="0" borderId="11" xfId="3" applyNumberFormat="1" applyFont="1" applyFill="1" applyBorder="1" applyAlignment="1">
      <alignment horizontal="center"/>
    </xf>
    <xf numFmtId="10" fontId="0" fillId="0" borderId="9" xfId="2" applyNumberFormat="1" applyFont="1" applyFill="1" applyBorder="1"/>
    <xf numFmtId="10" fontId="0" fillId="0" borderId="11" xfId="2" applyNumberFormat="1" applyFont="1" applyFill="1" applyBorder="1"/>
    <xf numFmtId="165" fontId="28" fillId="0" borderId="7" xfId="3" applyNumberFormat="1" applyFont="1" applyBorder="1" applyAlignment="1">
      <alignment horizontal="center"/>
    </xf>
    <xf numFmtId="168" fontId="28" fillId="0" borderId="7" xfId="1" applyNumberFormat="1"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171" fontId="0" fillId="0" borderId="0" xfId="0" applyNumberFormat="1"/>
    <xf numFmtId="165" fontId="15" fillId="0" borderId="0" xfId="3" applyNumberFormat="1" applyFont="1"/>
    <xf numFmtId="44" fontId="0" fillId="0" borderId="0" xfId="0" applyNumberFormat="1"/>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3" fillId="0" borderId="1" xfId="0" applyFont="1" applyBorder="1"/>
    <xf numFmtId="165" fontId="8" fillId="0" borderId="9" xfId="0" applyNumberFormat="1" applyFont="1" applyBorder="1"/>
    <xf numFmtId="165" fontId="8" fillId="0" borderId="11" xfId="0" applyNumberFormat="1" applyFont="1" applyBorder="1"/>
    <xf numFmtId="165" fontId="8" fillId="0" borderId="9" xfId="0" applyNumberFormat="1" applyFont="1" applyBorder="1" applyAlignment="1">
      <alignment horizontal="center"/>
    </xf>
    <xf numFmtId="165" fontId="8" fillId="0" borderId="10" xfId="0" applyNumberFormat="1" applyFont="1" applyBorder="1" applyAlignment="1">
      <alignment horizontal="center"/>
    </xf>
    <xf numFmtId="165" fontId="8" fillId="0" borderId="11" xfId="0" applyNumberFormat="1"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165" fontId="17" fillId="0" borderId="11" xfId="0" applyNumberFormat="1" applyFont="1" applyBorder="1" applyAlignment="1">
      <alignment horizontal="center"/>
    </xf>
    <xf numFmtId="43" fontId="8" fillId="0" borderId="0" xfId="0" applyNumberFormat="1" applyFont="1"/>
    <xf numFmtId="172" fontId="0" fillId="0" borderId="0" xfId="1" applyNumberFormat="1" applyFont="1"/>
    <xf numFmtId="173" fontId="3" fillId="0" borderId="0" xfId="1" applyNumberFormat="1" applyFont="1" applyAlignment="1">
      <alignment horizontal="center"/>
    </xf>
    <xf numFmtId="173" fontId="0" fillId="0" borderId="0" xfId="1" applyNumberFormat="1" applyFont="1" applyAlignment="1">
      <alignment horizontal="right"/>
    </xf>
    <xf numFmtId="0" fontId="0" fillId="0" borderId="4" xfId="0" applyBorder="1" applyAlignment="1">
      <alignment horizontal="center"/>
    </xf>
    <xf numFmtId="0" fontId="0" fillId="0" borderId="6" xfId="0" applyBorder="1" applyAlignment="1">
      <alignment horizontal="center"/>
    </xf>
    <xf numFmtId="172" fontId="0" fillId="0" borderId="9" xfId="1" applyNumberFormat="1" applyFont="1" applyBorder="1"/>
    <xf numFmtId="172" fontId="0" fillId="0" borderId="11" xfId="1" applyNumberFormat="1" applyFont="1" applyBorder="1"/>
    <xf numFmtId="172" fontId="19" fillId="0" borderId="9" xfId="1" applyNumberFormat="1" applyFont="1" applyBorder="1"/>
    <xf numFmtId="172" fontId="19" fillId="0" borderId="11" xfId="1" applyNumberFormat="1" applyFont="1" applyBorder="1"/>
    <xf numFmtId="172" fontId="5" fillId="0" borderId="9" xfId="1" applyNumberFormat="1" applyFont="1" applyBorder="1" applyAlignment="1">
      <alignment horizontal="center"/>
    </xf>
    <xf numFmtId="172" fontId="6" fillId="0" borderId="11" xfId="1" applyNumberFormat="1" applyFont="1" applyBorder="1" applyAlignment="1">
      <alignment horizontal="center"/>
    </xf>
    <xf numFmtId="172" fontId="0" fillId="0" borderId="10" xfId="1" applyNumberFormat="1" applyFont="1" applyBorder="1"/>
    <xf numFmtId="172" fontId="19" fillId="0" borderId="10" xfId="1" applyNumberFormat="1" applyFont="1" applyBorder="1"/>
    <xf numFmtId="172" fontId="0" fillId="4" borderId="9" xfId="1" applyNumberFormat="1" applyFont="1" applyFill="1" applyBorder="1"/>
    <xf numFmtId="172" fontId="0" fillId="4" borderId="11" xfId="1" applyNumberFormat="1" applyFont="1" applyFill="1" applyBorder="1"/>
    <xf numFmtId="172" fontId="1" fillId="4" borderId="9" xfId="1" applyNumberFormat="1" applyFont="1" applyFill="1" applyBorder="1"/>
    <xf numFmtId="172" fontId="1" fillId="4" borderId="11" xfId="1" applyNumberFormat="1" applyFont="1" applyFill="1" applyBorder="1"/>
    <xf numFmtId="172" fontId="0" fillId="0" borderId="2" xfId="0" applyNumberFormat="1" applyBorder="1"/>
    <xf numFmtId="0" fontId="10" fillId="0" borderId="2" xfId="0" applyFont="1" applyBorder="1"/>
    <xf numFmtId="173" fontId="3" fillId="0" borderId="0" xfId="1" applyNumberFormat="1" applyFont="1" applyAlignment="1">
      <alignment horizontal="right"/>
    </xf>
    <xf numFmtId="44" fontId="0" fillId="0" borderId="0" xfId="1" applyFont="1" applyFill="1" applyAlignment="1">
      <alignment horizontal="center"/>
    </xf>
    <xf numFmtId="166" fontId="0" fillId="0" borderId="0" xfId="1" applyNumberFormat="1" applyFont="1" applyFill="1"/>
    <xf numFmtId="165" fontId="0" fillId="0" borderId="0" xfId="3" applyNumberFormat="1" applyFont="1" applyFill="1"/>
    <xf numFmtId="0" fontId="5" fillId="0" borderId="2" xfId="0" applyFont="1" applyBorder="1" applyAlignment="1">
      <alignment horizontal="center"/>
    </xf>
    <xf numFmtId="0" fontId="4" fillId="0" borderId="1" xfId="0" applyFont="1" applyBorder="1"/>
    <xf numFmtId="0" fontId="4" fillId="0" borderId="4" xfId="0" applyFont="1" applyBorder="1"/>
    <xf numFmtId="0" fontId="4" fillId="0" borderId="6" xfId="0" applyFont="1" applyBorder="1"/>
    <xf numFmtId="0" fontId="29" fillId="0" borderId="0" xfId="0" applyFont="1"/>
    <xf numFmtId="44" fontId="1" fillId="4" borderId="4" xfId="1" applyFont="1" applyFill="1" applyBorder="1"/>
    <xf numFmtId="166" fontId="6" fillId="0" borderId="6" xfId="1" applyNumberFormat="1" applyFont="1" applyFill="1" applyBorder="1" applyAlignment="1">
      <alignment horizontal="center"/>
    </xf>
    <xf numFmtId="166" fontId="6" fillId="0" borderId="7" xfId="1" applyNumberFormat="1" applyFont="1" applyFill="1" applyBorder="1" applyAlignment="1">
      <alignment horizontal="center"/>
    </xf>
    <xf numFmtId="44" fontId="0" fillId="0" borderId="2" xfId="1" applyFont="1" applyBorder="1"/>
    <xf numFmtId="44" fontId="0" fillId="0" borderId="0" xfId="1" applyFont="1" applyBorder="1"/>
    <xf numFmtId="44" fontId="0" fillId="0" borderId="7" xfId="1" applyFont="1" applyBorder="1"/>
    <xf numFmtId="44" fontId="6" fillId="0" borderId="7" xfId="1" applyFont="1" applyBorder="1" applyAlignment="1">
      <alignment horizontal="center"/>
    </xf>
    <xf numFmtId="44" fontId="1" fillId="4" borderId="2" xfId="1" applyFont="1" applyFill="1" applyBorder="1"/>
    <xf numFmtId="44" fontId="1" fillId="4" borderId="0" xfId="1" applyFont="1" applyFill="1" applyBorder="1"/>
    <xf numFmtId="44" fontId="0" fillId="4" borderId="2" xfId="1" applyFont="1" applyFill="1" applyBorder="1"/>
    <xf numFmtId="44" fontId="0" fillId="4" borderId="0" xfId="1" applyFont="1" applyFill="1" applyBorder="1"/>
    <xf numFmtId="0" fontId="4" fillId="0" borderId="2" xfId="0" applyFont="1" applyBorder="1" applyAlignment="1">
      <alignment horizontal="center"/>
    </xf>
    <xf numFmtId="172" fontId="0" fillId="0" borderId="7" xfId="0" applyNumberFormat="1" applyBorder="1"/>
    <xf numFmtId="0" fontId="10" fillId="0" borderId="7" xfId="0" applyFont="1" applyBorder="1"/>
    <xf numFmtId="44" fontId="0" fillId="2" borderId="2" xfId="1" applyFont="1" applyFill="1" applyBorder="1"/>
    <xf numFmtId="44" fontId="0" fillId="2" borderId="0" xfId="1" applyFont="1" applyFill="1" applyBorder="1"/>
    <xf numFmtId="44" fontId="0" fillId="2" borderId="7" xfId="1" applyFont="1" applyFill="1" applyBorder="1"/>
    <xf numFmtId="0" fontId="23" fillId="4" borderId="2" xfId="0" applyFont="1" applyFill="1" applyBorder="1" applyAlignment="1">
      <alignment horizontal="center"/>
    </xf>
    <xf numFmtId="0" fontId="23" fillId="4" borderId="7" xfId="0" applyFont="1" applyFill="1" applyBorder="1" applyAlignment="1">
      <alignment horizontal="center"/>
    </xf>
    <xf numFmtId="0" fontId="4" fillId="0" borderId="7" xfId="0" applyFont="1" applyBorder="1" applyAlignment="1">
      <alignment horizontal="center"/>
    </xf>
    <xf numFmtId="0" fontId="24" fillId="0" borderId="2" xfId="0" applyFont="1" applyBorder="1" applyAlignment="1">
      <alignment horizontal="center"/>
    </xf>
    <xf numFmtId="0" fontId="24" fillId="0" borderId="7"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0" fontId="0" fillId="4" borderId="2" xfId="0" applyFill="1" applyBorder="1" applyAlignment="1">
      <alignment horizontal="center"/>
    </xf>
    <xf numFmtId="0" fontId="0" fillId="4" borderId="7" xfId="0" applyFill="1" applyBorder="1" applyAlignment="1">
      <alignment horizontal="center"/>
    </xf>
    <xf numFmtId="166" fontId="7" fillId="0" borderId="6" xfId="1" applyNumberFormat="1" applyFont="1" applyBorder="1" applyAlignment="1">
      <alignment horizontal="center"/>
    </xf>
    <xf numFmtId="166" fontId="7" fillId="0" borderId="8" xfId="1" applyNumberFormat="1" applyFont="1" applyBorder="1" applyAlignment="1">
      <alignment horizontal="center"/>
    </xf>
    <xf numFmtId="172" fontId="0" fillId="0" borderId="0" xfId="1" applyNumberFormat="1" applyFont="1" applyBorder="1"/>
    <xf numFmtId="164" fontId="4" fillId="0" borderId="0" xfId="3" applyNumberFormat="1" applyFont="1" applyBorder="1"/>
    <xf numFmtId="10" fontId="16" fillId="0" borderId="0" xfId="0" applyNumberFormat="1" applyFont="1"/>
    <xf numFmtId="43" fontId="14" fillId="0" borderId="0" xfId="0" applyNumberFormat="1" applyFont="1" applyAlignment="1">
      <alignment horizontal="center" vertical="center"/>
    </xf>
    <xf numFmtId="0" fontId="6" fillId="0" borderId="6" xfId="0" applyFont="1" applyBorder="1" applyAlignment="1">
      <alignment horizontal="center"/>
    </xf>
    <xf numFmtId="0" fontId="6" fillId="0" borderId="8" xfId="0" applyFont="1" applyBorder="1" applyAlignment="1">
      <alignment horizontal="center"/>
    </xf>
    <xf numFmtId="0" fontId="4" fillId="0" borderId="9" xfId="0" applyFont="1" applyBorder="1"/>
    <xf numFmtId="0" fontId="4" fillId="0" borderId="10" xfId="0" applyFont="1" applyBorder="1"/>
    <xf numFmtId="0" fontId="4" fillId="0" borderId="11" xfId="0" applyFont="1" applyBorder="1"/>
    <xf numFmtId="0" fontId="18" fillId="0" borderId="10" xfId="0" applyFont="1" applyBorder="1"/>
    <xf numFmtId="0" fontId="18" fillId="0" borderId="9" xfId="0" applyFont="1" applyBorder="1"/>
    <xf numFmtId="0" fontId="18" fillId="0" borderId="11" xfId="0" applyFont="1" applyBorder="1"/>
    <xf numFmtId="0" fontId="4" fillId="0" borderId="3" xfId="0" applyFont="1" applyBorder="1"/>
    <xf numFmtId="0" fontId="4" fillId="0" borderId="8" xfId="0" applyFont="1" applyBorder="1"/>
    <xf numFmtId="0" fontId="3" fillId="4" borderId="0" xfId="0" applyFont="1" applyFill="1"/>
    <xf numFmtId="0" fontId="3" fillId="4" borderId="0" xfId="0" applyFont="1" applyFill="1" applyAlignment="1">
      <alignment horizontal="right"/>
    </xf>
    <xf numFmtId="0" fontId="0" fillId="4" borderId="0" xfId="0" applyFill="1"/>
    <xf numFmtId="170" fontId="0" fillId="4" borderId="0" xfId="0" applyNumberFormat="1" applyFill="1"/>
    <xf numFmtId="169" fontId="3" fillId="4" borderId="0" xfId="0" applyNumberFormat="1" applyFont="1" applyFill="1" applyAlignment="1">
      <alignment horizontal="center"/>
    </xf>
    <xf numFmtId="44" fontId="3" fillId="4" borderId="0" xfId="1" applyFont="1" applyFill="1" applyAlignment="1">
      <alignment horizontal="center"/>
    </xf>
    <xf numFmtId="166" fontId="3" fillId="4" borderId="0" xfId="1" applyNumberFormat="1" applyFont="1" applyFill="1" applyAlignment="1">
      <alignment horizontal="right"/>
    </xf>
    <xf numFmtId="165" fontId="3" fillId="4" borderId="0" xfId="3" applyNumberFormat="1" applyFont="1" applyFill="1" applyAlignment="1">
      <alignment horizontal="right"/>
    </xf>
    <xf numFmtId="169" fontId="0" fillId="4" borderId="0" xfId="0" applyNumberFormat="1" applyFill="1" applyAlignment="1">
      <alignment horizontal="center"/>
    </xf>
    <xf numFmtId="44" fontId="0" fillId="4" borderId="0" xfId="1" applyFont="1" applyFill="1" applyAlignment="1">
      <alignment horizontal="center"/>
    </xf>
    <xf numFmtId="166" fontId="0" fillId="4" borderId="0" xfId="1" applyNumberFormat="1" applyFont="1" applyFill="1"/>
    <xf numFmtId="165" fontId="0" fillId="4" borderId="0" xfId="3" applyNumberFormat="1" applyFont="1" applyFill="1"/>
    <xf numFmtId="0" fontId="8" fillId="5" borderId="0" xfId="0" applyFont="1" applyFill="1" applyAlignment="1">
      <alignment horizontal="center"/>
    </xf>
    <xf numFmtId="165" fontId="8" fillId="5" borderId="0" xfId="3" applyNumberFormat="1" applyFont="1" applyFill="1" applyBorder="1" applyAlignment="1">
      <alignment horizontal="center"/>
    </xf>
    <xf numFmtId="10" fontId="0" fillId="5" borderId="0" xfId="2" applyNumberFormat="1" applyFont="1" applyFill="1" applyBorder="1"/>
    <xf numFmtId="0" fontId="8" fillId="5" borderId="0" xfId="0" applyFont="1" applyFill="1"/>
    <xf numFmtId="0" fontId="4" fillId="5" borderId="0" xfId="0" applyFont="1" applyFill="1"/>
    <xf numFmtId="44" fontId="0" fillId="5" borderId="0" xfId="1" applyFont="1" applyFill="1" applyBorder="1"/>
    <xf numFmtId="172" fontId="0" fillId="5" borderId="0" xfId="1" applyNumberFormat="1" applyFont="1" applyFill="1" applyBorder="1"/>
    <xf numFmtId="166" fontId="8" fillId="5" borderId="0" xfId="1" applyNumberFormat="1" applyFont="1" applyFill="1" applyBorder="1"/>
    <xf numFmtId="164" fontId="11" fillId="5" borderId="0" xfId="3" applyNumberFormat="1" applyFont="1" applyFill="1" applyBorder="1"/>
    <xf numFmtId="166" fontId="0" fillId="5" borderId="0" xfId="1" applyNumberFormat="1" applyFont="1" applyFill="1" applyBorder="1"/>
    <xf numFmtId="0" fontId="26" fillId="5" borderId="0" xfId="0" applyFont="1" applyFill="1" applyAlignment="1">
      <alignment vertical="center"/>
    </xf>
    <xf numFmtId="167" fontId="4" fillId="5" borderId="0" xfId="2" applyNumberFormat="1" applyFont="1" applyFill="1" applyBorder="1" applyAlignment="1">
      <alignment vertical="center"/>
    </xf>
    <xf numFmtId="0" fontId="0" fillId="5" borderId="0" xfId="0" applyFill="1" applyAlignment="1">
      <alignment vertical="center"/>
    </xf>
    <xf numFmtId="10" fontId="16" fillId="5" borderId="0" xfId="0" applyNumberFormat="1" applyFont="1" applyFill="1"/>
    <xf numFmtId="165" fontId="14" fillId="5" borderId="0" xfId="3" applyNumberFormat="1" applyFont="1" applyFill="1" applyBorder="1"/>
    <xf numFmtId="168" fontId="14" fillId="5" borderId="0" xfId="1" applyNumberFormat="1" applyFont="1" applyFill="1" applyBorder="1"/>
    <xf numFmtId="43" fontId="14" fillId="5" borderId="0" xfId="0" applyNumberFormat="1" applyFont="1" applyFill="1" applyAlignment="1">
      <alignment horizontal="center" vertical="center"/>
    </xf>
    <xf numFmtId="0" fontId="4" fillId="5" borderId="0" xfId="0" applyFont="1" applyFill="1" applyAlignment="1">
      <alignment horizontal="center"/>
    </xf>
    <xf numFmtId="44" fontId="0" fillId="5" borderId="7" xfId="1" applyFont="1" applyFill="1" applyBorder="1"/>
    <xf numFmtId="44" fontId="0" fillId="5" borderId="8" xfId="1" applyFont="1" applyFill="1" applyBorder="1" applyAlignment="1">
      <alignment horizontal="center" vertical="center"/>
    </xf>
    <xf numFmtId="174" fontId="0" fillId="0" borderId="2" xfId="0" applyNumberFormat="1" applyBorder="1"/>
    <xf numFmtId="44" fontId="0" fillId="0" borderId="3" xfId="1" applyFont="1" applyBorder="1" applyAlignment="1">
      <alignment horizontal="center" vertical="center"/>
    </xf>
    <xf numFmtId="44" fontId="0" fillId="0" borderId="8" xfId="1" applyFont="1" applyBorder="1" applyAlignment="1">
      <alignment horizontal="center" vertical="center"/>
    </xf>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0" fontId="6" fillId="0" borderId="15" xfId="0" applyFont="1" applyBorder="1" applyAlignment="1">
      <alignment horizontal="center"/>
    </xf>
    <xf numFmtId="0" fontId="6" fillId="0" borderId="16" xfId="0" applyFont="1" applyBorder="1" applyAlignment="1">
      <alignment horizontal="center"/>
    </xf>
    <xf numFmtId="167" fontId="4" fillId="5" borderId="15" xfId="2" applyNumberFormat="1" applyFont="1" applyFill="1" applyBorder="1" applyAlignment="1">
      <alignment vertical="center"/>
    </xf>
    <xf numFmtId="0" fontId="0" fillId="5" borderId="16" xfId="0" applyFill="1" applyBorder="1" applyAlignment="1">
      <alignment vertical="center"/>
    </xf>
    <xf numFmtId="166" fontId="5" fillId="0" borderId="17" xfId="1" applyNumberFormat="1" applyFont="1" applyBorder="1" applyAlignment="1">
      <alignment horizontal="center"/>
    </xf>
    <xf numFmtId="166" fontId="5" fillId="0" borderId="18" xfId="1" applyNumberFormat="1" applyFont="1" applyBorder="1" applyAlignment="1">
      <alignment horizontal="center"/>
    </xf>
    <xf numFmtId="166" fontId="6" fillId="0" borderId="15" xfId="1" applyNumberFormat="1" applyFont="1" applyFill="1" applyBorder="1" applyAlignment="1">
      <alignment horizontal="center"/>
    </xf>
    <xf numFmtId="166" fontId="6" fillId="0" borderId="16" xfId="1" applyNumberFormat="1" applyFont="1" applyFill="1" applyBorder="1" applyAlignment="1">
      <alignment horizontal="center"/>
    </xf>
    <xf numFmtId="10" fontId="16" fillId="0" borderId="17" xfId="0" applyNumberFormat="1" applyFont="1" applyBorder="1"/>
    <xf numFmtId="10" fontId="16" fillId="0" borderId="18" xfId="0" applyNumberFormat="1" applyFont="1" applyBorder="1"/>
    <xf numFmtId="10" fontId="16" fillId="0" borderId="19" xfId="0" applyNumberFormat="1" applyFont="1" applyBorder="1"/>
    <xf numFmtId="10" fontId="16" fillId="0" borderId="20" xfId="0" applyNumberFormat="1" applyFont="1" applyBorder="1"/>
    <xf numFmtId="10" fontId="16" fillId="5" borderId="15" xfId="0" applyNumberFormat="1" applyFont="1" applyFill="1" applyBorder="1"/>
    <xf numFmtId="10" fontId="16" fillId="5" borderId="16" xfId="0" applyNumberFormat="1" applyFont="1" applyFill="1" applyBorder="1"/>
    <xf numFmtId="10" fontId="16" fillId="4" borderId="17" xfId="0" applyNumberFormat="1" applyFont="1" applyFill="1" applyBorder="1"/>
    <xf numFmtId="10" fontId="16" fillId="4" borderId="18" xfId="0" applyNumberFormat="1" applyFont="1" applyFill="1" applyBorder="1"/>
    <xf numFmtId="10" fontId="16" fillId="4" borderId="19" xfId="0" applyNumberFormat="1" applyFont="1" applyFill="1" applyBorder="1"/>
    <xf numFmtId="10" fontId="16" fillId="4" borderId="20" xfId="0" applyNumberFormat="1" applyFont="1" applyFill="1" applyBorder="1"/>
    <xf numFmtId="0" fontId="6" fillId="0" borderId="19" xfId="0" applyFont="1" applyBorder="1" applyAlignment="1">
      <alignment horizontal="center"/>
    </xf>
    <xf numFmtId="0" fontId="6" fillId="0" borderId="20" xfId="0" applyFont="1" applyBorder="1" applyAlignment="1">
      <alignment horizontal="center"/>
    </xf>
    <xf numFmtId="166" fontId="6" fillId="0" borderId="19" xfId="1" applyNumberFormat="1" applyFont="1" applyFill="1" applyBorder="1" applyAlignment="1">
      <alignment horizontal="center"/>
    </xf>
    <xf numFmtId="166" fontId="6" fillId="0" borderId="20" xfId="1" applyNumberFormat="1" applyFont="1" applyFill="1" applyBorder="1" applyAlignment="1">
      <alignment horizontal="center"/>
    </xf>
    <xf numFmtId="0" fontId="10" fillId="0" borderId="2" xfId="0" applyFont="1" applyBorder="1" applyAlignment="1">
      <alignment vertical="center"/>
    </xf>
    <xf numFmtId="0" fontId="10" fillId="0" borderId="7" xfId="0" applyFont="1" applyBorder="1" applyAlignment="1">
      <alignment vertical="center"/>
    </xf>
    <xf numFmtId="44" fontId="30" fillId="0" borderId="1" xfId="1" applyFont="1" applyBorder="1"/>
    <xf numFmtId="44" fontId="30" fillId="0" borderId="3" xfId="1" applyFont="1" applyBorder="1"/>
    <xf numFmtId="44" fontId="30" fillId="0" borderId="6" xfId="1" applyFont="1" applyBorder="1"/>
    <xf numFmtId="44" fontId="30" fillId="0" borderId="8" xfId="1" applyFont="1" applyBorder="1"/>
    <xf numFmtId="43" fontId="0" fillId="0" borderId="0" xfId="0" applyNumberFormat="1"/>
    <xf numFmtId="0" fontId="26" fillId="2" borderId="0" xfId="0" applyFont="1" applyFill="1"/>
    <xf numFmtId="0" fontId="31" fillId="2" borderId="0" xfId="0" applyFont="1" applyFill="1"/>
    <xf numFmtId="44" fontId="1" fillId="4" borderId="3" xfId="1" applyFont="1" applyFill="1" applyBorder="1" applyAlignment="1">
      <alignment horizontal="center" vertical="center"/>
    </xf>
    <xf numFmtId="44" fontId="1" fillId="4" borderId="8" xfId="1" applyFont="1" applyFill="1" applyBorder="1" applyAlignment="1">
      <alignment horizontal="center" vertical="center"/>
    </xf>
    <xf numFmtId="44" fontId="0" fillId="0" borderId="3" xfId="1" applyFont="1" applyBorder="1" applyAlignment="1">
      <alignment horizontal="center" vertical="center"/>
    </xf>
    <xf numFmtId="44" fontId="0" fillId="0" borderId="8" xfId="1" applyFont="1" applyBorder="1" applyAlignment="1">
      <alignment horizontal="center" vertical="center"/>
    </xf>
    <xf numFmtId="166" fontId="0" fillId="0" borderId="1" xfId="0" applyNumberFormat="1" applyBorder="1" applyAlignment="1">
      <alignment vertical="center"/>
    </xf>
    <xf numFmtId="0" fontId="0" fillId="0" borderId="6" xfId="0" applyBorder="1" applyAlignment="1">
      <alignment vertical="center"/>
    </xf>
    <xf numFmtId="167" fontId="4" fillId="0" borderId="17" xfId="2" applyNumberFormat="1" applyFont="1" applyFill="1" applyBorder="1" applyAlignment="1">
      <alignment vertical="center"/>
    </xf>
    <xf numFmtId="167" fontId="4" fillId="0" borderId="19" xfId="2" applyNumberFormat="1" applyFont="1" applyFill="1" applyBorder="1" applyAlignment="1">
      <alignment vertical="center"/>
    </xf>
    <xf numFmtId="43" fontId="25" fillId="4" borderId="3" xfId="0" applyNumberFormat="1" applyFont="1" applyFill="1" applyBorder="1" applyAlignment="1">
      <alignment horizontal="center" vertical="center"/>
    </xf>
    <xf numFmtId="43" fontId="25" fillId="4" borderId="8" xfId="0" applyNumberFormat="1" applyFont="1" applyFill="1" applyBorder="1" applyAlignment="1">
      <alignment horizontal="center" vertical="center"/>
    </xf>
    <xf numFmtId="166" fontId="0" fillId="4" borderId="18" xfId="0" applyNumberFormat="1" applyFill="1" applyBorder="1" applyAlignment="1">
      <alignment vertical="center"/>
    </xf>
    <xf numFmtId="0" fontId="0" fillId="4" borderId="20" xfId="0" applyFill="1" applyBorder="1" applyAlignment="1">
      <alignment vertical="center"/>
    </xf>
    <xf numFmtId="167" fontId="4" fillId="4" borderId="3" xfId="2" applyNumberFormat="1" applyFont="1" applyFill="1" applyBorder="1" applyAlignment="1">
      <alignment vertical="center"/>
    </xf>
    <xf numFmtId="167" fontId="4" fillId="4" borderId="8" xfId="2" applyNumberFormat="1" applyFont="1" applyFill="1" applyBorder="1" applyAlignment="1">
      <alignment vertical="center"/>
    </xf>
    <xf numFmtId="166" fontId="0" fillId="4" borderId="1" xfId="0" applyNumberFormat="1" applyFill="1" applyBorder="1" applyAlignment="1">
      <alignment vertical="center"/>
    </xf>
    <xf numFmtId="0" fontId="0" fillId="4" borderId="6" xfId="0" applyFill="1" applyBorder="1" applyAlignment="1">
      <alignment vertical="center"/>
    </xf>
    <xf numFmtId="167" fontId="4" fillId="4" borderId="17" xfId="2" applyNumberFormat="1" applyFont="1" applyFill="1" applyBorder="1" applyAlignment="1">
      <alignment vertical="center"/>
    </xf>
    <xf numFmtId="167" fontId="4" fillId="4" borderId="19" xfId="2" applyNumberFormat="1" applyFont="1" applyFill="1" applyBorder="1" applyAlignment="1">
      <alignment vertical="center"/>
    </xf>
    <xf numFmtId="43" fontId="14" fillId="0" borderId="3" xfId="0" applyNumberFormat="1" applyFont="1" applyBorder="1" applyAlignment="1">
      <alignment vertical="center"/>
    </xf>
    <xf numFmtId="43" fontId="14" fillId="0" borderId="8" xfId="0" applyNumberFormat="1" applyFont="1" applyBorder="1" applyAlignment="1">
      <alignment vertical="center"/>
    </xf>
    <xf numFmtId="166" fontId="0" fillId="0" borderId="18" xfId="0" applyNumberFormat="1" applyBorder="1" applyAlignment="1">
      <alignment vertical="center"/>
    </xf>
    <xf numFmtId="0" fontId="0" fillId="0" borderId="20" xfId="0" applyBorder="1" applyAlignment="1">
      <alignment vertical="center"/>
    </xf>
    <xf numFmtId="43" fontId="14" fillId="0" borderId="3" xfId="0" applyNumberFormat="1" applyFont="1" applyBorder="1" applyAlignment="1">
      <alignment horizontal="center" vertical="center"/>
    </xf>
    <xf numFmtId="43" fontId="14" fillId="0" borderId="8" xfId="0" applyNumberFormat="1" applyFont="1" applyBorder="1" applyAlignment="1">
      <alignment horizontal="center" vertical="center"/>
    </xf>
    <xf numFmtId="43" fontId="14" fillId="0" borderId="3" xfId="3" applyFont="1" applyBorder="1" applyAlignment="1">
      <alignment vertical="center"/>
    </xf>
    <xf numFmtId="43" fontId="14" fillId="0" borderId="8" xfId="3" applyFont="1" applyBorder="1" applyAlignment="1">
      <alignment vertical="center"/>
    </xf>
    <xf numFmtId="43" fontId="14" fillId="4" borderId="3" xfId="3" applyFont="1" applyFill="1" applyBorder="1" applyAlignment="1">
      <alignment vertical="center"/>
    </xf>
    <xf numFmtId="43" fontId="14" fillId="4" borderId="8" xfId="3" applyFont="1" applyFill="1" applyBorder="1" applyAlignment="1">
      <alignment vertical="center"/>
    </xf>
    <xf numFmtId="43" fontId="14" fillId="4" borderId="3" xfId="0" applyNumberFormat="1" applyFont="1" applyFill="1" applyBorder="1" applyAlignment="1">
      <alignment vertical="center"/>
    </xf>
    <xf numFmtId="43" fontId="14" fillId="4" borderId="8" xfId="0" applyNumberFormat="1" applyFont="1" applyFill="1" applyBorder="1" applyAlignment="1">
      <alignment vertical="center"/>
    </xf>
    <xf numFmtId="167" fontId="4" fillId="0" borderId="3" xfId="2" applyNumberFormat="1" applyFont="1" applyFill="1" applyBorder="1" applyAlignment="1">
      <alignment vertical="center"/>
    </xf>
    <xf numFmtId="167" fontId="4" fillId="0" borderId="8" xfId="2" applyNumberFormat="1" applyFont="1" applyFill="1" applyBorder="1" applyAlignment="1">
      <alignment vertical="center"/>
    </xf>
    <xf numFmtId="174" fontId="9" fillId="0" borderId="2" xfId="1" applyNumberFormat="1" applyFont="1" applyBorder="1" applyAlignment="1">
      <alignment horizontal="center" vertical="center"/>
    </xf>
    <xf numFmtId="174" fontId="9" fillId="0" borderId="7" xfId="1" applyNumberFormat="1" applyFont="1" applyBorder="1" applyAlignment="1">
      <alignment horizontal="center" vertical="center"/>
    </xf>
    <xf numFmtId="166" fontId="26" fillId="0" borderId="1" xfId="0" applyNumberFormat="1" applyFont="1" applyBorder="1" applyAlignment="1">
      <alignment vertical="center"/>
    </xf>
    <xf numFmtId="0" fontId="26" fillId="0" borderId="6" xfId="0" applyFont="1" applyBorder="1" applyAlignment="1">
      <alignment vertical="center"/>
    </xf>
    <xf numFmtId="166" fontId="5" fillId="0" borderId="12" xfId="1" applyNumberFormat="1" applyFont="1" applyBorder="1" applyAlignment="1">
      <alignment horizontal="center"/>
    </xf>
    <xf numFmtId="166" fontId="5" fillId="0" borderId="13" xfId="1" applyNumberFormat="1" applyFont="1" applyBorder="1" applyAlignment="1">
      <alignment horizontal="center"/>
    </xf>
    <xf numFmtId="0" fontId="5" fillId="0" borderId="13" xfId="0" applyFont="1" applyBorder="1" applyAlignment="1">
      <alignment horizontal="center"/>
    </xf>
    <xf numFmtId="0" fontId="5" fillId="0" borderId="14" xfId="0" applyFont="1" applyBorder="1" applyAlignment="1">
      <alignment horizontal="center"/>
    </xf>
    <xf numFmtId="166" fontId="15" fillId="0" borderId="18" xfId="0" applyNumberFormat="1" applyFont="1" applyBorder="1" applyAlignment="1">
      <alignment vertical="center"/>
    </xf>
    <xf numFmtId="166" fontId="15" fillId="0" borderId="20" xfId="0" applyNumberFormat="1" applyFont="1" applyBorder="1" applyAlignment="1">
      <alignment vertical="center"/>
    </xf>
    <xf numFmtId="0" fontId="9" fillId="0" borderId="1" xfId="0" applyFont="1" applyBorder="1" applyAlignment="1">
      <alignment horizontal="center"/>
    </xf>
    <xf numFmtId="0" fontId="9" fillId="0" borderId="3" xfId="0" applyFont="1" applyBorder="1" applyAlignment="1">
      <alignment horizontal="center"/>
    </xf>
    <xf numFmtId="165" fontId="27" fillId="0" borderId="2" xfId="3" applyNumberFormat="1" applyFont="1" applyBorder="1" applyAlignment="1">
      <alignment horizontal="center"/>
    </xf>
    <xf numFmtId="165" fontId="27" fillId="0" borderId="3" xfId="3" applyNumberFormat="1" applyFont="1" applyBorder="1" applyAlignment="1">
      <alignment horizontal="center"/>
    </xf>
    <xf numFmtId="44" fontId="5" fillId="0" borderId="1" xfId="1" applyFont="1" applyBorder="1" applyAlignment="1">
      <alignment horizontal="center"/>
    </xf>
    <xf numFmtId="44" fontId="5" fillId="0" borderId="3" xfId="1" applyFont="1" applyBorder="1" applyAlignment="1">
      <alignment horizontal="center"/>
    </xf>
    <xf numFmtId="166" fontId="5" fillId="0" borderId="2" xfId="1" applyNumberFormat="1" applyFont="1" applyBorder="1" applyAlignment="1">
      <alignment horizontal="center"/>
    </xf>
    <xf numFmtId="166" fontId="5" fillId="0" borderId="3" xfId="1" applyNumberFormat="1" applyFont="1" applyBorder="1" applyAlignment="1">
      <alignment horizontal="center"/>
    </xf>
    <xf numFmtId="166" fontId="26" fillId="0" borderId="18" xfId="0" applyNumberFormat="1" applyFont="1" applyBorder="1" applyAlignment="1">
      <alignment vertical="center"/>
    </xf>
    <xf numFmtId="0" fontId="26" fillId="0" borderId="20" xfId="0" applyFont="1" applyBorder="1" applyAlignment="1">
      <alignment vertical="center"/>
    </xf>
    <xf numFmtId="166" fontId="7" fillId="0" borderId="1" xfId="1" applyNumberFormat="1" applyFont="1" applyBorder="1" applyAlignment="1">
      <alignment horizontal="center"/>
    </xf>
    <xf numFmtId="166" fontId="7" fillId="0" borderId="3" xfId="1" applyNumberFormat="1" applyFont="1" applyBorder="1" applyAlignment="1">
      <alignment horizont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44" fontId="4" fillId="0" borderId="2" xfId="0" applyNumberFormat="1" applyFont="1" applyBorder="1" applyAlignment="1">
      <alignment horizontal="center" vertical="center"/>
    </xf>
    <xf numFmtId="44" fontId="4" fillId="0" borderId="7" xfId="0" applyNumberFormat="1" applyFont="1" applyBorder="1" applyAlignment="1">
      <alignment horizontal="center" vertical="center"/>
    </xf>
    <xf numFmtId="44" fontId="4" fillId="0" borderId="3" xfId="0" applyNumberFormat="1" applyFont="1" applyBorder="1" applyAlignment="1">
      <alignment horizontal="center" vertical="center"/>
    </xf>
    <xf numFmtId="44" fontId="4" fillId="0" borderId="8" xfId="0" applyNumberFormat="1" applyFont="1" applyBorder="1" applyAlignment="1">
      <alignment horizontal="center" vertical="center"/>
    </xf>
    <xf numFmtId="0" fontId="10" fillId="0" borderId="2" xfId="0" applyFont="1" applyBorder="1" applyAlignment="1">
      <alignment horizontal="center" vertical="center"/>
    </xf>
    <xf numFmtId="0" fontId="10" fillId="0" borderId="7" xfId="0" applyFont="1" applyBorder="1" applyAlignment="1">
      <alignment horizontal="center" vertical="center"/>
    </xf>
    <xf numFmtId="166" fontId="19" fillId="0" borderId="1" xfId="0" applyNumberFormat="1" applyFont="1" applyBorder="1" applyAlignment="1">
      <alignment vertical="center"/>
    </xf>
    <xf numFmtId="166" fontId="19" fillId="0" borderId="4" xfId="0" applyNumberFormat="1" applyFont="1" applyBorder="1" applyAlignment="1">
      <alignment vertical="center"/>
    </xf>
    <xf numFmtId="166" fontId="19" fillId="0" borderId="6" xfId="0" applyNumberFormat="1" applyFont="1" applyBorder="1" applyAlignment="1">
      <alignment vertical="center"/>
    </xf>
    <xf numFmtId="166" fontId="19" fillId="0" borderId="2" xfId="0" applyNumberFormat="1" applyFont="1" applyBorder="1" applyAlignment="1">
      <alignment vertical="center"/>
    </xf>
    <xf numFmtId="166" fontId="19" fillId="0" borderId="0" xfId="0" applyNumberFormat="1" applyFont="1" applyAlignment="1">
      <alignment vertical="center"/>
    </xf>
    <xf numFmtId="166" fontId="19" fillId="0" borderId="7" xfId="0" applyNumberFormat="1" applyFont="1" applyBorder="1" applyAlignment="1">
      <alignment vertical="center"/>
    </xf>
    <xf numFmtId="166" fontId="0" fillId="0" borderId="2" xfId="0" applyNumberFormat="1" applyBorder="1" applyAlignment="1">
      <alignment vertical="center"/>
    </xf>
    <xf numFmtId="166" fontId="0" fillId="0" borderId="0" xfId="0" applyNumberFormat="1" applyAlignment="1">
      <alignment vertical="center"/>
    </xf>
    <xf numFmtId="166" fontId="0" fillId="0" borderId="7" xfId="0" applyNumberFormat="1" applyBorder="1" applyAlignment="1">
      <alignment vertical="center"/>
    </xf>
    <xf numFmtId="0" fontId="19" fillId="0" borderId="4" xfId="0" applyFont="1" applyBorder="1" applyAlignment="1">
      <alignment vertical="center"/>
    </xf>
    <xf numFmtId="0" fontId="19" fillId="0" borderId="6" xfId="0" applyFont="1" applyBorder="1" applyAlignment="1">
      <alignment vertical="center"/>
    </xf>
    <xf numFmtId="0" fontId="19" fillId="0" borderId="0" xfId="0" applyFont="1" applyAlignment="1">
      <alignment vertical="center"/>
    </xf>
    <xf numFmtId="0" fontId="19" fillId="0" borderId="7" xfId="0" applyFont="1" applyBorder="1" applyAlignment="1">
      <alignment vertical="center"/>
    </xf>
    <xf numFmtId="43" fontId="20" fillId="0" borderId="3" xfId="0" applyNumberFormat="1" applyFont="1" applyBorder="1" applyAlignment="1">
      <alignment vertical="center"/>
    </xf>
    <xf numFmtId="43" fontId="20" fillId="0" borderId="5" xfId="0" applyNumberFormat="1" applyFont="1" applyBorder="1" applyAlignment="1">
      <alignment vertical="center"/>
    </xf>
    <xf numFmtId="43" fontId="20" fillId="0" borderId="8" xfId="0" applyNumberFormat="1" applyFont="1" applyBorder="1" applyAlignment="1">
      <alignment vertical="center"/>
    </xf>
    <xf numFmtId="167" fontId="19" fillId="0" borderId="3" xfId="2" applyNumberFormat="1" applyFont="1" applyFill="1" applyBorder="1" applyAlignment="1">
      <alignment vertical="center"/>
    </xf>
    <xf numFmtId="167" fontId="19" fillId="0" borderId="5" xfId="2" applyNumberFormat="1" applyFont="1" applyFill="1" applyBorder="1" applyAlignment="1">
      <alignment vertical="center"/>
    </xf>
    <xf numFmtId="167" fontId="19" fillId="0" borderId="8" xfId="2" applyNumberFormat="1" applyFont="1" applyFill="1" applyBorder="1" applyAlignment="1">
      <alignment vertical="center"/>
    </xf>
    <xf numFmtId="43" fontId="20" fillId="0" borderId="3" xfId="3" applyFont="1" applyBorder="1" applyAlignment="1">
      <alignment vertical="center"/>
    </xf>
    <xf numFmtId="43" fontId="20" fillId="0" borderId="5" xfId="3" applyFont="1" applyBorder="1" applyAlignment="1">
      <alignment vertical="center"/>
    </xf>
    <xf numFmtId="43" fontId="20" fillId="0" borderId="8" xfId="3" applyFont="1" applyBorder="1" applyAlignment="1">
      <alignment vertical="center"/>
    </xf>
    <xf numFmtId="167" fontId="0" fillId="0" borderId="3" xfId="2" applyNumberFormat="1" applyFont="1" applyFill="1" applyBorder="1" applyAlignment="1">
      <alignment vertical="center"/>
    </xf>
    <xf numFmtId="167" fontId="0" fillId="0" borderId="5" xfId="2" applyNumberFormat="1" applyFont="1" applyFill="1" applyBorder="1" applyAlignment="1">
      <alignment vertical="center"/>
    </xf>
    <xf numFmtId="167" fontId="0" fillId="0" borderId="8" xfId="2" applyNumberFormat="1" applyFont="1" applyFill="1" applyBorder="1" applyAlignment="1">
      <alignment vertical="center"/>
    </xf>
    <xf numFmtId="10" fontId="21" fillId="2" borderId="3" xfId="2" applyNumberFormat="1" applyFont="1" applyFill="1" applyBorder="1" applyAlignment="1">
      <alignment horizontal="center" vertical="center"/>
    </xf>
    <xf numFmtId="10" fontId="21" fillId="2" borderId="5" xfId="2" applyNumberFormat="1" applyFont="1" applyFill="1" applyBorder="1" applyAlignment="1">
      <alignment horizontal="center" vertical="center"/>
    </xf>
    <xf numFmtId="10" fontId="21" fillId="2" borderId="8" xfId="2" applyNumberFormat="1" applyFont="1" applyFill="1" applyBorder="1" applyAlignment="1">
      <alignment horizontal="center" vertical="center"/>
    </xf>
    <xf numFmtId="10" fontId="21" fillId="2" borderId="1" xfId="2" applyNumberFormat="1" applyFont="1" applyFill="1" applyBorder="1" applyAlignment="1">
      <alignment horizontal="center" vertical="center"/>
    </xf>
    <xf numFmtId="10" fontId="21" fillId="2" borderId="4" xfId="2" applyNumberFormat="1" applyFont="1" applyFill="1" applyBorder="1" applyAlignment="1">
      <alignment horizontal="center" vertical="center"/>
    </xf>
    <xf numFmtId="10" fontId="21" fillId="2" borderId="6" xfId="2" applyNumberFormat="1" applyFont="1" applyFill="1" applyBorder="1" applyAlignment="1">
      <alignment horizontal="center" vertical="center"/>
    </xf>
    <xf numFmtId="10" fontId="15" fillId="2" borderId="1" xfId="2" applyNumberFormat="1" applyFont="1" applyFill="1" applyBorder="1" applyAlignment="1">
      <alignment horizontal="center" vertical="center"/>
    </xf>
    <xf numFmtId="10" fontId="15" fillId="2" borderId="4" xfId="2" applyNumberFormat="1" applyFont="1" applyFill="1" applyBorder="1" applyAlignment="1">
      <alignment horizontal="center" vertical="center"/>
    </xf>
    <xf numFmtId="10" fontId="15" fillId="2" borderId="6" xfId="2" applyNumberFormat="1" applyFont="1" applyFill="1" applyBorder="1" applyAlignment="1">
      <alignment horizontal="center" vertical="center"/>
    </xf>
    <xf numFmtId="166" fontId="0" fillId="0" borderId="4" xfId="0" applyNumberFormat="1" applyBorder="1" applyAlignment="1">
      <alignment vertical="center"/>
    </xf>
    <xf numFmtId="166" fontId="0" fillId="0" borderId="6" xfId="0" applyNumberFormat="1" applyBorder="1" applyAlignment="1">
      <alignment vertical="center"/>
    </xf>
    <xf numFmtId="0" fontId="0" fillId="0" borderId="4" xfId="0" applyBorder="1" applyAlignment="1">
      <alignment vertical="center"/>
    </xf>
    <xf numFmtId="0" fontId="0" fillId="0" borderId="0" xfId="0" applyAlignment="1">
      <alignment vertical="center"/>
    </xf>
    <xf numFmtId="0" fontId="0" fillId="0" borderId="7" xfId="0" applyBorder="1" applyAlignment="1">
      <alignment vertical="center"/>
    </xf>
    <xf numFmtId="0" fontId="5"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165" fontId="12" fillId="0" borderId="2" xfId="3" applyNumberFormat="1" applyFont="1" applyBorder="1" applyAlignment="1">
      <alignment horizontal="center"/>
    </xf>
    <xf numFmtId="165" fontId="12" fillId="0" borderId="3" xfId="3" applyNumberFormat="1" applyFont="1" applyBorder="1" applyAlignment="1">
      <alignment horizontal="center"/>
    </xf>
    <xf numFmtId="43" fontId="14" fillId="0" borderId="5" xfId="3" applyFont="1" applyBorder="1" applyAlignment="1">
      <alignment vertical="center"/>
    </xf>
    <xf numFmtId="43" fontId="14" fillId="0" borderId="5" xfId="0" applyNumberFormat="1" applyFont="1" applyBorder="1" applyAlignment="1">
      <alignment vertical="center"/>
    </xf>
    <xf numFmtId="10" fontId="15" fillId="2" borderId="3" xfId="2" applyNumberFormat="1" applyFont="1" applyFill="1" applyBorder="1" applyAlignment="1">
      <alignment horizontal="center" vertical="center"/>
    </xf>
    <xf numFmtId="10" fontId="15" fillId="2" borderId="5" xfId="2" applyNumberFormat="1" applyFont="1" applyFill="1" applyBorder="1" applyAlignment="1">
      <alignment horizontal="center" vertical="center"/>
    </xf>
    <xf numFmtId="10" fontId="15" fillId="2" borderId="8" xfId="2" applyNumberFormat="1" applyFont="1" applyFill="1" applyBorder="1" applyAlignment="1">
      <alignment horizontal="center" vertical="center"/>
    </xf>
    <xf numFmtId="43" fontId="14" fillId="0" borderId="5" xfId="0" applyNumberFormat="1" applyFont="1" applyBorder="1" applyAlignment="1">
      <alignment horizontal="center" vertical="center"/>
    </xf>
    <xf numFmtId="0" fontId="6" fillId="0" borderId="1" xfId="0" applyFont="1" applyBorder="1" applyAlignment="1">
      <alignment horizontal="center"/>
    </xf>
    <xf numFmtId="0" fontId="6" fillId="0" borderId="3" xfId="0" applyFont="1" applyBorder="1" applyAlignment="1">
      <alignment horizontal="center"/>
    </xf>
    <xf numFmtId="0" fontId="15" fillId="0" borderId="20" xfId="0" applyFont="1" applyBorder="1" applyAlignment="1">
      <alignment vertical="center"/>
    </xf>
    <xf numFmtId="44" fontId="0" fillId="5" borderId="5" xfId="1" applyFont="1" applyFill="1" applyBorder="1" applyAlignment="1">
      <alignment horizontal="center" vertical="center"/>
    </xf>
  </cellXfs>
  <cellStyles count="4">
    <cellStyle name="Comma" xfId="3" builtinId="3"/>
    <cellStyle name="Currency" xfId="1" builtinId="4"/>
    <cellStyle name="Normal" xfId="0" builtinId="0"/>
    <cellStyle name="Percent" xfId="2" builtinId="5"/>
  </cellStyles>
  <dxfs count="112">
    <dxf>
      <font>
        <color rgb="FF006100"/>
      </font>
      <fill>
        <patternFill>
          <bgColor rgb="FFC6EFCE"/>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5700"/>
      </font>
      <fill>
        <patternFill>
          <bgColor rgb="FFFFEB9C"/>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006100"/>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b/>
        <i val="0"/>
        <color rgb="FF9C0006"/>
      </font>
      <fill>
        <patternFill patternType="none">
          <bgColor auto="1"/>
        </patternFill>
      </fill>
    </dxf>
    <dxf>
      <font>
        <color rgb="FF9C0006"/>
      </font>
      <fill>
        <patternFill>
          <bgColor rgb="FFFFC7CE"/>
        </patternFill>
      </fill>
    </dxf>
    <dxf>
      <font>
        <color rgb="FF9C5700"/>
      </font>
      <fill>
        <patternFill>
          <bgColor rgb="FFFFEB9C"/>
        </patternFill>
      </fill>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general" vertical="center" textRotation="0" wrapText="1" indent="0" justifyLastLine="0" shrinkToFit="0" readingOrder="0"/>
    </dxf>
    <dxf>
      <font>
        <b/>
      </font>
    </dxf>
    <dxf>
      <alignment horizontal="general"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3</xdr:col>
      <xdr:colOff>200025</xdr:colOff>
      <xdr:row>0</xdr:row>
      <xdr:rowOff>161925</xdr:rowOff>
    </xdr:from>
    <xdr:to>
      <xdr:col>3</xdr:col>
      <xdr:colOff>1114425</xdr:colOff>
      <xdr:row>4</xdr:row>
      <xdr:rowOff>85725</xdr:rowOff>
    </xdr:to>
    <xdr:sp macro="[0]!UpdateMultipliersGroup" textlink="">
      <xdr:nvSpPr>
        <xdr:cNvPr id="2" name="Rectangle 1">
          <a:extLst>
            <a:ext uri="{FF2B5EF4-FFF2-40B4-BE49-F238E27FC236}">
              <a16:creationId xmlns:a16="http://schemas.microsoft.com/office/drawing/2014/main" id="{677D85F0-62B1-2EFC-2A3C-1AC9205685BF}"/>
            </a:ext>
          </a:extLst>
        </xdr:cNvPr>
        <xdr:cNvSpPr/>
      </xdr:nvSpPr>
      <xdr:spPr>
        <a:xfrm>
          <a:off x="3895725" y="161925"/>
          <a:ext cx="914400" cy="6858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Update Multipliers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913BC0-E3D8-4CCA-950F-A7509FC6B526}" name="admin_inputs" displayName="admin_inputs" ref="A1:B7" totalsRowShown="0">
  <autoFilter ref="A1:B7" xr:uid="{7E913BC0-E3D8-4CCA-950F-A7509FC6B526}"/>
  <tableColumns count="2">
    <tableColumn id="1" xr3:uid="{DBCC28E9-5CC8-4346-8F1B-B8CC81979271}" name="Keys"/>
    <tableColumn id="2" xr3:uid="{BC9C663B-3B3C-4AB3-A127-6F36C4D9E41D}" name="Valu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E0AE69-AE86-439F-8B86-A6C16D189F1B}" name="anchor_inputs" displayName="anchor_inputs" ref="A1:G109" totalsRowShown="0">
  <autoFilter ref="A1:G109" xr:uid="{41E0AE69-AE86-439F-8B86-A6C16D189F1B}"/>
  <sortState xmlns:xlrd2="http://schemas.microsoft.com/office/spreadsheetml/2017/richdata2" ref="A2:G109">
    <sortCondition ref="A1:A109"/>
  </sortState>
  <tableColumns count="7">
    <tableColumn id="4" xr3:uid="{C143C91C-ACAF-4ACF-B91F-4435A63F4151}" name="grouping" dataDxfId="111"/>
    <tableColumn id="2" xr3:uid="{F486AEE1-C7BF-4FB6-956C-83C2ABB71F18}" name="subgroup"/>
    <tableColumn id="1" xr3:uid="{4425B6E4-20BC-47CF-A149-57992AA900B4}" name="my_fi_name" dataDxfId="110"/>
    <tableColumn id="6" xr3:uid="{3FB674DC-28D9-413B-AEF2-94CC07DCB1E2}" name="my_pf_name" dataDxfId="109"/>
    <tableColumn id="5" xr3:uid="{1C677B6D-D63E-4271-8F12-49B31EA5C0F2}" name="anchor"/>
    <tableColumn id="3" xr3:uid="{B174390F-1C67-417C-A283-D8C2F19DC00A}" name="moving_avg_days" dataDxfId="108"/>
    <tableColumn id="7" xr3:uid="{C52E743F-9654-49BA-BB50-AD02E79E39CB}" name="div_treatment" dataDxfId="1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23B66-DD64-4B52-A1F6-E049BD827304}">
  <sheetPr codeName="Sheet1"/>
  <dimension ref="A1:D7"/>
  <sheetViews>
    <sheetView workbookViewId="0">
      <selection activeCell="I12" sqref="I12"/>
    </sheetView>
  </sheetViews>
  <sheetFormatPr defaultRowHeight="15" x14ac:dyDescent="0.25"/>
  <cols>
    <col min="1" max="1" width="29.42578125" customWidth="1"/>
    <col min="2" max="2" width="17.28515625" customWidth="1"/>
    <col min="3" max="3" width="11.5703125" bestFit="1" customWidth="1"/>
    <col min="4" max="4" width="19.42578125" customWidth="1"/>
    <col min="13" max="13" width="17" customWidth="1"/>
    <col min="14" max="14" width="17.140625" customWidth="1"/>
  </cols>
  <sheetData>
    <row r="1" spans="1:4" x14ac:dyDescent="0.25">
      <c r="A1" t="s">
        <v>10</v>
      </c>
      <c r="B1" t="s">
        <v>11</v>
      </c>
    </row>
    <row r="2" spans="1:4" x14ac:dyDescent="0.25">
      <c r="A2" t="s">
        <v>73</v>
      </c>
      <c r="B2" t="str" cm="1">
        <f t="array" aca="1" ref="B2" ca="1">_xlfn.TEXTAFTER(CELL("filename",'ANCHOR INPUTS'!C1),"]")</f>
        <v>ANCHOR INPUTS</v>
      </c>
    </row>
    <row r="3" spans="1:4" x14ac:dyDescent="0.25">
      <c r="A3" t="s">
        <v>74</v>
      </c>
      <c r="B3" t="s">
        <v>130</v>
      </c>
    </row>
    <row r="4" spans="1:4" x14ac:dyDescent="0.25">
      <c r="A4" t="s">
        <v>160</v>
      </c>
      <c r="B4" t="s">
        <v>158</v>
      </c>
    </row>
    <row r="5" spans="1:4" x14ac:dyDescent="0.25">
      <c r="A5" t="s">
        <v>159</v>
      </c>
      <c r="B5" t="s">
        <v>35</v>
      </c>
    </row>
    <row r="6" spans="1:4" x14ac:dyDescent="0.25">
      <c r="A6" t="s">
        <v>34</v>
      </c>
      <c r="B6" t="str" cm="1">
        <f t="array" aca="1" ref="B6" ca="1">_xlfn.TEXTAFTER(CELL("filename",'TRADING INPUTS'!C4),"]")</f>
        <v>TRADING INPUTS</v>
      </c>
      <c r="D6" s="24">
        <v>46288.398356481484</v>
      </c>
    </row>
    <row r="7" spans="1:4" x14ac:dyDescent="0.25">
      <c r="A7" t="s">
        <v>75</v>
      </c>
      <c r="B7" t="s">
        <v>35</v>
      </c>
    </row>
  </sheetData>
  <phoneticPr fontId="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A0C6A-C81F-4362-A841-5F39AFD14BA6}">
  <sheetPr codeName="Sheet2"/>
  <dimension ref="A1:R109"/>
  <sheetViews>
    <sheetView zoomScale="85" zoomScaleNormal="85" workbookViewId="0">
      <pane ySplit="1" topLeftCell="A32" activePane="bottomLeft" state="frozen"/>
      <selection pane="bottomLeft" activeCell="A42" sqref="A42:A63"/>
    </sheetView>
  </sheetViews>
  <sheetFormatPr defaultRowHeight="15" customHeight="1" x14ac:dyDescent="0.25"/>
  <cols>
    <col min="1" max="1" width="15.28515625" customWidth="1"/>
    <col min="2" max="2" width="20.28515625" customWidth="1"/>
    <col min="3" max="3" width="14" style="8" bestFit="1" customWidth="1"/>
    <col min="4" max="4" width="14.5703125" style="1" bestFit="1" customWidth="1"/>
    <col min="5" max="5" width="9.42578125" style="1" bestFit="1" customWidth="1"/>
    <col min="6" max="6" width="21.140625" style="1" bestFit="1" customWidth="1"/>
    <col min="7" max="7" width="16" style="1" bestFit="1" customWidth="1"/>
  </cols>
  <sheetData>
    <row r="1" spans="1:12" ht="15" customHeight="1" x14ac:dyDescent="0.25">
      <c r="A1" t="s">
        <v>219</v>
      </c>
      <c r="B1" t="s">
        <v>220</v>
      </c>
      <c r="C1" s="8" t="s">
        <v>2</v>
      </c>
      <c r="D1" t="s">
        <v>1</v>
      </c>
      <c r="E1" t="s">
        <v>89</v>
      </c>
      <c r="F1" s="1" t="s">
        <v>9</v>
      </c>
      <c r="G1" t="s">
        <v>131</v>
      </c>
      <c r="H1" s="1"/>
      <c r="I1" s="233" t="s">
        <v>131</v>
      </c>
      <c r="J1" s="228"/>
      <c r="K1" s="228"/>
      <c r="L1" s="229"/>
    </row>
    <row r="2" spans="1:12" ht="15" customHeight="1" x14ac:dyDescent="0.25">
      <c r="A2" t="s">
        <v>132</v>
      </c>
      <c r="B2" t="s">
        <v>133</v>
      </c>
      <c r="C2" s="8" t="s">
        <v>8</v>
      </c>
      <c r="D2" t="s">
        <v>0</v>
      </c>
      <c r="E2" t="s">
        <v>8</v>
      </c>
      <c r="F2" s="1">
        <v>20</v>
      </c>
      <c r="G2" s="1">
        <v>0</v>
      </c>
      <c r="H2" s="1"/>
      <c r="I2" s="246">
        <v>0</v>
      </c>
      <c r="J2" t="s">
        <v>162</v>
      </c>
      <c r="L2" s="230"/>
    </row>
    <row r="3" spans="1:12" ht="15" customHeight="1" x14ac:dyDescent="0.25">
      <c r="A3" t="s">
        <v>132</v>
      </c>
      <c r="B3" t="s">
        <v>133</v>
      </c>
      <c r="C3" s="8" t="s">
        <v>7</v>
      </c>
      <c r="D3" t="s">
        <v>0</v>
      </c>
      <c r="E3" t="s">
        <v>8</v>
      </c>
      <c r="F3" s="1">
        <v>20</v>
      </c>
      <c r="G3" s="1">
        <v>0</v>
      </c>
      <c r="H3" s="1"/>
      <c r="I3" s="246">
        <v>1</v>
      </c>
      <c r="J3" t="s">
        <v>163</v>
      </c>
      <c r="L3" s="230"/>
    </row>
    <row r="4" spans="1:12" ht="15" customHeight="1" thickBot="1" x14ac:dyDescent="0.3">
      <c r="A4" t="s">
        <v>132</v>
      </c>
      <c r="B4" t="s">
        <v>133</v>
      </c>
      <c r="C4" s="8" t="s">
        <v>5</v>
      </c>
      <c r="D4" t="s">
        <v>0</v>
      </c>
      <c r="E4" t="s">
        <v>8</v>
      </c>
      <c r="F4" s="1">
        <v>20</v>
      </c>
      <c r="G4" s="1">
        <v>0</v>
      </c>
      <c r="H4" s="1"/>
      <c r="I4" s="247">
        <v>2</v>
      </c>
      <c r="J4" s="231" t="s">
        <v>164</v>
      </c>
      <c r="K4" s="231"/>
      <c r="L4" s="232"/>
    </row>
    <row r="5" spans="1:12" ht="15" customHeight="1" x14ac:dyDescent="0.25">
      <c r="A5" t="s">
        <v>132</v>
      </c>
      <c r="B5" t="s">
        <v>133</v>
      </c>
      <c r="C5" s="8" t="s">
        <v>6</v>
      </c>
      <c r="D5" t="s">
        <v>0</v>
      </c>
      <c r="E5" t="s">
        <v>8</v>
      </c>
      <c r="F5" s="1">
        <v>20</v>
      </c>
      <c r="G5" s="1">
        <v>0</v>
      </c>
      <c r="H5" s="1"/>
      <c r="I5" s="1"/>
    </row>
    <row r="6" spans="1:12" ht="15" customHeight="1" x14ac:dyDescent="0.25">
      <c r="A6" t="s">
        <v>132</v>
      </c>
      <c r="B6" t="s">
        <v>146</v>
      </c>
      <c r="C6" s="8" t="s">
        <v>45</v>
      </c>
      <c r="D6" t="s">
        <v>0</v>
      </c>
      <c r="E6" t="s">
        <v>56</v>
      </c>
      <c r="F6" s="1">
        <v>20</v>
      </c>
      <c r="G6" s="1">
        <v>2</v>
      </c>
      <c r="H6" s="1"/>
      <c r="I6" s="1"/>
    </row>
    <row r="7" spans="1:12" ht="15" customHeight="1" x14ac:dyDescent="0.25">
      <c r="A7" t="s">
        <v>132</v>
      </c>
      <c r="B7" t="s">
        <v>146</v>
      </c>
      <c r="C7" s="8" t="s">
        <v>56</v>
      </c>
      <c r="D7" t="s">
        <v>0</v>
      </c>
      <c r="E7" t="s">
        <v>56</v>
      </c>
      <c r="F7" s="1">
        <v>20</v>
      </c>
      <c r="G7" s="1">
        <v>2</v>
      </c>
      <c r="H7" s="1"/>
      <c r="I7" s="1"/>
    </row>
    <row r="8" spans="1:12" ht="15" customHeight="1" x14ac:dyDescent="0.25">
      <c r="A8" t="s">
        <v>132</v>
      </c>
      <c r="B8" t="s">
        <v>138</v>
      </c>
      <c r="C8" s="8" t="s">
        <v>46</v>
      </c>
      <c r="D8" t="s">
        <v>0</v>
      </c>
      <c r="E8" t="s">
        <v>50</v>
      </c>
      <c r="F8" s="1">
        <v>20</v>
      </c>
      <c r="G8" s="1">
        <v>2</v>
      </c>
      <c r="H8" s="1"/>
      <c r="I8" s="1"/>
    </row>
    <row r="9" spans="1:12" ht="15" customHeight="1" x14ac:dyDescent="0.25">
      <c r="A9" t="s">
        <v>132</v>
      </c>
      <c r="B9" t="s">
        <v>138</v>
      </c>
      <c r="C9" s="8" t="s">
        <v>50</v>
      </c>
      <c r="D9" t="s">
        <v>0</v>
      </c>
      <c r="E9" t="s">
        <v>50</v>
      </c>
      <c r="F9" s="1">
        <v>20</v>
      </c>
      <c r="G9" s="1">
        <v>2</v>
      </c>
      <c r="H9" s="1"/>
      <c r="I9" s="1"/>
    </row>
    <row r="10" spans="1:12" ht="15" customHeight="1" x14ac:dyDescent="0.25">
      <c r="A10" t="s">
        <v>132</v>
      </c>
      <c r="B10" t="s">
        <v>135</v>
      </c>
      <c r="C10" s="8" t="s">
        <v>31</v>
      </c>
      <c r="D10" t="s">
        <v>0</v>
      </c>
      <c r="E10" t="s">
        <v>31</v>
      </c>
      <c r="F10" s="1">
        <v>20</v>
      </c>
      <c r="G10" s="1">
        <v>0</v>
      </c>
      <c r="H10" s="1"/>
      <c r="I10" s="1"/>
    </row>
    <row r="11" spans="1:12" ht="15" customHeight="1" x14ac:dyDescent="0.25">
      <c r="A11" t="s">
        <v>132</v>
      </c>
      <c r="B11" t="s">
        <v>135</v>
      </c>
      <c r="C11" s="8" t="s">
        <v>28</v>
      </c>
      <c r="D11" t="s">
        <v>0</v>
      </c>
      <c r="E11" t="s">
        <v>31</v>
      </c>
      <c r="F11" s="1">
        <v>20</v>
      </c>
      <c r="G11" s="1">
        <v>0</v>
      </c>
      <c r="H11" s="1"/>
      <c r="I11" s="1"/>
    </row>
    <row r="12" spans="1:12" ht="15" customHeight="1" x14ac:dyDescent="0.25">
      <c r="A12" t="s">
        <v>132</v>
      </c>
      <c r="B12" t="s">
        <v>135</v>
      </c>
      <c r="C12" s="8" t="s">
        <v>29</v>
      </c>
      <c r="D12" t="s">
        <v>0</v>
      </c>
      <c r="E12" t="s">
        <v>31</v>
      </c>
      <c r="F12" s="1">
        <v>20</v>
      </c>
      <c r="G12" s="1">
        <v>0</v>
      </c>
      <c r="H12" s="1"/>
      <c r="I12" s="1"/>
    </row>
    <row r="13" spans="1:12" ht="15" customHeight="1" x14ac:dyDescent="0.25">
      <c r="A13" t="s">
        <v>132</v>
      </c>
      <c r="B13" t="s">
        <v>135</v>
      </c>
      <c r="C13" s="8" t="s">
        <v>30</v>
      </c>
      <c r="D13" t="s">
        <v>0</v>
      </c>
      <c r="E13" t="s">
        <v>31</v>
      </c>
      <c r="F13" s="1">
        <v>20</v>
      </c>
      <c r="G13" s="1">
        <v>0</v>
      </c>
      <c r="H13" s="1"/>
      <c r="I13" s="1"/>
    </row>
    <row r="14" spans="1:12" ht="15" customHeight="1" x14ac:dyDescent="0.25">
      <c r="A14" t="s">
        <v>132</v>
      </c>
      <c r="B14" t="s">
        <v>136</v>
      </c>
      <c r="C14" s="8" t="s">
        <v>47</v>
      </c>
      <c r="D14" t="s">
        <v>0</v>
      </c>
      <c r="E14" t="s">
        <v>47</v>
      </c>
      <c r="F14" s="1">
        <v>20</v>
      </c>
      <c r="G14" s="1">
        <v>2</v>
      </c>
      <c r="H14" s="1"/>
      <c r="I14" s="1"/>
    </row>
    <row r="15" spans="1:12" ht="15" customHeight="1" x14ac:dyDescent="0.25">
      <c r="A15" t="s">
        <v>132</v>
      </c>
      <c r="B15" t="s">
        <v>136</v>
      </c>
      <c r="C15" s="8" t="s">
        <v>57</v>
      </c>
      <c r="D15" t="s">
        <v>0</v>
      </c>
      <c r="E15" t="s">
        <v>47</v>
      </c>
      <c r="F15" s="1">
        <v>20</v>
      </c>
      <c r="G15" s="1">
        <v>2</v>
      </c>
      <c r="H15" s="1"/>
      <c r="I15" s="1"/>
    </row>
    <row r="16" spans="1:12" ht="15" customHeight="1" x14ac:dyDescent="0.25">
      <c r="A16" t="s">
        <v>132</v>
      </c>
      <c r="B16" t="s">
        <v>134</v>
      </c>
      <c r="C16" s="8" t="s">
        <v>42</v>
      </c>
      <c r="D16" t="s">
        <v>0</v>
      </c>
      <c r="E16" t="s">
        <v>42</v>
      </c>
      <c r="F16" s="1">
        <v>20</v>
      </c>
      <c r="G16" s="1">
        <v>2</v>
      </c>
      <c r="H16" s="1"/>
      <c r="I16" s="1"/>
    </row>
    <row r="17" spans="1:9" ht="15" customHeight="1" x14ac:dyDescent="0.25">
      <c r="A17" t="s">
        <v>132</v>
      </c>
      <c r="B17" t="s">
        <v>134</v>
      </c>
      <c r="C17" s="8" t="s">
        <v>48</v>
      </c>
      <c r="D17" t="s">
        <v>0</v>
      </c>
      <c r="E17" t="s">
        <v>42</v>
      </c>
      <c r="F17" s="1">
        <v>20</v>
      </c>
      <c r="G17" s="1">
        <v>2</v>
      </c>
      <c r="H17" s="1"/>
      <c r="I17" s="1"/>
    </row>
    <row r="18" spans="1:9" ht="15" customHeight="1" x14ac:dyDescent="0.25">
      <c r="A18" t="s">
        <v>132</v>
      </c>
      <c r="B18" t="s">
        <v>140</v>
      </c>
      <c r="C18" s="8" t="s">
        <v>16</v>
      </c>
      <c r="D18" t="s">
        <v>0</v>
      </c>
      <c r="E18" t="s">
        <v>17</v>
      </c>
      <c r="F18" s="1">
        <v>20</v>
      </c>
      <c r="G18" s="1">
        <v>0</v>
      </c>
      <c r="H18" s="1"/>
      <c r="I18" s="1"/>
    </row>
    <row r="19" spans="1:9" ht="15" customHeight="1" x14ac:dyDescent="0.25">
      <c r="A19" t="s">
        <v>132</v>
      </c>
      <c r="B19" t="s">
        <v>140</v>
      </c>
      <c r="C19" s="8" t="s">
        <v>14</v>
      </c>
      <c r="D19" t="s">
        <v>0</v>
      </c>
      <c r="E19" t="s">
        <v>17</v>
      </c>
      <c r="F19" s="1">
        <v>20</v>
      </c>
      <c r="G19" s="1">
        <v>0</v>
      </c>
      <c r="H19" s="1"/>
      <c r="I19" s="1"/>
    </row>
    <row r="20" spans="1:9" ht="15" customHeight="1" x14ac:dyDescent="0.25">
      <c r="A20" t="s">
        <v>132</v>
      </c>
      <c r="B20" t="s">
        <v>140</v>
      </c>
      <c r="C20" s="8" t="s">
        <v>17</v>
      </c>
      <c r="D20" t="s">
        <v>0</v>
      </c>
      <c r="E20" t="s">
        <v>17</v>
      </c>
      <c r="F20" s="1">
        <v>20</v>
      </c>
      <c r="G20" s="1">
        <v>0</v>
      </c>
      <c r="H20" s="1"/>
      <c r="I20" s="1"/>
    </row>
    <row r="21" spans="1:9" ht="15" customHeight="1" x14ac:dyDescent="0.25">
      <c r="A21" t="s">
        <v>132</v>
      </c>
      <c r="B21" t="s">
        <v>140</v>
      </c>
      <c r="C21" s="8" t="s">
        <v>13</v>
      </c>
      <c r="D21" t="s">
        <v>0</v>
      </c>
      <c r="E21" t="s">
        <v>17</v>
      </c>
      <c r="F21" s="1">
        <v>20</v>
      </c>
      <c r="G21" s="1">
        <v>0</v>
      </c>
      <c r="H21" s="1"/>
      <c r="I21" s="1"/>
    </row>
    <row r="22" spans="1:9" ht="15" customHeight="1" x14ac:dyDescent="0.25">
      <c r="A22" t="s">
        <v>132</v>
      </c>
      <c r="B22" t="s">
        <v>140</v>
      </c>
      <c r="C22" s="8" t="s">
        <v>12</v>
      </c>
      <c r="D22" t="s">
        <v>0</v>
      </c>
      <c r="E22" t="s">
        <v>17</v>
      </c>
      <c r="F22" s="1">
        <v>20</v>
      </c>
      <c r="G22" s="1">
        <v>0</v>
      </c>
      <c r="H22" s="1"/>
      <c r="I22" s="1"/>
    </row>
    <row r="23" spans="1:9" ht="15" customHeight="1" x14ac:dyDescent="0.25">
      <c r="A23" t="s">
        <v>132</v>
      </c>
      <c r="B23" t="s">
        <v>140</v>
      </c>
      <c r="C23" s="8" t="s">
        <v>15</v>
      </c>
      <c r="D23" t="s">
        <v>0</v>
      </c>
      <c r="E23" t="s">
        <v>17</v>
      </c>
      <c r="F23" s="1">
        <v>20</v>
      </c>
      <c r="G23" s="1">
        <v>0</v>
      </c>
      <c r="H23" s="1"/>
      <c r="I23" s="1"/>
    </row>
    <row r="24" spans="1:9" ht="15" customHeight="1" x14ac:dyDescent="0.25">
      <c r="A24" t="s">
        <v>132</v>
      </c>
      <c r="B24" t="s">
        <v>137</v>
      </c>
      <c r="C24" s="8" t="s">
        <v>43</v>
      </c>
      <c r="D24" t="s">
        <v>0</v>
      </c>
      <c r="E24" t="s">
        <v>49</v>
      </c>
      <c r="F24" s="1">
        <v>20</v>
      </c>
      <c r="G24" s="1">
        <v>2</v>
      </c>
      <c r="H24" s="1"/>
      <c r="I24" s="1"/>
    </row>
    <row r="25" spans="1:9" ht="15" customHeight="1" x14ac:dyDescent="0.25">
      <c r="A25" t="s">
        <v>132</v>
      </c>
      <c r="B25" t="s">
        <v>137</v>
      </c>
      <c r="C25" s="8" t="s">
        <v>49</v>
      </c>
      <c r="D25" t="s">
        <v>0</v>
      </c>
      <c r="E25" t="s">
        <v>49</v>
      </c>
      <c r="F25" s="1">
        <v>20</v>
      </c>
      <c r="G25" s="1">
        <v>2</v>
      </c>
      <c r="H25" s="1"/>
      <c r="I25" s="1"/>
    </row>
    <row r="26" spans="1:9" ht="15" customHeight="1" x14ac:dyDescent="0.25">
      <c r="A26" t="s">
        <v>132</v>
      </c>
      <c r="B26" t="s">
        <v>139</v>
      </c>
      <c r="C26" s="8" t="s">
        <v>44</v>
      </c>
      <c r="D26" t="s">
        <v>0</v>
      </c>
      <c r="E26" t="s">
        <v>51</v>
      </c>
      <c r="F26" s="1">
        <v>20</v>
      </c>
      <c r="G26" s="1">
        <v>2</v>
      </c>
      <c r="H26" s="1"/>
      <c r="I26" s="1"/>
    </row>
    <row r="27" spans="1:9" ht="15" customHeight="1" x14ac:dyDescent="0.25">
      <c r="A27" t="s">
        <v>132</v>
      </c>
      <c r="B27" t="s">
        <v>139</v>
      </c>
      <c r="C27" s="8" t="s">
        <v>51</v>
      </c>
      <c r="D27" t="s">
        <v>0</v>
      </c>
      <c r="E27" t="s">
        <v>51</v>
      </c>
      <c r="F27" s="1">
        <v>20</v>
      </c>
      <c r="G27" s="1">
        <v>2</v>
      </c>
      <c r="H27" s="1"/>
      <c r="I27" s="1"/>
    </row>
    <row r="28" spans="1:9" ht="15" customHeight="1" x14ac:dyDescent="0.25">
      <c r="A28" t="s">
        <v>132</v>
      </c>
      <c r="B28" t="s">
        <v>144</v>
      </c>
      <c r="C28" s="8" t="s">
        <v>23</v>
      </c>
      <c r="D28" t="s">
        <v>0</v>
      </c>
      <c r="E28" t="s">
        <v>24</v>
      </c>
      <c r="F28" s="1">
        <v>20</v>
      </c>
      <c r="G28" s="1">
        <v>0</v>
      </c>
      <c r="H28" s="1"/>
      <c r="I28" s="1"/>
    </row>
    <row r="29" spans="1:9" ht="15" customHeight="1" x14ac:dyDescent="0.25">
      <c r="A29" t="s">
        <v>132</v>
      </c>
      <c r="B29" t="s">
        <v>144</v>
      </c>
      <c r="C29" s="8" t="s">
        <v>22</v>
      </c>
      <c r="D29" t="s">
        <v>0</v>
      </c>
      <c r="E29" t="s">
        <v>24</v>
      </c>
      <c r="F29" s="1">
        <v>20</v>
      </c>
      <c r="G29" s="1">
        <v>0</v>
      </c>
      <c r="H29" s="1"/>
      <c r="I29" s="1"/>
    </row>
    <row r="30" spans="1:9" ht="15" customHeight="1" x14ac:dyDescent="0.25">
      <c r="A30" t="s">
        <v>132</v>
      </c>
      <c r="B30" t="s">
        <v>144</v>
      </c>
      <c r="C30" s="8" t="s">
        <v>24</v>
      </c>
      <c r="D30" t="s">
        <v>0</v>
      </c>
      <c r="E30" t="s">
        <v>24</v>
      </c>
      <c r="F30" s="1">
        <v>20</v>
      </c>
      <c r="G30" s="1">
        <v>0</v>
      </c>
      <c r="H30" s="1"/>
      <c r="I30" s="1"/>
    </row>
    <row r="31" spans="1:9" ht="15" customHeight="1" x14ac:dyDescent="0.25">
      <c r="A31" t="s">
        <v>132</v>
      </c>
      <c r="B31" t="s">
        <v>145</v>
      </c>
      <c r="C31" s="8" t="s">
        <v>26</v>
      </c>
      <c r="D31" t="s">
        <v>0</v>
      </c>
      <c r="E31" t="s">
        <v>27</v>
      </c>
      <c r="F31" s="1">
        <v>20</v>
      </c>
      <c r="G31" s="1">
        <v>0</v>
      </c>
      <c r="H31" s="1"/>
      <c r="I31" s="1"/>
    </row>
    <row r="32" spans="1:9" ht="15" customHeight="1" x14ac:dyDescent="0.25">
      <c r="A32" t="s">
        <v>132</v>
      </c>
      <c r="B32" t="s">
        <v>145</v>
      </c>
      <c r="C32" s="8" t="s">
        <v>25</v>
      </c>
      <c r="D32" t="s">
        <v>0</v>
      </c>
      <c r="E32" t="s">
        <v>27</v>
      </c>
      <c r="F32" s="1">
        <v>20</v>
      </c>
      <c r="G32" s="1">
        <v>0</v>
      </c>
      <c r="H32" s="1"/>
      <c r="I32" s="1"/>
    </row>
    <row r="33" spans="1:9" ht="15" customHeight="1" x14ac:dyDescent="0.25">
      <c r="A33" t="s">
        <v>132</v>
      </c>
      <c r="B33" t="s">
        <v>145</v>
      </c>
      <c r="C33" s="8" t="s">
        <v>27</v>
      </c>
      <c r="D33" t="s">
        <v>0</v>
      </c>
      <c r="E33" t="s">
        <v>27</v>
      </c>
      <c r="F33" s="1">
        <v>20</v>
      </c>
      <c r="G33" s="1">
        <v>0</v>
      </c>
      <c r="H33" s="1"/>
      <c r="I33" s="1"/>
    </row>
    <row r="34" spans="1:9" ht="15" customHeight="1" x14ac:dyDescent="0.25">
      <c r="A34" t="s">
        <v>132</v>
      </c>
      <c r="B34" t="s">
        <v>141</v>
      </c>
      <c r="C34" s="8" t="s">
        <v>20</v>
      </c>
      <c r="D34" t="s">
        <v>0</v>
      </c>
      <c r="E34" t="s">
        <v>20</v>
      </c>
      <c r="F34" s="1">
        <v>20</v>
      </c>
      <c r="G34" s="1">
        <v>0</v>
      </c>
      <c r="H34" s="1"/>
      <c r="I34" s="1"/>
    </row>
    <row r="35" spans="1:9" ht="15" customHeight="1" x14ac:dyDescent="0.25">
      <c r="A35" t="s">
        <v>132</v>
      </c>
      <c r="B35" t="s">
        <v>141</v>
      </c>
      <c r="C35" s="8" t="s">
        <v>18</v>
      </c>
      <c r="D35" t="s">
        <v>0</v>
      </c>
      <c r="E35" t="s">
        <v>20</v>
      </c>
      <c r="F35" s="1">
        <v>20</v>
      </c>
      <c r="G35" s="1">
        <v>0</v>
      </c>
      <c r="H35" s="1"/>
      <c r="I35" s="1"/>
    </row>
    <row r="36" spans="1:9" ht="15" customHeight="1" x14ac:dyDescent="0.25">
      <c r="A36" t="s">
        <v>132</v>
      </c>
      <c r="B36" t="s">
        <v>141</v>
      </c>
      <c r="C36" s="8" t="s">
        <v>19</v>
      </c>
      <c r="D36" t="s">
        <v>0</v>
      </c>
      <c r="E36" t="s">
        <v>20</v>
      </c>
      <c r="F36" s="1">
        <v>20</v>
      </c>
      <c r="G36" s="1">
        <v>0</v>
      </c>
      <c r="H36" s="1"/>
      <c r="I36" s="1"/>
    </row>
    <row r="37" spans="1:9" ht="15" customHeight="1" x14ac:dyDescent="0.25">
      <c r="A37" t="s">
        <v>132</v>
      </c>
      <c r="B37" t="s">
        <v>142</v>
      </c>
      <c r="C37" s="8" t="s">
        <v>4</v>
      </c>
      <c r="D37" t="s">
        <v>0</v>
      </c>
      <c r="E37" t="s">
        <v>4</v>
      </c>
      <c r="F37" s="1">
        <v>20</v>
      </c>
      <c r="G37" s="1">
        <v>0</v>
      </c>
      <c r="H37" s="1"/>
      <c r="I37" s="1"/>
    </row>
    <row r="38" spans="1:9" ht="15" customHeight="1" x14ac:dyDescent="0.25">
      <c r="A38" t="s">
        <v>132</v>
      </c>
      <c r="B38" t="s">
        <v>142</v>
      </c>
      <c r="C38" s="8" t="s">
        <v>21</v>
      </c>
      <c r="D38" t="s">
        <v>0</v>
      </c>
      <c r="E38" t="s">
        <v>4</v>
      </c>
      <c r="F38" s="1">
        <v>20</v>
      </c>
      <c r="G38" s="1">
        <v>0</v>
      </c>
      <c r="H38" s="1"/>
      <c r="I38" s="1"/>
    </row>
    <row r="39" spans="1:9" ht="15" customHeight="1" x14ac:dyDescent="0.25">
      <c r="A39" t="s">
        <v>132</v>
      </c>
      <c r="B39" t="s">
        <v>142</v>
      </c>
      <c r="C39" s="8" t="s">
        <v>3</v>
      </c>
      <c r="D39" t="s">
        <v>0</v>
      </c>
      <c r="E39" t="s">
        <v>4</v>
      </c>
      <c r="F39" s="1">
        <v>20</v>
      </c>
      <c r="G39" s="1">
        <v>0</v>
      </c>
      <c r="H39" s="1"/>
      <c r="I39" s="1"/>
    </row>
    <row r="40" spans="1:9" ht="15" customHeight="1" x14ac:dyDescent="0.25">
      <c r="A40" t="s">
        <v>132</v>
      </c>
      <c r="B40" t="s">
        <v>143</v>
      </c>
      <c r="C40" s="8" t="s">
        <v>52</v>
      </c>
      <c r="D40" t="s">
        <v>0</v>
      </c>
      <c r="E40" t="s">
        <v>52</v>
      </c>
      <c r="F40" s="1">
        <v>20</v>
      </c>
      <c r="G40" s="1">
        <v>2</v>
      </c>
      <c r="H40" s="1"/>
      <c r="I40" s="1"/>
    </row>
    <row r="41" spans="1:9" ht="15" customHeight="1" x14ac:dyDescent="0.25">
      <c r="A41" t="s">
        <v>132</v>
      </c>
      <c r="B41" t="s">
        <v>143</v>
      </c>
      <c r="C41" s="8" t="s">
        <v>53</v>
      </c>
      <c r="D41" t="s">
        <v>0</v>
      </c>
      <c r="E41" t="s">
        <v>52</v>
      </c>
      <c r="F41" s="1">
        <v>20</v>
      </c>
      <c r="G41" s="1">
        <v>2</v>
      </c>
      <c r="H41" s="1"/>
      <c r="I41" s="1"/>
    </row>
    <row r="42" spans="1:9" ht="15" customHeight="1" x14ac:dyDescent="0.25">
      <c r="A42" t="s">
        <v>135</v>
      </c>
      <c r="B42" s="128" t="s">
        <v>182</v>
      </c>
      <c r="C42" s="8" t="s">
        <v>183</v>
      </c>
      <c r="D42" t="s">
        <v>0</v>
      </c>
      <c r="E42" t="s">
        <v>183</v>
      </c>
      <c r="F42" s="1">
        <v>20</v>
      </c>
      <c r="G42" s="1">
        <v>0</v>
      </c>
      <c r="H42" s="1"/>
      <c r="I42" s="1"/>
    </row>
    <row r="43" spans="1:9" ht="15" customHeight="1" x14ac:dyDescent="0.25">
      <c r="A43" t="s">
        <v>135</v>
      </c>
      <c r="B43" s="128" t="s">
        <v>182</v>
      </c>
      <c r="C43" s="8" t="s">
        <v>184</v>
      </c>
      <c r="D43" t="s">
        <v>0</v>
      </c>
      <c r="E43" t="s">
        <v>183</v>
      </c>
      <c r="F43" s="1">
        <v>20</v>
      </c>
      <c r="G43" s="1">
        <v>0</v>
      </c>
      <c r="H43" s="1"/>
      <c r="I43" s="1"/>
    </row>
    <row r="44" spans="1:9" ht="15" customHeight="1" x14ac:dyDescent="0.25">
      <c r="A44" t="s">
        <v>135</v>
      </c>
      <c r="B44" s="128" t="s">
        <v>178</v>
      </c>
      <c r="C44" s="8" t="s">
        <v>168</v>
      </c>
      <c r="D44" t="s">
        <v>0</v>
      </c>
      <c r="E44" t="s">
        <v>169</v>
      </c>
      <c r="F44" s="1">
        <v>20</v>
      </c>
      <c r="G44" s="1">
        <v>0</v>
      </c>
      <c r="H44" s="1"/>
      <c r="I44" s="1"/>
    </row>
    <row r="45" spans="1:9" ht="15" customHeight="1" x14ac:dyDescent="0.25">
      <c r="A45" t="s">
        <v>135</v>
      </c>
      <c r="B45" s="128" t="s">
        <v>178</v>
      </c>
      <c r="C45" s="8" t="s">
        <v>169</v>
      </c>
      <c r="D45" t="s">
        <v>0</v>
      </c>
      <c r="E45" t="s">
        <v>169</v>
      </c>
      <c r="F45" s="1">
        <v>20</v>
      </c>
      <c r="G45" s="1">
        <v>0</v>
      </c>
      <c r="H45" s="1"/>
      <c r="I45" s="1"/>
    </row>
    <row r="46" spans="1:9" ht="15" customHeight="1" x14ac:dyDescent="0.25">
      <c r="A46" t="s">
        <v>135</v>
      </c>
      <c r="B46" s="128" t="s">
        <v>177</v>
      </c>
      <c r="C46" s="8" t="s">
        <v>166</v>
      </c>
      <c r="D46" t="s">
        <v>0</v>
      </c>
      <c r="E46" t="s">
        <v>167</v>
      </c>
      <c r="F46" s="1">
        <v>20</v>
      </c>
      <c r="G46" s="1">
        <v>0</v>
      </c>
      <c r="H46" s="1"/>
      <c r="I46" s="1"/>
    </row>
    <row r="47" spans="1:9" ht="15" customHeight="1" x14ac:dyDescent="0.25">
      <c r="A47" t="s">
        <v>135</v>
      </c>
      <c r="B47" s="128" t="s">
        <v>177</v>
      </c>
      <c r="C47" s="8" t="s">
        <v>167</v>
      </c>
      <c r="D47" t="s">
        <v>0</v>
      </c>
      <c r="E47" t="s">
        <v>167</v>
      </c>
      <c r="F47" s="1">
        <v>20</v>
      </c>
      <c r="G47" s="1">
        <v>0</v>
      </c>
      <c r="H47" s="1"/>
      <c r="I47" s="1"/>
    </row>
    <row r="48" spans="1:9" ht="15" customHeight="1" x14ac:dyDescent="0.25">
      <c r="A48" t="s">
        <v>135</v>
      </c>
      <c r="B48" s="128" t="s">
        <v>180</v>
      </c>
      <c r="C48" s="8" t="s">
        <v>172</v>
      </c>
      <c r="D48" t="s">
        <v>0</v>
      </c>
      <c r="E48" t="s">
        <v>172</v>
      </c>
      <c r="F48" s="1">
        <v>20</v>
      </c>
      <c r="G48" s="1">
        <v>0</v>
      </c>
      <c r="H48" s="1"/>
      <c r="I48" s="1"/>
    </row>
    <row r="49" spans="1:18" ht="15" customHeight="1" x14ac:dyDescent="0.25">
      <c r="A49" t="s">
        <v>135</v>
      </c>
      <c r="B49" s="128" t="s">
        <v>180</v>
      </c>
      <c r="C49" s="8" t="s">
        <v>181</v>
      </c>
      <c r="D49" t="s">
        <v>0</v>
      </c>
      <c r="E49" t="s">
        <v>172</v>
      </c>
      <c r="F49" s="1">
        <v>20</v>
      </c>
      <c r="G49" s="1">
        <v>0</v>
      </c>
      <c r="H49" s="1"/>
      <c r="I49" s="1"/>
    </row>
    <row r="50" spans="1:18" ht="15" customHeight="1" x14ac:dyDescent="0.25">
      <c r="A50" t="s">
        <v>135</v>
      </c>
      <c r="B50" s="128" t="s">
        <v>179</v>
      </c>
      <c r="C50" s="8" t="s">
        <v>170</v>
      </c>
      <c r="D50" t="s">
        <v>0</v>
      </c>
      <c r="E50" t="s">
        <v>170</v>
      </c>
      <c r="F50" s="1">
        <v>20</v>
      </c>
      <c r="G50" s="1">
        <v>0</v>
      </c>
      <c r="H50" s="1"/>
      <c r="I50" s="1"/>
    </row>
    <row r="51" spans="1:18" ht="15" customHeight="1" x14ac:dyDescent="0.25">
      <c r="A51" t="s">
        <v>135</v>
      </c>
      <c r="B51" s="128" t="s">
        <v>179</v>
      </c>
      <c r="C51" s="8" t="s">
        <v>171</v>
      </c>
      <c r="D51" t="s">
        <v>0</v>
      </c>
      <c r="E51" t="s">
        <v>170</v>
      </c>
      <c r="F51" s="1">
        <v>20</v>
      </c>
      <c r="G51" s="1">
        <v>0</v>
      </c>
      <c r="H51" s="1"/>
      <c r="I51" s="1"/>
    </row>
    <row r="52" spans="1:18" ht="15" customHeight="1" x14ac:dyDescent="0.25">
      <c r="A52" t="s">
        <v>135</v>
      </c>
      <c r="B52" s="128" t="s">
        <v>250</v>
      </c>
      <c r="C52" s="8" t="s">
        <v>248</v>
      </c>
      <c r="D52" t="s">
        <v>0</v>
      </c>
      <c r="E52" t="s">
        <v>249</v>
      </c>
      <c r="F52" s="1">
        <v>20</v>
      </c>
      <c r="G52" s="1">
        <v>0</v>
      </c>
      <c r="H52" s="1"/>
      <c r="I52" s="1"/>
    </row>
    <row r="53" spans="1:18" ht="15" customHeight="1" x14ac:dyDescent="0.25">
      <c r="A53" t="s">
        <v>135</v>
      </c>
      <c r="B53" s="128" t="s">
        <v>250</v>
      </c>
      <c r="C53" s="8" t="s">
        <v>249</v>
      </c>
      <c r="D53" t="s">
        <v>0</v>
      </c>
      <c r="E53" t="s">
        <v>249</v>
      </c>
      <c r="F53" s="1">
        <v>20</v>
      </c>
      <c r="G53" s="1">
        <v>0</v>
      </c>
      <c r="H53" s="1"/>
      <c r="I53" s="1"/>
    </row>
    <row r="54" spans="1:18" ht="15" customHeight="1" x14ac:dyDescent="0.25">
      <c r="A54" t="s">
        <v>135</v>
      </c>
      <c r="B54" s="128" t="s">
        <v>251</v>
      </c>
      <c r="C54" s="8" t="s">
        <v>252</v>
      </c>
      <c r="D54" t="s">
        <v>0</v>
      </c>
      <c r="E54" t="s">
        <v>252</v>
      </c>
      <c r="F54" s="1">
        <v>20</v>
      </c>
      <c r="G54" s="1">
        <v>0</v>
      </c>
      <c r="H54" s="1"/>
      <c r="I54" s="1"/>
    </row>
    <row r="55" spans="1:18" ht="15" customHeight="1" x14ac:dyDescent="0.25">
      <c r="A55" t="s">
        <v>135</v>
      </c>
      <c r="B55" s="128" t="s">
        <v>251</v>
      </c>
      <c r="C55" s="8" t="s">
        <v>253</v>
      </c>
      <c r="D55" t="s">
        <v>0</v>
      </c>
      <c r="E55" t="s">
        <v>252</v>
      </c>
      <c r="F55" s="1">
        <v>20</v>
      </c>
      <c r="G55" s="1">
        <v>0</v>
      </c>
      <c r="H55" s="1"/>
      <c r="I55" s="1"/>
    </row>
    <row r="56" spans="1:18" ht="15" customHeight="1" x14ac:dyDescent="0.25">
      <c r="A56" t="s">
        <v>135</v>
      </c>
      <c r="B56" s="128" t="s">
        <v>254</v>
      </c>
      <c r="C56" s="8" t="s">
        <v>255</v>
      </c>
      <c r="D56" t="s">
        <v>0</v>
      </c>
      <c r="E56" t="s">
        <v>256</v>
      </c>
      <c r="F56" s="1">
        <v>20</v>
      </c>
      <c r="G56" s="1">
        <v>0</v>
      </c>
      <c r="H56" s="1"/>
      <c r="I56" s="1"/>
    </row>
    <row r="57" spans="1:18" ht="15" customHeight="1" x14ac:dyDescent="0.25">
      <c r="A57" t="s">
        <v>135</v>
      </c>
      <c r="B57" s="128" t="s">
        <v>254</v>
      </c>
      <c r="C57" s="8" t="s">
        <v>256</v>
      </c>
      <c r="D57" t="s">
        <v>0</v>
      </c>
      <c r="E57" t="s">
        <v>256</v>
      </c>
      <c r="F57" s="1">
        <v>20</v>
      </c>
      <c r="G57" s="1">
        <v>0</v>
      </c>
      <c r="H57" s="1"/>
      <c r="I57" s="1"/>
    </row>
    <row r="58" spans="1:18" ht="15" customHeight="1" x14ac:dyDescent="0.25">
      <c r="A58" t="s">
        <v>135</v>
      </c>
      <c r="B58" s="128" t="s">
        <v>257</v>
      </c>
      <c r="C58" s="8" t="s">
        <v>258</v>
      </c>
      <c r="D58" t="s">
        <v>0</v>
      </c>
      <c r="E58" t="s">
        <v>258</v>
      </c>
      <c r="F58" s="1">
        <v>20</v>
      </c>
      <c r="G58" s="1">
        <v>0</v>
      </c>
      <c r="H58" s="1"/>
      <c r="I58" s="1"/>
    </row>
    <row r="59" spans="1:18" ht="15" customHeight="1" x14ac:dyDescent="0.25">
      <c r="A59" t="s">
        <v>135</v>
      </c>
      <c r="B59" s="128" t="s">
        <v>257</v>
      </c>
      <c r="C59" s="8" t="s">
        <v>259</v>
      </c>
      <c r="D59" t="s">
        <v>0</v>
      </c>
      <c r="E59" t="s">
        <v>258</v>
      </c>
      <c r="F59" s="1">
        <v>20</v>
      </c>
      <c r="G59" s="1">
        <v>0</v>
      </c>
      <c r="H59" s="1"/>
      <c r="I59" s="1"/>
    </row>
    <row r="60" spans="1:18" ht="15" customHeight="1" x14ac:dyDescent="0.25">
      <c r="A60" t="s">
        <v>135</v>
      </c>
      <c r="B60" s="128" t="s">
        <v>260</v>
      </c>
      <c r="C60" s="8" t="s">
        <v>261</v>
      </c>
      <c r="D60" t="s">
        <v>0</v>
      </c>
      <c r="E60" t="s">
        <v>261</v>
      </c>
      <c r="F60" s="1">
        <v>20</v>
      </c>
      <c r="G60" s="1">
        <v>0</v>
      </c>
      <c r="H60" s="1"/>
      <c r="I60" s="1"/>
    </row>
    <row r="61" spans="1:18" ht="15" customHeight="1" x14ac:dyDescent="0.25">
      <c r="A61" t="s">
        <v>135</v>
      </c>
      <c r="B61" s="128" t="s">
        <v>260</v>
      </c>
      <c r="C61" s="8" t="s">
        <v>262</v>
      </c>
      <c r="D61" t="s">
        <v>0</v>
      </c>
      <c r="E61" t="s">
        <v>261</v>
      </c>
      <c r="F61" s="1">
        <v>20</v>
      </c>
      <c r="G61" s="1">
        <v>0</v>
      </c>
      <c r="H61" s="1"/>
      <c r="I61" s="1"/>
    </row>
    <row r="62" spans="1:18" ht="15" customHeight="1" x14ac:dyDescent="0.25">
      <c r="A62" t="s">
        <v>135</v>
      </c>
      <c r="B62" s="128" t="s">
        <v>283</v>
      </c>
      <c r="C62" s="8" t="s">
        <v>281</v>
      </c>
      <c r="D62" t="s">
        <v>0</v>
      </c>
      <c r="E62" t="s">
        <v>282</v>
      </c>
      <c r="F62" s="1">
        <v>20</v>
      </c>
      <c r="G62" s="1">
        <v>0</v>
      </c>
      <c r="H62" s="1"/>
      <c r="I62" s="1"/>
    </row>
    <row r="63" spans="1:18" ht="15" customHeight="1" x14ac:dyDescent="0.25">
      <c r="A63" t="s">
        <v>135</v>
      </c>
      <c r="B63" s="128" t="s">
        <v>283</v>
      </c>
      <c r="C63" s="8" t="s">
        <v>282</v>
      </c>
      <c r="D63" t="s">
        <v>0</v>
      </c>
      <c r="E63" t="s">
        <v>282</v>
      </c>
      <c r="F63" s="1">
        <v>20</v>
      </c>
      <c r="G63" s="1">
        <v>0</v>
      </c>
      <c r="H63" s="1"/>
      <c r="I63" s="1"/>
    </row>
    <row r="64" spans="1:18" ht="15" customHeight="1" x14ac:dyDescent="0.25">
      <c r="A64" t="s">
        <v>118</v>
      </c>
      <c r="B64" s="128" t="s">
        <v>125</v>
      </c>
      <c r="C64" s="8" t="s">
        <v>173</v>
      </c>
      <c r="D64" t="s">
        <v>0</v>
      </c>
      <c r="E64" t="s">
        <v>176</v>
      </c>
      <c r="F64" s="1">
        <v>20</v>
      </c>
      <c r="G64" s="1">
        <v>1</v>
      </c>
      <c r="H64" s="1"/>
      <c r="I64" s="1"/>
      <c r="L64" s="1"/>
      <c r="M64" s="1"/>
      <c r="N64" s="1"/>
      <c r="O64" s="1"/>
      <c r="P64" s="1"/>
      <c r="Q64" s="1"/>
      <c r="R64" s="1"/>
    </row>
    <row r="65" spans="1:9" ht="15" customHeight="1" x14ac:dyDescent="0.25">
      <c r="A65" t="s">
        <v>118</v>
      </c>
      <c r="B65" s="128" t="s">
        <v>125</v>
      </c>
      <c r="C65" s="8" t="s">
        <v>176</v>
      </c>
      <c r="D65" t="s">
        <v>0</v>
      </c>
      <c r="E65" t="s">
        <v>176</v>
      </c>
      <c r="F65" s="1">
        <v>20</v>
      </c>
      <c r="G65" s="1">
        <v>1</v>
      </c>
      <c r="H65" s="1"/>
      <c r="I65" s="1"/>
    </row>
    <row r="66" spans="1:9" ht="15" customHeight="1" x14ac:dyDescent="0.25">
      <c r="A66" t="s">
        <v>118</v>
      </c>
      <c r="B66" s="128" t="s">
        <v>125</v>
      </c>
      <c r="C66" s="8" t="s">
        <v>174</v>
      </c>
      <c r="D66" t="s">
        <v>0</v>
      </c>
      <c r="E66" t="s">
        <v>175</v>
      </c>
      <c r="F66" s="1">
        <v>20</v>
      </c>
      <c r="G66" s="1">
        <v>1</v>
      </c>
      <c r="H66" s="1"/>
      <c r="I66" s="1"/>
    </row>
    <row r="67" spans="1:9" ht="15" customHeight="1" x14ac:dyDescent="0.25">
      <c r="A67" t="s">
        <v>118</v>
      </c>
      <c r="B67" s="128" t="s">
        <v>125</v>
      </c>
      <c r="C67" s="8" t="s">
        <v>175</v>
      </c>
      <c r="D67" t="s">
        <v>0</v>
      </c>
      <c r="E67" t="s">
        <v>175</v>
      </c>
      <c r="F67" s="1">
        <v>20</v>
      </c>
      <c r="G67" s="1">
        <v>1</v>
      </c>
      <c r="H67" s="1"/>
      <c r="I67" s="1"/>
    </row>
    <row r="68" spans="1:9" ht="15" customHeight="1" x14ac:dyDescent="0.25">
      <c r="A68" t="s">
        <v>118</v>
      </c>
      <c r="B68" s="128" t="s">
        <v>122</v>
      </c>
      <c r="C68" s="8" t="s">
        <v>94</v>
      </c>
      <c r="D68" t="s">
        <v>0</v>
      </c>
      <c r="E68" t="s">
        <v>94</v>
      </c>
      <c r="F68" s="1">
        <v>20</v>
      </c>
      <c r="G68" s="1">
        <v>1</v>
      </c>
      <c r="H68" s="1"/>
      <c r="I68" s="1"/>
    </row>
    <row r="69" spans="1:9" ht="15" customHeight="1" x14ac:dyDescent="0.25">
      <c r="A69" t="s">
        <v>118</v>
      </c>
      <c r="B69" s="128" t="s">
        <v>122</v>
      </c>
      <c r="C69" s="8" t="s">
        <v>96</v>
      </c>
      <c r="D69" t="s">
        <v>0</v>
      </c>
      <c r="E69" t="s">
        <v>94</v>
      </c>
      <c r="F69" s="1">
        <v>20</v>
      </c>
      <c r="G69" s="1">
        <v>1</v>
      </c>
      <c r="H69" s="1"/>
      <c r="I69" s="1"/>
    </row>
    <row r="70" spans="1:9" ht="15" customHeight="1" x14ac:dyDescent="0.25">
      <c r="A70" t="s">
        <v>118</v>
      </c>
      <c r="B70" s="128" t="s">
        <v>122</v>
      </c>
      <c r="C70" s="8" t="s">
        <v>93</v>
      </c>
      <c r="D70" t="s">
        <v>0</v>
      </c>
      <c r="E70" t="s">
        <v>95</v>
      </c>
      <c r="F70" s="1">
        <v>20</v>
      </c>
      <c r="G70" s="1">
        <v>1</v>
      </c>
      <c r="H70" s="1"/>
      <c r="I70" s="1"/>
    </row>
    <row r="71" spans="1:9" ht="15" customHeight="1" x14ac:dyDescent="0.25">
      <c r="A71" t="s">
        <v>118</v>
      </c>
      <c r="B71" s="128" t="s">
        <v>122</v>
      </c>
      <c r="C71" s="8" t="s">
        <v>95</v>
      </c>
      <c r="D71" t="s">
        <v>0</v>
      </c>
      <c r="E71" t="s">
        <v>95</v>
      </c>
      <c r="F71" s="1">
        <v>20</v>
      </c>
      <c r="G71" s="1">
        <v>1</v>
      </c>
      <c r="H71" s="1"/>
      <c r="I71" s="1"/>
    </row>
    <row r="72" spans="1:9" ht="15" customHeight="1" x14ac:dyDescent="0.25">
      <c r="A72" t="s">
        <v>118</v>
      </c>
      <c r="B72" s="128" t="s">
        <v>124</v>
      </c>
      <c r="C72" s="8" t="s">
        <v>97</v>
      </c>
      <c r="D72" t="s">
        <v>0</v>
      </c>
      <c r="E72" t="s">
        <v>97</v>
      </c>
      <c r="F72" s="1">
        <v>20</v>
      </c>
      <c r="G72" s="1">
        <v>1</v>
      </c>
      <c r="H72" s="1"/>
      <c r="I72" s="1"/>
    </row>
    <row r="73" spans="1:9" ht="15" customHeight="1" x14ac:dyDescent="0.25">
      <c r="A73" t="s">
        <v>118</v>
      </c>
      <c r="B73" s="128" t="s">
        <v>124</v>
      </c>
      <c r="C73" s="8" t="s">
        <v>99</v>
      </c>
      <c r="D73" t="s">
        <v>0</v>
      </c>
      <c r="E73" t="s">
        <v>97</v>
      </c>
      <c r="F73" s="1">
        <v>20</v>
      </c>
      <c r="G73" s="1">
        <v>1</v>
      </c>
      <c r="H73" s="1"/>
      <c r="I73" s="1"/>
    </row>
    <row r="74" spans="1:9" ht="15" customHeight="1" x14ac:dyDescent="0.25">
      <c r="A74" s="128" t="s">
        <v>118</v>
      </c>
      <c r="B74" s="128" t="s">
        <v>124</v>
      </c>
      <c r="C74" s="8" t="s">
        <v>126</v>
      </c>
      <c r="D74" s="128" t="s">
        <v>0</v>
      </c>
      <c r="E74" t="s">
        <v>98</v>
      </c>
      <c r="F74" s="1">
        <v>20</v>
      </c>
      <c r="G74" s="1">
        <v>1</v>
      </c>
      <c r="H74" s="1"/>
      <c r="I74" s="1"/>
    </row>
    <row r="75" spans="1:9" ht="15" customHeight="1" x14ac:dyDescent="0.25">
      <c r="A75" s="128" t="s">
        <v>118</v>
      </c>
      <c r="B75" s="128" t="s">
        <v>124</v>
      </c>
      <c r="C75" s="8" t="s">
        <v>98</v>
      </c>
      <c r="D75" s="128" t="s">
        <v>0</v>
      </c>
      <c r="E75" t="s">
        <v>98</v>
      </c>
      <c r="F75" s="1">
        <v>20</v>
      </c>
      <c r="G75" s="1">
        <v>1</v>
      </c>
      <c r="H75" s="1"/>
      <c r="I75" s="1"/>
    </row>
    <row r="76" spans="1:9" ht="15" customHeight="1" x14ac:dyDescent="0.25">
      <c r="A76" t="s">
        <v>118</v>
      </c>
      <c r="B76" s="128" t="s">
        <v>123</v>
      </c>
      <c r="C76" s="8" t="s">
        <v>100</v>
      </c>
      <c r="D76" t="s">
        <v>0</v>
      </c>
      <c r="E76" t="s">
        <v>102</v>
      </c>
      <c r="F76" s="1">
        <v>20</v>
      </c>
      <c r="G76" s="1">
        <v>1</v>
      </c>
      <c r="H76" s="1"/>
      <c r="I76" s="1"/>
    </row>
    <row r="77" spans="1:9" ht="15" customHeight="1" x14ac:dyDescent="0.25">
      <c r="A77" t="s">
        <v>118</v>
      </c>
      <c r="B77" s="128" t="s">
        <v>123</v>
      </c>
      <c r="C77" s="8" t="s">
        <v>102</v>
      </c>
      <c r="D77" t="s">
        <v>0</v>
      </c>
      <c r="E77" t="s">
        <v>102</v>
      </c>
      <c r="F77" s="1">
        <v>20</v>
      </c>
      <c r="G77" s="1">
        <v>1</v>
      </c>
    </row>
    <row r="78" spans="1:9" ht="15" customHeight="1" x14ac:dyDescent="0.25">
      <c r="A78" t="s">
        <v>118</v>
      </c>
      <c r="B78" s="128" t="s">
        <v>123</v>
      </c>
      <c r="C78" s="8" t="s">
        <v>101</v>
      </c>
      <c r="D78" t="s">
        <v>0</v>
      </c>
      <c r="E78" t="s">
        <v>103</v>
      </c>
      <c r="F78" s="1">
        <v>20</v>
      </c>
      <c r="G78" s="1">
        <v>1</v>
      </c>
      <c r="H78" s="1"/>
      <c r="I78" s="1"/>
    </row>
    <row r="79" spans="1:9" ht="15" customHeight="1" x14ac:dyDescent="0.25">
      <c r="A79" t="s">
        <v>118</v>
      </c>
      <c r="B79" s="128" t="s">
        <v>123</v>
      </c>
      <c r="C79" s="8" t="s">
        <v>103</v>
      </c>
      <c r="D79" t="s">
        <v>0</v>
      </c>
      <c r="E79" t="s">
        <v>103</v>
      </c>
      <c r="F79" s="1">
        <v>20</v>
      </c>
      <c r="G79" s="1">
        <v>1</v>
      </c>
      <c r="H79" s="1"/>
      <c r="I79" s="1"/>
    </row>
    <row r="80" spans="1:9" ht="15" customHeight="1" x14ac:dyDescent="0.25">
      <c r="A80" s="128" t="s">
        <v>118</v>
      </c>
      <c r="B80" s="128" t="s">
        <v>151</v>
      </c>
      <c r="C80" s="8" t="s">
        <v>104</v>
      </c>
      <c r="D80" s="128" t="s">
        <v>0</v>
      </c>
      <c r="E80" t="s">
        <v>127</v>
      </c>
      <c r="F80" s="1">
        <v>20</v>
      </c>
      <c r="G80" s="1">
        <v>1</v>
      </c>
      <c r="H80" s="1"/>
      <c r="I80" s="1"/>
    </row>
    <row r="81" spans="1:9" ht="15" customHeight="1" x14ac:dyDescent="0.25">
      <c r="A81" s="128" t="s">
        <v>118</v>
      </c>
      <c r="B81" s="128" t="s">
        <v>151</v>
      </c>
      <c r="C81" s="8" t="s">
        <v>127</v>
      </c>
      <c r="D81" s="128" t="s">
        <v>0</v>
      </c>
      <c r="E81" t="s">
        <v>127</v>
      </c>
      <c r="F81" s="1">
        <v>20</v>
      </c>
      <c r="G81" s="1">
        <v>1</v>
      </c>
    </row>
    <row r="82" spans="1:9" ht="15" customHeight="1" x14ac:dyDescent="0.25">
      <c r="A82" s="128" t="s">
        <v>118</v>
      </c>
      <c r="B82" s="128" t="s">
        <v>151</v>
      </c>
      <c r="C82" s="8" t="s">
        <v>128</v>
      </c>
      <c r="D82" t="s">
        <v>0</v>
      </c>
      <c r="E82" t="s">
        <v>105</v>
      </c>
      <c r="F82" s="1">
        <v>20</v>
      </c>
      <c r="G82" s="1">
        <v>1</v>
      </c>
      <c r="H82" s="1"/>
      <c r="I82" s="1"/>
    </row>
    <row r="83" spans="1:9" ht="15" customHeight="1" x14ac:dyDescent="0.25">
      <c r="A83" s="128" t="s">
        <v>118</v>
      </c>
      <c r="B83" s="128" t="s">
        <v>151</v>
      </c>
      <c r="C83" s="8" t="s">
        <v>105</v>
      </c>
      <c r="D83" t="s">
        <v>0</v>
      </c>
      <c r="E83" t="s">
        <v>105</v>
      </c>
      <c r="F83" s="1">
        <v>20</v>
      </c>
      <c r="G83" s="1">
        <v>1</v>
      </c>
      <c r="H83" s="1"/>
      <c r="I83" s="1"/>
    </row>
    <row r="84" spans="1:9" ht="15" customHeight="1" x14ac:dyDescent="0.25">
      <c r="A84" t="s">
        <v>118</v>
      </c>
      <c r="B84" s="128" t="s">
        <v>121</v>
      </c>
      <c r="C84" s="8" t="s">
        <v>107</v>
      </c>
      <c r="D84" t="s">
        <v>0</v>
      </c>
      <c r="E84" t="s">
        <v>107</v>
      </c>
      <c r="F84" s="1">
        <v>20</v>
      </c>
      <c r="G84" s="1">
        <v>1</v>
      </c>
      <c r="H84" s="1"/>
      <c r="I84" s="1"/>
    </row>
    <row r="85" spans="1:9" ht="15" customHeight="1" x14ac:dyDescent="0.25">
      <c r="A85" t="s">
        <v>118</v>
      </c>
      <c r="B85" s="128" t="s">
        <v>121</v>
      </c>
      <c r="C85" s="8" t="s">
        <v>109</v>
      </c>
      <c r="D85" t="s">
        <v>0</v>
      </c>
      <c r="E85" t="s">
        <v>107</v>
      </c>
      <c r="F85" s="1">
        <v>20</v>
      </c>
      <c r="G85" s="1">
        <v>1</v>
      </c>
      <c r="H85" s="1"/>
      <c r="I85" s="1"/>
    </row>
    <row r="86" spans="1:9" ht="15" customHeight="1" x14ac:dyDescent="0.25">
      <c r="A86" t="s">
        <v>118</v>
      </c>
      <c r="B86" s="128" t="s">
        <v>121</v>
      </c>
      <c r="C86" s="8" t="s">
        <v>106</v>
      </c>
      <c r="D86" t="s">
        <v>0</v>
      </c>
      <c r="E86" t="s">
        <v>108</v>
      </c>
      <c r="F86" s="1">
        <v>20</v>
      </c>
      <c r="G86" s="1">
        <v>1</v>
      </c>
      <c r="H86" s="1"/>
      <c r="I86" s="1"/>
    </row>
    <row r="87" spans="1:9" ht="15" customHeight="1" x14ac:dyDescent="0.25">
      <c r="A87" t="s">
        <v>118</v>
      </c>
      <c r="B87" s="128" t="s">
        <v>121</v>
      </c>
      <c r="C87" s="8" t="s">
        <v>108</v>
      </c>
      <c r="D87" t="s">
        <v>0</v>
      </c>
      <c r="E87" t="s">
        <v>108</v>
      </c>
      <c r="F87" s="1">
        <v>20</v>
      </c>
      <c r="G87" s="1">
        <v>1</v>
      </c>
      <c r="H87" s="1"/>
      <c r="I87" s="1"/>
    </row>
    <row r="88" spans="1:9" ht="15" customHeight="1" x14ac:dyDescent="0.25">
      <c r="A88" t="s">
        <v>118</v>
      </c>
      <c r="B88" s="128" t="s">
        <v>119</v>
      </c>
      <c r="C88" s="8" t="s">
        <v>90</v>
      </c>
      <c r="D88" t="s">
        <v>0</v>
      </c>
      <c r="E88" t="s">
        <v>91</v>
      </c>
      <c r="F88" s="1">
        <v>20</v>
      </c>
      <c r="G88" s="1">
        <v>1</v>
      </c>
      <c r="H88" s="1"/>
      <c r="I88" s="1"/>
    </row>
    <row r="89" spans="1:9" ht="15" customHeight="1" x14ac:dyDescent="0.25">
      <c r="A89" t="s">
        <v>118</v>
      </c>
      <c r="B89" s="128" t="s">
        <v>119</v>
      </c>
      <c r="C89" s="8" t="s">
        <v>91</v>
      </c>
      <c r="D89" t="s">
        <v>0</v>
      </c>
      <c r="E89" t="s">
        <v>91</v>
      </c>
      <c r="F89" s="1">
        <v>20</v>
      </c>
      <c r="G89" s="1">
        <v>1</v>
      </c>
      <c r="H89" s="1"/>
      <c r="I89" s="1"/>
    </row>
    <row r="90" spans="1:9" ht="15" customHeight="1" x14ac:dyDescent="0.25">
      <c r="A90" s="128" t="s">
        <v>118</v>
      </c>
      <c r="B90" s="128" t="s">
        <v>119</v>
      </c>
      <c r="C90" s="8" t="s">
        <v>129</v>
      </c>
      <c r="D90" t="s">
        <v>0</v>
      </c>
      <c r="E90" t="s">
        <v>92</v>
      </c>
      <c r="F90" s="1">
        <v>20</v>
      </c>
      <c r="G90" s="1">
        <v>1</v>
      </c>
      <c r="H90" s="1"/>
      <c r="I90" s="1"/>
    </row>
    <row r="91" spans="1:9" ht="15" customHeight="1" x14ac:dyDescent="0.25">
      <c r="A91" s="128" t="s">
        <v>118</v>
      </c>
      <c r="B91" s="128" t="s">
        <v>119</v>
      </c>
      <c r="C91" s="8" t="s">
        <v>92</v>
      </c>
      <c r="D91" t="s">
        <v>0</v>
      </c>
      <c r="E91" t="s">
        <v>92</v>
      </c>
      <c r="F91" s="1">
        <v>20</v>
      </c>
      <c r="G91" s="1">
        <v>1</v>
      </c>
      <c r="H91" s="1"/>
      <c r="I91" s="1"/>
    </row>
    <row r="92" spans="1:9" ht="15" customHeight="1" x14ac:dyDescent="0.25">
      <c r="A92" t="s">
        <v>118</v>
      </c>
      <c r="B92" s="128" t="s">
        <v>147</v>
      </c>
      <c r="C92" s="8" t="s">
        <v>110</v>
      </c>
      <c r="D92" t="s">
        <v>0</v>
      </c>
      <c r="E92" t="s">
        <v>110</v>
      </c>
      <c r="F92" s="1">
        <v>20</v>
      </c>
      <c r="G92" s="1">
        <v>1</v>
      </c>
      <c r="H92" s="1"/>
      <c r="I92" s="1"/>
    </row>
    <row r="93" spans="1:9" ht="15" customHeight="1" x14ac:dyDescent="0.25">
      <c r="A93" t="s">
        <v>118</v>
      </c>
      <c r="B93" s="128" t="s">
        <v>147</v>
      </c>
      <c r="C93" s="8" t="s">
        <v>112</v>
      </c>
      <c r="D93" t="s">
        <v>0</v>
      </c>
      <c r="E93" t="s">
        <v>110</v>
      </c>
      <c r="F93" s="1">
        <v>20</v>
      </c>
      <c r="G93" s="1">
        <v>1</v>
      </c>
      <c r="H93" s="1"/>
      <c r="I93" s="1"/>
    </row>
    <row r="94" spans="1:9" ht="15" customHeight="1" x14ac:dyDescent="0.25">
      <c r="A94" t="s">
        <v>118</v>
      </c>
      <c r="B94" s="128" t="s">
        <v>147</v>
      </c>
      <c r="C94" s="8" t="s">
        <v>111</v>
      </c>
      <c r="D94" t="s">
        <v>0</v>
      </c>
      <c r="E94" t="s">
        <v>111</v>
      </c>
      <c r="F94" s="1">
        <v>20</v>
      </c>
      <c r="G94" s="1">
        <v>1</v>
      </c>
      <c r="H94" s="1"/>
      <c r="I94" s="1"/>
    </row>
    <row r="95" spans="1:9" ht="15" customHeight="1" x14ac:dyDescent="0.25">
      <c r="A95" t="s">
        <v>118</v>
      </c>
      <c r="B95" s="128" t="s">
        <v>147</v>
      </c>
      <c r="C95" s="8" t="s">
        <v>113</v>
      </c>
      <c r="D95" t="s">
        <v>0</v>
      </c>
      <c r="E95" t="s">
        <v>111</v>
      </c>
      <c r="F95" s="1">
        <v>20</v>
      </c>
      <c r="G95" s="1">
        <v>1</v>
      </c>
      <c r="H95" s="1"/>
      <c r="I95" s="1"/>
    </row>
    <row r="96" spans="1:9" ht="15" customHeight="1" x14ac:dyDescent="0.25">
      <c r="A96" t="s">
        <v>118</v>
      </c>
      <c r="B96" s="128" t="s">
        <v>120</v>
      </c>
      <c r="C96" s="8" t="s">
        <v>115</v>
      </c>
      <c r="D96" t="s">
        <v>0</v>
      </c>
      <c r="E96" t="s">
        <v>115</v>
      </c>
      <c r="F96" s="1">
        <v>20</v>
      </c>
      <c r="G96" s="1">
        <v>1</v>
      </c>
      <c r="H96" s="1"/>
      <c r="I96" s="1"/>
    </row>
    <row r="97" spans="1:9" ht="15" customHeight="1" x14ac:dyDescent="0.25">
      <c r="A97" t="s">
        <v>118</v>
      </c>
      <c r="B97" s="128" t="s">
        <v>120</v>
      </c>
      <c r="C97" s="8" t="s">
        <v>117</v>
      </c>
      <c r="D97" t="s">
        <v>0</v>
      </c>
      <c r="E97" t="s">
        <v>115</v>
      </c>
      <c r="F97" s="1">
        <v>20</v>
      </c>
      <c r="G97" s="1">
        <v>1</v>
      </c>
      <c r="H97" s="1"/>
      <c r="I97" s="1"/>
    </row>
    <row r="98" spans="1:9" ht="15" customHeight="1" x14ac:dyDescent="0.25">
      <c r="A98" t="s">
        <v>118</v>
      </c>
      <c r="B98" s="128" t="s">
        <v>120</v>
      </c>
      <c r="C98" s="8" t="s">
        <v>114</v>
      </c>
      <c r="D98" t="s">
        <v>0</v>
      </c>
      <c r="E98" t="s">
        <v>116</v>
      </c>
      <c r="F98" s="1">
        <v>20</v>
      </c>
      <c r="G98" s="1">
        <v>1</v>
      </c>
      <c r="H98" s="1"/>
      <c r="I98" s="1"/>
    </row>
    <row r="99" spans="1:9" ht="15" customHeight="1" x14ac:dyDescent="0.25">
      <c r="A99" t="s">
        <v>118</v>
      </c>
      <c r="B99" s="128" t="s">
        <v>120</v>
      </c>
      <c r="C99" s="8" t="s">
        <v>116</v>
      </c>
      <c r="D99" t="s">
        <v>0</v>
      </c>
      <c r="E99" t="s">
        <v>116</v>
      </c>
      <c r="F99" s="1">
        <v>20</v>
      </c>
      <c r="G99" s="1">
        <v>1</v>
      </c>
      <c r="H99" s="1"/>
      <c r="I99" s="1"/>
    </row>
    <row r="100" spans="1:9" ht="15" customHeight="1" x14ac:dyDescent="0.25">
      <c r="A100" s="128" t="s">
        <v>221</v>
      </c>
      <c r="B100" t="s">
        <v>215</v>
      </c>
      <c r="C100" s="8" t="s">
        <v>185</v>
      </c>
      <c r="D100" t="s">
        <v>0</v>
      </c>
      <c r="E100" t="s">
        <v>185</v>
      </c>
      <c r="F100" s="1">
        <v>20</v>
      </c>
      <c r="G100" s="1">
        <v>1</v>
      </c>
      <c r="H100" s="1"/>
      <c r="I100" s="1"/>
    </row>
    <row r="101" spans="1:9" ht="15" customHeight="1" x14ac:dyDescent="0.25">
      <c r="A101" s="128" t="s">
        <v>221</v>
      </c>
      <c r="B101" t="s">
        <v>215</v>
      </c>
      <c r="C101" s="8" t="s">
        <v>186</v>
      </c>
      <c r="D101" t="s">
        <v>0</v>
      </c>
      <c r="E101" t="s">
        <v>185</v>
      </c>
      <c r="F101" s="1">
        <v>20</v>
      </c>
      <c r="G101" s="1">
        <v>1</v>
      </c>
      <c r="H101" s="1"/>
      <c r="I101" s="1"/>
    </row>
    <row r="102" spans="1:9" ht="15" customHeight="1" x14ac:dyDescent="0.25">
      <c r="A102" t="s">
        <v>221</v>
      </c>
      <c r="B102" t="s">
        <v>217</v>
      </c>
      <c r="C102" s="8" t="s">
        <v>190</v>
      </c>
      <c r="D102" t="s">
        <v>0</v>
      </c>
      <c r="E102" t="s">
        <v>193</v>
      </c>
      <c r="F102" s="1">
        <v>20</v>
      </c>
      <c r="G102" s="1">
        <v>2</v>
      </c>
    </row>
    <row r="103" spans="1:9" ht="15" customHeight="1" x14ac:dyDescent="0.25">
      <c r="A103" t="s">
        <v>221</v>
      </c>
      <c r="B103" t="s">
        <v>217</v>
      </c>
      <c r="C103" s="8" t="s">
        <v>193</v>
      </c>
      <c r="D103" t="s">
        <v>0</v>
      </c>
      <c r="E103" t="s">
        <v>193</v>
      </c>
      <c r="F103" s="1">
        <v>20</v>
      </c>
      <c r="G103" s="1">
        <v>2</v>
      </c>
    </row>
    <row r="104" spans="1:9" ht="15" customHeight="1" x14ac:dyDescent="0.25">
      <c r="A104" t="s">
        <v>221</v>
      </c>
      <c r="B104" t="s">
        <v>218</v>
      </c>
      <c r="C104" s="8" t="s">
        <v>195</v>
      </c>
      <c r="D104" t="s">
        <v>0</v>
      </c>
      <c r="E104" t="s">
        <v>196</v>
      </c>
      <c r="F104" s="1">
        <v>20</v>
      </c>
      <c r="G104" s="1">
        <v>1</v>
      </c>
    </row>
    <row r="105" spans="1:9" ht="15" customHeight="1" x14ac:dyDescent="0.25">
      <c r="A105" t="s">
        <v>221</v>
      </c>
      <c r="B105" t="s">
        <v>218</v>
      </c>
      <c r="C105" s="8" t="s">
        <v>196</v>
      </c>
      <c r="D105" t="s">
        <v>0</v>
      </c>
      <c r="E105" t="s">
        <v>196</v>
      </c>
      <c r="F105" s="1">
        <v>20</v>
      </c>
      <c r="G105" s="1">
        <v>1</v>
      </c>
    </row>
    <row r="106" spans="1:9" ht="15" customHeight="1" x14ac:dyDescent="0.25">
      <c r="A106" t="s">
        <v>221</v>
      </c>
      <c r="B106" t="s">
        <v>216</v>
      </c>
      <c r="C106" s="8" t="s">
        <v>187</v>
      </c>
      <c r="D106" t="s">
        <v>0</v>
      </c>
      <c r="E106" t="s">
        <v>188</v>
      </c>
      <c r="F106" s="1">
        <v>20</v>
      </c>
      <c r="G106" s="1">
        <v>2</v>
      </c>
    </row>
    <row r="107" spans="1:9" ht="15" customHeight="1" x14ac:dyDescent="0.25">
      <c r="A107" t="s">
        <v>221</v>
      </c>
      <c r="B107" t="s">
        <v>216</v>
      </c>
      <c r="C107" s="8" t="s">
        <v>188</v>
      </c>
      <c r="D107" t="s">
        <v>0</v>
      </c>
      <c r="E107" t="s">
        <v>188</v>
      </c>
      <c r="F107" s="1">
        <v>20</v>
      </c>
      <c r="G107" s="1">
        <v>2</v>
      </c>
    </row>
    <row r="108" spans="1:9" ht="15" customHeight="1" x14ac:dyDescent="0.25">
      <c r="A108" t="s">
        <v>221</v>
      </c>
      <c r="B108" s="128" t="s">
        <v>121</v>
      </c>
      <c r="C108" s="8" t="s">
        <v>54</v>
      </c>
      <c r="D108" t="s">
        <v>0</v>
      </c>
      <c r="E108" t="s">
        <v>55</v>
      </c>
      <c r="F108" s="1">
        <v>20</v>
      </c>
      <c r="G108" s="1">
        <v>1</v>
      </c>
    </row>
    <row r="109" spans="1:9" ht="15" customHeight="1" x14ac:dyDescent="0.25">
      <c r="A109" t="s">
        <v>221</v>
      </c>
      <c r="B109" s="128" t="s">
        <v>121</v>
      </c>
      <c r="C109" s="8" t="s">
        <v>55</v>
      </c>
      <c r="D109" t="s">
        <v>0</v>
      </c>
      <c r="E109" t="s">
        <v>55</v>
      </c>
      <c r="F109" s="1">
        <v>20</v>
      </c>
      <c r="G109" s="1">
        <v>1</v>
      </c>
    </row>
  </sheetData>
  <phoneticPr fontId="2" type="noConversion"/>
  <conditionalFormatting sqref="I1:I1048576 G1:G1048576">
    <cfRule type="cellIs" dxfId="106" priority="3" operator="equal">
      <formula>2</formula>
    </cfRule>
  </conditionalFormatting>
  <conditionalFormatting sqref="I1:I1048576 G1:G1048576">
    <cfRule type="cellIs" dxfId="105" priority="1" operator="equal">
      <formula>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6CDDC-7782-4403-AB78-7ED1C8D15CDF}">
  <sheetPr codeName="Sheet5"/>
  <dimension ref="A1:O109"/>
  <sheetViews>
    <sheetView zoomScale="85" zoomScaleNormal="85" workbookViewId="0">
      <pane ySplit="1" topLeftCell="A38" activePane="bottomLeft" state="frozen"/>
      <selection pane="bottomLeft" activeCell="E60" sqref="E60"/>
    </sheetView>
  </sheetViews>
  <sheetFormatPr defaultRowHeight="15" x14ac:dyDescent="0.25"/>
  <cols>
    <col min="1" max="1" width="13.42578125" customWidth="1"/>
    <col min="2" max="2" width="18.7109375" customWidth="1"/>
    <col min="3" max="3" width="13" customWidth="1"/>
    <col min="4" max="4" width="12.28515625" bestFit="1" customWidth="1"/>
    <col min="5" max="5" width="7.140625" bestFit="1" customWidth="1"/>
    <col min="6" max="6" width="12.140625" style="4" bestFit="1" customWidth="1"/>
    <col min="7" max="7" width="14" style="245" customWidth="1"/>
    <col min="8" max="8" width="16.85546875" style="226" bestFit="1" customWidth="1"/>
    <col min="12" max="12" width="13" customWidth="1"/>
    <col min="13" max="13" width="12.140625" style="4" bestFit="1" customWidth="1"/>
    <col min="14" max="14" width="11.28515625" style="4" customWidth="1"/>
    <col min="15" max="15" width="13" style="245" customWidth="1"/>
    <col min="21" max="21" width="10.140625" bestFit="1" customWidth="1"/>
    <col min="22" max="22" width="13.28515625" bestFit="1" customWidth="1"/>
    <col min="24" max="24" width="13.28515625" bestFit="1" customWidth="1"/>
  </cols>
  <sheetData>
    <row r="1" spans="1:15" s="3" customFormat="1" x14ac:dyDescent="0.25">
      <c r="A1" s="5" t="s">
        <v>219</v>
      </c>
      <c r="B1" s="5" t="s">
        <v>220</v>
      </c>
      <c r="C1" s="5" t="s">
        <v>2</v>
      </c>
      <c r="D1" s="5" t="s">
        <v>1</v>
      </c>
      <c r="E1" s="5" t="s">
        <v>89</v>
      </c>
      <c r="F1" s="129" t="s">
        <v>33</v>
      </c>
      <c r="G1" s="244" t="s">
        <v>149</v>
      </c>
      <c r="H1" s="129" t="s">
        <v>161</v>
      </c>
      <c r="L1" s="5"/>
      <c r="M1" s="129"/>
      <c r="N1" s="129"/>
      <c r="O1" s="244"/>
    </row>
    <row r="2" spans="1:15" x14ac:dyDescent="0.25">
      <c r="A2" t="s">
        <v>132</v>
      </c>
      <c r="B2" t="s">
        <v>133</v>
      </c>
      <c r="C2" t="s">
        <v>8</v>
      </c>
      <c r="D2" t="s">
        <v>0</v>
      </c>
      <c r="E2" t="s">
        <v>8</v>
      </c>
      <c r="F2" s="4">
        <v>1</v>
      </c>
      <c r="H2" s="226">
        <v>8600600</v>
      </c>
      <c r="L2" s="225"/>
    </row>
    <row r="3" spans="1:15" x14ac:dyDescent="0.25">
      <c r="A3" t="s">
        <v>132</v>
      </c>
      <c r="B3" t="s">
        <v>133</v>
      </c>
      <c r="C3" t="s">
        <v>7</v>
      </c>
      <c r="D3" t="s">
        <v>0</v>
      </c>
      <c r="E3" t="s">
        <v>8</v>
      </c>
      <c r="F3" s="4">
        <v>1.347912844590168</v>
      </c>
      <c r="H3" s="226">
        <v>8219300</v>
      </c>
      <c r="L3" s="225"/>
    </row>
    <row r="4" spans="1:15" x14ac:dyDescent="0.25">
      <c r="A4" t="s">
        <v>132</v>
      </c>
      <c r="B4" t="s">
        <v>133</v>
      </c>
      <c r="C4" t="s">
        <v>5</v>
      </c>
      <c r="D4" t="s">
        <v>0</v>
      </c>
      <c r="E4" t="s">
        <v>8</v>
      </c>
      <c r="F4" s="4">
        <v>4.2788214798015662</v>
      </c>
      <c r="H4" s="226">
        <v>2000200</v>
      </c>
      <c r="L4" s="225"/>
    </row>
    <row r="5" spans="1:15" x14ac:dyDescent="0.25">
      <c r="A5" t="s">
        <v>132</v>
      </c>
      <c r="B5" t="s">
        <v>133</v>
      </c>
      <c r="C5" t="s">
        <v>6</v>
      </c>
      <c r="D5" t="s">
        <v>0</v>
      </c>
      <c r="E5" t="s">
        <v>8</v>
      </c>
      <c r="F5" s="4">
        <v>3.8797744851799019</v>
      </c>
      <c r="H5" s="226">
        <v>2678300</v>
      </c>
      <c r="L5" s="225"/>
    </row>
    <row r="6" spans="1:15" x14ac:dyDescent="0.25">
      <c r="A6" t="s">
        <v>132</v>
      </c>
      <c r="B6" t="s">
        <v>146</v>
      </c>
      <c r="C6" t="s">
        <v>45</v>
      </c>
      <c r="D6" t="s">
        <v>0</v>
      </c>
      <c r="E6" t="s">
        <v>56</v>
      </c>
      <c r="F6" s="4">
        <v>1.7462273139166982</v>
      </c>
      <c r="G6" s="245">
        <v>1.1259440000000001</v>
      </c>
      <c r="H6" s="226">
        <v>754300</v>
      </c>
      <c r="L6" s="225"/>
    </row>
    <row r="7" spans="1:15" x14ac:dyDescent="0.25">
      <c r="A7" t="s">
        <v>132</v>
      </c>
      <c r="B7" t="s">
        <v>146</v>
      </c>
      <c r="C7" t="s">
        <v>56</v>
      </c>
      <c r="D7" t="s">
        <v>0</v>
      </c>
      <c r="E7" t="s">
        <v>56</v>
      </c>
      <c r="F7" s="4">
        <v>1</v>
      </c>
      <c r="G7" s="245">
        <v>2.0625</v>
      </c>
      <c r="H7" s="226">
        <v>439300</v>
      </c>
      <c r="I7" s="8"/>
      <c r="L7" s="225"/>
    </row>
    <row r="8" spans="1:15" x14ac:dyDescent="0.25">
      <c r="A8" t="s">
        <v>132</v>
      </c>
      <c r="B8" t="s">
        <v>138</v>
      </c>
      <c r="C8" t="s">
        <v>46</v>
      </c>
      <c r="D8" t="s">
        <v>0</v>
      </c>
      <c r="E8" t="s">
        <v>50</v>
      </c>
      <c r="F8" s="4">
        <v>1.113188222050894</v>
      </c>
      <c r="G8" s="245">
        <v>1.0709869999999999</v>
      </c>
      <c r="H8" s="226">
        <v>617900</v>
      </c>
      <c r="L8" s="225"/>
    </row>
    <row r="9" spans="1:15" x14ac:dyDescent="0.25">
      <c r="A9" t="s">
        <v>132</v>
      </c>
      <c r="B9" t="s">
        <v>138</v>
      </c>
      <c r="C9" t="s">
        <v>50</v>
      </c>
      <c r="D9" t="s">
        <v>0</v>
      </c>
      <c r="E9" t="s">
        <v>50</v>
      </c>
      <c r="F9" s="4">
        <v>1</v>
      </c>
      <c r="G9" s="245">
        <v>1.0154069999999999</v>
      </c>
      <c r="H9" s="226">
        <v>576900</v>
      </c>
      <c r="L9" s="225"/>
    </row>
    <row r="10" spans="1:15" x14ac:dyDescent="0.25">
      <c r="A10" t="s">
        <v>132</v>
      </c>
      <c r="B10" t="s">
        <v>135</v>
      </c>
      <c r="C10" t="s">
        <v>31</v>
      </c>
      <c r="D10" t="s">
        <v>0</v>
      </c>
      <c r="E10" t="s">
        <v>31</v>
      </c>
      <c r="F10" s="4">
        <v>1</v>
      </c>
      <c r="H10" s="226">
        <v>108300</v>
      </c>
      <c r="L10" s="225"/>
    </row>
    <row r="11" spans="1:15" x14ac:dyDescent="0.25">
      <c r="A11" t="s">
        <v>132</v>
      </c>
      <c r="B11" t="s">
        <v>135</v>
      </c>
      <c r="C11" t="s">
        <v>28</v>
      </c>
      <c r="D11" t="s">
        <v>0</v>
      </c>
      <c r="E11" t="s">
        <v>31</v>
      </c>
      <c r="F11" s="4">
        <v>3.3393498274074305</v>
      </c>
      <c r="H11" s="226">
        <v>566400</v>
      </c>
      <c r="L11" s="225"/>
    </row>
    <row r="12" spans="1:15" x14ac:dyDescent="0.25">
      <c r="A12" t="s">
        <v>132</v>
      </c>
      <c r="B12" t="s">
        <v>135</v>
      </c>
      <c r="C12" t="s">
        <v>29</v>
      </c>
      <c r="D12" t="s">
        <v>0</v>
      </c>
      <c r="E12" t="s">
        <v>31</v>
      </c>
      <c r="F12" s="4">
        <v>1.8882691729807852</v>
      </c>
      <c r="H12" s="226">
        <v>2099500</v>
      </c>
      <c r="L12" s="225"/>
    </row>
    <row r="13" spans="1:15" x14ac:dyDescent="0.25">
      <c r="A13" t="s">
        <v>132</v>
      </c>
      <c r="B13" t="s">
        <v>135</v>
      </c>
      <c r="C13" t="s">
        <v>30</v>
      </c>
      <c r="D13" t="s">
        <v>0</v>
      </c>
      <c r="E13" t="s">
        <v>31</v>
      </c>
      <c r="F13" s="4">
        <v>1.2624723633728432</v>
      </c>
      <c r="H13" s="226">
        <v>77900</v>
      </c>
      <c r="L13" s="225"/>
    </row>
    <row r="14" spans="1:15" x14ac:dyDescent="0.25">
      <c r="A14" t="s">
        <v>132</v>
      </c>
      <c r="B14" t="s">
        <v>136</v>
      </c>
      <c r="C14" t="s">
        <v>47</v>
      </c>
      <c r="D14" t="s">
        <v>0</v>
      </c>
      <c r="E14" t="s">
        <v>47</v>
      </c>
      <c r="F14" s="4">
        <v>1</v>
      </c>
      <c r="G14" s="245">
        <v>3.3170269999999999</v>
      </c>
      <c r="H14" s="226">
        <v>5892900</v>
      </c>
      <c r="L14" s="225"/>
    </row>
    <row r="15" spans="1:15" x14ac:dyDescent="0.25">
      <c r="A15" t="s">
        <v>132</v>
      </c>
      <c r="B15" t="s">
        <v>136</v>
      </c>
      <c r="C15" t="s">
        <v>57</v>
      </c>
      <c r="D15" t="s">
        <v>0</v>
      </c>
      <c r="E15" t="s">
        <v>47</v>
      </c>
      <c r="F15" s="4">
        <v>1.4326853199437097</v>
      </c>
      <c r="G15" s="245">
        <v>2.6059000000000001</v>
      </c>
      <c r="H15" s="226">
        <v>522300</v>
      </c>
      <c r="L15" s="225"/>
    </row>
    <row r="16" spans="1:15" x14ac:dyDescent="0.25">
      <c r="A16" t="s">
        <v>132</v>
      </c>
      <c r="B16" t="s">
        <v>134</v>
      </c>
      <c r="C16" t="s">
        <v>42</v>
      </c>
      <c r="D16" t="s">
        <v>0</v>
      </c>
      <c r="E16" t="s">
        <v>42</v>
      </c>
      <c r="F16" s="4">
        <v>1</v>
      </c>
      <c r="G16" s="245">
        <v>1.2823</v>
      </c>
      <c r="H16" s="226">
        <v>749700</v>
      </c>
      <c r="L16" s="225"/>
    </row>
    <row r="17" spans="1:12" x14ac:dyDescent="0.25">
      <c r="A17" t="s">
        <v>132</v>
      </c>
      <c r="B17" t="s">
        <v>134</v>
      </c>
      <c r="C17" t="s">
        <v>48</v>
      </c>
      <c r="D17" t="s">
        <v>0</v>
      </c>
      <c r="E17" t="s">
        <v>42</v>
      </c>
      <c r="F17" s="4">
        <v>1.0756310767286057</v>
      </c>
      <c r="G17" s="245">
        <v>1.1721300000000001</v>
      </c>
      <c r="H17" s="226">
        <v>732300</v>
      </c>
      <c r="L17" s="225"/>
    </row>
    <row r="18" spans="1:12" x14ac:dyDescent="0.25">
      <c r="A18" t="s">
        <v>132</v>
      </c>
      <c r="B18" t="s">
        <v>140</v>
      </c>
      <c r="C18" t="s">
        <v>16</v>
      </c>
      <c r="D18" t="s">
        <v>0</v>
      </c>
      <c r="E18" t="s">
        <v>17</v>
      </c>
      <c r="F18" s="4">
        <v>1.2035645917267848</v>
      </c>
      <c r="H18" s="226">
        <v>32738600</v>
      </c>
      <c r="L18" s="225"/>
    </row>
    <row r="19" spans="1:12" x14ac:dyDescent="0.25">
      <c r="A19" t="s">
        <v>132</v>
      </c>
      <c r="B19" t="s">
        <v>140</v>
      </c>
      <c r="C19" t="s">
        <v>14</v>
      </c>
      <c r="D19" t="s">
        <v>0</v>
      </c>
      <c r="E19" t="s">
        <v>17</v>
      </c>
      <c r="F19" s="4">
        <v>2.6375587965091265</v>
      </c>
      <c r="H19" s="226">
        <v>975200</v>
      </c>
      <c r="L19" s="225"/>
    </row>
    <row r="20" spans="1:12" x14ac:dyDescent="0.25">
      <c r="A20" t="s">
        <v>132</v>
      </c>
      <c r="B20" t="s">
        <v>140</v>
      </c>
      <c r="C20" t="s">
        <v>17</v>
      </c>
      <c r="D20" t="s">
        <v>0</v>
      </c>
      <c r="E20" t="s">
        <v>17</v>
      </c>
      <c r="F20" s="4">
        <v>1</v>
      </c>
      <c r="H20" s="226">
        <v>2594900</v>
      </c>
      <c r="L20" s="225"/>
    </row>
    <row r="21" spans="1:12" x14ac:dyDescent="0.25">
      <c r="A21" t="s">
        <v>132</v>
      </c>
      <c r="B21" t="s">
        <v>140</v>
      </c>
      <c r="C21" t="s">
        <v>13</v>
      </c>
      <c r="D21" t="s">
        <v>0</v>
      </c>
      <c r="E21" t="s">
        <v>17</v>
      </c>
      <c r="F21" s="4">
        <v>3.6821910379101097</v>
      </c>
      <c r="H21" s="226">
        <v>1019800</v>
      </c>
      <c r="L21" s="225"/>
    </row>
    <row r="22" spans="1:12" x14ac:dyDescent="0.25">
      <c r="A22" t="s">
        <v>132</v>
      </c>
      <c r="B22" t="s">
        <v>140</v>
      </c>
      <c r="C22" t="s">
        <v>12</v>
      </c>
      <c r="D22" t="s">
        <v>0</v>
      </c>
      <c r="E22" t="s">
        <v>17</v>
      </c>
      <c r="F22" s="4">
        <v>4.1137945597961423</v>
      </c>
      <c r="H22" s="226">
        <v>5371800</v>
      </c>
      <c r="L22" s="225"/>
    </row>
    <row r="23" spans="1:12" x14ac:dyDescent="0.25">
      <c r="A23" t="s">
        <v>132</v>
      </c>
      <c r="B23" t="s">
        <v>140</v>
      </c>
      <c r="C23" t="s">
        <v>15</v>
      </c>
      <c r="D23" t="s">
        <v>0</v>
      </c>
      <c r="E23" t="s">
        <v>17</v>
      </c>
      <c r="F23" s="4">
        <v>2.6021755810997935</v>
      </c>
      <c r="H23" s="226">
        <v>10874700</v>
      </c>
      <c r="L23" s="225"/>
    </row>
    <row r="24" spans="1:12" x14ac:dyDescent="0.25">
      <c r="A24" t="s">
        <v>132</v>
      </c>
      <c r="B24" t="s">
        <v>137</v>
      </c>
      <c r="C24" t="s">
        <v>43</v>
      </c>
      <c r="D24" t="s">
        <v>0</v>
      </c>
      <c r="E24" t="s">
        <v>49</v>
      </c>
      <c r="F24" s="4">
        <v>1.044384047926401</v>
      </c>
      <c r="G24" s="245">
        <v>0.90090000000000003</v>
      </c>
      <c r="H24" s="226">
        <v>4172500</v>
      </c>
      <c r="L24" s="225"/>
    </row>
    <row r="25" spans="1:12" x14ac:dyDescent="0.25">
      <c r="A25" t="s">
        <v>132</v>
      </c>
      <c r="B25" t="s">
        <v>137</v>
      </c>
      <c r="C25" t="s">
        <v>49</v>
      </c>
      <c r="D25" t="s">
        <v>0</v>
      </c>
      <c r="E25" t="s">
        <v>49</v>
      </c>
      <c r="F25" s="4">
        <v>1</v>
      </c>
      <c r="G25" s="245">
        <v>0.71307999999999994</v>
      </c>
      <c r="H25" s="226">
        <v>1205900</v>
      </c>
      <c r="L25" s="225"/>
    </row>
    <row r="26" spans="1:12" x14ac:dyDescent="0.25">
      <c r="A26" t="s">
        <v>132</v>
      </c>
      <c r="B26" t="s">
        <v>139</v>
      </c>
      <c r="C26" t="s">
        <v>44</v>
      </c>
      <c r="D26" t="s">
        <v>0</v>
      </c>
      <c r="E26" t="s">
        <v>51</v>
      </c>
      <c r="F26" s="4">
        <v>1.8564406364247437</v>
      </c>
      <c r="G26" s="245">
        <v>0.34714599999999995</v>
      </c>
      <c r="H26" s="226">
        <v>402200</v>
      </c>
      <c r="L26" s="225"/>
    </row>
    <row r="27" spans="1:12" x14ac:dyDescent="0.25">
      <c r="A27" t="s">
        <v>132</v>
      </c>
      <c r="B27" t="s">
        <v>139</v>
      </c>
      <c r="C27" t="s">
        <v>51</v>
      </c>
      <c r="D27" t="s">
        <v>0</v>
      </c>
      <c r="E27" t="s">
        <v>51</v>
      </c>
      <c r="F27" s="4">
        <v>1</v>
      </c>
      <c r="G27" s="245">
        <v>0</v>
      </c>
      <c r="H27" s="226">
        <v>303200</v>
      </c>
      <c r="L27" s="225"/>
    </row>
    <row r="28" spans="1:12" x14ac:dyDescent="0.25">
      <c r="A28" t="s">
        <v>132</v>
      </c>
      <c r="B28" t="s">
        <v>144</v>
      </c>
      <c r="C28" t="s">
        <v>23</v>
      </c>
      <c r="D28" t="s">
        <v>0</v>
      </c>
      <c r="E28" t="s">
        <v>24</v>
      </c>
      <c r="F28" s="4">
        <v>1.5005863982256551</v>
      </c>
      <c r="H28" s="226">
        <v>2094600</v>
      </c>
      <c r="L28" s="225"/>
    </row>
    <row r="29" spans="1:12" x14ac:dyDescent="0.25">
      <c r="A29" t="s">
        <v>132</v>
      </c>
      <c r="B29" t="s">
        <v>144</v>
      </c>
      <c r="C29" t="s">
        <v>22</v>
      </c>
      <c r="D29" t="s">
        <v>0</v>
      </c>
      <c r="E29" t="s">
        <v>24</v>
      </c>
      <c r="F29" s="4">
        <v>3.360568376104129</v>
      </c>
      <c r="H29" s="226">
        <v>2753800</v>
      </c>
      <c r="L29" s="225"/>
    </row>
    <row r="30" spans="1:12" x14ac:dyDescent="0.25">
      <c r="A30" t="s">
        <v>132</v>
      </c>
      <c r="B30" t="s">
        <v>144</v>
      </c>
      <c r="C30" t="s">
        <v>24</v>
      </c>
      <c r="D30" t="s">
        <v>0</v>
      </c>
      <c r="E30" t="s">
        <v>24</v>
      </c>
      <c r="F30" s="4">
        <v>1</v>
      </c>
      <c r="H30" s="226">
        <v>4042300</v>
      </c>
      <c r="L30" s="225"/>
    </row>
    <row r="31" spans="1:12" x14ac:dyDescent="0.25">
      <c r="A31" t="s">
        <v>132</v>
      </c>
      <c r="B31" t="s">
        <v>145</v>
      </c>
      <c r="C31" t="s">
        <v>26</v>
      </c>
      <c r="D31" t="s">
        <v>0</v>
      </c>
      <c r="E31" t="s">
        <v>27</v>
      </c>
      <c r="F31" s="4">
        <v>1.7622043279386457</v>
      </c>
      <c r="H31" s="226">
        <v>887900</v>
      </c>
      <c r="L31" s="225"/>
    </row>
    <row r="32" spans="1:12" x14ac:dyDescent="0.25">
      <c r="A32" t="s">
        <v>132</v>
      </c>
      <c r="B32" t="s">
        <v>145</v>
      </c>
      <c r="C32" t="s">
        <v>25</v>
      </c>
      <c r="D32" t="s">
        <v>0</v>
      </c>
      <c r="E32" t="s">
        <v>27</v>
      </c>
      <c r="F32" s="4">
        <v>2.1020788909525825</v>
      </c>
      <c r="H32" s="226">
        <v>5606700</v>
      </c>
      <c r="L32" s="225"/>
    </row>
    <row r="33" spans="1:12" x14ac:dyDescent="0.25">
      <c r="A33" t="s">
        <v>132</v>
      </c>
      <c r="B33" t="s">
        <v>145</v>
      </c>
      <c r="C33" t="s">
        <v>27</v>
      </c>
      <c r="D33" t="s">
        <v>0</v>
      </c>
      <c r="E33" t="s">
        <v>27</v>
      </c>
      <c r="F33" s="4">
        <v>1</v>
      </c>
      <c r="H33" s="226">
        <v>2306000</v>
      </c>
      <c r="L33" s="225"/>
    </row>
    <row r="34" spans="1:12" x14ac:dyDescent="0.25">
      <c r="A34" t="s">
        <v>132</v>
      </c>
      <c r="B34" t="s">
        <v>141</v>
      </c>
      <c r="C34" t="s">
        <v>20</v>
      </c>
      <c r="D34" t="s">
        <v>0</v>
      </c>
      <c r="E34" t="s">
        <v>20</v>
      </c>
      <c r="F34" s="4">
        <v>1</v>
      </c>
      <c r="H34" s="226">
        <v>3269800</v>
      </c>
      <c r="L34" s="225"/>
    </row>
    <row r="35" spans="1:12" x14ac:dyDescent="0.25">
      <c r="A35" t="s">
        <v>132</v>
      </c>
      <c r="B35" t="s">
        <v>141</v>
      </c>
      <c r="C35" t="s">
        <v>18</v>
      </c>
      <c r="D35" t="s">
        <v>0</v>
      </c>
      <c r="E35" t="s">
        <v>20</v>
      </c>
      <c r="F35" s="4">
        <v>4.2368054727022235</v>
      </c>
      <c r="H35" s="226">
        <v>1198200</v>
      </c>
      <c r="L35" s="225"/>
    </row>
    <row r="36" spans="1:12" x14ac:dyDescent="0.25">
      <c r="A36" t="s">
        <v>132</v>
      </c>
      <c r="B36" t="s">
        <v>141</v>
      </c>
      <c r="C36" t="s">
        <v>19</v>
      </c>
      <c r="D36" t="s">
        <v>0</v>
      </c>
      <c r="E36" t="s">
        <v>20</v>
      </c>
      <c r="F36" s="4">
        <v>2.017489577378103</v>
      </c>
      <c r="H36" s="226">
        <v>1429300</v>
      </c>
      <c r="L36" s="225"/>
    </row>
    <row r="37" spans="1:12" x14ac:dyDescent="0.25">
      <c r="A37" t="s">
        <v>132</v>
      </c>
      <c r="B37" t="s">
        <v>142</v>
      </c>
      <c r="C37" t="s">
        <v>4</v>
      </c>
      <c r="D37" t="s">
        <v>0</v>
      </c>
      <c r="E37" t="s">
        <v>4</v>
      </c>
      <c r="F37" s="4">
        <v>1</v>
      </c>
      <c r="H37" s="226">
        <v>5920900</v>
      </c>
      <c r="L37" s="225"/>
    </row>
    <row r="38" spans="1:12" x14ac:dyDescent="0.25">
      <c r="A38" t="s">
        <v>132</v>
      </c>
      <c r="B38" t="s">
        <v>142</v>
      </c>
      <c r="C38" t="s">
        <v>21</v>
      </c>
      <c r="D38" t="s">
        <v>0</v>
      </c>
      <c r="E38" t="s">
        <v>4</v>
      </c>
      <c r="F38" s="4">
        <v>2.3549692862234961</v>
      </c>
      <c r="H38" s="226">
        <v>752900</v>
      </c>
      <c r="L38" s="225"/>
    </row>
    <row r="39" spans="1:12" x14ac:dyDescent="0.25">
      <c r="A39" t="s">
        <v>132</v>
      </c>
      <c r="B39" t="s">
        <v>142</v>
      </c>
      <c r="C39" t="s">
        <v>3</v>
      </c>
      <c r="D39" t="s">
        <v>0</v>
      </c>
      <c r="E39" t="s">
        <v>4</v>
      </c>
      <c r="F39" s="4">
        <v>2.1301427498539769</v>
      </c>
      <c r="H39" s="226">
        <v>10404600</v>
      </c>
      <c r="L39" s="225"/>
    </row>
    <row r="40" spans="1:12" x14ac:dyDescent="0.25">
      <c r="A40" t="s">
        <v>132</v>
      </c>
      <c r="B40" t="s">
        <v>143</v>
      </c>
      <c r="C40" t="s">
        <v>52</v>
      </c>
      <c r="D40" t="s">
        <v>0</v>
      </c>
      <c r="E40" t="s">
        <v>52</v>
      </c>
      <c r="F40" s="4">
        <v>1</v>
      </c>
      <c r="G40" s="245">
        <v>1.0603740000000001</v>
      </c>
      <c r="H40" s="226">
        <v>2702900</v>
      </c>
      <c r="L40" s="225"/>
    </row>
    <row r="41" spans="1:12" x14ac:dyDescent="0.25">
      <c r="A41" t="s">
        <v>132</v>
      </c>
      <c r="B41" t="s">
        <v>143</v>
      </c>
      <c r="C41" t="s">
        <v>53</v>
      </c>
      <c r="D41" t="s">
        <v>0</v>
      </c>
      <c r="E41" t="s">
        <v>52</v>
      </c>
      <c r="F41" s="4">
        <v>1.6495679503677541</v>
      </c>
      <c r="G41" s="245">
        <v>0.79999999999999993</v>
      </c>
      <c r="H41" s="226">
        <v>761000</v>
      </c>
      <c r="L41" s="225"/>
    </row>
    <row r="42" spans="1:12" x14ac:dyDescent="0.25">
      <c r="A42" t="s">
        <v>297</v>
      </c>
      <c r="B42" t="s">
        <v>182</v>
      </c>
      <c r="C42" t="s">
        <v>183</v>
      </c>
      <c r="D42" t="s">
        <v>0</v>
      </c>
      <c r="E42" t="s">
        <v>183</v>
      </c>
      <c r="F42" s="4">
        <v>1</v>
      </c>
      <c r="H42" s="226">
        <v>18100</v>
      </c>
      <c r="L42" s="225"/>
    </row>
    <row r="43" spans="1:12" x14ac:dyDescent="0.25">
      <c r="A43" t="s">
        <v>297</v>
      </c>
      <c r="B43" t="s">
        <v>182</v>
      </c>
      <c r="C43" t="s">
        <v>184</v>
      </c>
      <c r="D43" t="s">
        <v>0</v>
      </c>
      <c r="E43" t="s">
        <v>183</v>
      </c>
      <c r="F43" s="4">
        <v>1499.6928688102066</v>
      </c>
      <c r="H43" s="226">
        <v>11167400</v>
      </c>
      <c r="L43" s="225"/>
    </row>
    <row r="44" spans="1:12" x14ac:dyDescent="0.25">
      <c r="A44" t="s">
        <v>297</v>
      </c>
      <c r="B44" t="s">
        <v>178</v>
      </c>
      <c r="C44" t="s">
        <v>168</v>
      </c>
      <c r="D44" t="s">
        <v>0</v>
      </c>
      <c r="E44" t="s">
        <v>169</v>
      </c>
      <c r="F44" s="4">
        <v>1.1190365051237789</v>
      </c>
      <c r="H44" s="226">
        <v>1370500</v>
      </c>
      <c r="L44" s="225"/>
    </row>
    <row r="45" spans="1:12" x14ac:dyDescent="0.25">
      <c r="A45" t="s">
        <v>297</v>
      </c>
      <c r="B45" t="s">
        <v>178</v>
      </c>
      <c r="C45" t="s">
        <v>169</v>
      </c>
      <c r="D45" t="s">
        <v>0</v>
      </c>
      <c r="E45" t="s">
        <v>169</v>
      </c>
      <c r="F45" s="4">
        <v>1</v>
      </c>
      <c r="H45" s="226">
        <v>5613200</v>
      </c>
      <c r="L45" s="225"/>
    </row>
    <row r="46" spans="1:12" x14ac:dyDescent="0.25">
      <c r="A46" t="s">
        <v>297</v>
      </c>
      <c r="B46" t="s">
        <v>177</v>
      </c>
      <c r="C46" t="s">
        <v>166</v>
      </c>
      <c r="D46" t="s">
        <v>0</v>
      </c>
      <c r="E46" t="s">
        <v>167</v>
      </c>
      <c r="F46" s="4">
        <v>1.009988043373347</v>
      </c>
      <c r="H46" s="226">
        <v>48715000</v>
      </c>
      <c r="L46" s="225"/>
    </row>
    <row r="47" spans="1:12" x14ac:dyDescent="0.25">
      <c r="A47" t="s">
        <v>297</v>
      </c>
      <c r="B47" t="s">
        <v>177</v>
      </c>
      <c r="C47" t="s">
        <v>167</v>
      </c>
      <c r="D47" t="s">
        <v>0</v>
      </c>
      <c r="E47" t="s">
        <v>167</v>
      </c>
      <c r="F47" s="4">
        <v>1</v>
      </c>
      <c r="H47" s="226">
        <v>72633600</v>
      </c>
      <c r="L47" s="225"/>
    </row>
    <row r="48" spans="1:12" x14ac:dyDescent="0.25">
      <c r="A48" t="s">
        <v>297</v>
      </c>
      <c r="B48" t="s">
        <v>180</v>
      </c>
      <c r="C48" t="s">
        <v>172</v>
      </c>
      <c r="D48" t="s">
        <v>0</v>
      </c>
      <c r="E48" t="s">
        <v>172</v>
      </c>
      <c r="F48" s="4">
        <v>1</v>
      </c>
      <c r="H48" s="226">
        <v>1180100</v>
      </c>
      <c r="L48" s="225"/>
    </row>
    <row r="49" spans="1:12" x14ac:dyDescent="0.25">
      <c r="A49" t="s">
        <v>297</v>
      </c>
      <c r="B49" t="s">
        <v>180</v>
      </c>
      <c r="C49" t="s">
        <v>181</v>
      </c>
      <c r="D49" t="s">
        <v>0</v>
      </c>
      <c r="E49" t="s">
        <v>172</v>
      </c>
      <c r="F49" s="4">
        <v>1.3463309446780249</v>
      </c>
      <c r="H49" s="226">
        <v>292700</v>
      </c>
      <c r="L49" s="225"/>
    </row>
    <row r="50" spans="1:12" x14ac:dyDescent="0.25">
      <c r="A50" t="s">
        <v>297</v>
      </c>
      <c r="B50" t="s">
        <v>179</v>
      </c>
      <c r="C50" t="s">
        <v>170</v>
      </c>
      <c r="D50" t="s">
        <v>0</v>
      </c>
      <c r="E50" t="s">
        <v>170</v>
      </c>
      <c r="F50" s="4">
        <v>1</v>
      </c>
      <c r="H50" s="226">
        <v>1292100</v>
      </c>
      <c r="L50" s="225"/>
    </row>
    <row r="51" spans="1:12" x14ac:dyDescent="0.25">
      <c r="A51" t="s">
        <v>297</v>
      </c>
      <c r="B51" t="s">
        <v>179</v>
      </c>
      <c r="C51" t="s">
        <v>171</v>
      </c>
      <c r="D51" t="s">
        <v>0</v>
      </c>
      <c r="E51" t="s">
        <v>170</v>
      </c>
      <c r="F51" s="4">
        <v>1.1167308536261484</v>
      </c>
      <c r="H51" s="226">
        <v>4136600</v>
      </c>
      <c r="L51" s="225"/>
    </row>
    <row r="52" spans="1:12" x14ac:dyDescent="0.25">
      <c r="A52" t="s">
        <v>297</v>
      </c>
      <c r="B52" t="s">
        <v>250</v>
      </c>
      <c r="C52" t="s">
        <v>248</v>
      </c>
      <c r="D52" t="s">
        <v>0</v>
      </c>
      <c r="E52" t="s">
        <v>249</v>
      </c>
      <c r="F52" s="4">
        <v>1.0238709010359897</v>
      </c>
      <c r="H52" s="226">
        <v>2965000</v>
      </c>
      <c r="L52" s="225"/>
    </row>
    <row r="53" spans="1:12" x14ac:dyDescent="0.25">
      <c r="A53" t="s">
        <v>297</v>
      </c>
      <c r="B53" t="s">
        <v>250</v>
      </c>
      <c r="C53" t="s">
        <v>249</v>
      </c>
      <c r="D53" t="s">
        <v>0</v>
      </c>
      <c r="E53" t="s">
        <v>249</v>
      </c>
      <c r="F53" s="4">
        <v>1</v>
      </c>
      <c r="H53" s="226">
        <v>8867000</v>
      </c>
      <c r="L53" s="225"/>
    </row>
    <row r="54" spans="1:12" x14ac:dyDescent="0.25">
      <c r="A54" t="s">
        <v>297</v>
      </c>
      <c r="B54" t="s">
        <v>251</v>
      </c>
      <c r="C54" t="s">
        <v>252</v>
      </c>
      <c r="D54" t="s">
        <v>0</v>
      </c>
      <c r="E54" t="s">
        <v>252</v>
      </c>
      <c r="F54" s="4">
        <v>1</v>
      </c>
      <c r="H54" s="226">
        <v>152500</v>
      </c>
      <c r="L54" s="225"/>
    </row>
    <row r="55" spans="1:12" x14ac:dyDescent="0.25">
      <c r="A55" t="s">
        <v>297</v>
      </c>
      <c r="B55" t="s">
        <v>251</v>
      </c>
      <c r="C55" t="s">
        <v>253</v>
      </c>
      <c r="D55" t="s">
        <v>0</v>
      </c>
      <c r="E55" t="s">
        <v>252</v>
      </c>
      <c r="F55" s="4">
        <v>1.0187431231444553</v>
      </c>
      <c r="H55" s="226">
        <v>2468500</v>
      </c>
      <c r="L55" s="225"/>
    </row>
    <row r="56" spans="1:12" x14ac:dyDescent="0.25">
      <c r="A56" t="s">
        <v>297</v>
      </c>
      <c r="B56" t="s">
        <v>254</v>
      </c>
      <c r="C56" t="s">
        <v>255</v>
      </c>
      <c r="D56" t="s">
        <v>0</v>
      </c>
      <c r="E56" t="s">
        <v>256</v>
      </c>
      <c r="F56" s="4">
        <v>1.0129174906034975</v>
      </c>
      <c r="H56" s="226">
        <v>721000</v>
      </c>
      <c r="L56" s="225"/>
    </row>
    <row r="57" spans="1:12" x14ac:dyDescent="0.25">
      <c r="A57" t="s">
        <v>297</v>
      </c>
      <c r="B57" t="s">
        <v>254</v>
      </c>
      <c r="C57" t="s">
        <v>256</v>
      </c>
      <c r="D57" t="s">
        <v>0</v>
      </c>
      <c r="E57" t="s">
        <v>256</v>
      </c>
      <c r="F57" s="4">
        <v>1</v>
      </c>
      <c r="H57" s="226">
        <v>700</v>
      </c>
      <c r="L57" s="225"/>
    </row>
    <row r="58" spans="1:12" x14ac:dyDescent="0.25">
      <c r="A58" t="s">
        <v>297</v>
      </c>
      <c r="B58" t="s">
        <v>257</v>
      </c>
      <c r="C58" t="s">
        <v>258</v>
      </c>
      <c r="D58" t="s">
        <v>0</v>
      </c>
      <c r="E58" t="s">
        <v>258</v>
      </c>
      <c r="F58" s="4">
        <v>1</v>
      </c>
      <c r="H58" s="226">
        <v>2979700</v>
      </c>
      <c r="L58" s="225"/>
    </row>
    <row r="59" spans="1:12" x14ac:dyDescent="0.25">
      <c r="A59" t="s">
        <v>297</v>
      </c>
      <c r="B59" t="s">
        <v>257</v>
      </c>
      <c r="C59" t="s">
        <v>259</v>
      </c>
      <c r="D59" t="s">
        <v>0</v>
      </c>
      <c r="E59" t="s">
        <v>258</v>
      </c>
      <c r="F59" s="4">
        <v>1.018590364295672</v>
      </c>
      <c r="H59" s="226">
        <v>88600</v>
      </c>
      <c r="L59" s="225"/>
    </row>
    <row r="60" spans="1:12" x14ac:dyDescent="0.25">
      <c r="A60" t="s">
        <v>297</v>
      </c>
      <c r="B60" t="s">
        <v>260</v>
      </c>
      <c r="C60" t="s">
        <v>261</v>
      </c>
      <c r="D60" t="s">
        <v>0</v>
      </c>
      <c r="E60" t="s">
        <v>261</v>
      </c>
      <c r="F60" s="4">
        <v>1</v>
      </c>
      <c r="H60" s="226">
        <v>68300</v>
      </c>
      <c r="L60" s="225"/>
    </row>
    <row r="61" spans="1:12" x14ac:dyDescent="0.25">
      <c r="A61" t="s">
        <v>297</v>
      </c>
      <c r="B61" t="s">
        <v>260</v>
      </c>
      <c r="C61" t="s">
        <v>262</v>
      </c>
      <c r="D61" t="s">
        <v>0</v>
      </c>
      <c r="E61" t="s">
        <v>261</v>
      </c>
      <c r="F61" s="4">
        <v>1.102769401099065</v>
      </c>
      <c r="H61" s="226">
        <v>542200</v>
      </c>
      <c r="L61" s="225"/>
    </row>
    <row r="62" spans="1:12" x14ac:dyDescent="0.25">
      <c r="A62" t="s">
        <v>297</v>
      </c>
      <c r="B62" t="s">
        <v>283</v>
      </c>
      <c r="C62" t="s">
        <v>281</v>
      </c>
      <c r="D62" t="s">
        <v>0</v>
      </c>
      <c r="E62" t="s">
        <v>282</v>
      </c>
      <c r="F62" s="4">
        <v>1.0221001329349044</v>
      </c>
      <c r="H62" s="226">
        <v>3684800</v>
      </c>
      <c r="L62" s="225"/>
    </row>
    <row r="63" spans="1:12" x14ac:dyDescent="0.25">
      <c r="A63" t="s">
        <v>297</v>
      </c>
      <c r="B63" t="s">
        <v>283</v>
      </c>
      <c r="C63" t="s">
        <v>282</v>
      </c>
      <c r="D63" t="s">
        <v>0</v>
      </c>
      <c r="E63" t="s">
        <v>282</v>
      </c>
      <c r="F63" s="4">
        <v>1</v>
      </c>
      <c r="H63" s="226">
        <v>1137300</v>
      </c>
      <c r="L63" s="225"/>
    </row>
    <row r="64" spans="1:12" x14ac:dyDescent="0.25">
      <c r="A64" t="s">
        <v>118</v>
      </c>
      <c r="B64" t="s">
        <v>125</v>
      </c>
      <c r="C64" t="s">
        <v>173</v>
      </c>
      <c r="D64" t="s">
        <v>0</v>
      </c>
      <c r="E64" t="s">
        <v>176</v>
      </c>
      <c r="F64" s="4">
        <v>3.8503249283040715</v>
      </c>
      <c r="G64" s="245">
        <v>0</v>
      </c>
      <c r="H64" s="226">
        <v>79200</v>
      </c>
      <c r="L64" s="225"/>
    </row>
    <row r="65" spans="1:12" x14ac:dyDescent="0.25">
      <c r="A65" t="s">
        <v>118</v>
      </c>
      <c r="B65" t="s">
        <v>125</v>
      </c>
      <c r="C65" t="s">
        <v>176</v>
      </c>
      <c r="D65" t="s">
        <v>0</v>
      </c>
      <c r="E65" t="s">
        <v>176</v>
      </c>
      <c r="F65" s="4">
        <v>1</v>
      </c>
      <c r="G65" s="245">
        <v>0</v>
      </c>
      <c r="H65" s="226">
        <v>131900</v>
      </c>
      <c r="L65" s="225"/>
    </row>
    <row r="66" spans="1:12" x14ac:dyDescent="0.25">
      <c r="A66" t="s">
        <v>118</v>
      </c>
      <c r="B66" t="s">
        <v>125</v>
      </c>
      <c r="C66" t="s">
        <v>174</v>
      </c>
      <c r="D66" t="s">
        <v>0</v>
      </c>
      <c r="E66" t="s">
        <v>175</v>
      </c>
      <c r="F66" s="4">
        <v>1.1476561241353886</v>
      </c>
      <c r="G66" s="245">
        <v>0</v>
      </c>
      <c r="H66" s="226">
        <v>95600</v>
      </c>
      <c r="L66" s="225"/>
    </row>
    <row r="67" spans="1:12" x14ac:dyDescent="0.25">
      <c r="A67" t="s">
        <v>118</v>
      </c>
      <c r="B67" t="s">
        <v>125</v>
      </c>
      <c r="C67" t="s">
        <v>175</v>
      </c>
      <c r="D67" t="s">
        <v>0</v>
      </c>
      <c r="E67" t="s">
        <v>175</v>
      </c>
      <c r="F67" s="4">
        <v>1</v>
      </c>
      <c r="G67" s="245">
        <v>0</v>
      </c>
      <c r="H67" s="226">
        <v>7008400</v>
      </c>
      <c r="L67" s="225"/>
    </row>
    <row r="68" spans="1:12" x14ac:dyDescent="0.25">
      <c r="A68" t="s">
        <v>118</v>
      </c>
      <c r="B68" t="s">
        <v>122</v>
      </c>
      <c r="C68" t="s">
        <v>94</v>
      </c>
      <c r="D68" t="s">
        <v>0</v>
      </c>
      <c r="E68" t="s">
        <v>94</v>
      </c>
      <c r="F68" s="4">
        <v>1</v>
      </c>
      <c r="G68" s="245">
        <v>0</v>
      </c>
      <c r="H68" s="226">
        <v>781200</v>
      </c>
      <c r="L68" s="225"/>
    </row>
    <row r="69" spans="1:12" x14ac:dyDescent="0.25">
      <c r="A69" t="s">
        <v>118</v>
      </c>
      <c r="B69" t="s">
        <v>122</v>
      </c>
      <c r="C69" t="s">
        <v>96</v>
      </c>
      <c r="D69" t="s">
        <v>0</v>
      </c>
      <c r="E69" t="s">
        <v>94</v>
      </c>
      <c r="F69" s="4">
        <v>1.0564521811944705</v>
      </c>
      <c r="G69" s="245">
        <v>0</v>
      </c>
      <c r="H69" s="226">
        <v>29334900</v>
      </c>
      <c r="L69" s="225"/>
    </row>
    <row r="70" spans="1:12" x14ac:dyDescent="0.25">
      <c r="A70" t="s">
        <v>118</v>
      </c>
      <c r="B70" t="s">
        <v>122</v>
      </c>
      <c r="C70" t="s">
        <v>93</v>
      </c>
      <c r="D70" t="s">
        <v>0</v>
      </c>
      <c r="E70" t="s">
        <v>95</v>
      </c>
      <c r="F70" s="4">
        <v>5.0823885560869106</v>
      </c>
      <c r="G70" s="245">
        <v>0</v>
      </c>
      <c r="H70" s="226">
        <v>1208400</v>
      </c>
      <c r="L70" s="225"/>
    </row>
    <row r="71" spans="1:12" x14ac:dyDescent="0.25">
      <c r="A71" t="s">
        <v>118</v>
      </c>
      <c r="B71" t="s">
        <v>122</v>
      </c>
      <c r="C71" t="s">
        <v>95</v>
      </c>
      <c r="D71" t="s">
        <v>0</v>
      </c>
      <c r="E71" t="s">
        <v>95</v>
      </c>
      <c r="F71" s="4">
        <v>1</v>
      </c>
      <c r="G71" s="245">
        <v>0</v>
      </c>
      <c r="H71" s="226">
        <v>548900</v>
      </c>
      <c r="L71" s="225"/>
    </row>
    <row r="72" spans="1:12" x14ac:dyDescent="0.25">
      <c r="A72" t="s">
        <v>118</v>
      </c>
      <c r="B72" t="s">
        <v>124</v>
      </c>
      <c r="C72" t="s">
        <v>97</v>
      </c>
      <c r="D72" t="s">
        <v>0</v>
      </c>
      <c r="E72" t="s">
        <v>97</v>
      </c>
      <c r="F72" s="4">
        <v>1</v>
      </c>
      <c r="G72" s="245">
        <v>0</v>
      </c>
      <c r="H72" s="226">
        <v>385800</v>
      </c>
      <c r="L72" s="225"/>
    </row>
    <row r="73" spans="1:12" x14ac:dyDescent="0.25">
      <c r="A73" t="s">
        <v>118</v>
      </c>
      <c r="B73" t="s">
        <v>124</v>
      </c>
      <c r="C73" t="s">
        <v>99</v>
      </c>
      <c r="D73" t="s">
        <v>0</v>
      </c>
      <c r="E73" t="s">
        <v>97</v>
      </c>
      <c r="F73" s="4">
        <v>2.3668484563063772</v>
      </c>
      <c r="G73" s="245">
        <v>0</v>
      </c>
      <c r="H73" s="226">
        <v>32225500</v>
      </c>
      <c r="L73" s="225"/>
    </row>
    <row r="74" spans="1:12" x14ac:dyDescent="0.25">
      <c r="A74" t="s">
        <v>118</v>
      </c>
      <c r="B74" t="s">
        <v>124</v>
      </c>
      <c r="C74" t="s">
        <v>126</v>
      </c>
      <c r="D74" t="s">
        <v>0</v>
      </c>
      <c r="E74" t="s">
        <v>98</v>
      </c>
      <c r="F74" s="4">
        <v>1.7171935444980413</v>
      </c>
      <c r="G74" s="245">
        <v>0</v>
      </c>
      <c r="H74" s="226">
        <v>107400</v>
      </c>
      <c r="L74" s="225"/>
    </row>
    <row r="75" spans="1:12" x14ac:dyDescent="0.25">
      <c r="A75" t="s">
        <v>118</v>
      </c>
      <c r="B75" t="s">
        <v>124</v>
      </c>
      <c r="C75" t="s">
        <v>98</v>
      </c>
      <c r="D75" t="s">
        <v>0</v>
      </c>
      <c r="E75" t="s">
        <v>98</v>
      </c>
      <c r="F75" s="4">
        <v>1</v>
      </c>
      <c r="G75" s="245">
        <v>0</v>
      </c>
      <c r="H75" s="226">
        <v>520900</v>
      </c>
      <c r="L75" s="225"/>
    </row>
    <row r="76" spans="1:12" x14ac:dyDescent="0.25">
      <c r="A76" t="s">
        <v>118</v>
      </c>
      <c r="B76" t="s">
        <v>123</v>
      </c>
      <c r="C76" t="s">
        <v>100</v>
      </c>
      <c r="D76" t="s">
        <v>0</v>
      </c>
      <c r="E76" t="s">
        <v>102</v>
      </c>
      <c r="F76" s="4">
        <v>3.8686656830198984</v>
      </c>
      <c r="G76" s="245">
        <v>0</v>
      </c>
      <c r="H76" s="226">
        <v>243200</v>
      </c>
      <c r="L76" s="225"/>
    </row>
    <row r="77" spans="1:12" x14ac:dyDescent="0.25">
      <c r="A77" t="s">
        <v>118</v>
      </c>
      <c r="B77" t="s">
        <v>123</v>
      </c>
      <c r="C77" t="s">
        <v>102</v>
      </c>
      <c r="D77" t="s">
        <v>0</v>
      </c>
      <c r="E77" t="s">
        <v>102</v>
      </c>
      <c r="F77" s="4">
        <v>1</v>
      </c>
      <c r="G77" s="245">
        <v>0</v>
      </c>
      <c r="H77" s="226">
        <v>590400</v>
      </c>
      <c r="L77" s="225"/>
    </row>
    <row r="78" spans="1:12" x14ac:dyDescent="0.25">
      <c r="A78" t="s">
        <v>118</v>
      </c>
      <c r="B78" t="s">
        <v>123</v>
      </c>
      <c r="C78" t="s">
        <v>101</v>
      </c>
      <c r="D78" t="s">
        <v>0</v>
      </c>
      <c r="E78" t="s">
        <v>103</v>
      </c>
      <c r="F78" s="4">
        <v>2.3649856470298629</v>
      </c>
      <c r="G78" s="245">
        <v>0</v>
      </c>
      <c r="H78" s="226">
        <v>699500</v>
      </c>
      <c r="L78" s="225"/>
    </row>
    <row r="79" spans="1:12" x14ac:dyDescent="0.25">
      <c r="A79" t="s">
        <v>118</v>
      </c>
      <c r="B79" t="s">
        <v>123</v>
      </c>
      <c r="C79" t="s">
        <v>103</v>
      </c>
      <c r="D79" t="s">
        <v>0</v>
      </c>
      <c r="E79" t="s">
        <v>103</v>
      </c>
      <c r="F79" s="4">
        <v>1</v>
      </c>
      <c r="G79" s="245">
        <v>0</v>
      </c>
      <c r="H79" s="226">
        <v>9124500</v>
      </c>
      <c r="L79" s="225"/>
    </row>
    <row r="80" spans="1:12" x14ac:dyDescent="0.25">
      <c r="A80" t="s">
        <v>118</v>
      </c>
      <c r="B80" t="s">
        <v>151</v>
      </c>
      <c r="C80" t="s">
        <v>104</v>
      </c>
      <c r="D80" t="s">
        <v>0</v>
      </c>
      <c r="E80" t="s">
        <v>127</v>
      </c>
      <c r="F80" s="4">
        <v>3.6154424655392772</v>
      </c>
      <c r="G80" s="245">
        <v>0</v>
      </c>
      <c r="H80" s="226">
        <v>130000</v>
      </c>
      <c r="L80" s="225"/>
    </row>
    <row r="81" spans="1:12" x14ac:dyDescent="0.25">
      <c r="A81" t="s">
        <v>118</v>
      </c>
      <c r="B81" t="s">
        <v>151</v>
      </c>
      <c r="C81" t="s">
        <v>127</v>
      </c>
      <c r="D81" t="s">
        <v>0</v>
      </c>
      <c r="E81" t="s">
        <v>127</v>
      </c>
      <c r="F81" s="4">
        <v>1</v>
      </c>
      <c r="G81" s="245">
        <v>0</v>
      </c>
      <c r="H81" s="226">
        <v>275400</v>
      </c>
      <c r="L81" s="225"/>
    </row>
    <row r="82" spans="1:12" x14ac:dyDescent="0.25">
      <c r="A82" t="s">
        <v>118</v>
      </c>
      <c r="B82" t="s">
        <v>151</v>
      </c>
      <c r="C82" t="s">
        <v>128</v>
      </c>
      <c r="D82" t="s">
        <v>0</v>
      </c>
      <c r="E82" t="s">
        <v>105</v>
      </c>
      <c r="F82" s="4">
        <v>1.086946260925983</v>
      </c>
      <c r="G82" s="245">
        <v>0</v>
      </c>
      <c r="H82" s="226">
        <v>127300</v>
      </c>
      <c r="L82" s="225"/>
    </row>
    <row r="83" spans="1:12" x14ac:dyDescent="0.25">
      <c r="A83" t="s">
        <v>118</v>
      </c>
      <c r="B83" t="s">
        <v>151</v>
      </c>
      <c r="C83" t="s">
        <v>105</v>
      </c>
      <c r="D83" t="s">
        <v>0</v>
      </c>
      <c r="E83" t="s">
        <v>105</v>
      </c>
      <c r="F83" s="4">
        <v>1</v>
      </c>
      <c r="G83" s="245">
        <v>0</v>
      </c>
      <c r="H83" s="226">
        <v>6800200</v>
      </c>
      <c r="L83" s="225"/>
    </row>
    <row r="84" spans="1:12" x14ac:dyDescent="0.25">
      <c r="A84" t="s">
        <v>118</v>
      </c>
      <c r="B84" t="s">
        <v>121</v>
      </c>
      <c r="C84" t="s">
        <v>107</v>
      </c>
      <c r="D84" t="s">
        <v>0</v>
      </c>
      <c r="E84" t="s">
        <v>107</v>
      </c>
      <c r="F84" s="4">
        <v>1</v>
      </c>
      <c r="G84" s="245">
        <v>0</v>
      </c>
      <c r="H84" s="226">
        <v>5240900</v>
      </c>
      <c r="L84" s="225"/>
    </row>
    <row r="85" spans="1:12" x14ac:dyDescent="0.25">
      <c r="A85" t="s">
        <v>118</v>
      </c>
      <c r="B85" t="s">
        <v>121</v>
      </c>
      <c r="C85" t="s">
        <v>109</v>
      </c>
      <c r="D85" t="s">
        <v>0</v>
      </c>
      <c r="E85" t="s">
        <v>107</v>
      </c>
      <c r="F85" s="4">
        <v>2.3238931731837456</v>
      </c>
      <c r="G85" s="245">
        <v>0</v>
      </c>
      <c r="H85" s="226">
        <v>5150900</v>
      </c>
      <c r="L85" s="225"/>
    </row>
    <row r="86" spans="1:12" x14ac:dyDescent="0.25">
      <c r="A86" t="s">
        <v>118</v>
      </c>
      <c r="B86" t="s">
        <v>121</v>
      </c>
      <c r="C86" t="s">
        <v>106</v>
      </c>
      <c r="D86" t="s">
        <v>0</v>
      </c>
      <c r="E86" t="s">
        <v>108</v>
      </c>
      <c r="F86" s="4">
        <v>3.2965473407357044</v>
      </c>
      <c r="G86" s="245">
        <v>0</v>
      </c>
      <c r="H86" s="226">
        <v>278600</v>
      </c>
      <c r="L86" s="225"/>
    </row>
    <row r="87" spans="1:12" x14ac:dyDescent="0.25">
      <c r="A87" t="s">
        <v>118</v>
      </c>
      <c r="B87" t="s">
        <v>121</v>
      </c>
      <c r="C87" t="s">
        <v>108</v>
      </c>
      <c r="D87" t="s">
        <v>0</v>
      </c>
      <c r="E87" t="s">
        <v>108</v>
      </c>
      <c r="F87" s="4">
        <v>1</v>
      </c>
      <c r="G87" s="245">
        <v>0</v>
      </c>
      <c r="H87" s="226">
        <v>3189600</v>
      </c>
      <c r="L87" s="225"/>
    </row>
    <row r="88" spans="1:12" x14ac:dyDescent="0.25">
      <c r="A88" t="s">
        <v>118</v>
      </c>
      <c r="B88" t="s">
        <v>119</v>
      </c>
      <c r="C88" t="s">
        <v>90</v>
      </c>
      <c r="D88" t="s">
        <v>0</v>
      </c>
      <c r="E88" t="s">
        <v>91</v>
      </c>
      <c r="F88" s="4">
        <v>4.2914684187241185</v>
      </c>
      <c r="G88" s="245">
        <v>0</v>
      </c>
      <c r="H88" s="226">
        <v>128000</v>
      </c>
      <c r="L88" s="225"/>
    </row>
    <row r="89" spans="1:12" x14ac:dyDescent="0.25">
      <c r="A89" t="s">
        <v>118</v>
      </c>
      <c r="B89" t="s">
        <v>119</v>
      </c>
      <c r="C89" t="s">
        <v>91</v>
      </c>
      <c r="D89" t="s">
        <v>0</v>
      </c>
      <c r="E89" t="s">
        <v>91</v>
      </c>
      <c r="F89" s="4">
        <v>1</v>
      </c>
      <c r="G89" s="245">
        <v>0</v>
      </c>
      <c r="H89" s="226">
        <v>157800</v>
      </c>
      <c r="L89" s="225"/>
    </row>
    <row r="90" spans="1:12" x14ac:dyDescent="0.25">
      <c r="A90" t="s">
        <v>118</v>
      </c>
      <c r="B90" t="s">
        <v>119</v>
      </c>
      <c r="C90" t="s">
        <v>129</v>
      </c>
      <c r="D90" t="s">
        <v>0</v>
      </c>
      <c r="E90" t="s">
        <v>92</v>
      </c>
      <c r="F90" s="4">
        <v>1.135506158949811</v>
      </c>
      <c r="G90" s="245">
        <v>0</v>
      </c>
      <c r="H90" s="226">
        <v>180800</v>
      </c>
    </row>
    <row r="91" spans="1:12" x14ac:dyDescent="0.25">
      <c r="A91" t="s">
        <v>118</v>
      </c>
      <c r="B91" t="s">
        <v>119</v>
      </c>
      <c r="C91" t="s">
        <v>92</v>
      </c>
      <c r="D91" t="s">
        <v>0</v>
      </c>
      <c r="E91" t="s">
        <v>92</v>
      </c>
      <c r="F91" s="4">
        <v>1</v>
      </c>
      <c r="G91" s="245">
        <v>0</v>
      </c>
      <c r="H91" s="226">
        <v>10427300</v>
      </c>
    </row>
    <row r="92" spans="1:12" x14ac:dyDescent="0.25">
      <c r="A92" t="s">
        <v>118</v>
      </c>
      <c r="B92" t="s">
        <v>147</v>
      </c>
      <c r="C92" t="s">
        <v>110</v>
      </c>
      <c r="D92" t="s">
        <v>0</v>
      </c>
      <c r="E92" t="s">
        <v>110</v>
      </c>
      <c r="F92" s="4">
        <v>1</v>
      </c>
      <c r="G92" s="245">
        <v>0</v>
      </c>
      <c r="H92" s="226">
        <v>262800</v>
      </c>
    </row>
    <row r="93" spans="1:12" x14ac:dyDescent="0.25">
      <c r="A93" t="s">
        <v>118</v>
      </c>
      <c r="B93" t="s">
        <v>147</v>
      </c>
      <c r="C93" t="s">
        <v>112</v>
      </c>
      <c r="D93" t="s">
        <v>0</v>
      </c>
      <c r="E93" t="s">
        <v>110</v>
      </c>
      <c r="F93" s="4">
        <v>2.3868196813451816</v>
      </c>
      <c r="G93" s="245">
        <v>0</v>
      </c>
      <c r="H93" s="226">
        <v>9982900</v>
      </c>
    </row>
    <row r="94" spans="1:12" x14ac:dyDescent="0.25">
      <c r="A94" t="s">
        <v>118</v>
      </c>
      <c r="B94" t="s">
        <v>147</v>
      </c>
      <c r="C94" t="s">
        <v>111</v>
      </c>
      <c r="D94" t="s">
        <v>0</v>
      </c>
      <c r="E94" t="s">
        <v>111</v>
      </c>
      <c r="F94" s="4">
        <v>1</v>
      </c>
      <c r="G94" s="245">
        <v>0</v>
      </c>
      <c r="H94" s="226">
        <v>548300</v>
      </c>
    </row>
    <row r="95" spans="1:12" x14ac:dyDescent="0.25">
      <c r="A95" t="s">
        <v>118</v>
      </c>
      <c r="B95" t="s">
        <v>147</v>
      </c>
      <c r="C95" t="s">
        <v>113</v>
      </c>
      <c r="D95" t="s">
        <v>0</v>
      </c>
      <c r="E95" t="s">
        <v>111</v>
      </c>
      <c r="F95" s="4">
        <v>1.3533217556995059</v>
      </c>
      <c r="G95" s="245">
        <v>0</v>
      </c>
      <c r="H95" s="226">
        <v>8082800</v>
      </c>
    </row>
    <row r="96" spans="1:12" x14ac:dyDescent="0.25">
      <c r="A96" t="s">
        <v>118</v>
      </c>
      <c r="B96" t="s">
        <v>120</v>
      </c>
      <c r="C96" t="s">
        <v>115</v>
      </c>
      <c r="D96" t="s">
        <v>0</v>
      </c>
      <c r="E96" t="s">
        <v>115</v>
      </c>
      <c r="F96" s="4">
        <v>1</v>
      </c>
      <c r="G96" s="245">
        <v>0</v>
      </c>
      <c r="H96" s="226">
        <v>141300</v>
      </c>
    </row>
    <row r="97" spans="1:8" x14ac:dyDescent="0.25">
      <c r="A97" t="s">
        <v>118</v>
      </c>
      <c r="B97" t="s">
        <v>120</v>
      </c>
      <c r="C97" t="s">
        <v>117</v>
      </c>
      <c r="D97" t="s">
        <v>0</v>
      </c>
      <c r="E97" t="s">
        <v>115</v>
      </c>
      <c r="F97" s="4">
        <v>2.546399854098417</v>
      </c>
      <c r="G97" s="245">
        <v>0</v>
      </c>
      <c r="H97" s="226">
        <v>19982000</v>
      </c>
    </row>
    <row r="98" spans="1:8" x14ac:dyDescent="0.25">
      <c r="A98" t="s">
        <v>118</v>
      </c>
      <c r="B98" t="s">
        <v>120</v>
      </c>
      <c r="C98" t="s">
        <v>114</v>
      </c>
      <c r="D98" t="s">
        <v>0</v>
      </c>
      <c r="E98" t="s">
        <v>116</v>
      </c>
      <c r="F98" s="4">
        <v>3.3499783423318319</v>
      </c>
      <c r="G98" s="245">
        <v>0</v>
      </c>
      <c r="H98" s="226">
        <v>398700</v>
      </c>
    </row>
    <row r="99" spans="1:8" x14ac:dyDescent="0.25">
      <c r="A99" t="s">
        <v>118</v>
      </c>
      <c r="B99" t="s">
        <v>120</v>
      </c>
      <c r="C99" t="s">
        <v>116</v>
      </c>
      <c r="D99" t="s">
        <v>0</v>
      </c>
      <c r="E99" t="s">
        <v>116</v>
      </c>
      <c r="F99" s="4">
        <v>1</v>
      </c>
      <c r="G99" s="245">
        <v>0</v>
      </c>
      <c r="H99" s="226">
        <v>278500</v>
      </c>
    </row>
    <row r="100" spans="1:8" x14ac:dyDescent="0.25">
      <c r="A100" t="s">
        <v>221</v>
      </c>
      <c r="B100" t="s">
        <v>215</v>
      </c>
      <c r="C100" t="s">
        <v>185</v>
      </c>
      <c r="D100" t="s">
        <v>0</v>
      </c>
      <c r="E100" t="s">
        <v>185</v>
      </c>
      <c r="F100" s="4">
        <v>1</v>
      </c>
      <c r="G100" s="245">
        <v>0</v>
      </c>
      <c r="H100" s="226">
        <v>23908800</v>
      </c>
    </row>
    <row r="101" spans="1:8" x14ac:dyDescent="0.25">
      <c r="A101" t="s">
        <v>221</v>
      </c>
      <c r="B101" t="s">
        <v>215</v>
      </c>
      <c r="C101" t="s">
        <v>186</v>
      </c>
      <c r="D101" t="s">
        <v>0</v>
      </c>
      <c r="E101" t="s">
        <v>185</v>
      </c>
      <c r="F101" s="4">
        <v>1.0837595047059256</v>
      </c>
      <c r="G101" s="245">
        <v>0</v>
      </c>
      <c r="H101" s="226">
        <v>22254300</v>
      </c>
    </row>
    <row r="102" spans="1:8" x14ac:dyDescent="0.25">
      <c r="A102" t="s">
        <v>221</v>
      </c>
      <c r="B102" t="s">
        <v>217</v>
      </c>
      <c r="C102" t="s">
        <v>190</v>
      </c>
      <c r="D102" t="s">
        <v>0</v>
      </c>
      <c r="E102" t="s">
        <v>193</v>
      </c>
      <c r="F102" s="4">
        <v>1.1241235925472164</v>
      </c>
      <c r="G102" s="245">
        <v>0.56542500000000007</v>
      </c>
      <c r="H102" s="226">
        <v>688400</v>
      </c>
    </row>
    <row r="103" spans="1:8" x14ac:dyDescent="0.25">
      <c r="A103" t="s">
        <v>221</v>
      </c>
      <c r="B103" t="s">
        <v>217</v>
      </c>
      <c r="C103" t="s">
        <v>193</v>
      </c>
      <c r="D103" t="s">
        <v>0</v>
      </c>
      <c r="E103" t="s">
        <v>193</v>
      </c>
      <c r="F103" s="4">
        <v>1</v>
      </c>
      <c r="G103" s="245">
        <v>0.30292600000000003</v>
      </c>
      <c r="H103" s="226">
        <v>589300</v>
      </c>
    </row>
    <row r="104" spans="1:8" x14ac:dyDescent="0.25">
      <c r="A104" t="s">
        <v>221</v>
      </c>
      <c r="B104" t="s">
        <v>218</v>
      </c>
      <c r="C104" t="s">
        <v>195</v>
      </c>
      <c r="D104" t="s">
        <v>0</v>
      </c>
      <c r="E104" t="s">
        <v>196</v>
      </c>
      <c r="F104" s="4">
        <v>1.4031228896171632</v>
      </c>
      <c r="G104" s="245">
        <v>0</v>
      </c>
      <c r="H104" s="226">
        <v>1467400</v>
      </c>
    </row>
    <row r="105" spans="1:8" x14ac:dyDescent="0.25">
      <c r="A105" t="s">
        <v>221</v>
      </c>
      <c r="B105" t="s">
        <v>218</v>
      </c>
      <c r="C105" t="s">
        <v>196</v>
      </c>
      <c r="D105" t="s">
        <v>0</v>
      </c>
      <c r="E105" t="s">
        <v>196</v>
      </c>
      <c r="F105" s="4">
        <v>1</v>
      </c>
      <c r="G105" s="245">
        <v>0</v>
      </c>
      <c r="H105" s="226">
        <v>1654300</v>
      </c>
    </row>
    <row r="106" spans="1:8" x14ac:dyDescent="0.25">
      <c r="A106" t="s">
        <v>221</v>
      </c>
      <c r="B106" t="s">
        <v>216</v>
      </c>
      <c r="C106" t="s">
        <v>187</v>
      </c>
      <c r="D106" t="s">
        <v>0</v>
      </c>
      <c r="E106" t="s">
        <v>188</v>
      </c>
      <c r="F106" s="4">
        <v>1.2945247839786598</v>
      </c>
      <c r="G106" s="245">
        <v>0.13809399999999999</v>
      </c>
      <c r="H106" s="226">
        <v>8539700</v>
      </c>
    </row>
    <row r="107" spans="1:8" x14ac:dyDescent="0.25">
      <c r="A107" t="s">
        <v>221</v>
      </c>
      <c r="B107" t="s">
        <v>216</v>
      </c>
      <c r="C107" t="s">
        <v>188</v>
      </c>
      <c r="D107" t="s">
        <v>0</v>
      </c>
      <c r="E107" t="s">
        <v>188</v>
      </c>
      <c r="F107" s="4">
        <v>1</v>
      </c>
      <c r="G107" s="245">
        <v>0.15678600000000001</v>
      </c>
      <c r="H107" s="226">
        <v>1597500</v>
      </c>
    </row>
    <row r="108" spans="1:8" x14ac:dyDescent="0.25">
      <c r="A108" t="s">
        <v>221</v>
      </c>
      <c r="B108" t="s">
        <v>121</v>
      </c>
      <c r="C108" t="s">
        <v>54</v>
      </c>
      <c r="D108" t="s">
        <v>0</v>
      </c>
      <c r="E108" t="s">
        <v>55</v>
      </c>
      <c r="F108" s="4">
        <v>2.7842164273568053</v>
      </c>
      <c r="G108" s="245">
        <v>0</v>
      </c>
      <c r="H108" s="226">
        <v>6125400</v>
      </c>
    </row>
    <row r="109" spans="1:8" x14ac:dyDescent="0.25">
      <c r="A109" t="s">
        <v>221</v>
      </c>
      <c r="B109" t="s">
        <v>121</v>
      </c>
      <c r="C109" t="s">
        <v>55</v>
      </c>
      <c r="D109" t="s">
        <v>0</v>
      </c>
      <c r="E109" t="s">
        <v>55</v>
      </c>
      <c r="F109" s="4">
        <v>1</v>
      </c>
      <c r="G109" s="245">
        <v>0</v>
      </c>
      <c r="H109" s="226">
        <v>549900</v>
      </c>
    </row>
  </sheetData>
  <sortState xmlns:xlrd2="http://schemas.microsoft.com/office/spreadsheetml/2017/richdata2" ref="A2:H107">
    <sortCondition ref="F2:F10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1F6C1-E4F3-4B42-9841-0C92920A773A}">
  <sheetPr codeName="Sheet3"/>
  <dimension ref="A1:O109"/>
  <sheetViews>
    <sheetView zoomScale="85" zoomScaleNormal="85" workbookViewId="0">
      <pane ySplit="1" topLeftCell="A71" activePane="bottomLeft" state="frozen"/>
      <selection pane="bottomLeft" activeCell="M92" sqref="M92"/>
    </sheetView>
  </sheetViews>
  <sheetFormatPr defaultRowHeight="15" x14ac:dyDescent="0.25"/>
  <cols>
    <col min="1" max="1" width="13.140625" bestFit="1" customWidth="1"/>
    <col min="2" max="2" width="11.42578125" bestFit="1" customWidth="1"/>
    <col min="3" max="3" width="12" bestFit="1" customWidth="1"/>
    <col min="4" max="4" width="15" style="6" bestFit="1" customWidth="1"/>
    <col min="5" max="5" width="16" style="2" bestFit="1" customWidth="1"/>
    <col min="6" max="6" width="16.28515625" style="2" bestFit="1" customWidth="1"/>
    <col min="7" max="7" width="15.28515625" style="6" bestFit="1" customWidth="1"/>
    <col min="8" max="8" width="19" style="2" bestFit="1" customWidth="1"/>
    <col min="9" max="9" width="10.28515625" style="6" bestFit="1" customWidth="1"/>
    <col min="10" max="10" width="19.7109375" style="6" bestFit="1" customWidth="1"/>
    <col min="11" max="11" width="11.42578125" bestFit="1" customWidth="1"/>
  </cols>
  <sheetData>
    <row r="1" spans="1:15" s="3" customFormat="1" x14ac:dyDescent="0.25">
      <c r="A1" s="5" t="s">
        <v>36</v>
      </c>
      <c r="B1" s="5" t="s">
        <v>2</v>
      </c>
      <c r="C1" s="5" t="s">
        <v>1</v>
      </c>
      <c r="D1" s="215" t="s">
        <v>37</v>
      </c>
      <c r="E1" s="215" t="s">
        <v>222</v>
      </c>
      <c r="F1" s="215" t="s">
        <v>223</v>
      </c>
      <c r="G1" s="262" t="s">
        <v>38</v>
      </c>
      <c r="H1" s="215" t="s">
        <v>39</v>
      </c>
      <c r="I1" s="215" t="s">
        <v>58</v>
      </c>
      <c r="J1" s="3" t="s">
        <v>40</v>
      </c>
      <c r="L1" s="5"/>
      <c r="N1" s="129"/>
      <c r="O1" s="244"/>
    </row>
    <row r="2" spans="1:15" x14ac:dyDescent="0.25">
      <c r="A2" t="s">
        <v>41</v>
      </c>
      <c r="B2" t="s">
        <v>8</v>
      </c>
      <c r="C2" t="s">
        <v>0</v>
      </c>
      <c r="D2" s="6">
        <v>48300</v>
      </c>
      <c r="E2" s="2">
        <v>95.4</v>
      </c>
      <c r="F2" s="2">
        <v>95.41</v>
      </c>
      <c r="G2" s="6">
        <v>78300</v>
      </c>
      <c r="H2" s="2">
        <v>96.25</v>
      </c>
      <c r="I2" s="6">
        <v>0</v>
      </c>
      <c r="J2" s="6" t="s">
        <v>301</v>
      </c>
    </row>
    <row r="3" spans="1:15" x14ac:dyDescent="0.25">
      <c r="A3" t="s">
        <v>41</v>
      </c>
      <c r="B3" t="s">
        <v>7</v>
      </c>
      <c r="C3" t="s">
        <v>0</v>
      </c>
      <c r="D3" s="6">
        <v>63000</v>
      </c>
      <c r="E3" s="2">
        <v>70.790000000000006</v>
      </c>
      <c r="F3" s="2">
        <v>70.8</v>
      </c>
      <c r="G3" s="6">
        <v>37100</v>
      </c>
      <c r="H3" s="2">
        <v>71.410004000000001</v>
      </c>
      <c r="I3" s="6">
        <v>0</v>
      </c>
      <c r="J3" s="6" t="s">
        <v>301</v>
      </c>
    </row>
    <row r="4" spans="1:15" x14ac:dyDescent="0.25">
      <c r="A4" t="s">
        <v>41</v>
      </c>
      <c r="B4" t="s">
        <v>5</v>
      </c>
      <c r="C4" t="s">
        <v>0</v>
      </c>
      <c r="D4" s="6">
        <v>211600</v>
      </c>
      <c r="E4" s="2">
        <v>22.29</v>
      </c>
      <c r="F4" s="2">
        <v>22.3</v>
      </c>
      <c r="G4" s="6">
        <v>205300</v>
      </c>
      <c r="H4" s="2">
        <v>22.49</v>
      </c>
      <c r="I4" s="6">
        <v>0</v>
      </c>
      <c r="J4" s="6" t="s">
        <v>301</v>
      </c>
    </row>
    <row r="5" spans="1:15" x14ac:dyDescent="0.25">
      <c r="A5" t="s">
        <v>41</v>
      </c>
      <c r="B5" t="s">
        <v>6</v>
      </c>
      <c r="C5" t="s">
        <v>0</v>
      </c>
      <c r="D5" s="6">
        <v>212200</v>
      </c>
      <c r="E5" s="2">
        <v>24.59</v>
      </c>
      <c r="F5" s="2">
        <v>24.6</v>
      </c>
      <c r="G5" s="6">
        <v>245900</v>
      </c>
      <c r="H5" s="2">
        <v>24.809999000000001</v>
      </c>
      <c r="I5" s="6">
        <v>0</v>
      </c>
      <c r="J5" s="6" t="s">
        <v>301</v>
      </c>
    </row>
    <row r="6" spans="1:15" x14ac:dyDescent="0.25">
      <c r="A6" t="s">
        <v>41</v>
      </c>
      <c r="B6" t="s">
        <v>45</v>
      </c>
      <c r="C6" t="s">
        <v>0</v>
      </c>
      <c r="D6" s="6">
        <v>4300</v>
      </c>
      <c r="E6" s="2">
        <v>54.64</v>
      </c>
      <c r="F6" s="2">
        <v>54.65</v>
      </c>
      <c r="G6" s="6">
        <v>4400</v>
      </c>
      <c r="H6" s="2">
        <v>55.029998999999997</v>
      </c>
      <c r="I6" s="6">
        <v>0</v>
      </c>
      <c r="J6" s="6" t="s">
        <v>301</v>
      </c>
    </row>
    <row r="7" spans="1:15" x14ac:dyDescent="0.25">
      <c r="A7" t="s">
        <v>41</v>
      </c>
      <c r="B7" t="s">
        <v>56</v>
      </c>
      <c r="C7" t="s">
        <v>0</v>
      </c>
      <c r="D7" s="6">
        <v>2500</v>
      </c>
      <c r="E7" s="2">
        <v>95.23</v>
      </c>
      <c r="F7" s="2">
        <v>95.24</v>
      </c>
      <c r="G7" s="6">
        <v>3500</v>
      </c>
      <c r="H7" s="2">
        <v>95.949996999999996</v>
      </c>
      <c r="I7" s="6">
        <v>0</v>
      </c>
      <c r="J7" s="6" t="s">
        <v>301</v>
      </c>
    </row>
    <row r="8" spans="1:15" x14ac:dyDescent="0.25">
      <c r="A8" t="s">
        <v>41</v>
      </c>
      <c r="B8" t="s">
        <v>46</v>
      </c>
      <c r="C8" t="s">
        <v>0</v>
      </c>
      <c r="D8" s="6">
        <v>100</v>
      </c>
      <c r="E8" s="2">
        <v>102.43</v>
      </c>
      <c r="F8" s="2">
        <v>102.47</v>
      </c>
      <c r="G8" s="6">
        <v>600</v>
      </c>
      <c r="H8" s="2">
        <v>103.470001</v>
      </c>
      <c r="I8" s="6">
        <v>0</v>
      </c>
      <c r="J8" s="6" t="s">
        <v>301</v>
      </c>
    </row>
    <row r="9" spans="1:15" x14ac:dyDescent="0.25">
      <c r="A9" t="s">
        <v>41</v>
      </c>
      <c r="B9" t="s">
        <v>50</v>
      </c>
      <c r="C9" t="s">
        <v>0</v>
      </c>
      <c r="D9" s="6">
        <v>1700</v>
      </c>
      <c r="E9" s="2">
        <v>114.25</v>
      </c>
      <c r="F9" s="2">
        <v>114.3</v>
      </c>
      <c r="G9" s="6">
        <v>700</v>
      </c>
      <c r="H9" s="2">
        <v>115.43</v>
      </c>
      <c r="I9" s="6">
        <v>0</v>
      </c>
      <c r="J9" s="6" t="s">
        <v>301</v>
      </c>
    </row>
    <row r="10" spans="1:15" x14ac:dyDescent="0.25">
      <c r="A10" t="s">
        <v>41</v>
      </c>
      <c r="B10" t="s">
        <v>31</v>
      </c>
      <c r="C10" t="s">
        <v>0</v>
      </c>
      <c r="D10" s="6">
        <v>200</v>
      </c>
      <c r="E10" s="2">
        <v>93</v>
      </c>
      <c r="F10" s="2">
        <v>93.02</v>
      </c>
      <c r="G10" s="6">
        <v>100</v>
      </c>
      <c r="H10" s="2">
        <v>93.860000999999997</v>
      </c>
      <c r="I10" s="6">
        <v>0</v>
      </c>
      <c r="J10" s="6" t="s">
        <v>301</v>
      </c>
    </row>
    <row r="11" spans="1:15" x14ac:dyDescent="0.25">
      <c r="A11" t="s">
        <v>41</v>
      </c>
      <c r="B11" t="s">
        <v>28</v>
      </c>
      <c r="C11" t="s">
        <v>0</v>
      </c>
      <c r="D11" s="6">
        <v>79900</v>
      </c>
      <c r="E11" s="2">
        <v>27.87</v>
      </c>
      <c r="F11" s="2">
        <v>27.88</v>
      </c>
      <c r="G11" s="6">
        <v>89600</v>
      </c>
      <c r="H11" s="2">
        <v>28.15</v>
      </c>
      <c r="I11" s="6">
        <v>0</v>
      </c>
      <c r="J11" s="6" t="s">
        <v>301</v>
      </c>
    </row>
    <row r="12" spans="1:15" x14ac:dyDescent="0.25">
      <c r="A12" t="s">
        <v>41</v>
      </c>
      <c r="B12" t="s">
        <v>29</v>
      </c>
      <c r="C12" t="s">
        <v>0</v>
      </c>
      <c r="D12" s="6">
        <v>48700</v>
      </c>
      <c r="E12" s="2">
        <v>49.3</v>
      </c>
      <c r="F12" s="2">
        <v>49.31</v>
      </c>
      <c r="G12" s="6">
        <v>24400</v>
      </c>
      <c r="H12" s="2">
        <v>49.759998000000003</v>
      </c>
      <c r="I12" s="6">
        <v>0</v>
      </c>
      <c r="J12" s="6" t="s">
        <v>301</v>
      </c>
    </row>
    <row r="13" spans="1:15" x14ac:dyDescent="0.25">
      <c r="A13" t="s">
        <v>41</v>
      </c>
      <c r="B13" t="s">
        <v>30</v>
      </c>
      <c r="C13" t="s">
        <v>0</v>
      </c>
      <c r="D13" s="6">
        <v>1400</v>
      </c>
      <c r="E13" s="2">
        <v>73.72</v>
      </c>
      <c r="F13" s="2">
        <v>73.73</v>
      </c>
      <c r="G13" s="6">
        <v>1100</v>
      </c>
      <c r="H13" s="2">
        <v>74.429001</v>
      </c>
      <c r="I13" s="6">
        <v>0</v>
      </c>
      <c r="J13" s="6" t="s">
        <v>301</v>
      </c>
    </row>
    <row r="14" spans="1:15" x14ac:dyDescent="0.25">
      <c r="A14" t="s">
        <v>41</v>
      </c>
      <c r="B14" t="s">
        <v>47</v>
      </c>
      <c r="C14" t="s">
        <v>0</v>
      </c>
      <c r="D14" s="6">
        <v>7000</v>
      </c>
      <c r="E14" s="2">
        <v>92.69</v>
      </c>
      <c r="F14" s="2">
        <v>92.7</v>
      </c>
      <c r="G14" s="6">
        <v>25700</v>
      </c>
      <c r="H14" s="2">
        <v>93.709998999999996</v>
      </c>
      <c r="I14" s="6">
        <v>0</v>
      </c>
      <c r="J14" s="6" t="s">
        <v>301</v>
      </c>
    </row>
    <row r="15" spans="1:15" x14ac:dyDescent="0.25">
      <c r="A15" t="s">
        <v>41</v>
      </c>
      <c r="B15" t="s">
        <v>57</v>
      </c>
      <c r="C15" t="s">
        <v>0</v>
      </c>
      <c r="D15" s="6">
        <v>200</v>
      </c>
      <c r="E15" s="2">
        <v>64.39</v>
      </c>
      <c r="F15" s="2">
        <v>64.400000000000006</v>
      </c>
      <c r="G15" s="6">
        <v>4600</v>
      </c>
      <c r="H15" s="2">
        <v>65.099997999999999</v>
      </c>
      <c r="I15" s="6">
        <v>0</v>
      </c>
      <c r="J15" s="6" t="s">
        <v>301</v>
      </c>
    </row>
    <row r="16" spans="1:15" x14ac:dyDescent="0.25">
      <c r="A16" t="s">
        <v>41</v>
      </c>
      <c r="B16" t="s">
        <v>42</v>
      </c>
      <c r="C16" t="s">
        <v>0</v>
      </c>
      <c r="D16" s="6">
        <v>14900</v>
      </c>
      <c r="E16" s="2">
        <v>28.32</v>
      </c>
      <c r="F16" s="2">
        <v>28.33</v>
      </c>
      <c r="G16" s="6">
        <v>18600</v>
      </c>
      <c r="H16" s="2">
        <v>28.559999000000001</v>
      </c>
      <c r="I16" s="6">
        <v>0</v>
      </c>
      <c r="J16" s="6" t="s">
        <v>301</v>
      </c>
    </row>
    <row r="17" spans="1:10" x14ac:dyDescent="0.25">
      <c r="A17" t="s">
        <v>41</v>
      </c>
      <c r="B17" t="s">
        <v>48</v>
      </c>
      <c r="C17" t="s">
        <v>0</v>
      </c>
      <c r="D17" s="6">
        <v>118200</v>
      </c>
      <c r="E17" s="2">
        <v>26.36</v>
      </c>
      <c r="F17" s="2">
        <v>26.37</v>
      </c>
      <c r="G17" s="6">
        <v>19800</v>
      </c>
      <c r="H17" s="2">
        <v>26.57</v>
      </c>
      <c r="I17" s="6">
        <v>0</v>
      </c>
      <c r="J17" s="6" t="s">
        <v>301</v>
      </c>
    </row>
    <row r="18" spans="1:10" x14ac:dyDescent="0.25">
      <c r="A18" t="s">
        <v>41</v>
      </c>
      <c r="B18" t="s">
        <v>16</v>
      </c>
      <c r="C18" t="s">
        <v>0</v>
      </c>
      <c r="D18" s="6">
        <v>224700</v>
      </c>
      <c r="E18" s="2">
        <v>78.13</v>
      </c>
      <c r="F18" s="2">
        <v>78.14</v>
      </c>
      <c r="G18" s="6">
        <v>69500</v>
      </c>
      <c r="H18" s="2">
        <v>78.669998000000007</v>
      </c>
      <c r="I18" s="6">
        <v>0</v>
      </c>
      <c r="J18" s="6" t="s">
        <v>301</v>
      </c>
    </row>
    <row r="19" spans="1:10" x14ac:dyDescent="0.25">
      <c r="A19" t="s">
        <v>41</v>
      </c>
      <c r="B19" t="s">
        <v>14</v>
      </c>
      <c r="C19" t="s">
        <v>0</v>
      </c>
      <c r="D19" s="6">
        <v>69600</v>
      </c>
      <c r="E19" s="2">
        <v>35.630000000000003</v>
      </c>
      <c r="F19" s="2">
        <v>35.64</v>
      </c>
      <c r="G19" s="6">
        <v>24200</v>
      </c>
      <c r="H19" s="2">
        <v>35.889999000000003</v>
      </c>
      <c r="I19" s="6">
        <v>0</v>
      </c>
      <c r="J19" s="6" t="s">
        <v>301</v>
      </c>
    </row>
    <row r="20" spans="1:10" x14ac:dyDescent="0.25">
      <c r="A20" t="s">
        <v>41</v>
      </c>
      <c r="B20" t="s">
        <v>17</v>
      </c>
      <c r="C20" t="s">
        <v>0</v>
      </c>
      <c r="D20" s="6">
        <v>60000</v>
      </c>
      <c r="E20" s="2">
        <v>94</v>
      </c>
      <c r="F20" s="2">
        <v>94.01</v>
      </c>
      <c r="G20" s="6">
        <v>35700</v>
      </c>
      <c r="H20" s="2">
        <v>94.720000999999996</v>
      </c>
      <c r="I20" s="6">
        <v>0</v>
      </c>
      <c r="J20" s="6" t="s">
        <v>301</v>
      </c>
    </row>
    <row r="21" spans="1:10" x14ac:dyDescent="0.25">
      <c r="A21" t="s">
        <v>41</v>
      </c>
      <c r="B21" t="s">
        <v>13</v>
      </c>
      <c r="C21" t="s">
        <v>0</v>
      </c>
      <c r="D21" s="6">
        <v>36800</v>
      </c>
      <c r="E21" s="2">
        <v>25.53</v>
      </c>
      <c r="F21" s="2">
        <v>25.54</v>
      </c>
      <c r="G21" s="6">
        <v>13200</v>
      </c>
      <c r="H21" s="2">
        <v>25.73</v>
      </c>
      <c r="I21" s="6">
        <v>0</v>
      </c>
      <c r="J21" s="6" t="s">
        <v>301</v>
      </c>
    </row>
    <row r="22" spans="1:10" x14ac:dyDescent="0.25">
      <c r="A22" t="s">
        <v>41</v>
      </c>
      <c r="B22" t="s">
        <v>12</v>
      </c>
      <c r="C22" t="s">
        <v>0</v>
      </c>
      <c r="D22" s="6">
        <v>373100</v>
      </c>
      <c r="E22" s="2">
        <v>22.86</v>
      </c>
      <c r="F22" s="2">
        <v>22.87</v>
      </c>
      <c r="G22" s="6">
        <v>214200</v>
      </c>
      <c r="H22" s="2">
        <v>23.030000999999999</v>
      </c>
      <c r="I22" s="6">
        <v>0</v>
      </c>
      <c r="J22" s="6" t="s">
        <v>301</v>
      </c>
    </row>
    <row r="23" spans="1:10" x14ac:dyDescent="0.25">
      <c r="A23" t="s">
        <v>41</v>
      </c>
      <c r="B23" t="s">
        <v>15</v>
      </c>
      <c r="C23" t="s">
        <v>0</v>
      </c>
      <c r="D23" s="6">
        <v>552000</v>
      </c>
      <c r="E23" s="2">
        <v>36.14</v>
      </c>
      <c r="F23" s="2">
        <v>36.15</v>
      </c>
      <c r="G23" s="6">
        <v>249900</v>
      </c>
      <c r="H23" s="2">
        <v>36.409999999999997</v>
      </c>
      <c r="I23" s="6">
        <v>0</v>
      </c>
      <c r="J23" s="6" t="s">
        <v>301</v>
      </c>
    </row>
    <row r="24" spans="1:10" x14ac:dyDescent="0.25">
      <c r="A24" t="s">
        <v>41</v>
      </c>
      <c r="B24" t="s">
        <v>43</v>
      </c>
      <c r="C24" t="s">
        <v>0</v>
      </c>
      <c r="D24" s="6">
        <v>106700</v>
      </c>
      <c r="E24" s="2">
        <v>46.93</v>
      </c>
      <c r="F24" s="2">
        <v>46.94</v>
      </c>
      <c r="G24" s="6">
        <v>79000</v>
      </c>
      <c r="H24" s="2">
        <v>47.259998000000003</v>
      </c>
      <c r="I24" s="6">
        <v>0</v>
      </c>
      <c r="J24" s="6" t="s">
        <v>301</v>
      </c>
    </row>
    <row r="25" spans="1:10" x14ac:dyDescent="0.25">
      <c r="A25" t="s">
        <v>41</v>
      </c>
      <c r="B25" t="s">
        <v>49</v>
      </c>
      <c r="C25" t="s">
        <v>0</v>
      </c>
      <c r="D25" s="6">
        <v>56800</v>
      </c>
      <c r="E25" s="2">
        <v>49.27</v>
      </c>
      <c r="F25" s="2">
        <v>49.28</v>
      </c>
      <c r="G25" s="6">
        <v>21400</v>
      </c>
      <c r="H25" s="2">
        <v>49.610000999999997</v>
      </c>
      <c r="I25" s="6">
        <v>0</v>
      </c>
      <c r="J25" s="6" t="s">
        <v>301</v>
      </c>
    </row>
    <row r="26" spans="1:10" x14ac:dyDescent="0.25">
      <c r="A26" t="s">
        <v>41</v>
      </c>
      <c r="B26" t="s">
        <v>44</v>
      </c>
      <c r="C26" t="s">
        <v>0</v>
      </c>
      <c r="D26" s="6">
        <v>2400</v>
      </c>
      <c r="E26" s="2">
        <v>21.27</v>
      </c>
      <c r="F26" s="2">
        <v>21.29</v>
      </c>
      <c r="G26" s="6">
        <v>2200</v>
      </c>
      <c r="H26" s="2">
        <v>21.559999000000001</v>
      </c>
      <c r="I26" s="6">
        <v>-4600</v>
      </c>
      <c r="J26" s="6" t="s">
        <v>301</v>
      </c>
    </row>
    <row r="27" spans="1:10" x14ac:dyDescent="0.25">
      <c r="A27" t="s">
        <v>41</v>
      </c>
      <c r="B27" t="s">
        <v>51</v>
      </c>
      <c r="C27" t="s">
        <v>0</v>
      </c>
      <c r="D27" s="6">
        <v>600</v>
      </c>
      <c r="E27" s="2">
        <v>40.049999999999997</v>
      </c>
      <c r="F27" s="2">
        <v>40.090000000000003</v>
      </c>
      <c r="G27" s="6">
        <v>1100</v>
      </c>
      <c r="H27" s="2">
        <v>40.590000000000003</v>
      </c>
      <c r="I27" s="6">
        <v>2430</v>
      </c>
      <c r="J27" s="6" t="s">
        <v>301</v>
      </c>
    </row>
    <row r="28" spans="1:10" x14ac:dyDescent="0.25">
      <c r="A28" t="s">
        <v>41</v>
      </c>
      <c r="B28" t="s">
        <v>23</v>
      </c>
      <c r="C28" t="s">
        <v>0</v>
      </c>
      <c r="D28" s="6">
        <v>27200</v>
      </c>
      <c r="E28" s="2">
        <v>46.98</v>
      </c>
      <c r="F28" s="2">
        <v>46.99</v>
      </c>
      <c r="G28" s="6">
        <v>14100</v>
      </c>
      <c r="H28" s="2">
        <v>47.720001000000003</v>
      </c>
      <c r="I28" s="6">
        <v>0</v>
      </c>
      <c r="J28" s="6" t="s">
        <v>301</v>
      </c>
    </row>
    <row r="29" spans="1:10" x14ac:dyDescent="0.25">
      <c r="A29" t="s">
        <v>41</v>
      </c>
      <c r="B29" t="s">
        <v>22</v>
      </c>
      <c r="C29" t="s">
        <v>0</v>
      </c>
      <c r="D29" s="6">
        <v>321400</v>
      </c>
      <c r="E29" s="2">
        <v>20.97</v>
      </c>
      <c r="F29" s="2">
        <v>20.98</v>
      </c>
      <c r="G29" s="6">
        <v>159200</v>
      </c>
      <c r="H29" s="2">
        <v>21.32</v>
      </c>
      <c r="I29" s="6">
        <v>0</v>
      </c>
      <c r="J29" s="6" t="s">
        <v>301</v>
      </c>
    </row>
    <row r="30" spans="1:10" x14ac:dyDescent="0.25">
      <c r="A30" t="s">
        <v>41</v>
      </c>
      <c r="B30" t="s">
        <v>24</v>
      </c>
      <c r="C30" t="s">
        <v>0</v>
      </c>
      <c r="D30" s="6">
        <v>12600</v>
      </c>
      <c r="E30" s="2">
        <v>70.5</v>
      </c>
      <c r="F30" s="2">
        <v>70.510000000000005</v>
      </c>
      <c r="G30" s="6">
        <v>14100</v>
      </c>
      <c r="H30" s="2">
        <v>71.669998000000007</v>
      </c>
      <c r="I30" s="6">
        <v>0</v>
      </c>
      <c r="J30" s="6" t="s">
        <v>301</v>
      </c>
    </row>
    <row r="31" spans="1:10" x14ac:dyDescent="0.25">
      <c r="A31" t="s">
        <v>41</v>
      </c>
      <c r="B31" t="s">
        <v>26</v>
      </c>
      <c r="C31" t="s">
        <v>0</v>
      </c>
      <c r="D31" s="6">
        <v>49900</v>
      </c>
      <c r="E31" s="2">
        <v>29.28</v>
      </c>
      <c r="F31" s="2">
        <v>29.29</v>
      </c>
      <c r="G31" s="6">
        <v>112600</v>
      </c>
      <c r="H31" s="2">
        <v>29.75</v>
      </c>
      <c r="I31" s="6">
        <v>0</v>
      </c>
      <c r="J31" s="6" t="s">
        <v>301</v>
      </c>
    </row>
    <row r="32" spans="1:10" x14ac:dyDescent="0.25">
      <c r="A32" t="s">
        <v>41</v>
      </c>
      <c r="B32" t="s">
        <v>25</v>
      </c>
      <c r="C32" t="s">
        <v>0</v>
      </c>
      <c r="D32" s="6">
        <v>327000</v>
      </c>
      <c r="E32" s="2">
        <v>24.54</v>
      </c>
      <c r="F32" s="2">
        <v>24.55</v>
      </c>
      <c r="G32" s="6">
        <v>323200</v>
      </c>
      <c r="H32" s="2">
        <v>24.940000999999999</v>
      </c>
      <c r="I32" s="6">
        <v>0</v>
      </c>
      <c r="J32" s="6" t="s">
        <v>301</v>
      </c>
    </row>
    <row r="33" spans="1:10" x14ac:dyDescent="0.25">
      <c r="A33" t="s">
        <v>41</v>
      </c>
      <c r="B33" t="s">
        <v>27</v>
      </c>
      <c r="C33" t="s">
        <v>0</v>
      </c>
      <c r="D33" s="6">
        <v>20600</v>
      </c>
      <c r="E33" s="2">
        <v>51.59</v>
      </c>
      <c r="F33" s="2">
        <v>51.6</v>
      </c>
      <c r="G33" s="6">
        <v>50800</v>
      </c>
      <c r="H33" s="2">
        <v>52.41</v>
      </c>
      <c r="I33" s="6">
        <v>0</v>
      </c>
      <c r="J33" s="6" t="s">
        <v>301</v>
      </c>
    </row>
    <row r="34" spans="1:10" x14ac:dyDescent="0.25">
      <c r="A34" t="s">
        <v>41</v>
      </c>
      <c r="B34" t="s">
        <v>20</v>
      </c>
      <c r="C34" t="s">
        <v>0</v>
      </c>
      <c r="D34" s="6">
        <v>5700</v>
      </c>
      <c r="E34" s="2">
        <v>90.51</v>
      </c>
      <c r="F34" s="2">
        <v>90.52</v>
      </c>
      <c r="G34" s="6">
        <v>5800</v>
      </c>
      <c r="H34" s="2">
        <v>91.449996999999996</v>
      </c>
      <c r="I34" s="6">
        <v>0</v>
      </c>
      <c r="J34" s="6" t="s">
        <v>301</v>
      </c>
    </row>
    <row r="35" spans="1:10" x14ac:dyDescent="0.25">
      <c r="A35" t="s">
        <v>41</v>
      </c>
      <c r="B35" t="s">
        <v>18</v>
      </c>
      <c r="C35" t="s">
        <v>0</v>
      </c>
      <c r="D35" s="6">
        <v>33700</v>
      </c>
      <c r="E35" s="2">
        <v>21.36</v>
      </c>
      <c r="F35" s="2">
        <v>21.37</v>
      </c>
      <c r="G35" s="6">
        <v>52200</v>
      </c>
      <c r="H35" s="2">
        <v>21.6</v>
      </c>
      <c r="I35" s="6">
        <v>0</v>
      </c>
      <c r="J35" s="6" t="s">
        <v>301</v>
      </c>
    </row>
    <row r="36" spans="1:10" x14ac:dyDescent="0.25">
      <c r="A36" t="s">
        <v>41</v>
      </c>
      <c r="B36" t="s">
        <v>19</v>
      </c>
      <c r="C36" t="s">
        <v>0</v>
      </c>
      <c r="D36" s="6">
        <v>20900</v>
      </c>
      <c r="E36" s="2">
        <v>44.88</v>
      </c>
      <c r="F36" s="2">
        <v>44.89</v>
      </c>
      <c r="G36" s="6">
        <v>16500</v>
      </c>
      <c r="H36" s="2">
        <v>45.369999</v>
      </c>
      <c r="I36" s="6">
        <v>0</v>
      </c>
      <c r="J36" s="6" t="s">
        <v>301</v>
      </c>
    </row>
    <row r="37" spans="1:10" x14ac:dyDescent="0.25">
      <c r="A37" t="s">
        <v>41</v>
      </c>
      <c r="B37" t="s">
        <v>4</v>
      </c>
      <c r="C37" t="s">
        <v>0</v>
      </c>
      <c r="D37" s="6">
        <v>4800</v>
      </c>
      <c r="E37" s="2">
        <v>102.03</v>
      </c>
      <c r="F37" s="2">
        <v>102.04</v>
      </c>
      <c r="G37" s="6">
        <v>5100</v>
      </c>
      <c r="H37" s="2">
        <v>102.75</v>
      </c>
      <c r="I37" s="6">
        <v>-2000</v>
      </c>
      <c r="J37" s="6" t="s">
        <v>301</v>
      </c>
    </row>
    <row r="38" spans="1:10" x14ac:dyDescent="0.25">
      <c r="A38" t="s">
        <v>41</v>
      </c>
      <c r="B38" t="s">
        <v>21</v>
      </c>
      <c r="C38" t="s">
        <v>0</v>
      </c>
      <c r="D38" s="6">
        <v>8500</v>
      </c>
      <c r="E38" s="2">
        <v>43.27</v>
      </c>
      <c r="F38" s="2">
        <v>43.28</v>
      </c>
      <c r="G38" s="6">
        <v>5700</v>
      </c>
      <c r="H38" s="2">
        <v>43.549999</v>
      </c>
      <c r="I38" s="6">
        <v>4700</v>
      </c>
      <c r="J38" s="6" t="s">
        <v>301</v>
      </c>
    </row>
    <row r="39" spans="1:10" x14ac:dyDescent="0.25">
      <c r="A39" t="s">
        <v>41</v>
      </c>
      <c r="B39" t="s">
        <v>3</v>
      </c>
      <c r="C39" t="s">
        <v>0</v>
      </c>
      <c r="D39" s="6">
        <v>68400</v>
      </c>
      <c r="E39" s="2">
        <v>47.9</v>
      </c>
      <c r="F39" s="2">
        <v>47.91</v>
      </c>
      <c r="G39" s="6">
        <v>39500</v>
      </c>
      <c r="H39" s="2">
        <v>48.200001</v>
      </c>
      <c r="I39" s="6">
        <v>0</v>
      </c>
      <c r="J39" s="6" t="s">
        <v>301</v>
      </c>
    </row>
    <row r="40" spans="1:10" x14ac:dyDescent="0.25">
      <c r="A40" t="s">
        <v>41</v>
      </c>
      <c r="B40" t="s">
        <v>52</v>
      </c>
      <c r="C40" t="s">
        <v>0</v>
      </c>
      <c r="D40" s="6">
        <v>30300</v>
      </c>
      <c r="E40" s="2">
        <v>29.9</v>
      </c>
      <c r="F40" s="2">
        <v>29.91</v>
      </c>
      <c r="G40" s="6">
        <v>22400</v>
      </c>
      <c r="H40" s="2">
        <v>30.129999000000002</v>
      </c>
      <c r="I40" s="6">
        <v>0</v>
      </c>
      <c r="J40" s="6" t="s">
        <v>301</v>
      </c>
    </row>
    <row r="41" spans="1:10" x14ac:dyDescent="0.25">
      <c r="A41" t="s">
        <v>41</v>
      </c>
      <c r="B41" t="s">
        <v>53</v>
      </c>
      <c r="C41" t="s">
        <v>0</v>
      </c>
      <c r="D41" s="6">
        <v>13700</v>
      </c>
      <c r="E41" s="2">
        <v>17.899999999999999</v>
      </c>
      <c r="F41" s="2">
        <v>17.91</v>
      </c>
      <c r="G41" s="6">
        <v>24200</v>
      </c>
      <c r="H41" s="2">
        <v>18.02</v>
      </c>
      <c r="I41" s="6">
        <v>0</v>
      </c>
      <c r="J41" s="6" t="s">
        <v>301</v>
      </c>
    </row>
    <row r="42" spans="1:10" x14ac:dyDescent="0.25">
      <c r="A42" t="s">
        <v>41</v>
      </c>
      <c r="B42" t="s">
        <v>183</v>
      </c>
      <c r="C42" t="s">
        <v>0</v>
      </c>
      <c r="D42" s="6">
        <v>200</v>
      </c>
      <c r="E42" s="2">
        <v>762726.53</v>
      </c>
      <c r="F42" s="2">
        <v>763068.67</v>
      </c>
      <c r="G42" s="6">
        <v>400</v>
      </c>
      <c r="H42" s="2">
        <v>755649.0625</v>
      </c>
      <c r="I42" s="6">
        <v>0</v>
      </c>
      <c r="J42" s="6" t="s">
        <v>301</v>
      </c>
    </row>
    <row r="43" spans="1:10" x14ac:dyDescent="0.25">
      <c r="A43" t="s">
        <v>41</v>
      </c>
      <c r="B43" t="s">
        <v>184</v>
      </c>
      <c r="C43" t="s">
        <v>0</v>
      </c>
      <c r="D43" s="6">
        <v>200</v>
      </c>
      <c r="E43" s="2">
        <v>508.39</v>
      </c>
      <c r="F43" s="2">
        <v>508.46</v>
      </c>
      <c r="G43" s="6">
        <v>300</v>
      </c>
      <c r="H43" s="2">
        <v>503.48998999999998</v>
      </c>
      <c r="I43" s="6">
        <v>0</v>
      </c>
      <c r="J43" s="6" t="s">
        <v>301</v>
      </c>
    </row>
    <row r="44" spans="1:10" x14ac:dyDescent="0.25">
      <c r="A44" t="s">
        <v>41</v>
      </c>
      <c r="B44" t="s">
        <v>168</v>
      </c>
      <c r="C44" t="s">
        <v>0</v>
      </c>
      <c r="D44" s="6">
        <v>200</v>
      </c>
      <c r="E44" s="2">
        <v>56.92</v>
      </c>
      <c r="F44" s="2">
        <v>56.97</v>
      </c>
      <c r="G44" s="6">
        <v>300</v>
      </c>
      <c r="H44" s="2">
        <v>57.32</v>
      </c>
      <c r="I44" s="6">
        <v>0</v>
      </c>
      <c r="J44" s="6" t="s">
        <v>301</v>
      </c>
    </row>
    <row r="45" spans="1:10" x14ac:dyDescent="0.25">
      <c r="A45" t="s">
        <v>41</v>
      </c>
      <c r="B45" t="s">
        <v>169</v>
      </c>
      <c r="C45" t="s">
        <v>0</v>
      </c>
      <c r="D45" s="6">
        <v>800</v>
      </c>
      <c r="E45" s="2">
        <v>63.81</v>
      </c>
      <c r="F45" s="2">
        <v>63.83</v>
      </c>
      <c r="G45" s="6">
        <v>300</v>
      </c>
      <c r="H45" s="2">
        <v>64.25</v>
      </c>
      <c r="I45" s="6">
        <v>0</v>
      </c>
      <c r="J45" s="6" t="s">
        <v>301</v>
      </c>
    </row>
    <row r="46" spans="1:10" x14ac:dyDescent="0.25">
      <c r="A46" t="s">
        <v>41</v>
      </c>
      <c r="B46" t="s">
        <v>166</v>
      </c>
      <c r="C46" t="s">
        <v>0</v>
      </c>
      <c r="D46" s="6">
        <v>100</v>
      </c>
      <c r="E46" s="2">
        <v>334.79</v>
      </c>
      <c r="F46" s="2">
        <v>334.81</v>
      </c>
      <c r="G46" s="6">
        <v>300</v>
      </c>
      <c r="H46" s="2">
        <v>347.41000400000001</v>
      </c>
      <c r="I46" s="6">
        <v>0</v>
      </c>
      <c r="J46" s="6" t="s">
        <v>301</v>
      </c>
    </row>
    <row r="47" spans="1:10" x14ac:dyDescent="0.25">
      <c r="A47" t="s">
        <v>41</v>
      </c>
      <c r="B47" t="s">
        <v>167</v>
      </c>
      <c r="C47" t="s">
        <v>0</v>
      </c>
      <c r="D47" s="6">
        <v>200</v>
      </c>
      <c r="E47" s="2">
        <v>338.02</v>
      </c>
      <c r="F47" s="2">
        <v>338.05</v>
      </c>
      <c r="G47" s="6">
        <v>700</v>
      </c>
      <c r="H47" s="2">
        <v>351.16000400000001</v>
      </c>
      <c r="I47" s="6">
        <v>0</v>
      </c>
      <c r="J47" s="6" t="s">
        <v>301</v>
      </c>
    </row>
    <row r="48" spans="1:10" x14ac:dyDescent="0.25">
      <c r="A48" t="s">
        <v>41</v>
      </c>
      <c r="B48" t="s">
        <v>172</v>
      </c>
      <c r="C48" t="s">
        <v>0</v>
      </c>
      <c r="D48" s="6">
        <v>100</v>
      </c>
      <c r="E48" s="2">
        <v>309.79000000000002</v>
      </c>
      <c r="F48" s="2">
        <v>309.94</v>
      </c>
      <c r="G48" s="6">
        <v>800</v>
      </c>
      <c r="H48" s="2">
        <v>307.76998900000001</v>
      </c>
      <c r="I48" s="6">
        <v>0</v>
      </c>
      <c r="J48" s="6" t="s">
        <v>301</v>
      </c>
    </row>
    <row r="49" spans="1:10" x14ac:dyDescent="0.25">
      <c r="A49" t="s">
        <v>41</v>
      </c>
      <c r="B49" t="s">
        <v>181</v>
      </c>
      <c r="C49" t="s">
        <v>0</v>
      </c>
      <c r="D49" s="6">
        <v>200</v>
      </c>
      <c r="E49" s="2">
        <v>230.67</v>
      </c>
      <c r="F49" s="2">
        <v>230.9</v>
      </c>
      <c r="G49" s="6">
        <v>300</v>
      </c>
      <c r="H49" s="2">
        <v>229.220001</v>
      </c>
      <c r="I49" s="6">
        <v>0</v>
      </c>
      <c r="J49" s="6" t="s">
        <v>301</v>
      </c>
    </row>
    <row r="50" spans="1:10" x14ac:dyDescent="0.25">
      <c r="A50" t="s">
        <v>41</v>
      </c>
      <c r="B50" t="s">
        <v>170</v>
      </c>
      <c r="C50" t="s">
        <v>0</v>
      </c>
      <c r="D50" s="6">
        <v>800</v>
      </c>
      <c r="E50" s="2">
        <v>31.17</v>
      </c>
      <c r="F50" s="2">
        <v>31.19</v>
      </c>
      <c r="G50" s="6">
        <v>900</v>
      </c>
      <c r="H50" s="2">
        <v>32.380001</v>
      </c>
      <c r="I50" s="6">
        <v>0</v>
      </c>
      <c r="J50" s="6" t="s">
        <v>301</v>
      </c>
    </row>
    <row r="51" spans="1:10" x14ac:dyDescent="0.25">
      <c r="A51" t="s">
        <v>41</v>
      </c>
      <c r="B51" t="s">
        <v>171</v>
      </c>
      <c r="C51" t="s">
        <v>0</v>
      </c>
      <c r="D51" s="6">
        <v>1200</v>
      </c>
      <c r="E51" s="2">
        <v>28.15</v>
      </c>
      <c r="F51" s="2">
        <v>28.16</v>
      </c>
      <c r="G51" s="6">
        <v>8000</v>
      </c>
      <c r="H51" s="2">
        <v>29.25</v>
      </c>
      <c r="I51" s="6">
        <v>0</v>
      </c>
      <c r="J51" s="6" t="s">
        <v>301</v>
      </c>
    </row>
    <row r="52" spans="1:10" x14ac:dyDescent="0.25">
      <c r="A52" t="s">
        <v>41</v>
      </c>
      <c r="B52" t="s">
        <v>248</v>
      </c>
      <c r="C52" t="s">
        <v>0</v>
      </c>
      <c r="D52" s="6">
        <v>40200</v>
      </c>
      <c r="E52" s="2">
        <v>4.45</v>
      </c>
      <c r="F52" s="2">
        <v>4.46</v>
      </c>
      <c r="G52" s="6">
        <v>12600</v>
      </c>
      <c r="H52" s="2">
        <v>4.63</v>
      </c>
      <c r="I52" s="6">
        <v>0</v>
      </c>
      <c r="J52" s="6" t="s">
        <v>301</v>
      </c>
    </row>
    <row r="53" spans="1:10" x14ac:dyDescent="0.25">
      <c r="A53" t="s">
        <v>41</v>
      </c>
      <c r="B53" t="s">
        <v>249</v>
      </c>
      <c r="C53" t="s">
        <v>0</v>
      </c>
      <c r="D53" s="6">
        <v>71000</v>
      </c>
      <c r="E53" s="2">
        <v>4.54</v>
      </c>
      <c r="F53" s="2">
        <v>4.55</v>
      </c>
      <c r="G53" s="6">
        <v>35400</v>
      </c>
      <c r="H53" s="2">
        <v>4.74</v>
      </c>
      <c r="I53" s="6">
        <v>0</v>
      </c>
      <c r="J53" s="6" t="s">
        <v>301</v>
      </c>
    </row>
    <row r="54" spans="1:10" x14ac:dyDescent="0.25">
      <c r="A54" t="s">
        <v>41</v>
      </c>
      <c r="B54" t="s">
        <v>252</v>
      </c>
      <c r="C54" t="s">
        <v>0</v>
      </c>
      <c r="D54" s="6">
        <v>600</v>
      </c>
      <c r="E54" s="2">
        <v>26.61</v>
      </c>
      <c r="F54" s="2">
        <v>26.66</v>
      </c>
      <c r="G54" s="6">
        <v>1000</v>
      </c>
      <c r="H54" s="2">
        <v>26.940000999999999</v>
      </c>
      <c r="I54" s="6">
        <v>0</v>
      </c>
      <c r="J54" s="6" t="s">
        <v>301</v>
      </c>
    </row>
    <row r="55" spans="1:10" x14ac:dyDescent="0.25">
      <c r="A55" t="s">
        <v>41</v>
      </c>
      <c r="B55" t="s">
        <v>253</v>
      </c>
      <c r="C55" t="s">
        <v>0</v>
      </c>
      <c r="D55" s="6">
        <v>900</v>
      </c>
      <c r="E55" s="2">
        <v>26.2</v>
      </c>
      <c r="F55" s="2">
        <v>26.21</v>
      </c>
      <c r="G55" s="6">
        <v>700</v>
      </c>
      <c r="H55" s="2">
        <v>26.559999000000001</v>
      </c>
      <c r="I55" s="6">
        <v>0</v>
      </c>
      <c r="J55" s="6" t="s">
        <v>301</v>
      </c>
    </row>
    <row r="56" spans="1:10" x14ac:dyDescent="0.25">
      <c r="A56" t="s">
        <v>41</v>
      </c>
      <c r="B56" t="s">
        <v>255</v>
      </c>
      <c r="C56" t="s">
        <v>0</v>
      </c>
      <c r="D56" s="6">
        <v>200</v>
      </c>
      <c r="E56" s="2">
        <v>374.21</v>
      </c>
      <c r="F56" s="2">
        <v>374.71</v>
      </c>
      <c r="G56" s="6">
        <v>100</v>
      </c>
      <c r="H56" s="2">
        <v>367.82998700000002</v>
      </c>
      <c r="I56" s="6">
        <v>0</v>
      </c>
      <c r="J56" s="6" t="s">
        <v>301</v>
      </c>
    </row>
    <row r="57" spans="1:10" x14ac:dyDescent="0.25">
      <c r="A57" t="s">
        <v>41</v>
      </c>
      <c r="B57" t="s">
        <v>256</v>
      </c>
      <c r="C57" t="s">
        <v>0</v>
      </c>
      <c r="D57" s="6">
        <v>300</v>
      </c>
      <c r="E57" s="2">
        <v>374.08</v>
      </c>
      <c r="F57" s="2">
        <v>381.68</v>
      </c>
      <c r="G57" s="6">
        <v>100</v>
      </c>
      <c r="H57" s="2">
        <v>376.80999800000001</v>
      </c>
      <c r="I57" s="6">
        <v>0</v>
      </c>
      <c r="J57" s="6" t="s">
        <v>301</v>
      </c>
    </row>
    <row r="58" spans="1:10" x14ac:dyDescent="0.25">
      <c r="A58" t="s">
        <v>41</v>
      </c>
      <c r="B58" t="s">
        <v>258</v>
      </c>
      <c r="C58" t="s">
        <v>0</v>
      </c>
      <c r="D58" s="6">
        <v>400</v>
      </c>
      <c r="E58" s="2">
        <v>81.72</v>
      </c>
      <c r="F58" s="2">
        <v>81.739999999999995</v>
      </c>
      <c r="G58" s="6">
        <v>900</v>
      </c>
      <c r="H58" s="2">
        <v>83.059997999999993</v>
      </c>
      <c r="I58" s="6">
        <v>0</v>
      </c>
      <c r="J58" s="6" t="s">
        <v>301</v>
      </c>
    </row>
    <row r="59" spans="1:10" x14ac:dyDescent="0.25">
      <c r="A59" t="s">
        <v>41</v>
      </c>
      <c r="B59" t="s">
        <v>259</v>
      </c>
      <c r="C59" t="s">
        <v>0</v>
      </c>
      <c r="D59" s="6">
        <v>100</v>
      </c>
      <c r="E59" s="2">
        <v>80.27</v>
      </c>
      <c r="F59" s="2">
        <v>80.33</v>
      </c>
      <c r="G59" s="6">
        <v>300</v>
      </c>
      <c r="H59" s="2">
        <v>81.459998999999996</v>
      </c>
      <c r="I59" s="6">
        <v>0</v>
      </c>
      <c r="J59" s="6" t="s">
        <v>301</v>
      </c>
    </row>
    <row r="60" spans="1:10" x14ac:dyDescent="0.25">
      <c r="A60" t="s">
        <v>41</v>
      </c>
      <c r="B60" t="s">
        <v>261</v>
      </c>
      <c r="C60" t="s">
        <v>0</v>
      </c>
      <c r="D60" s="6">
        <v>200</v>
      </c>
      <c r="E60" s="2">
        <v>58.07</v>
      </c>
      <c r="F60" s="2">
        <v>58.2</v>
      </c>
      <c r="G60" s="6">
        <v>200</v>
      </c>
      <c r="H60" s="2">
        <v>57.740001999999997</v>
      </c>
      <c r="I60" s="6">
        <v>0</v>
      </c>
      <c r="J60" s="6" t="s">
        <v>301</v>
      </c>
    </row>
    <row r="61" spans="1:10" x14ac:dyDescent="0.25">
      <c r="A61" t="s">
        <v>41</v>
      </c>
      <c r="B61" t="s">
        <v>262</v>
      </c>
      <c r="C61" t="s">
        <v>0</v>
      </c>
      <c r="D61" s="6">
        <v>400</v>
      </c>
      <c r="E61" s="2">
        <v>53.33</v>
      </c>
      <c r="F61" s="2">
        <v>53.38</v>
      </c>
      <c r="G61" s="6">
        <v>300</v>
      </c>
      <c r="H61" s="2">
        <v>52.834999000000003</v>
      </c>
      <c r="I61" s="6">
        <v>0</v>
      </c>
      <c r="J61" s="6" t="s">
        <v>301</v>
      </c>
    </row>
    <row r="62" spans="1:10" x14ac:dyDescent="0.25">
      <c r="A62" t="s">
        <v>41</v>
      </c>
      <c r="B62" t="s">
        <v>281</v>
      </c>
      <c r="C62" t="s">
        <v>0</v>
      </c>
      <c r="D62" s="6">
        <v>1000</v>
      </c>
      <c r="E62" s="2">
        <v>28.65</v>
      </c>
      <c r="F62" s="2">
        <v>28.66</v>
      </c>
      <c r="G62" s="6">
        <v>300</v>
      </c>
      <c r="H62" s="2">
        <v>30.950001</v>
      </c>
      <c r="I62" s="6">
        <v>0</v>
      </c>
      <c r="J62" s="6" t="s">
        <v>301</v>
      </c>
    </row>
    <row r="63" spans="1:10" x14ac:dyDescent="0.25">
      <c r="A63" t="s">
        <v>41</v>
      </c>
      <c r="B63" t="s">
        <v>282</v>
      </c>
      <c r="C63" t="s">
        <v>0</v>
      </c>
      <c r="D63" s="6">
        <v>200</v>
      </c>
      <c r="E63" s="2">
        <v>29.39</v>
      </c>
      <c r="F63" s="2">
        <v>29.41</v>
      </c>
      <c r="G63" s="6">
        <v>500</v>
      </c>
      <c r="H63" s="2">
        <v>31.59</v>
      </c>
      <c r="I63" s="6">
        <v>0</v>
      </c>
      <c r="J63" s="6" t="s">
        <v>301</v>
      </c>
    </row>
    <row r="64" spans="1:10" x14ac:dyDescent="0.25">
      <c r="A64" t="s">
        <v>41</v>
      </c>
      <c r="B64" t="s">
        <v>173</v>
      </c>
      <c r="C64" t="s">
        <v>0</v>
      </c>
      <c r="D64" s="6">
        <v>400</v>
      </c>
      <c r="E64" s="2">
        <v>96.43</v>
      </c>
      <c r="F64" s="2">
        <v>96.47</v>
      </c>
      <c r="G64" s="6">
        <v>5900</v>
      </c>
      <c r="H64" s="2">
        <v>97.910004000000001</v>
      </c>
      <c r="I64" s="6">
        <v>0</v>
      </c>
      <c r="J64" s="6" t="s">
        <v>301</v>
      </c>
    </row>
    <row r="65" spans="1:10" x14ac:dyDescent="0.25">
      <c r="A65" t="s">
        <v>41</v>
      </c>
      <c r="B65" t="s">
        <v>174</v>
      </c>
      <c r="C65" t="s">
        <v>0</v>
      </c>
      <c r="D65" s="6">
        <v>1900</v>
      </c>
      <c r="E65" s="2">
        <v>96.21</v>
      </c>
      <c r="F65" s="2">
        <v>96.23</v>
      </c>
      <c r="G65" s="6">
        <v>900</v>
      </c>
      <c r="H65" s="2">
        <v>97.470000999999996</v>
      </c>
      <c r="I65" s="6">
        <v>0</v>
      </c>
      <c r="J65" s="6" t="s">
        <v>301</v>
      </c>
    </row>
    <row r="66" spans="1:10" x14ac:dyDescent="0.25">
      <c r="A66" t="s">
        <v>41</v>
      </c>
      <c r="B66" t="s">
        <v>175</v>
      </c>
      <c r="C66" t="s">
        <v>0</v>
      </c>
      <c r="D66" s="6">
        <v>10800</v>
      </c>
      <c r="E66" s="2">
        <v>110.6</v>
      </c>
      <c r="F66" s="2">
        <v>110.61</v>
      </c>
      <c r="G66" s="6">
        <v>1700</v>
      </c>
      <c r="H66" s="2">
        <v>112.33000199999999</v>
      </c>
      <c r="I66" s="6">
        <v>0</v>
      </c>
      <c r="J66" s="6" t="s">
        <v>301</v>
      </c>
    </row>
    <row r="67" spans="1:10" x14ac:dyDescent="0.25">
      <c r="A67" t="s">
        <v>41</v>
      </c>
      <c r="B67" t="s">
        <v>176</v>
      </c>
      <c r="C67" t="s">
        <v>0</v>
      </c>
      <c r="D67" s="6">
        <v>1600</v>
      </c>
      <c r="E67" s="2">
        <v>371.21</v>
      </c>
      <c r="F67" s="2">
        <v>371.39</v>
      </c>
      <c r="G67" s="6">
        <v>1600</v>
      </c>
      <c r="H67" s="2">
        <v>377.024292</v>
      </c>
      <c r="I67" s="6">
        <v>0</v>
      </c>
      <c r="J67" s="6" t="s">
        <v>301</v>
      </c>
    </row>
    <row r="68" spans="1:10" x14ac:dyDescent="0.25">
      <c r="A68" t="s">
        <v>41</v>
      </c>
      <c r="B68" t="s">
        <v>93</v>
      </c>
      <c r="C68" t="s">
        <v>0</v>
      </c>
      <c r="D68" s="6">
        <v>52800</v>
      </c>
      <c r="E68" s="2">
        <v>34.4</v>
      </c>
      <c r="F68" s="2">
        <v>34.409999999999997</v>
      </c>
      <c r="G68" s="6">
        <v>14000</v>
      </c>
      <c r="H68" s="2">
        <v>34.099997999999999</v>
      </c>
      <c r="I68" s="6">
        <v>0</v>
      </c>
      <c r="J68" s="6" t="s">
        <v>301</v>
      </c>
    </row>
    <row r="69" spans="1:10" x14ac:dyDescent="0.25">
      <c r="A69" t="s">
        <v>41</v>
      </c>
      <c r="B69" t="s">
        <v>94</v>
      </c>
      <c r="C69" t="s">
        <v>0</v>
      </c>
      <c r="D69" s="6">
        <v>3800</v>
      </c>
      <c r="E69" s="2">
        <v>65.790000000000006</v>
      </c>
      <c r="F69" s="2">
        <v>65.8</v>
      </c>
      <c r="G69" s="6">
        <v>3700</v>
      </c>
      <c r="H69" s="2">
        <v>65.139999000000003</v>
      </c>
      <c r="I69" s="6">
        <v>4500</v>
      </c>
      <c r="J69" s="6" t="s">
        <v>301</v>
      </c>
    </row>
    <row r="70" spans="1:10" x14ac:dyDescent="0.25">
      <c r="A70" t="s">
        <v>41</v>
      </c>
      <c r="B70" t="s">
        <v>95</v>
      </c>
      <c r="C70" t="s">
        <v>0</v>
      </c>
      <c r="D70" s="6">
        <v>3600</v>
      </c>
      <c r="E70" s="2">
        <v>174.84</v>
      </c>
      <c r="F70" s="2">
        <v>174.88</v>
      </c>
      <c r="G70" s="6">
        <v>300</v>
      </c>
      <c r="H70" s="2">
        <v>173.28810100000001</v>
      </c>
      <c r="I70" s="6">
        <v>0</v>
      </c>
      <c r="J70" s="6" t="s">
        <v>301</v>
      </c>
    </row>
    <row r="71" spans="1:10" x14ac:dyDescent="0.25">
      <c r="A71" t="s">
        <v>41</v>
      </c>
      <c r="B71" t="s">
        <v>96</v>
      </c>
      <c r="C71" t="s">
        <v>0</v>
      </c>
      <c r="D71" s="6">
        <v>17000</v>
      </c>
      <c r="E71" s="2">
        <v>62.4</v>
      </c>
      <c r="F71" s="2">
        <v>62.41</v>
      </c>
      <c r="G71" s="6">
        <v>45100</v>
      </c>
      <c r="H71" s="2">
        <v>61.779998999999997</v>
      </c>
      <c r="I71" s="6">
        <v>-4756</v>
      </c>
      <c r="J71" s="6" t="s">
        <v>301</v>
      </c>
    </row>
    <row r="72" spans="1:10" x14ac:dyDescent="0.25">
      <c r="A72" t="s">
        <v>41</v>
      </c>
      <c r="B72" t="s">
        <v>126</v>
      </c>
      <c r="C72" t="s">
        <v>0</v>
      </c>
      <c r="D72" s="6">
        <v>700</v>
      </c>
      <c r="E72" s="2">
        <v>77.45</v>
      </c>
      <c r="F72" s="2">
        <v>77.459999999999994</v>
      </c>
      <c r="G72" s="6">
        <v>700</v>
      </c>
      <c r="H72" s="2">
        <v>77.819999999999993</v>
      </c>
      <c r="I72" s="6">
        <v>0</v>
      </c>
      <c r="J72" s="6" t="s">
        <v>301</v>
      </c>
    </row>
    <row r="73" spans="1:10" x14ac:dyDescent="0.25">
      <c r="A73" t="s">
        <v>41</v>
      </c>
      <c r="B73" t="s">
        <v>97</v>
      </c>
      <c r="C73" t="s">
        <v>0</v>
      </c>
      <c r="D73" s="6">
        <v>100</v>
      </c>
      <c r="E73" s="2">
        <v>129.19</v>
      </c>
      <c r="F73" s="2">
        <v>129.21</v>
      </c>
      <c r="G73" s="6">
        <v>700</v>
      </c>
      <c r="H73" s="2">
        <v>129.78999300000001</v>
      </c>
      <c r="I73" s="6">
        <v>0</v>
      </c>
      <c r="J73" s="6" t="s">
        <v>301</v>
      </c>
    </row>
    <row r="74" spans="1:10" x14ac:dyDescent="0.25">
      <c r="A74" t="s">
        <v>41</v>
      </c>
      <c r="B74" t="s">
        <v>98</v>
      </c>
      <c r="C74" t="s">
        <v>0</v>
      </c>
      <c r="D74" s="6">
        <v>200</v>
      </c>
      <c r="E74" s="2">
        <v>133.06</v>
      </c>
      <c r="F74" s="2">
        <v>133.07</v>
      </c>
      <c r="G74" s="6">
        <v>300</v>
      </c>
      <c r="H74" s="2">
        <v>133.67390399999999</v>
      </c>
      <c r="I74" s="6">
        <v>0</v>
      </c>
      <c r="J74" s="6" t="s">
        <v>301</v>
      </c>
    </row>
    <row r="75" spans="1:10" x14ac:dyDescent="0.25">
      <c r="A75" t="s">
        <v>41</v>
      </c>
      <c r="B75" t="s">
        <v>99</v>
      </c>
      <c r="C75" t="s">
        <v>0</v>
      </c>
      <c r="D75" s="6">
        <v>176100</v>
      </c>
      <c r="E75" s="2">
        <v>54.6</v>
      </c>
      <c r="F75" s="2">
        <v>54.61</v>
      </c>
      <c r="G75" s="6">
        <v>137900</v>
      </c>
      <c r="H75" s="2">
        <v>54.799999</v>
      </c>
      <c r="I75" s="6">
        <v>0</v>
      </c>
      <c r="J75" s="6" t="s">
        <v>301</v>
      </c>
    </row>
    <row r="76" spans="1:10" x14ac:dyDescent="0.25">
      <c r="A76" t="s">
        <v>41</v>
      </c>
      <c r="B76" t="s">
        <v>100</v>
      </c>
      <c r="C76" t="s">
        <v>0</v>
      </c>
      <c r="D76" s="6">
        <v>2700</v>
      </c>
      <c r="E76" s="2">
        <v>81.72</v>
      </c>
      <c r="F76" s="2">
        <v>81.739999999999995</v>
      </c>
      <c r="G76" s="6">
        <v>2200</v>
      </c>
      <c r="H76" s="2">
        <v>82.5</v>
      </c>
      <c r="I76" s="6">
        <v>0</v>
      </c>
      <c r="J76" s="6" t="s">
        <v>301</v>
      </c>
    </row>
    <row r="77" spans="1:10" x14ac:dyDescent="0.25">
      <c r="A77" t="s">
        <v>41</v>
      </c>
      <c r="B77" t="s">
        <v>101</v>
      </c>
      <c r="C77" t="s">
        <v>0</v>
      </c>
      <c r="D77" s="6">
        <v>3700</v>
      </c>
      <c r="E77" s="2">
        <v>71.56</v>
      </c>
      <c r="F77" s="2">
        <v>71.569999999999993</v>
      </c>
      <c r="G77" s="6">
        <v>6300</v>
      </c>
      <c r="H77" s="2">
        <v>72.080001999999993</v>
      </c>
      <c r="I77" s="6">
        <v>0</v>
      </c>
      <c r="J77" s="6" t="s">
        <v>301</v>
      </c>
    </row>
    <row r="78" spans="1:10" x14ac:dyDescent="0.25">
      <c r="A78" t="s">
        <v>41</v>
      </c>
      <c r="B78" t="s">
        <v>102</v>
      </c>
      <c r="C78" t="s">
        <v>0</v>
      </c>
      <c r="D78" s="6">
        <v>600</v>
      </c>
      <c r="E78" s="2">
        <v>316.27999999999997</v>
      </c>
      <c r="F78" s="2">
        <v>316.31</v>
      </c>
      <c r="G78" s="6">
        <v>200</v>
      </c>
      <c r="H78" s="2">
        <v>319.23150600000002</v>
      </c>
      <c r="I78" s="6">
        <v>0</v>
      </c>
      <c r="J78" s="6" t="s">
        <v>301</v>
      </c>
    </row>
    <row r="79" spans="1:10" x14ac:dyDescent="0.25">
      <c r="A79" t="s">
        <v>41</v>
      </c>
      <c r="B79" t="s">
        <v>103</v>
      </c>
      <c r="C79" t="s">
        <v>0</v>
      </c>
      <c r="D79" s="6">
        <v>6100</v>
      </c>
      <c r="E79" s="2">
        <v>168.84</v>
      </c>
      <c r="F79" s="2">
        <v>168.85</v>
      </c>
      <c r="G79" s="6">
        <v>300</v>
      </c>
      <c r="H79" s="2">
        <v>169.88999899999999</v>
      </c>
      <c r="I79" s="6">
        <v>0</v>
      </c>
      <c r="J79" s="6" t="s">
        <v>301</v>
      </c>
    </row>
    <row r="80" spans="1:10" x14ac:dyDescent="0.25">
      <c r="A80" t="s">
        <v>41</v>
      </c>
      <c r="B80" t="s">
        <v>104</v>
      </c>
      <c r="C80" t="s">
        <v>0</v>
      </c>
      <c r="D80" s="6">
        <v>100</v>
      </c>
      <c r="E80" s="2">
        <v>90.43</v>
      </c>
      <c r="F80" s="2">
        <v>90.46</v>
      </c>
      <c r="G80" s="6">
        <v>1000</v>
      </c>
      <c r="H80" s="2">
        <v>90.489998</v>
      </c>
      <c r="I80" s="6">
        <v>0</v>
      </c>
      <c r="J80" s="6" t="s">
        <v>301</v>
      </c>
    </row>
    <row r="81" spans="1:10" x14ac:dyDescent="0.25">
      <c r="A81" t="s">
        <v>41</v>
      </c>
      <c r="B81" t="s">
        <v>128</v>
      </c>
      <c r="C81" t="s">
        <v>0</v>
      </c>
      <c r="D81" s="6">
        <v>500</v>
      </c>
      <c r="E81" s="2">
        <v>156.26</v>
      </c>
      <c r="F81" s="2">
        <v>156.31</v>
      </c>
      <c r="G81" s="6">
        <v>600</v>
      </c>
      <c r="H81" s="2">
        <v>156.36999499999999</v>
      </c>
      <c r="I81" s="6">
        <v>0</v>
      </c>
      <c r="J81" s="6" t="s">
        <v>301</v>
      </c>
    </row>
    <row r="82" spans="1:10" x14ac:dyDescent="0.25">
      <c r="A82" t="s">
        <v>41</v>
      </c>
      <c r="B82" t="s">
        <v>127</v>
      </c>
      <c r="C82" t="s">
        <v>0</v>
      </c>
      <c r="D82" s="6">
        <v>100</v>
      </c>
      <c r="E82" s="2">
        <v>327.2</v>
      </c>
      <c r="F82" s="2">
        <v>327.27999999999997</v>
      </c>
      <c r="G82" s="6">
        <v>1000</v>
      </c>
      <c r="H82" s="2">
        <v>327.37780800000002</v>
      </c>
      <c r="I82" s="6">
        <v>0</v>
      </c>
      <c r="J82" s="6" t="s">
        <v>301</v>
      </c>
    </row>
    <row r="83" spans="1:10" x14ac:dyDescent="0.25">
      <c r="A83" t="s">
        <v>41</v>
      </c>
      <c r="B83" t="s">
        <v>105</v>
      </c>
      <c r="C83" t="s">
        <v>0</v>
      </c>
      <c r="D83" s="6">
        <v>2900</v>
      </c>
      <c r="E83" s="2">
        <v>170.27</v>
      </c>
      <c r="F83" s="2">
        <v>170.28</v>
      </c>
      <c r="G83" s="6">
        <v>600</v>
      </c>
      <c r="H83" s="2">
        <v>170.270004</v>
      </c>
      <c r="I83" s="6">
        <v>0</v>
      </c>
      <c r="J83" s="6" t="s">
        <v>301</v>
      </c>
    </row>
    <row r="84" spans="1:10" x14ac:dyDescent="0.25">
      <c r="A84" t="s">
        <v>41</v>
      </c>
      <c r="B84" t="s">
        <v>106</v>
      </c>
      <c r="C84" t="s">
        <v>0</v>
      </c>
      <c r="D84" s="6">
        <v>15600</v>
      </c>
      <c r="E84" s="2">
        <v>27.75</v>
      </c>
      <c r="F84" s="2">
        <v>27.76</v>
      </c>
      <c r="G84" s="6">
        <v>37500</v>
      </c>
      <c r="H84" s="2">
        <v>28.139999</v>
      </c>
      <c r="I84" s="6">
        <v>0</v>
      </c>
      <c r="J84" s="6" t="s">
        <v>301</v>
      </c>
    </row>
    <row r="85" spans="1:10" x14ac:dyDescent="0.25">
      <c r="A85" t="s">
        <v>41</v>
      </c>
      <c r="B85" t="s">
        <v>107</v>
      </c>
      <c r="C85" t="s">
        <v>0</v>
      </c>
      <c r="D85" s="6">
        <v>800</v>
      </c>
      <c r="E85" s="2">
        <v>97.34</v>
      </c>
      <c r="F85" s="2">
        <v>97.35</v>
      </c>
      <c r="G85" s="6">
        <v>10800</v>
      </c>
      <c r="H85" s="2">
        <v>98.68</v>
      </c>
      <c r="I85" s="6">
        <v>0</v>
      </c>
      <c r="J85" s="6" t="s">
        <v>301</v>
      </c>
    </row>
    <row r="86" spans="1:10" x14ac:dyDescent="0.25">
      <c r="A86" t="s">
        <v>41</v>
      </c>
      <c r="B86" t="s">
        <v>108</v>
      </c>
      <c r="C86" t="s">
        <v>0</v>
      </c>
      <c r="D86" s="6">
        <v>11300</v>
      </c>
      <c r="E86" s="2">
        <v>91.5</v>
      </c>
      <c r="F86" s="2">
        <v>91.51</v>
      </c>
      <c r="G86" s="6">
        <v>1700</v>
      </c>
      <c r="H86" s="2">
        <v>92.815398999999999</v>
      </c>
      <c r="I86" s="6">
        <v>0</v>
      </c>
      <c r="J86" s="6" t="s">
        <v>301</v>
      </c>
    </row>
    <row r="87" spans="1:10" x14ac:dyDescent="0.25">
      <c r="A87" t="s">
        <v>41</v>
      </c>
      <c r="B87" t="s">
        <v>109</v>
      </c>
      <c r="C87" t="s">
        <v>0</v>
      </c>
      <c r="D87" s="6">
        <v>26100</v>
      </c>
      <c r="E87" s="2">
        <v>41.89</v>
      </c>
      <c r="F87" s="2">
        <v>41.9</v>
      </c>
      <c r="G87" s="6">
        <v>73700</v>
      </c>
      <c r="H87" s="2">
        <v>42.5</v>
      </c>
      <c r="I87" s="6">
        <v>0</v>
      </c>
      <c r="J87" s="6" t="s">
        <v>301</v>
      </c>
    </row>
    <row r="88" spans="1:10" x14ac:dyDescent="0.25">
      <c r="A88" t="s">
        <v>41</v>
      </c>
      <c r="B88" t="s">
        <v>90</v>
      </c>
      <c r="C88" t="s">
        <v>0</v>
      </c>
      <c r="D88" s="6">
        <v>2500</v>
      </c>
      <c r="E88" s="2">
        <v>51.94</v>
      </c>
      <c r="F88" s="2">
        <v>51.95</v>
      </c>
      <c r="G88" s="6">
        <v>1300</v>
      </c>
      <c r="H88" s="2">
        <v>52.18</v>
      </c>
      <c r="I88" s="6">
        <v>0</v>
      </c>
      <c r="J88" s="6" t="s">
        <v>301</v>
      </c>
    </row>
    <row r="89" spans="1:10" x14ac:dyDescent="0.25">
      <c r="A89" t="s">
        <v>41</v>
      </c>
      <c r="B89" t="s">
        <v>129</v>
      </c>
      <c r="C89" t="s">
        <v>0</v>
      </c>
      <c r="D89" s="6">
        <v>1800</v>
      </c>
      <c r="E89" s="2">
        <v>72.06</v>
      </c>
      <c r="F89" s="2">
        <v>72.069999999999993</v>
      </c>
      <c r="G89" s="6">
        <v>3000</v>
      </c>
      <c r="H89" s="2">
        <v>72.459998999999996</v>
      </c>
      <c r="I89" s="6">
        <v>0</v>
      </c>
      <c r="J89" s="6" t="s">
        <v>301</v>
      </c>
    </row>
    <row r="90" spans="1:10" x14ac:dyDescent="0.25">
      <c r="A90" t="s">
        <v>41</v>
      </c>
      <c r="B90" t="s">
        <v>91</v>
      </c>
      <c r="C90" t="s">
        <v>0</v>
      </c>
      <c r="D90" s="6">
        <v>1300</v>
      </c>
      <c r="E90" s="2">
        <v>222.94</v>
      </c>
      <c r="F90" s="2">
        <v>223.01</v>
      </c>
      <c r="G90" s="6">
        <v>1800</v>
      </c>
      <c r="H90" s="2">
        <v>223.93879699999999</v>
      </c>
      <c r="I90" s="6">
        <v>0</v>
      </c>
      <c r="J90" s="6" t="s">
        <v>301</v>
      </c>
    </row>
    <row r="91" spans="1:10" x14ac:dyDescent="0.25">
      <c r="A91" t="s">
        <v>41</v>
      </c>
      <c r="B91" t="s">
        <v>92</v>
      </c>
      <c r="C91" t="s">
        <v>0</v>
      </c>
      <c r="D91" s="6">
        <v>30600</v>
      </c>
      <c r="E91" s="2">
        <v>82.32</v>
      </c>
      <c r="F91" s="2">
        <v>82.33</v>
      </c>
      <c r="G91" s="6">
        <v>5800</v>
      </c>
      <c r="H91" s="2">
        <v>82.730002999999996</v>
      </c>
      <c r="I91" s="6">
        <v>0</v>
      </c>
      <c r="J91" s="6" t="s">
        <v>301</v>
      </c>
    </row>
    <row r="92" spans="1:10" x14ac:dyDescent="0.25">
      <c r="A92" t="s">
        <v>41</v>
      </c>
      <c r="B92" t="s">
        <v>110</v>
      </c>
      <c r="C92" t="s">
        <v>0</v>
      </c>
      <c r="D92" s="6">
        <v>100</v>
      </c>
      <c r="E92" s="2">
        <v>299.61</v>
      </c>
      <c r="F92" s="2">
        <v>299.7</v>
      </c>
      <c r="G92" s="6">
        <v>2300</v>
      </c>
      <c r="H92" s="2">
        <v>301.51998900000001</v>
      </c>
      <c r="I92" s="6">
        <v>0</v>
      </c>
      <c r="J92" s="6" t="s">
        <v>301</v>
      </c>
    </row>
    <row r="93" spans="1:10" x14ac:dyDescent="0.25">
      <c r="A93" t="s">
        <v>41</v>
      </c>
      <c r="B93" t="s">
        <v>111</v>
      </c>
      <c r="C93" t="s">
        <v>0</v>
      </c>
      <c r="D93" s="6">
        <v>800</v>
      </c>
      <c r="E93" s="2">
        <v>264.33</v>
      </c>
      <c r="F93" s="2">
        <v>264.37</v>
      </c>
      <c r="G93" s="6">
        <v>1200</v>
      </c>
      <c r="H93" s="2">
        <v>265.98998999999998</v>
      </c>
      <c r="I93" s="6">
        <v>-2000</v>
      </c>
      <c r="J93" s="6" t="s">
        <v>301</v>
      </c>
    </row>
    <row r="94" spans="1:10" x14ac:dyDescent="0.25">
      <c r="A94" t="s">
        <v>41</v>
      </c>
      <c r="B94" t="s">
        <v>112</v>
      </c>
      <c r="C94" t="s">
        <v>0</v>
      </c>
      <c r="D94" s="6">
        <v>34600</v>
      </c>
      <c r="E94" s="2">
        <v>125.53</v>
      </c>
      <c r="F94" s="2">
        <v>125.54</v>
      </c>
      <c r="G94" s="6">
        <v>300</v>
      </c>
      <c r="H94" s="2">
        <v>126.263496</v>
      </c>
      <c r="I94" s="6">
        <v>0</v>
      </c>
      <c r="J94" s="6" t="s">
        <v>301</v>
      </c>
    </row>
    <row r="95" spans="1:10" x14ac:dyDescent="0.25">
      <c r="A95" t="s">
        <v>41</v>
      </c>
      <c r="B95" t="s">
        <v>113</v>
      </c>
      <c r="C95" t="s">
        <v>0</v>
      </c>
      <c r="D95" s="6">
        <v>1500</v>
      </c>
      <c r="E95" s="2">
        <v>195.12</v>
      </c>
      <c r="F95" s="2">
        <v>195.14</v>
      </c>
      <c r="G95" s="6">
        <v>2800</v>
      </c>
      <c r="H95" s="2">
        <v>196.270004</v>
      </c>
      <c r="I95" s="6">
        <v>2705</v>
      </c>
      <c r="J95" s="6" t="s">
        <v>301</v>
      </c>
    </row>
    <row r="96" spans="1:10" x14ac:dyDescent="0.25">
      <c r="A96" t="s">
        <v>41</v>
      </c>
      <c r="B96" t="s">
        <v>114</v>
      </c>
      <c r="C96" t="s">
        <v>0</v>
      </c>
      <c r="D96" s="6">
        <v>5600</v>
      </c>
      <c r="E96" s="2">
        <v>51.47</v>
      </c>
      <c r="F96" s="2">
        <v>51.48</v>
      </c>
      <c r="G96" s="6">
        <v>500</v>
      </c>
      <c r="H96" s="2">
        <v>52.400002000000001</v>
      </c>
      <c r="I96" s="6">
        <v>0</v>
      </c>
      <c r="J96" s="6" t="s">
        <v>301</v>
      </c>
    </row>
    <row r="97" spans="1:10" x14ac:dyDescent="0.25">
      <c r="A97" t="s">
        <v>41</v>
      </c>
      <c r="B97" t="s">
        <v>115</v>
      </c>
      <c r="C97" t="s">
        <v>0</v>
      </c>
      <c r="D97" s="6">
        <v>1200</v>
      </c>
      <c r="E97" s="2">
        <v>101.73</v>
      </c>
      <c r="F97" s="2">
        <v>101.75</v>
      </c>
      <c r="G97" s="6">
        <v>500</v>
      </c>
      <c r="H97" s="2">
        <v>103.44000200000001</v>
      </c>
      <c r="I97" s="6">
        <v>-1125</v>
      </c>
      <c r="J97" s="6" t="s">
        <v>301</v>
      </c>
    </row>
    <row r="98" spans="1:10" x14ac:dyDescent="0.25">
      <c r="A98" t="s">
        <v>41</v>
      </c>
      <c r="B98" t="s">
        <v>116</v>
      </c>
      <c r="C98" t="s">
        <v>0</v>
      </c>
      <c r="D98" s="6">
        <v>500</v>
      </c>
      <c r="E98" s="2">
        <v>172.47</v>
      </c>
      <c r="F98" s="2">
        <v>172.52</v>
      </c>
      <c r="G98" s="6">
        <v>200</v>
      </c>
      <c r="H98" s="2">
        <v>175.60200499999999</v>
      </c>
      <c r="I98" s="6">
        <v>0</v>
      </c>
      <c r="J98" s="6" t="s">
        <v>301</v>
      </c>
    </row>
    <row r="99" spans="1:10" x14ac:dyDescent="0.25">
      <c r="A99" t="s">
        <v>41</v>
      </c>
      <c r="B99" t="s">
        <v>117</v>
      </c>
      <c r="C99" t="s">
        <v>0</v>
      </c>
      <c r="D99" s="6">
        <v>100400</v>
      </c>
      <c r="E99" s="2">
        <v>39.76</v>
      </c>
      <c r="F99" s="2">
        <v>39.770000000000003</v>
      </c>
      <c r="G99" s="6">
        <v>114700</v>
      </c>
      <c r="H99" s="2">
        <v>40.529998999999997</v>
      </c>
      <c r="I99" s="6">
        <v>2850</v>
      </c>
      <c r="J99" s="6" t="s">
        <v>301</v>
      </c>
    </row>
    <row r="100" spans="1:10" x14ac:dyDescent="0.25">
      <c r="A100" t="s">
        <v>41</v>
      </c>
      <c r="B100" t="s">
        <v>190</v>
      </c>
      <c r="C100" t="s">
        <v>0</v>
      </c>
      <c r="D100" s="6">
        <v>1500</v>
      </c>
      <c r="E100" s="2">
        <v>214.07</v>
      </c>
      <c r="F100" s="2">
        <v>214.13</v>
      </c>
      <c r="G100" s="6">
        <v>200</v>
      </c>
      <c r="H100" s="2">
        <v>214</v>
      </c>
      <c r="I100" s="6">
        <v>0</v>
      </c>
      <c r="J100" s="6" t="s">
        <v>301</v>
      </c>
    </row>
    <row r="101" spans="1:10" x14ac:dyDescent="0.25">
      <c r="A101" t="s">
        <v>41</v>
      </c>
      <c r="B101" t="s">
        <v>193</v>
      </c>
      <c r="C101" t="s">
        <v>0</v>
      </c>
      <c r="D101" s="6">
        <v>600</v>
      </c>
      <c r="E101" s="2">
        <v>239.66</v>
      </c>
      <c r="F101" s="2">
        <v>239.82</v>
      </c>
      <c r="G101" s="6">
        <v>1200</v>
      </c>
      <c r="H101" s="2">
        <v>241.509995</v>
      </c>
      <c r="I101" s="6">
        <v>0</v>
      </c>
      <c r="J101" s="6" t="s">
        <v>301</v>
      </c>
    </row>
    <row r="102" spans="1:10" x14ac:dyDescent="0.25">
      <c r="A102" t="s">
        <v>41</v>
      </c>
      <c r="B102" t="s">
        <v>187</v>
      </c>
      <c r="C102" t="s">
        <v>0</v>
      </c>
      <c r="D102" s="6">
        <v>100</v>
      </c>
      <c r="E102" s="2">
        <v>155.36000000000001</v>
      </c>
      <c r="F102" s="2">
        <v>155.38</v>
      </c>
      <c r="G102" s="6">
        <v>300</v>
      </c>
      <c r="H102" s="2">
        <v>161.86999499999999</v>
      </c>
      <c r="I102" s="6">
        <v>0</v>
      </c>
      <c r="J102" s="6" t="s">
        <v>301</v>
      </c>
    </row>
    <row r="103" spans="1:10" x14ac:dyDescent="0.25">
      <c r="A103" t="s">
        <v>41</v>
      </c>
      <c r="B103" t="s">
        <v>188</v>
      </c>
      <c r="C103" t="s">
        <v>0</v>
      </c>
      <c r="D103" s="6">
        <v>2400</v>
      </c>
      <c r="E103" s="2">
        <v>206.5</v>
      </c>
      <c r="F103" s="2">
        <v>206.58</v>
      </c>
      <c r="G103" s="6">
        <v>1500</v>
      </c>
      <c r="H103" s="2">
        <v>210.80999800000001</v>
      </c>
      <c r="I103" s="6">
        <v>0</v>
      </c>
      <c r="J103" s="6" t="s">
        <v>301</v>
      </c>
    </row>
    <row r="104" spans="1:10" x14ac:dyDescent="0.25">
      <c r="A104" t="s">
        <v>41</v>
      </c>
      <c r="B104" t="s">
        <v>54</v>
      </c>
      <c r="C104" t="s">
        <v>0</v>
      </c>
      <c r="D104" s="6">
        <v>298000</v>
      </c>
      <c r="E104" s="2">
        <v>22.43</v>
      </c>
      <c r="F104" s="2">
        <v>22.44</v>
      </c>
      <c r="G104" s="6">
        <v>281100</v>
      </c>
      <c r="H104" s="2">
        <v>22.736799000000001</v>
      </c>
      <c r="I104" s="6">
        <v>0</v>
      </c>
      <c r="J104" s="6" t="s">
        <v>301</v>
      </c>
    </row>
    <row r="105" spans="1:10" x14ac:dyDescent="0.25">
      <c r="A105" t="s">
        <v>41</v>
      </c>
      <c r="B105" t="s">
        <v>55</v>
      </c>
      <c r="C105" t="s">
        <v>0</v>
      </c>
      <c r="D105" s="6">
        <v>9000</v>
      </c>
      <c r="E105" s="2">
        <v>62.56</v>
      </c>
      <c r="F105" s="2">
        <v>62.57</v>
      </c>
      <c r="G105" s="6">
        <v>2600</v>
      </c>
      <c r="H105" s="2">
        <v>63.259998000000003</v>
      </c>
      <c r="I105" s="6">
        <v>0</v>
      </c>
      <c r="J105" s="6" t="s">
        <v>301</v>
      </c>
    </row>
    <row r="106" spans="1:10" x14ac:dyDescent="0.25">
      <c r="A106" t="s">
        <v>41</v>
      </c>
      <c r="B106" t="s">
        <v>195</v>
      </c>
      <c r="C106" t="s">
        <v>0</v>
      </c>
      <c r="D106" s="6">
        <v>1000</v>
      </c>
      <c r="E106" s="2">
        <v>64.67</v>
      </c>
      <c r="F106" s="2">
        <v>64.680000000000007</v>
      </c>
      <c r="G106" s="6">
        <v>8200</v>
      </c>
      <c r="H106" s="2">
        <v>65.230002999999996</v>
      </c>
      <c r="I106" s="6">
        <v>0</v>
      </c>
      <c r="J106" s="6" t="s">
        <v>301</v>
      </c>
    </row>
    <row r="107" spans="1:10" x14ac:dyDescent="0.25">
      <c r="A107" t="s">
        <v>41</v>
      </c>
      <c r="B107" t="s">
        <v>196</v>
      </c>
      <c r="C107" t="s">
        <v>0</v>
      </c>
      <c r="D107" s="6">
        <v>2200</v>
      </c>
      <c r="E107" s="2">
        <v>89.29</v>
      </c>
      <c r="F107" s="2">
        <v>89.3</v>
      </c>
      <c r="G107" s="6">
        <v>1800</v>
      </c>
      <c r="H107" s="2">
        <v>90.209998999999996</v>
      </c>
      <c r="I107" s="6">
        <v>0</v>
      </c>
      <c r="J107" s="6" t="s">
        <v>301</v>
      </c>
    </row>
    <row r="108" spans="1:10" x14ac:dyDescent="0.25">
      <c r="A108" t="s">
        <v>41</v>
      </c>
      <c r="B108" t="s">
        <v>185</v>
      </c>
      <c r="C108" t="s">
        <v>0</v>
      </c>
      <c r="D108" s="6">
        <v>400</v>
      </c>
      <c r="E108" s="2">
        <v>600.28</v>
      </c>
      <c r="F108" s="2">
        <v>600.41999999999996</v>
      </c>
      <c r="G108" s="6">
        <v>200</v>
      </c>
      <c r="H108" s="2">
        <v>607.46002199999998</v>
      </c>
      <c r="I108" s="6">
        <v>0</v>
      </c>
      <c r="J108" s="6" t="s">
        <v>301</v>
      </c>
    </row>
    <row r="109" spans="1:10" x14ac:dyDescent="0.25">
      <c r="A109" t="s">
        <v>41</v>
      </c>
      <c r="B109" t="s">
        <v>186</v>
      </c>
      <c r="C109" t="s">
        <v>0</v>
      </c>
      <c r="D109" s="6">
        <v>200</v>
      </c>
      <c r="E109" s="2">
        <v>564.52</v>
      </c>
      <c r="F109" s="2">
        <v>564.65</v>
      </c>
      <c r="G109" s="6">
        <v>200</v>
      </c>
      <c r="H109" s="2">
        <v>572.78002900000001</v>
      </c>
      <c r="I109" s="6">
        <v>0</v>
      </c>
      <c r="J109" s="6" t="s">
        <v>301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3CA3-6BAF-4DE9-9A96-345BF7575CFF}">
  <sheetPr codeName="Sheet4"/>
  <dimension ref="A1:AK51"/>
  <sheetViews>
    <sheetView topLeftCell="G1" zoomScale="85" zoomScaleNormal="85" workbookViewId="0">
      <selection activeCell="S7" sqref="S7:S8"/>
    </sheetView>
  </sheetViews>
  <sheetFormatPr defaultColWidth="20.140625" defaultRowHeight="15" x14ac:dyDescent="0.25"/>
  <cols>
    <col min="1" max="1" width="8.140625" style="10" bestFit="1" customWidth="1"/>
    <col min="2" max="2" width="9.42578125" style="10" bestFit="1" customWidth="1"/>
    <col min="3" max="3" width="17.85546875" style="10" bestFit="1" customWidth="1"/>
    <col min="4" max="4" width="11.5703125" style="10" bestFit="1" customWidth="1"/>
    <col min="5" max="5" width="7.7109375" style="8" bestFit="1" customWidth="1"/>
    <col min="6" max="6" width="8" style="10" bestFit="1" customWidth="1"/>
    <col min="7" max="7" width="7.85546875" style="8" bestFit="1" customWidth="1"/>
    <col min="8" max="10" width="9" style="2" bestFit="1" customWidth="1"/>
    <col min="11" max="12" width="10" style="13" bestFit="1" customWidth="1"/>
    <col min="13" max="13" width="8.5703125" style="52" bestFit="1" customWidth="1"/>
    <col min="14" max="15" width="10" style="7" bestFit="1" customWidth="1"/>
    <col min="16" max="17" width="10" bestFit="1" customWidth="1"/>
    <col min="18" max="18" width="11" style="11" bestFit="1" customWidth="1"/>
    <col min="19" max="19" width="8.85546875" bestFit="1" customWidth="1"/>
    <col min="20" max="20" width="9.7109375" style="30" bestFit="1" customWidth="1"/>
    <col min="21" max="22" width="9.7109375" style="30" customWidth="1"/>
    <col min="23" max="23" width="9.5703125" style="26" bestFit="1" customWidth="1"/>
    <col min="24" max="24" width="9.7109375" style="26" bestFit="1" customWidth="1"/>
    <col min="25" max="25" width="10.7109375" style="1" bestFit="1" customWidth="1"/>
    <col min="26" max="26" width="7.7109375" bestFit="1" customWidth="1"/>
    <col min="27" max="27" width="10.7109375" bestFit="1" customWidth="1"/>
    <col min="28" max="28" width="7.7109375" bestFit="1" customWidth="1"/>
    <col min="29" max="29" width="9.5703125" bestFit="1" customWidth="1"/>
    <col min="30" max="30" width="10.5703125" bestFit="1" customWidth="1"/>
    <col min="31" max="31" width="9" bestFit="1" customWidth="1"/>
    <col min="32" max="32" width="6.140625" bestFit="1" customWidth="1"/>
    <col min="33" max="33" width="8.7109375" bestFit="1" customWidth="1"/>
    <col min="34" max="34" width="11.28515625" bestFit="1" customWidth="1"/>
    <col min="35" max="35" width="10.5703125" bestFit="1" customWidth="1"/>
    <col min="36" max="36" width="9.7109375" bestFit="1" customWidth="1"/>
  </cols>
  <sheetData>
    <row r="1" spans="1:37" x14ac:dyDescent="0.25">
      <c r="E1" s="10"/>
      <c r="G1" s="10"/>
      <c r="H1" s="10"/>
      <c r="I1" s="275"/>
      <c r="J1" s="299"/>
      <c r="K1" s="413">
        <v>5.4999999999999997E-3</v>
      </c>
      <c r="L1" s="413"/>
      <c r="M1" s="300"/>
      <c r="N1" s="19"/>
      <c r="O1" s="19"/>
      <c r="P1" s="441" t="str">
        <f>'MKT DATA'!J2</f>
        <v>2026-09-23_15-46-38</v>
      </c>
      <c r="Q1" s="441"/>
      <c r="R1" s="441"/>
      <c r="S1" s="441"/>
      <c r="T1" s="301"/>
      <c r="U1" s="301"/>
      <c r="V1" s="301"/>
      <c r="W1" s="301"/>
      <c r="X1"/>
      <c r="Y1" s="28"/>
      <c r="Z1" s="54"/>
      <c r="AA1" s="28"/>
      <c r="AB1" s="302"/>
      <c r="AG1" s="435" t="s">
        <v>208</v>
      </c>
      <c r="AH1" s="437">
        <f ca="1">SUM(AH5:AH18)</f>
        <v>24.395399999992833</v>
      </c>
      <c r="AI1" s="439">
        <f ca="1">SUM(AI5:AI18)</f>
        <v>24.395399999992833</v>
      </c>
    </row>
    <row r="2" spans="1:37" ht="15.75" thickBot="1" x14ac:dyDescent="0.3">
      <c r="E2" s="10"/>
      <c r="G2" s="10"/>
      <c r="H2" s="10"/>
      <c r="J2" s="243"/>
      <c r="K2" s="414"/>
      <c r="L2" s="414"/>
      <c r="M2" s="7"/>
      <c r="P2" s="442"/>
      <c r="Q2" s="442"/>
      <c r="R2" s="442"/>
      <c r="S2" s="442"/>
      <c r="W2" s="1"/>
      <c r="X2"/>
      <c r="Y2"/>
      <c r="AC2" s="92"/>
      <c r="AD2" s="92"/>
      <c r="AE2" s="92"/>
      <c r="AF2" s="92"/>
      <c r="AG2" s="436"/>
      <c r="AH2" s="438"/>
      <c r="AI2" s="440"/>
    </row>
    <row r="3" spans="1:37" x14ac:dyDescent="0.25">
      <c r="A3" s="423" t="s">
        <v>64</v>
      </c>
      <c r="B3" s="424"/>
      <c r="C3" s="152"/>
      <c r="D3" s="131"/>
      <c r="E3" s="76"/>
      <c r="F3" s="58"/>
      <c r="G3" s="58"/>
      <c r="H3" s="427" t="s">
        <v>66</v>
      </c>
      <c r="I3" s="428"/>
      <c r="J3" s="157"/>
      <c r="K3" s="433" t="s">
        <v>212</v>
      </c>
      <c r="L3" s="434"/>
      <c r="M3" s="39"/>
      <c r="N3" s="429" t="s">
        <v>69</v>
      </c>
      <c r="O3" s="430"/>
      <c r="P3" s="417" t="s">
        <v>81</v>
      </c>
      <c r="Q3" s="418"/>
      <c r="R3" s="419" t="s">
        <v>82</v>
      </c>
      <c r="S3" s="420"/>
      <c r="T3" s="45" t="s">
        <v>79</v>
      </c>
      <c r="U3" s="354" t="s">
        <v>80</v>
      </c>
      <c r="V3" s="355" t="s">
        <v>80</v>
      </c>
      <c r="W3" s="46" t="s">
        <v>79</v>
      </c>
      <c r="X3" s="425" t="s">
        <v>70</v>
      </c>
      <c r="Y3" s="425"/>
      <c r="Z3" s="425"/>
      <c r="AA3" s="426"/>
      <c r="AB3" s="266"/>
      <c r="AC3" s="45"/>
      <c r="AD3" s="47" t="s">
        <v>207</v>
      </c>
      <c r="AE3" s="47" t="s">
        <v>210</v>
      </c>
      <c r="AF3" s="47"/>
      <c r="AG3" s="47" t="s">
        <v>211</v>
      </c>
      <c r="AH3" s="47"/>
      <c r="AI3" s="46" t="s">
        <v>118</v>
      </c>
    </row>
    <row r="4" spans="1:37" ht="15.75" thickBot="1" x14ac:dyDescent="0.3">
      <c r="A4" s="31" t="s">
        <v>202</v>
      </c>
      <c r="B4" s="32" t="s">
        <v>65</v>
      </c>
      <c r="C4" s="31" t="s">
        <v>118</v>
      </c>
      <c r="D4" s="132" t="s">
        <v>150</v>
      </c>
      <c r="E4" s="77" t="s">
        <v>76</v>
      </c>
      <c r="F4" s="130" t="s">
        <v>89</v>
      </c>
      <c r="G4" s="59" t="s">
        <v>59</v>
      </c>
      <c r="H4" s="63" t="s">
        <v>67</v>
      </c>
      <c r="I4" s="64" t="s">
        <v>68</v>
      </c>
      <c r="J4" s="158" t="s">
        <v>148</v>
      </c>
      <c r="K4" s="297" t="s">
        <v>67</v>
      </c>
      <c r="L4" s="298" t="s">
        <v>68</v>
      </c>
      <c r="M4" s="66" t="s">
        <v>60</v>
      </c>
      <c r="N4" s="67" t="s">
        <v>62</v>
      </c>
      <c r="O4" s="68" t="s">
        <v>63</v>
      </c>
      <c r="P4" s="40" t="s">
        <v>77</v>
      </c>
      <c r="Q4" s="350" t="s">
        <v>32</v>
      </c>
      <c r="R4" s="351" t="s">
        <v>77</v>
      </c>
      <c r="S4" s="48" t="s">
        <v>32</v>
      </c>
      <c r="T4" s="69" t="s">
        <v>83</v>
      </c>
      <c r="U4" s="356" t="s">
        <v>84</v>
      </c>
      <c r="V4" s="357" t="s">
        <v>83</v>
      </c>
      <c r="W4" s="70" t="s">
        <v>84</v>
      </c>
      <c r="X4" s="221" t="s">
        <v>71</v>
      </c>
      <c r="Y4" s="222" t="s">
        <v>86</v>
      </c>
      <c r="Z4" s="223" t="s">
        <v>85</v>
      </c>
      <c r="AA4" s="224" t="s">
        <v>72</v>
      </c>
      <c r="AB4" s="59" t="str">
        <f t="shared" ref="AB4:AB18" si="0">G4</f>
        <v>symbol</v>
      </c>
      <c r="AC4" s="272" t="s">
        <v>203</v>
      </c>
      <c r="AD4" s="273" t="s">
        <v>209</v>
      </c>
      <c r="AE4" s="273" t="s">
        <v>205</v>
      </c>
      <c r="AF4" s="273" t="s">
        <v>204</v>
      </c>
      <c r="AG4" s="273" t="s">
        <v>205</v>
      </c>
      <c r="AH4" s="277" t="s">
        <v>206</v>
      </c>
      <c r="AI4" s="64" t="s">
        <v>206</v>
      </c>
    </row>
    <row r="5" spans="1:37" x14ac:dyDescent="0.25">
      <c r="A5" s="136">
        <f>MATCH(G5,SCALARS!C:C,0)</f>
        <v>8</v>
      </c>
      <c r="B5" s="137">
        <f>MATCH(G5,'MKT DATA'!B:B,0)</f>
        <v>8</v>
      </c>
      <c r="C5" s="140" t="str" cm="1">
        <f t="array" aca="1" ref="C5" ca="1">INDIRECT(ADDRESS($A5,2,,,"scalars"))</f>
        <v>converts</v>
      </c>
      <c r="D5" s="234" cm="1">
        <f t="array" aca="1" ref="D5" ca="1">INDIRECT(ADDRESS($A5,8,,,"SCALARS"))</f>
        <v>617900</v>
      </c>
      <c r="E5" s="80">
        <v>0.16500000000000001</v>
      </c>
      <c r="F5" s="14" t="str" cm="1">
        <f t="array" aca="1" ref="F5" ca="1">INDIRECT(ADDRESS($A5,5,,,"scalars"))</f>
        <v>ICVT</v>
      </c>
      <c r="G5" s="15" t="s">
        <v>46</v>
      </c>
      <c r="H5" s="374" cm="1">
        <f t="array" aca="1" ref="H5" ca="1">INDIRECT(ADDRESS($B5,5,,,"mkt data"))</f>
        <v>102.43</v>
      </c>
      <c r="I5" s="375" cm="1">
        <f t="array" aca="1" ref="I5" ca="1">INDIRECT(ADDRESS($B5,6,,,"mkt data"))</f>
        <v>102.47</v>
      </c>
      <c r="J5" s="248" cm="1">
        <f t="array" aca="1" ref="J5" ca="1">INDIRECT(ADDRESS($A5,7,,,"SCALARS"))</f>
        <v>1.0709869999999999</v>
      </c>
      <c r="K5" s="16">
        <f t="shared" ref="K5:K18" ca="1" si="1">H5+J5-K$1</f>
        <v>103.49548700000001</v>
      </c>
      <c r="L5" s="16">
        <f t="shared" ref="L5:L18" ca="1" si="2">I5+J5+K$1</f>
        <v>103.546487</v>
      </c>
      <c r="M5" s="49" cm="1">
        <f t="array" aca="1" ref="M5" ca="1">INDIRECT(ADDRESS($A5,6,,,"scalars"))</f>
        <v>1.113188222050894</v>
      </c>
      <c r="N5" s="17">
        <f ca="1">K5*M5</f>
        <v>115.20995716382143</v>
      </c>
      <c r="O5" s="17">
        <f t="shared" ref="O5:O18" ca="1" si="3">M5*L5</f>
        <v>115.266729763146</v>
      </c>
      <c r="P5" s="385">
        <f ca="1">N6-O5</f>
        <v>-6.8227631460047178E-3</v>
      </c>
      <c r="Q5" s="387">
        <f ca="1">LN(N6/O5)</f>
        <v>-5.9192839871360086E-5</v>
      </c>
      <c r="R5" s="401">
        <f ca="1">N5-O6</f>
        <v>-0.11094983617856258</v>
      </c>
      <c r="S5" s="411">
        <f ca="1">LN(N5/O6)</f>
        <v>-9.6255957003800788E-4</v>
      </c>
      <c r="T5" s="71">
        <v>5.0000000000000001E-3</v>
      </c>
      <c r="U5" s="358">
        <v>3.0000000000000001E-3</v>
      </c>
      <c r="V5" s="359">
        <v>1E-3</v>
      </c>
      <c r="W5" s="72">
        <v>3.0000000000000001E-3</v>
      </c>
      <c r="X5" s="27" cm="1">
        <f t="array" aca="1" ref="X5" ca="1">INDIRECT(ADDRESS($B5,9,,,"mkt data"))</f>
        <v>0</v>
      </c>
      <c r="Y5" s="53">
        <f t="shared" ref="Y5:Y18" ca="1" si="4">X5*AVERAGE(H5:I5)</f>
        <v>0</v>
      </c>
      <c r="Z5" s="27">
        <f t="shared" ref="Z5:Z18" ca="1" si="5">X5/M5</f>
        <v>0</v>
      </c>
      <c r="AA5" s="405">
        <f ca="1">SUM(Z5:Z6)</f>
        <v>0</v>
      </c>
      <c r="AB5" s="15" t="str">
        <f t="shared" si="0"/>
        <v>CWB</v>
      </c>
      <c r="AC5" s="33" cm="1">
        <f t="array" aca="1" ref="AC5" ca="1">INDIRECT(ADDRESS($B5,8,,,"mkt data"))</f>
        <v>103.470001</v>
      </c>
      <c r="AD5" s="274">
        <f t="shared" ref="AD5:AD18" ca="1" si="6">AVERAGE(H5,I5)</f>
        <v>102.45</v>
      </c>
      <c r="AE5" s="274">
        <f ca="1">AD5-AC5</f>
        <v>-1.0200009999999935</v>
      </c>
      <c r="AF5" s="285">
        <v>0</v>
      </c>
      <c r="AG5" s="274">
        <f ca="1">AE5+AF5</f>
        <v>-1.0200009999999935</v>
      </c>
      <c r="AH5" s="274">
        <f t="shared" ref="AH5:AH18" ca="1" si="7">AG5*X5</f>
        <v>0</v>
      </c>
      <c r="AI5" s="383">
        <f ca="1">AH5+AH6</f>
        <v>0</v>
      </c>
    </row>
    <row r="6" spans="1:37" ht="15.75" thickBot="1" x14ac:dyDescent="0.3">
      <c r="A6" s="138">
        <f>MATCH(G6,SCALARS!C:C,0)</f>
        <v>9</v>
      </c>
      <c r="B6" s="139">
        <f>MATCH(G6,'MKT DATA'!B:B,0)</f>
        <v>9</v>
      </c>
      <c r="C6" s="208" t="str" cm="1">
        <f t="array" aca="1" ref="C6" ca="1">INDIRECT(ADDRESS($A6,2,,,"scalars"))</f>
        <v>converts</v>
      </c>
      <c r="D6" s="235" cm="1">
        <f t="array" aca="1" ref="D6" ca="1">INDIRECT(ADDRESS($A6,8,,,"SCALARS"))</f>
        <v>576900</v>
      </c>
      <c r="E6" s="81">
        <v>0.16500000000000001</v>
      </c>
      <c r="F6" s="20" t="str" cm="1">
        <f t="array" aca="1" ref="F6" ca="1">INDIRECT(ADDRESS($A6,5,,,"scalars"))</f>
        <v>ICVT</v>
      </c>
      <c r="G6" s="21" t="s">
        <v>50</v>
      </c>
      <c r="H6" s="376" cm="1">
        <f t="array" aca="1" ref="H6" ca="1">INDIRECT(ADDRESS($B6,5,,,"mkt data"))</f>
        <v>114.25</v>
      </c>
      <c r="I6" s="377" cm="1">
        <f t="array" aca="1" ref="I6" ca="1">INDIRECT(ADDRESS($B6,6,,,"mkt data"))</f>
        <v>114.3</v>
      </c>
      <c r="J6" s="249" cm="1">
        <f t="array" aca="1" ref="J6" ca="1">INDIRECT(ADDRESS($A6,7,,,"SCALARS"))</f>
        <v>1.0154069999999999</v>
      </c>
      <c r="K6" s="22">
        <f t="shared" ca="1" si="1"/>
        <v>115.259907</v>
      </c>
      <c r="L6" s="22">
        <f t="shared" ca="1" si="2"/>
        <v>115.32090699999999</v>
      </c>
      <c r="M6" s="50" cm="1">
        <f t="array" aca="1" ref="M6" ca="1">INDIRECT(ADDRESS($A6,6,,,"scalars"))</f>
        <v>1</v>
      </c>
      <c r="N6" s="23">
        <f ca="1">K6*M6</f>
        <v>115.259907</v>
      </c>
      <c r="O6" s="23">
        <f t="shared" ca="1" si="3"/>
        <v>115.32090699999999</v>
      </c>
      <c r="P6" s="386"/>
      <c r="Q6" s="388"/>
      <c r="R6" s="402"/>
      <c r="S6" s="412"/>
      <c r="T6" s="73" t="b">
        <f ca="1">IF(Q5&gt;T5,TRUE,FALSE)</f>
        <v>0</v>
      </c>
      <c r="U6" s="360" t="b">
        <f ca="1">AND(IF(S5&gt;-U5,TRUE,FALSE),IF(X5&gt;0,TRUE,FALSE))</f>
        <v>0</v>
      </c>
      <c r="V6" s="361" t="b">
        <f ca="1">AND(IF(Q5&gt;-V5,TRUE,FALSE),IF(X5&lt;0,TRUE,FALSE))</f>
        <v>0</v>
      </c>
      <c r="W6" s="74" t="b">
        <f ca="1">IF(S5&gt;W5,TRUE,FALSE)</f>
        <v>0</v>
      </c>
      <c r="X6" s="29" cm="1">
        <f t="array" aca="1" ref="X6" ca="1">INDIRECT(ADDRESS($B6,9,,,"mkt data"))</f>
        <v>0</v>
      </c>
      <c r="Y6" s="55">
        <f t="shared" ca="1" si="4"/>
        <v>0</v>
      </c>
      <c r="Z6" s="29">
        <f t="shared" ca="1" si="5"/>
        <v>0</v>
      </c>
      <c r="AA6" s="406"/>
      <c r="AB6" s="21" t="str">
        <f t="shared" si="0"/>
        <v>ICVT</v>
      </c>
      <c r="AC6" s="37" cm="1">
        <f t="array" aca="1" ref="AC6" ca="1">INDIRECT(ADDRESS($B6,8,,,"mkt data"))</f>
        <v>115.43</v>
      </c>
      <c r="AD6" s="276">
        <f t="shared" ca="1" si="6"/>
        <v>114.27500000000001</v>
      </c>
      <c r="AE6" s="276">
        <f t="shared" ref="AE6:AE14" ca="1" si="8">AD6-AC6</f>
        <v>-1.1550000000000011</v>
      </c>
      <c r="AF6" s="287">
        <v>0</v>
      </c>
      <c r="AG6" s="276">
        <f t="shared" ref="AG6:AG14" ca="1" si="9">AE6+AF6</f>
        <v>-1.1550000000000011</v>
      </c>
      <c r="AH6" s="276">
        <f t="shared" ca="1" si="7"/>
        <v>0</v>
      </c>
      <c r="AI6" s="384"/>
      <c r="AK6" s="378"/>
    </row>
    <row r="7" spans="1:37" x14ac:dyDescent="0.25">
      <c r="A7" s="136">
        <f>MATCH(G7,SCALARS!C:C,0)</f>
        <v>26</v>
      </c>
      <c r="B7" s="137">
        <f>MATCH(G7,'MKT DATA'!B:B,0)</f>
        <v>26</v>
      </c>
      <c r="C7" s="207" t="str" cm="1">
        <f t="array" aca="1" ref="C7" ca="1">INDIRECT(ADDRESS($A7,2,,,"scalars"))</f>
        <v>intl gov - unhedged</v>
      </c>
      <c r="D7" s="234" cm="1">
        <f t="array" aca="1" ref="D7" ca="1">INDIRECT(ADDRESS($A7,8,,,"SCALARS"))</f>
        <v>402200</v>
      </c>
      <c r="E7" s="80">
        <v>0.16500000000000001</v>
      </c>
      <c r="F7" s="14" t="str" cm="1">
        <f t="array" aca="1" ref="F7" ca="1">INDIRECT(ADDRESS($A7,5,,,"scalars"))</f>
        <v>IGOV</v>
      </c>
      <c r="G7" s="15" t="s">
        <v>44</v>
      </c>
      <c r="H7" s="374" cm="1">
        <f t="array" aca="1" ref="H7" ca="1">INDIRECT(ADDRESS($B7,5,,,"mkt data"))</f>
        <v>21.27</v>
      </c>
      <c r="I7" s="375" cm="1">
        <f t="array" aca="1" ref="I7" ca="1">INDIRECT(ADDRESS($B7,6,,,"mkt data"))</f>
        <v>21.29</v>
      </c>
      <c r="J7" s="248" cm="1">
        <f t="array" aca="1" ref="J7" ca="1">INDIRECT(ADDRESS($A7,7,,,"SCALARS"))</f>
        <v>0.34714599999999995</v>
      </c>
      <c r="K7" s="16">
        <f t="shared" ca="1" si="1"/>
        <v>21.611645999999997</v>
      </c>
      <c r="L7" s="16">
        <f t="shared" ca="1" si="2"/>
        <v>21.642645999999999</v>
      </c>
      <c r="M7" s="49" cm="1">
        <f t="array" aca="1" ref="M7" ca="1">INDIRECT(ADDRESS($A7,6,,,"scalars"))</f>
        <v>1.8564406364247437</v>
      </c>
      <c r="N7" s="17">
        <f ca="1">K7*M7</f>
        <v>40.12073785442626</v>
      </c>
      <c r="O7" s="17">
        <f t="shared" ca="1" si="3"/>
        <v>40.178287514155429</v>
      </c>
      <c r="P7" s="385">
        <f ca="1">N8-O7</f>
        <v>-0.13378751415542922</v>
      </c>
      <c r="Q7" s="387">
        <f t="shared" ref="Q7" ca="1" si="10">LN(N8/O7)</f>
        <v>-3.3354023796034141E-3</v>
      </c>
      <c r="R7" s="431">
        <f ca="1">N7-O8</f>
        <v>2.5237854426258366E-2</v>
      </c>
      <c r="S7" s="411">
        <f t="shared" ref="S7" ca="1" si="11">LN(N7/O8)</f>
        <v>6.2924554763585762E-4</v>
      </c>
      <c r="T7" s="71">
        <v>3.0000000000000001E-3</v>
      </c>
      <c r="U7" s="358">
        <v>1E-3</v>
      </c>
      <c r="V7" s="359">
        <v>0</v>
      </c>
      <c r="W7" s="72">
        <v>1.5E-3</v>
      </c>
      <c r="X7" s="27" cm="1">
        <f t="array" aca="1" ref="X7" ca="1">INDIRECT(ADDRESS($B7,9,,,"mkt data"))</f>
        <v>-4600</v>
      </c>
      <c r="Y7" s="53">
        <f t="shared" ca="1" si="4"/>
        <v>-97888</v>
      </c>
      <c r="Z7" s="27">
        <f t="shared" ca="1" si="5"/>
        <v>-2477.8600024932575</v>
      </c>
      <c r="AA7" s="399">
        <f ca="1">SUM(Z7:Z8)</f>
        <v>-47.860002493257525</v>
      </c>
      <c r="AB7" s="15" t="str">
        <f t="shared" si="0"/>
        <v>BWX</v>
      </c>
      <c r="AC7" s="33" cm="1">
        <f t="array" aca="1" ref="AC7" ca="1">INDIRECT(ADDRESS($B7,8,,,"mkt data"))</f>
        <v>21.559999000000001</v>
      </c>
      <c r="AD7" s="274">
        <f t="shared" ca="1" si="6"/>
        <v>21.28</v>
      </c>
      <c r="AE7" s="274">
        <f t="shared" ca="1" si="8"/>
        <v>-0.27999900000000011</v>
      </c>
      <c r="AF7" s="285">
        <v>0</v>
      </c>
      <c r="AG7" s="274">
        <f t="shared" ca="1" si="9"/>
        <v>-0.27999900000000011</v>
      </c>
      <c r="AH7" s="274">
        <f t="shared" ca="1" si="7"/>
        <v>1287.9954000000005</v>
      </c>
      <c r="AI7" s="383">
        <f ca="1">AH7+AH8</f>
        <v>24.395399999992833</v>
      </c>
      <c r="AK7" s="378"/>
    </row>
    <row r="8" spans="1:37" ht="15.75" thickBot="1" x14ac:dyDescent="0.3">
      <c r="A8" s="138">
        <f>MATCH(G8,SCALARS!C:C,0)</f>
        <v>27</v>
      </c>
      <c r="B8" s="139">
        <f>MATCH(G8,'MKT DATA'!B:B,0)</f>
        <v>27</v>
      </c>
      <c r="C8" s="208" t="str" cm="1">
        <f t="array" aca="1" ref="C8" ca="1">INDIRECT(ADDRESS($A8,2,,,"scalars"))</f>
        <v>intl gov - unhedged</v>
      </c>
      <c r="D8" s="235" cm="1">
        <f t="array" aca="1" ref="D8" ca="1">INDIRECT(ADDRESS($A8,8,,,"SCALARS"))</f>
        <v>303200</v>
      </c>
      <c r="E8" s="81">
        <v>0.16500000000000001</v>
      </c>
      <c r="F8" s="20" t="str" cm="1">
        <f t="array" aca="1" ref="F8" ca="1">INDIRECT(ADDRESS($A8,5,,,"scalars"))</f>
        <v>IGOV</v>
      </c>
      <c r="G8" s="21" t="s">
        <v>51</v>
      </c>
      <c r="H8" s="376" cm="1">
        <f t="array" aca="1" ref="H8" ca="1">INDIRECT(ADDRESS($B8,5,,,"mkt data"))</f>
        <v>40.049999999999997</v>
      </c>
      <c r="I8" s="377" cm="1">
        <f t="array" aca="1" ref="I8" ca="1">INDIRECT(ADDRESS($B8,6,,,"mkt data"))</f>
        <v>40.090000000000003</v>
      </c>
      <c r="J8" s="249" cm="1">
        <f t="array" aca="1" ref="J8" ca="1">INDIRECT(ADDRESS($A8,7,,,"SCALARS"))</f>
        <v>0</v>
      </c>
      <c r="K8" s="22">
        <f t="shared" ca="1" si="1"/>
        <v>40.044499999999999</v>
      </c>
      <c r="L8" s="22">
        <f t="shared" ca="1" si="2"/>
        <v>40.095500000000001</v>
      </c>
      <c r="M8" s="50" cm="1">
        <f t="array" aca="1" ref="M8" ca="1">INDIRECT(ADDRESS($A8,6,,,"scalars"))</f>
        <v>1</v>
      </c>
      <c r="N8" s="23">
        <f ca="1">K8*M8</f>
        <v>40.044499999999999</v>
      </c>
      <c r="O8" s="23">
        <f t="shared" ca="1" si="3"/>
        <v>40.095500000000001</v>
      </c>
      <c r="P8" s="386"/>
      <c r="Q8" s="388"/>
      <c r="R8" s="432"/>
      <c r="S8" s="412"/>
      <c r="T8" s="73" t="b">
        <f ca="1">IF(Q7&gt;T7,TRUE,FALSE)</f>
        <v>0</v>
      </c>
      <c r="U8" s="360" t="b">
        <f ca="1">AND(IF(S7&gt;-U7,TRUE,FALSE),IF(X7&gt;0,TRUE,FALSE))</f>
        <v>0</v>
      </c>
      <c r="V8" s="361" t="b">
        <f ca="1">AND(IF(Q7&gt;-V7,TRUE,FALSE),IF(X7&lt;0,TRUE,FALSE))</f>
        <v>0</v>
      </c>
      <c r="W8" s="74" t="b">
        <f ca="1">IF(S7&gt;W7,TRUE,FALSE)</f>
        <v>0</v>
      </c>
      <c r="X8" s="29" cm="1">
        <f t="array" aca="1" ref="X8" ca="1">INDIRECT(ADDRESS($B8,9,,,"mkt data"))</f>
        <v>2430</v>
      </c>
      <c r="Y8" s="55">
        <f t="shared" ca="1" si="4"/>
        <v>97370.1</v>
      </c>
      <c r="Z8" s="29">
        <f t="shared" ca="1" si="5"/>
        <v>2430</v>
      </c>
      <c r="AA8" s="400"/>
      <c r="AB8" s="21" t="str">
        <f t="shared" si="0"/>
        <v>IGOV</v>
      </c>
      <c r="AC8" s="37" cm="1">
        <f t="array" aca="1" ref="AC8" ca="1">INDIRECT(ADDRESS($B8,8,,,"mkt data"))</f>
        <v>40.590000000000003</v>
      </c>
      <c r="AD8" s="276">
        <f t="shared" ca="1" si="6"/>
        <v>40.07</v>
      </c>
      <c r="AE8" s="276">
        <f t="shared" ca="1" si="8"/>
        <v>-0.52000000000000313</v>
      </c>
      <c r="AF8" s="287">
        <v>0</v>
      </c>
      <c r="AG8" s="276">
        <f t="shared" ca="1" si="9"/>
        <v>-0.52000000000000313</v>
      </c>
      <c r="AH8" s="276">
        <f t="shared" ca="1" si="7"/>
        <v>-1263.6000000000076</v>
      </c>
      <c r="AI8" s="384"/>
    </row>
    <row r="9" spans="1:37" x14ac:dyDescent="0.25">
      <c r="A9" s="136">
        <f>MATCH(G9,SCALARS!C:C,0)</f>
        <v>15</v>
      </c>
      <c r="B9" s="137">
        <f>MATCH(G9,'MKT DATA'!B:B,0)</f>
        <v>15</v>
      </c>
      <c r="C9" s="207" t="str" cm="1">
        <f t="array" aca="1" ref="C9" ca="1">INDIRECT(ADDRESS($A9,2,,,"scalars"))</f>
        <v>em gov -us</v>
      </c>
      <c r="D9" s="234" cm="1">
        <f t="array" aca="1" ref="D9" ca="1">INDIRECT(ADDRESS($A9,8,,,"SCALARS"))</f>
        <v>522300</v>
      </c>
      <c r="E9" s="80">
        <v>0.16500000000000001</v>
      </c>
      <c r="F9" s="14" t="str" cm="1">
        <f t="array" aca="1" ref="F9" ca="1">INDIRECT(ADDRESS($A9,5,,,"scalars"))</f>
        <v>EMB</v>
      </c>
      <c r="G9" s="15" t="s">
        <v>57</v>
      </c>
      <c r="H9" s="33" cm="1">
        <f t="array" aca="1" ref="H9" ca="1">INDIRECT(ADDRESS($B9,5,,,"mkt data"))</f>
        <v>64.39</v>
      </c>
      <c r="I9" s="34" cm="1">
        <f t="array" aca="1" ref="I9" ca="1">INDIRECT(ADDRESS($B9,6,,,"mkt data"))</f>
        <v>64.400000000000006</v>
      </c>
      <c r="J9" s="248" cm="1">
        <f t="array" aca="1" ref="J9" ca="1">INDIRECT(ADDRESS($A9,7,,,"SCALARS"))</f>
        <v>2.6059000000000001</v>
      </c>
      <c r="K9" s="16">
        <f t="shared" ca="1" si="1"/>
        <v>66.990400000000008</v>
      </c>
      <c r="L9" s="16">
        <f t="shared" ca="1" si="2"/>
        <v>67.011400000000009</v>
      </c>
      <c r="M9" s="49" cm="1">
        <f t="array" aca="1" ref="M9" ca="1">INDIRECT(ADDRESS($A9,6,,,"scalars"))</f>
        <v>1.4326853199437097</v>
      </c>
      <c r="N9" s="17">
        <f ca="1">K9*M9</f>
        <v>95.976162657157104</v>
      </c>
      <c r="O9" s="17">
        <f t="shared" ca="1" si="3"/>
        <v>96.006249048875929</v>
      </c>
      <c r="P9" s="385">
        <f ca="1">N10-O9</f>
        <v>-4.7220488759336376E-3</v>
      </c>
      <c r="Q9" s="387">
        <f t="shared" ref="Q9" ca="1" si="12">LN(N10/O9)</f>
        <v>-4.9186017088039249E-5</v>
      </c>
      <c r="R9" s="401">
        <f ca="1">N9-O10</f>
        <v>-4.636434284289237E-2</v>
      </c>
      <c r="S9" s="411">
        <f t="shared" ref="S9" ca="1" si="13">LN(N9/O10)</f>
        <v>-4.8296521009506729E-4</v>
      </c>
      <c r="T9" s="71">
        <v>1.5E-3</v>
      </c>
      <c r="U9" s="358">
        <v>5.0000000000000001E-4</v>
      </c>
      <c r="V9" s="359">
        <v>0</v>
      </c>
      <c r="W9" s="72">
        <v>1E-3</v>
      </c>
      <c r="X9" s="27" cm="1">
        <f t="array" aca="1" ref="X9" ca="1">INDIRECT(ADDRESS($B9,9,,,"mkt data"))</f>
        <v>0</v>
      </c>
      <c r="Y9" s="53">
        <f t="shared" ca="1" si="4"/>
        <v>0</v>
      </c>
      <c r="Z9" s="27">
        <f t="shared" ca="1" si="5"/>
        <v>0</v>
      </c>
      <c r="AA9" s="405">
        <f ca="1">SUM(Z9:Z10)</f>
        <v>0</v>
      </c>
      <c r="AB9" s="15" t="str">
        <f t="shared" si="0"/>
        <v>VWOB</v>
      </c>
      <c r="AC9" s="33" cm="1">
        <f t="array" aca="1" ref="AC9" ca="1">INDIRECT(ADDRESS($B9,8,,,"mkt data"))</f>
        <v>65.099997999999999</v>
      </c>
      <c r="AD9" s="274">
        <f t="shared" ca="1" si="6"/>
        <v>64.39500000000001</v>
      </c>
      <c r="AE9" s="274">
        <f t="shared" ca="1" si="8"/>
        <v>-0.70499799999998913</v>
      </c>
      <c r="AF9" s="285">
        <v>0</v>
      </c>
      <c r="AG9" s="274">
        <f t="shared" ca="1" si="9"/>
        <v>-0.70499799999998913</v>
      </c>
      <c r="AH9" s="274">
        <f t="shared" ca="1" si="7"/>
        <v>0</v>
      </c>
      <c r="AI9" s="383">
        <f ca="1">AH9+AH10</f>
        <v>0</v>
      </c>
    </row>
    <row r="10" spans="1:37" ht="15.75" thickBot="1" x14ac:dyDescent="0.3">
      <c r="A10" s="138">
        <f>MATCH(G10,SCALARS!C:C,0)</f>
        <v>14</v>
      </c>
      <c r="B10" s="139">
        <f>MATCH(G10,'MKT DATA'!B:B,0)</f>
        <v>14</v>
      </c>
      <c r="C10" s="208" t="str" cm="1">
        <f t="array" aca="1" ref="C10" ca="1">INDIRECT(ADDRESS($A10,2,,,"scalars"))</f>
        <v>em gov -us</v>
      </c>
      <c r="D10" s="235" cm="1">
        <f t="array" aca="1" ref="D10" ca="1">INDIRECT(ADDRESS($A10,8,,,"SCALARS"))</f>
        <v>5892900</v>
      </c>
      <c r="E10" s="81">
        <v>0.16500000000000001</v>
      </c>
      <c r="F10" s="20" t="str" cm="1">
        <f t="array" aca="1" ref="F10" ca="1">INDIRECT(ADDRESS($A10,5,,,"scalars"))</f>
        <v>EMB</v>
      </c>
      <c r="G10" s="21" t="s">
        <v>47</v>
      </c>
      <c r="H10" s="37" cm="1">
        <f t="array" aca="1" ref="H10" ca="1">INDIRECT(ADDRESS($B10,5,,,"mkt data"))</f>
        <v>92.69</v>
      </c>
      <c r="I10" s="38" cm="1">
        <f t="array" aca="1" ref="I10" ca="1">INDIRECT(ADDRESS($B10,6,,,"mkt data"))</f>
        <v>92.7</v>
      </c>
      <c r="J10" s="249" cm="1">
        <f t="array" aca="1" ref="J10" ca="1">INDIRECT(ADDRESS($A10,7,,,"SCALARS"))</f>
        <v>3.3170269999999999</v>
      </c>
      <c r="K10" s="22">
        <f t="shared" ca="1" si="1"/>
        <v>96.001526999999996</v>
      </c>
      <c r="L10" s="22">
        <f t="shared" ca="1" si="2"/>
        <v>96.022526999999997</v>
      </c>
      <c r="M10" s="50" cm="1">
        <f t="array" aca="1" ref="M10" ca="1">INDIRECT(ADDRESS($A10,6,,,"scalars"))</f>
        <v>1</v>
      </c>
      <c r="N10" s="23">
        <f t="shared" ref="N10:N12" ca="1" si="14">K10*M10</f>
        <v>96.001526999999996</v>
      </c>
      <c r="O10" s="23">
        <f t="shared" ca="1" si="3"/>
        <v>96.022526999999997</v>
      </c>
      <c r="P10" s="386"/>
      <c r="Q10" s="388"/>
      <c r="R10" s="402"/>
      <c r="S10" s="412"/>
      <c r="T10" s="73" t="b">
        <f ca="1">IF(Q9&gt;T9,TRUE,FALSE)</f>
        <v>0</v>
      </c>
      <c r="U10" s="360" t="b">
        <f ca="1">AND(IF(S9&gt;-U9,TRUE,FALSE),IF(X9&gt;0,TRUE,FALSE))</f>
        <v>0</v>
      </c>
      <c r="V10" s="361" t="b">
        <f ca="1">AND(IF(Q9&gt;-V9,TRUE,FALSE),IF(X9&lt;0,TRUE,FALSE))</f>
        <v>0</v>
      </c>
      <c r="W10" s="74" t="b">
        <f ca="1">IF(S9&gt;W9,TRUE,FALSE)</f>
        <v>0</v>
      </c>
      <c r="X10" s="29" cm="1">
        <f t="array" aca="1" ref="X10" ca="1">INDIRECT(ADDRESS($B10,9,,,"mkt data"))</f>
        <v>0</v>
      </c>
      <c r="Y10" s="55">
        <f t="shared" ca="1" si="4"/>
        <v>0</v>
      </c>
      <c r="Z10" s="29">
        <f t="shared" ca="1" si="5"/>
        <v>0</v>
      </c>
      <c r="AA10" s="406"/>
      <c r="AB10" s="21" t="str">
        <f t="shared" si="0"/>
        <v>EMB</v>
      </c>
      <c r="AC10" s="37" cm="1">
        <f t="array" aca="1" ref="AC10" ca="1">INDIRECT(ADDRESS($B10,8,,,"mkt data"))</f>
        <v>93.709998999999996</v>
      </c>
      <c r="AD10" s="276">
        <f t="shared" ca="1" si="6"/>
        <v>92.694999999999993</v>
      </c>
      <c r="AE10" s="276">
        <f t="shared" ca="1" si="8"/>
        <v>-1.0149990000000031</v>
      </c>
      <c r="AF10" s="287">
        <v>0</v>
      </c>
      <c r="AG10" s="276">
        <f t="shared" ca="1" si="9"/>
        <v>-1.0149990000000031</v>
      </c>
      <c r="AH10" s="276">
        <f t="shared" ca="1" si="7"/>
        <v>0</v>
      </c>
      <c r="AI10" s="384"/>
    </row>
    <row r="11" spans="1:37" x14ac:dyDescent="0.25">
      <c r="A11" s="136">
        <f>MATCH(G11,SCALARS!C:C,0)</f>
        <v>6</v>
      </c>
      <c r="B11" s="137">
        <f>MATCH(G11,'MKT DATA'!B:B,0)</f>
        <v>6</v>
      </c>
      <c r="C11" s="207" t="str" cm="1">
        <f t="array" aca="1" ref="C11" ca="1">INDIRECT(ADDRESS($A11,2,,,"scalars"))</f>
        <v>calif munis</v>
      </c>
      <c r="D11" s="234" cm="1">
        <f t="array" aca="1" ref="D11" ca="1">INDIRECT(ADDRESS($A11,8,,,"SCALARS"))</f>
        <v>754300</v>
      </c>
      <c r="E11" s="80">
        <v>0.1002</v>
      </c>
      <c r="F11" s="14" t="str" cm="1">
        <f t="array" aca="1" ref="F11" ca="1">INDIRECT(ADDRESS($A11,5,,,"scalars"))</f>
        <v>VTEC</v>
      </c>
      <c r="G11" s="15" t="s">
        <v>45</v>
      </c>
      <c r="H11" s="33" cm="1">
        <f t="array" aca="1" ref="H11" ca="1">INDIRECT(ADDRESS($B11,5,,,"mkt data"))</f>
        <v>54.64</v>
      </c>
      <c r="I11" s="34" cm="1">
        <f t="array" aca="1" ref="I11" ca="1">INDIRECT(ADDRESS($B11,6,,,"mkt data"))</f>
        <v>54.65</v>
      </c>
      <c r="J11" s="248" cm="1">
        <f t="array" aca="1" ref="J11" ca="1">INDIRECT(ADDRESS($A11,7,,,"SCALARS"))</f>
        <v>1.1259440000000001</v>
      </c>
      <c r="K11" s="16">
        <f t="shared" ca="1" si="1"/>
        <v>55.760444</v>
      </c>
      <c r="L11" s="16">
        <f t="shared" ca="1" si="2"/>
        <v>55.781443999999993</v>
      </c>
      <c r="M11" s="49" cm="1">
        <f t="array" aca="1" ref="M11" ca="1">INDIRECT(ADDRESS($A11,6,,,"scalars"))</f>
        <v>1.7462273139166982</v>
      </c>
      <c r="N11" s="17">
        <f t="shared" ca="1" si="14"/>
        <v>97.370410348922462</v>
      </c>
      <c r="O11" s="17">
        <f t="shared" ca="1" si="3"/>
        <v>97.407081122514711</v>
      </c>
      <c r="P11" s="385">
        <f ca="1">N12-O11</f>
        <v>-0.12008112251470493</v>
      </c>
      <c r="Q11" s="387">
        <f t="shared" ref="Q11" ca="1" si="15">LN(N12/O11)</f>
        <v>-1.233536603154902E-3</v>
      </c>
      <c r="R11" s="401">
        <f ca="1">N11-O12</f>
        <v>6.2410348922469439E-2</v>
      </c>
      <c r="S11" s="411">
        <f t="shared" ref="S11" ca="1" si="16">LN(N11/O12)</f>
        <v>6.4116355736260869E-4</v>
      </c>
      <c r="T11" s="71">
        <v>1E-3</v>
      </c>
      <c r="U11" s="358">
        <v>0</v>
      </c>
      <c r="V11" s="359">
        <v>0</v>
      </c>
      <c r="W11" s="72">
        <v>1E-3</v>
      </c>
      <c r="X11" s="27" cm="1">
        <f t="array" aca="1" ref="X11" ca="1">INDIRECT(ADDRESS($B11,9,,,"mkt data"))</f>
        <v>0</v>
      </c>
      <c r="Y11" s="53">
        <f t="shared" ca="1" si="4"/>
        <v>0</v>
      </c>
      <c r="Z11" s="27">
        <f t="shared" ca="1" si="5"/>
        <v>0</v>
      </c>
      <c r="AA11" s="403">
        <f ca="1">SUM(Z11:Z12)</f>
        <v>0</v>
      </c>
      <c r="AB11" s="15" t="str">
        <f t="shared" si="0"/>
        <v>CMF</v>
      </c>
      <c r="AC11" s="33" cm="1">
        <f t="array" aca="1" ref="AC11" ca="1">INDIRECT(ADDRESS($B11,8,,,"mkt data"))</f>
        <v>55.029998999999997</v>
      </c>
      <c r="AD11" s="274">
        <f t="shared" ca="1" si="6"/>
        <v>54.644999999999996</v>
      </c>
      <c r="AE11" s="274">
        <f t="shared" ca="1" si="8"/>
        <v>-0.38499900000000054</v>
      </c>
      <c r="AF11" s="285">
        <v>0</v>
      </c>
      <c r="AG11" s="274">
        <f t="shared" ca="1" si="9"/>
        <v>-0.38499900000000054</v>
      </c>
      <c r="AH11" s="274">
        <f t="shared" ca="1" si="7"/>
        <v>0</v>
      </c>
      <c r="AI11" s="383">
        <f ca="1">AH11+AH12</f>
        <v>0</v>
      </c>
    </row>
    <row r="12" spans="1:37" ht="15.75" thickBot="1" x14ac:dyDescent="0.3">
      <c r="A12" s="138">
        <f>MATCH(G12,SCALARS!C:C,0)</f>
        <v>7</v>
      </c>
      <c r="B12" s="139">
        <f>MATCH(G12,'MKT DATA'!B:B,0)</f>
        <v>7</v>
      </c>
      <c r="C12" s="208" t="str" cm="1">
        <f t="array" aca="1" ref="C12" ca="1">INDIRECT(ADDRESS($A12,2,,,"scalars"))</f>
        <v>calif munis</v>
      </c>
      <c r="D12" s="235" cm="1">
        <f t="array" aca="1" ref="D12" ca="1">INDIRECT(ADDRESS($A12,8,,,"SCALARS"))</f>
        <v>439300</v>
      </c>
      <c r="E12" s="81">
        <v>0.1002</v>
      </c>
      <c r="F12" s="20" t="str" cm="1">
        <f t="array" aca="1" ref="F12" ca="1">INDIRECT(ADDRESS($A12,5,,,"scalars"))</f>
        <v>VTEC</v>
      </c>
      <c r="G12" s="21" t="s">
        <v>56</v>
      </c>
      <c r="H12" s="37" cm="1">
        <f t="array" aca="1" ref="H12" ca="1">INDIRECT(ADDRESS($B12,5,,,"mkt data"))</f>
        <v>95.23</v>
      </c>
      <c r="I12" s="38" cm="1">
        <f t="array" aca="1" ref="I12" ca="1">INDIRECT(ADDRESS($B12,6,,,"mkt data"))</f>
        <v>95.24</v>
      </c>
      <c r="J12" s="249" cm="1">
        <f t="array" aca="1" ref="J12" ca="1">INDIRECT(ADDRESS($A12,7,,,"SCALARS"))</f>
        <v>2.0625</v>
      </c>
      <c r="K12" s="22">
        <f t="shared" ca="1" si="1"/>
        <v>97.287000000000006</v>
      </c>
      <c r="L12" s="22">
        <f t="shared" ca="1" si="2"/>
        <v>97.307999999999993</v>
      </c>
      <c r="M12" s="50" cm="1">
        <f t="array" aca="1" ref="M12" ca="1">INDIRECT(ADDRESS($A12,6,,,"scalars"))</f>
        <v>1</v>
      </c>
      <c r="N12" s="23">
        <f t="shared" ca="1" si="14"/>
        <v>97.287000000000006</v>
      </c>
      <c r="O12" s="23">
        <f t="shared" ca="1" si="3"/>
        <v>97.307999999999993</v>
      </c>
      <c r="P12" s="386"/>
      <c r="Q12" s="388"/>
      <c r="R12" s="402"/>
      <c r="S12" s="412"/>
      <c r="T12" s="73" t="b">
        <f ca="1">IF(Q11&gt;T11,TRUE,FALSE)</f>
        <v>0</v>
      </c>
      <c r="U12" s="360" t="b">
        <f ca="1">AND(IF(S11&gt;-U11,TRUE,FALSE),IF(X11&gt;0,TRUE,FALSE))</f>
        <v>0</v>
      </c>
      <c r="V12" s="361" t="b">
        <f ca="1">AND(IF(Q11&gt;-V11,TRUE,FALSE),IF(X11&lt;0,TRUE,FALSE))</f>
        <v>0</v>
      </c>
      <c r="W12" s="74" t="b">
        <f ca="1">IF(S11&gt;W11,TRUE,FALSE)</f>
        <v>0</v>
      </c>
      <c r="X12" s="29" cm="1">
        <f t="array" aca="1" ref="X12" ca="1">INDIRECT(ADDRESS($B12,9,,,"mkt data"))</f>
        <v>0</v>
      </c>
      <c r="Y12" s="55">
        <f t="shared" ca="1" si="4"/>
        <v>0</v>
      </c>
      <c r="Z12" s="29">
        <f t="shared" ca="1" si="5"/>
        <v>0</v>
      </c>
      <c r="AA12" s="404"/>
      <c r="AB12" s="21" t="str">
        <f t="shared" si="0"/>
        <v>VTEC</v>
      </c>
      <c r="AC12" s="37" cm="1">
        <f t="array" aca="1" ref="AC12" ca="1">INDIRECT(ADDRESS($B12,8,,,"mkt data"))</f>
        <v>95.949996999999996</v>
      </c>
      <c r="AD12" s="276">
        <f t="shared" ca="1" si="6"/>
        <v>95.234999999999999</v>
      </c>
      <c r="AE12" s="276">
        <f t="shared" ca="1" si="8"/>
        <v>-0.71499699999999677</v>
      </c>
      <c r="AF12" s="287">
        <v>0</v>
      </c>
      <c r="AG12" s="276">
        <f t="shared" ca="1" si="9"/>
        <v>-0.71499699999999677</v>
      </c>
      <c r="AH12" s="276">
        <f t="shared" ca="1" si="7"/>
        <v>0</v>
      </c>
      <c r="AI12" s="384"/>
    </row>
    <row r="13" spans="1:37" x14ac:dyDescent="0.25">
      <c r="A13" s="136">
        <f>MATCH(G13,SCALARS!C:C,0)</f>
        <v>41</v>
      </c>
      <c r="B13" s="137">
        <f>MATCH(G13,'MKT DATA'!B:B,0)</f>
        <v>41</v>
      </c>
      <c r="C13" s="207" t="str" cm="1">
        <f t="array" aca="1" ref="C13" ca="1">INDIRECT(ADDRESS($A13,2,,,"scalars"))</f>
        <v>prefs</v>
      </c>
      <c r="D13" s="234" cm="1">
        <f t="array" aca="1" ref="D13" ca="1">INDIRECT(ADDRESS($A13,8,,,"SCALARS"))</f>
        <v>761000</v>
      </c>
      <c r="E13" s="80">
        <v>0.16500000000000001</v>
      </c>
      <c r="F13" s="14" t="str" cm="1">
        <f t="array" aca="1" ref="F13" ca="1">INDIRECT(ADDRESS($A13,5,,,"scalars"))</f>
        <v>PFF</v>
      </c>
      <c r="G13" s="15" t="s">
        <v>53</v>
      </c>
      <c r="H13" s="33" cm="1">
        <f t="array" aca="1" ref="H13" ca="1">INDIRECT(ADDRESS($B13,5,,,"mkt data"))</f>
        <v>17.899999999999999</v>
      </c>
      <c r="I13" s="34" cm="1">
        <f t="array" aca="1" ref="I13" ca="1">INDIRECT(ADDRESS($B13,6,,,"mkt data"))</f>
        <v>17.91</v>
      </c>
      <c r="J13" s="248" cm="1">
        <f t="array" aca="1" ref="J13" ca="1">INDIRECT(ADDRESS($A13,7,,,"SCALARS"))</f>
        <v>0.79999999999999993</v>
      </c>
      <c r="K13" s="16">
        <f t="shared" ca="1" si="1"/>
        <v>18.694499999999998</v>
      </c>
      <c r="L13" s="16">
        <f t="shared" ca="1" si="2"/>
        <v>18.715500000000002</v>
      </c>
      <c r="M13" s="49" cm="1">
        <f t="array" aca="1" ref="M13" ca="1">INDIRECT(ADDRESS($A13,6,,,"scalars"))</f>
        <v>1.6495679503677541</v>
      </c>
      <c r="N13" s="17">
        <f ca="1">K13*M13</f>
        <v>30.837848048149976</v>
      </c>
      <c r="O13" s="17">
        <f t="shared" ca="1" si="3"/>
        <v>30.872488975107704</v>
      </c>
      <c r="P13" s="385">
        <f ca="1">N14-O13</f>
        <v>8.2385024892293046E-2</v>
      </c>
      <c r="Q13" s="387">
        <f t="shared" ref="Q13" ca="1" si="17">LN(N14/O13)</f>
        <v>2.6650036387719082E-3</v>
      </c>
      <c r="R13" s="401">
        <f ca="1">N13-O14</f>
        <v>-0.13802595185002531</v>
      </c>
      <c r="S13" s="411">
        <f t="shared" ref="S13" ca="1" si="18">LN(N13/O14)</f>
        <v>-4.4658751059200663E-3</v>
      </c>
      <c r="T13" s="71">
        <v>5.0000000000000001E-3</v>
      </c>
      <c r="U13" s="358">
        <v>3.0000000000000001E-3</v>
      </c>
      <c r="V13" s="359">
        <v>2E-3</v>
      </c>
      <c r="W13" s="72">
        <v>4.0000000000000001E-3</v>
      </c>
      <c r="X13" s="27" cm="1">
        <f t="array" aca="1" ref="X13" ca="1">INDIRECT(ADDRESS($B13,9,,,"mkt data"))</f>
        <v>0</v>
      </c>
      <c r="Y13" s="53">
        <f t="shared" ca="1" si="4"/>
        <v>0</v>
      </c>
      <c r="Z13" s="27">
        <f t="shared" ca="1" si="5"/>
        <v>0</v>
      </c>
      <c r="AA13" s="403">
        <f ca="1">SUM(Z13:Z14)</f>
        <v>0</v>
      </c>
      <c r="AB13" s="15" t="str">
        <f t="shared" si="0"/>
        <v>PFFD</v>
      </c>
      <c r="AC13" s="33" cm="1">
        <f t="array" aca="1" ref="AC13" ca="1">INDIRECT(ADDRESS($B13,8,,,"mkt data"))</f>
        <v>18.02</v>
      </c>
      <c r="AD13" s="274">
        <f t="shared" ca="1" si="6"/>
        <v>17.905000000000001</v>
      </c>
      <c r="AE13" s="274">
        <f t="shared" ca="1" si="8"/>
        <v>-0.11499999999999844</v>
      </c>
      <c r="AF13" s="285">
        <v>0</v>
      </c>
      <c r="AG13" s="274">
        <f t="shared" ca="1" si="9"/>
        <v>-0.11499999999999844</v>
      </c>
      <c r="AH13" s="274">
        <f t="shared" ca="1" si="7"/>
        <v>0</v>
      </c>
      <c r="AI13" s="383">
        <f ca="1">AH13+AH14</f>
        <v>0</v>
      </c>
    </row>
    <row r="14" spans="1:37" ht="15.75" thickBot="1" x14ac:dyDescent="0.3">
      <c r="A14" s="138">
        <f>MATCH(G14,SCALARS!C:C,0)</f>
        <v>40</v>
      </c>
      <c r="B14" s="139">
        <f>MATCH(G14,'MKT DATA'!B:B,0)</f>
        <v>40</v>
      </c>
      <c r="C14" s="208" t="str" cm="1">
        <f t="array" aca="1" ref="C14" ca="1">INDIRECT(ADDRESS($A14,2,,,"scalars"))</f>
        <v>prefs</v>
      </c>
      <c r="D14" s="235" cm="1">
        <f t="array" aca="1" ref="D14" ca="1">INDIRECT(ADDRESS($A14,8,,,"SCALARS"))</f>
        <v>2702900</v>
      </c>
      <c r="E14" s="81">
        <v>0.16500000000000001</v>
      </c>
      <c r="F14" s="20" t="str" cm="1">
        <f t="array" aca="1" ref="F14" ca="1">INDIRECT(ADDRESS($A14,5,,,"scalars"))</f>
        <v>PFF</v>
      </c>
      <c r="G14" s="21" t="s">
        <v>52</v>
      </c>
      <c r="H14" s="37" cm="1">
        <f t="array" aca="1" ref="H14" ca="1">INDIRECT(ADDRESS($B14,5,,,"mkt data"))</f>
        <v>29.9</v>
      </c>
      <c r="I14" s="38" cm="1">
        <f t="array" aca="1" ref="I14" ca="1">INDIRECT(ADDRESS($B14,6,,,"mkt data"))</f>
        <v>29.91</v>
      </c>
      <c r="J14" s="249" cm="1">
        <f t="array" aca="1" ref="J14" ca="1">INDIRECT(ADDRESS($A14,7,,,"SCALARS"))</f>
        <v>1.0603740000000001</v>
      </c>
      <c r="K14" s="22">
        <f t="shared" ca="1" si="1"/>
        <v>30.954873999999997</v>
      </c>
      <c r="L14" s="22">
        <f t="shared" ca="1" si="2"/>
        <v>30.975874000000001</v>
      </c>
      <c r="M14" s="50" cm="1">
        <f t="array" aca="1" ref="M14" ca="1">INDIRECT(ADDRESS($A14,6,,,"scalars"))</f>
        <v>1</v>
      </c>
      <c r="N14" s="23">
        <f t="shared" ref="N14:N15" ca="1" si="19">K14*M14</f>
        <v>30.954873999999997</v>
      </c>
      <c r="O14" s="23">
        <f t="shared" ca="1" si="3"/>
        <v>30.975874000000001</v>
      </c>
      <c r="P14" s="386"/>
      <c r="Q14" s="388"/>
      <c r="R14" s="402"/>
      <c r="S14" s="412"/>
      <c r="T14" s="73" t="b">
        <f ca="1">IF(Q13&gt;T13,TRUE,FALSE)</f>
        <v>0</v>
      </c>
      <c r="U14" s="360" t="b">
        <f ca="1">AND(IF(S13&gt;-U13,TRUE,FALSE),IF(X13&gt;0,TRUE,FALSE))</f>
        <v>0</v>
      </c>
      <c r="V14" s="361" t="b">
        <f ca="1">AND(IF(Q13&gt;-V13,TRUE,FALSE),IF(X13&lt;0,TRUE,FALSE))</f>
        <v>0</v>
      </c>
      <c r="W14" s="74" t="b">
        <f ca="1">IF(S13&gt;W13,TRUE,FALSE)</f>
        <v>0</v>
      </c>
      <c r="X14" s="29" cm="1">
        <f t="array" aca="1" ref="X14" ca="1">INDIRECT(ADDRESS($B14,9,,,"mkt data"))</f>
        <v>0</v>
      </c>
      <c r="Y14" s="55">
        <f t="shared" ca="1" si="4"/>
        <v>0</v>
      </c>
      <c r="Z14" s="29">
        <f t="shared" ca="1" si="5"/>
        <v>0</v>
      </c>
      <c r="AA14" s="404"/>
      <c r="AB14" s="21" t="str">
        <f t="shared" si="0"/>
        <v>PFF</v>
      </c>
      <c r="AC14" s="37" cm="1">
        <f t="array" aca="1" ref="AC14" ca="1">INDIRECT(ADDRESS($B14,8,,,"mkt data"))</f>
        <v>30.129999000000002</v>
      </c>
      <c r="AD14" s="276">
        <f t="shared" ca="1" si="6"/>
        <v>29.905000000000001</v>
      </c>
      <c r="AE14" s="276">
        <f t="shared" ca="1" si="8"/>
        <v>-0.22499900000000039</v>
      </c>
      <c r="AF14" s="287">
        <v>0</v>
      </c>
      <c r="AG14" s="276">
        <f t="shared" ca="1" si="9"/>
        <v>-0.22499900000000039</v>
      </c>
      <c r="AH14" s="276">
        <f t="shared" ca="1" si="7"/>
        <v>0</v>
      </c>
      <c r="AI14" s="384"/>
    </row>
    <row r="15" spans="1:37" x14ac:dyDescent="0.25">
      <c r="A15" s="136">
        <f>MATCH(G15,SCALARS!C:C,0)</f>
        <v>24</v>
      </c>
      <c r="B15" s="137">
        <f>MATCH(G15,'MKT DATA'!B:B,0)</f>
        <v>24</v>
      </c>
      <c r="C15" s="207" t="str" cm="1">
        <f t="array" aca="1" ref="C15" ca="1">INDIRECT(ADDRESS($A15,2,,,"scalars"))</f>
        <v>intl agg - hedged</v>
      </c>
      <c r="D15" s="234" cm="1">
        <f t="array" aca="1" ref="D15" ca="1">INDIRECT(ADDRESS($A15,8,,,"SCALARS"))</f>
        <v>4172500</v>
      </c>
      <c r="E15" s="219"/>
      <c r="F15" s="14" t="str" cm="1">
        <f t="array" aca="1" ref="F15" ca="1">INDIRECT(ADDRESS($A15,5,,,"scalars"))</f>
        <v>IAGG</v>
      </c>
      <c r="G15" s="15" t="s">
        <v>43</v>
      </c>
      <c r="H15" s="33" cm="1">
        <f t="array" aca="1" ref="H15" ca="1">INDIRECT(ADDRESS($B15,5,,,"mkt data"))</f>
        <v>46.93</v>
      </c>
      <c r="I15" s="34" cm="1">
        <f t="array" aca="1" ref="I15" ca="1">INDIRECT(ADDRESS($B15,6,,,"mkt data"))</f>
        <v>46.94</v>
      </c>
      <c r="J15" s="248" cm="1">
        <f t="array" aca="1" ref="J15" ca="1">INDIRECT(ADDRESS($A15,7,,,"SCALARS"))</f>
        <v>0.90090000000000003</v>
      </c>
      <c r="K15" s="16">
        <f t="shared" ca="1" si="1"/>
        <v>47.825400000000002</v>
      </c>
      <c r="L15" s="16">
        <f t="shared" ca="1" si="2"/>
        <v>47.846399999999996</v>
      </c>
      <c r="M15" s="49" cm="1">
        <f t="array" aca="1" ref="M15" ca="1">INDIRECT(ADDRESS($A15,6,,,"scalars"))</f>
        <v>1.044384047926401</v>
      </c>
      <c r="N15" s="17">
        <f t="shared" ca="1" si="19"/>
        <v>49.948084845699306</v>
      </c>
      <c r="O15" s="17">
        <f t="shared" ca="1" si="3"/>
        <v>49.970016910705752</v>
      </c>
      <c r="P15" s="385">
        <f ca="1">N16-O15</f>
        <v>7.5630892942513128E-3</v>
      </c>
      <c r="Q15" s="387">
        <f t="shared" ref="Q15" ca="1" si="20">LN(N16/O15)</f>
        <v>1.5134109358206803E-4</v>
      </c>
      <c r="R15" s="401">
        <f ca="1">N15-O16</f>
        <v>-5.049515430069107E-2</v>
      </c>
      <c r="S15" s="411">
        <f t="shared" ref="S15" ca="1" si="21">LN(N15/O16)</f>
        <v>-1.0104420927885102E-3</v>
      </c>
      <c r="T15" s="71">
        <v>3.0000000000000001E-3</v>
      </c>
      <c r="U15" s="358">
        <v>1E-3</v>
      </c>
      <c r="V15" s="359">
        <v>0</v>
      </c>
      <c r="W15" s="72">
        <v>1E-3</v>
      </c>
      <c r="X15" s="27" cm="1">
        <f t="array" aca="1" ref="X15" ca="1">INDIRECT(ADDRESS($B15,9,,,"mkt data"))</f>
        <v>0</v>
      </c>
      <c r="Y15" s="53">
        <f t="shared" ca="1" si="4"/>
        <v>0</v>
      </c>
      <c r="Z15" s="27">
        <f t="shared" ca="1" si="5"/>
        <v>0</v>
      </c>
      <c r="AA15" s="399">
        <f ca="1">SUM(Z15:Z16)</f>
        <v>0</v>
      </c>
      <c r="AB15" s="15" t="str">
        <f t="shared" si="0"/>
        <v>BNDX</v>
      </c>
      <c r="AC15" s="33" cm="1">
        <f t="array" aca="1" ref="AC15" ca="1">INDIRECT(ADDRESS($B15,8,,,"mkt data"))</f>
        <v>47.259998000000003</v>
      </c>
      <c r="AD15" s="274">
        <f t="shared" ca="1" si="6"/>
        <v>46.935000000000002</v>
      </c>
      <c r="AE15" s="274">
        <f t="shared" ref="AE15:AE18" ca="1" si="22">AD15-AC15</f>
        <v>-0.32499800000000079</v>
      </c>
      <c r="AF15" s="285">
        <v>0</v>
      </c>
      <c r="AG15" s="274">
        <f t="shared" ref="AG15:AG18" ca="1" si="23">AE15+AF15</f>
        <v>-0.32499800000000079</v>
      </c>
      <c r="AH15" s="274">
        <f t="shared" ca="1" si="7"/>
        <v>0</v>
      </c>
      <c r="AI15" s="383">
        <f ca="1">AH15+AH16</f>
        <v>0</v>
      </c>
    </row>
    <row r="16" spans="1:37" ht="15.75" thickBot="1" x14ac:dyDescent="0.3">
      <c r="A16" s="138">
        <f>MATCH(G16,SCALARS!C:C,0)</f>
        <v>25</v>
      </c>
      <c r="B16" s="139">
        <f>MATCH(G16,'MKT DATA'!B:B,0)</f>
        <v>25</v>
      </c>
      <c r="C16" s="208" t="str" cm="1">
        <f t="array" aca="1" ref="C16" ca="1">INDIRECT(ADDRESS($A16,2,,,"scalars"))</f>
        <v>intl agg - hedged</v>
      </c>
      <c r="D16" s="235" cm="1">
        <f t="array" aca="1" ref="D16" ca="1">INDIRECT(ADDRESS($A16,8,,,"SCALARS"))</f>
        <v>1205900</v>
      </c>
      <c r="E16" s="220"/>
      <c r="F16" s="20" t="str" cm="1">
        <f t="array" aca="1" ref="F16" ca="1">INDIRECT(ADDRESS($A16,5,,,"scalars"))</f>
        <v>IAGG</v>
      </c>
      <c r="G16" s="21" t="s">
        <v>49</v>
      </c>
      <c r="H16" s="37" cm="1">
        <f t="array" aca="1" ref="H16" ca="1">INDIRECT(ADDRESS($B16,5,,,"mkt data"))</f>
        <v>49.27</v>
      </c>
      <c r="I16" s="38" cm="1">
        <f t="array" aca="1" ref="I16" ca="1">INDIRECT(ADDRESS($B16,6,,,"mkt data"))</f>
        <v>49.28</v>
      </c>
      <c r="J16" s="249" cm="1">
        <f t="array" aca="1" ref="J16" ca="1">INDIRECT(ADDRESS($A16,7,,,"SCALARS"))</f>
        <v>0.71307999999999994</v>
      </c>
      <c r="K16" s="22">
        <f t="shared" ca="1" si="1"/>
        <v>49.977580000000003</v>
      </c>
      <c r="L16" s="22">
        <f t="shared" ca="1" si="2"/>
        <v>49.998579999999997</v>
      </c>
      <c r="M16" s="50" cm="1">
        <f t="array" aca="1" ref="M16" ca="1">INDIRECT(ADDRESS($A16,6,,,"scalars"))</f>
        <v>1</v>
      </c>
      <c r="N16" s="23">
        <f ca="1">K16*M16</f>
        <v>49.977580000000003</v>
      </c>
      <c r="O16" s="23">
        <f t="shared" ca="1" si="3"/>
        <v>49.998579999999997</v>
      </c>
      <c r="P16" s="386"/>
      <c r="Q16" s="388"/>
      <c r="R16" s="402"/>
      <c r="S16" s="412"/>
      <c r="T16" s="73" t="b">
        <f ca="1">IF(Q15&gt;T15,TRUE,FALSE)</f>
        <v>0</v>
      </c>
      <c r="U16" s="360" t="b">
        <f ca="1">AND(IF(S15&gt;-U15,TRUE,FALSE),IF(X15&gt;0,TRUE,FALSE))</f>
        <v>0</v>
      </c>
      <c r="V16" s="361" t="b">
        <f ca="1">AND(IF(Q15&gt;-V15,TRUE,FALSE),IF(X15&lt;0,TRUE,FALSE))</f>
        <v>0</v>
      </c>
      <c r="W16" s="74" t="b">
        <f ca="1">IF(S15&gt;W15,TRUE,FALSE)</f>
        <v>0</v>
      </c>
      <c r="X16" s="29" cm="1">
        <f t="array" aca="1" ref="X16" ca="1">INDIRECT(ADDRESS($B16,9,,,"mkt data"))</f>
        <v>0</v>
      </c>
      <c r="Y16" s="55">
        <f t="shared" ca="1" si="4"/>
        <v>0</v>
      </c>
      <c r="Z16" s="29">
        <f t="shared" ca="1" si="5"/>
        <v>0</v>
      </c>
      <c r="AA16" s="400"/>
      <c r="AB16" s="21" t="str">
        <f t="shared" si="0"/>
        <v>IAGG</v>
      </c>
      <c r="AC16" s="37" cm="1">
        <f t="array" aca="1" ref="AC16" ca="1">INDIRECT(ADDRESS($B16,8,,,"mkt data"))</f>
        <v>49.610000999999997</v>
      </c>
      <c r="AD16" s="276">
        <f t="shared" ca="1" si="6"/>
        <v>49.275000000000006</v>
      </c>
      <c r="AE16" s="276">
        <f t="shared" ca="1" si="22"/>
        <v>-0.33500099999999122</v>
      </c>
      <c r="AF16" s="287">
        <v>0</v>
      </c>
      <c r="AG16" s="276">
        <f t="shared" ca="1" si="23"/>
        <v>-0.33500099999999122</v>
      </c>
      <c r="AH16" s="276">
        <f t="shared" ca="1" si="7"/>
        <v>0</v>
      </c>
      <c r="AI16" s="384"/>
    </row>
    <row r="17" spans="1:36" x14ac:dyDescent="0.25">
      <c r="A17" s="136">
        <f>MATCH(G17,SCALARS!C:C,0)</f>
        <v>17</v>
      </c>
      <c r="B17" s="137">
        <f>MATCH(G17,'MKT DATA'!B:B,0)</f>
        <v>17</v>
      </c>
      <c r="C17" s="207" t="str" cm="1">
        <f t="array" aca="1" ref="C17" ca="1">INDIRECT(ADDRESS($A17,2,,,"scalars"))</f>
        <v>fallen angels</v>
      </c>
      <c r="D17" s="234" cm="1">
        <f t="array" aca="1" ref="D17" ca="1">INDIRECT(ADDRESS($A17,8,,,"SCALARS"))</f>
        <v>732300</v>
      </c>
      <c r="E17" s="219"/>
      <c r="F17" s="14" t="str" cm="1">
        <f t="array" aca="1" ref="F17" ca="1">INDIRECT(ADDRESS($A17,5,,,"scalars"))</f>
        <v>ANGL</v>
      </c>
      <c r="G17" s="15" t="s">
        <v>48</v>
      </c>
      <c r="H17" s="33" cm="1">
        <f t="array" aca="1" ref="H17" ca="1">INDIRECT(ADDRESS($B17,5,,,"mkt data"))</f>
        <v>26.36</v>
      </c>
      <c r="I17" s="34" cm="1">
        <f t="array" aca="1" ref="I17" ca="1">INDIRECT(ADDRESS($B17,6,,,"mkt data"))</f>
        <v>26.37</v>
      </c>
      <c r="J17" s="248" cm="1">
        <f t="array" aca="1" ref="J17" ca="1">INDIRECT(ADDRESS($A17,7,,,"SCALARS"))</f>
        <v>1.1721300000000001</v>
      </c>
      <c r="K17" s="16">
        <f t="shared" ca="1" si="1"/>
        <v>27.526629999999997</v>
      </c>
      <c r="L17" s="16">
        <f t="shared" ca="1" si="2"/>
        <v>27.547630000000002</v>
      </c>
      <c r="M17" s="49" cm="1">
        <f t="array" aca="1" ref="M17" ca="1">INDIRECT(ADDRESS($A17,6,,,"scalars"))</f>
        <v>1.0756310767286057</v>
      </c>
      <c r="N17" s="17">
        <f ca="1">K17*M17</f>
        <v>29.608498665609936</v>
      </c>
      <c r="O17" s="17">
        <f t="shared" ca="1" si="3"/>
        <v>29.631086918221243</v>
      </c>
      <c r="P17" s="385">
        <f ca="1">N18-O17</f>
        <v>-3.4286918221244633E-2</v>
      </c>
      <c r="Q17" s="387">
        <f t="shared" ref="Q17" ca="1" si="24">LN(N18/O17)</f>
        <v>-1.1577965662932163E-3</v>
      </c>
      <c r="R17" s="401">
        <f ca="1">N17-O18</f>
        <v>-9.3013343900629764E-3</v>
      </c>
      <c r="S17" s="411">
        <f t="shared" ref="S17" ca="1" si="25">LN(N17/O18)</f>
        <v>-3.1409474088682846E-4</v>
      </c>
      <c r="T17" s="71">
        <v>1.5E-3</v>
      </c>
      <c r="U17" s="358">
        <v>0</v>
      </c>
      <c r="V17" s="359">
        <v>5.0000000000000001E-4</v>
      </c>
      <c r="W17" s="72">
        <v>2E-3</v>
      </c>
      <c r="X17" s="27" cm="1">
        <f t="array" aca="1" ref="X17" ca="1">INDIRECT(ADDRESS($B17,9,,,"mkt data"))</f>
        <v>0</v>
      </c>
      <c r="Y17" s="53">
        <f t="shared" ca="1" si="4"/>
        <v>0</v>
      </c>
      <c r="Z17" s="27">
        <f t="shared" ca="1" si="5"/>
        <v>0</v>
      </c>
      <c r="AA17" s="403">
        <f ca="1">SUM(Z17:Z18)</f>
        <v>0</v>
      </c>
      <c r="AB17" s="15" t="str">
        <f t="shared" si="0"/>
        <v>FALN</v>
      </c>
      <c r="AC17" s="33" cm="1">
        <f t="array" aca="1" ref="AC17" ca="1">INDIRECT(ADDRESS($B17,8,,,"mkt data"))</f>
        <v>26.57</v>
      </c>
      <c r="AD17" s="274">
        <f t="shared" ca="1" si="6"/>
        <v>26.365000000000002</v>
      </c>
      <c r="AE17" s="274">
        <f t="shared" ca="1" si="22"/>
        <v>-0.20499999999999829</v>
      </c>
      <c r="AF17" s="285">
        <v>0</v>
      </c>
      <c r="AG17" s="274">
        <f t="shared" ca="1" si="23"/>
        <v>-0.20499999999999829</v>
      </c>
      <c r="AH17" s="274">
        <f t="shared" ca="1" si="7"/>
        <v>0</v>
      </c>
      <c r="AI17" s="383">
        <f ca="1">AH17+AH18</f>
        <v>0</v>
      </c>
    </row>
    <row r="18" spans="1:36" ht="15.75" thickBot="1" x14ac:dyDescent="0.3">
      <c r="A18" s="138">
        <f>MATCH(G18,SCALARS!C:C,0)</f>
        <v>16</v>
      </c>
      <c r="B18" s="139">
        <f>MATCH(G18,'MKT DATA'!B:B,0)</f>
        <v>16</v>
      </c>
      <c r="C18" s="208" t="str" cm="1">
        <f t="array" aca="1" ref="C18" ca="1">INDIRECT(ADDRESS($A18,2,,,"scalars"))</f>
        <v>fallen angels</v>
      </c>
      <c r="D18" s="235" cm="1">
        <f t="array" aca="1" ref="D18" ca="1">INDIRECT(ADDRESS($A18,8,,,"SCALARS"))</f>
        <v>749700</v>
      </c>
      <c r="E18" s="220"/>
      <c r="F18" s="20" t="str" cm="1">
        <f t="array" aca="1" ref="F18" ca="1">INDIRECT(ADDRESS($A18,5,,,"scalars"))</f>
        <v>ANGL</v>
      </c>
      <c r="G18" s="21" t="s">
        <v>42</v>
      </c>
      <c r="H18" s="37" cm="1">
        <f t="array" aca="1" ref="H18" ca="1">INDIRECT(ADDRESS($B18,5,,,"mkt data"))</f>
        <v>28.32</v>
      </c>
      <c r="I18" s="38" cm="1">
        <f t="array" aca="1" ref="I18" ca="1">INDIRECT(ADDRESS($B18,6,,,"mkt data"))</f>
        <v>28.33</v>
      </c>
      <c r="J18" s="249" cm="1">
        <f t="array" aca="1" ref="J18" ca="1">INDIRECT(ADDRESS($A18,7,,,"SCALARS"))</f>
        <v>1.2823</v>
      </c>
      <c r="K18" s="22">
        <f t="shared" ca="1" si="1"/>
        <v>29.596799999999998</v>
      </c>
      <c r="L18" s="22">
        <f t="shared" ca="1" si="2"/>
        <v>29.617799999999999</v>
      </c>
      <c r="M18" s="50" cm="1">
        <f t="array" aca="1" ref="M18" ca="1">INDIRECT(ADDRESS($A18,6,,,"scalars"))</f>
        <v>1</v>
      </c>
      <c r="N18" s="23">
        <f ca="1">K18*M18</f>
        <v>29.596799999999998</v>
      </c>
      <c r="O18" s="23">
        <f t="shared" ca="1" si="3"/>
        <v>29.617799999999999</v>
      </c>
      <c r="P18" s="386"/>
      <c r="Q18" s="388"/>
      <c r="R18" s="402"/>
      <c r="S18" s="412"/>
      <c r="T18" s="73" t="b">
        <f ca="1">IF(Q17&gt;T17,TRUE,FALSE)</f>
        <v>0</v>
      </c>
      <c r="U18" s="360" t="b">
        <f ca="1">AND(IF(S17&gt;-U17,TRUE,FALSE),IF(X17&gt;0,TRUE,FALSE))</f>
        <v>0</v>
      </c>
      <c r="V18" s="361" t="b">
        <f ca="1">AND(IF(Q17&gt;-V17,TRUE,FALSE),IF(X17&lt;0,TRUE,FALSE))</f>
        <v>0</v>
      </c>
      <c r="W18" s="74" t="b">
        <f ca="1">IF(S17&gt;W17,TRUE,FALSE)</f>
        <v>0</v>
      </c>
      <c r="X18" s="29" cm="1">
        <f t="array" aca="1" ref="X18" ca="1">INDIRECT(ADDRESS($B18,9,,,"mkt data"))</f>
        <v>0</v>
      </c>
      <c r="Y18" s="55">
        <f t="shared" ca="1" si="4"/>
        <v>0</v>
      </c>
      <c r="Z18" s="29">
        <f t="shared" ca="1" si="5"/>
        <v>0</v>
      </c>
      <c r="AA18" s="404"/>
      <c r="AB18" s="21" t="str">
        <f t="shared" si="0"/>
        <v>ANGL</v>
      </c>
      <c r="AC18" s="37" cm="1">
        <f t="array" aca="1" ref="AC18" ca="1">INDIRECT(ADDRESS($B18,8,,,"mkt data"))</f>
        <v>28.559999000000001</v>
      </c>
      <c r="AD18" s="276">
        <f t="shared" ca="1" si="6"/>
        <v>28.324999999999999</v>
      </c>
      <c r="AE18" s="276">
        <f t="shared" ca="1" si="22"/>
        <v>-0.23499900000000196</v>
      </c>
      <c r="AF18" s="287">
        <v>0</v>
      </c>
      <c r="AG18" s="276">
        <f t="shared" ca="1" si="23"/>
        <v>-0.23499900000000196</v>
      </c>
      <c r="AH18" s="276">
        <f t="shared" ca="1" si="7"/>
        <v>0</v>
      </c>
      <c r="AI18" s="384"/>
    </row>
    <row r="19" spans="1:36" ht="9.9499999999999993" customHeight="1" thickBot="1" x14ac:dyDescent="0.3">
      <c r="A19" s="325"/>
      <c r="B19" s="325"/>
      <c r="C19" s="325"/>
      <c r="D19" s="326"/>
      <c r="E19" s="327"/>
      <c r="F19" s="328"/>
      <c r="G19" s="329"/>
      <c r="H19" s="330"/>
      <c r="I19" s="330"/>
      <c r="J19" s="331"/>
      <c r="K19" s="332"/>
      <c r="L19" s="332"/>
      <c r="M19" s="333"/>
      <c r="N19" s="334"/>
      <c r="O19" s="334"/>
      <c r="P19" s="335"/>
      <c r="Q19" s="336"/>
      <c r="R19" s="337"/>
      <c r="S19" s="336"/>
      <c r="T19" s="338"/>
      <c r="U19" s="338"/>
      <c r="V19" s="338"/>
      <c r="W19" s="338"/>
      <c r="X19" s="338"/>
      <c r="Y19" s="338"/>
      <c r="Z19" s="339"/>
      <c r="AA19" s="340"/>
      <c r="AB19" s="339"/>
      <c r="AC19" s="341"/>
      <c r="AD19" s="342"/>
      <c r="AE19" s="330"/>
      <c r="AF19" s="330"/>
      <c r="AG19" s="330"/>
      <c r="AH19" s="330"/>
      <c r="AI19" s="343"/>
    </row>
    <row r="20" spans="1:36" s="9" customFormat="1" x14ac:dyDescent="0.25">
      <c r="A20" s="423" t="str">
        <f>A3</f>
        <v>rows</v>
      </c>
      <c r="B20" s="424">
        <f>B3</f>
        <v>0</v>
      </c>
      <c r="C20" s="205"/>
      <c r="D20" s="131"/>
      <c r="E20" s="76"/>
      <c r="F20" s="212"/>
      <c r="G20" s="58"/>
      <c r="H20" s="427" t="str">
        <f>H3</f>
        <v>mkt prices</v>
      </c>
      <c r="I20" s="428">
        <f>I3</f>
        <v>0</v>
      </c>
      <c r="J20" s="252"/>
      <c r="K20" s="433" t="str">
        <f>K3</f>
        <v>price w/ comm &amp; div</v>
      </c>
      <c r="L20" s="434"/>
      <c r="M20" s="39"/>
      <c r="N20" s="429" t="str">
        <f>N3</f>
        <v>unit cf</v>
      </c>
      <c r="O20" s="430">
        <f>O3</f>
        <v>0</v>
      </c>
      <c r="P20" s="482" t="s">
        <v>61</v>
      </c>
      <c r="Q20" s="483"/>
      <c r="R20" s="483"/>
      <c r="S20" s="484"/>
      <c r="T20" s="57"/>
      <c r="U20" s="111"/>
      <c r="V20" s="493" t="s">
        <v>78</v>
      </c>
      <c r="W20" s="494"/>
      <c r="X20" s="485" t="str">
        <f t="shared" ref="X20:AA21" si="26">X3</f>
        <v>current position</v>
      </c>
      <c r="Y20" s="485">
        <f t="shared" si="26"/>
        <v>0</v>
      </c>
      <c r="Z20" s="485">
        <f t="shared" si="26"/>
        <v>0</v>
      </c>
      <c r="AA20" s="486">
        <f t="shared" si="26"/>
        <v>0</v>
      </c>
      <c r="AB20" s="76"/>
      <c r="AG20" s="92"/>
      <c r="AJ20"/>
    </row>
    <row r="21" spans="1:36" s="12" customFormat="1" ht="15.75" thickBot="1" x14ac:dyDescent="0.3">
      <c r="A21" s="31" t="str">
        <f>A4</f>
        <v>scalars</v>
      </c>
      <c r="B21" s="32" t="str">
        <f>B4</f>
        <v>mkt data</v>
      </c>
      <c r="C21" s="206" t="str">
        <f>C4</f>
        <v>sector</v>
      </c>
      <c r="D21" s="132" t="str">
        <f>D4</f>
        <v>adv</v>
      </c>
      <c r="E21" s="77" t="str">
        <f>E4</f>
        <v>margin</v>
      </c>
      <c r="F21" s="130" t="str">
        <f>F4</f>
        <v>anchor</v>
      </c>
      <c r="G21" s="59" t="str">
        <f>G4</f>
        <v>symbol</v>
      </c>
      <c r="H21" s="63" t="str">
        <f>H4</f>
        <v>bid</v>
      </c>
      <c r="I21" s="64" t="str">
        <f>I4</f>
        <v>ask</v>
      </c>
      <c r="J21" s="253" t="str">
        <f>J4</f>
        <v>div adj</v>
      </c>
      <c r="K21" s="65" t="str">
        <f>K4</f>
        <v>bid</v>
      </c>
      <c r="L21" s="65" t="str">
        <f>L4</f>
        <v>ask</v>
      </c>
      <c r="M21" s="66" t="str">
        <f>M4</f>
        <v>scalar</v>
      </c>
      <c r="N21" s="67" t="str">
        <f>N4</f>
        <v>hit bid</v>
      </c>
      <c r="O21" s="68" t="str">
        <f>O4</f>
        <v>lift ask</v>
      </c>
      <c r="P21" s="40" t="s">
        <v>62</v>
      </c>
      <c r="Q21" s="12" t="s">
        <v>63</v>
      </c>
      <c r="R21" s="41" t="s">
        <v>77</v>
      </c>
      <c r="S21" s="48" t="s">
        <v>32</v>
      </c>
      <c r="T21" s="40" t="s">
        <v>79</v>
      </c>
      <c r="U21" s="48" t="s">
        <v>80</v>
      </c>
      <c r="V21" s="303" t="s">
        <v>79</v>
      </c>
      <c r="W21" s="304" t="s">
        <v>80</v>
      </c>
      <c r="X21" s="75" t="str">
        <f t="shared" si="26"/>
        <v>shs</v>
      </c>
      <c r="Y21" s="60" t="str">
        <f t="shared" si="26"/>
        <v>$val</v>
      </c>
      <c r="Z21" s="61" t="str">
        <f t="shared" si="26"/>
        <v>units</v>
      </c>
      <c r="AA21" s="62" t="str">
        <f t="shared" si="26"/>
        <v>net units</v>
      </c>
      <c r="AB21" s="77" t="str">
        <f t="shared" ref="AB21:AB47" si="27">G21</f>
        <v>symbol</v>
      </c>
      <c r="AD21" s="379" t="s">
        <v>284</v>
      </c>
      <c r="AE21" s="379"/>
      <c r="AF21" s="379"/>
      <c r="AG21" s="380"/>
      <c r="AJ21"/>
    </row>
    <row r="22" spans="1:36" x14ac:dyDescent="0.25">
      <c r="A22" s="140">
        <f>MATCH(G22,SCALARS!C:C,0)</f>
        <v>38</v>
      </c>
      <c r="B22" s="141">
        <f>MATCH(G22,'MKT DATA'!B:B,0)</f>
        <v>38</v>
      </c>
      <c r="C22" s="207" t="str" cm="1">
        <f t="array" aca="1" ref="C22" ca="1">INDIRECT(ADDRESS($A22,2,,,"scalars"))</f>
        <v>munis</v>
      </c>
      <c r="D22" s="236" cm="1">
        <f t="array" aca="1" ref="D22" ca="1">INDIRECT(ADDRESS($A22,8,,,"SCALARS"))</f>
        <v>752900</v>
      </c>
      <c r="E22" s="80">
        <v>0.1002</v>
      </c>
      <c r="F22" s="14" t="str" cm="1">
        <f t="array" aca="1" ref="F22" ca="1">INDIRECT(ADDRESS($A22,5,,,"scalars"))</f>
        <v>MUB</v>
      </c>
      <c r="G22" s="15" t="s">
        <v>21</v>
      </c>
      <c r="H22" s="33" cm="1">
        <f t="array" aca="1" ref="H22" ca="1">INDIRECT(ADDRESS($B22,5,,,"mkt data"))</f>
        <v>43.27</v>
      </c>
      <c r="I22" s="34" cm="1">
        <f t="array" aca="1" ref="I22" ca="1">INDIRECT(ADDRESS($B22,6,,,"mkt data"))</f>
        <v>43.28</v>
      </c>
      <c r="J22" s="248" cm="1">
        <f t="array" aca="1" ref="J22" ca="1">INDIRECT(ADDRESS($A22,7,,,"SCALARS"))</f>
        <v>0</v>
      </c>
      <c r="K22" s="16">
        <f t="shared" ref="K22:K47" ca="1" si="28">H22+J22-K$1</f>
        <v>43.264500000000005</v>
      </c>
      <c r="L22" s="16">
        <f t="shared" ref="L22:L47" ca="1" si="29">I22+J22+K$1</f>
        <v>43.285499999999999</v>
      </c>
      <c r="M22" s="49" cm="1">
        <f t="array" aca="1" ref="M22" ca="1">INDIRECT(ADDRESS($A22,6,,,"scalars"))</f>
        <v>2.3549692862234961</v>
      </c>
      <c r="N22" s="17">
        <f t="shared" ref="N22:N39" ca="1" si="30">K22*M22</f>
        <v>101.88656868381646</v>
      </c>
      <c r="O22" s="17">
        <f t="shared" ref="O22:O47" ca="1" si="31">M22*L22</f>
        <v>101.93602303882714</v>
      </c>
      <c r="P22" s="385">
        <f ca="1">MAX(N22:N24)</f>
        <v>102.0245</v>
      </c>
      <c r="Q22" s="449">
        <f ca="1">MIN(O22:O24)</f>
        <v>101.93602303882714</v>
      </c>
      <c r="R22" s="449">
        <f ca="1">P22-Q22</f>
        <v>8.8476961172858637E-2</v>
      </c>
      <c r="S22" s="465">
        <f ca="1">R22/AVERAGE(ABS(P22),ABS(Q22))</f>
        <v>8.6758907904953384E-4</v>
      </c>
      <c r="T22" s="71">
        <v>1E-3</v>
      </c>
      <c r="U22" s="72">
        <v>1E-3</v>
      </c>
      <c r="V22" s="474">
        <v>1E-3</v>
      </c>
      <c r="W22" s="489">
        <v>1E-3</v>
      </c>
      <c r="X22" s="27" cm="1">
        <f t="array" aca="1" ref="X22" ca="1">INDIRECT(ADDRESS($B22,9,,,"mkt data"))</f>
        <v>4700</v>
      </c>
      <c r="Y22" s="53">
        <f t="shared" ref="Y22:Y47" ca="1" si="32">X22*AVERAGE(H22:I22)</f>
        <v>203392.50000000003</v>
      </c>
      <c r="Z22" s="27">
        <f t="shared" ref="Z22:Z47" ca="1" si="33">X22/M22</f>
        <v>1995.7797443452309</v>
      </c>
      <c r="AA22" s="405">
        <f ca="1">SUM(Z22:Z24)</f>
        <v>-4.2202556547690619</v>
      </c>
      <c r="AB22" s="305" t="str">
        <f t="shared" si="27"/>
        <v>TFI</v>
      </c>
      <c r="AD22" s="379" t="s">
        <v>224</v>
      </c>
      <c r="AE22" s="379"/>
      <c r="AF22" s="379"/>
      <c r="AG22" s="380"/>
    </row>
    <row r="23" spans="1:36" x14ac:dyDescent="0.25">
      <c r="A23" s="144">
        <f>MATCH(G23,SCALARS!C:C,0)</f>
        <v>39</v>
      </c>
      <c r="B23" s="149">
        <f>MATCH(G23,'MKT DATA'!B:B,0)</f>
        <v>39</v>
      </c>
      <c r="C23" s="135" t="str" cm="1">
        <f t="array" aca="1" ref="C23" ca="1">INDIRECT(ADDRESS($A23,2,,,"scalars"))</f>
        <v>munis</v>
      </c>
      <c r="D23" s="237" cm="1">
        <f t="array" aca="1" ref="D23" ca="1">INDIRECT(ADDRESS($A23,8,,,"SCALARS"))</f>
        <v>10404600</v>
      </c>
      <c r="E23" s="78">
        <v>0.1002</v>
      </c>
      <c r="F23" s="10" t="str" cm="1">
        <f t="array" aca="1" ref="F23" ca="1">INDIRECT(ADDRESS($A23,5,,,"scalars"))</f>
        <v>MUB</v>
      </c>
      <c r="G23" s="8" t="s">
        <v>3</v>
      </c>
      <c r="H23" s="35" cm="1">
        <f t="array" aca="1" ref="H23" ca="1">INDIRECT(ADDRESS($B23,5,,,"mkt data"))</f>
        <v>47.9</v>
      </c>
      <c r="I23" s="36" cm="1">
        <f t="array" aca="1" ref="I23" ca="1">INDIRECT(ADDRESS($B23,6,,,"mkt data"))</f>
        <v>47.91</v>
      </c>
      <c r="J23" s="254" cm="1">
        <f t="array" aca="1" ref="J23" ca="1">INDIRECT(ADDRESS($A23,7,,,"SCALARS"))</f>
        <v>0</v>
      </c>
      <c r="K23" s="18">
        <f t="shared" ca="1" si="28"/>
        <v>47.894500000000001</v>
      </c>
      <c r="L23" s="18">
        <f t="shared" ca="1" si="29"/>
        <v>47.915499999999994</v>
      </c>
      <c r="M23" s="51" cm="1">
        <f t="array" aca="1" ref="M23" ca="1">INDIRECT(ADDRESS($A23,6,,,"scalars"))</f>
        <v>2.1301427498539769</v>
      </c>
      <c r="N23" s="19">
        <f t="shared" ca="1" si="30"/>
        <v>102.02212193288129</v>
      </c>
      <c r="O23" s="19">
        <f t="shared" ca="1" si="31"/>
        <v>102.06685493062822</v>
      </c>
      <c r="P23" s="479"/>
      <c r="Q23" s="480"/>
      <c r="R23" s="450"/>
      <c r="S23" s="466"/>
      <c r="T23" s="112" t="b">
        <f ca="1">IF(S22&gt;V22,TRUE,FALSE)</f>
        <v>0</v>
      </c>
      <c r="U23" s="113" t="b" cm="1">
        <f t="array" aca="1" ref="U23" ca="1">AND(IF(SUM(ABS(X22:X24)),TRUE,FALSE),IF(S22&lt;U22,TRUE,FALSE))</f>
        <v>1</v>
      </c>
      <c r="V23" s="475"/>
      <c r="W23" s="490"/>
      <c r="X23" s="28" cm="1">
        <f t="array" aca="1" ref="X23" ca="1">INDIRECT(ADDRESS($B23,9,,,"mkt data"))</f>
        <v>0</v>
      </c>
      <c r="Y23" s="54">
        <f t="shared" ca="1" si="32"/>
        <v>0</v>
      </c>
      <c r="Z23" s="28">
        <f t="shared" ca="1" si="33"/>
        <v>0</v>
      </c>
      <c r="AA23" s="487"/>
      <c r="AB23" s="306" t="str">
        <f t="shared" si="27"/>
        <v>VTEB</v>
      </c>
      <c r="AE23" s="9"/>
      <c r="AG23" s="92"/>
    </row>
    <row r="24" spans="1:36" ht="15.75" thickBot="1" x14ac:dyDescent="0.3">
      <c r="A24" s="142">
        <f>MATCH(G24,SCALARS!C:C,0)</f>
        <v>37</v>
      </c>
      <c r="B24" s="143">
        <f>MATCH(G24,'MKT DATA'!B:B,0)</f>
        <v>37</v>
      </c>
      <c r="C24" s="208" t="str" cm="1">
        <f t="array" aca="1" ref="C24" ca="1">INDIRECT(ADDRESS($A24,2,,,"scalars"))</f>
        <v>munis</v>
      </c>
      <c r="D24" s="238" cm="1">
        <f t="array" aca="1" ref="D24" ca="1">INDIRECT(ADDRESS($A24,8,,,"SCALARS"))</f>
        <v>5920900</v>
      </c>
      <c r="E24" s="79">
        <v>0.1002</v>
      </c>
      <c r="F24" s="20" t="str" cm="1">
        <f t="array" aca="1" ref="F24" ca="1">INDIRECT(ADDRESS($A24,5,,,"scalars"))</f>
        <v>MUB</v>
      </c>
      <c r="G24" s="21" t="s">
        <v>4</v>
      </c>
      <c r="H24" s="37" cm="1">
        <f t="array" aca="1" ref="H24" ca="1">INDIRECT(ADDRESS($B24,5,,,"mkt data"))</f>
        <v>102.03</v>
      </c>
      <c r="I24" s="38" cm="1">
        <f t="array" aca="1" ref="I24" ca="1">INDIRECT(ADDRESS($B24,6,,,"mkt data"))</f>
        <v>102.04</v>
      </c>
      <c r="J24" s="249" cm="1">
        <f t="array" aca="1" ref="J24" ca="1">INDIRECT(ADDRESS($A24,7,,,"SCALARS"))</f>
        <v>0</v>
      </c>
      <c r="K24" s="22">
        <f t="shared" ca="1" si="28"/>
        <v>102.0245</v>
      </c>
      <c r="L24" s="22">
        <f t="shared" ca="1" si="29"/>
        <v>102.0455</v>
      </c>
      <c r="M24" s="50" cm="1">
        <f t="array" aca="1" ref="M24" ca="1">INDIRECT(ADDRESS($A24,6,,,"scalars"))</f>
        <v>1</v>
      </c>
      <c r="N24" s="23">
        <f t="shared" ca="1" si="30"/>
        <v>102.0245</v>
      </c>
      <c r="O24" s="23">
        <f t="shared" ca="1" si="31"/>
        <v>102.0455</v>
      </c>
      <c r="P24" s="386"/>
      <c r="Q24" s="481"/>
      <c r="R24" s="451"/>
      <c r="S24" s="467"/>
      <c r="T24" s="43"/>
      <c r="U24" s="114"/>
      <c r="V24" s="476"/>
      <c r="W24" s="491"/>
      <c r="X24" s="29" cm="1">
        <f t="array" aca="1" ref="X24" ca="1">INDIRECT(ADDRESS($B24,9,,,"mkt data"))</f>
        <v>-2000</v>
      </c>
      <c r="Y24" s="55">
        <f t="shared" ca="1" si="32"/>
        <v>-204070</v>
      </c>
      <c r="Z24" s="29">
        <f t="shared" ca="1" si="33"/>
        <v>-2000</v>
      </c>
      <c r="AA24" s="406"/>
      <c r="AB24" s="306" t="str">
        <f t="shared" si="27"/>
        <v>MUB</v>
      </c>
      <c r="AE24" s="9"/>
      <c r="AG24" s="92"/>
    </row>
    <row r="25" spans="1:36" x14ac:dyDescent="0.25">
      <c r="A25" s="140">
        <f>MATCH(G25,SCALARS!C:C,0)</f>
        <v>35</v>
      </c>
      <c r="B25" s="141">
        <f>MATCH(G25,'MKT DATA'!B:B,0)</f>
        <v>35</v>
      </c>
      <c r="C25" s="207" t="str" cm="1">
        <f t="array" aca="1" ref="C25" ca="1">INDIRECT(ADDRESS($A25,2,,,"scalars"))</f>
        <v>mortgages</v>
      </c>
      <c r="D25" s="236" cm="1">
        <f t="array" aca="1" ref="D25" ca="1">INDIRECT(ADDRESS($A25,8,,,"SCALARS"))</f>
        <v>1198200</v>
      </c>
      <c r="E25" s="80">
        <v>0.16500000000000001</v>
      </c>
      <c r="F25" s="14" t="str" cm="1">
        <f t="array" aca="1" ref="F25" ca="1">INDIRECT(ADDRESS($A25,5,,,"scalars"))</f>
        <v>MBB</v>
      </c>
      <c r="G25" s="15" t="s">
        <v>18</v>
      </c>
      <c r="H25" s="33" cm="1">
        <f t="array" aca="1" ref="H25" ca="1">INDIRECT(ADDRESS($B25,5,,,"mkt data"))</f>
        <v>21.36</v>
      </c>
      <c r="I25" s="34" cm="1">
        <f t="array" aca="1" ref="I25" ca="1">INDIRECT(ADDRESS($B25,6,,,"mkt data"))</f>
        <v>21.37</v>
      </c>
      <c r="J25" s="248" cm="1">
        <f t="array" aca="1" ref="J25" ca="1">INDIRECT(ADDRESS($A25,7,,,"SCALARS"))</f>
        <v>0</v>
      </c>
      <c r="K25" s="16">
        <f t="shared" ca="1" si="28"/>
        <v>21.354499999999998</v>
      </c>
      <c r="L25" s="16">
        <f t="shared" ca="1" si="29"/>
        <v>21.375500000000002</v>
      </c>
      <c r="M25" s="49" cm="1">
        <f t="array" aca="1" ref="M25" ca="1">INDIRECT(ADDRESS($A25,6,,,"scalars"))</f>
        <v>4.2368054727022235</v>
      </c>
      <c r="N25" s="17">
        <f t="shared" ca="1" si="30"/>
        <v>90.47486246681963</v>
      </c>
      <c r="O25" s="17">
        <f t="shared" ca="1" si="31"/>
        <v>90.563835381746387</v>
      </c>
      <c r="P25" s="385">
        <f ca="1">MAX(N25:N27)</f>
        <v>90.533836040053686</v>
      </c>
      <c r="Q25" s="449">
        <f ca="1">MIN(O25:O27)</f>
        <v>90.525499999999994</v>
      </c>
      <c r="R25" s="449">
        <f ca="1">P25-Q25</f>
        <v>8.3360400536918178E-3</v>
      </c>
      <c r="S25" s="465">
        <f ca="1">R25/AVERAGE(ABS(P25),ABS(Q25))</f>
        <v>9.2080753591714624E-5</v>
      </c>
      <c r="T25" s="71">
        <v>8.0000000000000004E-4</v>
      </c>
      <c r="U25" s="72">
        <v>8.0000000000000004E-4</v>
      </c>
      <c r="V25" s="474">
        <v>8.0000000000000004E-4</v>
      </c>
      <c r="W25" s="489">
        <v>8.0000000000000004E-4</v>
      </c>
      <c r="X25" s="27" cm="1">
        <f t="array" aca="1" ref="X25" ca="1">INDIRECT(ADDRESS($B25,9,,,"mkt data"))</f>
        <v>0</v>
      </c>
      <c r="Y25" s="53">
        <f t="shared" ca="1" si="32"/>
        <v>0</v>
      </c>
      <c r="Z25" s="27">
        <f t="shared" ca="1" si="33"/>
        <v>0</v>
      </c>
      <c r="AA25" s="405">
        <f ca="1">SUM(Z25:Z27)</f>
        <v>0</v>
      </c>
      <c r="AB25" s="305" t="str">
        <f t="shared" si="27"/>
        <v>SPMB</v>
      </c>
      <c r="AE25" s="9"/>
    </row>
    <row r="26" spans="1:36" x14ac:dyDescent="0.25">
      <c r="A26" s="144">
        <f>MATCH(G26,SCALARS!C:C,0)</f>
        <v>36</v>
      </c>
      <c r="B26" s="149">
        <f>MATCH(G26,'MKT DATA'!B:B,0)</f>
        <v>36</v>
      </c>
      <c r="C26" s="135" t="str" cm="1">
        <f t="array" aca="1" ref="C26" ca="1">INDIRECT(ADDRESS($A26,2,,,"scalars"))</f>
        <v>mortgages</v>
      </c>
      <c r="D26" s="237" cm="1">
        <f t="array" aca="1" ref="D26" ca="1">INDIRECT(ADDRESS($A26,8,,,"SCALARS"))</f>
        <v>1429300</v>
      </c>
      <c r="E26" s="82">
        <v>0.16500000000000001</v>
      </c>
      <c r="F26" s="10" t="str" cm="1">
        <f t="array" aca="1" ref="F26" ca="1">INDIRECT(ADDRESS($A26,5,,,"scalars"))</f>
        <v>MBB</v>
      </c>
      <c r="G26" s="8" t="s">
        <v>19</v>
      </c>
      <c r="H26" s="35" cm="1">
        <f t="array" aca="1" ref="H26" ca="1">INDIRECT(ADDRESS($B26,5,,,"mkt data"))</f>
        <v>44.88</v>
      </c>
      <c r="I26" s="36" cm="1">
        <f t="array" aca="1" ref="I26" ca="1">INDIRECT(ADDRESS($B26,6,,,"mkt data"))</f>
        <v>44.89</v>
      </c>
      <c r="J26" s="254" cm="1">
        <f t="array" aca="1" ref="J26" ca="1">INDIRECT(ADDRESS($A26,7,,,"SCALARS"))</f>
        <v>0</v>
      </c>
      <c r="K26" s="18">
        <f t="shared" ca="1" si="28"/>
        <v>44.874500000000005</v>
      </c>
      <c r="L26" s="18">
        <f t="shared" ca="1" si="29"/>
        <v>44.895499999999998</v>
      </c>
      <c r="M26" s="51" cm="1">
        <f t="array" aca="1" ref="M26" ca="1">INDIRECT(ADDRESS($A26,6,,,"scalars"))</f>
        <v>2.017489577378103</v>
      </c>
      <c r="N26" s="19">
        <f t="shared" ca="1" si="30"/>
        <v>90.533836040053686</v>
      </c>
      <c r="O26" s="19">
        <f t="shared" ca="1" si="31"/>
        <v>90.576203321178625</v>
      </c>
      <c r="P26" s="479"/>
      <c r="Q26" s="480"/>
      <c r="R26" s="450"/>
      <c r="S26" s="466"/>
      <c r="T26" s="112" t="b">
        <f ca="1">IF(S25&gt;V25,TRUE,FALSE)</f>
        <v>0</v>
      </c>
      <c r="U26" s="113" t="b" cm="1">
        <f t="array" aca="1" ref="U26" ca="1">AND(IF(SUM(ABS(X25:X27)),TRUE,FALSE),IF(S25&lt;U25,TRUE,FALSE))</f>
        <v>0</v>
      </c>
      <c r="V26" s="475"/>
      <c r="W26" s="490"/>
      <c r="X26" s="28" cm="1">
        <f t="array" aca="1" ref="X26" ca="1">INDIRECT(ADDRESS($B26,9,,,"mkt data"))</f>
        <v>0</v>
      </c>
      <c r="Y26" s="54">
        <f t="shared" ca="1" si="32"/>
        <v>0</v>
      </c>
      <c r="Z26" s="28">
        <f t="shared" ca="1" si="33"/>
        <v>0</v>
      </c>
      <c r="AA26" s="487"/>
      <c r="AB26" s="306" t="str">
        <f t="shared" si="27"/>
        <v>VMBS</v>
      </c>
      <c r="AE26" s="9"/>
    </row>
    <row r="27" spans="1:36" ht="15.75" thickBot="1" x14ac:dyDescent="0.3">
      <c r="A27" s="142">
        <f>MATCH(G27,SCALARS!C:C,0)</f>
        <v>34</v>
      </c>
      <c r="B27" s="143">
        <f>MATCH(G27,'MKT DATA'!B:B,0)</f>
        <v>34</v>
      </c>
      <c r="C27" s="208" t="str" cm="1">
        <f t="array" aca="1" ref="C27" ca="1">INDIRECT(ADDRESS($A27,2,,,"scalars"))</f>
        <v>mortgages</v>
      </c>
      <c r="D27" s="238" cm="1">
        <f t="array" aca="1" ref="D27" ca="1">INDIRECT(ADDRESS($A27,8,,,"SCALARS"))</f>
        <v>3269800</v>
      </c>
      <c r="E27" s="81">
        <v>0.16500000000000001</v>
      </c>
      <c r="F27" s="20" t="str" cm="1">
        <f t="array" aca="1" ref="F27" ca="1">INDIRECT(ADDRESS($A27,5,,,"scalars"))</f>
        <v>MBB</v>
      </c>
      <c r="G27" s="21" t="s">
        <v>20</v>
      </c>
      <c r="H27" s="37" cm="1">
        <f t="array" aca="1" ref="H27" ca="1">INDIRECT(ADDRESS($B27,5,,,"mkt data"))</f>
        <v>90.51</v>
      </c>
      <c r="I27" s="38" cm="1">
        <f t="array" aca="1" ref="I27" ca="1">INDIRECT(ADDRESS($B27,6,,,"mkt data"))</f>
        <v>90.52</v>
      </c>
      <c r="J27" s="249" cm="1">
        <f t="array" aca="1" ref="J27" ca="1">INDIRECT(ADDRESS($A27,7,,,"SCALARS"))</f>
        <v>0</v>
      </c>
      <c r="K27" s="22">
        <f t="shared" ca="1" si="28"/>
        <v>90.504500000000007</v>
      </c>
      <c r="L27" s="22">
        <f t="shared" ca="1" si="29"/>
        <v>90.525499999999994</v>
      </c>
      <c r="M27" s="50" cm="1">
        <f t="array" aca="1" ref="M27" ca="1">INDIRECT(ADDRESS($A27,6,,,"scalars"))</f>
        <v>1</v>
      </c>
      <c r="N27" s="23">
        <f t="shared" ca="1" si="30"/>
        <v>90.504500000000007</v>
      </c>
      <c r="O27" s="23">
        <f t="shared" ca="1" si="31"/>
        <v>90.525499999999994</v>
      </c>
      <c r="P27" s="386"/>
      <c r="Q27" s="481"/>
      <c r="R27" s="451"/>
      <c r="S27" s="467"/>
      <c r="T27" s="43"/>
      <c r="U27" s="114"/>
      <c r="V27" s="476"/>
      <c r="W27" s="491"/>
      <c r="X27" s="29" cm="1">
        <f t="array" aca="1" ref="X27" ca="1">INDIRECT(ADDRESS($B27,9,,,"mkt data"))</f>
        <v>0</v>
      </c>
      <c r="Y27" s="55">
        <f t="shared" ca="1" si="32"/>
        <v>0</v>
      </c>
      <c r="Z27" s="29">
        <f t="shared" ca="1" si="33"/>
        <v>0</v>
      </c>
      <c r="AA27" s="406"/>
      <c r="AB27" s="307" t="str">
        <f t="shared" si="27"/>
        <v>MBB</v>
      </c>
      <c r="AE27" s="9"/>
    </row>
    <row r="28" spans="1:36" x14ac:dyDescent="0.25">
      <c r="A28" s="140">
        <f>MATCH(G28,SCALARS!C:C,0)</f>
        <v>11</v>
      </c>
      <c r="B28" s="141">
        <f>MATCH(G28,'MKT DATA'!B:B,0)</f>
        <v>11</v>
      </c>
      <c r="C28" s="207" t="str" cm="1">
        <f t="array" aca="1" ref="C28" ca="1">INDIRECT(ADDRESS($A28,2,,,"scalars"))</f>
        <v>corps</v>
      </c>
      <c r="D28" s="236" cm="1">
        <f t="array" aca="1" ref="D28" ca="1">INDIRECT(ADDRESS($A28,8,,,"SCALARS"))</f>
        <v>566400</v>
      </c>
      <c r="E28" s="80">
        <v>0.16500000000000001</v>
      </c>
      <c r="F28" s="14" t="str" cm="1">
        <f t="array" aca="1" ref="F28" ca="1">INDIRECT(ADDRESS($A28,5,,,"scalars"))</f>
        <v>CORP</v>
      </c>
      <c r="G28" s="15" t="s">
        <v>28</v>
      </c>
      <c r="H28" s="33" cm="1">
        <f t="array" aca="1" ref="H28" ca="1">INDIRECT(ADDRESS($B28,5,,,"mkt data"))</f>
        <v>27.87</v>
      </c>
      <c r="I28" s="34" cm="1">
        <f t="array" aca="1" ref="I28" ca="1">INDIRECT(ADDRESS($B28,6,,,"mkt data"))</f>
        <v>27.88</v>
      </c>
      <c r="J28" s="248" cm="1">
        <f t="array" aca="1" ref="J28" ca="1">INDIRECT(ADDRESS($A28,7,,,"SCALARS"))</f>
        <v>0</v>
      </c>
      <c r="K28" s="16">
        <f t="shared" ca="1" si="28"/>
        <v>27.8645</v>
      </c>
      <c r="L28" s="16">
        <f t="shared" ca="1" si="29"/>
        <v>27.8855</v>
      </c>
      <c r="M28" s="49" cm="1">
        <f t="array" aca="1" ref="M28" ca="1">INDIRECT(ADDRESS($A28,6,,,"scalars"))</f>
        <v>3.3393498274074305</v>
      </c>
      <c r="N28" s="17">
        <f t="shared" ref="N28:N30" ca="1" si="34">K28*M28</f>
        <v>93.049313265794339</v>
      </c>
      <c r="O28" s="17">
        <f t="shared" ca="1" si="31"/>
        <v>93.119439612169899</v>
      </c>
      <c r="P28" s="385">
        <f ca="1">MAX(N28:N31)</f>
        <v>93.081284747501314</v>
      </c>
      <c r="Q28" s="449">
        <f ca="1">MIN(O28:O31)</f>
        <v>93.025499999999994</v>
      </c>
      <c r="R28" s="449">
        <f ca="1">P28-Q28</f>
        <v>5.5784747501320453E-2</v>
      </c>
      <c r="S28" s="465">
        <f ca="1">R28/AVERAGE(ABS(P28),ABS(Q28))</f>
        <v>5.9949181946274447E-4</v>
      </c>
      <c r="T28" s="42"/>
      <c r="U28" s="122"/>
      <c r="V28" s="474">
        <v>1E-3</v>
      </c>
      <c r="W28" s="489">
        <v>8.0000000000000004E-4</v>
      </c>
      <c r="X28" s="27" cm="1">
        <f t="array" aca="1" ref="X28" ca="1">INDIRECT(ADDRESS($B28,9,,,"mkt data"))</f>
        <v>0</v>
      </c>
      <c r="Y28" s="53">
        <f t="shared" ca="1" si="32"/>
        <v>0</v>
      </c>
      <c r="Z28" s="27">
        <f t="shared" ca="1" si="33"/>
        <v>0</v>
      </c>
      <c r="AA28" s="399">
        <f ca="1">SUM(Z28:Z31)</f>
        <v>0</v>
      </c>
      <c r="AB28" s="306" t="str">
        <f t="shared" si="27"/>
        <v>SPBO</v>
      </c>
      <c r="AE28" s="9"/>
    </row>
    <row r="29" spans="1:36" x14ac:dyDescent="0.25">
      <c r="A29" s="144">
        <f>MATCH(G29,SCALARS!C:C,0)</f>
        <v>12</v>
      </c>
      <c r="B29" s="149">
        <f>MATCH(G29,'MKT DATA'!B:B,0)</f>
        <v>12</v>
      </c>
      <c r="C29" s="135" t="str" cm="1">
        <f t="array" aca="1" ref="C29" ca="1">INDIRECT(ADDRESS($A29,2,,,"scalars"))</f>
        <v>corps</v>
      </c>
      <c r="D29" s="237" cm="1">
        <f t="array" aca="1" ref="D29" ca="1">INDIRECT(ADDRESS($A29,8,,,"SCALARS"))</f>
        <v>2099500</v>
      </c>
      <c r="E29" s="82">
        <v>0.16500000000000001</v>
      </c>
      <c r="F29" s="10" t="str" cm="1">
        <f t="array" aca="1" ref="F29" ca="1">INDIRECT(ADDRESS($A29,5,,,"scalars"))</f>
        <v>CORP</v>
      </c>
      <c r="G29" s="8" t="s">
        <v>29</v>
      </c>
      <c r="H29" s="35" cm="1">
        <f t="array" aca="1" ref="H29" ca="1">INDIRECT(ADDRESS($B29,5,,,"mkt data"))</f>
        <v>49.3</v>
      </c>
      <c r="I29" s="36" cm="1">
        <f t="array" aca="1" ref="I29" ca="1">INDIRECT(ADDRESS($B29,6,,,"mkt data"))</f>
        <v>49.31</v>
      </c>
      <c r="J29" s="254" cm="1">
        <f t="array" aca="1" ref="J29" ca="1">INDIRECT(ADDRESS($A29,7,,,"SCALARS"))</f>
        <v>0</v>
      </c>
      <c r="K29" s="18">
        <f t="shared" ca="1" si="28"/>
        <v>49.294499999999999</v>
      </c>
      <c r="L29" s="18">
        <f t="shared" ca="1" si="29"/>
        <v>49.3155</v>
      </c>
      <c r="M29" s="51" cm="1">
        <f t="array" aca="1" ref="M29" ca="1">INDIRECT(ADDRESS($A29,6,,,"scalars"))</f>
        <v>1.8882691729807852</v>
      </c>
      <c r="N29" s="19">
        <f t="shared" ca="1" si="34"/>
        <v>93.081284747501314</v>
      </c>
      <c r="O29" s="19">
        <f t="shared" ca="1" si="31"/>
        <v>93.120938400133909</v>
      </c>
      <c r="P29" s="477"/>
      <c r="Q29" s="450"/>
      <c r="R29" s="450"/>
      <c r="S29" s="466"/>
      <c r="T29" s="124">
        <v>1E-3</v>
      </c>
      <c r="U29" s="125">
        <v>8.0000000000000004E-4</v>
      </c>
      <c r="V29" s="475"/>
      <c r="W29" s="490"/>
      <c r="X29" s="28" cm="1">
        <f t="array" aca="1" ref="X29" ca="1">INDIRECT(ADDRESS($B29,9,,,"mkt data"))</f>
        <v>0</v>
      </c>
      <c r="Y29" s="54">
        <f t="shared" ca="1" si="32"/>
        <v>0</v>
      </c>
      <c r="Z29" s="28">
        <f t="shared" ca="1" si="33"/>
        <v>0</v>
      </c>
      <c r="AA29" s="488"/>
      <c r="AB29" s="306" t="str">
        <f t="shared" si="27"/>
        <v>USIG</v>
      </c>
      <c r="AE29" s="9"/>
    </row>
    <row r="30" spans="1:36" x14ac:dyDescent="0.25">
      <c r="A30" s="144">
        <f>MATCH(G30,SCALARS!C:C,0)</f>
        <v>13</v>
      </c>
      <c r="B30" s="149">
        <f>MATCH(G30,'MKT DATA'!B:B,0)</f>
        <v>13</v>
      </c>
      <c r="C30" s="135" t="str" cm="1">
        <f t="array" aca="1" ref="C30" ca="1">INDIRECT(ADDRESS($A30,2,,,"scalars"))</f>
        <v>corps</v>
      </c>
      <c r="D30" s="237" cm="1">
        <f t="array" aca="1" ref="D30" ca="1">INDIRECT(ADDRESS($A30,8,,,"SCALARS"))</f>
        <v>77900</v>
      </c>
      <c r="E30" s="82">
        <v>0.16500000000000001</v>
      </c>
      <c r="F30" s="10" t="str" cm="1">
        <f t="array" aca="1" ref="F30" ca="1">INDIRECT(ADDRESS($A30,5,,,"scalars"))</f>
        <v>CORP</v>
      </c>
      <c r="G30" s="8" t="s">
        <v>30</v>
      </c>
      <c r="H30" s="35" cm="1">
        <f t="array" aca="1" ref="H30" ca="1">INDIRECT(ADDRESS($B30,5,,,"mkt data"))</f>
        <v>73.72</v>
      </c>
      <c r="I30" s="36" cm="1">
        <f t="array" aca="1" ref="I30" ca="1">INDIRECT(ADDRESS($B30,6,,,"mkt data"))</f>
        <v>73.73</v>
      </c>
      <c r="J30" s="254" cm="1">
        <f t="array" aca="1" ref="J30" ca="1">INDIRECT(ADDRESS($A30,7,,,"SCALARS"))</f>
        <v>0</v>
      </c>
      <c r="K30" s="18">
        <f t="shared" ca="1" si="28"/>
        <v>73.714500000000001</v>
      </c>
      <c r="L30" s="18">
        <f t="shared" ca="1" si="29"/>
        <v>73.735500000000002</v>
      </c>
      <c r="M30" s="51" cm="1">
        <f t="array" aca="1" ref="M30" ca="1">INDIRECT(ADDRESS($A30,6,,,"scalars"))</f>
        <v>1.2624723633728432</v>
      </c>
      <c r="N30" s="19">
        <f t="shared" ca="1" si="34"/>
        <v>93.062519029847451</v>
      </c>
      <c r="O30" s="19">
        <f t="shared" ca="1" si="31"/>
        <v>93.089030949478285</v>
      </c>
      <c r="P30" s="477"/>
      <c r="Q30" s="450"/>
      <c r="R30" s="450"/>
      <c r="S30" s="466"/>
      <c r="T30" s="112" t="b">
        <f ca="1">IF(S28&gt;V28,TRUE,FALSE)</f>
        <v>0</v>
      </c>
      <c r="U30" s="113" t="b" cm="1">
        <f t="array" aca="1" ref="U30" ca="1">AND(IF(SUM(ABS(X28:X30)),TRUE,FALSE),IF(S28&lt;U29,TRUE,FALSE))</f>
        <v>0</v>
      </c>
      <c r="V30" s="475"/>
      <c r="W30" s="490"/>
      <c r="X30" s="28" cm="1">
        <f t="array" aca="1" ref="X30" ca="1">INDIRECT(ADDRESS($B30,9,,,"mkt data"))</f>
        <v>0</v>
      </c>
      <c r="Y30" s="54">
        <f t="shared" ca="1" si="32"/>
        <v>0</v>
      </c>
      <c r="Z30" s="28">
        <f t="shared" ca="1" si="33"/>
        <v>0</v>
      </c>
      <c r="AA30" s="488"/>
      <c r="AB30" s="306" t="str">
        <f t="shared" si="27"/>
        <v>VTC</v>
      </c>
      <c r="AE30" s="9"/>
    </row>
    <row r="31" spans="1:36" ht="15.75" thickBot="1" x14ac:dyDescent="0.3">
      <c r="A31" s="142">
        <f>MATCH(G31,SCALARS!C:C,0)</f>
        <v>10</v>
      </c>
      <c r="B31" s="143">
        <f>MATCH(G31,'MKT DATA'!B:B,0)</f>
        <v>10</v>
      </c>
      <c r="C31" s="208" t="str" cm="1">
        <f t="array" aca="1" ref="C31" ca="1">INDIRECT(ADDRESS($A31,2,,,"scalars"))</f>
        <v>corps</v>
      </c>
      <c r="D31" s="238" cm="1">
        <f t="array" aca="1" ref="D31" ca="1">INDIRECT(ADDRESS($A31,8,,,"SCALARS"))</f>
        <v>108300</v>
      </c>
      <c r="E31" s="81">
        <v>0.16500000000000001</v>
      </c>
      <c r="F31" s="20" t="str" cm="1">
        <f t="array" aca="1" ref="F31" ca="1">INDIRECT(ADDRESS($A31,5,,,"scalars"))</f>
        <v>CORP</v>
      </c>
      <c r="G31" s="21" t="s">
        <v>31</v>
      </c>
      <c r="H31" s="37" cm="1">
        <f t="array" aca="1" ref="H31" ca="1">INDIRECT(ADDRESS($B31,5,,,"mkt data"))</f>
        <v>93</v>
      </c>
      <c r="I31" s="38" cm="1">
        <f t="array" aca="1" ref="I31" ca="1">INDIRECT(ADDRESS($B31,6,,,"mkt data"))</f>
        <v>93.02</v>
      </c>
      <c r="J31" s="249" cm="1">
        <f t="array" aca="1" ref="J31" ca="1">INDIRECT(ADDRESS($A31,7,,,"SCALARS"))</f>
        <v>0</v>
      </c>
      <c r="K31" s="22">
        <f t="shared" ca="1" si="28"/>
        <v>92.994500000000002</v>
      </c>
      <c r="L31" s="22">
        <f t="shared" ca="1" si="29"/>
        <v>93.025499999999994</v>
      </c>
      <c r="M31" s="50" cm="1">
        <f t="array" aca="1" ref="M31" ca="1">INDIRECT(ADDRESS($A31,6,,,"scalars"))</f>
        <v>1</v>
      </c>
      <c r="N31" s="23">
        <f ca="1">K31*M31</f>
        <v>92.994500000000002</v>
      </c>
      <c r="O31" s="23">
        <f t="shared" ca="1" si="31"/>
        <v>93.025499999999994</v>
      </c>
      <c r="P31" s="478"/>
      <c r="Q31" s="451"/>
      <c r="R31" s="451"/>
      <c r="S31" s="467"/>
      <c r="T31" s="43"/>
      <c r="U31" s="114"/>
      <c r="V31" s="476"/>
      <c r="W31" s="491"/>
      <c r="X31" s="29" cm="1">
        <f t="array" aca="1" ref="X31" ca="1">INDIRECT(ADDRESS($B31,9,,,"mkt data"))</f>
        <v>0</v>
      </c>
      <c r="Y31" s="55">
        <f t="shared" ca="1" si="32"/>
        <v>0</v>
      </c>
      <c r="Z31" s="29">
        <f t="shared" ca="1" si="33"/>
        <v>0</v>
      </c>
      <c r="AA31" s="400"/>
      <c r="AB31" s="306" t="str">
        <f t="shared" si="27"/>
        <v>CORP</v>
      </c>
      <c r="AE31" s="9"/>
    </row>
    <row r="32" spans="1:36" x14ac:dyDescent="0.25">
      <c r="A32" s="140">
        <f>MATCH(G32,SCALARS!C:C,0)</f>
        <v>22</v>
      </c>
      <c r="B32" s="141">
        <f>MATCH(G32,'MKT DATA'!B:B,0)</f>
        <v>22</v>
      </c>
      <c r="C32" s="207" t="str" cm="1">
        <f t="array" aca="1" ref="C32" ca="1">INDIRECT(ADDRESS($A32,2,,,"scalars"))</f>
        <v>hi yld</v>
      </c>
      <c r="D32" s="236" cm="1">
        <f t="array" aca="1" ref="D32" ca="1">INDIRECT(ADDRESS($A32,8,,,"SCALARS"))</f>
        <v>5371800</v>
      </c>
      <c r="E32" s="80">
        <v>0.27500000000000002</v>
      </c>
      <c r="F32" s="14" t="str" cm="1">
        <f t="array" aca="1" ref="F32" ca="1">INDIRECT(ADDRESS($A32,5,,,"scalars"))</f>
        <v>JNK</v>
      </c>
      <c r="G32" s="15" t="s">
        <v>12</v>
      </c>
      <c r="H32" s="33" cm="1">
        <f t="array" aca="1" ref="H32" ca="1">INDIRECT(ADDRESS($B32,5,,,"mkt data"))</f>
        <v>22.86</v>
      </c>
      <c r="I32" s="34" cm="1">
        <f t="array" aca="1" ref="I32" ca="1">INDIRECT(ADDRESS($B32,6,,,"mkt data"))</f>
        <v>22.87</v>
      </c>
      <c r="J32" s="248" cm="1">
        <f t="array" aca="1" ref="J32" ca="1">INDIRECT(ADDRESS($A32,7,,,"SCALARS"))</f>
        <v>0</v>
      </c>
      <c r="K32" s="16">
        <f t="shared" ca="1" si="28"/>
        <v>22.854499999999998</v>
      </c>
      <c r="L32" s="16">
        <f t="shared" ca="1" si="29"/>
        <v>22.875500000000002</v>
      </c>
      <c r="M32" s="49" cm="1">
        <f t="array" aca="1" ref="M32" ca="1">INDIRECT(ADDRESS($A32,6,,,"scalars"))</f>
        <v>4.1137945597961423</v>
      </c>
      <c r="N32" s="17">
        <f t="shared" ref="N32:N37" ca="1" si="35">K32*M32</f>
        <v>94.018717766860931</v>
      </c>
      <c r="O32" s="17">
        <f t="shared" ca="1" si="31"/>
        <v>94.105107452616664</v>
      </c>
      <c r="P32" s="385">
        <f ca="1">MAX(N32:N37)</f>
        <v>94.02831353525049</v>
      </c>
      <c r="Q32" s="449">
        <f ca="1">MIN(O32:O37)</f>
        <v>94.015500000000003</v>
      </c>
      <c r="R32" s="449">
        <f ca="1">P32-Q32</f>
        <v>1.2813535250487007E-2</v>
      </c>
      <c r="S32" s="465">
        <f ca="1">R32/AVERAGE(ABS(P32),ABS(Q32))</f>
        <v>1.362824440707803E-4</v>
      </c>
      <c r="T32" s="42"/>
      <c r="U32" s="122"/>
      <c r="V32" s="474">
        <v>1E-3</v>
      </c>
      <c r="W32" s="489">
        <v>8.0000000000000004E-4</v>
      </c>
      <c r="X32" s="27" cm="1">
        <f t="array" aca="1" ref="X32" ca="1">INDIRECT(ADDRESS($B32,9,,,"mkt data"))</f>
        <v>0</v>
      </c>
      <c r="Y32" s="53">
        <f t="shared" ca="1" si="32"/>
        <v>0</v>
      </c>
      <c r="Z32" s="27">
        <f t="shared" ca="1" si="33"/>
        <v>0</v>
      </c>
      <c r="AA32" s="403">
        <f ca="1">SUM(Z32:Z37)</f>
        <v>0</v>
      </c>
      <c r="AB32" s="305" t="str">
        <f t="shared" si="27"/>
        <v>SPHY</v>
      </c>
      <c r="AE32" s="9"/>
    </row>
    <row r="33" spans="1:31" x14ac:dyDescent="0.25">
      <c r="A33" s="144">
        <f>MATCH(G33,SCALARS!C:C,0)</f>
        <v>21</v>
      </c>
      <c r="B33" s="149">
        <f>MATCH(G33,'MKT DATA'!B:B,0)</f>
        <v>21</v>
      </c>
      <c r="C33" s="135" t="str" cm="1">
        <f t="array" aca="1" ref="C33" ca="1">INDIRECT(ADDRESS($A33,2,,,"scalars"))</f>
        <v>hi yld</v>
      </c>
      <c r="D33" s="237" cm="1">
        <f t="array" aca="1" ref="D33" ca="1">INDIRECT(ADDRESS($A33,8,,,"SCALARS"))</f>
        <v>1019800</v>
      </c>
      <c r="E33" s="82">
        <v>0.27500000000000002</v>
      </c>
      <c r="F33" s="10" t="str" cm="1">
        <f t="array" aca="1" ref="F33" ca="1">INDIRECT(ADDRESS($A33,5,,,"scalars"))</f>
        <v>JNK</v>
      </c>
      <c r="G33" s="8" t="s">
        <v>13</v>
      </c>
      <c r="H33" s="35" cm="1">
        <f t="array" aca="1" ref="H33" ca="1">INDIRECT(ADDRESS($B33,5,,,"mkt data"))</f>
        <v>25.53</v>
      </c>
      <c r="I33" s="36" cm="1">
        <f t="array" aca="1" ref="I33" ca="1">INDIRECT(ADDRESS($B33,6,,,"mkt data"))</f>
        <v>25.54</v>
      </c>
      <c r="J33" s="254" cm="1">
        <f t="array" aca="1" ref="J33" ca="1">INDIRECT(ADDRESS($A33,7,,,"SCALARS"))</f>
        <v>0</v>
      </c>
      <c r="K33" s="18">
        <f t="shared" ca="1" si="28"/>
        <v>25.5245</v>
      </c>
      <c r="L33" s="18">
        <f t="shared" ca="1" si="29"/>
        <v>25.545500000000001</v>
      </c>
      <c r="M33" s="51" cm="1">
        <f t="array" aca="1" ref="M33" ca="1">INDIRECT(ADDRESS($A33,6,,,"scalars"))</f>
        <v>3.6821910379101097</v>
      </c>
      <c r="N33" s="19">
        <f t="shared" ca="1" si="35"/>
        <v>93.986085147136592</v>
      </c>
      <c r="O33" s="19">
        <f t="shared" ca="1" si="31"/>
        <v>94.063411158932709</v>
      </c>
      <c r="P33" s="477"/>
      <c r="Q33" s="450"/>
      <c r="R33" s="450"/>
      <c r="S33" s="466"/>
      <c r="T33" s="43"/>
      <c r="U33" s="114"/>
      <c r="V33" s="475"/>
      <c r="W33" s="490"/>
      <c r="X33" s="28" cm="1">
        <f t="array" aca="1" ref="X33" ca="1">INDIRECT(ADDRESS($B33,9,,,"mkt data"))</f>
        <v>0</v>
      </c>
      <c r="Y33" s="54">
        <f t="shared" ca="1" si="32"/>
        <v>0</v>
      </c>
      <c r="Z33" s="28">
        <f t="shared" ca="1" si="33"/>
        <v>0</v>
      </c>
      <c r="AA33" s="492"/>
      <c r="AB33" s="306" t="str">
        <f t="shared" si="27"/>
        <v>SCYB</v>
      </c>
      <c r="AE33" s="9"/>
    </row>
    <row r="34" spans="1:31" x14ac:dyDescent="0.25">
      <c r="A34" s="144">
        <f>MATCH(G34,SCALARS!C:C,0)</f>
        <v>19</v>
      </c>
      <c r="B34" s="149">
        <f>MATCH(G34,'MKT DATA'!B:B,0)</f>
        <v>19</v>
      </c>
      <c r="C34" s="135" t="str" cm="1">
        <f t="array" aca="1" ref="C34" ca="1">INDIRECT(ADDRESS($A34,2,,,"scalars"))</f>
        <v>hi yld</v>
      </c>
      <c r="D34" s="237" cm="1">
        <f t="array" aca="1" ref="D34" ca="1">INDIRECT(ADDRESS($A34,8,,,"SCALARS"))</f>
        <v>975200</v>
      </c>
      <c r="E34" s="82">
        <v>0.27500000000000002</v>
      </c>
      <c r="F34" s="10" t="str" cm="1">
        <f t="array" aca="1" ref="F34" ca="1">INDIRECT(ADDRESS($A34,5,,,"scalars"))</f>
        <v>JNK</v>
      </c>
      <c r="G34" s="8" t="s">
        <v>14</v>
      </c>
      <c r="H34" s="35" cm="1">
        <f t="array" aca="1" ref="H34" ca="1">INDIRECT(ADDRESS($B34,5,,,"mkt data"))</f>
        <v>35.630000000000003</v>
      </c>
      <c r="I34" s="36" cm="1">
        <f t="array" aca="1" ref="I34" ca="1">INDIRECT(ADDRESS($B34,6,,,"mkt data"))</f>
        <v>35.64</v>
      </c>
      <c r="J34" s="254" cm="1">
        <f t="array" aca="1" ref="J34" ca="1">INDIRECT(ADDRESS($A34,7,,,"SCALARS"))</f>
        <v>0</v>
      </c>
      <c r="K34" s="18">
        <f t="shared" ca="1" si="28"/>
        <v>35.624500000000005</v>
      </c>
      <c r="L34" s="18">
        <f t="shared" ca="1" si="29"/>
        <v>35.645499999999998</v>
      </c>
      <c r="M34" s="51" cm="1">
        <f t="array" aca="1" ref="M34" ca="1">INDIRECT(ADDRESS($A34,6,,,"scalars"))</f>
        <v>2.6375587965091265</v>
      </c>
      <c r="N34" s="19">
        <f t="shared" ca="1" si="35"/>
        <v>93.961713346239392</v>
      </c>
      <c r="O34" s="19">
        <f t="shared" ca="1" si="31"/>
        <v>94.017102080966069</v>
      </c>
      <c r="P34" s="477"/>
      <c r="Q34" s="450"/>
      <c r="R34" s="450"/>
      <c r="S34" s="466"/>
      <c r="T34" s="124">
        <v>1E-3</v>
      </c>
      <c r="U34" s="125">
        <v>8.0000000000000004E-4</v>
      </c>
      <c r="V34" s="475"/>
      <c r="W34" s="490"/>
      <c r="X34" s="28" cm="1">
        <f t="array" aca="1" ref="X34" ca="1">INDIRECT(ADDRESS($B34,9,,,"mkt data"))</f>
        <v>0</v>
      </c>
      <c r="Y34" s="54">
        <f t="shared" ca="1" si="32"/>
        <v>0</v>
      </c>
      <c r="Z34" s="28">
        <f t="shared" ca="1" si="33"/>
        <v>0</v>
      </c>
      <c r="AA34" s="492"/>
      <c r="AB34" s="306" t="str">
        <f t="shared" si="27"/>
        <v>HYLB</v>
      </c>
      <c r="AE34" s="9"/>
    </row>
    <row r="35" spans="1:31" x14ac:dyDescent="0.25">
      <c r="A35" s="144">
        <f>MATCH(G35,SCALARS!C:C,0)</f>
        <v>23</v>
      </c>
      <c r="B35" s="149">
        <f>MATCH(G35,'MKT DATA'!B:B,0)</f>
        <v>23</v>
      </c>
      <c r="C35" s="135" t="str" cm="1">
        <f t="array" aca="1" ref="C35" ca="1">INDIRECT(ADDRESS($A35,2,,,"scalars"))</f>
        <v>hi yld</v>
      </c>
      <c r="D35" s="237" cm="1">
        <f t="array" aca="1" ref="D35" ca="1">INDIRECT(ADDRESS($A35,8,,,"SCALARS"))</f>
        <v>10874700</v>
      </c>
      <c r="E35" s="82">
        <v>0.27500000000000002</v>
      </c>
      <c r="F35" s="10" t="str" cm="1">
        <f t="array" aca="1" ref="F35" ca="1">INDIRECT(ADDRESS($A35,5,,,"scalars"))</f>
        <v>JNK</v>
      </c>
      <c r="G35" s="8" t="s">
        <v>15</v>
      </c>
      <c r="H35" s="35" cm="1">
        <f t="array" aca="1" ref="H35" ca="1">INDIRECT(ADDRESS($B35,5,,,"mkt data"))</f>
        <v>36.14</v>
      </c>
      <c r="I35" s="36" cm="1">
        <f t="array" aca="1" ref="I35" ca="1">INDIRECT(ADDRESS($B35,6,,,"mkt data"))</f>
        <v>36.15</v>
      </c>
      <c r="J35" s="254" cm="1">
        <f t="array" aca="1" ref="J35" ca="1">INDIRECT(ADDRESS($A35,7,,,"SCALARS"))</f>
        <v>0</v>
      </c>
      <c r="K35" s="18">
        <f t="shared" ca="1" si="28"/>
        <v>36.134500000000003</v>
      </c>
      <c r="L35" s="18">
        <f t="shared" ca="1" si="29"/>
        <v>36.155499999999996</v>
      </c>
      <c r="M35" s="51" cm="1">
        <f t="array" aca="1" ref="M35" ca="1">INDIRECT(ADDRESS($A35,6,,,"scalars"))</f>
        <v>2.6021755810997935</v>
      </c>
      <c r="N35" s="19">
        <f t="shared" ca="1" si="35"/>
        <v>94.02831353525049</v>
      </c>
      <c r="O35" s="19">
        <f t="shared" ca="1" si="31"/>
        <v>94.082959222453582</v>
      </c>
      <c r="P35" s="477"/>
      <c r="Q35" s="450"/>
      <c r="R35" s="450"/>
      <c r="S35" s="466"/>
      <c r="T35" s="112" t="b">
        <f ca="1">IF(S32&gt;V32,TRUE,FALSE)</f>
        <v>0</v>
      </c>
      <c r="U35" s="113" t="b" cm="1">
        <f t="array" aca="1" ref="U35" ca="1">AND(IF(SUM(ABS(X32:X34)),TRUE,FALSE),IF(S32&lt;U34,TRUE,FALSE))</f>
        <v>0</v>
      </c>
      <c r="V35" s="475"/>
      <c r="W35" s="490"/>
      <c r="X35" s="28" cm="1">
        <f t="array" aca="1" ref="X35" ca="1">INDIRECT(ADDRESS($B35,9,,,"mkt data"))</f>
        <v>0</v>
      </c>
      <c r="Y35" s="54">
        <f t="shared" ca="1" si="32"/>
        <v>0</v>
      </c>
      <c r="Z35" s="28">
        <f t="shared" ca="1" si="33"/>
        <v>0</v>
      </c>
      <c r="AA35" s="492"/>
      <c r="AB35" s="306" t="str">
        <f t="shared" si="27"/>
        <v>USHY</v>
      </c>
      <c r="AE35" s="9"/>
    </row>
    <row r="36" spans="1:31" x14ac:dyDescent="0.25">
      <c r="A36" s="144">
        <f>MATCH(G36,SCALARS!C:C,0)</f>
        <v>18</v>
      </c>
      <c r="B36" s="149">
        <f>MATCH(G36,'MKT DATA'!B:B,0)</f>
        <v>18</v>
      </c>
      <c r="C36" s="135" t="str" cm="1">
        <f t="array" aca="1" ref="C36" ca="1">INDIRECT(ADDRESS($A36,2,,,"scalars"))</f>
        <v>hi yld</v>
      </c>
      <c r="D36" s="237" cm="1">
        <f t="array" aca="1" ref="D36" ca="1">INDIRECT(ADDRESS($A36,8,,,"SCALARS"))</f>
        <v>32738600</v>
      </c>
      <c r="E36" s="82">
        <v>0.27500000000000002</v>
      </c>
      <c r="F36" s="10" t="str" cm="1">
        <f t="array" aca="1" ref="F36" ca="1">INDIRECT(ADDRESS($A36,5,,,"scalars"))</f>
        <v>JNK</v>
      </c>
      <c r="G36" s="8" t="s">
        <v>16</v>
      </c>
      <c r="H36" s="35" cm="1">
        <f t="array" aca="1" ref="H36" ca="1">INDIRECT(ADDRESS($B36,5,,,"mkt data"))</f>
        <v>78.13</v>
      </c>
      <c r="I36" s="36" cm="1">
        <f t="array" aca="1" ref="I36" ca="1">INDIRECT(ADDRESS($B36,6,,,"mkt data"))</f>
        <v>78.14</v>
      </c>
      <c r="J36" s="254" cm="1">
        <f t="array" aca="1" ref="J36" ca="1">INDIRECT(ADDRESS($A36,7,,,"SCALARS"))</f>
        <v>0</v>
      </c>
      <c r="K36" s="18">
        <f t="shared" ca="1" si="28"/>
        <v>78.124499999999998</v>
      </c>
      <c r="L36" s="18">
        <f t="shared" ca="1" si="29"/>
        <v>78.145499999999998</v>
      </c>
      <c r="M36" s="51" cm="1">
        <f t="array" aca="1" ref="M36" ca="1">INDIRECT(ADDRESS($A36,6,,,"scalars"))</f>
        <v>1.2035645917267848</v>
      </c>
      <c r="N36" s="19">
        <f t="shared" ca="1" si="35"/>
        <v>94.027881946359187</v>
      </c>
      <c r="O36" s="19">
        <f t="shared" ca="1" si="31"/>
        <v>94.053156802785452</v>
      </c>
      <c r="P36" s="477"/>
      <c r="Q36" s="450"/>
      <c r="R36" s="450"/>
      <c r="S36" s="466"/>
      <c r="T36" s="43"/>
      <c r="U36" s="114"/>
      <c r="V36" s="475"/>
      <c r="W36" s="490"/>
      <c r="X36" s="28" cm="1">
        <f t="array" aca="1" ref="X36" ca="1">INDIRECT(ADDRESS($B36,9,,,"mkt data"))</f>
        <v>0</v>
      </c>
      <c r="Y36" s="54">
        <f t="shared" ca="1" si="32"/>
        <v>0</v>
      </c>
      <c r="Z36" s="28">
        <f t="shared" ca="1" si="33"/>
        <v>0</v>
      </c>
      <c r="AA36" s="492"/>
      <c r="AB36" s="306" t="str">
        <f t="shared" si="27"/>
        <v>HYG</v>
      </c>
    </row>
    <row r="37" spans="1:31" ht="15.75" thickBot="1" x14ac:dyDescent="0.3">
      <c r="A37" s="142">
        <f>MATCH(G37,SCALARS!C:C,0)</f>
        <v>20</v>
      </c>
      <c r="B37" s="143">
        <f>MATCH(G37,'MKT DATA'!B:B,0)</f>
        <v>20</v>
      </c>
      <c r="C37" s="208" t="str" cm="1">
        <f t="array" aca="1" ref="C37" ca="1">INDIRECT(ADDRESS($A37,2,,,"scalars"))</f>
        <v>hi yld</v>
      </c>
      <c r="D37" s="238" cm="1">
        <f t="array" aca="1" ref="D37" ca="1">INDIRECT(ADDRESS($A37,8,,,"SCALARS"))</f>
        <v>2594900</v>
      </c>
      <c r="E37" s="81">
        <v>0.27500000000000002</v>
      </c>
      <c r="F37" s="20" t="str" cm="1">
        <f t="array" aca="1" ref="F37" ca="1">INDIRECT(ADDRESS($A37,5,,,"scalars"))</f>
        <v>JNK</v>
      </c>
      <c r="G37" s="21" t="s">
        <v>17</v>
      </c>
      <c r="H37" s="37" cm="1">
        <f t="array" aca="1" ref="H37" ca="1">INDIRECT(ADDRESS($B37,5,,,"mkt data"))</f>
        <v>94</v>
      </c>
      <c r="I37" s="38" cm="1">
        <f t="array" aca="1" ref="I37" ca="1">INDIRECT(ADDRESS($B37,6,,,"mkt data"))</f>
        <v>94.01</v>
      </c>
      <c r="J37" s="249" cm="1">
        <f t="array" aca="1" ref="J37" ca="1">INDIRECT(ADDRESS($A37,7,,,"SCALARS"))</f>
        <v>0</v>
      </c>
      <c r="K37" s="22">
        <f t="shared" ca="1" si="28"/>
        <v>93.994500000000002</v>
      </c>
      <c r="L37" s="22">
        <f t="shared" ca="1" si="29"/>
        <v>94.015500000000003</v>
      </c>
      <c r="M37" s="50" cm="1">
        <f t="array" aca="1" ref="M37" ca="1">INDIRECT(ADDRESS($A37,6,,,"scalars"))</f>
        <v>1</v>
      </c>
      <c r="N37" s="23">
        <f t="shared" ca="1" si="35"/>
        <v>93.994500000000002</v>
      </c>
      <c r="O37" s="23">
        <f t="shared" ca="1" si="31"/>
        <v>94.015500000000003</v>
      </c>
      <c r="P37" s="478"/>
      <c r="Q37" s="451"/>
      <c r="R37" s="451"/>
      <c r="S37" s="467"/>
      <c r="T37" s="44"/>
      <c r="U37" s="123"/>
      <c r="V37" s="476"/>
      <c r="W37" s="491"/>
      <c r="X37" s="29" cm="1">
        <f t="array" aca="1" ref="X37" ca="1">INDIRECT(ADDRESS($B37,9,,,"mkt data"))</f>
        <v>0</v>
      </c>
      <c r="Y37" s="55">
        <f t="shared" ca="1" si="32"/>
        <v>0</v>
      </c>
      <c r="Z37" s="29">
        <f t="shared" ca="1" si="33"/>
        <v>0</v>
      </c>
      <c r="AA37" s="404"/>
      <c r="AB37" s="307" t="str">
        <f t="shared" si="27"/>
        <v>JNK</v>
      </c>
    </row>
    <row r="38" spans="1:31" s="92" customFormat="1" x14ac:dyDescent="0.25">
      <c r="A38" s="145">
        <f>MATCH(G38,SCALARS!C:C,0)</f>
        <v>32</v>
      </c>
      <c r="B38" s="146">
        <f>MATCH(G38,'MKT DATA'!B:B,0)</f>
        <v>32</v>
      </c>
      <c r="C38" s="209" t="str" cm="1">
        <f t="array" aca="1" ref="C38" ca="1">INDIRECT(ADDRESS($A38,2,,,"scalars"))</f>
        <v>long term tsy</v>
      </c>
      <c r="D38" s="239" cm="1">
        <f t="array" aca="1" ref="D38" ca="1">INDIRECT(ADDRESS($A38,8,,,"SCALARS"))</f>
        <v>5606700</v>
      </c>
      <c r="E38" s="119"/>
      <c r="F38" s="83" t="str" cm="1">
        <f t="array" aca="1" ref="F38" ca="1">INDIRECT(ADDRESS($A38,5,,,"scalars"))</f>
        <v>VGLT</v>
      </c>
      <c r="G38" s="84" t="s">
        <v>25</v>
      </c>
      <c r="H38" s="87" cm="1">
        <f t="array" aca="1" ref="H38" ca="1">INDIRECT(ADDRESS($B38,5,,,"mkt data"))</f>
        <v>24.54</v>
      </c>
      <c r="I38" s="88" cm="1">
        <f t="array" aca="1" ref="I38" ca="1">INDIRECT(ADDRESS($B38,6,,,"mkt data"))</f>
        <v>24.55</v>
      </c>
      <c r="J38" s="250" cm="1">
        <f t="array" aca="1" ref="J38" ca="1">INDIRECT(ADDRESS($A38,7,,,"SCALARS"))</f>
        <v>0</v>
      </c>
      <c r="K38" s="89">
        <f t="shared" ca="1" si="28"/>
        <v>24.534499999999998</v>
      </c>
      <c r="L38" s="89">
        <f t="shared" ca="1" si="29"/>
        <v>24.555500000000002</v>
      </c>
      <c r="M38" s="90" cm="1">
        <f t="array" aca="1" ref="M38" ca="1">INDIRECT(ADDRESS($A38,6,,,"scalars"))</f>
        <v>2.1020788909525825</v>
      </c>
      <c r="N38" s="91">
        <f t="shared" ca="1" si="30"/>
        <v>51.573454550076129</v>
      </c>
      <c r="O38" s="91">
        <f t="shared" ca="1" si="31"/>
        <v>51.617598206786141</v>
      </c>
      <c r="P38" s="443">
        <f ca="1">MAX(N38:N40)</f>
        <v>51.587650598239883</v>
      </c>
      <c r="Q38" s="446">
        <f ca="1">MIN(O38:O40)</f>
        <v>51.605499999999999</v>
      </c>
      <c r="R38" s="449">
        <f ca="1">P38-Q38</f>
        <v>-1.7849401760116734E-2</v>
      </c>
      <c r="S38" s="459">
        <f ca="1">R38/AVERAGE(ABS(P38),ABS(Q38))</f>
        <v>-3.4594159896541009E-4</v>
      </c>
      <c r="T38" s="71"/>
      <c r="U38" s="72"/>
      <c r="V38" s="471">
        <v>0.01</v>
      </c>
      <c r="W38" s="468">
        <v>0.01</v>
      </c>
      <c r="X38" s="85" cm="1">
        <f t="array" aca="1" ref="X38" ca="1">INDIRECT(ADDRESS($B38,9,,,"mkt data"))</f>
        <v>0</v>
      </c>
      <c r="Y38" s="86">
        <f t="shared" ca="1" si="32"/>
        <v>0</v>
      </c>
      <c r="Z38" s="85">
        <f t="shared" ca="1" si="33"/>
        <v>0</v>
      </c>
      <c r="AA38" s="462">
        <f ca="1">SUM(Z38:Z40)</f>
        <v>0</v>
      </c>
      <c r="AB38" s="308" t="str">
        <f t="shared" si="27"/>
        <v>SPTL</v>
      </c>
    </row>
    <row r="39" spans="1:31" s="92" customFormat="1" x14ac:dyDescent="0.25">
      <c r="A39" s="150">
        <f>MATCH(G39,SCALARS!C:C,0)</f>
        <v>31</v>
      </c>
      <c r="B39" s="151">
        <f>MATCH(G39,'MKT DATA'!B:B,0)</f>
        <v>31</v>
      </c>
      <c r="C39" s="210" t="str" cm="1">
        <f t="array" aca="1" ref="C39" ca="1">INDIRECT(ADDRESS($A39,2,,,"scalars"))</f>
        <v>long term tsy</v>
      </c>
      <c r="D39" s="240" cm="1">
        <f t="array" aca="1" ref="D39" ca="1">INDIRECT(ADDRESS($A39,8,,,"SCALARS"))</f>
        <v>887900</v>
      </c>
      <c r="E39" s="120"/>
      <c r="F39" s="102" t="str" cm="1">
        <f t="array" aca="1" ref="F39" ca="1">INDIRECT(ADDRESS($A39,5,,,"scalars"))</f>
        <v>VGLT</v>
      </c>
      <c r="G39" s="103" t="s">
        <v>26</v>
      </c>
      <c r="H39" s="106" cm="1">
        <f t="array" aca="1" ref="H39" ca="1">INDIRECT(ADDRESS($B39,5,,,"mkt data"))</f>
        <v>29.28</v>
      </c>
      <c r="I39" s="107" cm="1">
        <f t="array" aca="1" ref="I39" ca="1">INDIRECT(ADDRESS($B39,6,,,"mkt data"))</f>
        <v>29.29</v>
      </c>
      <c r="J39" s="255" cm="1">
        <f t="array" aca="1" ref="J39" ca="1">INDIRECT(ADDRESS($A39,7,,,"SCALARS"))</f>
        <v>0</v>
      </c>
      <c r="K39" s="108">
        <f t="shared" ca="1" si="28"/>
        <v>29.2745</v>
      </c>
      <c r="L39" s="108">
        <f t="shared" ca="1" si="29"/>
        <v>29.295500000000001</v>
      </c>
      <c r="M39" s="109" cm="1">
        <f t="array" aca="1" ref="M39" ca="1">INDIRECT(ADDRESS($A39,6,,,"scalars"))</f>
        <v>1.7622043279386457</v>
      </c>
      <c r="N39" s="110">
        <f t="shared" ca="1" si="30"/>
        <v>51.587650598239883</v>
      </c>
      <c r="O39" s="110">
        <f t="shared" ca="1" si="31"/>
        <v>51.624656889126598</v>
      </c>
      <c r="P39" s="452"/>
      <c r="Q39" s="454"/>
      <c r="R39" s="450"/>
      <c r="S39" s="460"/>
      <c r="T39" s="112"/>
      <c r="U39" s="113"/>
      <c r="V39" s="472"/>
      <c r="W39" s="469"/>
      <c r="X39" s="104" cm="1">
        <f t="array" aca="1" ref="X39" ca="1">INDIRECT(ADDRESS($B39,9,,,"mkt data"))</f>
        <v>0</v>
      </c>
      <c r="Y39" s="105">
        <f t="shared" ca="1" si="32"/>
        <v>0</v>
      </c>
      <c r="Z39" s="104">
        <f t="shared" ca="1" si="33"/>
        <v>0</v>
      </c>
      <c r="AA39" s="463"/>
      <c r="AB39" s="308" t="str">
        <f t="shared" si="27"/>
        <v>SCHQ</v>
      </c>
    </row>
    <row r="40" spans="1:31" s="92" customFormat="1" ht="15.75" thickBot="1" x14ac:dyDescent="0.3">
      <c r="A40" s="147">
        <f>MATCH(G40,SCALARS!C:C,0)</f>
        <v>33</v>
      </c>
      <c r="B40" s="148">
        <f>MATCH(G40,'MKT DATA'!B:B,0)</f>
        <v>33</v>
      </c>
      <c r="C40" s="211" t="str" cm="1">
        <f t="array" aca="1" ref="C40" ca="1">INDIRECT(ADDRESS($A40,2,,,"scalars"))</f>
        <v>long term tsy</v>
      </c>
      <c r="D40" s="241" cm="1">
        <f t="array" aca="1" ref="D40" ca="1">INDIRECT(ADDRESS($A40,8,,,"SCALARS"))</f>
        <v>2306000</v>
      </c>
      <c r="E40" s="121"/>
      <c r="F40" s="93" t="str" cm="1">
        <f t="array" aca="1" ref="F40" ca="1">INDIRECT(ADDRESS($A40,5,,,"scalars"))</f>
        <v>VGLT</v>
      </c>
      <c r="G40" s="94" t="s">
        <v>27</v>
      </c>
      <c r="H40" s="97" cm="1">
        <f t="array" aca="1" ref="H40" ca="1">INDIRECT(ADDRESS($B40,5,,,"mkt data"))</f>
        <v>51.59</v>
      </c>
      <c r="I40" s="98" cm="1">
        <f t="array" aca="1" ref="I40" ca="1">INDIRECT(ADDRESS($B40,6,,,"mkt data"))</f>
        <v>51.6</v>
      </c>
      <c r="J40" s="251" cm="1">
        <f t="array" aca="1" ref="J40" ca="1">INDIRECT(ADDRESS($A40,7,,,"SCALARS"))</f>
        <v>0</v>
      </c>
      <c r="K40" s="99">
        <f t="shared" ca="1" si="28"/>
        <v>51.584500000000006</v>
      </c>
      <c r="L40" s="99">
        <f t="shared" ca="1" si="29"/>
        <v>51.605499999999999</v>
      </c>
      <c r="M40" s="100" cm="1">
        <f t="array" aca="1" ref="M40" ca="1">INDIRECT(ADDRESS($A40,6,,,"scalars"))</f>
        <v>1</v>
      </c>
      <c r="N40" s="101">
        <f t="shared" ref="N40" ca="1" si="36">K40*M40</f>
        <v>51.584500000000006</v>
      </c>
      <c r="O40" s="101">
        <f t="shared" ca="1" si="31"/>
        <v>51.605499999999999</v>
      </c>
      <c r="P40" s="453"/>
      <c r="Q40" s="455"/>
      <c r="R40" s="451"/>
      <c r="S40" s="461"/>
      <c r="T40" s="115"/>
      <c r="U40" s="116"/>
      <c r="V40" s="473"/>
      <c r="W40" s="470"/>
      <c r="X40" s="95" cm="1">
        <f t="array" aca="1" ref="X40" ca="1">INDIRECT(ADDRESS($B40,9,,,"mkt data"))</f>
        <v>0</v>
      </c>
      <c r="Y40" s="96">
        <f t="shared" ca="1" si="32"/>
        <v>0</v>
      </c>
      <c r="Z40" s="95">
        <f t="shared" ca="1" si="33"/>
        <v>0</v>
      </c>
      <c r="AA40" s="464"/>
      <c r="AB40" s="308" t="str">
        <f t="shared" si="27"/>
        <v>VGLT</v>
      </c>
    </row>
    <row r="41" spans="1:31" s="92" customFormat="1" x14ac:dyDescent="0.25">
      <c r="A41" s="145">
        <f>MATCH(G41,SCALARS!C:C,0)</f>
        <v>29</v>
      </c>
      <c r="B41" s="146">
        <f>MATCH(G41,'MKT DATA'!B:B,0)</f>
        <v>29</v>
      </c>
      <c r="C41" s="209" t="str" cm="1">
        <f t="array" aca="1" ref="C41" ca="1">INDIRECT(ADDRESS($A41,2,,,"scalars"))</f>
        <v>long term corps</v>
      </c>
      <c r="D41" s="239" cm="1">
        <f t="array" aca="1" ref="D41" ca="1">INDIRECT(ADDRESS($A41,8,,,"SCALARS"))</f>
        <v>2753800</v>
      </c>
      <c r="E41" s="119"/>
      <c r="F41" s="83" t="str" cm="1">
        <f t="array" aca="1" ref="F41" ca="1">INDIRECT(ADDRESS($A41,5,,,"scalars"))</f>
        <v>VCLT</v>
      </c>
      <c r="G41" s="84" t="s">
        <v>22</v>
      </c>
      <c r="H41" s="87" cm="1">
        <f t="array" aca="1" ref="H41" ca="1">INDIRECT(ADDRESS($B41,5,,,"mkt data"))</f>
        <v>20.97</v>
      </c>
      <c r="I41" s="88" cm="1">
        <f t="array" aca="1" ref="I41" ca="1">INDIRECT(ADDRESS($B41,6,,,"mkt data"))</f>
        <v>20.98</v>
      </c>
      <c r="J41" s="250" cm="1">
        <f t="array" aca="1" ref="J41" ca="1">INDIRECT(ADDRESS($A41,7,,,"SCALARS"))</f>
        <v>0</v>
      </c>
      <c r="K41" s="89">
        <f t="shared" ca="1" si="28"/>
        <v>20.964499999999997</v>
      </c>
      <c r="L41" s="89">
        <f t="shared" ca="1" si="29"/>
        <v>20.985500000000002</v>
      </c>
      <c r="M41" s="90" cm="1">
        <f t="array" aca="1" ref="M41" ca="1">INDIRECT(ADDRESS($A41,6,,,"scalars"))</f>
        <v>3.360568376104129</v>
      </c>
      <c r="N41" s="91">
        <f ca="1">K41*M41</f>
        <v>70.452635720835005</v>
      </c>
      <c r="O41" s="91">
        <f t="shared" ca="1" si="31"/>
        <v>70.523207656733206</v>
      </c>
      <c r="P41" s="443">
        <f ca="1">MAX(N41:N43)</f>
        <v>70.494500000000002</v>
      </c>
      <c r="Q41" s="446">
        <f ca="1">MIN(O41:O43)</f>
        <v>70.515500000000003</v>
      </c>
      <c r="R41" s="449">
        <f ca="1">P41-Q41</f>
        <v>-2.1000000000000796E-2</v>
      </c>
      <c r="S41" s="459">
        <f ca="1">R41/AVERAGE(ABS(P41),ABS(Q41))</f>
        <v>-2.9785121622581088E-4</v>
      </c>
      <c r="T41" s="71"/>
      <c r="U41" s="72"/>
      <c r="V41" s="471">
        <v>0.01</v>
      </c>
      <c r="W41" s="468">
        <v>0.01</v>
      </c>
      <c r="X41" s="85" cm="1">
        <f t="array" aca="1" ref="X41" ca="1">INDIRECT(ADDRESS($B41,9,,,"mkt data"))</f>
        <v>0</v>
      </c>
      <c r="Y41" s="86">
        <f t="shared" ca="1" si="32"/>
        <v>0</v>
      </c>
      <c r="Z41" s="85">
        <f t="shared" ca="1" si="33"/>
        <v>0</v>
      </c>
      <c r="AA41" s="462">
        <f ca="1">SUM(Z41:Z43)</f>
        <v>0</v>
      </c>
      <c r="AB41" s="309" t="str">
        <f t="shared" si="27"/>
        <v>SPLB</v>
      </c>
    </row>
    <row r="42" spans="1:31" s="92" customFormat="1" x14ac:dyDescent="0.25">
      <c r="A42" s="150">
        <f>MATCH(G42,SCALARS!C:C,0)</f>
        <v>28</v>
      </c>
      <c r="B42" s="151">
        <f>MATCH(G42,'MKT DATA'!B:B,0)</f>
        <v>28</v>
      </c>
      <c r="C42" s="210" t="str" cm="1">
        <f t="array" aca="1" ref="C42" ca="1">INDIRECT(ADDRESS($A42,2,,,"scalars"))</f>
        <v>long term corps</v>
      </c>
      <c r="D42" s="240" cm="1">
        <f t="array" aca="1" ref="D42" ca="1">INDIRECT(ADDRESS($A42,8,,,"SCALARS"))</f>
        <v>2094600</v>
      </c>
      <c r="E42" s="120"/>
      <c r="F42" s="102" t="str" cm="1">
        <f t="array" aca="1" ref="F42" ca="1">INDIRECT(ADDRESS($A42,5,,,"scalars"))</f>
        <v>VCLT</v>
      </c>
      <c r="G42" s="103" t="s">
        <v>23</v>
      </c>
      <c r="H42" s="106" cm="1">
        <f t="array" aca="1" ref="H42" ca="1">INDIRECT(ADDRESS($B42,5,,,"mkt data"))</f>
        <v>46.98</v>
      </c>
      <c r="I42" s="107" cm="1">
        <f t="array" aca="1" ref="I42" ca="1">INDIRECT(ADDRESS($B42,6,,,"mkt data"))</f>
        <v>46.99</v>
      </c>
      <c r="J42" s="255" cm="1">
        <f t="array" aca="1" ref="J42" ca="1">INDIRECT(ADDRESS($A42,7,,,"SCALARS"))</f>
        <v>0</v>
      </c>
      <c r="K42" s="108">
        <f t="shared" ca="1" si="28"/>
        <v>46.974499999999999</v>
      </c>
      <c r="L42" s="108">
        <f t="shared" ca="1" si="29"/>
        <v>46.9955</v>
      </c>
      <c r="M42" s="109" cm="1">
        <f t="array" aca="1" ref="M42" ca="1">INDIRECT(ADDRESS($A42,6,,,"scalars"))</f>
        <v>1.5005863982256551</v>
      </c>
      <c r="N42" s="110">
        <f t="shared" ref="N42:N43" ca="1" si="37">K42*M42</f>
        <v>70.48929576345104</v>
      </c>
      <c r="O42" s="110">
        <f t="shared" ca="1" si="31"/>
        <v>70.520808077813768</v>
      </c>
      <c r="P42" s="452"/>
      <c r="Q42" s="454"/>
      <c r="R42" s="450"/>
      <c r="S42" s="460"/>
      <c r="T42" s="112"/>
      <c r="U42" s="113"/>
      <c r="V42" s="472"/>
      <c r="W42" s="469"/>
      <c r="X42" s="104" cm="1">
        <f t="array" aca="1" ref="X42" ca="1">INDIRECT(ADDRESS($B42,9,,,"mkt data"))</f>
        <v>0</v>
      </c>
      <c r="Y42" s="105">
        <f t="shared" ca="1" si="32"/>
        <v>0</v>
      </c>
      <c r="Z42" s="104">
        <f t="shared" ca="1" si="33"/>
        <v>0</v>
      </c>
      <c r="AA42" s="463"/>
      <c r="AB42" s="308" t="str">
        <f t="shared" si="27"/>
        <v>IGLB</v>
      </c>
    </row>
    <row r="43" spans="1:31" s="92" customFormat="1" ht="15.75" thickBot="1" x14ac:dyDescent="0.3">
      <c r="A43" s="147">
        <f>MATCH(G43,SCALARS!C:C,0)</f>
        <v>30</v>
      </c>
      <c r="B43" s="148">
        <f>MATCH(G43,'MKT DATA'!B:B,0)</f>
        <v>30</v>
      </c>
      <c r="C43" s="211" t="str" cm="1">
        <f t="array" aca="1" ref="C43" ca="1">INDIRECT(ADDRESS($A43,2,,,"scalars"))</f>
        <v>long term corps</v>
      </c>
      <c r="D43" s="241" cm="1">
        <f t="array" aca="1" ref="D43" ca="1">INDIRECT(ADDRESS($A43,8,,,"SCALARS"))</f>
        <v>4042300</v>
      </c>
      <c r="E43" s="121"/>
      <c r="F43" s="93" t="str" cm="1">
        <f t="array" aca="1" ref="F43" ca="1">INDIRECT(ADDRESS($A43,5,,,"scalars"))</f>
        <v>VCLT</v>
      </c>
      <c r="G43" s="94" t="s">
        <v>24</v>
      </c>
      <c r="H43" s="97" cm="1">
        <f t="array" aca="1" ref="H43" ca="1">INDIRECT(ADDRESS($B43,5,,,"mkt data"))</f>
        <v>70.5</v>
      </c>
      <c r="I43" s="98" cm="1">
        <f t="array" aca="1" ref="I43" ca="1">INDIRECT(ADDRESS($B43,6,,,"mkt data"))</f>
        <v>70.510000000000005</v>
      </c>
      <c r="J43" s="251" cm="1">
        <f t="array" aca="1" ref="J43" ca="1">INDIRECT(ADDRESS($A43,7,,,"SCALARS"))</f>
        <v>0</v>
      </c>
      <c r="K43" s="99">
        <f t="shared" ca="1" si="28"/>
        <v>70.494500000000002</v>
      </c>
      <c r="L43" s="99">
        <f t="shared" ca="1" si="29"/>
        <v>70.515500000000003</v>
      </c>
      <c r="M43" s="100" cm="1">
        <f t="array" aca="1" ref="M43" ca="1">INDIRECT(ADDRESS($A43,6,,,"scalars"))</f>
        <v>1</v>
      </c>
      <c r="N43" s="101">
        <f t="shared" ca="1" si="37"/>
        <v>70.494500000000002</v>
      </c>
      <c r="O43" s="101">
        <f t="shared" ca="1" si="31"/>
        <v>70.515500000000003</v>
      </c>
      <c r="P43" s="453"/>
      <c r="Q43" s="455"/>
      <c r="R43" s="451"/>
      <c r="S43" s="461"/>
      <c r="T43" s="115"/>
      <c r="U43" s="116"/>
      <c r="V43" s="473"/>
      <c r="W43" s="470"/>
      <c r="X43" s="95" cm="1">
        <f t="array" aca="1" ref="X43" ca="1">INDIRECT(ADDRESS($B43,9,,,"mkt data"))</f>
        <v>0</v>
      </c>
      <c r="Y43" s="96">
        <f t="shared" ca="1" si="32"/>
        <v>0</v>
      </c>
      <c r="Z43" s="95">
        <f t="shared" ca="1" si="33"/>
        <v>0</v>
      </c>
      <c r="AA43" s="464"/>
      <c r="AB43" s="310" t="str">
        <f t="shared" si="27"/>
        <v>VCLT</v>
      </c>
    </row>
    <row r="44" spans="1:31" s="92" customFormat="1" x14ac:dyDescent="0.25">
      <c r="A44" s="145">
        <f>MATCH(G44,SCALARS!C:C,0)</f>
        <v>4</v>
      </c>
      <c r="B44" s="146">
        <f>MATCH(G44,'MKT DATA'!B:B,0)</f>
        <v>4</v>
      </c>
      <c r="C44" s="209" t="str" cm="1">
        <f t="array" aca="1" ref="C44" ca="1">INDIRECT(ADDRESS($A44,2,,,"scalars"))</f>
        <v>agg</v>
      </c>
      <c r="D44" s="239" cm="1">
        <f t="array" aca="1" ref="D44" ca="1">INDIRECT(ADDRESS($A44,8,,,"SCALARS"))</f>
        <v>2000200</v>
      </c>
      <c r="E44" s="119"/>
      <c r="F44" s="83" t="str" cm="1">
        <f t="array" aca="1" ref="F44" ca="1">INDIRECT(ADDRESS($A44,5,,,"scalars"))</f>
        <v>AGG</v>
      </c>
      <c r="G44" s="84" t="s">
        <v>5</v>
      </c>
      <c r="H44" s="87" cm="1">
        <f t="array" aca="1" ref="H44" ca="1">INDIRECT(ADDRESS($B44,5,,,"mkt data"))</f>
        <v>22.29</v>
      </c>
      <c r="I44" s="88" cm="1">
        <f t="array" aca="1" ref="I44" ca="1">INDIRECT(ADDRESS($B44,6,,,"mkt data"))</f>
        <v>22.3</v>
      </c>
      <c r="J44" s="250" cm="1">
        <f t="array" aca="1" ref="J44" ca="1">INDIRECT(ADDRESS($A44,7,,,"SCALARS"))</f>
        <v>0</v>
      </c>
      <c r="K44" s="89">
        <f t="shared" ca="1" si="28"/>
        <v>22.284499999999998</v>
      </c>
      <c r="L44" s="89">
        <f t="shared" ca="1" si="29"/>
        <v>22.305500000000002</v>
      </c>
      <c r="M44" s="90" cm="1">
        <f t="array" aca="1" ref="M44" ca="1">INDIRECT(ADDRESS($A44,6,,,"scalars"))</f>
        <v>4.2788214798015662</v>
      </c>
      <c r="N44" s="91">
        <f ca="1">K44*M44</f>
        <v>95.351397266637989</v>
      </c>
      <c r="O44" s="91">
        <f t="shared" ca="1" si="31"/>
        <v>95.441252517713849</v>
      </c>
      <c r="P44" s="443">
        <f ca="1">MAX(N44:N47)</f>
        <v>95.411336747892761</v>
      </c>
      <c r="Q44" s="446">
        <f ca="1">MIN(O44:O47)</f>
        <v>95.415499999999994</v>
      </c>
      <c r="R44" s="446">
        <f ca="1">P44-Q44</f>
        <v>-4.1632521072330064E-3</v>
      </c>
      <c r="S44" s="459">
        <f ca="1">R44/AVERAGE(ABS(P44),ABS(Q44))</f>
        <v>-4.3633821931798909E-5</v>
      </c>
      <c r="T44" s="71"/>
      <c r="U44" s="72"/>
      <c r="V44" s="471">
        <v>0.01</v>
      </c>
      <c r="W44" s="468">
        <v>0.01</v>
      </c>
      <c r="X44" s="85" cm="1">
        <f t="array" aca="1" ref="X44" ca="1">INDIRECT(ADDRESS($B44,9,,,"mkt data"))</f>
        <v>0</v>
      </c>
      <c r="Y44" s="86">
        <f t="shared" ca="1" si="32"/>
        <v>0</v>
      </c>
      <c r="Z44" s="85">
        <f t="shared" ca="1" si="33"/>
        <v>0</v>
      </c>
      <c r="AA44" s="456">
        <f ca="1">SUM(Z44:Z47)</f>
        <v>0</v>
      </c>
      <c r="AB44" s="308" t="str">
        <f t="shared" si="27"/>
        <v>SCHZ</v>
      </c>
    </row>
    <row r="45" spans="1:31" s="92" customFormat="1" x14ac:dyDescent="0.25">
      <c r="A45" s="150">
        <f>MATCH(G45,SCALARS!C:C,0)</f>
        <v>5</v>
      </c>
      <c r="B45" s="151">
        <f>MATCH(G45,'MKT DATA'!B:B,0)</f>
        <v>5</v>
      </c>
      <c r="C45" s="210" t="str" cm="1">
        <f t="array" aca="1" ref="C45" ca="1">INDIRECT(ADDRESS($A45,2,,,"scalars"))</f>
        <v>agg</v>
      </c>
      <c r="D45" s="240" cm="1">
        <f t="array" aca="1" ref="D45" ca="1">INDIRECT(ADDRESS($A45,8,,,"SCALARS"))</f>
        <v>2678300</v>
      </c>
      <c r="E45" s="120"/>
      <c r="F45" s="102" t="str" cm="1">
        <f t="array" aca="1" ref="F45" ca="1">INDIRECT(ADDRESS($A45,5,,,"scalars"))</f>
        <v>AGG</v>
      </c>
      <c r="G45" s="103" t="s">
        <v>6</v>
      </c>
      <c r="H45" s="106" cm="1">
        <f t="array" aca="1" ref="H45" ca="1">INDIRECT(ADDRESS($B45,5,,,"mkt data"))</f>
        <v>24.59</v>
      </c>
      <c r="I45" s="107" cm="1">
        <f t="array" aca="1" ref="I45" ca="1">INDIRECT(ADDRESS($B45,6,,,"mkt data"))</f>
        <v>24.6</v>
      </c>
      <c r="J45" s="255" cm="1">
        <f t="array" aca="1" ref="J45" ca="1">INDIRECT(ADDRESS($A45,7,,,"SCALARS"))</f>
        <v>0</v>
      </c>
      <c r="K45" s="108">
        <f t="shared" ca="1" si="28"/>
        <v>24.584499999999998</v>
      </c>
      <c r="L45" s="108">
        <f t="shared" ca="1" si="29"/>
        <v>24.605500000000003</v>
      </c>
      <c r="M45" s="109" cm="1">
        <f t="array" aca="1" ref="M45" ca="1">INDIRECT(ADDRESS($A45,6,,,"scalars"))</f>
        <v>3.8797744851799019</v>
      </c>
      <c r="N45" s="110">
        <f ca="1">K45*M45</f>
        <v>95.382315830905299</v>
      </c>
      <c r="O45" s="110">
        <f t="shared" ca="1" si="31"/>
        <v>95.463791095094081</v>
      </c>
      <c r="P45" s="444"/>
      <c r="Q45" s="447"/>
      <c r="R45" s="447"/>
      <c r="S45" s="460"/>
      <c r="T45" s="112"/>
      <c r="U45" s="113"/>
      <c r="V45" s="472"/>
      <c r="W45" s="469"/>
      <c r="X45" s="104" cm="1">
        <f t="array" aca="1" ref="X45" ca="1">INDIRECT(ADDRESS($B45,9,,,"mkt data"))</f>
        <v>0</v>
      </c>
      <c r="Y45" s="105">
        <f t="shared" ca="1" si="32"/>
        <v>0</v>
      </c>
      <c r="Z45" s="104">
        <f t="shared" ca="1" si="33"/>
        <v>0</v>
      </c>
      <c r="AA45" s="457"/>
      <c r="AB45" s="308" t="str">
        <f t="shared" si="27"/>
        <v>SPAB</v>
      </c>
    </row>
    <row r="46" spans="1:31" s="92" customFormat="1" x14ac:dyDescent="0.25">
      <c r="A46" s="150">
        <f>MATCH(G46,SCALARS!C:C,0)</f>
        <v>3</v>
      </c>
      <c r="B46" s="151">
        <f>MATCH(G46,'MKT DATA'!B:B,0)</f>
        <v>3</v>
      </c>
      <c r="C46" s="210" t="str" cm="1">
        <f t="array" aca="1" ref="C46" ca="1">INDIRECT(ADDRESS($A46,2,,,"scalars"))</f>
        <v>agg</v>
      </c>
      <c r="D46" s="240" cm="1">
        <f t="array" aca="1" ref="D46" ca="1">INDIRECT(ADDRESS($A46,8,,,"SCALARS"))</f>
        <v>8219300</v>
      </c>
      <c r="E46" s="120"/>
      <c r="F46" s="102" t="str" cm="1">
        <f t="array" aca="1" ref="F46" ca="1">INDIRECT(ADDRESS($A46,5,,,"scalars"))</f>
        <v>AGG</v>
      </c>
      <c r="G46" s="103" t="s">
        <v>7</v>
      </c>
      <c r="H46" s="106" cm="1">
        <f t="array" aca="1" ref="H46" ca="1">INDIRECT(ADDRESS($B46,5,,,"mkt data"))</f>
        <v>70.790000000000006</v>
      </c>
      <c r="I46" s="107" cm="1">
        <f t="array" aca="1" ref="I46" ca="1">INDIRECT(ADDRESS($B46,6,,,"mkt data"))</f>
        <v>70.8</v>
      </c>
      <c r="J46" s="255" cm="1">
        <f t="array" aca="1" ref="J46" ca="1">INDIRECT(ADDRESS($A46,7,,,"SCALARS"))</f>
        <v>0</v>
      </c>
      <c r="K46" s="108">
        <f t="shared" ca="1" si="28"/>
        <v>70.784500000000008</v>
      </c>
      <c r="L46" s="108">
        <f t="shared" ca="1" si="29"/>
        <v>70.805499999999995</v>
      </c>
      <c r="M46" s="109" cm="1">
        <f t="array" aca="1" ref="M46" ca="1">INDIRECT(ADDRESS($A46,6,,,"scalars"))</f>
        <v>1.347912844590168</v>
      </c>
      <c r="N46" s="110">
        <f ca="1">K46*M46</f>
        <v>95.411336747892761</v>
      </c>
      <c r="O46" s="110">
        <f t="shared" ca="1" si="31"/>
        <v>95.439642917629129</v>
      </c>
      <c r="P46" s="444"/>
      <c r="Q46" s="447"/>
      <c r="R46" s="447"/>
      <c r="S46" s="460"/>
      <c r="T46" s="115"/>
      <c r="U46" s="116"/>
      <c r="V46" s="472"/>
      <c r="W46" s="469"/>
      <c r="X46" s="104" cm="1">
        <f t="array" aca="1" ref="X46" ca="1">INDIRECT(ADDRESS($B46,9,,,"mkt data"))</f>
        <v>0</v>
      </c>
      <c r="Y46" s="105">
        <f t="shared" ca="1" si="32"/>
        <v>0</v>
      </c>
      <c r="Z46" s="104">
        <f t="shared" ca="1" si="33"/>
        <v>0</v>
      </c>
      <c r="AA46" s="457"/>
      <c r="AB46" s="308" t="str">
        <f t="shared" si="27"/>
        <v>BND</v>
      </c>
    </row>
    <row r="47" spans="1:31" s="92" customFormat="1" ht="15.75" thickBot="1" x14ac:dyDescent="0.3">
      <c r="A47" s="147">
        <f>MATCH(G47,SCALARS!C:C,0)</f>
        <v>2</v>
      </c>
      <c r="B47" s="148">
        <f>MATCH(G47,'MKT DATA'!B:B,0)</f>
        <v>2</v>
      </c>
      <c r="C47" s="211" t="str" cm="1">
        <f t="array" aca="1" ref="C47" ca="1">INDIRECT(ADDRESS($A47,2,,,"scalars"))</f>
        <v>agg</v>
      </c>
      <c r="D47" s="241" cm="1">
        <f t="array" aca="1" ref="D47" ca="1">INDIRECT(ADDRESS($A47,8,,,"SCALARS"))</f>
        <v>8600600</v>
      </c>
      <c r="E47" s="121"/>
      <c r="F47" s="93" t="str" cm="1">
        <f t="array" aca="1" ref="F47" ca="1">INDIRECT(ADDRESS($A47,5,,,"scalars"))</f>
        <v>AGG</v>
      </c>
      <c r="G47" s="94" t="s">
        <v>8</v>
      </c>
      <c r="H47" s="97" cm="1">
        <f t="array" aca="1" ref="H47" ca="1">INDIRECT(ADDRESS($B47,5,,,"mkt data"))</f>
        <v>95.4</v>
      </c>
      <c r="I47" s="98" cm="1">
        <f t="array" aca="1" ref="I47" ca="1">INDIRECT(ADDRESS($B47,6,,,"mkt data"))</f>
        <v>95.41</v>
      </c>
      <c r="J47" s="251" cm="1">
        <f t="array" aca="1" ref="J47" ca="1">INDIRECT(ADDRESS($A47,7,,,"SCALARS"))</f>
        <v>0</v>
      </c>
      <c r="K47" s="99">
        <f t="shared" ca="1" si="28"/>
        <v>95.394500000000008</v>
      </c>
      <c r="L47" s="99">
        <f t="shared" ca="1" si="29"/>
        <v>95.415499999999994</v>
      </c>
      <c r="M47" s="100" cm="1">
        <f t="array" aca="1" ref="M47" ca="1">INDIRECT(ADDRESS($A47,6,,,"scalars"))</f>
        <v>1</v>
      </c>
      <c r="N47" s="101">
        <f ca="1">K47*M47</f>
        <v>95.394500000000008</v>
      </c>
      <c r="O47" s="101">
        <f t="shared" ca="1" si="31"/>
        <v>95.415499999999994</v>
      </c>
      <c r="P47" s="445"/>
      <c r="Q47" s="448"/>
      <c r="R47" s="448"/>
      <c r="S47" s="461"/>
      <c r="T47" s="117"/>
      <c r="U47" s="118"/>
      <c r="V47" s="473"/>
      <c r="W47" s="470"/>
      <c r="X47" s="95" cm="1">
        <f t="array" aca="1" ref="X47" ca="1">INDIRECT(ADDRESS($B47,9,,,"mkt data"))</f>
        <v>0</v>
      </c>
      <c r="Y47" s="96">
        <f t="shared" ca="1" si="32"/>
        <v>0</v>
      </c>
      <c r="Z47" s="95">
        <f t="shared" ca="1" si="33"/>
        <v>0</v>
      </c>
      <c r="AA47" s="458"/>
      <c r="AB47" s="310" t="str">
        <f t="shared" si="27"/>
        <v>AGG</v>
      </c>
    </row>
    <row r="48" spans="1:31" x14ac:dyDescent="0.25">
      <c r="E48" s="56"/>
      <c r="X48" s="25"/>
    </row>
    <row r="49" spans="4:12" x14ac:dyDescent="0.25">
      <c r="E49" s="56"/>
    </row>
    <row r="50" spans="4:12" x14ac:dyDescent="0.25">
      <c r="H50"/>
      <c r="I50"/>
      <c r="J50"/>
      <c r="K50" s="2"/>
      <c r="L50"/>
    </row>
    <row r="51" spans="4:12" x14ac:dyDescent="0.25">
      <c r="D51" s="242"/>
      <c r="H51"/>
      <c r="I51"/>
      <c r="J51"/>
      <c r="K51" s="2"/>
      <c r="L51" s="227"/>
    </row>
  </sheetData>
  <mergeCells count="110">
    <mergeCell ref="X20:AA20"/>
    <mergeCell ref="AA22:AA24"/>
    <mergeCell ref="AA25:AA27"/>
    <mergeCell ref="AA28:AA31"/>
    <mergeCell ref="W41:W43"/>
    <mergeCell ref="V41:V43"/>
    <mergeCell ref="W28:W31"/>
    <mergeCell ref="W44:W47"/>
    <mergeCell ref="W32:W37"/>
    <mergeCell ref="V32:V37"/>
    <mergeCell ref="V44:V47"/>
    <mergeCell ref="AA32:AA37"/>
    <mergeCell ref="V25:V27"/>
    <mergeCell ref="V22:V24"/>
    <mergeCell ref="W25:W27"/>
    <mergeCell ref="W22:W24"/>
    <mergeCell ref="V20:W20"/>
    <mergeCell ref="A20:B20"/>
    <mergeCell ref="H20:I20"/>
    <mergeCell ref="N20:O20"/>
    <mergeCell ref="P38:P40"/>
    <mergeCell ref="Q38:Q40"/>
    <mergeCell ref="P28:P31"/>
    <mergeCell ref="P32:P37"/>
    <mergeCell ref="P22:P24"/>
    <mergeCell ref="Q22:Q24"/>
    <mergeCell ref="P25:P27"/>
    <mergeCell ref="Q32:Q37"/>
    <mergeCell ref="P20:S20"/>
    <mergeCell ref="R22:R24"/>
    <mergeCell ref="S22:S24"/>
    <mergeCell ref="Q25:Q27"/>
    <mergeCell ref="R25:R27"/>
    <mergeCell ref="S25:S27"/>
    <mergeCell ref="R38:R40"/>
    <mergeCell ref="S32:S37"/>
    <mergeCell ref="S38:S40"/>
    <mergeCell ref="K20:L20"/>
    <mergeCell ref="P44:P47"/>
    <mergeCell ref="Q44:Q47"/>
    <mergeCell ref="Q28:Q31"/>
    <mergeCell ref="P41:P43"/>
    <mergeCell ref="Q41:Q43"/>
    <mergeCell ref="AA44:AA47"/>
    <mergeCell ref="R41:R43"/>
    <mergeCell ref="S41:S43"/>
    <mergeCell ref="AA41:AA43"/>
    <mergeCell ref="AA38:AA40"/>
    <mergeCell ref="R32:R37"/>
    <mergeCell ref="R28:R31"/>
    <mergeCell ref="S28:S31"/>
    <mergeCell ref="R44:R47"/>
    <mergeCell ref="S44:S47"/>
    <mergeCell ref="W38:W40"/>
    <mergeCell ref="V38:V40"/>
    <mergeCell ref="V28:V31"/>
    <mergeCell ref="A3:B3"/>
    <mergeCell ref="H3:I3"/>
    <mergeCell ref="N3:O3"/>
    <mergeCell ref="P3:Q3"/>
    <mergeCell ref="R3:S3"/>
    <mergeCell ref="X3:AA3"/>
    <mergeCell ref="P5:P6"/>
    <mergeCell ref="Q5:Q6"/>
    <mergeCell ref="R5:R6"/>
    <mergeCell ref="S5:S6"/>
    <mergeCell ref="AA5:AA6"/>
    <mergeCell ref="K3:L3"/>
    <mergeCell ref="AI15:AI16"/>
    <mergeCell ref="AI17:AI18"/>
    <mergeCell ref="K1:L2"/>
    <mergeCell ref="S17:S18"/>
    <mergeCell ref="P15:P16"/>
    <mergeCell ref="Q15:Q16"/>
    <mergeCell ref="R15:R16"/>
    <mergeCell ref="S15:S16"/>
    <mergeCell ref="P13:P14"/>
    <mergeCell ref="Q13:Q14"/>
    <mergeCell ref="R13:R14"/>
    <mergeCell ref="S13:S14"/>
    <mergeCell ref="AA9:AA10"/>
    <mergeCell ref="AG1:AG2"/>
    <mergeCell ref="AH1:AH2"/>
    <mergeCell ref="AI1:AI2"/>
    <mergeCell ref="AI5:AI6"/>
    <mergeCell ref="AI7:AI8"/>
    <mergeCell ref="AI9:AI10"/>
    <mergeCell ref="AI11:AI12"/>
    <mergeCell ref="AI13:AI14"/>
    <mergeCell ref="P1:S2"/>
    <mergeCell ref="AA13:AA14"/>
    <mergeCell ref="AA17:AA18"/>
    <mergeCell ref="P17:P18"/>
    <mergeCell ref="Q17:Q18"/>
    <mergeCell ref="R17:R18"/>
    <mergeCell ref="AA15:AA16"/>
    <mergeCell ref="S7:S8"/>
    <mergeCell ref="AA7:AA8"/>
    <mergeCell ref="S11:S12"/>
    <mergeCell ref="AA11:AA12"/>
    <mergeCell ref="P9:P10"/>
    <mergeCell ref="Q9:Q10"/>
    <mergeCell ref="R9:R10"/>
    <mergeCell ref="S9:S10"/>
    <mergeCell ref="P11:P12"/>
    <mergeCell ref="Q11:Q12"/>
    <mergeCell ref="R11:R12"/>
    <mergeCell ref="P7:P8"/>
    <mergeCell ref="Q7:Q8"/>
    <mergeCell ref="R7:R8"/>
  </mergeCells>
  <conditionalFormatting sqref="N22:N24">
    <cfRule type="top10" dxfId="104" priority="64" rank="1"/>
  </conditionalFormatting>
  <conditionalFormatting sqref="N25:N27">
    <cfRule type="top10" dxfId="103" priority="63" rank="1"/>
  </conditionalFormatting>
  <conditionalFormatting sqref="N38:N40">
    <cfRule type="top10" dxfId="102" priority="62" rank="1"/>
  </conditionalFormatting>
  <conditionalFormatting sqref="N41:N43">
    <cfRule type="top10" dxfId="101" priority="61" rank="1"/>
  </conditionalFormatting>
  <conditionalFormatting sqref="O22:O24">
    <cfRule type="top10" dxfId="100" priority="59" bottom="1" rank="1"/>
  </conditionalFormatting>
  <conditionalFormatting sqref="O25:O27">
    <cfRule type="top10" dxfId="99" priority="58" bottom="1" rank="1"/>
  </conditionalFormatting>
  <conditionalFormatting sqref="O38:O40">
    <cfRule type="top10" dxfId="98" priority="57" bottom="1" rank="1"/>
  </conditionalFormatting>
  <conditionalFormatting sqref="O41:O43">
    <cfRule type="top10" dxfId="97" priority="56" bottom="1" rank="1"/>
  </conditionalFormatting>
  <conditionalFormatting sqref="N44:N47">
    <cfRule type="top10" dxfId="96" priority="53" rank="1"/>
  </conditionalFormatting>
  <conditionalFormatting sqref="O44:O47">
    <cfRule type="top10" dxfId="95" priority="52" bottom="1" rank="1"/>
  </conditionalFormatting>
  <conditionalFormatting sqref="N32:N37">
    <cfRule type="top10" dxfId="94" priority="51" rank="1"/>
  </conditionalFormatting>
  <conditionalFormatting sqref="O32:O37">
    <cfRule type="top10" dxfId="93" priority="50" bottom="1" rank="1"/>
  </conditionalFormatting>
  <conditionalFormatting sqref="N28:N31">
    <cfRule type="top10" dxfId="92" priority="65" rank="1"/>
  </conditionalFormatting>
  <conditionalFormatting sqref="O28:O31">
    <cfRule type="top10" dxfId="91" priority="66" bottom="1" rank="1"/>
  </conditionalFormatting>
  <conditionalFormatting sqref="N15:N16">
    <cfRule type="top10" dxfId="90" priority="40" rank="1"/>
  </conditionalFormatting>
  <conditionalFormatting sqref="O15:O16">
    <cfRule type="top10" dxfId="89" priority="41" bottom="1" rank="1"/>
  </conditionalFormatting>
  <conditionalFormatting sqref="N17:N18">
    <cfRule type="top10" dxfId="88" priority="42" rank="1"/>
  </conditionalFormatting>
  <conditionalFormatting sqref="O17:O18">
    <cfRule type="top10" dxfId="87" priority="43" bottom="1" rank="1"/>
  </conditionalFormatting>
  <conditionalFormatting sqref="N13:N14">
    <cfRule type="top10" dxfId="86" priority="38" rank="1"/>
  </conditionalFormatting>
  <conditionalFormatting sqref="O13:O14">
    <cfRule type="top10" dxfId="85" priority="39" bottom="1" rank="1"/>
  </conditionalFormatting>
  <conditionalFormatting sqref="N7:N8">
    <cfRule type="top10" dxfId="84" priority="32" rank="1"/>
  </conditionalFormatting>
  <conditionalFormatting sqref="O7:O8">
    <cfRule type="top10" dxfId="83" priority="33" bottom="1" rank="1"/>
  </conditionalFormatting>
  <conditionalFormatting sqref="N9:N10">
    <cfRule type="top10" dxfId="82" priority="34" rank="1"/>
  </conditionalFormatting>
  <conditionalFormatting sqref="O9:O10">
    <cfRule type="top10" dxfId="81" priority="35" bottom="1" rank="1"/>
  </conditionalFormatting>
  <conditionalFormatting sqref="N11:N12">
    <cfRule type="top10" dxfId="80" priority="36" rank="1"/>
  </conditionalFormatting>
  <conditionalFormatting sqref="O11:O12">
    <cfRule type="top10" dxfId="79" priority="37" bottom="1" rank="1"/>
  </conditionalFormatting>
  <conditionalFormatting sqref="N5:N6">
    <cfRule type="top10" dxfId="78" priority="30" rank="1"/>
  </conditionalFormatting>
  <conditionalFormatting sqref="O5:O6">
    <cfRule type="top10" dxfId="77" priority="31" bottom="1" rank="1"/>
  </conditionalFormatting>
  <conditionalFormatting sqref="S5:S18">
    <cfRule type="cellIs" dxfId="76" priority="24" operator="greaterThan">
      <formula>0</formula>
    </cfRule>
  </conditionalFormatting>
  <conditionalFormatting sqref="Q5:Q18">
    <cfRule type="cellIs" dxfId="75" priority="5" operator="greaterThan">
      <formula>0</formula>
    </cfRule>
  </conditionalFormatting>
  <conditionalFormatting sqref="T1:T1048576 W1:W1048576">
    <cfRule type="cellIs" dxfId="74" priority="2" operator="equal">
      <formula>TRUE</formula>
    </cfRule>
  </conditionalFormatting>
  <conditionalFormatting sqref="U1:V1048576">
    <cfRule type="cellIs" dxfId="73" priority="1"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AFA12-AB4F-40C7-A18B-E9F901671E9A}">
  <sheetPr codeName="Sheet6"/>
  <dimension ref="A1:AL68"/>
  <sheetViews>
    <sheetView topLeftCell="B1" zoomScale="85" zoomScaleNormal="85" workbookViewId="0">
      <selection activeCell="Q7" sqref="Q7:Q8"/>
    </sheetView>
  </sheetViews>
  <sheetFormatPr defaultRowHeight="15" x14ac:dyDescent="0.25"/>
  <cols>
    <col min="1" max="1" width="8.140625" bestFit="1" customWidth="1"/>
    <col min="2" max="2" width="9.42578125" bestFit="1" customWidth="1"/>
    <col min="3" max="3" width="12.5703125" style="1" bestFit="1" customWidth="1"/>
    <col min="4" max="4" width="11.5703125" style="1" bestFit="1" customWidth="1"/>
    <col min="5" max="5" width="7.7109375" bestFit="1" customWidth="1"/>
    <col min="6" max="6" width="8" bestFit="1" customWidth="1"/>
    <col min="7" max="7" width="7.85546875" bestFit="1" customWidth="1"/>
    <col min="8" max="10" width="9" bestFit="1" customWidth="1"/>
    <col min="11" max="12" width="10" bestFit="1" customWidth="1"/>
    <col min="13" max="13" width="8.5703125" bestFit="1" customWidth="1"/>
    <col min="14" max="15" width="10" bestFit="1" customWidth="1"/>
    <col min="16" max="16" width="9.7109375" bestFit="1" customWidth="1"/>
    <col min="17" max="17" width="7.85546875" bestFit="1" customWidth="1"/>
    <col min="18" max="18" width="9.7109375" bestFit="1" customWidth="1"/>
    <col min="19" max="19" width="7.85546875" bestFit="1" customWidth="1"/>
    <col min="20" max="21" width="9.7109375" bestFit="1" customWidth="1"/>
    <col min="22" max="23" width="9.5703125" bestFit="1" customWidth="1"/>
    <col min="24" max="24" width="7.7109375" bestFit="1" customWidth="1"/>
    <col min="25" max="25" width="12.28515625" bestFit="1" customWidth="1"/>
    <col min="26" max="26" width="7.7109375" bestFit="1" customWidth="1"/>
    <col min="27" max="27" width="9.5703125" bestFit="1" customWidth="1"/>
    <col min="28" max="28" width="7.85546875" style="1" bestFit="1" customWidth="1"/>
    <col min="29" max="29" width="9" bestFit="1" customWidth="1"/>
    <col min="30" max="30" width="10.5703125" bestFit="1" customWidth="1"/>
    <col min="31" max="31" width="8.7109375" bestFit="1" customWidth="1"/>
    <col min="32" max="32" width="6.140625" customWidth="1"/>
    <col min="33" max="33" width="8.7109375" bestFit="1" customWidth="1"/>
    <col min="34" max="34" width="12.28515625" bestFit="1" customWidth="1"/>
    <col min="35" max="35" width="11.28515625" bestFit="1" customWidth="1"/>
    <col min="36" max="36" width="12.28515625" bestFit="1" customWidth="1"/>
    <col min="37" max="37" width="9.5703125" bestFit="1" customWidth="1"/>
    <col min="38" max="38" width="10.28515625" bestFit="1" customWidth="1"/>
  </cols>
  <sheetData>
    <row r="1" spans="1:36" x14ac:dyDescent="0.25">
      <c r="A1" s="228"/>
      <c r="B1" s="228"/>
      <c r="C1" s="228"/>
      <c r="D1" s="228"/>
      <c r="E1" s="228"/>
      <c r="F1" s="228"/>
      <c r="G1" s="228"/>
      <c r="H1" s="228"/>
      <c r="I1" s="228"/>
      <c r="J1" s="260"/>
      <c r="K1" s="413">
        <v>5.4999999999999997E-3</v>
      </c>
      <c r="L1" s="413"/>
      <c r="M1" s="228"/>
      <c r="N1" s="228"/>
      <c r="O1" s="228"/>
      <c r="P1" s="441" t="str">
        <f>'MKT DATA'!J2</f>
        <v>2026-09-23_15-46-38</v>
      </c>
      <c r="Q1" s="441"/>
      <c r="R1" s="441"/>
      <c r="S1" s="441"/>
      <c r="T1" s="261"/>
      <c r="U1" s="261"/>
      <c r="V1" s="261"/>
      <c r="W1" s="261"/>
      <c r="X1" s="228"/>
      <c r="Y1" s="228"/>
      <c r="Z1" s="228"/>
      <c r="AA1" s="228"/>
      <c r="AB1" s="293"/>
      <c r="AG1" s="435" t="s">
        <v>208</v>
      </c>
      <c r="AH1" s="437">
        <f ca="1">SUM(AH5:AH51)</f>
        <v>-96.475976000122273</v>
      </c>
      <c r="AI1" s="439">
        <f ca="1">SUM(AI5:AI51)</f>
        <v>-96.475976000122273</v>
      </c>
      <c r="AJ1" s="227">
        <f ca="1">+AI1+'FIXED INCOME'!AI1</f>
        <v>-72.08057600012944</v>
      </c>
    </row>
    <row r="2" spans="1:36" ht="15.75" thickBot="1" x14ac:dyDescent="0.3">
      <c r="A2" s="231"/>
      <c r="B2" s="231"/>
      <c r="C2" s="231"/>
      <c r="D2" s="231"/>
      <c r="E2" s="231"/>
      <c r="F2" s="231"/>
      <c r="G2" s="231"/>
      <c r="H2" s="231"/>
      <c r="I2" s="231"/>
      <c r="J2" s="283"/>
      <c r="K2" s="414"/>
      <c r="L2" s="414"/>
      <c r="M2" s="231"/>
      <c r="N2" s="231"/>
      <c r="O2" s="231"/>
      <c r="P2" s="442"/>
      <c r="Q2" s="442"/>
      <c r="R2" s="442"/>
      <c r="S2" s="442"/>
      <c r="T2" s="284"/>
      <c r="U2" s="284"/>
      <c r="V2" s="284"/>
      <c r="W2" s="284"/>
      <c r="X2" s="231"/>
      <c r="Y2" s="231"/>
      <c r="Z2" s="231"/>
      <c r="AA2" s="231"/>
      <c r="AB2" s="294"/>
      <c r="AG2" s="436"/>
      <c r="AH2" s="438"/>
      <c r="AI2" s="440"/>
    </row>
    <row r="3" spans="1:36" x14ac:dyDescent="0.25">
      <c r="A3" s="423" t="s">
        <v>64</v>
      </c>
      <c r="B3" s="424"/>
      <c r="C3" s="152"/>
      <c r="D3" s="131"/>
      <c r="E3" s="76"/>
      <c r="F3" s="58"/>
      <c r="G3" s="58"/>
      <c r="H3" s="427" t="s">
        <v>66</v>
      </c>
      <c r="I3" s="428"/>
      <c r="J3" s="157"/>
      <c r="K3" s="433" t="s">
        <v>212</v>
      </c>
      <c r="L3" s="434"/>
      <c r="M3" s="39"/>
      <c r="N3" s="429" t="s">
        <v>69</v>
      </c>
      <c r="O3" s="430"/>
      <c r="P3" s="417" t="s">
        <v>81</v>
      </c>
      <c r="Q3" s="418"/>
      <c r="R3" s="419" t="s">
        <v>82</v>
      </c>
      <c r="S3" s="420"/>
      <c r="T3" s="45" t="s">
        <v>79</v>
      </c>
      <c r="U3" s="354" t="s">
        <v>80</v>
      </c>
      <c r="V3" s="355" t="s">
        <v>80</v>
      </c>
      <c r="W3" s="46" t="s">
        <v>79</v>
      </c>
      <c r="X3" s="425" t="s">
        <v>70</v>
      </c>
      <c r="Y3" s="425"/>
      <c r="Z3" s="425"/>
      <c r="AA3" s="426"/>
      <c r="AB3" s="266"/>
      <c r="AC3" s="45"/>
      <c r="AD3" s="47" t="s">
        <v>207</v>
      </c>
      <c r="AE3" s="47" t="s">
        <v>210</v>
      </c>
      <c r="AF3" s="47"/>
      <c r="AG3" s="47" t="s">
        <v>211</v>
      </c>
      <c r="AH3" s="47"/>
      <c r="AI3" s="46" t="s">
        <v>118</v>
      </c>
    </row>
    <row r="4" spans="1:36" ht="15.75" thickBot="1" x14ac:dyDescent="0.3">
      <c r="A4" s="31" t="s">
        <v>202</v>
      </c>
      <c r="B4" s="32" t="s">
        <v>65</v>
      </c>
      <c r="C4" s="31" t="s">
        <v>118</v>
      </c>
      <c r="D4" s="132" t="s">
        <v>150</v>
      </c>
      <c r="E4" s="77" t="s">
        <v>76</v>
      </c>
      <c r="F4" s="130" t="s">
        <v>89</v>
      </c>
      <c r="G4" s="59" t="s">
        <v>59</v>
      </c>
      <c r="H4" s="63" t="s">
        <v>67</v>
      </c>
      <c r="I4" s="64" t="s">
        <v>68</v>
      </c>
      <c r="J4" s="158" t="s">
        <v>148</v>
      </c>
      <c r="K4" s="297" t="s">
        <v>67</v>
      </c>
      <c r="L4" s="298" t="s">
        <v>68</v>
      </c>
      <c r="M4" s="66" t="s">
        <v>60</v>
      </c>
      <c r="N4" s="67" t="s">
        <v>62</v>
      </c>
      <c r="O4" s="68" t="s">
        <v>63</v>
      </c>
      <c r="P4" s="303" t="s">
        <v>77</v>
      </c>
      <c r="Q4" s="368" t="s">
        <v>32</v>
      </c>
      <c r="R4" s="369" t="s">
        <v>77</v>
      </c>
      <c r="S4" s="304" t="s">
        <v>32</v>
      </c>
      <c r="T4" s="69" t="s">
        <v>83</v>
      </c>
      <c r="U4" s="370" t="s">
        <v>84</v>
      </c>
      <c r="V4" s="371" t="s">
        <v>83</v>
      </c>
      <c r="W4" s="70" t="s">
        <v>84</v>
      </c>
      <c r="X4" s="221" t="s">
        <v>71</v>
      </c>
      <c r="Y4" s="222" t="s">
        <v>86</v>
      </c>
      <c r="Z4" s="223" t="s">
        <v>85</v>
      </c>
      <c r="AA4" s="224" t="s">
        <v>72</v>
      </c>
      <c r="AB4" s="59" t="str">
        <f t="shared" ref="AB4:AB22" si="0">G4</f>
        <v>symbol</v>
      </c>
      <c r="AC4" s="272" t="s">
        <v>203</v>
      </c>
      <c r="AD4" s="273" t="s">
        <v>209</v>
      </c>
      <c r="AE4" s="273" t="s">
        <v>205</v>
      </c>
      <c r="AF4" s="273" t="s">
        <v>204</v>
      </c>
      <c r="AG4" s="273" t="s">
        <v>205</v>
      </c>
      <c r="AH4" s="277" t="s">
        <v>206</v>
      </c>
      <c r="AI4" s="64" t="s">
        <v>206</v>
      </c>
    </row>
    <row r="5" spans="1:36" x14ac:dyDescent="0.25">
      <c r="A5" s="140">
        <f>MATCH(G5,SCALARS!C:C,0)</f>
        <v>66</v>
      </c>
      <c r="B5" s="141">
        <f>MATCH(G5,'MKT DATA'!B:B,0)</f>
        <v>65</v>
      </c>
      <c r="C5" s="140" t="str" cm="1">
        <f t="array" aca="1" ref="C5" ca="1">INDIRECT(ADDRESS($A5,2,,,"scalars"))</f>
        <v>discretionary</v>
      </c>
      <c r="D5" s="217" cm="1">
        <f t="array" aca="1" ref="D5" ca="1">INDIRECT(ADDRESS($A5,8,,,"SCALARS"))</f>
        <v>95600</v>
      </c>
      <c r="E5" s="219"/>
      <c r="F5" s="14" t="str" cm="1">
        <f t="array" aca="1" ref="F5" ca="1">INDIRECT(ADDRESS($A5,5,,,"scalars"))</f>
        <v>XLY</v>
      </c>
      <c r="G5" s="15" t="s">
        <v>174</v>
      </c>
      <c r="H5" s="33" cm="1">
        <f t="array" aca="1" ref="H5" ca="1">INDIRECT(ADDRESS($B5,5,,,"mkt data"))</f>
        <v>96.21</v>
      </c>
      <c r="I5" s="34" cm="1">
        <f t="array" aca="1" ref="I5" ca="1">INDIRECT(ADDRESS($B5,6,,,"mkt data"))</f>
        <v>96.23</v>
      </c>
      <c r="J5" s="248" cm="1">
        <f t="array" aca="1" ref="J5" ca="1">INDIRECT(ADDRESS($A5,7,,,"SCALARS"))</f>
        <v>0</v>
      </c>
      <c r="K5" s="16">
        <f t="shared" ref="K5:K22" ca="1" si="1">H5+J5-K$1</f>
        <v>96.204499999999996</v>
      </c>
      <c r="L5" s="16">
        <f t="shared" ref="L5:L22" ca="1" si="2">I5+J5+K$1</f>
        <v>96.235500000000002</v>
      </c>
      <c r="M5" s="49" cm="1">
        <f t="array" aca="1" ref="M5" ca="1">INDIRECT(ADDRESS($A5,6,,,"scalars"))</f>
        <v>1.1476561241353886</v>
      </c>
      <c r="N5" s="17">
        <f t="shared" ref="N5:N22" ca="1" si="3">K5*M5</f>
        <v>110.409683594383</v>
      </c>
      <c r="O5" s="17">
        <f t="shared" ref="O5:O22" ca="1" si="4">M5*L5</f>
        <v>110.4452609342312</v>
      </c>
      <c r="P5" s="385">
        <f ca="1">N6-O5</f>
        <v>0.14923906576879631</v>
      </c>
      <c r="Q5" s="387">
        <f ca="1">LN(N6/O5)</f>
        <v>1.3503370417614136E-3</v>
      </c>
      <c r="R5" s="401">
        <f ca="1">N5-O6</f>
        <v>-0.20581640561699999</v>
      </c>
      <c r="S5" s="411">
        <f ca="1">LN(N5/O6)</f>
        <v>-1.8623802207402495E-3</v>
      </c>
      <c r="T5" s="71">
        <v>0.02</v>
      </c>
      <c r="U5" s="358">
        <v>5.0000000000000001E-3</v>
      </c>
      <c r="V5" s="359">
        <v>0.01</v>
      </c>
      <c r="W5" s="72">
        <v>0.02</v>
      </c>
      <c r="X5" s="27" cm="1">
        <f t="array" aca="1" ref="X5" ca="1">INDIRECT(ADDRESS($B5,9,,,"mkt data"))</f>
        <v>0</v>
      </c>
      <c r="Y5" s="53">
        <f t="shared" ref="Y5:Y22" ca="1" si="5">X5*AVERAGE(H5:I5)</f>
        <v>0</v>
      </c>
      <c r="Z5" s="27">
        <f t="shared" ref="Z5:Z22" ca="1" si="6">X5/M5</f>
        <v>0</v>
      </c>
      <c r="AA5" s="405">
        <f ca="1">SUM(Z5:Z6)</f>
        <v>0</v>
      </c>
      <c r="AB5" s="282" t="str">
        <f t="shared" si="0"/>
        <v>IYC</v>
      </c>
      <c r="AC5" s="33" cm="1">
        <f t="array" aca="1" ref="AC5" ca="1">INDIRECT(ADDRESS($B5,8,,,"mkt data"))</f>
        <v>97.470000999999996</v>
      </c>
      <c r="AD5" s="274">
        <f t="shared" ref="AD5:AD22" ca="1" si="7">AVERAGE(H5,I5)</f>
        <v>96.22</v>
      </c>
      <c r="AE5" s="274">
        <f t="shared" ref="AE5:AE6" ca="1" si="8">AD5-AC5</f>
        <v>-1.2500009999999975</v>
      </c>
      <c r="AF5" s="285">
        <v>0</v>
      </c>
      <c r="AG5" s="274">
        <f t="shared" ref="AG5:AG6" ca="1" si="9">AE5+AF5</f>
        <v>-1.2500009999999975</v>
      </c>
      <c r="AH5" s="274">
        <f t="shared" ref="AH5:AH6" ca="1" si="10">AG5*X5</f>
        <v>0</v>
      </c>
      <c r="AI5" s="383">
        <f ca="1">AH5+AH6</f>
        <v>0</v>
      </c>
    </row>
    <row r="6" spans="1:36" ht="15.75" thickBot="1" x14ac:dyDescent="0.3">
      <c r="A6" s="142">
        <f>MATCH(G6,SCALARS!C:C,0)</f>
        <v>67</v>
      </c>
      <c r="B6" s="143">
        <f>MATCH(G6,'MKT DATA'!B:B,0)</f>
        <v>66</v>
      </c>
      <c r="C6" s="142" t="str" cm="1">
        <f t="array" aca="1" ref="C6" ca="1">INDIRECT(ADDRESS($A6,2,,,"scalars"))</f>
        <v>discretionary</v>
      </c>
      <c r="D6" s="218" cm="1">
        <f t="array" aca="1" ref="D6" ca="1">INDIRECT(ADDRESS($A6,8,,,"SCALARS"))</f>
        <v>7008400</v>
      </c>
      <c r="E6" s="220"/>
      <c r="F6" s="20" t="str" cm="1">
        <f t="array" aca="1" ref="F6" ca="1">INDIRECT(ADDRESS($A6,5,,,"scalars"))</f>
        <v>XLY</v>
      </c>
      <c r="G6" s="21" t="s">
        <v>175</v>
      </c>
      <c r="H6" s="37" cm="1">
        <f t="array" aca="1" ref="H6" ca="1">INDIRECT(ADDRESS($B6,5,,,"mkt data"))</f>
        <v>110.6</v>
      </c>
      <c r="I6" s="38" cm="1">
        <f t="array" aca="1" ref="I6" ca="1">INDIRECT(ADDRESS($B6,6,,,"mkt data"))</f>
        <v>110.61</v>
      </c>
      <c r="J6" s="249" cm="1">
        <f t="array" aca="1" ref="J6" ca="1">INDIRECT(ADDRESS($A6,7,,,"SCALARS"))</f>
        <v>0</v>
      </c>
      <c r="K6" s="22">
        <f t="shared" ca="1" si="1"/>
        <v>110.5945</v>
      </c>
      <c r="L6" s="22">
        <f t="shared" ca="1" si="2"/>
        <v>110.6155</v>
      </c>
      <c r="M6" s="50" cm="1">
        <f t="array" aca="1" ref="M6" ca="1">INDIRECT(ADDRESS($A6,6,,,"scalars"))</f>
        <v>1</v>
      </c>
      <c r="N6" s="23">
        <f t="shared" ca="1" si="3"/>
        <v>110.5945</v>
      </c>
      <c r="O6" s="23">
        <f t="shared" ca="1" si="4"/>
        <v>110.6155</v>
      </c>
      <c r="P6" s="386"/>
      <c r="Q6" s="388"/>
      <c r="R6" s="402"/>
      <c r="S6" s="412"/>
      <c r="T6" s="73" t="b">
        <f ca="1">IF(Q5&gt;T5,TRUE,FALSE)</f>
        <v>0</v>
      </c>
      <c r="U6" s="360" t="b">
        <f ca="1">AND(IF(S5&gt;-U5,TRUE,FALSE),IF(X5&gt;0,TRUE,FALSE))</f>
        <v>0</v>
      </c>
      <c r="V6" s="361" t="b">
        <f ca="1">AND(IF(Q5&gt;-V5,TRUE,FALSE),IF(X5&lt;0,TRUE,FALSE))</f>
        <v>0</v>
      </c>
      <c r="W6" s="74" t="b">
        <f ca="1">IF(S5&gt;W5,TRUE,FALSE)</f>
        <v>0</v>
      </c>
      <c r="X6" s="29" cm="1">
        <f t="array" aca="1" ref="X6" ca="1">INDIRECT(ADDRESS($B6,9,,,"mkt data"))</f>
        <v>0</v>
      </c>
      <c r="Y6" s="55">
        <f t="shared" ca="1" si="5"/>
        <v>0</v>
      </c>
      <c r="Z6" s="29">
        <f t="shared" ca="1" si="6"/>
        <v>0</v>
      </c>
      <c r="AA6" s="406"/>
      <c r="AB6" s="290" t="str">
        <f t="shared" si="0"/>
        <v>XLY</v>
      </c>
      <c r="AC6" s="37" cm="1">
        <f t="array" aca="1" ref="AC6" ca="1">INDIRECT(ADDRESS($B6,8,,,"mkt data"))</f>
        <v>112.33000199999999</v>
      </c>
      <c r="AD6" s="276">
        <f t="shared" ca="1" si="7"/>
        <v>110.60499999999999</v>
      </c>
      <c r="AE6" s="276">
        <f t="shared" ca="1" si="8"/>
        <v>-1.7250020000000035</v>
      </c>
      <c r="AF6" s="287">
        <v>0</v>
      </c>
      <c r="AG6" s="276">
        <f t="shared" ca="1" si="9"/>
        <v>-1.7250020000000035</v>
      </c>
      <c r="AH6" s="276">
        <f t="shared" ca="1" si="10"/>
        <v>0</v>
      </c>
      <c r="AI6" s="384"/>
    </row>
    <row r="7" spans="1:36" x14ac:dyDescent="0.25">
      <c r="A7" s="140">
        <f>MATCH(G7,SCALARS!C:C,0)</f>
        <v>69</v>
      </c>
      <c r="B7" s="141">
        <f>MATCH(G7,'MKT DATA'!B:B,0)</f>
        <v>71</v>
      </c>
      <c r="C7" s="140" t="str" cm="1">
        <f t="array" aca="1" ref="C7" ca="1">INDIRECT(ADDRESS($A7,2,,,"scalars"))</f>
        <v>energy</v>
      </c>
      <c r="D7" s="217" cm="1">
        <f t="array" aca="1" ref="D7" ca="1">INDIRECT(ADDRESS($A7,8,,,"SCALARS"))</f>
        <v>29334900</v>
      </c>
      <c r="E7" s="219"/>
      <c r="F7" s="14" t="str" cm="1">
        <f t="array" aca="1" ref="F7" ca="1">INDIRECT(ADDRESS($A7,5,,,"scalars"))</f>
        <v>IYE</v>
      </c>
      <c r="G7" s="15" t="s">
        <v>96</v>
      </c>
      <c r="H7" s="33" cm="1">
        <f t="array" aca="1" ref="H7" ca="1">INDIRECT(ADDRESS($B7,5,,,"mkt data"))</f>
        <v>62.4</v>
      </c>
      <c r="I7" s="34" cm="1">
        <f t="array" aca="1" ref="I7" ca="1">INDIRECT(ADDRESS($B7,6,,,"mkt data"))</f>
        <v>62.41</v>
      </c>
      <c r="J7" s="248" cm="1">
        <f t="array" aca="1" ref="J7" ca="1">INDIRECT(ADDRESS($A7,7,,,"SCALARS"))</f>
        <v>0</v>
      </c>
      <c r="K7" s="16">
        <f t="shared" ca="1" si="1"/>
        <v>62.394500000000001</v>
      </c>
      <c r="L7" s="16">
        <f t="shared" ca="1" si="2"/>
        <v>62.415499999999994</v>
      </c>
      <c r="M7" s="49" cm="1">
        <f t="array" aca="1" ref="M7" ca="1">INDIRECT(ADDRESS($A7,6,,,"scalars"))</f>
        <v>1.0564521811944705</v>
      </c>
      <c r="N7" s="17">
        <f t="shared" ca="1" si="3"/>
        <v>65.916805619538394</v>
      </c>
      <c r="O7" s="17">
        <f t="shared" ca="1" si="4"/>
        <v>65.93899111534347</v>
      </c>
      <c r="P7" s="415">
        <f ca="1">N8-O7</f>
        <v>-0.15449111534346116</v>
      </c>
      <c r="Q7" s="387">
        <f ca="1">LN(N8/O7)</f>
        <v>-2.3456892141686383E-3</v>
      </c>
      <c r="R7" s="401">
        <f ca="1">N7-O8</f>
        <v>0.11130561953839901</v>
      </c>
      <c r="S7" s="411">
        <f ca="1">LN(N7/O8)</f>
        <v>1.6900045213556604E-3</v>
      </c>
      <c r="T7" s="71">
        <v>2E-3</v>
      </c>
      <c r="U7" s="358">
        <v>5.0000000000000001E-4</v>
      </c>
      <c r="V7" s="359">
        <v>2E-3</v>
      </c>
      <c r="W7" s="72">
        <v>3.5000000000000001E-3</v>
      </c>
      <c r="X7" s="27" cm="1">
        <f t="array" aca="1" ref="X7" ca="1">INDIRECT(ADDRESS($B7,9,,,"mkt data"))</f>
        <v>-4756</v>
      </c>
      <c r="Y7" s="53">
        <f t="shared" ca="1" si="5"/>
        <v>-296798.18</v>
      </c>
      <c r="Z7" s="27">
        <f t="shared" ca="1" si="6"/>
        <v>-4501.8601737587978</v>
      </c>
      <c r="AA7" s="405">
        <f ca="1">SUM(Z7:Z8)</f>
        <v>-1.8601737587978278</v>
      </c>
      <c r="AB7" s="282" t="str">
        <f t="shared" si="0"/>
        <v>XLE</v>
      </c>
      <c r="AC7" s="33" cm="1">
        <f t="array" aca="1" ref="AC7" ca="1">INDIRECT(ADDRESS($B7,8,,,"mkt data"))</f>
        <v>61.779998999999997</v>
      </c>
      <c r="AD7" s="274">
        <f t="shared" ca="1" si="7"/>
        <v>62.405000000000001</v>
      </c>
      <c r="AE7" s="274">
        <f t="shared" ref="AE7:AE22" ca="1" si="11">AD7-AC7</f>
        <v>0.62500100000000458</v>
      </c>
      <c r="AF7" s="285">
        <v>0</v>
      </c>
      <c r="AG7" s="274">
        <f t="shared" ref="AG7:AG22" ca="1" si="12">AE7+AF7</f>
        <v>0.62500100000000458</v>
      </c>
      <c r="AH7" s="274">
        <f t="shared" ref="AH7:AH22" ca="1" si="13">AG7*X7</f>
        <v>-2972.5047560000216</v>
      </c>
      <c r="AI7" s="383">
        <f ca="1">AH7+AH8</f>
        <v>-25.000256000028003</v>
      </c>
    </row>
    <row r="8" spans="1:36" ht="15.75" thickBot="1" x14ac:dyDescent="0.3">
      <c r="A8" s="142">
        <f>MATCH(G8,SCALARS!C:C,0)</f>
        <v>68</v>
      </c>
      <c r="B8" s="143">
        <f>MATCH(G8,'MKT DATA'!B:B,0)</f>
        <v>69</v>
      </c>
      <c r="C8" s="142" t="str" cm="1">
        <f t="array" aca="1" ref="C8" ca="1">INDIRECT(ADDRESS($A8,2,,,"scalars"))</f>
        <v>energy</v>
      </c>
      <c r="D8" s="218" cm="1">
        <f t="array" aca="1" ref="D8" ca="1">INDIRECT(ADDRESS($A8,8,,,"SCALARS"))</f>
        <v>781200</v>
      </c>
      <c r="E8" s="220"/>
      <c r="F8" s="20" t="str" cm="1">
        <f t="array" aca="1" ref="F8" ca="1">INDIRECT(ADDRESS($A8,5,,,"scalars"))</f>
        <v>IYE</v>
      </c>
      <c r="G8" s="21" t="s">
        <v>94</v>
      </c>
      <c r="H8" s="37" cm="1">
        <f t="array" aca="1" ref="H8" ca="1">INDIRECT(ADDRESS($B8,5,,,"mkt data"))</f>
        <v>65.790000000000006</v>
      </c>
      <c r="I8" s="38" cm="1">
        <f t="array" aca="1" ref="I8" ca="1">INDIRECT(ADDRESS($B8,6,,,"mkt data"))</f>
        <v>65.8</v>
      </c>
      <c r="J8" s="249" cm="1">
        <f t="array" aca="1" ref="J8" ca="1">INDIRECT(ADDRESS($A8,7,,,"SCALARS"))</f>
        <v>0</v>
      </c>
      <c r="K8" s="22">
        <f t="shared" ca="1" si="1"/>
        <v>65.784500000000008</v>
      </c>
      <c r="L8" s="22">
        <f t="shared" ca="1" si="2"/>
        <v>65.805499999999995</v>
      </c>
      <c r="M8" s="50" cm="1">
        <f t="array" aca="1" ref="M8" ca="1">INDIRECT(ADDRESS($A8,6,,,"scalars"))</f>
        <v>1</v>
      </c>
      <c r="N8" s="23">
        <f t="shared" ca="1" si="3"/>
        <v>65.784500000000008</v>
      </c>
      <c r="O8" s="23">
        <f t="shared" ca="1" si="4"/>
        <v>65.805499999999995</v>
      </c>
      <c r="P8" s="416"/>
      <c r="Q8" s="388"/>
      <c r="R8" s="402"/>
      <c r="S8" s="412"/>
      <c r="T8" s="73" t="b">
        <f ca="1">IF(Q7&gt;T7,TRUE,FALSE)</f>
        <v>0</v>
      </c>
      <c r="U8" s="360" t="b">
        <f ca="1">AND(IF(S7&gt;-U7,TRUE,FALSE),IF(X7&gt;0,TRUE,FALSE))</f>
        <v>0</v>
      </c>
      <c r="V8" s="361" t="b">
        <f ca="1">AND(IF(Q7&gt;-V7,TRUE,FALSE),IF(X7&lt;0,TRUE,FALSE))</f>
        <v>0</v>
      </c>
      <c r="W8" s="74" t="b">
        <f ca="1">IF(S7&gt;W7,TRUE,FALSE)</f>
        <v>0</v>
      </c>
      <c r="X8" s="29" cm="1">
        <f t="array" aca="1" ref="X8" ca="1">INDIRECT(ADDRESS($B8,9,,,"mkt data"))</f>
        <v>4500</v>
      </c>
      <c r="Y8" s="55">
        <f t="shared" ca="1" si="5"/>
        <v>296077.5</v>
      </c>
      <c r="Z8" s="29">
        <f t="shared" ca="1" si="6"/>
        <v>4500</v>
      </c>
      <c r="AA8" s="406"/>
      <c r="AB8" s="290" t="str">
        <f t="shared" si="0"/>
        <v>IYE</v>
      </c>
      <c r="AC8" s="37" cm="1">
        <f t="array" aca="1" ref="AC8" ca="1">INDIRECT(ADDRESS($B8,8,,,"mkt data"))</f>
        <v>65.139999000000003</v>
      </c>
      <c r="AD8" s="276">
        <f t="shared" ca="1" si="7"/>
        <v>65.795000000000002</v>
      </c>
      <c r="AE8" s="276">
        <f t="shared" ca="1" si="11"/>
        <v>0.65500099999999861</v>
      </c>
      <c r="AF8" s="287">
        <v>0</v>
      </c>
      <c r="AG8" s="276">
        <f t="shared" ca="1" si="12"/>
        <v>0.65500099999999861</v>
      </c>
      <c r="AH8" s="276">
        <f t="shared" ca="1" si="13"/>
        <v>2947.5044999999936</v>
      </c>
      <c r="AI8" s="384"/>
    </row>
    <row r="9" spans="1:36" x14ac:dyDescent="0.25">
      <c r="A9" s="140">
        <f>MATCH(G9,SCALARS!C:C,0)</f>
        <v>73</v>
      </c>
      <c r="B9" s="141">
        <f>MATCH(G9,'MKT DATA'!B:B,0)</f>
        <v>75</v>
      </c>
      <c r="C9" s="140" t="str" cm="1">
        <f t="array" aca="1" ref="C9" ca="1">INDIRECT(ADDRESS($A9,2,,,"scalars"))</f>
        <v>financials</v>
      </c>
      <c r="D9" s="217" cm="1">
        <f t="array" aca="1" ref="D9" ca="1">INDIRECT(ADDRESS($A9,8,,,"SCALARS"))</f>
        <v>32225500</v>
      </c>
      <c r="E9" s="219"/>
      <c r="F9" s="14" t="str" cm="1">
        <f t="array" aca="1" ref="F9" ca="1">INDIRECT(ADDRESS($A9,5,,,"scalars"))</f>
        <v>IYF</v>
      </c>
      <c r="G9" s="15" t="s">
        <v>99</v>
      </c>
      <c r="H9" s="33" cm="1">
        <f t="array" aca="1" ref="H9" ca="1">INDIRECT(ADDRESS($B9,5,,,"mkt data"))</f>
        <v>54.6</v>
      </c>
      <c r="I9" s="34" cm="1">
        <f t="array" aca="1" ref="I9" ca="1">INDIRECT(ADDRESS($B9,6,,,"mkt data"))</f>
        <v>54.61</v>
      </c>
      <c r="J9" s="248" cm="1">
        <f t="array" aca="1" ref="J9" ca="1">INDIRECT(ADDRESS($A9,7,,,"SCALARS"))</f>
        <v>0</v>
      </c>
      <c r="K9" s="16">
        <f t="shared" ca="1" si="1"/>
        <v>54.594500000000004</v>
      </c>
      <c r="L9" s="16">
        <f t="shared" ca="1" si="2"/>
        <v>54.615499999999997</v>
      </c>
      <c r="M9" s="49" cm="1">
        <f t="array" aca="1" ref="M9" ca="1">INDIRECT(ADDRESS($A9,6,,,"scalars"))</f>
        <v>2.3668484563063772</v>
      </c>
      <c r="N9" s="17">
        <f t="shared" ca="1" si="3"/>
        <v>129.21690804781852</v>
      </c>
      <c r="O9" s="17">
        <f t="shared" ca="1" si="4"/>
        <v>129.26661186540093</v>
      </c>
      <c r="P9" s="385">
        <f ca="1">N10-O9</f>
        <v>-8.2111865400946726E-2</v>
      </c>
      <c r="Q9" s="387">
        <f ca="1">LN(N10/O9)</f>
        <v>-6.354150893067063E-4</v>
      </c>
      <c r="R9" s="401">
        <f ca="1">N9-O10</f>
        <v>1.4080478185007905E-3</v>
      </c>
      <c r="S9" s="411">
        <f ca="1">LN(N9/O10)</f>
        <v>1.0896836268642473E-5</v>
      </c>
      <c r="T9" s="71">
        <v>4.0000000000000001E-3</v>
      </c>
      <c r="U9" s="358">
        <v>1E-3</v>
      </c>
      <c r="V9" s="359">
        <v>2E-3</v>
      </c>
      <c r="W9" s="72">
        <v>5.0000000000000001E-3</v>
      </c>
      <c r="X9" s="27" cm="1">
        <f t="array" aca="1" ref="X9" ca="1">INDIRECT(ADDRESS($B9,9,,,"mkt data"))</f>
        <v>0</v>
      </c>
      <c r="Y9" s="53">
        <f t="shared" ca="1" si="5"/>
        <v>0</v>
      </c>
      <c r="Z9" s="27">
        <f t="shared" ca="1" si="6"/>
        <v>0</v>
      </c>
      <c r="AA9" s="399">
        <f ca="1">SUM(Z9:Z10)</f>
        <v>0</v>
      </c>
      <c r="AB9" s="282" t="str">
        <f t="shared" si="0"/>
        <v>XLF</v>
      </c>
      <c r="AC9" s="33" cm="1">
        <f t="array" aca="1" ref="AC9" ca="1">INDIRECT(ADDRESS($B9,8,,,"mkt data"))</f>
        <v>54.799999</v>
      </c>
      <c r="AD9" s="274">
        <f t="shared" ca="1" si="7"/>
        <v>54.605000000000004</v>
      </c>
      <c r="AE9" s="274">
        <f t="shared" ca="1" si="11"/>
        <v>-0.1949989999999957</v>
      </c>
      <c r="AF9" s="285">
        <v>0</v>
      </c>
      <c r="AG9" s="274">
        <f t="shared" ca="1" si="12"/>
        <v>-0.1949989999999957</v>
      </c>
      <c r="AH9" s="274">
        <f t="shared" ca="1" si="13"/>
        <v>0</v>
      </c>
      <c r="AI9" s="383">
        <f ca="1">AH9+AH10</f>
        <v>0</v>
      </c>
    </row>
    <row r="10" spans="1:36" ht="15.75" thickBot="1" x14ac:dyDescent="0.3">
      <c r="A10" s="142">
        <f>MATCH(G10,SCALARS!C:C,0)</f>
        <v>72</v>
      </c>
      <c r="B10" s="143">
        <f>MATCH(G10,'MKT DATA'!B:B,0)</f>
        <v>73</v>
      </c>
      <c r="C10" s="142" t="str" cm="1">
        <f t="array" aca="1" ref="C10" ca="1">INDIRECT(ADDRESS($A10,2,,,"scalars"))</f>
        <v>financials</v>
      </c>
      <c r="D10" s="218" cm="1">
        <f t="array" aca="1" ref="D10" ca="1">INDIRECT(ADDRESS($A10,8,,,"SCALARS"))</f>
        <v>385800</v>
      </c>
      <c r="E10" s="220"/>
      <c r="F10" s="20" t="str" cm="1">
        <f t="array" aca="1" ref="F10" ca="1">INDIRECT(ADDRESS($A10,5,,,"scalars"))</f>
        <v>IYF</v>
      </c>
      <c r="G10" s="21" t="s">
        <v>97</v>
      </c>
      <c r="H10" s="37" cm="1">
        <f t="array" aca="1" ref="H10" ca="1">INDIRECT(ADDRESS($B10,5,,,"mkt data"))</f>
        <v>129.19</v>
      </c>
      <c r="I10" s="38" cm="1">
        <f t="array" aca="1" ref="I10" ca="1">INDIRECT(ADDRESS($B10,6,,,"mkt data"))</f>
        <v>129.21</v>
      </c>
      <c r="J10" s="249" cm="1">
        <f t="array" aca="1" ref="J10" ca="1">INDIRECT(ADDRESS($A10,7,,,"SCALARS"))</f>
        <v>0</v>
      </c>
      <c r="K10" s="22">
        <f t="shared" ca="1" si="1"/>
        <v>129.18449999999999</v>
      </c>
      <c r="L10" s="22">
        <f t="shared" ca="1" si="2"/>
        <v>129.21550000000002</v>
      </c>
      <c r="M10" s="50" cm="1">
        <f t="array" aca="1" ref="M10" ca="1">INDIRECT(ADDRESS($A10,6,,,"scalars"))</f>
        <v>1</v>
      </c>
      <c r="N10" s="23">
        <f t="shared" ca="1" si="3"/>
        <v>129.18449999999999</v>
      </c>
      <c r="O10" s="23">
        <f t="shared" ca="1" si="4"/>
        <v>129.21550000000002</v>
      </c>
      <c r="P10" s="386"/>
      <c r="Q10" s="388"/>
      <c r="R10" s="402"/>
      <c r="S10" s="412"/>
      <c r="T10" s="73" t="b">
        <f ca="1">IF(Q9&gt;T9,TRUE,FALSE)</f>
        <v>0</v>
      </c>
      <c r="U10" s="360" t="b">
        <f ca="1">AND(IF(S9&gt;-U9,TRUE,FALSE),IF(X9&gt;0,TRUE,FALSE))</f>
        <v>0</v>
      </c>
      <c r="V10" s="361" t="b">
        <f ca="1">AND(IF(Q9&gt;-V9,TRUE,FALSE),IF(X9&lt;0,TRUE,FALSE))</f>
        <v>0</v>
      </c>
      <c r="W10" s="74" t="b">
        <f ca="1">IF(S9&gt;W9,TRUE,FALSE)</f>
        <v>0</v>
      </c>
      <c r="X10" s="29" cm="1">
        <f t="array" aca="1" ref="X10" ca="1">INDIRECT(ADDRESS($B10,9,,,"mkt data"))</f>
        <v>0</v>
      </c>
      <c r="Y10" s="55">
        <f t="shared" ca="1" si="5"/>
        <v>0</v>
      </c>
      <c r="Z10" s="29">
        <f t="shared" ca="1" si="6"/>
        <v>0</v>
      </c>
      <c r="AA10" s="400"/>
      <c r="AB10" s="290" t="str">
        <f t="shared" si="0"/>
        <v>IYF</v>
      </c>
      <c r="AC10" s="37" cm="1">
        <f t="array" aca="1" ref="AC10" ca="1">INDIRECT(ADDRESS($B10,8,,,"mkt data"))</f>
        <v>129.78999300000001</v>
      </c>
      <c r="AD10" s="276">
        <f t="shared" ca="1" si="7"/>
        <v>129.19999999999999</v>
      </c>
      <c r="AE10" s="276">
        <f t="shared" ca="1" si="11"/>
        <v>-0.58999300000002108</v>
      </c>
      <c r="AF10" s="287">
        <v>0</v>
      </c>
      <c r="AG10" s="276">
        <f t="shared" ca="1" si="12"/>
        <v>-0.58999300000002108</v>
      </c>
      <c r="AH10" s="276">
        <f t="shared" ca="1" si="13"/>
        <v>0</v>
      </c>
      <c r="AI10" s="384"/>
    </row>
    <row r="11" spans="1:36" x14ac:dyDescent="0.25">
      <c r="A11" s="140">
        <f>MATCH(G11,SCALARS!C:C,0)</f>
        <v>78</v>
      </c>
      <c r="B11" s="141">
        <f>MATCH(G11,'MKT DATA'!B:B,0)</f>
        <v>77</v>
      </c>
      <c r="C11" s="140" t="str" cm="1">
        <f t="array" aca="1" ref="C11" ca="1">INDIRECT(ADDRESS($A11,2,,,"scalars"))</f>
        <v>healthcare</v>
      </c>
      <c r="D11" s="217" cm="1">
        <f t="array" aca="1" ref="D11" ca="1">INDIRECT(ADDRESS($A11,8,,,"SCALARS"))</f>
        <v>699500</v>
      </c>
      <c r="E11" s="219"/>
      <c r="F11" s="14" t="str" cm="1">
        <f t="array" aca="1" ref="F11" ca="1">INDIRECT(ADDRESS($A11,5,,,"scalars"))</f>
        <v>XLV</v>
      </c>
      <c r="G11" s="15" t="s">
        <v>101</v>
      </c>
      <c r="H11" s="33" cm="1">
        <f t="array" aca="1" ref="H11" ca="1">INDIRECT(ADDRESS($B11,5,,,"mkt data"))</f>
        <v>71.56</v>
      </c>
      <c r="I11" s="34" cm="1">
        <f t="array" aca="1" ref="I11" ca="1">INDIRECT(ADDRESS($B11,6,,,"mkt data"))</f>
        <v>71.569999999999993</v>
      </c>
      <c r="J11" s="248" cm="1">
        <f t="array" aca="1" ref="J11" ca="1">INDIRECT(ADDRESS($A11,7,,,"SCALARS"))</f>
        <v>0</v>
      </c>
      <c r="K11" s="16">
        <f t="shared" ca="1" si="1"/>
        <v>71.554500000000004</v>
      </c>
      <c r="L11" s="16">
        <f t="shared" ca="1" si="2"/>
        <v>71.575499999999991</v>
      </c>
      <c r="M11" s="49" cm="1">
        <f t="array" aca="1" ref="M11" ca="1">INDIRECT(ADDRESS($A11,6,,,"scalars"))</f>
        <v>2.3649856470298629</v>
      </c>
      <c r="N11" s="17">
        <f t="shared" ca="1" si="3"/>
        <v>169.22536548039832</v>
      </c>
      <c r="O11" s="17">
        <f t="shared" ca="1" si="4"/>
        <v>169.27503017898593</v>
      </c>
      <c r="P11" s="385">
        <f ca="1">N12-O11</f>
        <v>-0.44053017898593794</v>
      </c>
      <c r="Q11" s="387">
        <f ca="1">LN(N12/O11)</f>
        <v>-2.605844490896062E-3</v>
      </c>
      <c r="R11" s="401">
        <f ca="1">N11-O12</f>
        <v>0.36986548039831746</v>
      </c>
      <c r="S11" s="411">
        <f ca="1">LN(N11/O12)</f>
        <v>2.1880305318845703E-3</v>
      </c>
      <c r="T11" s="71">
        <v>3.0000000000000001E-3</v>
      </c>
      <c r="U11" s="358">
        <v>2E-3</v>
      </c>
      <c r="V11" s="359">
        <v>1E-3</v>
      </c>
      <c r="W11" s="72">
        <v>4.0000000000000001E-3</v>
      </c>
      <c r="X11" s="27" cm="1">
        <f t="array" aca="1" ref="X11" ca="1">INDIRECT(ADDRESS($B11,9,,,"mkt data"))</f>
        <v>0</v>
      </c>
      <c r="Y11" s="53">
        <f t="shared" ca="1" si="5"/>
        <v>0</v>
      </c>
      <c r="Z11" s="27">
        <f t="shared" ca="1" si="6"/>
        <v>0</v>
      </c>
      <c r="AA11" s="399">
        <f ca="1">SUM(Z11:Z12)</f>
        <v>0</v>
      </c>
      <c r="AB11" s="282" t="str">
        <f t="shared" si="0"/>
        <v>IYH</v>
      </c>
      <c r="AC11" s="33" cm="1">
        <f t="array" aca="1" ref="AC11" ca="1">INDIRECT(ADDRESS($B11,8,,,"mkt data"))</f>
        <v>72.080001999999993</v>
      </c>
      <c r="AD11" s="274">
        <f t="shared" ca="1" si="7"/>
        <v>71.564999999999998</v>
      </c>
      <c r="AE11" s="274">
        <f t="shared" ca="1" si="11"/>
        <v>-0.51500199999999552</v>
      </c>
      <c r="AF11" s="285">
        <v>0</v>
      </c>
      <c r="AG11" s="274">
        <f t="shared" ca="1" si="12"/>
        <v>-0.51500199999999552</v>
      </c>
      <c r="AH11" s="274">
        <f t="shared" ca="1" si="13"/>
        <v>0</v>
      </c>
      <c r="AI11" s="383">
        <f ca="1">AH11+AH12</f>
        <v>0</v>
      </c>
    </row>
    <row r="12" spans="1:36" ht="15.75" thickBot="1" x14ac:dyDescent="0.3">
      <c r="A12" s="142">
        <f>MATCH(G12,SCALARS!C:C,0)</f>
        <v>79</v>
      </c>
      <c r="B12" s="143">
        <f>MATCH(G12,'MKT DATA'!B:B,0)</f>
        <v>79</v>
      </c>
      <c r="C12" s="142" t="str" cm="1">
        <f t="array" aca="1" ref="C12" ca="1">INDIRECT(ADDRESS($A12,2,,,"scalars"))</f>
        <v>healthcare</v>
      </c>
      <c r="D12" s="218" cm="1">
        <f t="array" aca="1" ref="D12" ca="1">INDIRECT(ADDRESS($A12,8,,,"SCALARS"))</f>
        <v>9124500</v>
      </c>
      <c r="E12" s="220"/>
      <c r="F12" s="20" t="str" cm="1">
        <f t="array" aca="1" ref="F12" ca="1">INDIRECT(ADDRESS($A12,5,,,"scalars"))</f>
        <v>XLV</v>
      </c>
      <c r="G12" s="21" t="s">
        <v>103</v>
      </c>
      <c r="H12" s="37" cm="1">
        <f t="array" aca="1" ref="H12" ca="1">INDIRECT(ADDRESS($B12,5,,,"mkt data"))</f>
        <v>168.84</v>
      </c>
      <c r="I12" s="38" cm="1">
        <f t="array" aca="1" ref="I12" ca="1">INDIRECT(ADDRESS($B12,6,,,"mkt data"))</f>
        <v>168.85</v>
      </c>
      <c r="J12" s="249" cm="1">
        <f t="array" aca="1" ref="J12" ca="1">INDIRECT(ADDRESS($A12,7,,,"SCALARS"))</f>
        <v>0</v>
      </c>
      <c r="K12" s="22">
        <f t="shared" ca="1" si="1"/>
        <v>168.83449999999999</v>
      </c>
      <c r="L12" s="22">
        <f t="shared" ca="1" si="2"/>
        <v>168.85550000000001</v>
      </c>
      <c r="M12" s="50" cm="1">
        <f t="array" aca="1" ref="M12" ca="1">INDIRECT(ADDRESS($A12,6,,,"scalars"))</f>
        <v>1</v>
      </c>
      <c r="N12" s="23">
        <f t="shared" ca="1" si="3"/>
        <v>168.83449999999999</v>
      </c>
      <c r="O12" s="23">
        <f t="shared" ca="1" si="4"/>
        <v>168.85550000000001</v>
      </c>
      <c r="P12" s="386"/>
      <c r="Q12" s="388"/>
      <c r="R12" s="402"/>
      <c r="S12" s="412"/>
      <c r="T12" s="73" t="b">
        <f ca="1">IF(Q11&gt;T11,TRUE,FALSE)</f>
        <v>0</v>
      </c>
      <c r="U12" s="360" t="b">
        <f ca="1">AND(IF(S11&gt;-U11,TRUE,FALSE),IF(X11&gt;0,TRUE,FALSE))</f>
        <v>0</v>
      </c>
      <c r="V12" s="361" t="b">
        <f ca="1">AND(IF(Q11&gt;-V11,TRUE,FALSE),IF(X11&lt;0,TRUE,FALSE))</f>
        <v>0</v>
      </c>
      <c r="W12" s="74" t="b">
        <f ca="1">IF(S11&gt;W11,TRUE,FALSE)</f>
        <v>0</v>
      </c>
      <c r="X12" s="29" cm="1">
        <f t="array" aca="1" ref="X12" ca="1">INDIRECT(ADDRESS($B12,9,,,"mkt data"))</f>
        <v>0</v>
      </c>
      <c r="Y12" s="55">
        <f t="shared" ca="1" si="5"/>
        <v>0</v>
      </c>
      <c r="Z12" s="29">
        <f t="shared" ca="1" si="6"/>
        <v>0</v>
      </c>
      <c r="AA12" s="400"/>
      <c r="AB12" s="290" t="str">
        <f t="shared" si="0"/>
        <v>XLV</v>
      </c>
      <c r="AC12" s="37" cm="1">
        <f t="array" aca="1" ref="AC12" ca="1">INDIRECT(ADDRESS($B12,8,,,"mkt data"))</f>
        <v>169.88999899999999</v>
      </c>
      <c r="AD12" s="276">
        <f t="shared" ca="1" si="7"/>
        <v>168.845</v>
      </c>
      <c r="AE12" s="276">
        <f t="shared" ca="1" si="11"/>
        <v>-1.04499899999999</v>
      </c>
      <c r="AF12" s="287">
        <v>0</v>
      </c>
      <c r="AG12" s="276">
        <f t="shared" ca="1" si="12"/>
        <v>-1.04499899999999</v>
      </c>
      <c r="AH12" s="276">
        <f t="shared" ca="1" si="13"/>
        <v>0</v>
      </c>
      <c r="AI12" s="384"/>
    </row>
    <row r="13" spans="1:36" x14ac:dyDescent="0.25">
      <c r="A13" s="140">
        <f>MATCH(G13,SCALARS!C:C,0)</f>
        <v>82</v>
      </c>
      <c r="B13" s="141">
        <f>MATCH(G13,'MKT DATA'!B:B,0)</f>
        <v>81</v>
      </c>
      <c r="C13" s="140" t="str" cm="1">
        <f t="array" aca="1" ref="C13" ca="1">INDIRECT(ADDRESS($A13,2,,,"scalars"))</f>
        <v>industrials</v>
      </c>
      <c r="D13" s="217" cm="1">
        <f t="array" aca="1" ref="D13" ca="1">INDIRECT(ADDRESS($A13,8,,,"SCALARS"))</f>
        <v>127300</v>
      </c>
      <c r="E13" s="219"/>
      <c r="F13" s="14" t="str" cm="1">
        <f t="array" aca="1" ref="F13" ca="1">INDIRECT(ADDRESS($A13,5,,,"scalars"))</f>
        <v>XLI</v>
      </c>
      <c r="G13" s="155" t="s">
        <v>128</v>
      </c>
      <c r="H13" s="33" cm="1">
        <f t="array" aca="1" ref="H13" ca="1">INDIRECT(ADDRESS($B13,5,,,"mkt data"))</f>
        <v>156.26</v>
      </c>
      <c r="I13" s="34" cm="1">
        <f t="array" aca="1" ref="I13" ca="1">INDIRECT(ADDRESS($B13,6,,,"mkt data"))</f>
        <v>156.31</v>
      </c>
      <c r="J13" s="248" cm="1">
        <f t="array" aca="1" ref="J13" ca="1">INDIRECT(ADDRESS($A13,7,,,"SCALARS"))</f>
        <v>0</v>
      </c>
      <c r="K13" s="16">
        <f t="shared" ca="1" si="1"/>
        <v>156.25449999999998</v>
      </c>
      <c r="L13" s="16">
        <f t="shared" ca="1" si="2"/>
        <v>156.31550000000001</v>
      </c>
      <c r="M13" s="153" cm="1">
        <f t="array" aca="1" ref="M13" ca="1">INDIRECT(ADDRESS($A13,6,,,"scalars"))</f>
        <v>1.086946260925983</v>
      </c>
      <c r="N13" s="17">
        <f t="shared" ca="1" si="3"/>
        <v>169.840244527859</v>
      </c>
      <c r="O13" s="17">
        <f t="shared" ca="1" si="4"/>
        <v>169.90654824977551</v>
      </c>
      <c r="P13" s="385">
        <f ca="1">N14-O13</f>
        <v>0.35795175022448689</v>
      </c>
      <c r="Q13" s="387">
        <f ca="1">LN(N14/O13)</f>
        <v>2.104540549132017E-3</v>
      </c>
      <c r="R13" s="421">
        <f ca="1">N13-O14</f>
        <v>-0.4452554721410138</v>
      </c>
      <c r="S13" s="411">
        <f ca="1">LN(N13/O14)</f>
        <v>-2.6181830317307639E-3</v>
      </c>
      <c r="T13" s="71">
        <v>5.0000000000000001E-3</v>
      </c>
      <c r="U13" s="358">
        <v>2.5000000000000001E-3</v>
      </c>
      <c r="V13" s="359">
        <v>2.5000000000000001E-3</v>
      </c>
      <c r="W13" s="72">
        <v>5.0000000000000001E-3</v>
      </c>
      <c r="X13" s="27" cm="1">
        <f t="array" aca="1" ref="X13" ca="1">INDIRECT(ADDRESS($B13,9,,,"mkt data"))</f>
        <v>0</v>
      </c>
      <c r="Y13" s="53">
        <f t="shared" ca="1" si="5"/>
        <v>0</v>
      </c>
      <c r="Z13" s="27">
        <f t="shared" ca="1" si="6"/>
        <v>0</v>
      </c>
      <c r="AA13" s="399">
        <f ca="1">SUM(Z13:Z14)</f>
        <v>0</v>
      </c>
      <c r="AB13" s="291" t="str">
        <f t="shared" si="0"/>
        <v>IYJ</v>
      </c>
      <c r="AC13" s="33" cm="1">
        <f t="array" aca="1" ref="AC13" ca="1">INDIRECT(ADDRESS($B13,8,,,"mkt data"))</f>
        <v>156.36999499999999</v>
      </c>
      <c r="AD13" s="274">
        <f t="shared" ca="1" si="7"/>
        <v>156.285</v>
      </c>
      <c r="AE13" s="274">
        <f t="shared" ca="1" si="11"/>
        <v>-8.499499999999216E-2</v>
      </c>
      <c r="AF13" s="285">
        <v>0</v>
      </c>
      <c r="AG13" s="274">
        <f t="shared" ca="1" si="12"/>
        <v>-8.499499999999216E-2</v>
      </c>
      <c r="AH13" s="274">
        <f t="shared" ca="1" si="13"/>
        <v>0</v>
      </c>
      <c r="AI13" s="383">
        <f ca="1">AH13+AH14</f>
        <v>0</v>
      </c>
    </row>
    <row r="14" spans="1:36" ht="15.75" thickBot="1" x14ac:dyDescent="0.3">
      <c r="A14" s="142">
        <f>MATCH(G14,SCALARS!C:C,0)</f>
        <v>83</v>
      </c>
      <c r="B14" s="143">
        <f>MATCH(G14,'MKT DATA'!B:B,0)</f>
        <v>83</v>
      </c>
      <c r="C14" s="142" t="str" cm="1">
        <f t="array" aca="1" ref="C14" ca="1">INDIRECT(ADDRESS($A14,2,,,"scalars"))</f>
        <v>industrials</v>
      </c>
      <c r="D14" s="218" cm="1">
        <f t="array" aca="1" ref="D14" ca="1">INDIRECT(ADDRESS($A14,8,,,"SCALARS"))</f>
        <v>6800200</v>
      </c>
      <c r="E14" s="220"/>
      <c r="F14" s="20" t="str" cm="1">
        <f t="array" aca="1" ref="F14" ca="1">INDIRECT(ADDRESS($A14,5,,,"scalars"))</f>
        <v>XLI</v>
      </c>
      <c r="G14" s="156" t="s">
        <v>105</v>
      </c>
      <c r="H14" s="37" cm="1">
        <f t="array" aca="1" ref="H14" ca="1">INDIRECT(ADDRESS($B14,5,,,"mkt data"))</f>
        <v>170.27</v>
      </c>
      <c r="I14" s="38" cm="1">
        <f t="array" aca="1" ref="I14" ca="1">INDIRECT(ADDRESS($B14,6,,,"mkt data"))</f>
        <v>170.28</v>
      </c>
      <c r="J14" s="249" cm="1">
        <f t="array" aca="1" ref="J14" ca="1">INDIRECT(ADDRESS($A14,7,,,"SCALARS"))</f>
        <v>0</v>
      </c>
      <c r="K14" s="22">
        <f t="shared" ca="1" si="1"/>
        <v>170.2645</v>
      </c>
      <c r="L14" s="22">
        <f t="shared" ca="1" si="2"/>
        <v>170.28550000000001</v>
      </c>
      <c r="M14" s="154" cm="1">
        <f t="array" aca="1" ref="M14" ca="1">INDIRECT(ADDRESS($A14,6,,,"scalars"))</f>
        <v>1</v>
      </c>
      <c r="N14" s="23">
        <f t="shared" ca="1" si="3"/>
        <v>170.2645</v>
      </c>
      <c r="O14" s="23">
        <f t="shared" ca="1" si="4"/>
        <v>170.28550000000001</v>
      </c>
      <c r="P14" s="386"/>
      <c r="Q14" s="388"/>
      <c r="R14" s="422"/>
      <c r="S14" s="412"/>
      <c r="T14" s="73" t="b">
        <f ca="1">IF(Q13&gt;T13,TRUE,FALSE)</f>
        <v>0</v>
      </c>
      <c r="U14" s="360" t="b">
        <f ca="1">AND(IF(S13&gt;-U13,TRUE,FALSE),IF(X13&gt;0,TRUE,FALSE))</f>
        <v>0</v>
      </c>
      <c r="V14" s="361" t="b">
        <f ca="1">AND(IF(Q13&gt;-V13,TRUE,FALSE),IF(X13&lt;0,TRUE,FALSE))</f>
        <v>0</v>
      </c>
      <c r="W14" s="74" t="b">
        <f ca="1">IF(S13&gt;W13,TRUE,FALSE)</f>
        <v>0</v>
      </c>
      <c r="X14" s="29" cm="1">
        <f t="array" aca="1" ref="X14" ca="1">INDIRECT(ADDRESS($B14,9,,,"mkt data"))</f>
        <v>0</v>
      </c>
      <c r="Y14" s="55">
        <f t="shared" ca="1" si="5"/>
        <v>0</v>
      </c>
      <c r="Z14" s="29">
        <f t="shared" ca="1" si="6"/>
        <v>0</v>
      </c>
      <c r="AA14" s="400"/>
      <c r="AB14" s="292" t="str">
        <f t="shared" si="0"/>
        <v>XLI</v>
      </c>
      <c r="AC14" s="37" cm="1">
        <f t="array" aca="1" ref="AC14" ca="1">INDIRECT(ADDRESS($B14,8,,,"mkt data"))</f>
        <v>170.270004</v>
      </c>
      <c r="AD14" s="276">
        <f t="shared" ca="1" si="7"/>
        <v>170.27500000000001</v>
      </c>
      <c r="AE14" s="276">
        <f t="shared" ca="1" si="11"/>
        <v>4.9960000000055516E-3</v>
      </c>
      <c r="AF14" s="287">
        <v>0</v>
      </c>
      <c r="AG14" s="276">
        <f t="shared" ca="1" si="12"/>
        <v>4.9960000000055516E-3</v>
      </c>
      <c r="AH14" s="276">
        <f t="shared" ca="1" si="13"/>
        <v>0</v>
      </c>
      <c r="AI14" s="384"/>
    </row>
    <row r="15" spans="1:36" x14ac:dyDescent="0.25">
      <c r="A15" s="159">
        <f>MATCH(G15,SCALARS!C:C,0)</f>
        <v>85</v>
      </c>
      <c r="B15" s="160">
        <f>MATCH(G15,'MKT DATA'!B:B,0)</f>
        <v>87</v>
      </c>
      <c r="C15" s="159" t="str" cm="1">
        <f t="array" aca="1" ref="C15" ca="1">INDIRECT(ADDRESS($A15,2,,,"scalars"))</f>
        <v>real estate</v>
      </c>
      <c r="D15" s="187" cm="1">
        <f t="array" aca="1" ref="D15" ca="1">INDIRECT(ADDRESS($A15,8,,,"SCALARS"))</f>
        <v>5150900</v>
      </c>
      <c r="E15" s="188"/>
      <c r="F15" s="161" t="str" cm="1">
        <f t="array" aca="1" ref="F15" ca="1">INDIRECT(ADDRESS($A15,5,,,"scalars"))</f>
        <v>IYR</v>
      </c>
      <c r="G15" s="181" t="s">
        <v>109</v>
      </c>
      <c r="H15" s="164" cm="1">
        <f t="array" aca="1" ref="H15" ca="1">INDIRECT(ADDRESS($B15,5,,,"mkt data"))</f>
        <v>41.89</v>
      </c>
      <c r="I15" s="165" cm="1">
        <f t="array" aca="1" ref="I15" ca="1">INDIRECT(ADDRESS($B15,6,,,"mkt data"))</f>
        <v>41.9</v>
      </c>
      <c r="J15" s="258" cm="1">
        <f t="array" aca="1" ref="J15" ca="1">INDIRECT(ADDRESS($A15,7,,,"SCALARS"))</f>
        <v>0</v>
      </c>
      <c r="K15" s="166">
        <f t="shared" ca="1" si="1"/>
        <v>41.884500000000003</v>
      </c>
      <c r="L15" s="166">
        <f t="shared" ca="1" si="2"/>
        <v>41.905499999999996</v>
      </c>
      <c r="M15" s="182" cm="1">
        <f t="array" aca="1" ref="M15" ca="1">INDIRECT(ADDRESS($A15,6,,,"scalars"))</f>
        <v>2.3238931731837456</v>
      </c>
      <c r="N15" s="167">
        <f t="shared" ca="1" si="3"/>
        <v>97.335103612214596</v>
      </c>
      <c r="O15" s="193">
        <f t="shared" ca="1" si="4"/>
        <v>97.383905368851444</v>
      </c>
      <c r="P15" s="395">
        <f ca="1">N16-O15</f>
        <v>-4.9405368851438425E-2</v>
      </c>
      <c r="Q15" s="397">
        <f ca="1">LN(N16/O15)</f>
        <v>-5.0745454512165209E-4</v>
      </c>
      <c r="R15" s="391">
        <f ca="1">N15-O16</f>
        <v>-2.0396387785396541E-2</v>
      </c>
      <c r="S15" s="393">
        <f ca="1">LN(N15/O16)</f>
        <v>-2.0952616594316196E-4</v>
      </c>
      <c r="T15" s="168"/>
      <c r="U15" s="364"/>
      <c r="V15" s="365"/>
      <c r="W15" s="169"/>
      <c r="X15" s="162" cm="1">
        <f t="array" aca="1" ref="X15" ca="1">INDIRECT(ADDRESS($B15,9,,,"mkt data"))</f>
        <v>0</v>
      </c>
      <c r="Y15" s="163">
        <f t="shared" ca="1" si="5"/>
        <v>0</v>
      </c>
      <c r="Z15" s="162">
        <f t="shared" ca="1" si="6"/>
        <v>0</v>
      </c>
      <c r="AA15" s="389">
        <f ca="1">SUM(Z15:Z16)</f>
        <v>0</v>
      </c>
      <c r="AB15" s="295" t="str">
        <f t="shared" si="0"/>
        <v>XLRE</v>
      </c>
      <c r="AC15" s="271" cm="1">
        <f t="array" aca="1" ref="AC15" ca="1">INDIRECT(ADDRESS($B15,8,,,"mkt data"))</f>
        <v>42.5</v>
      </c>
      <c r="AD15" s="281">
        <f t="shared" ca="1" si="7"/>
        <v>41.894999999999996</v>
      </c>
      <c r="AE15" s="281">
        <f t="shared" ca="1" si="11"/>
        <v>-0.60500000000000398</v>
      </c>
      <c r="AF15" s="286">
        <v>0</v>
      </c>
      <c r="AG15" s="281">
        <f t="shared" ca="1" si="12"/>
        <v>-0.60500000000000398</v>
      </c>
      <c r="AH15" s="279">
        <f t="shared" ca="1" si="13"/>
        <v>0</v>
      </c>
      <c r="AI15" s="381">
        <f ca="1">AH15+AH16</f>
        <v>0</v>
      </c>
    </row>
    <row r="16" spans="1:36" ht="15.75" thickBot="1" x14ac:dyDescent="0.3">
      <c r="A16" s="170">
        <f>MATCH(G16,SCALARS!C:C,0)</f>
        <v>84</v>
      </c>
      <c r="B16" s="171">
        <f>MATCH(G16,'MKT DATA'!B:B,0)</f>
        <v>85</v>
      </c>
      <c r="C16" s="170" t="str" cm="1">
        <f t="array" aca="1" ref="C16" ca="1">INDIRECT(ADDRESS($A16,2,,,"scalars"))</f>
        <v>real estate</v>
      </c>
      <c r="D16" s="194" cm="1">
        <f t="array" aca="1" ref="D16" ca="1">INDIRECT(ADDRESS($A16,8,,,"SCALARS"))</f>
        <v>5240900</v>
      </c>
      <c r="E16" s="195"/>
      <c r="F16" s="172" t="str" cm="1">
        <f t="array" aca="1" ref="F16" ca="1">INDIRECT(ADDRESS($A16,5,,,"scalars"))</f>
        <v>IYR</v>
      </c>
      <c r="G16" s="183" t="s">
        <v>107</v>
      </c>
      <c r="H16" s="175" cm="1">
        <f t="array" aca="1" ref="H16" ca="1">INDIRECT(ADDRESS($B16,5,,,"mkt data"))</f>
        <v>97.34</v>
      </c>
      <c r="I16" s="176" cm="1">
        <f t="array" aca="1" ref="I16" ca="1">INDIRECT(ADDRESS($B16,6,,,"mkt data"))</f>
        <v>97.35</v>
      </c>
      <c r="J16" s="259" cm="1">
        <f t="array" aca="1" ref="J16" ca="1">INDIRECT(ADDRESS($A16,7,,,"SCALARS"))</f>
        <v>0</v>
      </c>
      <c r="K16" s="177">
        <f t="shared" ca="1" si="1"/>
        <v>97.334500000000006</v>
      </c>
      <c r="L16" s="177">
        <f t="shared" ca="1" si="2"/>
        <v>97.355499999999992</v>
      </c>
      <c r="M16" s="184" cm="1">
        <f t="array" aca="1" ref="M16" ca="1">INDIRECT(ADDRESS($A16,6,,,"scalars"))</f>
        <v>1</v>
      </c>
      <c r="N16" s="178">
        <f t="shared" ca="1" si="3"/>
        <v>97.334500000000006</v>
      </c>
      <c r="O16" s="200">
        <f t="shared" ca="1" si="4"/>
        <v>97.355499999999992</v>
      </c>
      <c r="P16" s="396"/>
      <c r="Q16" s="398"/>
      <c r="R16" s="392"/>
      <c r="S16" s="394"/>
      <c r="T16" s="179"/>
      <c r="U16" s="366"/>
      <c r="V16" s="367"/>
      <c r="W16" s="180"/>
      <c r="X16" s="173" cm="1">
        <f t="array" aca="1" ref="X16" ca="1">INDIRECT(ADDRESS($B16,9,,,"mkt data"))</f>
        <v>0</v>
      </c>
      <c r="Y16" s="174">
        <f t="shared" ca="1" si="5"/>
        <v>0</v>
      </c>
      <c r="Z16" s="173">
        <f t="shared" ca="1" si="6"/>
        <v>0</v>
      </c>
      <c r="AA16" s="390"/>
      <c r="AB16" s="296" t="str">
        <f t="shared" si="0"/>
        <v>IYR</v>
      </c>
      <c r="AC16" s="271" cm="1">
        <f t="array" aca="1" ref="AC16" ca="1">INDIRECT(ADDRESS($B16,8,,,"mkt data"))</f>
        <v>98.68</v>
      </c>
      <c r="AD16" s="281">
        <f t="shared" ca="1" si="7"/>
        <v>97.344999999999999</v>
      </c>
      <c r="AE16" s="281">
        <f t="shared" ca="1" si="11"/>
        <v>-1.335000000000008</v>
      </c>
      <c r="AF16" s="286">
        <v>0</v>
      </c>
      <c r="AG16" s="281">
        <f t="shared" ca="1" si="12"/>
        <v>-1.335000000000008</v>
      </c>
      <c r="AH16" s="279">
        <f t="shared" ca="1" si="13"/>
        <v>0</v>
      </c>
      <c r="AI16" s="382"/>
    </row>
    <row r="17" spans="1:38" x14ac:dyDescent="0.25">
      <c r="A17" s="140">
        <f>MATCH(G17,SCALARS!C:C,0)</f>
        <v>90</v>
      </c>
      <c r="B17" s="141">
        <f>MATCH(G17,'MKT DATA'!B:B,0)</f>
        <v>89</v>
      </c>
      <c r="C17" s="140" t="str" cm="1">
        <f t="array" aca="1" ref="C17" ca="1">INDIRECT(ADDRESS($A17,2,,,"scalars"))</f>
        <v>staples</v>
      </c>
      <c r="D17" s="217" cm="1">
        <f t="array" aca="1" ref="D17" ca="1">INDIRECT(ADDRESS($A17,8,,,"SCALARS"))</f>
        <v>180800</v>
      </c>
      <c r="E17" s="219"/>
      <c r="F17" s="14" t="str" cm="1">
        <f t="array" aca="1" ref="F17" ca="1">INDIRECT(ADDRESS($A17,5,,,"scalars"))</f>
        <v>XLP</v>
      </c>
      <c r="G17" s="155" t="s">
        <v>129</v>
      </c>
      <c r="H17" s="33" cm="1">
        <f t="array" aca="1" ref="H17" ca="1">INDIRECT(ADDRESS($B17,5,,,"mkt data"))</f>
        <v>72.06</v>
      </c>
      <c r="I17" s="34" cm="1">
        <f t="array" aca="1" ref="I17" ca="1">INDIRECT(ADDRESS($B17,6,,,"mkt data"))</f>
        <v>72.069999999999993</v>
      </c>
      <c r="J17" s="248" cm="1">
        <f t="array" aca="1" ref="J17" ca="1">INDIRECT(ADDRESS($A17,7,,,"SCALARS"))</f>
        <v>0</v>
      </c>
      <c r="K17" s="16">
        <f t="shared" ca="1" si="1"/>
        <v>72.054500000000004</v>
      </c>
      <c r="L17" s="16">
        <f t="shared" ca="1" si="2"/>
        <v>72.075499999999991</v>
      </c>
      <c r="M17" s="153" cm="1">
        <f t="array" aca="1" ref="M17" ca="1">INDIRECT(ADDRESS($A17,6,,,"scalars"))</f>
        <v>1.135506158949811</v>
      </c>
      <c r="N17" s="17">
        <f t="shared" ca="1" si="3"/>
        <v>81.818328530049158</v>
      </c>
      <c r="O17" s="17">
        <f t="shared" ca="1" si="4"/>
        <v>81.842174159387099</v>
      </c>
      <c r="P17" s="385">
        <f ca="1">N18-O17</f>
        <v>0.47232584061289629</v>
      </c>
      <c r="Q17" s="387">
        <f ca="1">LN(N18/O17)</f>
        <v>5.7545895890646955E-3</v>
      </c>
      <c r="R17" s="421">
        <f ca="1">N17-O18</f>
        <v>-0.51717146995083851</v>
      </c>
      <c r="S17" s="411">
        <f ca="1">LN(N17/O18)</f>
        <v>-6.3010797337090113E-3</v>
      </c>
      <c r="T17" s="71">
        <v>5.0000000000000001E-3</v>
      </c>
      <c r="U17" s="358">
        <v>2.5000000000000001E-3</v>
      </c>
      <c r="V17" s="359">
        <v>4.0000000000000001E-3</v>
      </c>
      <c r="W17" s="72">
        <v>7.4999999999999997E-3</v>
      </c>
      <c r="X17" s="27" cm="1">
        <f t="array" aca="1" ref="X17" ca="1">INDIRECT(ADDRESS($B17,9,,,"mkt data"))</f>
        <v>0</v>
      </c>
      <c r="Y17" s="53">
        <f t="shared" ca="1" si="5"/>
        <v>0</v>
      </c>
      <c r="Z17" s="27">
        <f t="shared" ca="1" si="6"/>
        <v>0</v>
      </c>
      <c r="AA17" s="399">
        <f ca="1">SUM(Z17:Z18)</f>
        <v>0</v>
      </c>
      <c r="AB17" s="291" t="str">
        <f t="shared" si="0"/>
        <v>IYK</v>
      </c>
      <c r="AC17" s="33" cm="1">
        <f t="array" aca="1" ref="AC17" ca="1">INDIRECT(ADDRESS($B17,8,,,"mkt data"))</f>
        <v>72.459998999999996</v>
      </c>
      <c r="AD17" s="274">
        <f t="shared" ca="1" si="7"/>
        <v>72.064999999999998</v>
      </c>
      <c r="AE17" s="274">
        <f t="shared" ca="1" si="11"/>
        <v>-0.39499899999999855</v>
      </c>
      <c r="AF17" s="285">
        <v>0</v>
      </c>
      <c r="AG17" s="274">
        <f t="shared" ca="1" si="12"/>
        <v>-0.39499899999999855</v>
      </c>
      <c r="AH17" s="274">
        <f t="shared" ca="1" si="13"/>
        <v>0</v>
      </c>
      <c r="AI17" s="383">
        <f ca="1">AH17+AH18</f>
        <v>0</v>
      </c>
    </row>
    <row r="18" spans="1:38" ht="15.75" thickBot="1" x14ac:dyDescent="0.3">
      <c r="A18" s="142">
        <f>MATCH(G18,SCALARS!C:C,0)</f>
        <v>91</v>
      </c>
      <c r="B18" s="143">
        <f>MATCH(G18,'MKT DATA'!B:B,0)</f>
        <v>91</v>
      </c>
      <c r="C18" s="142" t="str" cm="1">
        <f t="array" aca="1" ref="C18" ca="1">INDIRECT(ADDRESS($A18,2,,,"scalars"))</f>
        <v>staples</v>
      </c>
      <c r="D18" s="218" cm="1">
        <f t="array" aca="1" ref="D18" ca="1">INDIRECT(ADDRESS($A18,8,,,"SCALARS"))</f>
        <v>10427300</v>
      </c>
      <c r="E18" s="220"/>
      <c r="F18" s="20" t="str" cm="1">
        <f t="array" aca="1" ref="F18" ca="1">INDIRECT(ADDRESS($A18,5,,,"scalars"))</f>
        <v>XLP</v>
      </c>
      <c r="G18" s="156" t="s">
        <v>92</v>
      </c>
      <c r="H18" s="37" cm="1">
        <f t="array" aca="1" ref="H18" ca="1">INDIRECT(ADDRESS($B18,5,,,"mkt data"))</f>
        <v>82.32</v>
      </c>
      <c r="I18" s="38" cm="1">
        <f t="array" aca="1" ref="I18" ca="1">INDIRECT(ADDRESS($B18,6,,,"mkt data"))</f>
        <v>82.33</v>
      </c>
      <c r="J18" s="249" cm="1">
        <f t="array" aca="1" ref="J18" ca="1">INDIRECT(ADDRESS($A18,7,,,"SCALARS"))</f>
        <v>0</v>
      </c>
      <c r="K18" s="22">
        <f t="shared" ca="1" si="1"/>
        <v>82.314499999999995</v>
      </c>
      <c r="L18" s="22">
        <f t="shared" ca="1" si="2"/>
        <v>82.335499999999996</v>
      </c>
      <c r="M18" s="154" cm="1">
        <f t="array" aca="1" ref="M18" ca="1">INDIRECT(ADDRESS($A18,6,,,"scalars"))</f>
        <v>1</v>
      </c>
      <c r="N18" s="23">
        <f t="shared" ca="1" si="3"/>
        <v>82.314499999999995</v>
      </c>
      <c r="O18" s="23">
        <f t="shared" ca="1" si="4"/>
        <v>82.335499999999996</v>
      </c>
      <c r="P18" s="386"/>
      <c r="Q18" s="388"/>
      <c r="R18" s="422"/>
      <c r="S18" s="412"/>
      <c r="T18" s="73" t="b">
        <f ca="1">IF(Q17&gt;T17,TRUE,FALSE)</f>
        <v>1</v>
      </c>
      <c r="U18" s="360" t="b">
        <f ca="1">AND(IF(S17&gt;-U17,TRUE,FALSE),IF(X17&gt;0,TRUE,FALSE))</f>
        <v>0</v>
      </c>
      <c r="V18" s="361" t="b">
        <f ca="1">AND(IF(Q17&gt;-V17,TRUE,FALSE),IF(X17&lt;0,TRUE,FALSE))</f>
        <v>0</v>
      </c>
      <c r="W18" s="74" t="b">
        <f ca="1">IF(S17&gt;W17,TRUE,FALSE)</f>
        <v>0</v>
      </c>
      <c r="X18" s="29" cm="1">
        <f t="array" aca="1" ref="X18" ca="1">INDIRECT(ADDRESS($B18,9,,,"mkt data"))</f>
        <v>0</v>
      </c>
      <c r="Y18" s="55">
        <f t="shared" ca="1" si="5"/>
        <v>0</v>
      </c>
      <c r="Z18" s="29">
        <f t="shared" ca="1" si="6"/>
        <v>0</v>
      </c>
      <c r="AA18" s="400"/>
      <c r="AB18" s="292" t="str">
        <f t="shared" si="0"/>
        <v>XLP</v>
      </c>
      <c r="AC18" s="37" cm="1">
        <f t="array" aca="1" ref="AC18" ca="1">INDIRECT(ADDRESS($B18,8,,,"mkt data"))</f>
        <v>82.730002999999996</v>
      </c>
      <c r="AD18" s="276">
        <f t="shared" ca="1" si="7"/>
        <v>82.324999999999989</v>
      </c>
      <c r="AE18" s="276">
        <f t="shared" ca="1" si="11"/>
        <v>-0.40500300000000777</v>
      </c>
      <c r="AF18" s="287">
        <v>0</v>
      </c>
      <c r="AG18" s="276">
        <f t="shared" ca="1" si="12"/>
        <v>-0.40500300000000777</v>
      </c>
      <c r="AH18" s="276">
        <f t="shared" ca="1" si="13"/>
        <v>0</v>
      </c>
      <c r="AI18" s="384"/>
    </row>
    <row r="19" spans="1:38" x14ac:dyDescent="0.25">
      <c r="A19" s="140">
        <f>MATCH(G19,SCALARS!C:C,0)</f>
        <v>95</v>
      </c>
      <c r="B19" s="141">
        <f>MATCH(G19,'MKT DATA'!B:B,0)</f>
        <v>95</v>
      </c>
      <c r="C19" s="140" t="str" cm="1">
        <f t="array" aca="1" ref="C19" ca="1">INDIRECT(ADDRESS($A19,2,,,"scalars"))</f>
        <v>technology</v>
      </c>
      <c r="D19" s="217" cm="1">
        <f t="array" aca="1" ref="D19" ca="1">INDIRECT(ADDRESS($A19,8,,,"SCALARS"))</f>
        <v>8082800</v>
      </c>
      <c r="E19" s="219"/>
      <c r="F19" s="14" t="str" cm="1">
        <f t="array" aca="1" ref="F19" ca="1">INDIRECT(ADDRESS($A19,5,,,"scalars"))</f>
        <v>IYW</v>
      </c>
      <c r="G19" s="15" t="s">
        <v>113</v>
      </c>
      <c r="H19" s="33" cm="1">
        <f t="array" aca="1" ref="H19" ca="1">INDIRECT(ADDRESS($B19,5,,,"mkt data"))</f>
        <v>195.12</v>
      </c>
      <c r="I19" s="34" cm="1">
        <f t="array" aca="1" ref="I19" ca="1">INDIRECT(ADDRESS($B19,6,,,"mkt data"))</f>
        <v>195.14</v>
      </c>
      <c r="J19" s="248" cm="1">
        <f t="array" aca="1" ref="J19" ca="1">INDIRECT(ADDRESS($A19,7,,,"SCALARS"))</f>
        <v>0</v>
      </c>
      <c r="K19" s="16">
        <f t="shared" ca="1" si="1"/>
        <v>195.11449999999999</v>
      </c>
      <c r="L19" s="16">
        <f t="shared" ca="1" si="2"/>
        <v>195.1455</v>
      </c>
      <c r="M19" s="134" cm="1">
        <f t="array" aca="1" ref="M19" ca="1">INDIRECT(ADDRESS($A19,6,,,"scalars"))</f>
        <v>1.3533217556995059</v>
      </c>
      <c r="N19" s="17">
        <f t="shared" ca="1" si="3"/>
        <v>264.0526977024312</v>
      </c>
      <c r="O19" s="17">
        <f t="shared" ca="1" si="4"/>
        <v>264.0946506768579</v>
      </c>
      <c r="P19" s="385">
        <f ca="1">N20-O19</f>
        <v>0.22984932314210482</v>
      </c>
      <c r="Q19" s="387">
        <f ca="1">LN(N20/O19)</f>
        <v>8.6995082348476408E-4</v>
      </c>
      <c r="R19" s="431">
        <f ca="1">N19-O20</f>
        <v>-0.32280229756878498</v>
      </c>
      <c r="S19" s="411">
        <f ca="1">LN(N19/O20)</f>
        <v>-1.2217453161099002E-3</v>
      </c>
      <c r="T19" s="71">
        <v>4.0000000000000001E-3</v>
      </c>
      <c r="U19" s="358">
        <v>2E-3</v>
      </c>
      <c r="V19" s="359">
        <v>1E-3</v>
      </c>
      <c r="W19" s="72">
        <v>3.0000000000000001E-3</v>
      </c>
      <c r="X19" s="27" cm="1">
        <f t="array" aca="1" ref="X19" ca="1">INDIRECT(ADDRESS($B19,9,,,"mkt data"))</f>
        <v>2705</v>
      </c>
      <c r="Y19" s="53">
        <f t="shared" ca="1" si="5"/>
        <v>527826.65</v>
      </c>
      <c r="Z19" s="27">
        <f t="shared" ca="1" si="6"/>
        <v>1998.7855723207804</v>
      </c>
      <c r="AA19" s="403">
        <f ca="1">SUM(Z19:Z20)</f>
        <v>-1.2144276792196251</v>
      </c>
      <c r="AB19" s="282" t="str">
        <f t="shared" si="0"/>
        <v>XLK</v>
      </c>
      <c r="AC19" s="35" cm="1">
        <f t="array" aca="1" ref="AC19" ca="1">INDIRECT(ADDRESS($B19,8,,,"mkt data"))</f>
        <v>196.270004</v>
      </c>
      <c r="AD19" s="275">
        <f t="shared" ca="1" si="7"/>
        <v>195.13</v>
      </c>
      <c r="AE19" s="275">
        <f t="shared" ca="1" si="11"/>
        <v>-1.1400040000000047</v>
      </c>
      <c r="AF19" s="286">
        <v>0</v>
      </c>
      <c r="AG19" s="275">
        <f t="shared" ca="1" si="12"/>
        <v>-1.1400040000000047</v>
      </c>
      <c r="AH19" s="275">
        <f t="shared" ca="1" si="13"/>
        <v>-3083.7108200000125</v>
      </c>
      <c r="AI19" s="383">
        <f ca="1">AH19+AH20</f>
        <v>196.26917999989701</v>
      </c>
      <c r="AK19" s="378"/>
      <c r="AL19" s="378"/>
    </row>
    <row r="20" spans="1:38" ht="15.75" thickBot="1" x14ac:dyDescent="0.3">
      <c r="A20" s="142">
        <f>MATCH(G20,SCALARS!C:C,0)</f>
        <v>94</v>
      </c>
      <c r="B20" s="143">
        <f>MATCH(G20,'MKT DATA'!B:B,0)</f>
        <v>93</v>
      </c>
      <c r="C20" s="142" t="str" cm="1">
        <f t="array" aca="1" ref="C20" ca="1">INDIRECT(ADDRESS($A20,2,,,"scalars"))</f>
        <v>technology</v>
      </c>
      <c r="D20" s="218" cm="1">
        <f t="array" aca="1" ref="D20" ca="1">INDIRECT(ADDRESS($A20,8,,,"SCALARS"))</f>
        <v>548300</v>
      </c>
      <c r="E20" s="220"/>
      <c r="F20" s="20" t="str" cm="1">
        <f t="array" aca="1" ref="F20" ca="1">INDIRECT(ADDRESS($A20,5,,,"scalars"))</f>
        <v>IYW</v>
      </c>
      <c r="G20" s="21" t="s">
        <v>111</v>
      </c>
      <c r="H20" s="37" cm="1">
        <f t="array" aca="1" ref="H20" ca="1">INDIRECT(ADDRESS($B20,5,,,"mkt data"))</f>
        <v>264.33</v>
      </c>
      <c r="I20" s="38" cm="1">
        <f t="array" aca="1" ref="I20" ca="1">INDIRECT(ADDRESS($B20,6,,,"mkt data"))</f>
        <v>264.37</v>
      </c>
      <c r="J20" s="249" cm="1">
        <f t="array" aca="1" ref="J20" ca="1">INDIRECT(ADDRESS($A20,7,,,"SCALARS"))</f>
        <v>0</v>
      </c>
      <c r="K20" s="22">
        <f t="shared" ca="1" si="1"/>
        <v>264.3245</v>
      </c>
      <c r="L20" s="22">
        <f t="shared" ca="1" si="2"/>
        <v>264.37549999999999</v>
      </c>
      <c r="M20" s="133" cm="1">
        <f t="array" aca="1" ref="M20" ca="1">INDIRECT(ADDRESS($A20,6,,,"scalars"))</f>
        <v>1</v>
      </c>
      <c r="N20" s="23">
        <f t="shared" ca="1" si="3"/>
        <v>264.3245</v>
      </c>
      <c r="O20" s="23">
        <f t="shared" ca="1" si="4"/>
        <v>264.37549999999999</v>
      </c>
      <c r="P20" s="386"/>
      <c r="Q20" s="388"/>
      <c r="R20" s="432"/>
      <c r="S20" s="412"/>
      <c r="T20" s="73" t="b">
        <f ca="1">IF(Q19&gt;T19,TRUE,FALSE)</f>
        <v>0</v>
      </c>
      <c r="U20" s="360" t="b">
        <f ca="1">AND(IF(S19&gt;-U19,TRUE,FALSE),IF(X19&gt;0,TRUE,FALSE))</f>
        <v>1</v>
      </c>
      <c r="V20" s="361" t="b">
        <f ca="1">AND(IF(Q19&gt;-V19,TRUE,FALSE),IF(X19&lt;0,TRUE,FALSE))</f>
        <v>0</v>
      </c>
      <c r="W20" s="74" t="b">
        <f ca="1">IF(S19&gt;W19,TRUE,FALSE)</f>
        <v>0</v>
      </c>
      <c r="X20" s="29" cm="1">
        <f t="array" aca="1" ref="X20" ca="1">INDIRECT(ADDRESS($B20,9,,,"mkt data"))</f>
        <v>-2000</v>
      </c>
      <c r="Y20" s="55">
        <f t="shared" ca="1" si="5"/>
        <v>-528700</v>
      </c>
      <c r="Z20" s="29">
        <f t="shared" ca="1" si="6"/>
        <v>-2000</v>
      </c>
      <c r="AA20" s="404"/>
      <c r="AB20" s="290" t="str">
        <f t="shared" si="0"/>
        <v>IYW</v>
      </c>
      <c r="AC20" s="35" cm="1">
        <f t="array" aca="1" ref="AC20" ca="1">INDIRECT(ADDRESS($B20,8,,,"mkt data"))</f>
        <v>265.98998999999998</v>
      </c>
      <c r="AD20" s="275">
        <f t="shared" ca="1" si="7"/>
        <v>264.35000000000002</v>
      </c>
      <c r="AE20" s="275">
        <f t="shared" ca="1" si="11"/>
        <v>-1.6399899999999548</v>
      </c>
      <c r="AF20" s="286">
        <v>0</v>
      </c>
      <c r="AG20" s="275">
        <f t="shared" ca="1" si="12"/>
        <v>-1.6399899999999548</v>
      </c>
      <c r="AH20" s="275">
        <f t="shared" ca="1" si="13"/>
        <v>3279.9799999999095</v>
      </c>
      <c r="AI20" s="384"/>
    </row>
    <row r="21" spans="1:38" x14ac:dyDescent="0.25">
      <c r="A21" s="140">
        <f>MATCH(G21,SCALARS!C:C,0)</f>
        <v>97</v>
      </c>
      <c r="B21" s="141">
        <f>MATCH(G21,'MKT DATA'!B:B,0)</f>
        <v>99</v>
      </c>
      <c r="C21" s="140" t="str" cm="1">
        <f t="array" aca="1" ref="C21" ca="1">INDIRECT(ADDRESS($A21,2,,,"scalars"))</f>
        <v>utilities</v>
      </c>
      <c r="D21" s="217" cm="1">
        <f t="array" aca="1" ref="D21" ca="1">INDIRECT(ADDRESS($A21,8,,,"SCALARS"))</f>
        <v>19982000</v>
      </c>
      <c r="E21" s="219"/>
      <c r="F21" s="14" t="str" cm="1">
        <f t="array" aca="1" ref="F21" ca="1">INDIRECT(ADDRESS($A21,5,,,"scalars"))</f>
        <v>IDU</v>
      </c>
      <c r="G21" s="15" t="s">
        <v>117</v>
      </c>
      <c r="H21" s="33" cm="1">
        <f t="array" aca="1" ref="H21" ca="1">INDIRECT(ADDRESS($B21,5,,,"mkt data"))</f>
        <v>39.76</v>
      </c>
      <c r="I21" s="34" cm="1">
        <f t="array" aca="1" ref="I21" ca="1">INDIRECT(ADDRESS($B21,6,,,"mkt data"))</f>
        <v>39.770000000000003</v>
      </c>
      <c r="J21" s="248" cm="1">
        <f t="array" aca="1" ref="J21" ca="1">INDIRECT(ADDRESS($A21,7,,,"SCALARS"))</f>
        <v>0</v>
      </c>
      <c r="K21" s="16">
        <f t="shared" ca="1" si="1"/>
        <v>39.7545</v>
      </c>
      <c r="L21" s="16">
        <f t="shared" ca="1" si="2"/>
        <v>39.775500000000001</v>
      </c>
      <c r="M21" s="134" cm="1">
        <f t="array" aca="1" ref="M21" ca="1">INDIRECT(ADDRESS($A21,6,,,"scalars"))</f>
        <v>2.546399854098417</v>
      </c>
      <c r="N21" s="17">
        <f t="shared" ca="1" si="3"/>
        <v>101.23085299975551</v>
      </c>
      <c r="O21" s="17">
        <f t="shared" ca="1" si="4"/>
        <v>101.28432739669158</v>
      </c>
      <c r="P21" s="385">
        <f ca="1">N22-O21</f>
        <v>0.44017260330842589</v>
      </c>
      <c r="Q21" s="387">
        <f ca="1">LN(N22/O21)</f>
        <v>4.3364941194589217E-3</v>
      </c>
      <c r="R21" s="431">
        <f ca="1">N21-O22</f>
        <v>-0.52464700024448518</v>
      </c>
      <c r="S21" s="411">
        <f ca="1">LN(N21/O22)</f>
        <v>-5.1692949873236409E-3</v>
      </c>
      <c r="T21" s="71">
        <v>1.5E-3</v>
      </c>
      <c r="U21" s="358">
        <v>5.0000000000000001E-4</v>
      </c>
      <c r="V21" s="359">
        <v>0</v>
      </c>
      <c r="W21" s="72">
        <v>1E-3</v>
      </c>
      <c r="X21" s="27" cm="1">
        <f t="array" aca="1" ref="X21" ca="1">INDIRECT(ADDRESS($B21,9,,,"mkt data"))</f>
        <v>2850</v>
      </c>
      <c r="Y21" s="53">
        <f t="shared" ca="1" si="5"/>
        <v>113330.25</v>
      </c>
      <c r="Z21" s="27">
        <f t="shared" ca="1" si="6"/>
        <v>1119.2272083321636</v>
      </c>
      <c r="AA21" s="403">
        <f ca="1">SUM(Z21:Z22)</f>
        <v>-5.7727916678363727</v>
      </c>
      <c r="AB21" s="282" t="str">
        <f t="shared" si="0"/>
        <v>XLU</v>
      </c>
      <c r="AC21" s="33" cm="1">
        <f t="array" aca="1" ref="AC21" ca="1">INDIRECT(ADDRESS($B21,8,,,"mkt data"))</f>
        <v>40.529998999999997</v>
      </c>
      <c r="AD21" s="274">
        <f t="shared" ca="1" si="7"/>
        <v>39.765000000000001</v>
      </c>
      <c r="AE21" s="274">
        <f t="shared" ca="1" si="11"/>
        <v>-0.76499899999999599</v>
      </c>
      <c r="AF21" s="285">
        <v>0</v>
      </c>
      <c r="AG21" s="274">
        <f t="shared" ca="1" si="12"/>
        <v>-0.76499899999999599</v>
      </c>
      <c r="AH21" s="274">
        <f t="shared" ca="1" si="13"/>
        <v>-2180.2471499999888</v>
      </c>
      <c r="AI21" s="383">
        <f ca="1">AH21+AH22</f>
        <v>-267.74489999999128</v>
      </c>
    </row>
    <row r="22" spans="1:38" ht="15.75" thickBot="1" x14ac:dyDescent="0.3">
      <c r="A22" s="142">
        <f>MATCH(G22,SCALARS!C:C,0)</f>
        <v>96</v>
      </c>
      <c r="B22" s="143">
        <f>MATCH(G22,'MKT DATA'!B:B,0)</f>
        <v>97</v>
      </c>
      <c r="C22" s="142" t="str" cm="1">
        <f t="array" aca="1" ref="C22" ca="1">INDIRECT(ADDRESS($A22,2,,,"scalars"))</f>
        <v>utilities</v>
      </c>
      <c r="D22" s="218" cm="1">
        <f t="array" aca="1" ref="D22" ca="1">INDIRECT(ADDRESS($A22,8,,,"SCALARS"))</f>
        <v>141300</v>
      </c>
      <c r="E22" s="220"/>
      <c r="F22" s="20" t="str" cm="1">
        <f t="array" aca="1" ref="F22" ca="1">INDIRECT(ADDRESS($A22,5,,,"scalars"))</f>
        <v>IDU</v>
      </c>
      <c r="G22" s="21" t="s">
        <v>115</v>
      </c>
      <c r="H22" s="37" cm="1">
        <f t="array" aca="1" ref="H22" ca="1">INDIRECT(ADDRESS($B22,5,,,"mkt data"))</f>
        <v>101.73</v>
      </c>
      <c r="I22" s="38" cm="1">
        <f t="array" aca="1" ref="I22" ca="1">INDIRECT(ADDRESS($B22,6,,,"mkt data"))</f>
        <v>101.75</v>
      </c>
      <c r="J22" s="249" cm="1">
        <f t="array" aca="1" ref="J22" ca="1">INDIRECT(ADDRESS($A22,7,,,"SCALARS"))</f>
        <v>0</v>
      </c>
      <c r="K22" s="22">
        <f t="shared" ca="1" si="1"/>
        <v>101.72450000000001</v>
      </c>
      <c r="L22" s="22">
        <f t="shared" ca="1" si="2"/>
        <v>101.7555</v>
      </c>
      <c r="M22" s="133" cm="1">
        <f t="array" aca="1" ref="M22" ca="1">INDIRECT(ADDRESS($A22,6,,,"scalars"))</f>
        <v>1</v>
      </c>
      <c r="N22" s="23">
        <f t="shared" ca="1" si="3"/>
        <v>101.72450000000001</v>
      </c>
      <c r="O22" s="23">
        <f t="shared" ca="1" si="4"/>
        <v>101.7555</v>
      </c>
      <c r="P22" s="386"/>
      <c r="Q22" s="388"/>
      <c r="R22" s="432"/>
      <c r="S22" s="412"/>
      <c r="T22" s="73" t="b">
        <f ca="1">IF(Q21&gt;T21,TRUE,FALSE)</f>
        <v>1</v>
      </c>
      <c r="U22" s="360" t="b">
        <f ca="1">AND(IF(S21&gt;-U21,TRUE,FALSE),IF(X21&gt;0,TRUE,FALSE))</f>
        <v>0</v>
      </c>
      <c r="V22" s="361" t="b">
        <f ca="1">AND(IF(Q21&gt;-V21,TRUE,FALSE),IF(X21&lt;0,TRUE,FALSE))</f>
        <v>0</v>
      </c>
      <c r="W22" s="74" t="b">
        <f ca="1">IF(S21&gt;W21,TRUE,FALSE)</f>
        <v>0</v>
      </c>
      <c r="X22" s="29" cm="1">
        <f t="array" aca="1" ref="X22" ca="1">INDIRECT(ADDRESS($B22,9,,,"mkt data"))</f>
        <v>-1125</v>
      </c>
      <c r="Y22" s="55">
        <f t="shared" ca="1" si="5"/>
        <v>-114457.50000000001</v>
      </c>
      <c r="Z22" s="29">
        <f t="shared" ca="1" si="6"/>
        <v>-1125</v>
      </c>
      <c r="AA22" s="404"/>
      <c r="AB22" s="290" t="str">
        <f t="shared" si="0"/>
        <v>IDU</v>
      </c>
      <c r="AC22" s="37" cm="1">
        <f t="array" aca="1" ref="AC22" ca="1">INDIRECT(ADDRESS($B22,8,,,"mkt data"))</f>
        <v>103.44000200000001</v>
      </c>
      <c r="AD22" s="276">
        <f t="shared" ca="1" si="7"/>
        <v>101.74000000000001</v>
      </c>
      <c r="AE22" s="276">
        <f t="shared" ca="1" si="11"/>
        <v>-1.7000019999999978</v>
      </c>
      <c r="AF22" s="287">
        <v>0</v>
      </c>
      <c r="AG22" s="276">
        <f t="shared" ca="1" si="12"/>
        <v>-1.7000019999999978</v>
      </c>
      <c r="AH22" s="276">
        <f t="shared" ca="1" si="13"/>
        <v>1912.5022499999975</v>
      </c>
      <c r="AI22" s="384"/>
    </row>
    <row r="23" spans="1:38" ht="9.9499999999999993" customHeight="1" thickBot="1" x14ac:dyDescent="0.3">
      <c r="A23" s="325"/>
      <c r="B23" s="325"/>
      <c r="C23" s="325"/>
      <c r="D23" s="326"/>
      <c r="E23" s="327"/>
      <c r="F23" s="328"/>
      <c r="G23" s="329"/>
      <c r="H23" s="330"/>
      <c r="I23" s="330"/>
      <c r="J23" s="331"/>
      <c r="K23" s="332"/>
      <c r="L23" s="332"/>
      <c r="M23" s="333"/>
      <c r="N23" s="334"/>
      <c r="O23" s="334"/>
      <c r="P23" s="335"/>
      <c r="Q23" s="336"/>
      <c r="R23" s="337"/>
      <c r="S23" s="336"/>
      <c r="T23" s="338"/>
      <c r="U23" s="362"/>
      <c r="V23" s="363"/>
      <c r="W23" s="338"/>
      <c r="X23" s="339"/>
      <c r="Y23" s="340"/>
      <c r="Z23" s="339"/>
      <c r="AA23" s="341"/>
      <c r="AB23" s="342"/>
      <c r="AC23" s="330"/>
      <c r="AD23" s="330"/>
      <c r="AE23" s="330"/>
      <c r="AF23" s="330"/>
      <c r="AG23" s="343"/>
      <c r="AH23" s="343"/>
      <c r="AI23" s="344"/>
    </row>
    <row r="24" spans="1:38" x14ac:dyDescent="0.25">
      <c r="A24" s="159">
        <f>MATCH(G24,SCALARS!C:C,0)</f>
        <v>106</v>
      </c>
      <c r="B24" s="160">
        <f>MATCH(G24,'MKT DATA'!B:B,0)</f>
        <v>102</v>
      </c>
      <c r="C24" s="159" t="str" cm="1">
        <f t="array" aca="1" ref="C24" ca="1">INDIRECT(ADDRESS($A24,2,,,"scalars"))</f>
        <v>biotech</v>
      </c>
      <c r="D24" s="187" cm="1">
        <f t="array" aca="1" ref="D24" ca="1">INDIRECT(ADDRESS($A24,8,,,"SCALARS"))</f>
        <v>8539700</v>
      </c>
      <c r="E24" s="188"/>
      <c r="F24" s="161" t="str" cm="1">
        <f t="array" aca="1" ref="F24" ca="1">INDIRECT(ADDRESS($A24,5,,,"scalars"))</f>
        <v>IBB</v>
      </c>
      <c r="G24" s="181" t="s">
        <v>187</v>
      </c>
      <c r="H24" s="164" cm="1">
        <f t="array" aca="1" ref="H24" ca="1">INDIRECT(ADDRESS($B24,5,,,"mkt data"))</f>
        <v>155.36000000000001</v>
      </c>
      <c r="I24" s="165" cm="1">
        <f t="array" aca="1" ref="I24" ca="1">INDIRECT(ADDRESS($B24,6,,,"mkt data"))</f>
        <v>155.38</v>
      </c>
      <c r="J24" s="258" cm="1">
        <f t="array" aca="1" ref="J24" ca="1">INDIRECT(ADDRESS($A24,7,,,"SCALARS"))</f>
        <v>0.13809399999999999</v>
      </c>
      <c r="K24" s="166">
        <f ca="1">H24+J24-SECTORS!K$1</f>
        <v>155.492594</v>
      </c>
      <c r="L24" s="166">
        <f ca="1">I24+J24+SECTORS!K$1</f>
        <v>155.523594</v>
      </c>
      <c r="M24" s="182" cm="1">
        <f t="array" aca="1" ref="M24" ca="1">INDIRECT(ADDRESS($A24,6,,,"scalars"))</f>
        <v>1.2945247839786598</v>
      </c>
      <c r="N24" s="193">
        <f ca="1">K24*M24</f>
        <v>201.28901665813146</v>
      </c>
      <c r="O24" s="193">
        <f ca="1">M24*L24</f>
        <v>201.32914692643479</v>
      </c>
      <c r="P24" s="395">
        <f ca="1">N25-O24</f>
        <v>5.3221390735652108</v>
      </c>
      <c r="Q24" s="397">
        <f ca="1">LN(N25/O24)</f>
        <v>2.6091648382113183E-2</v>
      </c>
      <c r="R24" s="391">
        <f ca="1">N24-O25</f>
        <v>-5.4532693418685767</v>
      </c>
      <c r="S24" s="393">
        <f ca="1">LN(N24/O25)</f>
        <v>-2.6731253344743598E-2</v>
      </c>
      <c r="T24" s="168"/>
      <c r="U24" s="364"/>
      <c r="V24" s="365"/>
      <c r="W24" s="169"/>
      <c r="X24" s="162" cm="1">
        <f t="array" aca="1" ref="X24" ca="1">INDIRECT(ADDRESS($B24,9,,,"mkt data"))</f>
        <v>0</v>
      </c>
      <c r="Y24" s="163">
        <f ca="1">X24*AVERAGE(H24:I24)</f>
        <v>0</v>
      </c>
      <c r="Z24" s="162">
        <f ca="1">X24/M24</f>
        <v>0</v>
      </c>
      <c r="AA24" s="389">
        <f ca="1">SUM(Z24:Z25)</f>
        <v>0</v>
      </c>
      <c r="AB24" s="295" t="str">
        <f>G24</f>
        <v>XBI</v>
      </c>
      <c r="AC24" s="271" cm="1">
        <f t="array" aca="1" ref="AC24" ca="1">INDIRECT(ADDRESS($B24,8,,,"mkt data"))</f>
        <v>161.86999499999999</v>
      </c>
      <c r="AD24" s="281">
        <f ca="1">AVERAGE(H24,I24)</f>
        <v>155.37</v>
      </c>
      <c r="AE24" s="281">
        <f ca="1">AD24-AC24</f>
        <v>-6.4999949999999842</v>
      </c>
      <c r="AF24" s="286">
        <v>0</v>
      </c>
      <c r="AG24" s="281">
        <f ca="1">AE24+AF24</f>
        <v>-6.4999949999999842</v>
      </c>
      <c r="AH24" s="279">
        <f ca="1">AG24*X24</f>
        <v>0</v>
      </c>
      <c r="AI24" s="381">
        <f ca="1">AH24+AH25</f>
        <v>0</v>
      </c>
    </row>
    <row r="25" spans="1:38" ht="15.75" thickBot="1" x14ac:dyDescent="0.3">
      <c r="A25" s="170">
        <f>MATCH(G25,SCALARS!C:C,0)</f>
        <v>107</v>
      </c>
      <c r="B25" s="171">
        <f>MATCH(G25,'MKT DATA'!B:B,0)</f>
        <v>103</v>
      </c>
      <c r="C25" s="170" t="str" cm="1">
        <f t="array" aca="1" ref="C25" ca="1">INDIRECT(ADDRESS($A25,2,,,"scalars"))</f>
        <v>biotech</v>
      </c>
      <c r="D25" s="194" cm="1">
        <f t="array" aca="1" ref="D25" ca="1">INDIRECT(ADDRESS($A25,8,,,"SCALARS"))</f>
        <v>1597500</v>
      </c>
      <c r="E25" s="195"/>
      <c r="F25" s="172" t="str" cm="1">
        <f t="array" aca="1" ref="F25" ca="1">INDIRECT(ADDRESS($A25,5,,,"scalars"))</f>
        <v>IBB</v>
      </c>
      <c r="G25" s="183" t="s">
        <v>188</v>
      </c>
      <c r="H25" s="175" cm="1">
        <f t="array" aca="1" ref="H25" ca="1">INDIRECT(ADDRESS($B25,5,,,"mkt data"))</f>
        <v>206.5</v>
      </c>
      <c r="I25" s="176" cm="1">
        <f t="array" aca="1" ref="I25" ca="1">INDIRECT(ADDRESS($B25,6,,,"mkt data"))</f>
        <v>206.58</v>
      </c>
      <c r="J25" s="259" cm="1">
        <f t="array" aca="1" ref="J25" ca="1">INDIRECT(ADDRESS($A25,7,,,"SCALARS"))</f>
        <v>0.15678600000000001</v>
      </c>
      <c r="K25" s="177">
        <f ca="1">H25+J25-SECTORS!K$1</f>
        <v>206.651286</v>
      </c>
      <c r="L25" s="177">
        <f ca="1">I25+J25+SECTORS!K$1</f>
        <v>206.74228600000004</v>
      </c>
      <c r="M25" s="184" cm="1">
        <f t="array" aca="1" ref="M25" ca="1">INDIRECT(ADDRESS($A25,6,,,"scalars"))</f>
        <v>1</v>
      </c>
      <c r="N25" s="200">
        <f ca="1">K25*M25</f>
        <v>206.651286</v>
      </c>
      <c r="O25" s="200">
        <f ca="1">M25*L25</f>
        <v>206.74228600000004</v>
      </c>
      <c r="P25" s="396"/>
      <c r="Q25" s="398"/>
      <c r="R25" s="392"/>
      <c r="S25" s="394"/>
      <c r="T25" s="179"/>
      <c r="U25" s="366"/>
      <c r="V25" s="367"/>
      <c r="W25" s="180"/>
      <c r="X25" s="173" cm="1">
        <f t="array" aca="1" ref="X25" ca="1">INDIRECT(ADDRESS($B25,9,,,"mkt data"))</f>
        <v>0</v>
      </c>
      <c r="Y25" s="174">
        <f ca="1">X25*AVERAGE(H25:I25)</f>
        <v>0</v>
      </c>
      <c r="Z25" s="173">
        <f ca="1">X25/M25</f>
        <v>0</v>
      </c>
      <c r="AA25" s="390"/>
      <c r="AB25" s="296" t="str">
        <f>G25</f>
        <v>IBB</v>
      </c>
      <c r="AC25" s="271" cm="1">
        <f t="array" aca="1" ref="AC25" ca="1">INDIRECT(ADDRESS($B25,8,,,"mkt data"))</f>
        <v>210.80999800000001</v>
      </c>
      <c r="AD25" s="281">
        <f ca="1">AVERAGE(H25,I25)</f>
        <v>206.54000000000002</v>
      </c>
      <c r="AE25" s="281">
        <f ca="1">AD25-AC25</f>
        <v>-4.2699979999999869</v>
      </c>
      <c r="AF25" s="286">
        <v>0</v>
      </c>
      <c r="AG25" s="281">
        <f ca="1">AE25+AF25</f>
        <v>-4.2699979999999869</v>
      </c>
      <c r="AH25" s="279">
        <f ca="1">AG25*X25</f>
        <v>0</v>
      </c>
      <c r="AI25" s="382"/>
    </row>
    <row r="26" spans="1:38" x14ac:dyDescent="0.25">
      <c r="A26" s="140">
        <f>MATCH(G26,SCALARS!C:C,0)</f>
        <v>102</v>
      </c>
      <c r="B26" s="141">
        <f>MATCH(G26,'MKT DATA'!B:B,0)</f>
        <v>100</v>
      </c>
      <c r="C26" s="140" t="str" cm="1">
        <f t="array" aca="1" ref="C26" ca="1">INDIRECT(ADDRESS($A26,2,,,"scalars"))</f>
        <v>aerospace</v>
      </c>
      <c r="D26" s="217" cm="1">
        <f t="array" aca="1" ref="D26" ca="1">INDIRECT(ADDRESS($A26,8,,,"SCALARS"))</f>
        <v>688400</v>
      </c>
      <c r="E26" s="219"/>
      <c r="F26" s="14" t="str" cm="1">
        <f t="array" aca="1" ref="F26" ca="1">INDIRECT(ADDRESS($A26,5,,,"scalars"))</f>
        <v>XAR</v>
      </c>
      <c r="G26" s="155" t="s">
        <v>190</v>
      </c>
      <c r="H26" s="33" cm="1">
        <f t="array" aca="1" ref="H26" ca="1">INDIRECT(ADDRESS($B26,5,,,"mkt data"))</f>
        <v>214.07</v>
      </c>
      <c r="I26" s="34" cm="1">
        <f t="array" aca="1" ref="I26" ca="1">INDIRECT(ADDRESS($B26,6,,,"mkt data"))</f>
        <v>214.13</v>
      </c>
      <c r="J26" s="248" cm="1">
        <f t="array" aca="1" ref="J26" ca="1">INDIRECT(ADDRESS($A26,7,,,"SCALARS"))</f>
        <v>0.56542500000000007</v>
      </c>
      <c r="K26" s="16">
        <f ca="1">H26+J26-SECTORS!K$1</f>
        <v>214.62992499999999</v>
      </c>
      <c r="L26" s="16">
        <f ca="1">I26+J26+SECTORS!K$1</f>
        <v>214.70092500000001</v>
      </c>
      <c r="M26" s="153" cm="1">
        <f t="array" aca="1" ref="M26" ca="1">INDIRECT(ADDRESS($A26,6,,,"scalars"))</f>
        <v>1.1241235925472164</v>
      </c>
      <c r="N26" s="17">
        <f ca="1">K26*M26</f>
        <v>241.2705623591396</v>
      </c>
      <c r="O26" s="17">
        <f ca="1">M26*L26</f>
        <v>241.35037513421048</v>
      </c>
      <c r="P26" s="385">
        <f ca="1">N27-O26</f>
        <v>-1.3929491342104825</v>
      </c>
      <c r="Q26" s="387">
        <f ca="1">LN(N27/O26)</f>
        <v>-5.7882004819138017E-3</v>
      </c>
      <c r="R26" s="421">
        <f ca="1">N26-O27</f>
        <v>1.1421363591395846</v>
      </c>
      <c r="S26" s="411">
        <f ca="1">LN(N26/O27)</f>
        <v>4.7450806078356078E-3</v>
      </c>
      <c r="T26" s="71">
        <v>2.5000000000000001E-2</v>
      </c>
      <c r="U26" s="358">
        <v>5.0000000000000001E-3</v>
      </c>
      <c r="V26" s="359">
        <v>1.4999999999999999E-2</v>
      </c>
      <c r="W26" s="72">
        <v>3.5000000000000003E-2</v>
      </c>
      <c r="X26" s="27" cm="1">
        <f t="array" aca="1" ref="X26" ca="1">INDIRECT(ADDRESS($B26,9,,,"mkt data"))</f>
        <v>0</v>
      </c>
      <c r="Y26" s="53">
        <f ca="1">X26*AVERAGE(H26:I26)</f>
        <v>0</v>
      </c>
      <c r="Z26" s="27">
        <f ca="1">X26/M26</f>
        <v>0</v>
      </c>
      <c r="AA26" s="399">
        <f ca="1">SUM(Z26:Z27)</f>
        <v>0</v>
      </c>
      <c r="AB26" s="291" t="str">
        <f>G26</f>
        <v>ITA</v>
      </c>
      <c r="AC26" s="33" cm="1">
        <f t="array" aca="1" ref="AC26" ca="1">INDIRECT(ADDRESS($B26,8,,,"mkt data"))</f>
        <v>214</v>
      </c>
      <c r="AD26" s="274">
        <f ca="1">AVERAGE(H26,I26)</f>
        <v>214.1</v>
      </c>
      <c r="AE26" s="274">
        <f ca="1">AD26-AC26</f>
        <v>9.9999999999994316E-2</v>
      </c>
      <c r="AF26" s="285">
        <v>0</v>
      </c>
      <c r="AG26" s="274">
        <f ca="1">AE26+AF26</f>
        <v>9.9999999999994316E-2</v>
      </c>
      <c r="AH26" s="274">
        <f ca="1">AG26*X26</f>
        <v>0</v>
      </c>
      <c r="AI26" s="383">
        <f ca="1">AH26+AH27</f>
        <v>0</v>
      </c>
    </row>
    <row r="27" spans="1:38" ht="15.75" thickBot="1" x14ac:dyDescent="0.3">
      <c r="A27" s="142">
        <f>MATCH(G27,SCALARS!C:C,0)</f>
        <v>103</v>
      </c>
      <c r="B27" s="143">
        <f>MATCH(G27,'MKT DATA'!B:B,0)</f>
        <v>101</v>
      </c>
      <c r="C27" s="142" t="str" cm="1">
        <f t="array" aca="1" ref="C27" ca="1">INDIRECT(ADDRESS($A27,2,,,"scalars"))</f>
        <v>aerospace</v>
      </c>
      <c r="D27" s="218" cm="1">
        <f t="array" aca="1" ref="D27" ca="1">INDIRECT(ADDRESS($A27,8,,,"SCALARS"))</f>
        <v>589300</v>
      </c>
      <c r="E27" s="220"/>
      <c r="F27" s="20" t="str" cm="1">
        <f t="array" aca="1" ref="F27" ca="1">INDIRECT(ADDRESS($A27,5,,,"scalars"))</f>
        <v>XAR</v>
      </c>
      <c r="G27" s="156" t="s">
        <v>193</v>
      </c>
      <c r="H27" s="37" cm="1">
        <f t="array" aca="1" ref="H27" ca="1">INDIRECT(ADDRESS($B27,5,,,"mkt data"))</f>
        <v>239.66</v>
      </c>
      <c r="I27" s="38" cm="1">
        <f t="array" aca="1" ref="I27" ca="1">INDIRECT(ADDRESS($B27,6,,,"mkt data"))</f>
        <v>239.82</v>
      </c>
      <c r="J27" s="249" cm="1">
        <f t="array" aca="1" ref="J27" ca="1">INDIRECT(ADDRESS($A27,7,,,"SCALARS"))</f>
        <v>0.30292600000000003</v>
      </c>
      <c r="K27" s="22">
        <f ca="1">H27+J27-SECTORS!K$1</f>
        <v>239.957426</v>
      </c>
      <c r="L27" s="22">
        <f ca="1">I27+J27+SECTORS!K$1</f>
        <v>240.12842600000002</v>
      </c>
      <c r="M27" s="154" cm="1">
        <f t="array" aca="1" ref="M27" ca="1">INDIRECT(ADDRESS($A27,6,,,"scalars"))</f>
        <v>1</v>
      </c>
      <c r="N27" s="23">
        <f ca="1">K27*M27</f>
        <v>239.957426</v>
      </c>
      <c r="O27" s="23">
        <f ca="1">M27*L27</f>
        <v>240.12842600000002</v>
      </c>
      <c r="P27" s="386"/>
      <c r="Q27" s="388"/>
      <c r="R27" s="422"/>
      <c r="S27" s="412"/>
      <c r="T27" s="73" t="b">
        <f ca="1">IF(Q26&gt;T26,TRUE,FALSE)</f>
        <v>0</v>
      </c>
      <c r="U27" s="360" t="b">
        <f ca="1">AND(IF(S26&gt;-U26,TRUE,FALSE),IF(X26&gt;0,TRUE,FALSE))</f>
        <v>0</v>
      </c>
      <c r="V27" s="361" t="b">
        <f ca="1">AND(IF(Q26&gt;-V26,TRUE,FALSE),IF(X26&lt;0,TRUE,FALSE))</f>
        <v>0</v>
      </c>
      <c r="W27" s="74" t="b">
        <f ca="1">IF(S26&gt;W26,TRUE,FALSE)</f>
        <v>0</v>
      </c>
      <c r="X27" s="29" cm="1">
        <f t="array" aca="1" ref="X27" ca="1">INDIRECT(ADDRESS($B27,9,,,"mkt data"))</f>
        <v>0</v>
      </c>
      <c r="Y27" s="55">
        <f ca="1">X27*AVERAGE(H27:I27)</f>
        <v>0</v>
      </c>
      <c r="Z27" s="29">
        <f ca="1">X27/M27</f>
        <v>0</v>
      </c>
      <c r="AA27" s="400"/>
      <c r="AB27" s="292" t="str">
        <f>G27</f>
        <v>XAR</v>
      </c>
      <c r="AC27" s="37" cm="1">
        <f t="array" aca="1" ref="AC27" ca="1">INDIRECT(ADDRESS($B27,8,,,"mkt data"))</f>
        <v>241.509995</v>
      </c>
      <c r="AD27" s="276">
        <f ca="1">AVERAGE(H27,I27)</f>
        <v>239.74</v>
      </c>
      <c r="AE27" s="276">
        <f ca="1">AD27-AC27</f>
        <v>-1.7699949999999944</v>
      </c>
      <c r="AF27" s="287">
        <v>0</v>
      </c>
      <c r="AG27" s="276">
        <f ca="1">AE27+AF27</f>
        <v>-1.7699949999999944</v>
      </c>
      <c r="AH27" s="276">
        <f ca="1">AG27*X27</f>
        <v>0</v>
      </c>
      <c r="AI27" s="384"/>
    </row>
    <row r="28" spans="1:38" ht="9.9499999999999993" customHeight="1" thickBot="1" x14ac:dyDescent="0.3">
      <c r="A28" s="325"/>
      <c r="B28" s="325"/>
      <c r="C28" s="325"/>
      <c r="D28" s="326"/>
      <c r="E28" s="327"/>
      <c r="F28" s="328"/>
      <c r="G28" s="329"/>
      <c r="H28" s="330"/>
      <c r="I28" s="330"/>
      <c r="J28" s="331"/>
      <c r="K28" s="332"/>
      <c r="L28" s="332"/>
      <c r="M28" s="333"/>
      <c r="N28" s="334"/>
      <c r="O28" s="334"/>
      <c r="P28" s="335"/>
      <c r="Q28" s="336"/>
      <c r="R28" s="337"/>
      <c r="S28" s="336"/>
      <c r="T28" s="338"/>
      <c r="U28" s="362"/>
      <c r="V28" s="363"/>
      <c r="W28" s="338"/>
      <c r="X28" s="339"/>
      <c r="Y28" s="340"/>
      <c r="Z28" s="339"/>
      <c r="AA28" s="341"/>
      <c r="AB28" s="342"/>
      <c r="AC28" s="330"/>
      <c r="AD28" s="330"/>
      <c r="AE28" s="330"/>
      <c r="AF28" s="330"/>
      <c r="AG28" s="330"/>
      <c r="AH28" s="330"/>
      <c r="AI28" s="496"/>
    </row>
    <row r="29" spans="1:38" x14ac:dyDescent="0.25">
      <c r="A29" s="140">
        <f>MATCH(G29,SCALARS!C:C,0)</f>
        <v>101</v>
      </c>
      <c r="B29" s="141">
        <f>MATCH(G29,'MKT DATA'!B:B,0)</f>
        <v>109</v>
      </c>
      <c r="C29" s="140" t="str" cm="1">
        <f t="array" aca="1" ref="C29" ca="1">INDIRECT(ADDRESS($A29,2,,,"scalars"))</f>
        <v>semis</v>
      </c>
      <c r="D29" s="217" cm="1">
        <f t="array" aca="1" ref="D29" ca="1">INDIRECT(ADDRESS($A29,8,,,"SCALARS"))</f>
        <v>22254300</v>
      </c>
      <c r="E29" s="219"/>
      <c r="F29" s="14" t="str" cm="1">
        <f t="array" aca="1" ref="F29" ca="1">INDIRECT(ADDRESS($A29,5,,,"scalars"))</f>
        <v>SMH</v>
      </c>
      <c r="G29" s="311" t="s">
        <v>186</v>
      </c>
      <c r="H29" s="33" cm="1">
        <f t="array" aca="1" ref="H29" ca="1">INDIRECT(ADDRESS($B29,5,,,"mkt data"))</f>
        <v>564.52</v>
      </c>
      <c r="I29" s="34" cm="1">
        <f t="array" aca="1" ref="I29" ca="1">INDIRECT(ADDRESS($B29,6,,,"mkt data"))</f>
        <v>564.65</v>
      </c>
      <c r="J29" s="248" cm="1">
        <f t="array" aca="1" ref="J29" ca="1">INDIRECT(ADDRESS($A29,7,,,"SCALARS"))</f>
        <v>0</v>
      </c>
      <c r="K29" s="16">
        <f ca="1">H29+J29-CORPS!K$1</f>
        <v>564.5145</v>
      </c>
      <c r="L29" s="16">
        <f ca="1">I29+J29+CORPS!K$1</f>
        <v>564.65549999999996</v>
      </c>
      <c r="M29" s="49" cm="1">
        <f t="array" aca="1" ref="M29" ca="1">INDIRECT(ADDRESS($A29,6,,,"scalars"))</f>
        <v>1.0837595047059256</v>
      </c>
      <c r="N29" s="17">
        <f ca="1">K29*M29</f>
        <v>611.79795491931327</v>
      </c>
      <c r="O29" s="17">
        <f ca="1">M29*L29</f>
        <v>611.95076500947675</v>
      </c>
      <c r="P29" s="385">
        <f ca="1">N30-O29</f>
        <v>-11.676265009476765</v>
      </c>
      <c r="Q29" s="387">
        <f ca="1">LN(N30/O29)</f>
        <v>-1.9264779350255185E-2</v>
      </c>
      <c r="R29" s="401">
        <f ca="1">N29-O30</f>
        <v>11.372454919313327</v>
      </c>
      <c r="S29" s="411">
        <f ca="1">LN(N29/O30)</f>
        <v>1.87635184407593E-2</v>
      </c>
      <c r="T29" s="71">
        <v>3.5000000000000003E-2</v>
      </c>
      <c r="U29" s="358">
        <v>1.4999999999999999E-2</v>
      </c>
      <c r="V29" s="359">
        <v>5.0000000000000001E-3</v>
      </c>
      <c r="W29" s="72">
        <v>2.5000000000000001E-2</v>
      </c>
      <c r="X29" s="27" cm="1">
        <f t="array" aca="1" ref="X29" ca="1">INDIRECT(ADDRESS($B29,9,,,"mkt data"))</f>
        <v>0</v>
      </c>
      <c r="Y29" s="53">
        <f ca="1">X29*AVERAGE(H29:I29)</f>
        <v>0</v>
      </c>
      <c r="Z29" s="27">
        <f ca="1">X29/M29</f>
        <v>0</v>
      </c>
      <c r="AA29" s="405">
        <f ca="1">SUM(Z29:Z30)</f>
        <v>0</v>
      </c>
      <c r="AB29" s="282" t="str">
        <f>G29</f>
        <v>SOXX</v>
      </c>
      <c r="AC29" s="33" cm="1">
        <f t="array" aca="1" ref="AC29" ca="1">INDIRECT(ADDRESS($B29,8,,,"mkt data"))</f>
        <v>572.78002900000001</v>
      </c>
      <c r="AD29" s="274">
        <f ca="1">AVERAGE(H29,I29)</f>
        <v>564.58500000000004</v>
      </c>
      <c r="AE29" s="274">
        <f ca="1">AD29-AC29</f>
        <v>-8.1950289999999768</v>
      </c>
      <c r="AF29" s="285">
        <v>0</v>
      </c>
      <c r="AG29" s="274">
        <f ca="1">AE29+AF29</f>
        <v>-8.1950289999999768</v>
      </c>
      <c r="AH29" s="274">
        <f ca="1">AG29*X29</f>
        <v>0</v>
      </c>
      <c r="AI29" s="383">
        <f ca="1">AH29+AH30</f>
        <v>0</v>
      </c>
    </row>
    <row r="30" spans="1:38" ht="15.75" thickBot="1" x14ac:dyDescent="0.3">
      <c r="A30" s="142">
        <f>MATCH(G30,SCALARS!C:C,0)</f>
        <v>100</v>
      </c>
      <c r="B30" s="143">
        <f>MATCH(G30,'MKT DATA'!B:B,0)</f>
        <v>108</v>
      </c>
      <c r="C30" s="142" t="str" cm="1">
        <f t="array" aca="1" ref="C30" ca="1">INDIRECT(ADDRESS($A30,2,,,"scalars"))</f>
        <v>semis</v>
      </c>
      <c r="D30" s="218" cm="1">
        <f t="array" aca="1" ref="D30" ca="1">INDIRECT(ADDRESS($A30,8,,,"SCALARS"))</f>
        <v>23908800</v>
      </c>
      <c r="E30" s="220"/>
      <c r="F30" s="20" t="str" cm="1">
        <f t="array" aca="1" ref="F30" ca="1">INDIRECT(ADDRESS($A30,5,,,"scalars"))</f>
        <v>SMH</v>
      </c>
      <c r="G30" s="312" t="s">
        <v>185</v>
      </c>
      <c r="H30" s="37" cm="1">
        <f t="array" aca="1" ref="H30" ca="1">INDIRECT(ADDRESS($B30,5,,,"mkt data"))</f>
        <v>600.28</v>
      </c>
      <c r="I30" s="38" cm="1">
        <f t="array" aca="1" ref="I30" ca="1">INDIRECT(ADDRESS($B30,6,,,"mkt data"))</f>
        <v>600.41999999999996</v>
      </c>
      <c r="J30" s="249" cm="1">
        <f t="array" aca="1" ref="J30" ca="1">INDIRECT(ADDRESS($A30,7,,,"SCALARS"))</f>
        <v>0</v>
      </c>
      <c r="K30" s="22">
        <f ca="1">H30+J30-CORPS!K$1</f>
        <v>600.27449999999999</v>
      </c>
      <c r="L30" s="22">
        <f ca="1">I30+J30+CORPS!K$1</f>
        <v>600.42549999999994</v>
      </c>
      <c r="M30" s="50" cm="1">
        <f t="array" aca="1" ref="M30" ca="1">INDIRECT(ADDRESS($A30,6,,,"scalars"))</f>
        <v>1</v>
      </c>
      <c r="N30" s="23">
        <f ca="1">K30*M30</f>
        <v>600.27449999999999</v>
      </c>
      <c r="O30" s="23">
        <f ca="1">M30*L30</f>
        <v>600.42549999999994</v>
      </c>
      <c r="P30" s="386"/>
      <c r="Q30" s="388"/>
      <c r="R30" s="402"/>
      <c r="S30" s="412"/>
      <c r="T30" s="73" t="b">
        <f ca="1">IF(Q29&gt;T29,TRUE,FALSE)</f>
        <v>0</v>
      </c>
      <c r="U30" s="360" t="b">
        <f ca="1">AND(IF(S29&gt;-U29,TRUE,FALSE),IF(X29&gt;0,TRUE,FALSE))</f>
        <v>0</v>
      </c>
      <c r="V30" s="361" t="b">
        <f ca="1">AND(IF(Q29&gt;-V29,TRUE,FALSE),IF(X29&lt;0,TRUE,FALSE))</f>
        <v>0</v>
      </c>
      <c r="W30" s="74" t="b">
        <f ca="1">IF(S29&gt;W29,TRUE,FALSE)</f>
        <v>0</v>
      </c>
      <c r="X30" s="29" cm="1">
        <f t="array" aca="1" ref="X30" ca="1">INDIRECT(ADDRESS($B30,9,,,"mkt data"))</f>
        <v>0</v>
      </c>
      <c r="Y30" s="55">
        <f ca="1">X30*AVERAGE(H30:I30)</f>
        <v>0</v>
      </c>
      <c r="Z30" s="29">
        <f ca="1">X30/M30</f>
        <v>0</v>
      </c>
      <c r="AA30" s="406"/>
      <c r="AB30" s="290" t="str">
        <f>G30</f>
        <v>SMH</v>
      </c>
      <c r="AC30" s="37" cm="1">
        <f t="array" aca="1" ref="AC30" ca="1">INDIRECT(ADDRESS($B30,8,,,"mkt data"))</f>
        <v>607.46002199999998</v>
      </c>
      <c r="AD30" s="276">
        <f ca="1">AVERAGE(H30,I30)</f>
        <v>600.34999999999991</v>
      </c>
      <c r="AE30" s="276">
        <f ca="1">AD30-AC30</f>
        <v>-7.1100220000000718</v>
      </c>
      <c r="AF30" s="287">
        <v>0</v>
      </c>
      <c r="AG30" s="276">
        <f ca="1">AE30+AF30</f>
        <v>-7.1100220000000718</v>
      </c>
      <c r="AH30" s="276">
        <f ca="1">AG30*X30</f>
        <v>0</v>
      </c>
      <c r="AI30" s="384"/>
    </row>
    <row r="31" spans="1:38" x14ac:dyDescent="0.25">
      <c r="A31" s="140">
        <f>MATCH(G31,SCALARS!C:C,0)</f>
        <v>104</v>
      </c>
      <c r="B31" s="141">
        <f>MATCH(G31,'MKT DATA'!B:B,0)</f>
        <v>106</v>
      </c>
      <c r="C31" s="140" t="str" cm="1">
        <f t="array" aca="1" ref="C31" ca="1">INDIRECT(ADDRESS($A31,2,,,"scalars"))</f>
        <v>banks</v>
      </c>
      <c r="D31" s="217" cm="1">
        <f t="array" aca="1" ref="D31" ca="1">INDIRECT(ADDRESS($A31,8,,,"SCALARS"))</f>
        <v>1467400</v>
      </c>
      <c r="E31" s="219"/>
      <c r="F31" s="14" t="str" cm="1">
        <f t="array" aca="1" ref="F31" ca="1">INDIRECT(ADDRESS($A31,5,,,"scalars"))</f>
        <v>KBWB</v>
      </c>
      <c r="G31" s="311" t="s">
        <v>195</v>
      </c>
      <c r="H31" s="33" cm="1">
        <f t="array" aca="1" ref="H31" ca="1">INDIRECT(ADDRESS($B31,5,,,"mkt data"))</f>
        <v>64.67</v>
      </c>
      <c r="I31" s="34" cm="1">
        <f t="array" aca="1" ref="I31" ca="1">INDIRECT(ADDRESS($B31,6,,,"mkt data"))</f>
        <v>64.680000000000007</v>
      </c>
      <c r="J31" s="248" cm="1">
        <f t="array" aca="1" ref="J31" ca="1">INDIRECT(ADDRESS($A31,7,,,"SCALARS"))</f>
        <v>0</v>
      </c>
      <c r="K31" s="16">
        <f ca="1">H31+J31-CORPS!K$1</f>
        <v>64.664500000000004</v>
      </c>
      <c r="L31" s="16">
        <f ca="1">I31+J31+CORPS!K$1</f>
        <v>64.685500000000005</v>
      </c>
      <c r="M31" s="49" cm="1">
        <f t="array" aca="1" ref="M31" ca="1">INDIRECT(ADDRESS($A31,6,,,"scalars"))</f>
        <v>1.4031228896171632</v>
      </c>
      <c r="N31" s="17">
        <f ca="1">K31*M31</f>
        <v>90.732240095649061</v>
      </c>
      <c r="O31" s="17">
        <f ca="1">M31*L31</f>
        <v>90.761705676331019</v>
      </c>
      <c r="P31" s="385">
        <f ca="1">N32-O31</f>
        <v>-1.4772056763310104</v>
      </c>
      <c r="Q31" s="387">
        <f ca="1">LN(N32/O31)</f>
        <v>-1.6409552407031042E-2</v>
      </c>
      <c r="R31" s="421">
        <f ca="1">N31-O32</f>
        <v>1.4267400956490661</v>
      </c>
      <c r="S31" s="411">
        <f ca="1">LN(N31/O32)</f>
        <v>1.5849676436147812E-2</v>
      </c>
      <c r="T31" s="71">
        <v>0.02</v>
      </c>
      <c r="U31" s="358">
        <v>5.0000000000000001E-3</v>
      </c>
      <c r="V31" s="359">
        <v>5.0000000000000001E-3</v>
      </c>
      <c r="W31" s="72">
        <v>0.02</v>
      </c>
      <c r="X31" s="27" cm="1">
        <f t="array" aca="1" ref="X31" ca="1">INDIRECT(ADDRESS($B31,9,,,"mkt data"))</f>
        <v>0</v>
      </c>
      <c r="Y31" s="53">
        <f ca="1">X31*AVERAGE(H31:I31)</f>
        <v>0</v>
      </c>
      <c r="Z31" s="27">
        <f ca="1">X31/M31</f>
        <v>0</v>
      </c>
      <c r="AA31" s="405">
        <f ca="1">SUM(Z31:Z32)</f>
        <v>0</v>
      </c>
      <c r="AB31" s="282" t="str">
        <f>G31</f>
        <v>KBE</v>
      </c>
      <c r="AC31" s="33" cm="1">
        <f t="array" aca="1" ref="AC31" ca="1">INDIRECT(ADDRESS($B31,8,,,"mkt data"))</f>
        <v>65.230002999999996</v>
      </c>
      <c r="AD31" s="274">
        <f ca="1">AVERAGE(H31,I31)</f>
        <v>64.675000000000011</v>
      </c>
      <c r="AE31" s="274">
        <f ca="1">AD31-AC31</f>
        <v>-0.55500299999998504</v>
      </c>
      <c r="AF31" s="285">
        <v>0</v>
      </c>
      <c r="AG31" s="274">
        <f ca="1">AE31+AF31</f>
        <v>-0.55500299999998504</v>
      </c>
      <c r="AH31" s="274">
        <f ca="1">AG31*X31</f>
        <v>0</v>
      </c>
      <c r="AI31" s="383">
        <f ca="1">AH31+AH32</f>
        <v>0</v>
      </c>
    </row>
    <row r="32" spans="1:38" ht="15.75" thickBot="1" x14ac:dyDescent="0.3">
      <c r="A32" s="142">
        <f>MATCH(G32,SCALARS!C:C,0)</f>
        <v>105</v>
      </c>
      <c r="B32" s="143">
        <f>MATCH(G32,'MKT DATA'!B:B,0)</f>
        <v>107</v>
      </c>
      <c r="C32" s="142" t="str" cm="1">
        <f t="array" aca="1" ref="C32" ca="1">INDIRECT(ADDRESS($A32,2,,,"scalars"))</f>
        <v>banks</v>
      </c>
      <c r="D32" s="218" cm="1">
        <f t="array" aca="1" ref="D32" ca="1">INDIRECT(ADDRESS($A32,8,,,"SCALARS"))</f>
        <v>1654300</v>
      </c>
      <c r="E32" s="220"/>
      <c r="F32" s="20" t="str" cm="1">
        <f t="array" aca="1" ref="F32" ca="1">INDIRECT(ADDRESS($A32,5,,,"scalars"))</f>
        <v>KBWB</v>
      </c>
      <c r="G32" s="312" t="s">
        <v>196</v>
      </c>
      <c r="H32" s="37" cm="1">
        <f t="array" aca="1" ref="H32" ca="1">INDIRECT(ADDRESS($B32,5,,,"mkt data"))</f>
        <v>89.29</v>
      </c>
      <c r="I32" s="38" cm="1">
        <f t="array" aca="1" ref="I32" ca="1">INDIRECT(ADDRESS($B32,6,,,"mkt data"))</f>
        <v>89.3</v>
      </c>
      <c r="J32" s="249" cm="1">
        <f t="array" aca="1" ref="J32" ca="1">INDIRECT(ADDRESS($A32,7,,,"SCALARS"))</f>
        <v>0</v>
      </c>
      <c r="K32" s="22">
        <f ca="1">H32+J32-CORPS!K$1</f>
        <v>89.284500000000008</v>
      </c>
      <c r="L32" s="22">
        <f ca="1">I32+J32+CORPS!K$1</f>
        <v>89.305499999999995</v>
      </c>
      <c r="M32" s="50" cm="1">
        <f t="array" aca="1" ref="M32" ca="1">INDIRECT(ADDRESS($A32,6,,,"scalars"))</f>
        <v>1</v>
      </c>
      <c r="N32" s="23">
        <f ca="1">K32*M32</f>
        <v>89.284500000000008</v>
      </c>
      <c r="O32" s="23">
        <f ca="1">M32*L32</f>
        <v>89.305499999999995</v>
      </c>
      <c r="P32" s="386"/>
      <c r="Q32" s="388"/>
      <c r="R32" s="422"/>
      <c r="S32" s="412"/>
      <c r="T32" s="73" t="b">
        <f ca="1">IF(Q31&gt;T31,TRUE,FALSE)</f>
        <v>0</v>
      </c>
      <c r="U32" s="360" t="b">
        <f ca="1">AND(IF(S31&gt;-U31,TRUE,FALSE),IF(X31&gt;0,TRUE,FALSE))</f>
        <v>0</v>
      </c>
      <c r="V32" s="361" t="b">
        <f ca="1">AND(IF(Q31&gt;-V31,TRUE,FALSE),IF(X31&lt;0,TRUE,FALSE))</f>
        <v>0</v>
      </c>
      <c r="W32" s="74" t="b">
        <f ca="1">IF(S31&gt;W31,TRUE,FALSE)</f>
        <v>0</v>
      </c>
      <c r="X32" s="29" cm="1">
        <f t="array" aca="1" ref="X32" ca="1">INDIRECT(ADDRESS($B32,9,,,"mkt data"))</f>
        <v>0</v>
      </c>
      <c r="Y32" s="55">
        <f ca="1">X32*AVERAGE(H32:I32)</f>
        <v>0</v>
      </c>
      <c r="Z32" s="29">
        <f ca="1">X32/M32</f>
        <v>0</v>
      </c>
      <c r="AA32" s="406"/>
      <c r="AB32" s="290" t="str">
        <f>G32</f>
        <v>KBWB</v>
      </c>
      <c r="AC32" s="37" cm="1">
        <f t="array" aca="1" ref="AC32" ca="1">INDIRECT(ADDRESS($B32,8,,,"mkt data"))</f>
        <v>90.209998999999996</v>
      </c>
      <c r="AD32" s="276">
        <f ca="1">AVERAGE(H32,I32)</f>
        <v>89.295000000000002</v>
      </c>
      <c r="AE32" s="276">
        <f ca="1">AD32-AC32</f>
        <v>-0.91499899999999457</v>
      </c>
      <c r="AF32" s="287">
        <v>0</v>
      </c>
      <c r="AG32" s="276">
        <f ca="1">AE32+AF32</f>
        <v>-0.91499899999999457</v>
      </c>
      <c r="AH32" s="276">
        <f ca="1">AG32*X32</f>
        <v>0</v>
      </c>
      <c r="AI32" s="384"/>
    </row>
    <row r="33" spans="1:35" ht="9.9499999999999993" customHeight="1" thickBot="1" x14ac:dyDescent="0.3">
      <c r="A33" s="325"/>
      <c r="B33" s="325"/>
      <c r="C33" s="325"/>
      <c r="D33" s="326"/>
      <c r="E33" s="327"/>
      <c r="F33" s="328"/>
      <c r="G33" s="329"/>
      <c r="H33" s="330"/>
      <c r="I33" s="330"/>
      <c r="J33" s="331"/>
      <c r="K33" s="332"/>
      <c r="L33" s="332"/>
      <c r="M33" s="333"/>
      <c r="N33" s="334"/>
      <c r="O33" s="334"/>
      <c r="P33" s="335"/>
      <c r="Q33" s="352"/>
      <c r="R33" s="353"/>
      <c r="S33" s="336"/>
      <c r="T33" s="338"/>
      <c r="U33" s="362"/>
      <c r="V33" s="363"/>
      <c r="W33" s="338"/>
      <c r="X33" s="339"/>
      <c r="Y33" s="340"/>
      <c r="Z33" s="339"/>
      <c r="AA33" s="341"/>
      <c r="AB33" s="342"/>
      <c r="AC33" s="330"/>
      <c r="AD33" s="330"/>
      <c r="AE33" s="330"/>
      <c r="AF33" s="330"/>
      <c r="AG33" s="343"/>
      <c r="AH33" s="343"/>
      <c r="AI33" s="344"/>
    </row>
    <row r="34" spans="1:35" x14ac:dyDescent="0.25">
      <c r="A34" s="159">
        <f>MATCH(G34,SCALARS!C:C,0)</f>
        <v>64</v>
      </c>
      <c r="B34" s="160">
        <f>MATCH(G34,'MKT DATA'!B:B,0)</f>
        <v>64</v>
      </c>
      <c r="C34" s="159" t="str" cm="1">
        <f t="array" aca="1" ref="C34" ca="1">INDIRECT(ADDRESS($A34,2,,,"scalars"))</f>
        <v>discretionary</v>
      </c>
      <c r="D34" s="187" cm="1">
        <f t="array" aca="1" ref="D34" ca="1">INDIRECT(ADDRESS($A34,8,,,"SCALARS"))</f>
        <v>79200</v>
      </c>
      <c r="E34" s="188"/>
      <c r="F34" s="161" t="str" cm="1">
        <f t="array" aca="1" ref="F34" ca="1">INDIRECT(ADDRESS($A34,5,,,"scalars"))</f>
        <v>VCR</v>
      </c>
      <c r="G34" s="201" t="s">
        <v>173</v>
      </c>
      <c r="H34" s="191" cm="1">
        <f t="array" aca="1" ref="H34" ca="1">INDIRECT(ADDRESS($B34,5,,,"mkt data"))</f>
        <v>96.43</v>
      </c>
      <c r="I34" s="192" cm="1">
        <f t="array" aca="1" ref="I34" ca="1">INDIRECT(ADDRESS($B34,6,,,"mkt data"))</f>
        <v>96.47</v>
      </c>
      <c r="J34" s="256" cm="1">
        <f t="array" aca="1" ref="J34" ca="1">INDIRECT(ADDRESS($A34,7,,,"SCALARS"))</f>
        <v>0</v>
      </c>
      <c r="K34" s="166">
        <f t="shared" ref="K34:K51" ca="1" si="14">H34+J34-K$1</f>
        <v>96.424500000000009</v>
      </c>
      <c r="L34" s="166">
        <f t="shared" ref="L34:L51" ca="1" si="15">I34+J34+K$1</f>
        <v>96.475499999999997</v>
      </c>
      <c r="M34" s="202" cm="1">
        <f t="array" aca="1" ref="M34" ca="1">INDIRECT(ADDRESS($A34,6,,,"scalars"))</f>
        <v>3.8503249283040715</v>
      </c>
      <c r="N34" s="193">
        <f t="shared" ref="N34:N51" ca="1" si="16">K34*M34</f>
        <v>371.26565604925599</v>
      </c>
      <c r="O34" s="193">
        <f t="shared" ref="O34:O51" ca="1" si="17">M34*L34</f>
        <v>371.46202262059944</v>
      </c>
      <c r="P34" s="395">
        <f ca="1">N35-O34</f>
        <v>-0.25752262059944542</v>
      </c>
      <c r="Q34" s="397">
        <f ca="1">LN(N35/O34)</f>
        <v>-6.9350811724248331E-4</v>
      </c>
      <c r="R34" s="391">
        <f ca="1">N34-O35</f>
        <v>-0.12984395074397526</v>
      </c>
      <c r="S34" s="393">
        <f ca="1">LN(N34/O35)</f>
        <v>-3.4967212438502922E-4</v>
      </c>
      <c r="T34" s="168"/>
      <c r="U34" s="364"/>
      <c r="V34" s="365"/>
      <c r="W34" s="169"/>
      <c r="X34" s="189" cm="1">
        <f t="array" aca="1" ref="X34" ca="1">INDIRECT(ADDRESS($B34,9,,,"mkt data"))</f>
        <v>0</v>
      </c>
      <c r="Y34" s="190">
        <f t="shared" ref="Y34:Y51" ca="1" si="18">X34*AVERAGE(H34:I34)</f>
        <v>0</v>
      </c>
      <c r="Z34" s="189">
        <f t="shared" ref="Z34:Z51" ca="1" si="19">X34/M34</f>
        <v>0</v>
      </c>
      <c r="AA34" s="407">
        <f ca="1">SUM(Z34:Z35)</f>
        <v>0</v>
      </c>
      <c r="AB34" s="288" t="str">
        <f t="shared" ref="AB34:AB51" si="20">G34</f>
        <v>FDIS</v>
      </c>
      <c r="AC34" s="164" cm="1">
        <f t="array" aca="1" ref="AC34" ca="1">INDIRECT(ADDRESS($B34,8,,,"mkt data"))</f>
        <v>97.910004000000001</v>
      </c>
      <c r="AD34" s="280">
        <f t="shared" ref="AD34:AD51" ca="1" si="21">AVERAGE(H34,I34)</f>
        <v>96.45</v>
      </c>
      <c r="AE34" s="280">
        <f ca="1">AD34-AC34</f>
        <v>-1.4600039999999979</v>
      </c>
      <c r="AF34" s="285">
        <v>0</v>
      </c>
      <c r="AG34" s="280">
        <f ca="1">AE34+AF34</f>
        <v>-1.4600039999999979</v>
      </c>
      <c r="AH34" s="278">
        <f t="shared" ref="AH34:AH51" ca="1" si="22">AG34*X34</f>
        <v>0</v>
      </c>
      <c r="AI34" s="381">
        <f ca="1">AH34+AH35</f>
        <v>0</v>
      </c>
    </row>
    <row r="35" spans="1:35" ht="15.75" thickBot="1" x14ac:dyDescent="0.3">
      <c r="A35" s="170">
        <f>MATCH(G35,SCALARS!C:C,0)</f>
        <v>65</v>
      </c>
      <c r="B35" s="171">
        <f>MATCH(G35,'MKT DATA'!B:B,0)</f>
        <v>67</v>
      </c>
      <c r="C35" s="170" t="str" cm="1">
        <f t="array" aca="1" ref="C35" ca="1">INDIRECT(ADDRESS($A35,2,,,"scalars"))</f>
        <v>discretionary</v>
      </c>
      <c r="D35" s="194" cm="1">
        <f t="array" aca="1" ref="D35" ca="1">INDIRECT(ADDRESS($A35,8,,,"SCALARS"))</f>
        <v>131900</v>
      </c>
      <c r="E35" s="195"/>
      <c r="F35" s="172" t="str" cm="1">
        <f t="array" aca="1" ref="F35" ca="1">INDIRECT(ADDRESS($A35,5,,,"scalars"))</f>
        <v>VCR</v>
      </c>
      <c r="G35" s="203" t="s">
        <v>176</v>
      </c>
      <c r="H35" s="198" cm="1">
        <f t="array" aca="1" ref="H35" ca="1">INDIRECT(ADDRESS($B35,5,,,"mkt data"))</f>
        <v>371.21</v>
      </c>
      <c r="I35" s="199" cm="1">
        <f t="array" aca="1" ref="I35" ca="1">INDIRECT(ADDRESS($B35,6,,,"mkt data"))</f>
        <v>371.39</v>
      </c>
      <c r="J35" s="257" cm="1">
        <f t="array" aca="1" ref="J35" ca="1">INDIRECT(ADDRESS($A35,7,,,"SCALARS"))</f>
        <v>0</v>
      </c>
      <c r="K35" s="177">
        <f t="shared" ca="1" si="14"/>
        <v>371.2045</v>
      </c>
      <c r="L35" s="177">
        <f t="shared" ca="1" si="15"/>
        <v>371.39549999999997</v>
      </c>
      <c r="M35" s="204" cm="1">
        <f t="array" aca="1" ref="M35" ca="1">INDIRECT(ADDRESS($A35,6,,,"scalars"))</f>
        <v>1</v>
      </c>
      <c r="N35" s="200">
        <f t="shared" ca="1" si="16"/>
        <v>371.2045</v>
      </c>
      <c r="O35" s="200">
        <f t="shared" ca="1" si="17"/>
        <v>371.39549999999997</v>
      </c>
      <c r="P35" s="396"/>
      <c r="Q35" s="398"/>
      <c r="R35" s="392"/>
      <c r="S35" s="394"/>
      <c r="T35" s="179"/>
      <c r="U35" s="366"/>
      <c r="V35" s="367"/>
      <c r="W35" s="180"/>
      <c r="X35" s="196" cm="1">
        <f t="array" aca="1" ref="X35" ca="1">INDIRECT(ADDRESS($B35,9,,,"mkt data"))</f>
        <v>0</v>
      </c>
      <c r="Y35" s="197">
        <f t="shared" ca="1" si="18"/>
        <v>0</v>
      </c>
      <c r="Z35" s="196">
        <f t="shared" ca="1" si="19"/>
        <v>0</v>
      </c>
      <c r="AA35" s="408"/>
      <c r="AB35" s="289" t="str">
        <f t="shared" si="20"/>
        <v>VCR</v>
      </c>
      <c r="AC35" s="271" cm="1">
        <f t="array" aca="1" ref="AC35" ca="1">INDIRECT(ADDRESS($B35,8,,,"mkt data"))</f>
        <v>377.024292</v>
      </c>
      <c r="AD35" s="281">
        <f t="shared" ca="1" si="21"/>
        <v>371.29999999999995</v>
      </c>
      <c r="AE35" s="281">
        <f t="shared" ref="AE35:AE47" ca="1" si="23">AD35-AC35</f>
        <v>-5.7242920000000481</v>
      </c>
      <c r="AF35" s="286">
        <v>0</v>
      </c>
      <c r="AG35" s="281">
        <f t="shared" ref="AG35:AG47" ca="1" si="24">AE35+AF35</f>
        <v>-5.7242920000000481</v>
      </c>
      <c r="AH35" s="279">
        <f t="shared" ca="1" si="22"/>
        <v>0</v>
      </c>
      <c r="AI35" s="382"/>
    </row>
    <row r="36" spans="1:35" x14ac:dyDescent="0.25">
      <c r="A36" s="140">
        <f>MATCH(G36,SCALARS!C:C,0)</f>
        <v>70</v>
      </c>
      <c r="B36" s="141">
        <f>MATCH(G36,'MKT DATA'!B:B,0)</f>
        <v>68</v>
      </c>
      <c r="C36" s="140" t="str" cm="1">
        <f t="array" aca="1" ref="C36" ca="1">INDIRECT(ADDRESS($A36,2,,,"scalars"))</f>
        <v>energy</v>
      </c>
      <c r="D36" s="217" cm="1">
        <f t="array" aca="1" ref="D36" ca="1">INDIRECT(ADDRESS($A36,8,,,"SCALARS"))</f>
        <v>1208400</v>
      </c>
      <c r="E36" s="219"/>
      <c r="F36" s="14" t="str" cm="1">
        <f t="array" aca="1" ref="F36" ca="1">INDIRECT(ADDRESS($A36,5,,,"scalars"))</f>
        <v>VDE</v>
      </c>
      <c r="G36" s="15" t="s">
        <v>93</v>
      </c>
      <c r="H36" s="33" cm="1">
        <f t="array" aca="1" ref="H36" ca="1">INDIRECT(ADDRESS($B36,5,,,"mkt data"))</f>
        <v>34.4</v>
      </c>
      <c r="I36" s="34" cm="1">
        <f t="array" aca="1" ref="I36" ca="1">INDIRECT(ADDRESS($B36,6,,,"mkt data"))</f>
        <v>34.409999999999997</v>
      </c>
      <c r="J36" s="248" cm="1">
        <f t="array" aca="1" ref="J36" ca="1">INDIRECT(ADDRESS($A36,7,,,"SCALARS"))</f>
        <v>0</v>
      </c>
      <c r="K36" s="16">
        <f t="shared" ca="1" si="14"/>
        <v>34.394500000000001</v>
      </c>
      <c r="L36" s="16">
        <f t="shared" ca="1" si="15"/>
        <v>34.415499999999994</v>
      </c>
      <c r="M36" s="49" cm="1">
        <f t="array" aca="1" ref="M36" ca="1">INDIRECT(ADDRESS($A36,6,,,"scalars"))</f>
        <v>5.0823885560869106</v>
      </c>
      <c r="N36" s="17">
        <f t="shared" ca="1" si="16"/>
        <v>174.80621319233126</v>
      </c>
      <c r="O36" s="17">
        <f t="shared" ca="1" si="17"/>
        <v>174.91294335200905</v>
      </c>
      <c r="P36" s="385">
        <f ca="1">N37-O36</f>
        <v>-7.8443352009060163E-2</v>
      </c>
      <c r="Q36" s="387">
        <f t="shared" ref="Q36" ca="1" si="25">LN(N37/O36)</f>
        <v>-4.4857141812160417E-4</v>
      </c>
      <c r="R36" s="401">
        <f ca="1">N36-O37</f>
        <v>-7.928680766875118E-2</v>
      </c>
      <c r="S36" s="411">
        <f t="shared" ref="S36" ca="1" si="26">LN(N36/O37)</f>
        <v>-4.5346690262462936E-4</v>
      </c>
      <c r="T36" s="71">
        <v>1E-3</v>
      </c>
      <c r="U36" s="358">
        <v>0</v>
      </c>
      <c r="V36" s="359">
        <v>0</v>
      </c>
      <c r="W36" s="72">
        <v>1E-3</v>
      </c>
      <c r="X36" s="27" cm="1">
        <f t="array" aca="1" ref="X36" ca="1">INDIRECT(ADDRESS($B36,9,,,"mkt data"))</f>
        <v>0</v>
      </c>
      <c r="Y36" s="53">
        <f t="shared" ca="1" si="18"/>
        <v>0</v>
      </c>
      <c r="Z36" s="27">
        <f t="shared" ca="1" si="19"/>
        <v>0</v>
      </c>
      <c r="AA36" s="403">
        <f ca="1">SUM(Z36:Z37)</f>
        <v>0</v>
      </c>
      <c r="AB36" s="282" t="str">
        <f t="shared" si="20"/>
        <v>FENY</v>
      </c>
      <c r="AC36" s="33" cm="1">
        <f t="array" aca="1" ref="AC36" ca="1">INDIRECT(ADDRESS($B36,8,,,"mkt data"))</f>
        <v>34.099997999999999</v>
      </c>
      <c r="AD36" s="274">
        <f t="shared" ca="1" si="21"/>
        <v>34.405000000000001</v>
      </c>
      <c r="AE36" s="274">
        <f t="shared" ca="1" si="23"/>
        <v>0.30500200000000177</v>
      </c>
      <c r="AF36" s="285">
        <v>0</v>
      </c>
      <c r="AG36" s="274">
        <f t="shared" ca="1" si="24"/>
        <v>0.30500200000000177</v>
      </c>
      <c r="AH36" s="274">
        <f t="shared" ca="1" si="22"/>
        <v>0</v>
      </c>
      <c r="AI36" s="383">
        <f ca="1">AH36+AH37</f>
        <v>0</v>
      </c>
    </row>
    <row r="37" spans="1:35" ht="15.75" thickBot="1" x14ac:dyDescent="0.3">
      <c r="A37" s="142">
        <f>MATCH(G37,SCALARS!C:C,0)</f>
        <v>71</v>
      </c>
      <c r="B37" s="143">
        <f>MATCH(G37,'MKT DATA'!B:B,0)</f>
        <v>70</v>
      </c>
      <c r="C37" s="142" t="str" cm="1">
        <f t="array" aca="1" ref="C37" ca="1">INDIRECT(ADDRESS($A37,2,,,"scalars"))</f>
        <v>energy</v>
      </c>
      <c r="D37" s="218" cm="1">
        <f t="array" aca="1" ref="D37" ca="1">INDIRECT(ADDRESS($A37,8,,,"SCALARS"))</f>
        <v>548900</v>
      </c>
      <c r="E37" s="220"/>
      <c r="F37" s="20" t="str" cm="1">
        <f t="array" aca="1" ref="F37" ca="1">INDIRECT(ADDRESS($A37,5,,,"scalars"))</f>
        <v>VDE</v>
      </c>
      <c r="G37" s="21" t="s">
        <v>95</v>
      </c>
      <c r="H37" s="37" cm="1">
        <f t="array" aca="1" ref="H37" ca="1">INDIRECT(ADDRESS($B37,5,,,"mkt data"))</f>
        <v>174.84</v>
      </c>
      <c r="I37" s="38" cm="1">
        <f t="array" aca="1" ref="I37" ca="1">INDIRECT(ADDRESS($B37,6,,,"mkt data"))</f>
        <v>174.88</v>
      </c>
      <c r="J37" s="249" cm="1">
        <f t="array" aca="1" ref="J37" ca="1">INDIRECT(ADDRESS($A37,7,,,"SCALARS"))</f>
        <v>0</v>
      </c>
      <c r="K37" s="22">
        <f t="shared" ca="1" si="14"/>
        <v>174.83449999999999</v>
      </c>
      <c r="L37" s="22">
        <f t="shared" ca="1" si="15"/>
        <v>174.88550000000001</v>
      </c>
      <c r="M37" s="50" cm="1">
        <f t="array" aca="1" ref="M37" ca="1">INDIRECT(ADDRESS($A37,6,,,"scalars"))</f>
        <v>1</v>
      </c>
      <c r="N37" s="23">
        <f t="shared" ca="1" si="16"/>
        <v>174.83449999999999</v>
      </c>
      <c r="O37" s="23">
        <f t="shared" ca="1" si="17"/>
        <v>174.88550000000001</v>
      </c>
      <c r="P37" s="386"/>
      <c r="Q37" s="388"/>
      <c r="R37" s="402"/>
      <c r="S37" s="412"/>
      <c r="T37" s="73" t="b">
        <f ca="1">IF(Q36&gt;T36,TRUE,FALSE)</f>
        <v>0</v>
      </c>
      <c r="U37" s="360" t="b">
        <f ca="1">AND(IF(S36&gt;-U36,TRUE,FALSE),IF(X36&gt;0,TRUE,FALSE))</f>
        <v>0</v>
      </c>
      <c r="V37" s="361" t="b">
        <f ca="1">AND(IF(Q36&gt;-V36,TRUE,FALSE),IF(X36&lt;0,TRUE,FALSE))</f>
        <v>0</v>
      </c>
      <c r="W37" s="74" t="b">
        <f ca="1">IF(S36&gt;W36,TRUE,FALSE)</f>
        <v>0</v>
      </c>
      <c r="X37" s="29" cm="1">
        <f t="array" aca="1" ref="X37" ca="1">INDIRECT(ADDRESS($B37,9,,,"mkt data"))</f>
        <v>0</v>
      </c>
      <c r="Y37" s="55">
        <f t="shared" ca="1" si="18"/>
        <v>0</v>
      </c>
      <c r="Z37" s="29">
        <f t="shared" ca="1" si="19"/>
        <v>0</v>
      </c>
      <c r="AA37" s="404"/>
      <c r="AB37" s="290" t="str">
        <f t="shared" si="20"/>
        <v>VDE</v>
      </c>
      <c r="AC37" s="37" cm="1">
        <f t="array" aca="1" ref="AC37" ca="1">INDIRECT(ADDRESS($B37,8,,,"mkt data"))</f>
        <v>173.28810100000001</v>
      </c>
      <c r="AD37" s="276">
        <f t="shared" ca="1" si="21"/>
        <v>174.86</v>
      </c>
      <c r="AE37" s="276">
        <f t="shared" ca="1" si="23"/>
        <v>1.5718990000000019</v>
      </c>
      <c r="AF37" s="287">
        <v>0</v>
      </c>
      <c r="AG37" s="276">
        <f t="shared" ca="1" si="24"/>
        <v>1.5718990000000019</v>
      </c>
      <c r="AH37" s="276">
        <f t="shared" ca="1" si="22"/>
        <v>0</v>
      </c>
      <c r="AI37" s="384"/>
    </row>
    <row r="38" spans="1:35" x14ac:dyDescent="0.25">
      <c r="A38" s="159">
        <f>MATCH(G38,SCALARS!C:C,0)</f>
        <v>74</v>
      </c>
      <c r="B38" s="160">
        <f>MATCH(G38,'MKT DATA'!B:B,0)</f>
        <v>72</v>
      </c>
      <c r="C38" s="159" t="str" cm="1">
        <f t="array" aca="1" ref="C38" ca="1">INDIRECT(ADDRESS($A38,2,,,"scalars"))</f>
        <v>financials</v>
      </c>
      <c r="D38" s="187" cm="1">
        <f t="array" aca="1" ref="D38" ca="1">INDIRECT(ADDRESS($A38,8,,,"SCALARS"))</f>
        <v>107400</v>
      </c>
      <c r="E38" s="188"/>
      <c r="F38" s="161" t="str" cm="1">
        <f t="array" aca="1" ref="F38" ca="1">INDIRECT(ADDRESS($A38,5,,,"scalars"))</f>
        <v>VFH</v>
      </c>
      <c r="G38" s="201" t="s">
        <v>126</v>
      </c>
      <c r="H38" s="191" cm="1">
        <f t="array" aca="1" ref="H38" ca="1">INDIRECT(ADDRESS($B38,5,,,"mkt data"))</f>
        <v>77.45</v>
      </c>
      <c r="I38" s="192" cm="1">
        <f t="array" aca="1" ref="I38" ca="1">INDIRECT(ADDRESS($B38,6,,,"mkt data"))</f>
        <v>77.459999999999994</v>
      </c>
      <c r="J38" s="256" cm="1">
        <f t="array" aca="1" ref="J38" ca="1">INDIRECT(ADDRESS($A38,7,,,"SCALARS"))</f>
        <v>0</v>
      </c>
      <c r="K38" s="166">
        <f t="shared" ca="1" si="14"/>
        <v>77.444500000000005</v>
      </c>
      <c r="L38" s="166">
        <f t="shared" ca="1" si="15"/>
        <v>77.465499999999992</v>
      </c>
      <c r="M38" s="202" cm="1">
        <f t="array" aca="1" ref="M38" ca="1">INDIRECT(ADDRESS($A38,6,,,"scalars"))</f>
        <v>1.7171935444980413</v>
      </c>
      <c r="N38" s="193">
        <f t="shared" ca="1" si="16"/>
        <v>132.98719545687857</v>
      </c>
      <c r="O38" s="193">
        <f t="shared" ca="1" si="17"/>
        <v>133.02325652131302</v>
      </c>
      <c r="P38" s="395">
        <f ca="1">N39-O38</f>
        <v>3.1243478686974413E-2</v>
      </c>
      <c r="Q38" s="397">
        <f t="shared" ref="Q38" ca="1" si="27">LN(N39/O38)</f>
        <v>2.3484472538432805E-4</v>
      </c>
      <c r="R38" s="391">
        <f ca="1">N38-O39</f>
        <v>-8.8304543121438428E-2</v>
      </c>
      <c r="S38" s="393">
        <f t="shared" ref="S38" ca="1" si="28">LN(N38/O39)</f>
        <v>-6.637875047620697E-4</v>
      </c>
      <c r="T38" s="168"/>
      <c r="U38" s="364"/>
      <c r="V38" s="365"/>
      <c r="W38" s="169"/>
      <c r="X38" s="189" cm="1">
        <f t="array" aca="1" ref="X38" ca="1">INDIRECT(ADDRESS($B38,9,,,"mkt data"))</f>
        <v>0</v>
      </c>
      <c r="Y38" s="190">
        <f t="shared" ca="1" si="18"/>
        <v>0</v>
      </c>
      <c r="Z38" s="189">
        <f t="shared" ca="1" si="19"/>
        <v>0</v>
      </c>
      <c r="AA38" s="407">
        <f ca="1">SUM(Z38:Z39)</f>
        <v>0</v>
      </c>
      <c r="AB38" s="288" t="str">
        <f t="shared" si="20"/>
        <v>FNCL</v>
      </c>
      <c r="AC38" s="271" cm="1">
        <f t="array" aca="1" ref="AC38" ca="1">INDIRECT(ADDRESS($B38,8,,,"mkt data"))</f>
        <v>77.819999999999993</v>
      </c>
      <c r="AD38" s="281">
        <f t="shared" ca="1" si="21"/>
        <v>77.454999999999998</v>
      </c>
      <c r="AE38" s="281">
        <f t="shared" ca="1" si="23"/>
        <v>-0.36499999999999488</v>
      </c>
      <c r="AF38" s="286">
        <v>0</v>
      </c>
      <c r="AG38" s="281">
        <f t="shared" ca="1" si="24"/>
        <v>-0.36499999999999488</v>
      </c>
      <c r="AH38" s="279">
        <f t="shared" ca="1" si="22"/>
        <v>0</v>
      </c>
      <c r="AI38" s="348">
        <f ca="1">AH38+AH39</f>
        <v>0</v>
      </c>
    </row>
    <row r="39" spans="1:35" ht="15.75" thickBot="1" x14ac:dyDescent="0.3">
      <c r="A39" s="170">
        <f>MATCH(G39,SCALARS!C:C,0)</f>
        <v>75</v>
      </c>
      <c r="B39" s="171">
        <f>MATCH(G39,'MKT DATA'!B:B,0)</f>
        <v>74</v>
      </c>
      <c r="C39" s="170" t="str" cm="1">
        <f t="array" aca="1" ref="C39" ca="1">INDIRECT(ADDRESS($A39,2,,,"scalars"))</f>
        <v>financials</v>
      </c>
      <c r="D39" s="194" cm="1">
        <f t="array" aca="1" ref="D39" ca="1">INDIRECT(ADDRESS($A39,8,,,"SCALARS"))</f>
        <v>520900</v>
      </c>
      <c r="E39" s="195"/>
      <c r="F39" s="172" t="str" cm="1">
        <f t="array" aca="1" ref="F39" ca="1">INDIRECT(ADDRESS($A39,5,,,"scalars"))</f>
        <v>VFH</v>
      </c>
      <c r="G39" s="203" t="s">
        <v>98</v>
      </c>
      <c r="H39" s="198" cm="1">
        <f t="array" aca="1" ref="H39" ca="1">INDIRECT(ADDRESS($B39,5,,,"mkt data"))</f>
        <v>133.06</v>
      </c>
      <c r="I39" s="199" cm="1">
        <f t="array" aca="1" ref="I39" ca="1">INDIRECT(ADDRESS($B39,6,,,"mkt data"))</f>
        <v>133.07</v>
      </c>
      <c r="J39" s="257" cm="1">
        <f t="array" aca="1" ref="J39" ca="1">INDIRECT(ADDRESS($A39,7,,,"SCALARS"))</f>
        <v>0</v>
      </c>
      <c r="K39" s="177">
        <f t="shared" ca="1" si="14"/>
        <v>133.05449999999999</v>
      </c>
      <c r="L39" s="177">
        <f t="shared" ca="1" si="15"/>
        <v>133.07550000000001</v>
      </c>
      <c r="M39" s="204" cm="1">
        <f t="array" aca="1" ref="M39" ca="1">INDIRECT(ADDRESS($A39,6,,,"scalars"))</f>
        <v>1</v>
      </c>
      <c r="N39" s="200">
        <f t="shared" ca="1" si="16"/>
        <v>133.05449999999999</v>
      </c>
      <c r="O39" s="200">
        <f t="shared" ca="1" si="17"/>
        <v>133.07550000000001</v>
      </c>
      <c r="P39" s="396"/>
      <c r="Q39" s="398"/>
      <c r="R39" s="392"/>
      <c r="S39" s="394"/>
      <c r="T39" s="179"/>
      <c r="U39" s="366"/>
      <c r="V39" s="367"/>
      <c r="W39" s="180"/>
      <c r="X39" s="196" cm="1">
        <f t="array" aca="1" ref="X39" ca="1">INDIRECT(ADDRESS($B39,9,,,"mkt data"))</f>
        <v>0</v>
      </c>
      <c r="Y39" s="197">
        <f t="shared" ca="1" si="18"/>
        <v>0</v>
      </c>
      <c r="Z39" s="196">
        <f t="shared" ca="1" si="19"/>
        <v>0</v>
      </c>
      <c r="AA39" s="408"/>
      <c r="AB39" s="289" t="str">
        <f t="shared" si="20"/>
        <v>VFH</v>
      </c>
      <c r="AC39" s="271" cm="1">
        <f t="array" aca="1" ref="AC39" ca="1">INDIRECT(ADDRESS($B39,8,,,"mkt data"))</f>
        <v>133.67390399999999</v>
      </c>
      <c r="AD39" s="281">
        <f t="shared" ca="1" si="21"/>
        <v>133.065</v>
      </c>
      <c r="AE39" s="281">
        <f t="shared" ca="1" si="23"/>
        <v>-0.60890399999999545</v>
      </c>
      <c r="AF39" s="286">
        <v>0</v>
      </c>
      <c r="AG39" s="281">
        <f t="shared" ca="1" si="24"/>
        <v>-0.60890399999999545</v>
      </c>
      <c r="AH39" s="279">
        <f t="shared" ca="1" si="22"/>
        <v>0</v>
      </c>
      <c r="AI39" s="349"/>
    </row>
    <row r="40" spans="1:35" x14ac:dyDescent="0.25">
      <c r="A40" s="140">
        <f>MATCH(G40,SCALARS!C:C,0)</f>
        <v>76</v>
      </c>
      <c r="B40" s="141">
        <f>MATCH(G40,'MKT DATA'!B:B,0)</f>
        <v>76</v>
      </c>
      <c r="C40" s="140" t="str" cm="1">
        <f t="array" aca="1" ref="C40" ca="1">INDIRECT(ADDRESS($A40,2,,,"scalars"))</f>
        <v>healthcare</v>
      </c>
      <c r="D40" s="217" cm="1">
        <f t="array" aca="1" ref="D40" ca="1">INDIRECT(ADDRESS($A40,8,,,"SCALARS"))</f>
        <v>243200</v>
      </c>
      <c r="E40" s="219"/>
      <c r="F40" s="14" t="str" cm="1">
        <f t="array" aca="1" ref="F40" ca="1">INDIRECT(ADDRESS($A40,5,,,"scalars"))</f>
        <v>VHT</v>
      </c>
      <c r="G40" s="15" t="s">
        <v>100</v>
      </c>
      <c r="H40" s="33" cm="1">
        <f t="array" aca="1" ref="H40" ca="1">INDIRECT(ADDRESS($B40,5,,,"mkt data"))</f>
        <v>81.72</v>
      </c>
      <c r="I40" s="34" cm="1">
        <f t="array" aca="1" ref="I40" ca="1">INDIRECT(ADDRESS($B40,6,,,"mkt data"))</f>
        <v>81.739999999999995</v>
      </c>
      <c r="J40" s="248" cm="1">
        <f t="array" aca="1" ref="J40" ca="1">INDIRECT(ADDRESS($A40,7,,,"SCALARS"))</f>
        <v>0</v>
      </c>
      <c r="K40" s="16">
        <f t="shared" ca="1" si="14"/>
        <v>81.714500000000001</v>
      </c>
      <c r="L40" s="16">
        <f t="shared" ca="1" si="15"/>
        <v>81.745499999999993</v>
      </c>
      <c r="M40" s="49" cm="1">
        <f t="array" aca="1" ref="M40" ca="1">INDIRECT(ADDRESS($A40,6,,,"scalars"))</f>
        <v>3.8686656830198984</v>
      </c>
      <c r="N40" s="17">
        <f t="shared" ca="1" si="16"/>
        <v>316.12608195512951</v>
      </c>
      <c r="O40" s="17">
        <f t="shared" ca="1" si="17"/>
        <v>316.2460105913031</v>
      </c>
      <c r="P40" s="385">
        <f ca="1">N41-O40</f>
        <v>2.8489408696884766E-2</v>
      </c>
      <c r="Q40" s="387">
        <f t="shared" ref="Q40" ca="1" si="29">LN(N41/O40)</f>
        <v>9.0082165681934381E-5</v>
      </c>
      <c r="R40" s="401">
        <f ca="1">N40-O41</f>
        <v>-0.18941804487047875</v>
      </c>
      <c r="S40" s="411">
        <f t="shared" ref="S40" ca="1" si="30">LN(N40/O41)</f>
        <v>-5.9900568191176686E-4</v>
      </c>
      <c r="T40" s="71">
        <v>1E-3</v>
      </c>
      <c r="U40" s="358">
        <v>0</v>
      </c>
      <c r="V40" s="359">
        <v>0</v>
      </c>
      <c r="W40" s="72">
        <v>1E-3</v>
      </c>
      <c r="X40" s="27" cm="1">
        <f t="array" aca="1" ref="X40" ca="1">INDIRECT(ADDRESS($B40,9,,,"mkt data"))</f>
        <v>0</v>
      </c>
      <c r="Y40" s="53">
        <f t="shared" ca="1" si="18"/>
        <v>0</v>
      </c>
      <c r="Z40" s="27">
        <f t="shared" ca="1" si="19"/>
        <v>0</v>
      </c>
      <c r="AA40" s="403">
        <f ca="1">SUM(Z40:Z41)</f>
        <v>0</v>
      </c>
      <c r="AB40" s="282" t="str">
        <f t="shared" si="20"/>
        <v>FHLC</v>
      </c>
      <c r="AC40" s="33" cm="1">
        <f t="array" aca="1" ref="AC40" ca="1">INDIRECT(ADDRESS($B40,8,,,"mkt data"))</f>
        <v>82.5</v>
      </c>
      <c r="AD40" s="274">
        <f t="shared" ca="1" si="21"/>
        <v>81.72999999999999</v>
      </c>
      <c r="AE40" s="274">
        <f t="shared" ca="1" si="23"/>
        <v>-0.77000000000001023</v>
      </c>
      <c r="AF40" s="285">
        <v>0</v>
      </c>
      <c r="AG40" s="274">
        <f t="shared" ca="1" si="24"/>
        <v>-0.77000000000001023</v>
      </c>
      <c r="AH40" s="274">
        <f t="shared" ca="1" si="22"/>
        <v>0</v>
      </c>
      <c r="AI40" s="346">
        <f ca="1">AH40+AH41</f>
        <v>0</v>
      </c>
    </row>
    <row r="41" spans="1:35" ht="15.75" thickBot="1" x14ac:dyDescent="0.3">
      <c r="A41" s="142">
        <f>MATCH(G41,SCALARS!C:C,0)</f>
        <v>77</v>
      </c>
      <c r="B41" s="143">
        <f>MATCH(G41,'MKT DATA'!B:B,0)</f>
        <v>78</v>
      </c>
      <c r="C41" s="142" t="str" cm="1">
        <f t="array" aca="1" ref="C41" ca="1">INDIRECT(ADDRESS($A41,2,,,"scalars"))</f>
        <v>healthcare</v>
      </c>
      <c r="D41" s="218" cm="1">
        <f t="array" aca="1" ref="D41" ca="1">INDIRECT(ADDRESS($A41,8,,,"SCALARS"))</f>
        <v>590400</v>
      </c>
      <c r="E41" s="220"/>
      <c r="F41" s="20" t="str" cm="1">
        <f t="array" aca="1" ref="F41" ca="1">INDIRECT(ADDRESS($A41,5,,,"scalars"))</f>
        <v>VHT</v>
      </c>
      <c r="G41" s="21" t="s">
        <v>102</v>
      </c>
      <c r="H41" s="37" cm="1">
        <f t="array" aca="1" ref="H41" ca="1">INDIRECT(ADDRESS($B41,5,,,"mkt data"))</f>
        <v>316.27999999999997</v>
      </c>
      <c r="I41" s="38" cm="1">
        <f t="array" aca="1" ref="I41" ca="1">INDIRECT(ADDRESS($B41,6,,,"mkt data"))</f>
        <v>316.31</v>
      </c>
      <c r="J41" s="249" cm="1">
        <f t="array" aca="1" ref="J41" ca="1">INDIRECT(ADDRESS($A41,7,,,"SCALARS"))</f>
        <v>0</v>
      </c>
      <c r="K41" s="22">
        <f t="shared" ca="1" si="14"/>
        <v>316.27449999999999</v>
      </c>
      <c r="L41" s="22">
        <f t="shared" ca="1" si="15"/>
        <v>316.31549999999999</v>
      </c>
      <c r="M41" s="50" cm="1">
        <f t="array" aca="1" ref="M41" ca="1">INDIRECT(ADDRESS($A41,6,,,"scalars"))</f>
        <v>1</v>
      </c>
      <c r="N41" s="23">
        <f t="shared" ca="1" si="16"/>
        <v>316.27449999999999</v>
      </c>
      <c r="O41" s="23">
        <f t="shared" ca="1" si="17"/>
        <v>316.31549999999999</v>
      </c>
      <c r="P41" s="386"/>
      <c r="Q41" s="388"/>
      <c r="R41" s="402"/>
      <c r="S41" s="412"/>
      <c r="T41" s="73" t="b">
        <f ca="1">IF(Q40&gt;T40,TRUE,FALSE)</f>
        <v>0</v>
      </c>
      <c r="U41" s="360" t="b">
        <f ca="1">AND(IF(S40&gt;-U40,TRUE,FALSE),IF(X40&gt;0,TRUE,FALSE))</f>
        <v>0</v>
      </c>
      <c r="V41" s="361" t="b">
        <f ca="1">AND(IF(Q40&gt;-V40,TRUE,FALSE),IF(X40&lt;0,TRUE,FALSE))</f>
        <v>0</v>
      </c>
      <c r="W41" s="74" t="b">
        <f ca="1">IF(S40&gt;W40,TRUE,FALSE)</f>
        <v>0</v>
      </c>
      <c r="X41" s="29" cm="1">
        <f t="array" aca="1" ref="X41" ca="1">INDIRECT(ADDRESS($B41,9,,,"mkt data"))</f>
        <v>0</v>
      </c>
      <c r="Y41" s="55">
        <f t="shared" ca="1" si="18"/>
        <v>0</v>
      </c>
      <c r="Z41" s="29">
        <f t="shared" ca="1" si="19"/>
        <v>0</v>
      </c>
      <c r="AA41" s="404"/>
      <c r="AB41" s="290" t="str">
        <f t="shared" si="20"/>
        <v>VHT</v>
      </c>
      <c r="AC41" s="37" cm="1">
        <f t="array" aca="1" ref="AC41" ca="1">INDIRECT(ADDRESS($B41,8,,,"mkt data"))</f>
        <v>319.23150600000002</v>
      </c>
      <c r="AD41" s="276">
        <f t="shared" ca="1" si="21"/>
        <v>316.29499999999996</v>
      </c>
      <c r="AE41" s="276">
        <f t="shared" ca="1" si="23"/>
        <v>-2.9365060000000653</v>
      </c>
      <c r="AF41" s="287">
        <v>0</v>
      </c>
      <c r="AG41" s="276">
        <f t="shared" ca="1" si="24"/>
        <v>-2.9365060000000653</v>
      </c>
      <c r="AH41" s="276">
        <f t="shared" ca="1" si="22"/>
        <v>0</v>
      </c>
      <c r="AI41" s="347"/>
    </row>
    <row r="42" spans="1:35" x14ac:dyDescent="0.25">
      <c r="A42" s="159">
        <f>MATCH(G42,SCALARS!C:C,0)</f>
        <v>80</v>
      </c>
      <c r="B42" s="160">
        <f>MATCH(G42,'MKT DATA'!B:B,0)</f>
        <v>80</v>
      </c>
      <c r="C42" s="159" t="str" cm="1">
        <f t="array" aca="1" ref="C42" ca="1">INDIRECT(ADDRESS($A42,2,,,"scalars"))</f>
        <v>industrials</v>
      </c>
      <c r="D42" s="187" cm="1">
        <f t="array" aca="1" ref="D42" ca="1">INDIRECT(ADDRESS($A42,8,,,"SCALARS"))</f>
        <v>130000</v>
      </c>
      <c r="E42" s="188"/>
      <c r="F42" s="161" t="str" cm="1">
        <f t="array" aca="1" ref="F42" ca="1">INDIRECT(ADDRESS($A42,5,,,"scalars"))</f>
        <v>VIS</v>
      </c>
      <c r="G42" s="201" t="s">
        <v>104</v>
      </c>
      <c r="H42" s="191" cm="1">
        <f t="array" aca="1" ref="H42" ca="1">INDIRECT(ADDRESS($B42,5,,,"mkt data"))</f>
        <v>90.43</v>
      </c>
      <c r="I42" s="192" cm="1">
        <f t="array" aca="1" ref="I42" ca="1">INDIRECT(ADDRESS($B42,6,,,"mkt data"))</f>
        <v>90.46</v>
      </c>
      <c r="J42" s="256" cm="1">
        <f t="array" aca="1" ref="J42" ca="1">INDIRECT(ADDRESS($A42,7,,,"SCALARS"))</f>
        <v>0</v>
      </c>
      <c r="K42" s="166">
        <f t="shared" ca="1" si="14"/>
        <v>90.424500000000009</v>
      </c>
      <c r="L42" s="166">
        <f t="shared" ca="1" si="15"/>
        <v>90.465499999999992</v>
      </c>
      <c r="M42" s="202" cm="1">
        <f t="array" aca="1" ref="M42" ca="1">INDIRECT(ADDRESS($A42,6,,,"scalars"))</f>
        <v>3.6154424655392772</v>
      </c>
      <c r="N42" s="193">
        <f t="shared" ca="1" si="16"/>
        <v>326.92457722515638</v>
      </c>
      <c r="O42" s="193">
        <f t="shared" ca="1" si="17"/>
        <v>327.07281036624346</v>
      </c>
      <c r="P42" s="395">
        <f ca="1">N43-O42</f>
        <v>0.12168963375654585</v>
      </c>
      <c r="Q42" s="397">
        <f t="shared" ref="Q42" ca="1" si="31">LN(N43/O42)</f>
        <v>3.7198751406878949E-4</v>
      </c>
      <c r="R42" s="391">
        <f ca="1">N42-O43</f>
        <v>-0.36092277484357282</v>
      </c>
      <c r="S42" s="393">
        <f t="shared" ref="S42" ca="1" si="32">LN(N42/O43)</f>
        <v>-1.1033850563470745E-3</v>
      </c>
      <c r="T42" s="168"/>
      <c r="U42" s="364"/>
      <c r="V42" s="365"/>
      <c r="W42" s="169"/>
      <c r="X42" s="189" cm="1">
        <f t="array" aca="1" ref="X42" ca="1">INDIRECT(ADDRESS($B42,9,,,"mkt data"))</f>
        <v>0</v>
      </c>
      <c r="Y42" s="190">
        <f t="shared" ca="1" si="18"/>
        <v>0</v>
      </c>
      <c r="Z42" s="189">
        <f t="shared" ca="1" si="19"/>
        <v>0</v>
      </c>
      <c r="AA42" s="409">
        <f ca="1">SUM(Z42:Z43)</f>
        <v>0</v>
      </c>
      <c r="AB42" s="288" t="str">
        <f t="shared" si="20"/>
        <v>FIDU</v>
      </c>
      <c r="AC42" s="271" cm="1">
        <f t="array" aca="1" ref="AC42" ca="1">INDIRECT(ADDRESS($B42,8,,,"mkt data"))</f>
        <v>90.489998</v>
      </c>
      <c r="AD42" s="281">
        <f t="shared" ca="1" si="21"/>
        <v>90.444999999999993</v>
      </c>
      <c r="AE42" s="281">
        <f t="shared" ca="1" si="23"/>
        <v>-4.4998000000006755E-2</v>
      </c>
      <c r="AF42" s="286">
        <v>0</v>
      </c>
      <c r="AG42" s="281">
        <f t="shared" ca="1" si="24"/>
        <v>-4.4998000000006755E-2</v>
      </c>
      <c r="AH42" s="279">
        <f t="shared" ca="1" si="22"/>
        <v>0</v>
      </c>
      <c r="AI42" s="381">
        <f ca="1">AH42+AH43</f>
        <v>0</v>
      </c>
    </row>
    <row r="43" spans="1:35" ht="15.75" thickBot="1" x14ac:dyDescent="0.3">
      <c r="A43" s="170">
        <f>MATCH(G43,SCALARS!C:C,0)</f>
        <v>81</v>
      </c>
      <c r="B43" s="171">
        <f>MATCH(G43,'MKT DATA'!B:B,0)</f>
        <v>82</v>
      </c>
      <c r="C43" s="170" t="str" cm="1">
        <f t="array" aca="1" ref="C43" ca="1">INDIRECT(ADDRESS($A43,2,,,"scalars"))</f>
        <v>industrials</v>
      </c>
      <c r="D43" s="194" cm="1">
        <f t="array" aca="1" ref="D43" ca="1">INDIRECT(ADDRESS($A43,8,,,"SCALARS"))</f>
        <v>275400</v>
      </c>
      <c r="E43" s="195"/>
      <c r="F43" s="172" t="str" cm="1">
        <f t="array" aca="1" ref="F43" ca="1">INDIRECT(ADDRESS($A43,5,,,"scalars"))</f>
        <v>VIS</v>
      </c>
      <c r="G43" s="203" t="s">
        <v>127</v>
      </c>
      <c r="H43" s="198" cm="1">
        <f t="array" aca="1" ref="H43" ca="1">INDIRECT(ADDRESS($B43,5,,,"mkt data"))</f>
        <v>327.2</v>
      </c>
      <c r="I43" s="199" cm="1">
        <f t="array" aca="1" ref="I43" ca="1">INDIRECT(ADDRESS($B43,6,,,"mkt data"))</f>
        <v>327.27999999999997</v>
      </c>
      <c r="J43" s="257" cm="1">
        <f t="array" aca="1" ref="J43" ca="1">INDIRECT(ADDRESS($A43,7,,,"SCALARS"))</f>
        <v>0</v>
      </c>
      <c r="K43" s="177">
        <f t="shared" ca="1" si="14"/>
        <v>327.19450000000001</v>
      </c>
      <c r="L43" s="177">
        <f t="shared" ca="1" si="15"/>
        <v>327.28549999999996</v>
      </c>
      <c r="M43" s="204" cm="1">
        <f t="array" aca="1" ref="M43" ca="1">INDIRECT(ADDRESS($A43,6,,,"scalars"))</f>
        <v>1</v>
      </c>
      <c r="N43" s="200">
        <f t="shared" ca="1" si="16"/>
        <v>327.19450000000001</v>
      </c>
      <c r="O43" s="200">
        <f t="shared" ca="1" si="17"/>
        <v>327.28549999999996</v>
      </c>
      <c r="P43" s="396"/>
      <c r="Q43" s="398"/>
      <c r="R43" s="392"/>
      <c r="S43" s="394"/>
      <c r="T43" s="179"/>
      <c r="U43" s="366"/>
      <c r="V43" s="367"/>
      <c r="W43" s="180"/>
      <c r="X43" s="196" cm="1">
        <f t="array" aca="1" ref="X43" ca="1">INDIRECT(ADDRESS($B43,9,,,"mkt data"))</f>
        <v>0</v>
      </c>
      <c r="Y43" s="197">
        <f t="shared" ca="1" si="18"/>
        <v>0</v>
      </c>
      <c r="Z43" s="196">
        <f t="shared" ca="1" si="19"/>
        <v>0</v>
      </c>
      <c r="AA43" s="410"/>
      <c r="AB43" s="289" t="str">
        <f t="shared" si="20"/>
        <v>VIS</v>
      </c>
      <c r="AC43" s="271" cm="1">
        <f t="array" aca="1" ref="AC43" ca="1">INDIRECT(ADDRESS($B43,8,,,"mkt data"))</f>
        <v>327.37780800000002</v>
      </c>
      <c r="AD43" s="281">
        <f t="shared" ca="1" si="21"/>
        <v>327.24</v>
      </c>
      <c r="AE43" s="281">
        <f t="shared" ca="1" si="23"/>
        <v>-0.13780800000000681</v>
      </c>
      <c r="AF43" s="286">
        <v>0</v>
      </c>
      <c r="AG43" s="281">
        <f t="shared" ca="1" si="24"/>
        <v>-0.13780800000000681</v>
      </c>
      <c r="AH43" s="279">
        <f t="shared" ca="1" si="22"/>
        <v>0</v>
      </c>
      <c r="AI43" s="382"/>
    </row>
    <row r="44" spans="1:35" x14ac:dyDescent="0.25">
      <c r="A44" s="140">
        <f>MATCH(G44,SCALARS!C:C,0)</f>
        <v>86</v>
      </c>
      <c r="B44" s="141">
        <f>MATCH(G44,'MKT DATA'!B:B,0)</f>
        <v>84</v>
      </c>
      <c r="C44" s="140" t="str" cm="1">
        <f t="array" aca="1" ref="C44" ca="1">INDIRECT(ADDRESS($A44,2,,,"scalars"))</f>
        <v>real estate</v>
      </c>
      <c r="D44" s="217" cm="1">
        <f t="array" aca="1" ref="D44" ca="1">INDIRECT(ADDRESS($A44,8,,,"SCALARS"))</f>
        <v>278600</v>
      </c>
      <c r="E44" s="219"/>
      <c r="F44" s="14" t="str" cm="1">
        <f t="array" aca="1" ref="F44" ca="1">INDIRECT(ADDRESS($A44,5,,,"scalars"))</f>
        <v>VNQ</v>
      </c>
      <c r="G44" s="15" t="s">
        <v>106</v>
      </c>
      <c r="H44" s="33" cm="1">
        <f t="array" aca="1" ref="H44" ca="1">INDIRECT(ADDRESS($B44,5,,,"mkt data"))</f>
        <v>27.75</v>
      </c>
      <c r="I44" s="34" cm="1">
        <f t="array" aca="1" ref="I44" ca="1">INDIRECT(ADDRESS($B44,6,,,"mkt data"))</f>
        <v>27.76</v>
      </c>
      <c r="J44" s="248" cm="1">
        <f t="array" aca="1" ref="J44" ca="1">INDIRECT(ADDRESS($A44,7,,,"SCALARS"))</f>
        <v>0</v>
      </c>
      <c r="K44" s="16">
        <f t="shared" ca="1" si="14"/>
        <v>27.744499999999999</v>
      </c>
      <c r="L44" s="16">
        <f t="shared" ca="1" si="15"/>
        <v>27.765500000000003</v>
      </c>
      <c r="M44" s="49" cm="1">
        <f t="array" aca="1" ref="M44" ca="1">INDIRECT(ADDRESS($A44,6,,,"scalars"))</f>
        <v>3.2965473407357044</v>
      </c>
      <c r="N44" s="17">
        <f t="shared" ca="1" si="16"/>
        <v>91.461057695041745</v>
      </c>
      <c r="O44" s="17">
        <f t="shared" ca="1" si="17"/>
        <v>91.530285189197215</v>
      </c>
      <c r="P44" s="385">
        <f ca="1">N45-O44</f>
        <v>-3.5785189197213185E-2</v>
      </c>
      <c r="Q44" s="387">
        <f t="shared" ref="Q44" ca="1" si="33">LN(N45/O44)</f>
        <v>-3.9104200686506123E-4</v>
      </c>
      <c r="R44" s="401">
        <f ca="1">N44-O45</f>
        <v>-5.4442304958257637E-2</v>
      </c>
      <c r="S44" s="411">
        <f t="shared" ref="S44" ca="1" si="34">LN(N44/O45)</f>
        <v>-5.9507411496459352E-4</v>
      </c>
      <c r="T44" s="71">
        <v>1E-3</v>
      </c>
      <c r="U44" s="358">
        <v>0</v>
      </c>
      <c r="V44" s="359">
        <v>0</v>
      </c>
      <c r="W44" s="72">
        <v>1E-3</v>
      </c>
      <c r="X44" s="27" cm="1">
        <f t="array" aca="1" ref="X44" ca="1">INDIRECT(ADDRESS($B44,9,,,"mkt data"))</f>
        <v>0</v>
      </c>
      <c r="Y44" s="53">
        <f t="shared" ca="1" si="18"/>
        <v>0</v>
      </c>
      <c r="Z44" s="27">
        <f t="shared" ca="1" si="19"/>
        <v>0</v>
      </c>
      <c r="AA44" s="403">
        <f ca="1">SUM(Z44:Z45)</f>
        <v>0</v>
      </c>
      <c r="AB44" s="282" t="str">
        <f t="shared" si="20"/>
        <v>FREL</v>
      </c>
      <c r="AC44" s="33" cm="1">
        <f t="array" aca="1" ref="AC44" ca="1">INDIRECT(ADDRESS($B44,8,,,"mkt data"))</f>
        <v>28.139999</v>
      </c>
      <c r="AD44" s="274">
        <f t="shared" ca="1" si="21"/>
        <v>27.755000000000003</v>
      </c>
      <c r="AE44" s="274">
        <f t="shared" ca="1" si="23"/>
        <v>-0.38499899999999698</v>
      </c>
      <c r="AF44" s="285">
        <v>0</v>
      </c>
      <c r="AG44" s="274">
        <f t="shared" ca="1" si="24"/>
        <v>-0.38499899999999698</v>
      </c>
      <c r="AH44" s="274">
        <f t="shared" ca="1" si="22"/>
        <v>0</v>
      </c>
      <c r="AI44" s="383">
        <f ca="1">AH44+AH45</f>
        <v>0</v>
      </c>
    </row>
    <row r="45" spans="1:35" ht="15.75" thickBot="1" x14ac:dyDescent="0.3">
      <c r="A45" s="142">
        <f>MATCH(G45,SCALARS!C:C,0)</f>
        <v>87</v>
      </c>
      <c r="B45" s="143">
        <f>MATCH(G45,'MKT DATA'!B:B,0)</f>
        <v>86</v>
      </c>
      <c r="C45" s="142" t="str" cm="1">
        <f t="array" aca="1" ref="C45" ca="1">INDIRECT(ADDRESS($A45,2,,,"scalars"))</f>
        <v>real estate</v>
      </c>
      <c r="D45" s="218" cm="1">
        <f t="array" aca="1" ref="D45" ca="1">INDIRECT(ADDRESS($A45,8,,,"SCALARS"))</f>
        <v>3189600</v>
      </c>
      <c r="E45" s="220"/>
      <c r="F45" s="20" t="str" cm="1">
        <f t="array" aca="1" ref="F45" ca="1">INDIRECT(ADDRESS($A45,5,,,"scalars"))</f>
        <v>VNQ</v>
      </c>
      <c r="G45" s="21" t="s">
        <v>108</v>
      </c>
      <c r="H45" s="37" cm="1">
        <f t="array" aca="1" ref="H45" ca="1">INDIRECT(ADDRESS($B45,5,,,"mkt data"))</f>
        <v>91.5</v>
      </c>
      <c r="I45" s="38" cm="1">
        <f t="array" aca="1" ref="I45" ca="1">INDIRECT(ADDRESS($B45,6,,,"mkt data"))</f>
        <v>91.51</v>
      </c>
      <c r="J45" s="249" cm="1">
        <f t="array" aca="1" ref="J45" ca="1">INDIRECT(ADDRESS($A45,7,,,"SCALARS"))</f>
        <v>0</v>
      </c>
      <c r="K45" s="22">
        <f t="shared" ca="1" si="14"/>
        <v>91.494500000000002</v>
      </c>
      <c r="L45" s="22">
        <f t="shared" ca="1" si="15"/>
        <v>91.515500000000003</v>
      </c>
      <c r="M45" s="50" cm="1">
        <f t="array" aca="1" ref="M45" ca="1">INDIRECT(ADDRESS($A45,6,,,"scalars"))</f>
        <v>1</v>
      </c>
      <c r="N45" s="23">
        <f t="shared" ca="1" si="16"/>
        <v>91.494500000000002</v>
      </c>
      <c r="O45" s="23">
        <f t="shared" ca="1" si="17"/>
        <v>91.515500000000003</v>
      </c>
      <c r="P45" s="386"/>
      <c r="Q45" s="388"/>
      <c r="R45" s="402"/>
      <c r="S45" s="412"/>
      <c r="T45" s="73" t="b">
        <f ca="1">IF(Q44&gt;T44,TRUE,FALSE)</f>
        <v>0</v>
      </c>
      <c r="U45" s="360" t="b">
        <f ca="1">AND(IF(S44&gt;-U44,TRUE,FALSE),IF(X44&gt;0,TRUE,FALSE))</f>
        <v>0</v>
      </c>
      <c r="V45" s="361" t="b">
        <f ca="1">AND(IF(Q44&gt;-V44,TRUE,FALSE),IF(X44&lt;0,TRUE,FALSE))</f>
        <v>0</v>
      </c>
      <c r="W45" s="74" t="b">
        <f ca="1">IF(S44&gt;W44,TRUE,FALSE)</f>
        <v>0</v>
      </c>
      <c r="X45" s="29" cm="1">
        <f t="array" aca="1" ref="X45" ca="1">INDIRECT(ADDRESS($B45,9,,,"mkt data"))</f>
        <v>0</v>
      </c>
      <c r="Y45" s="55">
        <f t="shared" ca="1" si="18"/>
        <v>0</v>
      </c>
      <c r="Z45" s="29">
        <f t="shared" ca="1" si="19"/>
        <v>0</v>
      </c>
      <c r="AA45" s="404"/>
      <c r="AB45" s="290" t="str">
        <f t="shared" si="20"/>
        <v>VNQ</v>
      </c>
      <c r="AC45" s="37" cm="1">
        <f t="array" aca="1" ref="AC45" ca="1">INDIRECT(ADDRESS($B45,8,,,"mkt data"))</f>
        <v>92.815398999999999</v>
      </c>
      <c r="AD45" s="276">
        <f t="shared" ca="1" si="21"/>
        <v>91.504999999999995</v>
      </c>
      <c r="AE45" s="276">
        <f t="shared" ca="1" si="23"/>
        <v>-1.3103990000000039</v>
      </c>
      <c r="AF45" s="287">
        <v>0</v>
      </c>
      <c r="AG45" s="276">
        <f t="shared" ca="1" si="24"/>
        <v>-1.3103990000000039</v>
      </c>
      <c r="AH45" s="276">
        <f t="shared" ca="1" si="22"/>
        <v>0</v>
      </c>
      <c r="AI45" s="384"/>
    </row>
    <row r="46" spans="1:35" x14ac:dyDescent="0.25">
      <c r="A46" s="140">
        <f>MATCH(G46,SCALARS!C:C,0)</f>
        <v>88</v>
      </c>
      <c r="B46" s="141">
        <f>MATCH(G46,'MKT DATA'!B:B,0)</f>
        <v>88</v>
      </c>
      <c r="C46" s="140" t="str" cm="1">
        <f t="array" aca="1" ref="C46" ca="1">INDIRECT(ADDRESS($A46,2,,,"scalars"))</f>
        <v>staples</v>
      </c>
      <c r="D46" s="217" cm="1">
        <f t="array" aca="1" ref="D46" ca="1">INDIRECT(ADDRESS($A46,8,,,"SCALARS"))</f>
        <v>128000</v>
      </c>
      <c r="E46" s="219"/>
      <c r="F46" s="14" t="str" cm="1">
        <f t="array" aca="1" ref="F46" ca="1">INDIRECT(ADDRESS($A46,5,,,"scalars"))</f>
        <v>VDC</v>
      </c>
      <c r="G46" s="15" t="s">
        <v>90</v>
      </c>
      <c r="H46" s="33" cm="1">
        <f t="array" aca="1" ref="H46" ca="1">INDIRECT(ADDRESS($B46,5,,,"mkt data"))</f>
        <v>51.94</v>
      </c>
      <c r="I46" s="34" cm="1">
        <f t="array" aca="1" ref="I46" ca="1">INDIRECT(ADDRESS($B46,6,,,"mkt data"))</f>
        <v>51.95</v>
      </c>
      <c r="J46" s="248" cm="1">
        <f t="array" aca="1" ref="J46" ca="1">INDIRECT(ADDRESS($A46,7,,,"SCALARS"))</f>
        <v>0</v>
      </c>
      <c r="K46" s="16">
        <f t="shared" ca="1" si="14"/>
        <v>51.9345</v>
      </c>
      <c r="L46" s="16">
        <f t="shared" ca="1" si="15"/>
        <v>51.955500000000001</v>
      </c>
      <c r="M46" s="49" cm="1">
        <f t="array" aca="1" ref="M46" ca="1">INDIRECT(ADDRESS($A46,6,,,"scalars"))</f>
        <v>4.2914684187241185</v>
      </c>
      <c r="N46" s="17">
        <f t="shared" ca="1" si="16"/>
        <v>222.87526659222775</v>
      </c>
      <c r="O46" s="17">
        <f t="shared" ca="1" si="17"/>
        <v>222.96538742902095</v>
      </c>
      <c r="P46" s="385">
        <f ca="1">N47-O46</f>
        <v>-3.0887429020964419E-2</v>
      </c>
      <c r="Q46" s="387">
        <f t="shared" ref="Q46" ca="1" si="35">LN(N47/O46)</f>
        <v>-1.3853974823122269E-4</v>
      </c>
      <c r="R46" s="401">
        <f ca="1">N46-O47</f>
        <v>-0.14023340777225712</v>
      </c>
      <c r="S46" s="411">
        <f t="shared" ref="S46" ca="1" si="36">LN(N46/O47)</f>
        <v>-6.2900343717613193E-4</v>
      </c>
      <c r="T46" s="71">
        <v>1E-3</v>
      </c>
      <c r="U46" s="358">
        <v>0</v>
      </c>
      <c r="V46" s="359">
        <v>0</v>
      </c>
      <c r="W46" s="72">
        <v>1E-3</v>
      </c>
      <c r="X46" s="27" cm="1">
        <f t="array" aca="1" ref="X46" ca="1">INDIRECT(ADDRESS($B46,9,,,"mkt data"))</f>
        <v>0</v>
      </c>
      <c r="Y46" s="53">
        <f t="shared" ca="1" si="18"/>
        <v>0</v>
      </c>
      <c r="Z46" s="27">
        <f t="shared" ca="1" si="19"/>
        <v>0</v>
      </c>
      <c r="AA46" s="405">
        <f ca="1">SUM(Z46:Z47)</f>
        <v>0</v>
      </c>
      <c r="AB46" s="282" t="str">
        <f t="shared" si="20"/>
        <v>FSTA</v>
      </c>
      <c r="AC46" s="33" cm="1">
        <f t="array" aca="1" ref="AC46" ca="1">INDIRECT(ADDRESS($B46,8,,,"mkt data"))</f>
        <v>52.18</v>
      </c>
      <c r="AD46" s="274">
        <f t="shared" ca="1" si="21"/>
        <v>51.945</v>
      </c>
      <c r="AE46" s="274">
        <f t="shared" ca="1" si="23"/>
        <v>-0.23499999999999943</v>
      </c>
      <c r="AF46" s="285">
        <v>0</v>
      </c>
      <c r="AG46" s="274">
        <f t="shared" ca="1" si="24"/>
        <v>-0.23499999999999943</v>
      </c>
      <c r="AH46" s="274">
        <f t="shared" ca="1" si="22"/>
        <v>0</v>
      </c>
      <c r="AI46" s="383">
        <f ca="1">AH46+AH47</f>
        <v>0</v>
      </c>
    </row>
    <row r="47" spans="1:35" ht="15.75" thickBot="1" x14ac:dyDescent="0.3">
      <c r="A47" s="142">
        <f>MATCH(G47,SCALARS!C:C,0)</f>
        <v>89</v>
      </c>
      <c r="B47" s="143">
        <f>MATCH(G47,'MKT DATA'!B:B,0)</f>
        <v>90</v>
      </c>
      <c r="C47" s="142" t="str" cm="1">
        <f t="array" aca="1" ref="C47" ca="1">INDIRECT(ADDRESS($A47,2,,,"scalars"))</f>
        <v>staples</v>
      </c>
      <c r="D47" s="218" cm="1">
        <f t="array" aca="1" ref="D47" ca="1">INDIRECT(ADDRESS($A47,8,,,"SCALARS"))</f>
        <v>157800</v>
      </c>
      <c r="E47" s="220"/>
      <c r="F47" s="20" t="str" cm="1">
        <f t="array" aca="1" ref="F47" ca="1">INDIRECT(ADDRESS($A47,5,,,"scalars"))</f>
        <v>VDC</v>
      </c>
      <c r="G47" s="21" t="s">
        <v>91</v>
      </c>
      <c r="H47" s="37" cm="1">
        <f t="array" aca="1" ref="H47" ca="1">INDIRECT(ADDRESS($B47,5,,,"mkt data"))</f>
        <v>222.94</v>
      </c>
      <c r="I47" s="38" cm="1">
        <f t="array" aca="1" ref="I47" ca="1">INDIRECT(ADDRESS($B47,6,,,"mkt data"))</f>
        <v>223.01</v>
      </c>
      <c r="J47" s="249" cm="1">
        <f t="array" aca="1" ref="J47" ca="1">INDIRECT(ADDRESS($A47,7,,,"SCALARS"))</f>
        <v>0</v>
      </c>
      <c r="K47" s="22">
        <f t="shared" ca="1" si="14"/>
        <v>222.93449999999999</v>
      </c>
      <c r="L47" s="22">
        <f t="shared" ca="1" si="15"/>
        <v>223.0155</v>
      </c>
      <c r="M47" s="50" cm="1">
        <f t="array" aca="1" ref="M47" ca="1">INDIRECT(ADDRESS($A47,6,,,"scalars"))</f>
        <v>1</v>
      </c>
      <c r="N47" s="23">
        <f t="shared" ca="1" si="16"/>
        <v>222.93449999999999</v>
      </c>
      <c r="O47" s="23">
        <f t="shared" ca="1" si="17"/>
        <v>223.0155</v>
      </c>
      <c r="P47" s="386"/>
      <c r="Q47" s="388"/>
      <c r="R47" s="402"/>
      <c r="S47" s="412"/>
      <c r="T47" s="73" t="b">
        <f ca="1">IF(Q46&gt;T46,TRUE,FALSE)</f>
        <v>0</v>
      </c>
      <c r="U47" s="360" t="b">
        <f ca="1">AND(IF(S46&gt;-U46,TRUE,FALSE),IF(X46&gt;0,TRUE,FALSE))</f>
        <v>0</v>
      </c>
      <c r="V47" s="361" t="b">
        <f ca="1">AND(IF(Q46&gt;-V46,TRUE,FALSE),IF(X46&lt;0,TRUE,FALSE))</f>
        <v>0</v>
      </c>
      <c r="W47" s="74" t="b">
        <f ca="1">IF(S46&gt;W46,TRUE,FALSE)</f>
        <v>0</v>
      </c>
      <c r="X47" s="29" cm="1">
        <f t="array" aca="1" ref="X47" ca="1">INDIRECT(ADDRESS($B47,9,,,"mkt data"))</f>
        <v>0</v>
      </c>
      <c r="Y47" s="55">
        <f t="shared" ca="1" si="18"/>
        <v>0</v>
      </c>
      <c r="Z47" s="29">
        <f t="shared" ca="1" si="19"/>
        <v>0</v>
      </c>
      <c r="AA47" s="406"/>
      <c r="AB47" s="290" t="str">
        <f t="shared" si="20"/>
        <v>VDC</v>
      </c>
      <c r="AC47" s="37" cm="1">
        <f t="array" aca="1" ref="AC47" ca="1">INDIRECT(ADDRESS($B47,8,,,"mkt data"))</f>
        <v>223.93879699999999</v>
      </c>
      <c r="AD47" s="276">
        <f t="shared" ca="1" si="21"/>
        <v>222.97499999999999</v>
      </c>
      <c r="AE47" s="276">
        <f t="shared" ca="1" si="23"/>
        <v>-0.96379699999999957</v>
      </c>
      <c r="AF47" s="287">
        <v>0</v>
      </c>
      <c r="AG47" s="276">
        <f t="shared" ca="1" si="24"/>
        <v>-0.96379699999999957</v>
      </c>
      <c r="AH47" s="276">
        <f t="shared" ca="1" si="22"/>
        <v>0</v>
      </c>
      <c r="AI47" s="384"/>
    </row>
    <row r="48" spans="1:35" x14ac:dyDescent="0.25">
      <c r="A48" s="140">
        <f>MATCH(G48,SCALARS!C:C,0)</f>
        <v>93</v>
      </c>
      <c r="B48" s="141">
        <f>MATCH(G48,'MKT DATA'!B:B,0)</f>
        <v>94</v>
      </c>
      <c r="C48" s="140" t="str" cm="1">
        <f t="array" aca="1" ref="C48" ca="1">INDIRECT(ADDRESS($A48,2,,,"scalars"))</f>
        <v>technology</v>
      </c>
      <c r="D48" s="217" cm="1">
        <f t="array" aca="1" ref="D48" ca="1">INDIRECT(ADDRESS($A48,8,,,"SCALARS"))</f>
        <v>9982900</v>
      </c>
      <c r="E48" s="219"/>
      <c r="F48" s="14" t="str" cm="1">
        <f t="array" aca="1" ref="F48" ca="1">INDIRECT(ADDRESS($A48,5,,,"scalars"))</f>
        <v>FTEC</v>
      </c>
      <c r="G48" s="155" t="s">
        <v>112</v>
      </c>
      <c r="H48" s="33" cm="1">
        <f t="array" aca="1" ref="H48" ca="1">INDIRECT(ADDRESS($B48,5,,,"mkt data"))</f>
        <v>125.53</v>
      </c>
      <c r="I48" s="34" cm="1">
        <f t="array" aca="1" ref="I48" ca="1">INDIRECT(ADDRESS($B48,6,,,"mkt data"))</f>
        <v>125.54</v>
      </c>
      <c r="J48" s="248" cm="1">
        <f t="array" aca="1" ref="J48" ca="1">INDIRECT(ADDRESS($A48,7,,,"SCALARS"))</f>
        <v>0</v>
      </c>
      <c r="K48" s="16">
        <f t="shared" ca="1" si="14"/>
        <v>125.5245</v>
      </c>
      <c r="L48" s="16">
        <f t="shared" ca="1" si="15"/>
        <v>125.5455</v>
      </c>
      <c r="M48" s="153" cm="1">
        <f t="array" aca="1" ref="M48" ca="1">INDIRECT(ADDRESS($A48,6,,,"scalars"))</f>
        <v>2.3868196813451816</v>
      </c>
      <c r="N48" s="17">
        <f t="shared" ca="1" si="16"/>
        <v>299.60434709101327</v>
      </c>
      <c r="O48" s="17">
        <f t="shared" ca="1" si="17"/>
        <v>299.65447030432153</v>
      </c>
      <c r="P48" s="385">
        <f ca="1">N49-O48</f>
        <v>-4.9970304321504955E-2</v>
      </c>
      <c r="Q48" s="387">
        <f t="shared" ref="Q48" ca="1" si="37">LN(N49/O48)</f>
        <v>-1.6677365517594851E-4</v>
      </c>
      <c r="R48" s="401">
        <f ca="1">N48-O49</f>
        <v>-0.10115290898670537</v>
      </c>
      <c r="S48" s="411">
        <f t="shared" ref="S48" ca="1" si="38">LN(N48/O49)</f>
        <v>-3.3756465186824422E-4</v>
      </c>
      <c r="T48" s="71">
        <v>1E-3</v>
      </c>
      <c r="U48" s="358">
        <v>0</v>
      </c>
      <c r="V48" s="359">
        <v>0</v>
      </c>
      <c r="W48" s="72">
        <v>1E-3</v>
      </c>
      <c r="X48" s="27" cm="1">
        <f t="array" aca="1" ref="X48" ca="1">INDIRECT(ADDRESS($B48,9,,,"mkt data"))</f>
        <v>0</v>
      </c>
      <c r="Y48" s="53">
        <f t="shared" ca="1" si="18"/>
        <v>0</v>
      </c>
      <c r="Z48" s="27">
        <f t="shared" ca="1" si="19"/>
        <v>0</v>
      </c>
      <c r="AA48" s="405">
        <f ca="1">SUM(Z48:Z49)</f>
        <v>0</v>
      </c>
      <c r="AB48" s="291" t="str">
        <f t="shared" si="20"/>
        <v>VGT</v>
      </c>
      <c r="AC48" s="33" cm="1">
        <f t="array" aca="1" ref="AC48" ca="1">INDIRECT(ADDRESS($B48,8,,,"mkt data"))</f>
        <v>126.263496</v>
      </c>
      <c r="AD48" s="274">
        <f t="shared" ca="1" si="21"/>
        <v>125.535</v>
      </c>
      <c r="AE48" s="274">
        <f t="shared" ref="AE48:AE51" ca="1" si="39">AD48-AC48</f>
        <v>-0.72849600000000692</v>
      </c>
      <c r="AF48" s="285">
        <v>0</v>
      </c>
      <c r="AG48" s="274">
        <f t="shared" ref="AG48:AG51" ca="1" si="40">AE48+AF48</f>
        <v>-0.72849600000000692</v>
      </c>
      <c r="AH48" s="274">
        <f t="shared" ca="1" si="22"/>
        <v>0</v>
      </c>
      <c r="AI48" s="383">
        <f t="shared" ref="AI48" ca="1" si="41">AH48+AH49</f>
        <v>0</v>
      </c>
    </row>
    <row r="49" spans="1:35" ht="15.75" thickBot="1" x14ac:dyDescent="0.3">
      <c r="A49" s="142">
        <f>MATCH(G49,SCALARS!C:C,0)</f>
        <v>92</v>
      </c>
      <c r="B49" s="143">
        <f>MATCH(G49,'MKT DATA'!B:B,0)</f>
        <v>92</v>
      </c>
      <c r="C49" s="142" t="str" cm="1">
        <f t="array" aca="1" ref="C49" ca="1">INDIRECT(ADDRESS($A49,2,,,"scalars"))</f>
        <v>technology</v>
      </c>
      <c r="D49" s="218" cm="1">
        <f t="array" aca="1" ref="D49" ca="1">INDIRECT(ADDRESS($A49,8,,,"SCALARS"))</f>
        <v>262800</v>
      </c>
      <c r="E49" s="220"/>
      <c r="F49" s="20" t="str" cm="1">
        <f t="array" aca="1" ref="F49" ca="1">INDIRECT(ADDRESS($A49,5,,,"scalars"))</f>
        <v>FTEC</v>
      </c>
      <c r="G49" s="156" t="s">
        <v>110</v>
      </c>
      <c r="H49" s="37" cm="1">
        <f t="array" aca="1" ref="H49" ca="1">INDIRECT(ADDRESS($B49,5,,,"mkt data"))</f>
        <v>299.61</v>
      </c>
      <c r="I49" s="38" cm="1">
        <f t="array" aca="1" ref="I49" ca="1">INDIRECT(ADDRESS($B49,6,,,"mkt data"))</f>
        <v>299.7</v>
      </c>
      <c r="J49" s="249" cm="1">
        <f t="array" aca="1" ref="J49" ca="1">INDIRECT(ADDRESS($A49,7,,,"SCALARS"))</f>
        <v>0</v>
      </c>
      <c r="K49" s="22">
        <f t="shared" ca="1" si="14"/>
        <v>299.60450000000003</v>
      </c>
      <c r="L49" s="22">
        <f t="shared" ca="1" si="15"/>
        <v>299.70549999999997</v>
      </c>
      <c r="M49" s="154" cm="1">
        <f t="array" aca="1" ref="M49" ca="1">INDIRECT(ADDRESS($A49,6,,,"scalars"))</f>
        <v>1</v>
      </c>
      <c r="N49" s="23">
        <f t="shared" ca="1" si="16"/>
        <v>299.60450000000003</v>
      </c>
      <c r="O49" s="23">
        <f t="shared" ca="1" si="17"/>
        <v>299.70549999999997</v>
      </c>
      <c r="P49" s="386"/>
      <c r="Q49" s="388"/>
      <c r="R49" s="402"/>
      <c r="S49" s="412"/>
      <c r="T49" s="73" t="b">
        <f ca="1">IF(Q48&gt;T48,TRUE,FALSE)</f>
        <v>0</v>
      </c>
      <c r="U49" s="360" t="b">
        <f ca="1">AND(IF(S48&gt;-U48,TRUE,FALSE),IF(X48&gt;0,TRUE,FALSE))</f>
        <v>0</v>
      </c>
      <c r="V49" s="361" t="b">
        <f ca="1">AND(IF(Q48&gt;-V48,TRUE,FALSE),IF(X48&lt;0,TRUE,FALSE))</f>
        <v>0</v>
      </c>
      <c r="W49" s="74" t="b">
        <f ca="1">IF(S48&gt;W48,TRUE,FALSE)</f>
        <v>0</v>
      </c>
      <c r="X49" s="29" cm="1">
        <f t="array" aca="1" ref="X49" ca="1">INDIRECT(ADDRESS($B49,9,,,"mkt data"))</f>
        <v>0</v>
      </c>
      <c r="Y49" s="55">
        <f t="shared" ca="1" si="18"/>
        <v>0</v>
      </c>
      <c r="Z49" s="29">
        <f t="shared" ca="1" si="19"/>
        <v>0</v>
      </c>
      <c r="AA49" s="406"/>
      <c r="AB49" s="292" t="str">
        <f t="shared" si="20"/>
        <v>FTEC</v>
      </c>
      <c r="AC49" s="37" cm="1">
        <f t="array" aca="1" ref="AC49" ca="1">INDIRECT(ADDRESS($B49,8,,,"mkt data"))</f>
        <v>301.51998900000001</v>
      </c>
      <c r="AD49" s="276">
        <f t="shared" ca="1" si="21"/>
        <v>299.65499999999997</v>
      </c>
      <c r="AE49" s="276">
        <f t="shared" ca="1" si="39"/>
        <v>-1.8649890000000369</v>
      </c>
      <c r="AF49" s="287">
        <v>0</v>
      </c>
      <c r="AG49" s="276">
        <f t="shared" ca="1" si="40"/>
        <v>-1.8649890000000369</v>
      </c>
      <c r="AH49" s="276">
        <f t="shared" ca="1" si="22"/>
        <v>0</v>
      </c>
      <c r="AI49" s="384"/>
    </row>
    <row r="50" spans="1:35" x14ac:dyDescent="0.25">
      <c r="A50" s="140">
        <f>MATCH(G50,SCALARS!C:C,0)</f>
        <v>98</v>
      </c>
      <c r="B50" s="141">
        <f>MATCH(G50,'MKT DATA'!B:B,0)</f>
        <v>96</v>
      </c>
      <c r="C50" s="140" t="str" cm="1">
        <f t="array" aca="1" ref="C50" ca="1">INDIRECT(ADDRESS($A50,2,,,"scalars"))</f>
        <v>utilities</v>
      </c>
      <c r="D50" s="217" cm="1">
        <f t="array" aca="1" ref="D50" ca="1">INDIRECT(ADDRESS($A50,8,,,"SCALARS"))</f>
        <v>398700</v>
      </c>
      <c r="E50" s="219"/>
      <c r="F50" s="14" t="str" cm="1">
        <f t="array" aca="1" ref="F50" ca="1">INDIRECT(ADDRESS($A50,5,,,"scalars"))</f>
        <v>VPU</v>
      </c>
      <c r="G50" s="15" t="s">
        <v>114</v>
      </c>
      <c r="H50" s="33" cm="1">
        <f t="array" aca="1" ref="H50" ca="1">INDIRECT(ADDRESS($B50,5,,,"mkt data"))</f>
        <v>51.47</v>
      </c>
      <c r="I50" s="34" cm="1">
        <f t="array" aca="1" ref="I50" ca="1">INDIRECT(ADDRESS($B50,6,,,"mkt data"))</f>
        <v>51.48</v>
      </c>
      <c r="J50" s="248" cm="1">
        <f t="array" aca="1" ref="J50" ca="1">INDIRECT(ADDRESS($A50,7,,,"SCALARS"))</f>
        <v>0</v>
      </c>
      <c r="K50" s="16">
        <f t="shared" ca="1" si="14"/>
        <v>51.464500000000001</v>
      </c>
      <c r="L50" s="16">
        <f t="shared" ca="1" si="15"/>
        <v>51.485499999999995</v>
      </c>
      <c r="M50" s="49" cm="1">
        <f t="array" aca="1" ref="M50" ca="1">INDIRECT(ADDRESS($A50,6,,,"scalars"))</f>
        <v>3.3499783423318319</v>
      </c>
      <c r="N50" s="17">
        <f t="shared" ca="1" si="16"/>
        <v>172.40496039893657</v>
      </c>
      <c r="O50" s="17">
        <f t="shared" ca="1" si="17"/>
        <v>172.47530994412551</v>
      </c>
      <c r="P50" s="385">
        <f ca="1">N51-O50</f>
        <v>-1.0809944125526272E-2</v>
      </c>
      <c r="Q50" s="387">
        <f t="shared" ref="Q50" ca="1" si="42">LN(N51/O50)</f>
        <v>-6.267727770142049E-5</v>
      </c>
      <c r="R50" s="401">
        <f ca="1">N50-O51</f>
        <v>-0.12053960106345585</v>
      </c>
      <c r="S50" s="411">
        <f t="shared" ref="S50" ca="1" si="43">LN(N50/O51)</f>
        <v>-6.9892120186152915E-4</v>
      </c>
      <c r="T50" s="71">
        <v>1E-3</v>
      </c>
      <c r="U50" s="358">
        <v>0</v>
      </c>
      <c r="V50" s="359">
        <v>0</v>
      </c>
      <c r="W50" s="72">
        <v>1E-3</v>
      </c>
      <c r="X50" s="27" cm="1">
        <f t="array" aca="1" ref="X50" ca="1">INDIRECT(ADDRESS($B50,9,,,"mkt data"))</f>
        <v>0</v>
      </c>
      <c r="Y50" s="53">
        <f t="shared" ca="1" si="18"/>
        <v>0</v>
      </c>
      <c r="Z50" s="27">
        <f t="shared" ca="1" si="19"/>
        <v>0</v>
      </c>
      <c r="AA50" s="399">
        <f ca="1">SUM(Z50:Z51)</f>
        <v>0</v>
      </c>
      <c r="AB50" s="282" t="str">
        <f t="shared" si="20"/>
        <v>FUTY</v>
      </c>
      <c r="AC50" s="33" cm="1">
        <f t="array" aca="1" ref="AC50" ca="1">INDIRECT(ADDRESS($B50,8,,,"mkt data"))</f>
        <v>52.400002000000001</v>
      </c>
      <c r="AD50" s="274">
        <f t="shared" ca="1" si="21"/>
        <v>51.474999999999994</v>
      </c>
      <c r="AE50" s="274">
        <f t="shared" ca="1" si="39"/>
        <v>-0.92500200000000632</v>
      </c>
      <c r="AF50" s="285">
        <v>0</v>
      </c>
      <c r="AG50" s="274">
        <f t="shared" ca="1" si="40"/>
        <v>-0.92500200000000632</v>
      </c>
      <c r="AH50" s="274">
        <f t="shared" ca="1" si="22"/>
        <v>0</v>
      </c>
      <c r="AI50" s="383">
        <f t="shared" ref="AI50" ca="1" si="44">AH50+AH51</f>
        <v>0</v>
      </c>
    </row>
    <row r="51" spans="1:35" ht="15.75" thickBot="1" x14ac:dyDescent="0.3">
      <c r="A51" s="142">
        <f>MATCH(G51,SCALARS!C:C,0)</f>
        <v>99</v>
      </c>
      <c r="B51" s="143">
        <f>MATCH(G51,'MKT DATA'!B:B,0)</f>
        <v>98</v>
      </c>
      <c r="C51" s="142" t="str" cm="1">
        <f t="array" aca="1" ref="C51" ca="1">INDIRECT(ADDRESS($A51,2,,,"scalars"))</f>
        <v>utilities</v>
      </c>
      <c r="D51" s="218" cm="1">
        <f t="array" aca="1" ref="D51" ca="1">INDIRECT(ADDRESS($A51,8,,,"SCALARS"))</f>
        <v>278500</v>
      </c>
      <c r="E51" s="220"/>
      <c r="F51" s="20" t="str" cm="1">
        <f t="array" aca="1" ref="F51" ca="1">INDIRECT(ADDRESS($A51,5,,,"scalars"))</f>
        <v>VPU</v>
      </c>
      <c r="G51" s="21" t="s">
        <v>116</v>
      </c>
      <c r="H51" s="37" cm="1">
        <f t="array" aca="1" ref="H51" ca="1">INDIRECT(ADDRESS($B51,5,,,"mkt data"))</f>
        <v>172.47</v>
      </c>
      <c r="I51" s="38" cm="1">
        <f t="array" aca="1" ref="I51" ca="1">INDIRECT(ADDRESS($B51,6,,,"mkt data"))</f>
        <v>172.52</v>
      </c>
      <c r="J51" s="249" cm="1">
        <f t="array" aca="1" ref="J51" ca="1">INDIRECT(ADDRESS($A51,7,,,"SCALARS"))</f>
        <v>0</v>
      </c>
      <c r="K51" s="22">
        <f t="shared" ca="1" si="14"/>
        <v>172.46449999999999</v>
      </c>
      <c r="L51" s="22">
        <f t="shared" ca="1" si="15"/>
        <v>172.52550000000002</v>
      </c>
      <c r="M51" s="50" cm="1">
        <f t="array" aca="1" ref="M51" ca="1">INDIRECT(ADDRESS($A51,6,,,"scalars"))</f>
        <v>1</v>
      </c>
      <c r="N51" s="23">
        <f t="shared" ca="1" si="16"/>
        <v>172.46449999999999</v>
      </c>
      <c r="O51" s="23">
        <f t="shared" ca="1" si="17"/>
        <v>172.52550000000002</v>
      </c>
      <c r="P51" s="386"/>
      <c r="Q51" s="388"/>
      <c r="R51" s="402"/>
      <c r="S51" s="412"/>
      <c r="T51" s="73" t="b">
        <f ca="1">IF(Q50&gt;T50,TRUE,FALSE)</f>
        <v>0</v>
      </c>
      <c r="U51" s="360" t="b">
        <f ca="1">AND(IF(S50&gt;-U50,TRUE,FALSE),IF(X50&gt;0,TRUE,FALSE))</f>
        <v>0</v>
      </c>
      <c r="V51" s="361" t="b">
        <f ca="1">AND(IF(Q50&gt;-V50,TRUE,FALSE),IF(X50&lt;0,TRUE,FALSE))</f>
        <v>0</v>
      </c>
      <c r="W51" s="74" t="b">
        <f ca="1">IF(S50&gt;W50,TRUE,FALSE)</f>
        <v>0</v>
      </c>
      <c r="X51" s="29" cm="1">
        <f t="array" aca="1" ref="X51" ca="1">INDIRECT(ADDRESS($B51,9,,,"mkt data"))</f>
        <v>0</v>
      </c>
      <c r="Y51" s="55">
        <f t="shared" ca="1" si="18"/>
        <v>0</v>
      </c>
      <c r="Z51" s="29">
        <f t="shared" ca="1" si="19"/>
        <v>0</v>
      </c>
      <c r="AA51" s="400"/>
      <c r="AB51" s="290" t="str">
        <f t="shared" si="20"/>
        <v>VPU</v>
      </c>
      <c r="AC51" s="37" cm="1">
        <f t="array" aca="1" ref="AC51" ca="1">INDIRECT(ADDRESS($B51,8,,,"mkt data"))</f>
        <v>175.60200499999999</v>
      </c>
      <c r="AD51" s="276">
        <f t="shared" ca="1" si="21"/>
        <v>172.495</v>
      </c>
      <c r="AE51" s="276">
        <f t="shared" ca="1" si="39"/>
        <v>-3.1070049999999867</v>
      </c>
      <c r="AF51" s="287">
        <v>0</v>
      </c>
      <c r="AG51" s="276">
        <f t="shared" ca="1" si="40"/>
        <v>-3.1070049999999867</v>
      </c>
      <c r="AH51" s="276">
        <f t="shared" ca="1" si="22"/>
        <v>0</v>
      </c>
      <c r="AI51" s="384"/>
    </row>
    <row r="61" spans="1:35" x14ac:dyDescent="0.25">
      <c r="C61"/>
      <c r="D61"/>
      <c r="AB61"/>
    </row>
    <row r="62" spans="1:35" x14ac:dyDescent="0.25">
      <c r="C62"/>
      <c r="D62"/>
      <c r="AB62"/>
    </row>
    <row r="63" spans="1:35" x14ac:dyDescent="0.25">
      <c r="C63"/>
      <c r="D63"/>
      <c r="AB63"/>
    </row>
    <row r="64" spans="1:35" ht="15.75" thickBot="1" x14ac:dyDescent="0.3">
      <c r="C64"/>
      <c r="D64"/>
      <c r="AB64"/>
    </row>
    <row r="65" spans="1:28" x14ac:dyDescent="0.25">
      <c r="A65" s="267" t="s">
        <v>197</v>
      </c>
      <c r="B65" s="228" t="s">
        <v>54</v>
      </c>
      <c r="C65" s="228" t="s">
        <v>55</v>
      </c>
      <c r="D65" s="228" t="s">
        <v>198</v>
      </c>
      <c r="E65" s="228" t="s">
        <v>199</v>
      </c>
      <c r="F65" s="229" t="s">
        <v>201</v>
      </c>
      <c r="H65" t="s">
        <v>213</v>
      </c>
      <c r="AB65"/>
    </row>
    <row r="66" spans="1:28" x14ac:dyDescent="0.25">
      <c r="A66" s="268" t="s">
        <v>189</v>
      </c>
      <c r="B66" s="270" t="s">
        <v>190</v>
      </c>
      <c r="C66" s="270" t="s">
        <v>193</v>
      </c>
      <c r="D66" t="s">
        <v>191</v>
      </c>
      <c r="E66" t="s">
        <v>192</v>
      </c>
      <c r="F66" s="230" t="s">
        <v>194</v>
      </c>
      <c r="H66" t="s">
        <v>214</v>
      </c>
      <c r="AB66"/>
    </row>
    <row r="67" spans="1:28" ht="15.75" thickBot="1" x14ac:dyDescent="0.3">
      <c r="A67" s="269" t="s">
        <v>200</v>
      </c>
      <c r="B67" s="231"/>
      <c r="C67" s="231"/>
      <c r="D67" s="231"/>
      <c r="E67" s="231"/>
      <c r="F67" s="232"/>
      <c r="AB67"/>
    </row>
    <row r="68" spans="1:28" x14ac:dyDescent="0.25">
      <c r="C68"/>
      <c r="D68"/>
      <c r="AB68"/>
    </row>
  </sheetData>
  <mergeCells count="142">
    <mergeCell ref="AI24:AI25"/>
    <mergeCell ref="P24:P25"/>
    <mergeCell ref="AA24:AA25"/>
    <mergeCell ref="Q24:Q25"/>
    <mergeCell ref="R24:R25"/>
    <mergeCell ref="S24:S25"/>
    <mergeCell ref="P29:P30"/>
    <mergeCell ref="Q29:Q30"/>
    <mergeCell ref="R29:R30"/>
    <mergeCell ref="S29:S30"/>
    <mergeCell ref="AA26:AA27"/>
    <mergeCell ref="AI31:AI32"/>
    <mergeCell ref="P31:P32"/>
    <mergeCell ref="Q31:Q32"/>
    <mergeCell ref="R31:R32"/>
    <mergeCell ref="S31:S32"/>
    <mergeCell ref="AA31:AA32"/>
    <mergeCell ref="AA29:AA30"/>
    <mergeCell ref="AI29:AI30"/>
    <mergeCell ref="P26:P27"/>
    <mergeCell ref="Q26:Q27"/>
    <mergeCell ref="R26:R27"/>
    <mergeCell ref="S26:S27"/>
    <mergeCell ref="AI26:AI27"/>
    <mergeCell ref="P9:P10"/>
    <mergeCell ref="Q9:Q10"/>
    <mergeCell ref="AA11:AA12"/>
    <mergeCell ref="R11:R12"/>
    <mergeCell ref="S11:S12"/>
    <mergeCell ref="P11:P12"/>
    <mergeCell ref="Q11:Q12"/>
    <mergeCell ref="AA7:AA8"/>
    <mergeCell ref="P1:S2"/>
    <mergeCell ref="R7:R8"/>
    <mergeCell ref="R40:R41"/>
    <mergeCell ref="S40:S41"/>
    <mergeCell ref="Q36:Q37"/>
    <mergeCell ref="R36:R37"/>
    <mergeCell ref="S36:S37"/>
    <mergeCell ref="AG1:AG2"/>
    <mergeCell ref="AH1:AH2"/>
    <mergeCell ref="AI1:AI2"/>
    <mergeCell ref="S9:S10"/>
    <mergeCell ref="AA13:AA14"/>
    <mergeCell ref="AA17:AA18"/>
    <mergeCell ref="A3:B3"/>
    <mergeCell ref="X3:AA3"/>
    <mergeCell ref="H3:I3"/>
    <mergeCell ref="N3:O3"/>
    <mergeCell ref="AA21:AA22"/>
    <mergeCell ref="R21:R22"/>
    <mergeCell ref="S21:S22"/>
    <mergeCell ref="P21:P22"/>
    <mergeCell ref="Q21:Q22"/>
    <mergeCell ref="AA19:AA20"/>
    <mergeCell ref="R19:R20"/>
    <mergeCell ref="S19:S20"/>
    <mergeCell ref="P19:P20"/>
    <mergeCell ref="Q19:Q20"/>
    <mergeCell ref="AA9:AA10"/>
    <mergeCell ref="R9:R10"/>
    <mergeCell ref="AA5:AA6"/>
    <mergeCell ref="P5:P6"/>
    <mergeCell ref="Q5:Q6"/>
    <mergeCell ref="R5:R6"/>
    <mergeCell ref="S5:S6"/>
    <mergeCell ref="K3:L3"/>
    <mergeCell ref="R17:R18"/>
    <mergeCell ref="S17:S18"/>
    <mergeCell ref="K1:L2"/>
    <mergeCell ref="S50:S51"/>
    <mergeCell ref="Q42:Q43"/>
    <mergeCell ref="R42:R43"/>
    <mergeCell ref="S42:S43"/>
    <mergeCell ref="P40:P41"/>
    <mergeCell ref="Q40:Q41"/>
    <mergeCell ref="S7:S8"/>
    <mergeCell ref="P7:P8"/>
    <mergeCell ref="Q7:Q8"/>
    <mergeCell ref="P3:Q3"/>
    <mergeCell ref="R3:S3"/>
    <mergeCell ref="P44:P45"/>
    <mergeCell ref="Q44:Q45"/>
    <mergeCell ref="R44:R45"/>
    <mergeCell ref="P48:P49"/>
    <mergeCell ref="Q48:Q49"/>
    <mergeCell ref="R48:R49"/>
    <mergeCell ref="S48:S49"/>
    <mergeCell ref="S44:S45"/>
    <mergeCell ref="P42:P43"/>
    <mergeCell ref="S34:S35"/>
    <mergeCell ref="R13:R14"/>
    <mergeCell ref="S13:S14"/>
    <mergeCell ref="P34:P35"/>
    <mergeCell ref="Q34:Q35"/>
    <mergeCell ref="R34:R35"/>
    <mergeCell ref="AA50:AA51"/>
    <mergeCell ref="P50:P51"/>
    <mergeCell ref="Q50:Q51"/>
    <mergeCell ref="R50:R51"/>
    <mergeCell ref="AA44:AA45"/>
    <mergeCell ref="P38:P39"/>
    <mergeCell ref="Q38:Q39"/>
    <mergeCell ref="R38:R39"/>
    <mergeCell ref="S38:S39"/>
    <mergeCell ref="AA48:AA49"/>
    <mergeCell ref="AA38:AA39"/>
    <mergeCell ref="AA42:AA43"/>
    <mergeCell ref="AA40:AA41"/>
    <mergeCell ref="AA34:AA35"/>
    <mergeCell ref="AA46:AA47"/>
    <mergeCell ref="P46:P47"/>
    <mergeCell ref="Q46:Q47"/>
    <mergeCell ref="R46:R47"/>
    <mergeCell ref="S46:S47"/>
    <mergeCell ref="AA36:AA37"/>
    <mergeCell ref="P36:P37"/>
    <mergeCell ref="P13:P14"/>
    <mergeCell ref="Q13:Q14"/>
    <mergeCell ref="P17:P18"/>
    <mergeCell ref="Q17:Q18"/>
    <mergeCell ref="AA15:AA16"/>
    <mergeCell ref="R15:R16"/>
    <mergeCell ref="S15:S16"/>
    <mergeCell ref="P15:P16"/>
    <mergeCell ref="Q15:Q16"/>
    <mergeCell ref="AI42:AI43"/>
    <mergeCell ref="AI44:AI45"/>
    <mergeCell ref="AI46:AI47"/>
    <mergeCell ref="AI48:AI49"/>
    <mergeCell ref="AI50:AI51"/>
    <mergeCell ref="AI5:AI6"/>
    <mergeCell ref="AI11:AI12"/>
    <mergeCell ref="AI15:AI16"/>
    <mergeCell ref="AI7:AI8"/>
    <mergeCell ref="AI13:AI14"/>
    <mergeCell ref="AI9:AI10"/>
    <mergeCell ref="AI17:AI18"/>
    <mergeCell ref="AI19:AI20"/>
    <mergeCell ref="AI21:AI22"/>
    <mergeCell ref="AI34:AI35"/>
    <mergeCell ref="AI36:AI37"/>
  </mergeCells>
  <conditionalFormatting sqref="N40:N41">
    <cfRule type="top10" dxfId="72" priority="116" rank="1"/>
  </conditionalFormatting>
  <conditionalFormatting sqref="N48:N49">
    <cfRule type="top10" dxfId="71" priority="172" rank="1"/>
  </conditionalFormatting>
  <conditionalFormatting sqref="N44:N45">
    <cfRule type="top10" dxfId="70" priority="156" rank="1"/>
  </conditionalFormatting>
  <conditionalFormatting sqref="N46:N47">
    <cfRule type="top10" dxfId="69" priority="160" rank="1"/>
  </conditionalFormatting>
  <conditionalFormatting sqref="S61:S64 S5:S51 Q61:Q64 Q5:Q51">
    <cfRule type="cellIs" dxfId="68" priority="12" operator="greaterThan">
      <formula>0</formula>
    </cfRule>
  </conditionalFormatting>
  <conditionalFormatting sqref="N19:N20">
    <cfRule type="top10" dxfId="67" priority="89" rank="1"/>
  </conditionalFormatting>
  <conditionalFormatting sqref="N15:N16">
    <cfRule type="top10" dxfId="66" priority="83" rank="1"/>
  </conditionalFormatting>
  <conditionalFormatting sqref="N36:N37">
    <cfRule type="top10" dxfId="65" priority="96" rank="1"/>
  </conditionalFormatting>
  <conditionalFormatting sqref="N42:N43">
    <cfRule type="top10" dxfId="64" priority="143" rank="1"/>
  </conditionalFormatting>
  <conditionalFormatting sqref="N50:N51">
    <cfRule type="top10" dxfId="63" priority="198" rank="1"/>
  </conditionalFormatting>
  <conditionalFormatting sqref="N38:N39">
    <cfRule type="top10" dxfId="62" priority="100" rank="1"/>
  </conditionalFormatting>
  <conditionalFormatting sqref="N17:N18">
    <cfRule type="top10" dxfId="61" priority="87" rank="1"/>
  </conditionalFormatting>
  <conditionalFormatting sqref="O15:O16">
    <cfRule type="top10" dxfId="60" priority="84" bottom="1" rank="1"/>
  </conditionalFormatting>
  <conditionalFormatting sqref="O19:O20">
    <cfRule type="top10" dxfId="59" priority="90" bottom="1" rank="1"/>
  </conditionalFormatting>
  <conditionalFormatting sqref="O17:O18">
    <cfRule type="top10" dxfId="58" priority="88" bottom="1" rank="1"/>
  </conditionalFormatting>
  <conditionalFormatting sqref="O36:O37">
    <cfRule type="top10" dxfId="57" priority="99" bottom="1" rank="1"/>
  </conditionalFormatting>
  <conditionalFormatting sqref="O40:O41">
    <cfRule type="top10" dxfId="56" priority="118" bottom="1" rank="1"/>
  </conditionalFormatting>
  <conditionalFormatting sqref="O44:O45">
    <cfRule type="top10" dxfId="55" priority="158" bottom="1" rank="1"/>
  </conditionalFormatting>
  <conditionalFormatting sqref="O48:O49">
    <cfRule type="top10" dxfId="54" priority="175" bottom="1" rank="1"/>
  </conditionalFormatting>
  <conditionalFormatting sqref="O38:O39">
    <cfRule type="top10" dxfId="53" priority="102" bottom="1" rank="1"/>
  </conditionalFormatting>
  <conditionalFormatting sqref="O42:O43">
    <cfRule type="top10" dxfId="52" priority="149" bottom="1" rank="1"/>
  </conditionalFormatting>
  <conditionalFormatting sqref="O46:O47">
    <cfRule type="top10" dxfId="51" priority="170" bottom="1" rank="1"/>
  </conditionalFormatting>
  <conditionalFormatting sqref="O50:O51">
    <cfRule type="top10" dxfId="50" priority="200" bottom="1" rank="1"/>
  </conditionalFormatting>
  <conditionalFormatting sqref="N34:N35">
    <cfRule type="top10" dxfId="49" priority="93" rank="1"/>
  </conditionalFormatting>
  <conditionalFormatting sqref="O34:O35">
    <cfRule type="top10" dxfId="48" priority="94" bottom="1" rank="1"/>
  </conditionalFormatting>
  <conditionalFormatting sqref="N21:N22">
    <cfRule type="top10" dxfId="47" priority="91" rank="1"/>
  </conditionalFormatting>
  <conditionalFormatting sqref="O21:O22">
    <cfRule type="top10" dxfId="46" priority="92" bottom="1" rank="1"/>
  </conditionalFormatting>
  <conditionalFormatting sqref="N7:N8">
    <cfRule type="top10" dxfId="45" priority="17" rank="1"/>
  </conditionalFormatting>
  <conditionalFormatting sqref="N5:N6">
    <cfRule type="top10" dxfId="44" priority="15" rank="1"/>
  </conditionalFormatting>
  <conditionalFormatting sqref="O7:O8">
    <cfRule type="top10" dxfId="43" priority="18" bottom="1" rank="1"/>
  </conditionalFormatting>
  <conditionalFormatting sqref="O5:O6">
    <cfRule type="top10" dxfId="42" priority="16" bottom="1" rank="1"/>
  </conditionalFormatting>
  <conditionalFormatting sqref="N9:N10">
    <cfRule type="top10" dxfId="41" priority="19" rank="1"/>
  </conditionalFormatting>
  <conditionalFormatting sqref="O9:O10">
    <cfRule type="top10" dxfId="40" priority="20" bottom="1" rank="1"/>
  </conditionalFormatting>
  <conditionalFormatting sqref="N13:N14">
    <cfRule type="top10" dxfId="39" priority="23" rank="1"/>
  </conditionalFormatting>
  <conditionalFormatting sqref="N11:N12">
    <cfRule type="top10" dxfId="38" priority="21" rank="1"/>
  </conditionalFormatting>
  <conditionalFormatting sqref="O13:O14">
    <cfRule type="top10" dxfId="37" priority="24" bottom="1" rank="1"/>
  </conditionalFormatting>
  <conditionalFormatting sqref="O11:O12">
    <cfRule type="top10" dxfId="36" priority="22" bottom="1" rank="1"/>
  </conditionalFormatting>
  <conditionalFormatting sqref="T69:T1048576 W61:W1048576 W1:W51 T61:T64 T1:T51">
    <cfRule type="cellIs" dxfId="35" priority="14" operator="equal">
      <formula>TRUE</formula>
    </cfRule>
  </conditionalFormatting>
  <conditionalFormatting sqref="U69:V1048576 U61:V64 U1:V51">
    <cfRule type="cellIs" dxfId="34" priority="13" operator="equal">
      <formula>TRUE</formula>
    </cfRule>
  </conditionalFormatting>
  <conditionalFormatting sqref="N26:N27">
    <cfRule type="top10" dxfId="33" priority="5" rank="1"/>
  </conditionalFormatting>
  <conditionalFormatting sqref="O26:O27">
    <cfRule type="top10" dxfId="32" priority="6" bottom="1" rank="1"/>
  </conditionalFormatting>
  <conditionalFormatting sqref="N29:N30">
    <cfRule type="top10" dxfId="31" priority="3" rank="1"/>
  </conditionalFormatting>
  <conditionalFormatting sqref="O29:O30">
    <cfRule type="top10" dxfId="30" priority="4" bottom="1" rank="1"/>
  </conditionalFormatting>
  <conditionalFormatting sqref="N31:N32">
    <cfRule type="top10" dxfId="29" priority="1" rank="1"/>
  </conditionalFormatting>
  <conditionalFormatting sqref="O31:O32">
    <cfRule type="top10" dxfId="28" priority="2" bottom="1" rank="1"/>
  </conditionalFormatting>
  <conditionalFormatting sqref="N24:N25">
    <cfRule type="top10" dxfId="27" priority="7" rank="1"/>
  </conditionalFormatting>
  <conditionalFormatting sqref="O24:O25">
    <cfRule type="top10" dxfId="26" priority="8" bottom="1" rank="1"/>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05C2E-4AC9-48EC-9E57-BEB85703E80C}">
  <sheetPr codeName="Sheet8"/>
  <dimension ref="A1:AI39"/>
  <sheetViews>
    <sheetView zoomScale="85" zoomScaleNormal="85" workbookViewId="0">
      <selection activeCell="Q25" sqref="Q25:Q26"/>
    </sheetView>
  </sheetViews>
  <sheetFormatPr defaultRowHeight="15" x14ac:dyDescent="0.25"/>
  <cols>
    <col min="1" max="1" width="10.28515625" customWidth="1"/>
    <col min="2" max="2" width="10" customWidth="1"/>
    <col min="3" max="3" width="14.5703125" bestFit="1" customWidth="1"/>
    <col min="4" max="4" width="11.5703125" bestFit="1" customWidth="1"/>
    <col min="5" max="5" width="7.7109375" bestFit="1" customWidth="1"/>
    <col min="6" max="6" width="7.5703125" customWidth="1"/>
    <col min="7" max="7" width="7.85546875" bestFit="1" customWidth="1"/>
    <col min="8" max="8" width="15.85546875" bestFit="1" customWidth="1"/>
    <col min="9" max="9" width="12.5703125" bestFit="1" customWidth="1"/>
    <col min="10" max="10" width="8.85546875" bestFit="1" customWidth="1"/>
    <col min="11" max="12" width="13.7109375" bestFit="1" customWidth="1"/>
    <col min="13" max="13" width="11.5703125" bestFit="1" customWidth="1"/>
    <col min="14" max="15" width="13.7109375" bestFit="1" customWidth="1"/>
    <col min="16" max="16" width="12.28515625" bestFit="1" customWidth="1"/>
    <col min="17" max="17" width="8.85546875" bestFit="1" customWidth="1"/>
    <col min="18" max="18" width="12.28515625" bestFit="1" customWidth="1"/>
    <col min="19" max="19" width="7.85546875" bestFit="1" customWidth="1"/>
    <col min="20" max="20" width="9.7109375" bestFit="1" customWidth="1"/>
    <col min="21" max="21" width="9.5703125" bestFit="1" customWidth="1"/>
    <col min="22" max="22" width="9.7109375" bestFit="1" customWidth="1"/>
    <col min="23" max="23" width="9.5703125" bestFit="1" customWidth="1"/>
    <col min="24" max="24" width="6" bestFit="1" customWidth="1"/>
    <col min="25" max="25" width="6.7109375" bestFit="1" customWidth="1"/>
    <col min="26" max="26" width="6" bestFit="1" customWidth="1"/>
    <col min="27" max="27" width="9.5703125" bestFit="1" customWidth="1"/>
    <col min="28" max="28" width="7.85546875" bestFit="1" customWidth="1"/>
    <col min="29" max="30" width="12.5703125" bestFit="1" customWidth="1"/>
    <col min="31" max="31" width="12.28515625" bestFit="1" customWidth="1"/>
    <col min="32" max="32" width="6.140625" customWidth="1"/>
    <col min="33" max="33" width="12.28515625" bestFit="1" customWidth="1"/>
    <col min="34" max="34" width="6.140625" customWidth="1"/>
    <col min="35" max="35" width="8.7109375" bestFit="1" customWidth="1"/>
    <col min="36" max="36" width="6.140625" bestFit="1" customWidth="1"/>
    <col min="37" max="37" width="8.7109375" bestFit="1" customWidth="1"/>
    <col min="38" max="70" width="11.7109375" customWidth="1"/>
  </cols>
  <sheetData>
    <row r="1" spans="1:35" x14ac:dyDescent="0.25">
      <c r="A1" s="228"/>
      <c r="B1" s="228"/>
      <c r="C1" s="228"/>
      <c r="D1" s="228"/>
      <c r="E1" s="228"/>
      <c r="F1" s="228"/>
      <c r="G1" s="228"/>
      <c r="H1" s="345"/>
      <c r="I1" s="228"/>
      <c r="J1" s="228"/>
      <c r="K1" s="413">
        <v>5.4999999999999997E-3</v>
      </c>
      <c r="L1" s="413"/>
      <c r="M1" s="228"/>
      <c r="N1" s="260"/>
      <c r="O1" s="228"/>
      <c r="P1" s="441" t="str">
        <f>'MKT DATA'!J2</f>
        <v>2026-09-23_15-46-38</v>
      </c>
      <c r="Q1" s="441"/>
      <c r="R1" s="441"/>
      <c r="S1" s="441"/>
      <c r="T1" s="372"/>
      <c r="U1" s="372"/>
      <c r="Z1" s="261"/>
      <c r="AA1" s="261"/>
      <c r="AB1" s="261"/>
      <c r="AG1" s="435" t="s">
        <v>208</v>
      </c>
      <c r="AH1" s="437">
        <f ca="1">SUM(AH5:AH26)</f>
        <v>0</v>
      </c>
      <c r="AI1" s="439">
        <f ca="1">SUM(AI5:AI26)</f>
        <v>0</v>
      </c>
    </row>
    <row r="2" spans="1:35" ht="15.75" thickBot="1" x14ac:dyDescent="0.3">
      <c r="K2" s="414"/>
      <c r="L2" s="414"/>
      <c r="P2" s="442"/>
      <c r="Q2" s="442"/>
      <c r="R2" s="442"/>
      <c r="S2" s="442"/>
      <c r="T2" s="373"/>
      <c r="U2" s="373"/>
      <c r="AG2" s="436"/>
      <c r="AH2" s="438"/>
      <c r="AI2" s="440"/>
    </row>
    <row r="3" spans="1:35" x14ac:dyDescent="0.25">
      <c r="A3" s="423" t="s">
        <v>64</v>
      </c>
      <c r="B3" s="424"/>
      <c r="C3" s="152"/>
      <c r="D3" s="131"/>
      <c r="E3" s="76"/>
      <c r="F3" s="58"/>
      <c r="G3" s="58"/>
      <c r="H3" s="427" t="s">
        <v>66</v>
      </c>
      <c r="I3" s="428"/>
      <c r="J3" s="157"/>
      <c r="K3" s="433" t="s">
        <v>212</v>
      </c>
      <c r="L3" s="434"/>
      <c r="M3" s="39"/>
      <c r="N3" s="429" t="s">
        <v>69</v>
      </c>
      <c r="O3" s="430"/>
      <c r="P3" s="417" t="s">
        <v>81</v>
      </c>
      <c r="Q3" s="418"/>
      <c r="R3" s="419" t="s">
        <v>82</v>
      </c>
      <c r="S3" s="420"/>
      <c r="T3" s="45" t="s">
        <v>79</v>
      </c>
      <c r="U3" s="354" t="s">
        <v>80</v>
      </c>
      <c r="V3" s="355" t="s">
        <v>80</v>
      </c>
      <c r="W3" s="46" t="s">
        <v>79</v>
      </c>
      <c r="X3" s="425" t="s">
        <v>70</v>
      </c>
      <c r="Y3" s="425"/>
      <c r="Z3" s="425"/>
      <c r="AA3" s="426"/>
      <c r="AB3" s="266"/>
      <c r="AC3" s="45"/>
      <c r="AD3" s="47" t="s">
        <v>207</v>
      </c>
      <c r="AE3" s="47" t="s">
        <v>210</v>
      </c>
      <c r="AF3" s="47"/>
      <c r="AG3" s="47" t="s">
        <v>211</v>
      </c>
      <c r="AH3" s="47"/>
      <c r="AI3" s="46" t="s">
        <v>118</v>
      </c>
    </row>
    <row r="4" spans="1:35" ht="15.75" thickBot="1" x14ac:dyDescent="0.3">
      <c r="A4" s="31" t="s">
        <v>202</v>
      </c>
      <c r="B4" s="32" t="s">
        <v>65</v>
      </c>
      <c r="C4" s="31" t="s">
        <v>118</v>
      </c>
      <c r="D4" s="132" t="s">
        <v>150</v>
      </c>
      <c r="E4" s="77" t="s">
        <v>76</v>
      </c>
      <c r="F4" s="130" t="s">
        <v>89</v>
      </c>
      <c r="G4" s="59" t="s">
        <v>59</v>
      </c>
      <c r="H4" s="63" t="s">
        <v>67</v>
      </c>
      <c r="I4" s="64" t="s">
        <v>68</v>
      </c>
      <c r="J4" s="158" t="s">
        <v>148</v>
      </c>
      <c r="K4" s="297" t="s">
        <v>67</v>
      </c>
      <c r="L4" s="298" t="s">
        <v>68</v>
      </c>
      <c r="M4" s="66" t="s">
        <v>60</v>
      </c>
      <c r="N4" s="67" t="s">
        <v>62</v>
      </c>
      <c r="O4" s="68" t="s">
        <v>63</v>
      </c>
      <c r="P4" s="40" t="s">
        <v>77</v>
      </c>
      <c r="Q4" s="350" t="s">
        <v>32</v>
      </c>
      <c r="R4" s="351" t="s">
        <v>77</v>
      </c>
      <c r="S4" s="48" t="s">
        <v>32</v>
      </c>
      <c r="T4" s="69" t="s">
        <v>83</v>
      </c>
      <c r="U4" s="370" t="s">
        <v>84</v>
      </c>
      <c r="V4" s="371" t="s">
        <v>83</v>
      </c>
      <c r="W4" s="70" t="s">
        <v>84</v>
      </c>
      <c r="X4" s="221" t="s">
        <v>71</v>
      </c>
      <c r="Y4" s="222" t="s">
        <v>86</v>
      </c>
      <c r="Z4" s="223" t="s">
        <v>85</v>
      </c>
      <c r="AA4" s="224" t="s">
        <v>72</v>
      </c>
      <c r="AB4" s="59" t="str">
        <f t="shared" ref="AB4:AB24" si="0">G4</f>
        <v>symbol</v>
      </c>
      <c r="AC4" s="272" t="s">
        <v>203</v>
      </c>
      <c r="AD4" s="273" t="s">
        <v>209</v>
      </c>
      <c r="AE4" s="273" t="s">
        <v>205</v>
      </c>
      <c r="AF4" s="273" t="s">
        <v>204</v>
      </c>
      <c r="AG4" s="273" t="s">
        <v>205</v>
      </c>
      <c r="AH4" s="277" t="s">
        <v>206</v>
      </c>
      <c r="AI4" s="64" t="s">
        <v>206</v>
      </c>
    </row>
    <row r="5" spans="1:35" x14ac:dyDescent="0.25">
      <c r="A5" s="140">
        <f>MATCH(G5,SCALARS!C:C,0)</f>
        <v>61</v>
      </c>
      <c r="B5" s="141">
        <f>MATCH(G5,'MKT DATA'!B:B,0)</f>
        <v>61</v>
      </c>
      <c r="C5" s="140" t="str" cm="1">
        <f t="array" aca="1" ref="C5" ca="1">INDIRECT(ADDRESS($A5,2,,,"scalars"))</f>
        <v>atlanta braves</v>
      </c>
      <c r="D5" s="217" cm="1">
        <f t="array" aca="1" ref="D5" ca="1">INDIRECT(ADDRESS($A5,8,,,"SCALARS"))</f>
        <v>542200</v>
      </c>
      <c r="E5" s="219"/>
      <c r="F5" s="14" t="str" cm="1">
        <f t="array" aca="1" ref="F5" ca="1">INDIRECT(ADDRESS($A5,5,,,"scalars"))</f>
        <v>BATRA</v>
      </c>
      <c r="G5" s="311" t="s">
        <v>262</v>
      </c>
      <c r="H5" s="33" cm="1">
        <f t="array" aca="1" ref="H5" ca="1">INDIRECT(ADDRESS($B5,5,,,"mkt data"))</f>
        <v>53.33</v>
      </c>
      <c r="I5" s="34" cm="1">
        <f t="array" aca="1" ref="I5" ca="1">INDIRECT(ADDRESS($B5,6,,,"mkt data"))</f>
        <v>53.38</v>
      </c>
      <c r="J5" s="248" cm="1">
        <f t="array" aca="1" ref="J5" ca="1">INDIRECT(ADDRESS($A5,7,,,"SCALARS"))</f>
        <v>0</v>
      </c>
      <c r="K5" s="16">
        <f t="shared" ref="K5:K26" ca="1" si="1">H5+J5-K$1</f>
        <v>53.3245</v>
      </c>
      <c r="L5" s="16">
        <f t="shared" ref="L5:L26" ca="1" si="2">I5+J5+K$1</f>
        <v>53.3855</v>
      </c>
      <c r="M5" s="49" cm="1">
        <f t="array" aca="1" ref="M5" ca="1">INDIRECT(ADDRESS($A5,6,,,"scalars"))</f>
        <v>1.102769401099065</v>
      </c>
      <c r="N5" s="17">
        <f t="shared" ref="N5:N26" ca="1" si="3">K5*M5</f>
        <v>58.804626928907091</v>
      </c>
      <c r="O5" s="17">
        <f t="shared" ref="O5:O26" ca="1" si="4">M5*L5</f>
        <v>58.871895862374132</v>
      </c>
      <c r="P5" s="385">
        <f ca="1">N6-O5</f>
        <v>-0.80739586237412908</v>
      </c>
      <c r="Q5" s="387">
        <f ca="1">LN(N6/O5)</f>
        <v>-1.3809365119358975E-2</v>
      </c>
      <c r="R5" s="421">
        <f ca="1">N5-O6</f>
        <v>0.59912692890708996</v>
      </c>
      <c r="S5" s="411">
        <f ca="1">LN(N5/O6)</f>
        <v>1.0240689085271574E-2</v>
      </c>
      <c r="T5" s="71">
        <v>0.01</v>
      </c>
      <c r="U5" s="358">
        <v>2.5000000000000001E-3</v>
      </c>
      <c r="V5" s="359">
        <v>2.5000000000000001E-3</v>
      </c>
      <c r="W5" s="72">
        <v>1.4999999999999999E-2</v>
      </c>
      <c r="X5" s="27" cm="1">
        <f t="array" aca="1" ref="X5" ca="1">INDIRECT(ADDRESS($B5,9,,,"mkt data"))</f>
        <v>0</v>
      </c>
      <c r="Y5" s="53">
        <f t="shared" ref="Y5:Y26" ca="1" si="5">X5*AVERAGE(H5:I5)</f>
        <v>0</v>
      </c>
      <c r="Z5" s="27">
        <f t="shared" ref="Z5:Z26" ca="1" si="6">X5/M5</f>
        <v>0</v>
      </c>
      <c r="AA5" s="405">
        <f ca="1">SUM(Z5:Z6)</f>
        <v>0</v>
      </c>
      <c r="AB5" s="282" t="str">
        <f t="shared" ref="AB5:AB12" si="7">G5</f>
        <v>BATRK</v>
      </c>
      <c r="AC5" s="33" cm="1">
        <f t="array" aca="1" ref="AC5" ca="1">INDIRECT(ADDRESS($B5,8,,,"mkt data"))</f>
        <v>52.834999000000003</v>
      </c>
      <c r="AD5" s="274">
        <f t="shared" ref="AD5:AD26" ca="1" si="8">AVERAGE(H5,I5)</f>
        <v>53.355000000000004</v>
      </c>
      <c r="AE5" s="274">
        <f t="shared" ref="AE5:AE26" ca="1" si="9">AD5-AC5</f>
        <v>0.5200010000000006</v>
      </c>
      <c r="AF5" s="285">
        <v>0</v>
      </c>
      <c r="AG5" s="274">
        <f t="shared" ref="AG5:AG26" ca="1" si="10">AE5+AF5</f>
        <v>0.5200010000000006</v>
      </c>
      <c r="AH5" s="274">
        <f t="shared" ref="AH5:AH26" ca="1" si="11">AG5*X5</f>
        <v>0</v>
      </c>
      <c r="AI5" s="383">
        <f ca="1">AH5+AH6</f>
        <v>0</v>
      </c>
    </row>
    <row r="6" spans="1:35" ht="15.75" thickBot="1" x14ac:dyDescent="0.3">
      <c r="A6" s="142">
        <f>MATCH(G6,SCALARS!C:C,0)</f>
        <v>60</v>
      </c>
      <c r="B6" s="143">
        <f>MATCH(G6,'MKT DATA'!B:B,0)</f>
        <v>60</v>
      </c>
      <c r="C6" s="142" t="str" cm="1">
        <f t="array" aca="1" ref="C6" ca="1">INDIRECT(ADDRESS($A6,2,,,"scalars"))</f>
        <v>atlanta braves</v>
      </c>
      <c r="D6" s="218" cm="1">
        <f t="array" aca="1" ref="D6" ca="1">INDIRECT(ADDRESS($A6,8,,,"SCALARS"))</f>
        <v>68300</v>
      </c>
      <c r="E6" s="220"/>
      <c r="F6" s="20" t="str" cm="1">
        <f t="array" aca="1" ref="F6" ca="1">INDIRECT(ADDRESS($A6,5,,,"scalars"))</f>
        <v>BATRA</v>
      </c>
      <c r="G6" s="312" t="s">
        <v>261</v>
      </c>
      <c r="H6" s="37" cm="1">
        <f t="array" aca="1" ref="H6" ca="1">INDIRECT(ADDRESS($B6,5,,,"mkt data"))</f>
        <v>58.07</v>
      </c>
      <c r="I6" s="38" cm="1">
        <f t="array" aca="1" ref="I6" ca="1">INDIRECT(ADDRESS($B6,6,,,"mkt data"))</f>
        <v>58.2</v>
      </c>
      <c r="J6" s="249" cm="1">
        <f t="array" aca="1" ref="J6" ca="1">INDIRECT(ADDRESS($A6,7,,,"SCALARS"))</f>
        <v>0</v>
      </c>
      <c r="K6" s="22">
        <f t="shared" ca="1" si="1"/>
        <v>58.064500000000002</v>
      </c>
      <c r="L6" s="22">
        <f t="shared" ca="1" si="2"/>
        <v>58.205500000000001</v>
      </c>
      <c r="M6" s="50" cm="1">
        <f t="array" aca="1" ref="M6" ca="1">INDIRECT(ADDRESS($A6,6,,,"scalars"))</f>
        <v>1</v>
      </c>
      <c r="N6" s="23">
        <f t="shared" ca="1" si="3"/>
        <v>58.064500000000002</v>
      </c>
      <c r="O6" s="23">
        <f t="shared" ca="1" si="4"/>
        <v>58.205500000000001</v>
      </c>
      <c r="P6" s="386"/>
      <c r="Q6" s="388"/>
      <c r="R6" s="422"/>
      <c r="S6" s="412"/>
      <c r="T6" s="73" t="b">
        <f ca="1">IF(Q5&gt;T5,TRUE,FALSE)</f>
        <v>0</v>
      </c>
      <c r="U6" s="360" t="b">
        <f ca="1">AND(IF(S5&gt;-U5,TRUE,FALSE),IF(X5&gt;0,TRUE,FALSE))</f>
        <v>0</v>
      </c>
      <c r="V6" s="361" t="b">
        <f ca="1">AND(IF(Q5&gt;-V5,TRUE,FALSE),IF(X5&lt;0,TRUE,FALSE))</f>
        <v>0</v>
      </c>
      <c r="W6" s="74" t="b">
        <f ca="1">IF(S5&gt;W5,TRUE,FALSE)</f>
        <v>0</v>
      </c>
      <c r="X6" s="29" cm="1">
        <f t="array" aca="1" ref="X6" ca="1">INDIRECT(ADDRESS($B6,9,,,"mkt data"))</f>
        <v>0</v>
      </c>
      <c r="Y6" s="55">
        <f t="shared" ca="1" si="5"/>
        <v>0</v>
      </c>
      <c r="Z6" s="29">
        <f t="shared" ca="1" si="6"/>
        <v>0</v>
      </c>
      <c r="AA6" s="406"/>
      <c r="AB6" s="290" t="str">
        <f t="shared" si="7"/>
        <v>BATRA</v>
      </c>
      <c r="AC6" s="37" cm="1">
        <f t="array" aca="1" ref="AC6" ca="1">INDIRECT(ADDRESS($B6,8,,,"mkt data"))</f>
        <v>57.740001999999997</v>
      </c>
      <c r="AD6" s="276">
        <f t="shared" ca="1" si="8"/>
        <v>58.135000000000005</v>
      </c>
      <c r="AE6" s="276">
        <f t="shared" ca="1" si="9"/>
        <v>0.39499800000000818</v>
      </c>
      <c r="AF6" s="287">
        <v>0</v>
      </c>
      <c r="AG6" s="276">
        <f t="shared" ca="1" si="10"/>
        <v>0.39499800000000818</v>
      </c>
      <c r="AH6" s="276">
        <f t="shared" ca="1" si="11"/>
        <v>0</v>
      </c>
      <c r="AI6" s="384"/>
    </row>
    <row r="7" spans="1:35" x14ac:dyDescent="0.25">
      <c r="A7" s="140">
        <f>MATCH(G7,SCALARS!C:C,0)</f>
        <v>55</v>
      </c>
      <c r="B7" s="141">
        <f>MATCH(G7,'MKT DATA'!B:B,0)</f>
        <v>55</v>
      </c>
      <c r="C7" s="140" t="str" cm="1">
        <f t="array" aca="1" ref="C7" ca="1">INDIRECT(ADDRESS($A7,2,,,"scalars"))</f>
        <v>brown foreman</v>
      </c>
      <c r="D7" s="217" cm="1">
        <f t="array" aca="1" ref="D7" ca="1">INDIRECT(ADDRESS($A7,8,,,"SCALARS"))</f>
        <v>2468500</v>
      </c>
      <c r="E7" s="219"/>
      <c r="F7" s="14" t="str" cm="1">
        <f t="array" aca="1" ref="F7" ca="1">INDIRECT(ADDRESS($A7,5,,,"scalars"))</f>
        <v>BF A</v>
      </c>
      <c r="G7" s="311" t="s">
        <v>253</v>
      </c>
      <c r="H7" s="33" cm="1">
        <f t="array" aca="1" ref="H7" ca="1">INDIRECT(ADDRESS($B7,5,,,"mkt data"))</f>
        <v>26.2</v>
      </c>
      <c r="I7" s="34" cm="1">
        <f t="array" aca="1" ref="I7" ca="1">INDIRECT(ADDRESS($B7,6,,,"mkt data"))</f>
        <v>26.21</v>
      </c>
      <c r="J7" s="248" cm="1">
        <f t="array" aca="1" ref="J7" ca="1">INDIRECT(ADDRESS($A7,7,,,"SCALARS"))</f>
        <v>0</v>
      </c>
      <c r="K7" s="16">
        <f t="shared" ca="1" si="1"/>
        <v>26.194499999999998</v>
      </c>
      <c r="L7" s="16">
        <f t="shared" ca="1" si="2"/>
        <v>26.215500000000002</v>
      </c>
      <c r="M7" s="49" cm="1">
        <f t="array" aca="1" ref="M7" ca="1">INDIRECT(ADDRESS($A7,6,,,"scalars"))</f>
        <v>1.0187431231444553</v>
      </c>
      <c r="N7" s="17">
        <f t="shared" ca="1" si="3"/>
        <v>26.685466739207431</v>
      </c>
      <c r="O7" s="17">
        <f t="shared" ca="1" si="4"/>
        <v>26.706860344793469</v>
      </c>
      <c r="P7" s="385">
        <f ca="1">N8-O7</f>
        <v>-0.10236034479347111</v>
      </c>
      <c r="Q7" s="387">
        <f ca="1">LN(N8/O7)</f>
        <v>-3.8400997430320621E-3</v>
      </c>
      <c r="R7" s="421">
        <f ca="1">N7-O8</f>
        <v>1.996673920742964E-2</v>
      </c>
      <c r="S7" s="411">
        <f ca="1">LN(N7/O8)</f>
        <v>7.4850527966043143E-4</v>
      </c>
      <c r="T7" s="71">
        <v>0.01</v>
      </c>
      <c r="U7" s="358">
        <v>5.0000000000000001E-3</v>
      </c>
      <c r="V7" s="359">
        <v>7.4999999999999997E-3</v>
      </c>
      <c r="W7" s="72">
        <v>1.4999999999999999E-2</v>
      </c>
      <c r="X7" s="27" cm="1">
        <f t="array" aca="1" ref="X7" ca="1">INDIRECT(ADDRESS($B7,9,,,"mkt data"))</f>
        <v>0</v>
      </c>
      <c r="Y7" s="53">
        <f t="shared" ca="1" si="5"/>
        <v>0</v>
      </c>
      <c r="Z7" s="27">
        <f t="shared" ca="1" si="6"/>
        <v>0</v>
      </c>
      <c r="AA7" s="405">
        <f ca="1">SUM(Z7:Z8)</f>
        <v>0</v>
      </c>
      <c r="AB7" s="282" t="str">
        <f t="shared" si="7"/>
        <v>BF B</v>
      </c>
      <c r="AC7" s="33" cm="1">
        <f t="array" aca="1" ref="AC7" ca="1">INDIRECT(ADDRESS($B7,8,,,"mkt data"))</f>
        <v>26.559999000000001</v>
      </c>
      <c r="AD7" s="274">
        <f t="shared" ca="1" si="8"/>
        <v>26.204999999999998</v>
      </c>
      <c r="AE7" s="274">
        <f t="shared" ca="1" si="9"/>
        <v>-0.35499900000000295</v>
      </c>
      <c r="AF7" s="285">
        <v>0</v>
      </c>
      <c r="AG7" s="274">
        <f t="shared" ca="1" si="10"/>
        <v>-0.35499900000000295</v>
      </c>
      <c r="AH7" s="274">
        <f t="shared" ca="1" si="11"/>
        <v>0</v>
      </c>
      <c r="AI7" s="383">
        <f ca="1">AH7+AH8</f>
        <v>0</v>
      </c>
    </row>
    <row r="8" spans="1:35" ht="15.75" thickBot="1" x14ac:dyDescent="0.3">
      <c r="A8" s="142">
        <f>MATCH(G8,SCALARS!C:C,0)</f>
        <v>54</v>
      </c>
      <c r="B8" s="143">
        <f>MATCH(G8,'MKT DATA'!B:B,0)</f>
        <v>54</v>
      </c>
      <c r="C8" s="142" t="str" cm="1">
        <f t="array" aca="1" ref="C8" ca="1">INDIRECT(ADDRESS($A8,2,,,"scalars"))</f>
        <v>brown foreman</v>
      </c>
      <c r="D8" s="218" cm="1">
        <f t="array" aca="1" ref="D8" ca="1">INDIRECT(ADDRESS($A8,8,,,"SCALARS"))</f>
        <v>152500</v>
      </c>
      <c r="E8" s="220"/>
      <c r="F8" s="20" t="str" cm="1">
        <f t="array" aca="1" ref="F8" ca="1">INDIRECT(ADDRESS($A8,5,,,"scalars"))</f>
        <v>BF A</v>
      </c>
      <c r="G8" s="312" t="s">
        <v>252</v>
      </c>
      <c r="H8" s="37" cm="1">
        <f t="array" aca="1" ref="H8" ca="1">INDIRECT(ADDRESS($B8,5,,,"mkt data"))</f>
        <v>26.61</v>
      </c>
      <c r="I8" s="38" cm="1">
        <f t="array" aca="1" ref="I8" ca="1">INDIRECT(ADDRESS($B8,6,,,"mkt data"))</f>
        <v>26.66</v>
      </c>
      <c r="J8" s="249" cm="1">
        <f t="array" aca="1" ref="J8" ca="1">INDIRECT(ADDRESS($A8,7,,,"SCALARS"))</f>
        <v>0</v>
      </c>
      <c r="K8" s="22">
        <f t="shared" ca="1" si="1"/>
        <v>26.604499999999998</v>
      </c>
      <c r="L8" s="22">
        <f t="shared" ca="1" si="2"/>
        <v>26.665500000000002</v>
      </c>
      <c r="M8" s="50" cm="1">
        <f t="array" aca="1" ref="M8" ca="1">INDIRECT(ADDRESS($A8,6,,,"scalars"))</f>
        <v>1</v>
      </c>
      <c r="N8" s="23">
        <f t="shared" ca="1" si="3"/>
        <v>26.604499999999998</v>
      </c>
      <c r="O8" s="23">
        <f t="shared" ca="1" si="4"/>
        <v>26.665500000000002</v>
      </c>
      <c r="P8" s="386"/>
      <c r="Q8" s="388"/>
      <c r="R8" s="422"/>
      <c r="S8" s="412"/>
      <c r="T8" s="73" t="b">
        <f ca="1">IF(Q7&gt;T7,TRUE,FALSE)</f>
        <v>0</v>
      </c>
      <c r="U8" s="360" t="b">
        <f ca="1">AND(IF(S7&gt;-U7,TRUE,FALSE),IF(X7&gt;0,TRUE,FALSE))</f>
        <v>0</v>
      </c>
      <c r="V8" s="361" t="b">
        <f ca="1">AND(IF(Q7&gt;-V7,TRUE,FALSE),IF(X7&lt;0,TRUE,FALSE))</f>
        <v>0</v>
      </c>
      <c r="W8" s="74" t="b">
        <f ca="1">IF(S7&gt;W7,TRUE,FALSE)</f>
        <v>0</v>
      </c>
      <c r="X8" s="29" cm="1">
        <f t="array" aca="1" ref="X8" ca="1">INDIRECT(ADDRESS($B8,9,,,"mkt data"))</f>
        <v>0</v>
      </c>
      <c r="Y8" s="55">
        <f t="shared" ca="1" si="5"/>
        <v>0</v>
      </c>
      <c r="Z8" s="29">
        <f t="shared" ca="1" si="6"/>
        <v>0</v>
      </c>
      <c r="AA8" s="406"/>
      <c r="AB8" s="290" t="str">
        <f t="shared" si="7"/>
        <v>BF A</v>
      </c>
      <c r="AC8" s="37" cm="1">
        <f t="array" aca="1" ref="AC8" ca="1">INDIRECT(ADDRESS($B8,8,,,"mkt data"))</f>
        <v>26.940000999999999</v>
      </c>
      <c r="AD8" s="276">
        <f t="shared" ca="1" si="8"/>
        <v>26.634999999999998</v>
      </c>
      <c r="AE8" s="276">
        <f t="shared" ca="1" si="9"/>
        <v>-0.30500100000000074</v>
      </c>
      <c r="AF8" s="287">
        <v>0</v>
      </c>
      <c r="AG8" s="276">
        <f t="shared" ca="1" si="10"/>
        <v>-0.30500100000000074</v>
      </c>
      <c r="AH8" s="276">
        <f t="shared" ca="1" si="11"/>
        <v>0</v>
      </c>
      <c r="AI8" s="384"/>
    </row>
    <row r="9" spans="1:35" x14ac:dyDescent="0.25">
      <c r="A9" s="140">
        <f>MATCH(G9,SCALARS!C:C,0)</f>
        <v>43</v>
      </c>
      <c r="B9" s="141">
        <f>MATCH(G9,'MKT DATA'!B:B,0)</f>
        <v>43</v>
      </c>
      <c r="C9" s="140" t="str" cm="1">
        <f t="array" aca="1" ref="C9" ca="1">INDIRECT(ADDRESS($A9,2,,,"scalars"))</f>
        <v>berkshire</v>
      </c>
      <c r="D9" s="217" cm="1">
        <f t="array" aca="1" ref="D9" ca="1">INDIRECT(ADDRESS($A9,8,,,"SCALARS"))</f>
        <v>11167400</v>
      </c>
      <c r="E9" s="219"/>
      <c r="F9" s="14" t="str" cm="1">
        <f t="array" aca="1" ref="F9" ca="1">INDIRECT(ADDRESS($A9,5,,,"scalars"))</f>
        <v>BRK A</v>
      </c>
      <c r="G9" s="311" t="s">
        <v>184</v>
      </c>
      <c r="H9" s="33" cm="1">
        <f t="array" aca="1" ref="H9" ca="1">INDIRECT(ADDRESS($B9,5,,,"mkt data"))</f>
        <v>508.39</v>
      </c>
      <c r="I9" s="34" cm="1">
        <f t="array" aca="1" ref="I9" ca="1">INDIRECT(ADDRESS($B9,6,,,"mkt data"))</f>
        <v>508.46</v>
      </c>
      <c r="J9" s="248" cm="1">
        <f t="array" aca="1" ref="J9" ca="1">INDIRECT(ADDRESS($A9,7,,,"SCALARS"))</f>
        <v>0</v>
      </c>
      <c r="K9" s="16">
        <f t="shared" ca="1" si="1"/>
        <v>508.3845</v>
      </c>
      <c r="L9" s="16">
        <f t="shared" ca="1" si="2"/>
        <v>508.46549999999996</v>
      </c>
      <c r="M9" s="49" cm="1">
        <f t="array" aca="1" ref="M9" ca="1">INDIRECT(ADDRESS($A9,6,,,"scalars"))</f>
        <v>1499.6928688102066</v>
      </c>
      <c r="N9" s="17">
        <f t="shared" ca="1" si="3"/>
        <v>762420.60926364246</v>
      </c>
      <c r="O9" s="17">
        <f t="shared" ca="1" si="4"/>
        <v>762542.08438601601</v>
      </c>
      <c r="P9" s="385">
        <f ca="1">N10-O9</f>
        <v>184.44011398404837</v>
      </c>
      <c r="Q9" s="387">
        <f ca="1">LN(N10/O9)</f>
        <v>2.4184607722002642E-4</v>
      </c>
      <c r="R9" s="421">
        <f ca="1">N9-O10</f>
        <v>-648.06623635755386</v>
      </c>
      <c r="S9" s="411">
        <f ca="1">LN(N9/O10)</f>
        <v>-8.4965038013342211E-4</v>
      </c>
      <c r="T9" s="71">
        <v>4.0000000000000001E-3</v>
      </c>
      <c r="U9" s="358">
        <v>1E-3</v>
      </c>
      <c r="V9" s="359">
        <v>1E-3</v>
      </c>
      <c r="W9" s="72">
        <v>4.0000000000000001E-3</v>
      </c>
      <c r="X9" s="27" cm="1">
        <f t="array" aca="1" ref="X9" ca="1">INDIRECT(ADDRESS($B9,9,,,"mkt data"))</f>
        <v>0</v>
      </c>
      <c r="Y9" s="53">
        <f t="shared" ca="1" si="5"/>
        <v>0</v>
      </c>
      <c r="Z9" s="27">
        <f t="shared" ca="1" si="6"/>
        <v>0</v>
      </c>
      <c r="AA9" s="399">
        <f ca="1">SUM(Z9:Z10)</f>
        <v>0</v>
      </c>
      <c r="AB9" s="282" t="str">
        <f t="shared" si="7"/>
        <v>BRK B</v>
      </c>
      <c r="AC9" s="33" cm="1">
        <f t="array" aca="1" ref="AC9" ca="1">INDIRECT(ADDRESS($B9,8,,,"mkt data"))</f>
        <v>503.48998999999998</v>
      </c>
      <c r="AD9" s="274">
        <f t="shared" ca="1" si="8"/>
        <v>508.42499999999995</v>
      </c>
      <c r="AE9" s="274">
        <f t="shared" ca="1" si="9"/>
        <v>4.935009999999977</v>
      </c>
      <c r="AF9" s="285">
        <v>0</v>
      </c>
      <c r="AG9" s="274">
        <f t="shared" ca="1" si="10"/>
        <v>4.935009999999977</v>
      </c>
      <c r="AH9" s="274">
        <f t="shared" ca="1" si="11"/>
        <v>0</v>
      </c>
      <c r="AI9" s="383">
        <f ca="1">AH9+AH10</f>
        <v>0</v>
      </c>
    </row>
    <row r="10" spans="1:35" ht="15.75" thickBot="1" x14ac:dyDescent="0.3">
      <c r="A10" s="142">
        <f>MATCH(G10,SCALARS!C:C,0)</f>
        <v>42</v>
      </c>
      <c r="B10" s="143">
        <f>MATCH(G10,'MKT DATA'!B:B,0)</f>
        <v>42</v>
      </c>
      <c r="C10" s="142" t="str" cm="1">
        <f t="array" aca="1" ref="C10" ca="1">INDIRECT(ADDRESS($A10,2,,,"scalars"))</f>
        <v>berkshire</v>
      </c>
      <c r="D10" s="218" cm="1">
        <f t="array" aca="1" ref="D10" ca="1">INDIRECT(ADDRESS($A10,8,,,"SCALARS"))</f>
        <v>18100</v>
      </c>
      <c r="E10" s="220"/>
      <c r="F10" s="20" t="str" cm="1">
        <f t="array" aca="1" ref="F10" ca="1">INDIRECT(ADDRESS($A10,5,,,"scalars"))</f>
        <v>BRK A</v>
      </c>
      <c r="G10" s="312" t="s">
        <v>183</v>
      </c>
      <c r="H10" s="37" cm="1">
        <f t="array" aca="1" ref="H10" ca="1">INDIRECT(ADDRESS($B10,5,,,"mkt data"))</f>
        <v>762726.53</v>
      </c>
      <c r="I10" s="38" cm="1">
        <f t="array" aca="1" ref="I10" ca="1">INDIRECT(ADDRESS($B10,6,,,"mkt data"))</f>
        <v>763068.67</v>
      </c>
      <c r="J10" s="249" cm="1">
        <f t="array" aca="1" ref="J10" ca="1">INDIRECT(ADDRESS($A10,7,,,"SCALARS"))</f>
        <v>0</v>
      </c>
      <c r="K10" s="22">
        <f t="shared" ca="1" si="1"/>
        <v>762726.52450000006</v>
      </c>
      <c r="L10" s="22">
        <f t="shared" ca="1" si="2"/>
        <v>763068.67550000001</v>
      </c>
      <c r="M10" s="50" cm="1">
        <f t="array" aca="1" ref="M10" ca="1">INDIRECT(ADDRESS($A10,6,,,"scalars"))</f>
        <v>1</v>
      </c>
      <c r="N10" s="23">
        <f t="shared" ca="1" si="3"/>
        <v>762726.52450000006</v>
      </c>
      <c r="O10" s="23">
        <f t="shared" ca="1" si="4"/>
        <v>763068.67550000001</v>
      </c>
      <c r="P10" s="386"/>
      <c r="Q10" s="388"/>
      <c r="R10" s="422"/>
      <c r="S10" s="412"/>
      <c r="T10" s="73" t="b">
        <f ca="1">IF(Q9&gt;T9,TRUE,FALSE)</f>
        <v>0</v>
      </c>
      <c r="U10" s="360" t="b">
        <f ca="1">AND(IF(S9&gt;-U9,TRUE,FALSE),IF(X9&gt;0,TRUE,FALSE))</f>
        <v>0</v>
      </c>
      <c r="V10" s="361" t="b">
        <f ca="1">AND(IF(Q9&gt;-V9,TRUE,FALSE),IF(X9&lt;0,TRUE,FALSE))</f>
        <v>0</v>
      </c>
      <c r="W10" s="74" t="b">
        <f ca="1">IF(S9&gt;W9,TRUE,FALSE)</f>
        <v>0</v>
      </c>
      <c r="X10" s="29" cm="1">
        <f t="array" aca="1" ref="X10" ca="1">INDIRECT(ADDRESS($B10,9,,,"mkt data"))</f>
        <v>0</v>
      </c>
      <c r="Y10" s="55">
        <f t="shared" ca="1" si="5"/>
        <v>0</v>
      </c>
      <c r="Z10" s="29">
        <f t="shared" ca="1" si="6"/>
        <v>0</v>
      </c>
      <c r="AA10" s="400"/>
      <c r="AB10" s="290" t="str">
        <f t="shared" si="7"/>
        <v>BRK A</v>
      </c>
      <c r="AC10" s="37" cm="1">
        <f t="array" aca="1" ref="AC10" ca="1">INDIRECT(ADDRESS($B10,8,,,"mkt data"))</f>
        <v>755649.0625</v>
      </c>
      <c r="AD10" s="276">
        <f t="shared" ca="1" si="8"/>
        <v>762897.60000000009</v>
      </c>
      <c r="AE10" s="276">
        <f t="shared" ca="1" si="9"/>
        <v>7248.5375000000931</v>
      </c>
      <c r="AF10" s="287">
        <v>0</v>
      </c>
      <c r="AG10" s="276">
        <f t="shared" ca="1" si="10"/>
        <v>7248.5375000000931</v>
      </c>
      <c r="AH10" s="276">
        <f t="shared" ca="1" si="11"/>
        <v>0</v>
      </c>
      <c r="AI10" s="384"/>
    </row>
    <row r="11" spans="1:35" x14ac:dyDescent="0.25">
      <c r="A11" s="140">
        <f>MATCH(G11,SCALARS!C:C,0)</f>
        <v>44</v>
      </c>
      <c r="B11" s="141">
        <f>MATCH(G11,'MKT DATA'!B:B,0)</f>
        <v>44</v>
      </c>
      <c r="C11" s="140" t="str" cm="1">
        <f t="array" aca="1" ref="C11" ca="1">INDIRECT(ADDRESS($A11,2,,,"scalars"))</f>
        <v>fox corp</v>
      </c>
      <c r="D11" s="217" cm="1">
        <f t="array" aca="1" ref="D11" ca="1">INDIRECT(ADDRESS($A11,8,,,"SCALARS"))</f>
        <v>1370500</v>
      </c>
      <c r="E11" s="219"/>
      <c r="F11" s="14" t="str" cm="1">
        <f t="array" aca="1" ref="F11" ca="1">INDIRECT(ADDRESS($A11,5,,,"scalars"))</f>
        <v>FOXA</v>
      </c>
      <c r="G11" s="311" t="s">
        <v>168</v>
      </c>
      <c r="H11" s="33" cm="1">
        <f t="array" aca="1" ref="H11" ca="1">INDIRECT(ADDRESS($B11,5,,,"mkt data"))</f>
        <v>56.92</v>
      </c>
      <c r="I11" s="34" cm="1">
        <f t="array" aca="1" ref="I11" ca="1">INDIRECT(ADDRESS($B11,6,,,"mkt data"))</f>
        <v>56.97</v>
      </c>
      <c r="J11" s="248" cm="1">
        <f t="array" aca="1" ref="J11" ca="1">INDIRECT(ADDRESS($A11,7,,,"SCALARS"))</f>
        <v>0</v>
      </c>
      <c r="K11" s="16">
        <f t="shared" ca="1" si="1"/>
        <v>56.914500000000004</v>
      </c>
      <c r="L11" s="16">
        <f t="shared" ca="1" si="2"/>
        <v>56.975499999999997</v>
      </c>
      <c r="M11" s="49" cm="1">
        <f t="array" aca="1" ref="M11" ca="1">INDIRECT(ADDRESS($A11,6,,,"scalars"))</f>
        <v>1.1190365051237789</v>
      </c>
      <c r="N11" s="17">
        <f t="shared" ca="1" si="3"/>
        <v>63.689403170867323</v>
      </c>
      <c r="O11" s="17">
        <f t="shared" ca="1" si="4"/>
        <v>63.757664397679861</v>
      </c>
      <c r="P11" s="385">
        <f ca="1">N12-O11</f>
        <v>4.6835602320143721E-2</v>
      </c>
      <c r="Q11" s="387">
        <f ca="1">LN(N12/O11)</f>
        <v>7.3431812082924404E-4</v>
      </c>
      <c r="R11" s="421">
        <f ca="1">N11-O12</f>
        <v>-0.14609682913267363</v>
      </c>
      <c r="S11" s="411">
        <f ca="1">LN(N11/O12)</f>
        <v>-2.291268441163979E-3</v>
      </c>
      <c r="T11" s="71">
        <v>0.01</v>
      </c>
      <c r="U11" s="358">
        <v>2.5000000000000001E-3</v>
      </c>
      <c r="V11" s="359">
        <v>2.5000000000000001E-3</v>
      </c>
      <c r="W11" s="72">
        <v>0.01</v>
      </c>
      <c r="X11" s="27" cm="1">
        <f t="array" aca="1" ref="X11" ca="1">INDIRECT(ADDRESS($B11,9,,,"mkt data"))</f>
        <v>0</v>
      </c>
      <c r="Y11" s="53">
        <f t="shared" ca="1" si="5"/>
        <v>0</v>
      </c>
      <c r="Z11" s="27">
        <f t="shared" ca="1" si="6"/>
        <v>0</v>
      </c>
      <c r="AA11" s="405">
        <f ca="1">SUM(Z11:Z12)</f>
        <v>0</v>
      </c>
      <c r="AB11" s="282" t="str">
        <f t="shared" si="7"/>
        <v>FOX</v>
      </c>
      <c r="AC11" s="33" cm="1">
        <f t="array" aca="1" ref="AC11" ca="1">INDIRECT(ADDRESS($B11,8,,,"mkt data"))</f>
        <v>57.32</v>
      </c>
      <c r="AD11" s="274">
        <f t="shared" ca="1" si="8"/>
        <v>56.945</v>
      </c>
      <c r="AE11" s="274">
        <f t="shared" ca="1" si="9"/>
        <v>-0.375</v>
      </c>
      <c r="AF11" s="285">
        <v>0</v>
      </c>
      <c r="AG11" s="274">
        <f t="shared" ca="1" si="10"/>
        <v>-0.375</v>
      </c>
      <c r="AH11" s="274">
        <f t="shared" ca="1" si="11"/>
        <v>0</v>
      </c>
      <c r="AI11" s="383">
        <f ca="1">AH11+AH12</f>
        <v>0</v>
      </c>
    </row>
    <row r="12" spans="1:35" ht="15.75" thickBot="1" x14ac:dyDescent="0.3">
      <c r="A12" s="142">
        <f>MATCH(G12,SCALARS!C:C,0)</f>
        <v>45</v>
      </c>
      <c r="B12" s="143">
        <f>MATCH(G12,'MKT DATA'!B:B,0)</f>
        <v>45</v>
      </c>
      <c r="C12" s="142" t="str" cm="1">
        <f t="array" aca="1" ref="C12" ca="1">INDIRECT(ADDRESS($A12,2,,,"scalars"))</f>
        <v>fox corp</v>
      </c>
      <c r="D12" s="218" cm="1">
        <f t="array" aca="1" ref="D12" ca="1">INDIRECT(ADDRESS($A12,8,,,"SCALARS"))</f>
        <v>5613200</v>
      </c>
      <c r="E12" s="220"/>
      <c r="F12" s="20" t="str" cm="1">
        <f t="array" aca="1" ref="F12" ca="1">INDIRECT(ADDRESS($A12,5,,,"scalars"))</f>
        <v>FOXA</v>
      </c>
      <c r="G12" s="312" t="s">
        <v>169</v>
      </c>
      <c r="H12" s="37" cm="1">
        <f t="array" aca="1" ref="H12" ca="1">INDIRECT(ADDRESS($B12,5,,,"mkt data"))</f>
        <v>63.81</v>
      </c>
      <c r="I12" s="38" cm="1">
        <f t="array" aca="1" ref="I12" ca="1">INDIRECT(ADDRESS($B12,6,,,"mkt data"))</f>
        <v>63.83</v>
      </c>
      <c r="J12" s="249" cm="1">
        <f t="array" aca="1" ref="J12" ca="1">INDIRECT(ADDRESS($A12,7,,,"SCALARS"))</f>
        <v>0</v>
      </c>
      <c r="K12" s="22">
        <f t="shared" ca="1" si="1"/>
        <v>63.804500000000004</v>
      </c>
      <c r="L12" s="22">
        <f t="shared" ca="1" si="2"/>
        <v>63.835499999999996</v>
      </c>
      <c r="M12" s="50" cm="1">
        <f t="array" aca="1" ref="M12" ca="1">INDIRECT(ADDRESS($A12,6,,,"scalars"))</f>
        <v>1</v>
      </c>
      <c r="N12" s="23">
        <f t="shared" ca="1" si="3"/>
        <v>63.804500000000004</v>
      </c>
      <c r="O12" s="23">
        <f t="shared" ca="1" si="4"/>
        <v>63.835499999999996</v>
      </c>
      <c r="P12" s="386"/>
      <c r="Q12" s="388"/>
      <c r="R12" s="422"/>
      <c r="S12" s="412"/>
      <c r="T12" s="73" t="b">
        <f ca="1">IF(Q11&gt;T11,TRUE,FALSE)</f>
        <v>0</v>
      </c>
      <c r="U12" s="360" t="b">
        <f ca="1">AND(IF(S11&gt;-U11,TRUE,FALSE),IF(X11&gt;0,TRUE,FALSE))</f>
        <v>0</v>
      </c>
      <c r="V12" s="361" t="b">
        <f ca="1">AND(IF(Q11&gt;-V11,TRUE,FALSE),IF(X11&lt;0,TRUE,FALSE))</f>
        <v>0</v>
      </c>
      <c r="W12" s="74" t="b">
        <f ca="1">IF(S11&gt;W11,TRUE,FALSE)</f>
        <v>0</v>
      </c>
      <c r="X12" s="29" cm="1">
        <f t="array" aca="1" ref="X12" ca="1">INDIRECT(ADDRESS($B12,9,,,"mkt data"))</f>
        <v>0</v>
      </c>
      <c r="Y12" s="55">
        <f t="shared" ca="1" si="5"/>
        <v>0</v>
      </c>
      <c r="Z12" s="29">
        <f t="shared" ca="1" si="6"/>
        <v>0</v>
      </c>
      <c r="AA12" s="406"/>
      <c r="AB12" s="290" t="str">
        <f t="shared" si="7"/>
        <v>FOXA</v>
      </c>
      <c r="AC12" s="37" cm="1">
        <f t="array" aca="1" ref="AC12" ca="1">INDIRECT(ADDRESS($B12,8,,,"mkt data"))</f>
        <v>64.25</v>
      </c>
      <c r="AD12" s="276">
        <f t="shared" ca="1" si="8"/>
        <v>63.82</v>
      </c>
      <c r="AE12" s="276">
        <f t="shared" ca="1" si="9"/>
        <v>-0.42999999999999972</v>
      </c>
      <c r="AF12" s="287">
        <v>0</v>
      </c>
      <c r="AG12" s="276">
        <f t="shared" ca="1" si="10"/>
        <v>-0.42999999999999972</v>
      </c>
      <c r="AH12" s="276">
        <f t="shared" ca="1" si="11"/>
        <v>0</v>
      </c>
      <c r="AI12" s="384"/>
    </row>
    <row r="13" spans="1:35" x14ac:dyDescent="0.25">
      <c r="A13" s="140">
        <f>MATCH(G13,SCALARS!C:C,0)</f>
        <v>46</v>
      </c>
      <c r="B13" s="141">
        <f>MATCH(G13,'MKT DATA'!B:B,0)</f>
        <v>46</v>
      </c>
      <c r="C13" s="140" t="str" cm="1">
        <f t="array" aca="1" ref="C13" ca="1">INDIRECT(ADDRESS($A13,2,,,"scalars"))</f>
        <v>google</v>
      </c>
      <c r="D13" s="217" cm="1">
        <f t="array" aca="1" ref="D13" ca="1">INDIRECT(ADDRESS($A13,8,,,"SCALARS"))</f>
        <v>48715000</v>
      </c>
      <c r="E13" s="219"/>
      <c r="F13" s="14" t="str" cm="1">
        <f t="array" aca="1" ref="F13" ca="1">INDIRECT(ADDRESS($A13,5,,,"scalars"))</f>
        <v>GOOGL</v>
      </c>
      <c r="G13" s="311" t="s">
        <v>166</v>
      </c>
      <c r="H13" s="33" cm="1">
        <f t="array" aca="1" ref="H13" ca="1">INDIRECT(ADDRESS($B13,5,,,"mkt data"))</f>
        <v>334.79</v>
      </c>
      <c r="I13" s="34" cm="1">
        <f t="array" aca="1" ref="I13" ca="1">INDIRECT(ADDRESS($B13,6,,,"mkt data"))</f>
        <v>334.81</v>
      </c>
      <c r="J13" s="248" cm="1">
        <f t="array" aca="1" ref="J13" ca="1">INDIRECT(ADDRESS($A13,7,,,"SCALARS"))</f>
        <v>0</v>
      </c>
      <c r="K13" s="16">
        <f t="shared" ca="1" si="1"/>
        <v>334.78450000000004</v>
      </c>
      <c r="L13" s="16">
        <f t="shared" ca="1" si="2"/>
        <v>334.81549999999999</v>
      </c>
      <c r="M13" s="49" cm="1">
        <f t="array" aca="1" ref="M13" ca="1">INDIRECT(ADDRESS($A13,6,,,"scalars"))</f>
        <v>1.009988043373347</v>
      </c>
      <c r="N13" s="17">
        <f t="shared" ca="1" si="3"/>
        <v>338.12834210672435</v>
      </c>
      <c r="O13" s="17">
        <f t="shared" ca="1" si="4"/>
        <v>338.15965173606884</v>
      </c>
      <c r="P13" s="385">
        <f ca="1">N14-O13</f>
        <v>-0.14515173606883991</v>
      </c>
      <c r="Q13" s="387">
        <f ca="1">LN(N14/O13)</f>
        <v>-4.2933240771118669E-4</v>
      </c>
      <c r="R13" s="421">
        <f ca="1">N13-O14</f>
        <v>7.2842106724351652E-2</v>
      </c>
      <c r="S13" s="411">
        <f ca="1">LN(N13/O14)</f>
        <v>2.1545059929011626E-4</v>
      </c>
      <c r="T13" s="71">
        <v>4.0000000000000001E-3</v>
      </c>
      <c r="U13" s="358">
        <v>2E-3</v>
      </c>
      <c r="V13" s="359">
        <v>3.0000000000000001E-3</v>
      </c>
      <c r="W13" s="72">
        <v>5.0000000000000001E-3</v>
      </c>
      <c r="X13" s="27" cm="1">
        <f t="array" aca="1" ref="X13" ca="1">INDIRECT(ADDRESS($B13,9,,,"mkt data"))</f>
        <v>0</v>
      </c>
      <c r="Y13" s="53">
        <f t="shared" ca="1" si="5"/>
        <v>0</v>
      </c>
      <c r="Z13" s="27">
        <f t="shared" ca="1" si="6"/>
        <v>0</v>
      </c>
      <c r="AA13" s="405">
        <f ca="1">SUM(Z13:Z14)</f>
        <v>0</v>
      </c>
      <c r="AB13" s="282" t="str">
        <f t="shared" si="0"/>
        <v>GOOG</v>
      </c>
      <c r="AC13" s="33" cm="1">
        <f t="array" aca="1" ref="AC13" ca="1">INDIRECT(ADDRESS($B13,8,,,"mkt data"))</f>
        <v>347.41000400000001</v>
      </c>
      <c r="AD13" s="274">
        <f t="shared" ca="1" si="8"/>
        <v>334.8</v>
      </c>
      <c r="AE13" s="274">
        <f t="shared" ca="1" si="9"/>
        <v>-12.610004000000004</v>
      </c>
      <c r="AF13" s="285">
        <v>0</v>
      </c>
      <c r="AG13" s="274">
        <f t="shared" ca="1" si="10"/>
        <v>-12.610004000000004</v>
      </c>
      <c r="AH13" s="274">
        <f t="shared" ca="1" si="11"/>
        <v>0</v>
      </c>
      <c r="AI13" s="383">
        <f ca="1">AH13+AH14</f>
        <v>0</v>
      </c>
    </row>
    <row r="14" spans="1:35" ht="15.75" thickBot="1" x14ac:dyDescent="0.3">
      <c r="A14" s="142">
        <f>MATCH(G14,SCALARS!C:C,0)</f>
        <v>47</v>
      </c>
      <c r="B14" s="143">
        <f>MATCH(G14,'MKT DATA'!B:B,0)</f>
        <v>47</v>
      </c>
      <c r="C14" s="142" t="str" cm="1">
        <f t="array" aca="1" ref="C14" ca="1">INDIRECT(ADDRESS($A14,2,,,"scalars"))</f>
        <v>google</v>
      </c>
      <c r="D14" s="218" cm="1">
        <f t="array" aca="1" ref="D14" ca="1">INDIRECT(ADDRESS($A14,8,,,"SCALARS"))</f>
        <v>72633600</v>
      </c>
      <c r="E14" s="220"/>
      <c r="F14" s="20" t="str" cm="1">
        <f t="array" aca="1" ref="F14" ca="1">INDIRECT(ADDRESS($A14,5,,,"scalars"))</f>
        <v>GOOGL</v>
      </c>
      <c r="G14" s="312" t="s">
        <v>167</v>
      </c>
      <c r="H14" s="37" cm="1">
        <f t="array" aca="1" ref="H14" ca="1">INDIRECT(ADDRESS($B14,5,,,"mkt data"))</f>
        <v>338.02</v>
      </c>
      <c r="I14" s="38" cm="1">
        <f t="array" aca="1" ref="I14" ca="1">INDIRECT(ADDRESS($B14,6,,,"mkt data"))</f>
        <v>338.05</v>
      </c>
      <c r="J14" s="249" cm="1">
        <f t="array" aca="1" ref="J14" ca="1">INDIRECT(ADDRESS($A14,7,,,"SCALARS"))</f>
        <v>0</v>
      </c>
      <c r="K14" s="22">
        <f t="shared" ca="1" si="1"/>
        <v>338.0145</v>
      </c>
      <c r="L14" s="22">
        <f t="shared" ca="1" si="2"/>
        <v>338.05549999999999</v>
      </c>
      <c r="M14" s="50" cm="1">
        <f t="array" aca="1" ref="M14" ca="1">INDIRECT(ADDRESS($A14,6,,,"scalars"))</f>
        <v>1</v>
      </c>
      <c r="N14" s="23">
        <f t="shared" ca="1" si="3"/>
        <v>338.0145</v>
      </c>
      <c r="O14" s="23">
        <f t="shared" ca="1" si="4"/>
        <v>338.05549999999999</v>
      </c>
      <c r="P14" s="386"/>
      <c r="Q14" s="388"/>
      <c r="R14" s="422"/>
      <c r="S14" s="412"/>
      <c r="T14" s="73" t="b">
        <f ca="1">IF(Q13&gt;T13,TRUE,FALSE)</f>
        <v>0</v>
      </c>
      <c r="U14" s="360" t="b">
        <f ca="1">AND(IF(S13&gt;-U13,TRUE,FALSE),IF(X13&gt;0,TRUE,FALSE))</f>
        <v>0</v>
      </c>
      <c r="V14" s="361" t="b">
        <f ca="1">AND(IF(Q13&gt;-V13,TRUE,FALSE),IF(X13&lt;0,TRUE,FALSE))</f>
        <v>0</v>
      </c>
      <c r="W14" s="74" t="b">
        <f ca="1">IF(S13&gt;W13,TRUE,FALSE)</f>
        <v>0</v>
      </c>
      <c r="X14" s="29" cm="1">
        <f t="array" aca="1" ref="X14" ca="1">INDIRECT(ADDRESS($B14,9,,,"mkt data"))</f>
        <v>0</v>
      </c>
      <c r="Y14" s="55">
        <f t="shared" ca="1" si="5"/>
        <v>0</v>
      </c>
      <c r="Z14" s="29">
        <f t="shared" ca="1" si="6"/>
        <v>0</v>
      </c>
      <c r="AA14" s="406"/>
      <c r="AB14" s="290" t="str">
        <f t="shared" si="0"/>
        <v>GOOGL</v>
      </c>
      <c r="AC14" s="37" cm="1">
        <f t="array" aca="1" ref="AC14" ca="1">INDIRECT(ADDRESS($B14,8,,,"mkt data"))</f>
        <v>351.16000400000001</v>
      </c>
      <c r="AD14" s="276">
        <f t="shared" ca="1" si="8"/>
        <v>338.03499999999997</v>
      </c>
      <c r="AE14" s="276">
        <f t="shared" ca="1" si="9"/>
        <v>-13.125004000000047</v>
      </c>
      <c r="AF14" s="287">
        <v>0</v>
      </c>
      <c r="AG14" s="276">
        <f t="shared" ca="1" si="10"/>
        <v>-13.125004000000047</v>
      </c>
      <c r="AH14" s="276">
        <f t="shared" ca="1" si="11"/>
        <v>0</v>
      </c>
      <c r="AI14" s="384"/>
    </row>
    <row r="15" spans="1:35" x14ac:dyDescent="0.25">
      <c r="A15" s="140">
        <f>MATCH(G15,SCALARS!C:C,0)</f>
        <v>49</v>
      </c>
      <c r="B15" s="141">
        <f>MATCH(G15,'MKT DATA'!B:B,0)</f>
        <v>49</v>
      </c>
      <c r="C15" s="140" t="str" cm="1">
        <f t="array" aca="1" ref="C15" ca="1">INDIRECT(ADDRESS($A15,2,,,"scalars"))</f>
        <v>heico</v>
      </c>
      <c r="D15" s="217" cm="1">
        <f t="array" aca="1" ref="D15" ca="1">INDIRECT(ADDRESS($A15,8,,,"SCALARS"))</f>
        <v>292700</v>
      </c>
      <c r="E15" s="219"/>
      <c r="F15" s="14" t="str" cm="1">
        <f t="array" aca="1" ref="F15" ca="1">INDIRECT(ADDRESS($A15,5,,,"scalars"))</f>
        <v>HEI</v>
      </c>
      <c r="G15" s="311" t="s">
        <v>181</v>
      </c>
      <c r="H15" s="33" cm="1">
        <f t="array" aca="1" ref="H15" ca="1">INDIRECT(ADDRESS($B15,5,,,"mkt data"))</f>
        <v>230.67</v>
      </c>
      <c r="I15" s="34" cm="1">
        <f t="array" aca="1" ref="I15" ca="1">INDIRECT(ADDRESS($B15,6,,,"mkt data"))</f>
        <v>230.9</v>
      </c>
      <c r="J15" s="248" cm="1">
        <f t="array" aca="1" ref="J15" ca="1">INDIRECT(ADDRESS($A15,7,,,"SCALARS"))</f>
        <v>0</v>
      </c>
      <c r="K15" s="16">
        <f t="shared" ca="1" si="1"/>
        <v>230.66449999999998</v>
      </c>
      <c r="L15" s="16">
        <f t="shared" ca="1" si="2"/>
        <v>230.90550000000002</v>
      </c>
      <c r="M15" s="49" cm="1">
        <f t="array" aca="1" ref="M15" ca="1">INDIRECT(ADDRESS($A15,6,,,"scalars"))</f>
        <v>1.3463309446780249</v>
      </c>
      <c r="N15" s="17">
        <f t="shared" ca="1" si="3"/>
        <v>310.55075418868427</v>
      </c>
      <c r="O15" s="17">
        <f t="shared" ca="1" si="4"/>
        <v>310.87521994635171</v>
      </c>
      <c r="P15" s="385">
        <f ca="1">N16-O15</f>
        <v>-1.090719946351669</v>
      </c>
      <c r="Q15" s="387">
        <f ca="1">LN(N16/O15)</f>
        <v>-3.5147151784597035E-3</v>
      </c>
      <c r="R15" s="421">
        <f ca="1">N15-O16</f>
        <v>0.6052541886842846</v>
      </c>
      <c r="S15" s="411">
        <f ca="1">LN(N15/O16)</f>
        <v>1.9508719885413849E-3</v>
      </c>
      <c r="T15" s="71">
        <v>1.4999999999999999E-2</v>
      </c>
      <c r="U15" s="358">
        <v>5.0000000000000001E-3</v>
      </c>
      <c r="V15" s="359">
        <v>5.0000000000000001E-3</v>
      </c>
      <c r="W15" s="72">
        <v>1.4999999999999999E-2</v>
      </c>
      <c r="X15" s="27" cm="1">
        <f t="array" aca="1" ref="X15" ca="1">INDIRECT(ADDRESS($B15,9,,,"mkt data"))</f>
        <v>0</v>
      </c>
      <c r="Y15" s="53">
        <f t="shared" ca="1" si="5"/>
        <v>0</v>
      </c>
      <c r="Z15" s="27">
        <f t="shared" ca="1" si="6"/>
        <v>0</v>
      </c>
      <c r="AA15" s="405">
        <f ca="1">SUM(Z15:Z16)</f>
        <v>0</v>
      </c>
      <c r="AB15" s="282" t="str">
        <f>G15</f>
        <v>HEI A</v>
      </c>
      <c r="AC15" s="33" cm="1">
        <f t="array" aca="1" ref="AC15" ca="1">INDIRECT(ADDRESS($B15,8,,,"mkt data"))</f>
        <v>229.220001</v>
      </c>
      <c r="AD15" s="274">
        <f t="shared" ca="1" si="8"/>
        <v>230.785</v>
      </c>
      <c r="AE15" s="274">
        <f t="shared" ca="1" si="9"/>
        <v>1.5649990000000003</v>
      </c>
      <c r="AF15" s="285">
        <v>0</v>
      </c>
      <c r="AG15" s="274">
        <f t="shared" ca="1" si="10"/>
        <v>1.5649990000000003</v>
      </c>
      <c r="AH15" s="274">
        <f t="shared" ca="1" si="11"/>
        <v>0</v>
      </c>
      <c r="AI15" s="383">
        <f ca="1">AH15+AH16</f>
        <v>0</v>
      </c>
    </row>
    <row r="16" spans="1:35" ht="15.75" thickBot="1" x14ac:dyDescent="0.3">
      <c r="A16" s="142">
        <f>MATCH(G16,SCALARS!C:C,0)</f>
        <v>48</v>
      </c>
      <c r="B16" s="143">
        <f>MATCH(G16,'MKT DATA'!B:B,0)</f>
        <v>48</v>
      </c>
      <c r="C16" s="142" t="str" cm="1">
        <f t="array" aca="1" ref="C16" ca="1">INDIRECT(ADDRESS($A16,2,,,"scalars"))</f>
        <v>heico</v>
      </c>
      <c r="D16" s="218" cm="1">
        <f t="array" aca="1" ref="D16" ca="1">INDIRECT(ADDRESS($A16,8,,,"SCALARS"))</f>
        <v>1180100</v>
      </c>
      <c r="E16" s="220"/>
      <c r="F16" s="20" t="str" cm="1">
        <f t="array" aca="1" ref="F16" ca="1">INDIRECT(ADDRESS($A16,5,,,"scalars"))</f>
        <v>HEI</v>
      </c>
      <c r="G16" s="312" t="s">
        <v>172</v>
      </c>
      <c r="H16" s="37" cm="1">
        <f t="array" aca="1" ref="H16" ca="1">INDIRECT(ADDRESS($B16,5,,,"mkt data"))</f>
        <v>309.79000000000002</v>
      </c>
      <c r="I16" s="38" cm="1">
        <f t="array" aca="1" ref="I16" ca="1">INDIRECT(ADDRESS($B16,6,,,"mkt data"))</f>
        <v>309.94</v>
      </c>
      <c r="J16" s="249" cm="1">
        <f t="array" aca="1" ref="J16" ca="1">INDIRECT(ADDRESS($A16,7,,,"SCALARS"))</f>
        <v>0</v>
      </c>
      <c r="K16" s="22">
        <f t="shared" ca="1" si="1"/>
        <v>309.78450000000004</v>
      </c>
      <c r="L16" s="22">
        <f t="shared" ca="1" si="2"/>
        <v>309.94549999999998</v>
      </c>
      <c r="M16" s="50" cm="1">
        <f t="array" aca="1" ref="M16" ca="1">INDIRECT(ADDRESS($A16,6,,,"scalars"))</f>
        <v>1</v>
      </c>
      <c r="N16" s="23">
        <f t="shared" ca="1" si="3"/>
        <v>309.78450000000004</v>
      </c>
      <c r="O16" s="23">
        <f t="shared" ca="1" si="4"/>
        <v>309.94549999999998</v>
      </c>
      <c r="P16" s="386"/>
      <c r="Q16" s="388"/>
      <c r="R16" s="422"/>
      <c r="S16" s="412"/>
      <c r="T16" s="73" t="b">
        <f ca="1">IF(Q15&gt;T15,TRUE,FALSE)</f>
        <v>0</v>
      </c>
      <c r="U16" s="360" t="b">
        <f ca="1">AND(IF(S15&gt;-U15,TRUE,FALSE),IF(X15&gt;0,TRUE,FALSE))</f>
        <v>0</v>
      </c>
      <c r="V16" s="361" t="b">
        <f ca="1">AND(IF(Q15&gt;-V15,TRUE,FALSE),IF(X15&lt;0,TRUE,FALSE))</f>
        <v>0</v>
      </c>
      <c r="W16" s="74" t="b">
        <f ca="1">IF(S15&gt;W15,TRUE,FALSE)</f>
        <v>0</v>
      </c>
      <c r="X16" s="29" cm="1">
        <f t="array" aca="1" ref="X16" ca="1">INDIRECT(ADDRESS($B16,9,,,"mkt data"))</f>
        <v>0</v>
      </c>
      <c r="Y16" s="55">
        <f t="shared" ca="1" si="5"/>
        <v>0</v>
      </c>
      <c r="Z16" s="29">
        <f t="shared" ca="1" si="6"/>
        <v>0</v>
      </c>
      <c r="AA16" s="406"/>
      <c r="AB16" s="290" t="str">
        <f>G16</f>
        <v>HEI</v>
      </c>
      <c r="AC16" s="37" cm="1">
        <f t="array" aca="1" ref="AC16" ca="1">INDIRECT(ADDRESS($B16,8,,,"mkt data"))</f>
        <v>307.76998900000001</v>
      </c>
      <c r="AD16" s="276">
        <f t="shared" ca="1" si="8"/>
        <v>309.86500000000001</v>
      </c>
      <c r="AE16" s="276">
        <f t="shared" ca="1" si="9"/>
        <v>2.0950109999999995</v>
      </c>
      <c r="AF16" s="287">
        <v>0</v>
      </c>
      <c r="AG16" s="276">
        <f t="shared" ca="1" si="10"/>
        <v>2.0950109999999995</v>
      </c>
      <c r="AH16" s="276">
        <f t="shared" ca="1" si="11"/>
        <v>0</v>
      </c>
      <c r="AI16" s="384"/>
    </row>
    <row r="17" spans="1:35" x14ac:dyDescent="0.25">
      <c r="A17" s="140">
        <f>MATCH(G17,SCALARS!C:C,0)</f>
        <v>59</v>
      </c>
      <c r="B17" s="141">
        <f>MATCH(G17,'MKT DATA'!B:B,0)</f>
        <v>59</v>
      </c>
      <c r="C17" s="140" t="str" cm="1">
        <f t="array" aca="1" ref="C17" ca="1">INDIRECT(ADDRESS($A17,2,,,"scalars"))</f>
        <v>lenar</v>
      </c>
      <c r="D17" s="217" cm="1">
        <f t="array" aca="1" ref="D17" ca="1">INDIRECT(ADDRESS($A17,8,,,"SCALARS"))</f>
        <v>88600</v>
      </c>
      <c r="E17" s="219"/>
      <c r="F17" s="14" t="str" cm="1">
        <f t="array" aca="1" ref="F17" ca="1">INDIRECT(ADDRESS($A17,5,,,"scalars"))</f>
        <v>LEN</v>
      </c>
      <c r="G17" s="311" t="s">
        <v>259</v>
      </c>
      <c r="H17" s="33" cm="1">
        <f t="array" aca="1" ref="H17" ca="1">INDIRECT(ADDRESS($B17,5,,,"mkt data"))</f>
        <v>80.27</v>
      </c>
      <c r="I17" s="34" cm="1">
        <f t="array" aca="1" ref="I17" ca="1">INDIRECT(ADDRESS($B17,6,,,"mkt data"))</f>
        <v>80.33</v>
      </c>
      <c r="J17" s="248" cm="1">
        <f t="array" aca="1" ref="J17" ca="1">INDIRECT(ADDRESS($A17,7,,,"SCALARS"))</f>
        <v>0</v>
      </c>
      <c r="K17" s="16">
        <f t="shared" ca="1" si="1"/>
        <v>80.264499999999998</v>
      </c>
      <c r="L17" s="16">
        <f t="shared" ca="1" si="2"/>
        <v>80.335499999999996</v>
      </c>
      <c r="M17" s="49" cm="1">
        <f t="array" aca="1" ref="M17" ca="1">INDIRECT(ADDRESS($A17,6,,,"scalars"))</f>
        <v>1.018590364295672</v>
      </c>
      <c r="N17" s="17">
        <f t="shared" ca="1" si="3"/>
        <v>81.756646295009958</v>
      </c>
      <c r="O17" s="17">
        <f t="shared" ca="1" si="4"/>
        <v>81.828966210874952</v>
      </c>
      <c r="P17" s="385">
        <f ca="1">N18-O17</f>
        <v>-0.11446621087495146</v>
      </c>
      <c r="Q17" s="387">
        <f ca="1">LN(N18/O17)</f>
        <v>-1.399826385223718E-3</v>
      </c>
      <c r="R17" s="421">
        <f ca="1">N17-O18</f>
        <v>1.1146295009965002E-2</v>
      </c>
      <c r="S17" s="411">
        <f ca="1">LN(N17/O18)</f>
        <v>1.3634432672362699E-4</v>
      </c>
      <c r="T17" s="71">
        <v>4.0000000000000001E-3</v>
      </c>
      <c r="U17" s="358">
        <v>2E-3</v>
      </c>
      <c r="V17" s="359">
        <v>2E-3</v>
      </c>
      <c r="W17" s="72">
        <v>4.0000000000000001E-3</v>
      </c>
      <c r="X17" s="27" cm="1">
        <f t="array" aca="1" ref="X17" ca="1">INDIRECT(ADDRESS($B17,9,,,"mkt data"))</f>
        <v>0</v>
      </c>
      <c r="Y17" s="53">
        <f t="shared" ca="1" si="5"/>
        <v>0</v>
      </c>
      <c r="Z17" s="27">
        <f t="shared" ca="1" si="6"/>
        <v>0</v>
      </c>
      <c r="AA17" s="399">
        <f ca="1">SUM(Z17:Z18)</f>
        <v>0</v>
      </c>
      <c r="AB17" s="282" t="str">
        <f t="shared" ref="AB17:AB20" si="12">G17</f>
        <v>LEN B</v>
      </c>
      <c r="AC17" s="33" cm="1">
        <f t="array" aca="1" ref="AC17" ca="1">INDIRECT(ADDRESS($B17,8,,,"mkt data"))</f>
        <v>81.459998999999996</v>
      </c>
      <c r="AD17" s="274">
        <f t="shared" ca="1" si="8"/>
        <v>80.3</v>
      </c>
      <c r="AE17" s="274">
        <f t="shared" ca="1" si="9"/>
        <v>-1.1599989999999991</v>
      </c>
      <c r="AF17" s="285">
        <v>0</v>
      </c>
      <c r="AG17" s="274">
        <f t="shared" ca="1" si="10"/>
        <v>-1.1599989999999991</v>
      </c>
      <c r="AH17" s="274">
        <f t="shared" ca="1" si="11"/>
        <v>0</v>
      </c>
      <c r="AI17" s="383">
        <f ca="1">AH17+AH18</f>
        <v>0</v>
      </c>
    </row>
    <row r="18" spans="1:35" ht="15.75" thickBot="1" x14ac:dyDescent="0.3">
      <c r="A18" s="142">
        <f>MATCH(G18,SCALARS!C:C,0)</f>
        <v>58</v>
      </c>
      <c r="B18" s="143">
        <f>MATCH(G18,'MKT DATA'!B:B,0)</f>
        <v>58</v>
      </c>
      <c r="C18" s="142" t="str" cm="1">
        <f t="array" aca="1" ref="C18" ca="1">INDIRECT(ADDRESS($A18,2,,,"scalars"))</f>
        <v>lenar</v>
      </c>
      <c r="D18" s="218" cm="1">
        <f t="array" aca="1" ref="D18" ca="1">INDIRECT(ADDRESS($A18,8,,,"SCALARS"))</f>
        <v>2979700</v>
      </c>
      <c r="E18" s="220"/>
      <c r="F18" s="20" t="str" cm="1">
        <f t="array" aca="1" ref="F18" ca="1">INDIRECT(ADDRESS($A18,5,,,"scalars"))</f>
        <v>LEN</v>
      </c>
      <c r="G18" s="312" t="s">
        <v>258</v>
      </c>
      <c r="H18" s="37" cm="1">
        <f t="array" aca="1" ref="H18" ca="1">INDIRECT(ADDRESS($B18,5,,,"mkt data"))</f>
        <v>81.72</v>
      </c>
      <c r="I18" s="38" cm="1">
        <f t="array" aca="1" ref="I18" ca="1">INDIRECT(ADDRESS($B18,6,,,"mkt data"))</f>
        <v>81.739999999999995</v>
      </c>
      <c r="J18" s="249" cm="1">
        <f t="array" aca="1" ref="J18" ca="1">INDIRECT(ADDRESS($A18,7,,,"SCALARS"))</f>
        <v>0</v>
      </c>
      <c r="K18" s="22">
        <f t="shared" ca="1" si="1"/>
        <v>81.714500000000001</v>
      </c>
      <c r="L18" s="22">
        <f t="shared" ca="1" si="2"/>
        <v>81.745499999999993</v>
      </c>
      <c r="M18" s="50" cm="1">
        <f t="array" aca="1" ref="M18" ca="1">INDIRECT(ADDRESS($A18,6,,,"scalars"))</f>
        <v>1</v>
      </c>
      <c r="N18" s="23">
        <f t="shared" ca="1" si="3"/>
        <v>81.714500000000001</v>
      </c>
      <c r="O18" s="23">
        <f t="shared" ca="1" si="4"/>
        <v>81.745499999999993</v>
      </c>
      <c r="P18" s="386"/>
      <c r="Q18" s="388"/>
      <c r="R18" s="495"/>
      <c r="S18" s="412"/>
      <c r="T18" s="73" t="b">
        <f ca="1">IF(Q17&gt;T17,TRUE,FALSE)</f>
        <v>0</v>
      </c>
      <c r="U18" s="360" t="b">
        <f ca="1">AND(IF(S17&gt;-U17,TRUE,FALSE),IF(X17&gt;0,TRUE,FALSE))</f>
        <v>0</v>
      </c>
      <c r="V18" s="361" t="b">
        <f ca="1">AND(IF(Q17&gt;-V17,TRUE,FALSE),IF(X17&lt;0,TRUE,FALSE))</f>
        <v>0</v>
      </c>
      <c r="W18" s="74" t="b">
        <f ca="1">IF(S17&gt;W17,TRUE,FALSE)</f>
        <v>0</v>
      </c>
      <c r="X18" s="29" cm="1">
        <f t="array" aca="1" ref="X18" ca="1">INDIRECT(ADDRESS($B18,9,,,"mkt data"))</f>
        <v>0</v>
      </c>
      <c r="Y18" s="55">
        <f t="shared" ca="1" si="5"/>
        <v>0</v>
      </c>
      <c r="Z18" s="29">
        <f t="shared" ca="1" si="6"/>
        <v>0</v>
      </c>
      <c r="AA18" s="400"/>
      <c r="AB18" s="290" t="str">
        <f t="shared" si="12"/>
        <v>LEN</v>
      </c>
      <c r="AC18" s="37" cm="1">
        <f t="array" aca="1" ref="AC18" ca="1">INDIRECT(ADDRESS($B18,8,,,"mkt data"))</f>
        <v>83.059997999999993</v>
      </c>
      <c r="AD18" s="276">
        <f t="shared" ca="1" si="8"/>
        <v>81.72999999999999</v>
      </c>
      <c r="AE18" s="276">
        <f t="shared" ca="1" si="9"/>
        <v>-1.3299980000000033</v>
      </c>
      <c r="AF18" s="287">
        <v>0</v>
      </c>
      <c r="AG18" s="276">
        <f t="shared" ca="1" si="10"/>
        <v>-1.3299980000000033</v>
      </c>
      <c r="AH18" s="276">
        <f t="shared" ca="1" si="11"/>
        <v>0</v>
      </c>
      <c r="AI18" s="384"/>
    </row>
    <row r="19" spans="1:35" x14ac:dyDescent="0.25">
      <c r="A19" s="140">
        <f>MATCH(G19,SCALARS!C:C,0)</f>
        <v>56</v>
      </c>
      <c r="B19" s="141">
        <f>MATCH(G19,'MKT DATA'!B:B,0)</f>
        <v>56</v>
      </c>
      <c r="C19" s="140" t="str" cm="1">
        <f t="array" aca="1" ref="C19" ca="1">INDIRECT(ADDRESS($A19,2,,,"scalars"))</f>
        <v>moog</v>
      </c>
      <c r="D19" s="217" cm="1">
        <f t="array" aca="1" ref="D19" ca="1">INDIRECT(ADDRESS($A19,8,,,"SCALARS"))</f>
        <v>721000</v>
      </c>
      <c r="E19" s="219"/>
      <c r="F19" s="14" t="str" cm="1">
        <f t="array" aca="1" ref="F19" ca="1">INDIRECT(ADDRESS($A19,5,,,"scalars"))</f>
        <v>MOG B</v>
      </c>
      <c r="G19" s="311" t="s">
        <v>255</v>
      </c>
      <c r="H19" s="33" cm="1">
        <f t="array" aca="1" ref="H19" ca="1">INDIRECT(ADDRESS($B19,5,,,"mkt data"))</f>
        <v>374.21</v>
      </c>
      <c r="I19" s="34" cm="1">
        <f t="array" aca="1" ref="I19" ca="1">INDIRECT(ADDRESS($B19,6,,,"mkt data"))</f>
        <v>374.71</v>
      </c>
      <c r="J19" s="248" cm="1">
        <f t="array" aca="1" ref="J19" ca="1">INDIRECT(ADDRESS($A19,7,,,"SCALARS"))</f>
        <v>0</v>
      </c>
      <c r="K19" s="16">
        <f t="shared" ca="1" si="1"/>
        <v>374.2045</v>
      </c>
      <c r="L19" s="16">
        <f t="shared" ca="1" si="2"/>
        <v>374.71549999999996</v>
      </c>
      <c r="M19" s="49" cm="1">
        <f t="array" aca="1" ref="M19" ca="1">INDIRECT(ADDRESS($A19,6,,,"scalars"))</f>
        <v>1.0129174906034975</v>
      </c>
      <c r="N19" s="17">
        <f t="shared" ca="1" si="3"/>
        <v>379.03828311253648</v>
      </c>
      <c r="O19" s="17">
        <f t="shared" ca="1" si="4"/>
        <v>379.55588395023483</v>
      </c>
      <c r="P19" s="385">
        <f ca="1">N20-O19</f>
        <v>-5.4813839502348287</v>
      </c>
      <c r="Q19" s="387">
        <f ca="1">LN(N20/O19)</f>
        <v>-1.4546867342096009E-2</v>
      </c>
      <c r="R19" s="421">
        <f ca="1">N19-O20</f>
        <v>-2.6472168874635145</v>
      </c>
      <c r="S19" s="411">
        <f ca="1">LN(N19/O20)</f>
        <v>-6.9597602487792929E-3</v>
      </c>
      <c r="T19" s="71">
        <v>0.04</v>
      </c>
      <c r="U19" s="358">
        <v>0.01</v>
      </c>
      <c r="V19" s="359">
        <v>0.01</v>
      </c>
      <c r="W19" s="72">
        <v>0.04</v>
      </c>
      <c r="X19" s="27" cm="1">
        <f t="array" aca="1" ref="X19" ca="1">INDIRECT(ADDRESS($B19,9,,,"mkt data"))</f>
        <v>0</v>
      </c>
      <c r="Y19" s="53">
        <f t="shared" ca="1" si="5"/>
        <v>0</v>
      </c>
      <c r="Z19" s="27">
        <f t="shared" ca="1" si="6"/>
        <v>0</v>
      </c>
      <c r="AA19" s="399">
        <f ca="1">SUM(Z19:Z20)</f>
        <v>0</v>
      </c>
      <c r="AB19" s="282" t="str">
        <f t="shared" si="12"/>
        <v>MOG A</v>
      </c>
      <c r="AC19" s="33" cm="1">
        <f t="array" aca="1" ref="AC19" ca="1">INDIRECT(ADDRESS($B19,8,,,"mkt data"))</f>
        <v>367.82998700000002</v>
      </c>
      <c r="AD19" s="274">
        <f t="shared" ca="1" si="8"/>
        <v>374.46</v>
      </c>
      <c r="AE19" s="274">
        <f t="shared" ca="1" si="9"/>
        <v>6.6300129999999626</v>
      </c>
      <c r="AF19" s="285">
        <v>0</v>
      </c>
      <c r="AG19" s="274">
        <f t="shared" ca="1" si="10"/>
        <v>6.6300129999999626</v>
      </c>
      <c r="AH19" s="274">
        <f t="shared" ca="1" si="11"/>
        <v>0</v>
      </c>
      <c r="AI19" s="383">
        <f ca="1">AH19+AH20</f>
        <v>0</v>
      </c>
    </row>
    <row r="20" spans="1:35" ht="15.75" thickBot="1" x14ac:dyDescent="0.3">
      <c r="A20" s="142">
        <f>MATCH(G20,SCALARS!C:C,0)</f>
        <v>57</v>
      </c>
      <c r="B20" s="143">
        <f>MATCH(G20,'MKT DATA'!B:B,0)</f>
        <v>57</v>
      </c>
      <c r="C20" s="142" t="str" cm="1">
        <f t="array" aca="1" ref="C20" ca="1">INDIRECT(ADDRESS($A20,2,,,"scalars"))</f>
        <v>moog</v>
      </c>
      <c r="D20" s="218" cm="1">
        <f t="array" aca="1" ref="D20" ca="1">INDIRECT(ADDRESS($A20,8,,,"SCALARS"))</f>
        <v>700</v>
      </c>
      <c r="E20" s="220"/>
      <c r="F20" s="20" t="str" cm="1">
        <f t="array" aca="1" ref="F20" ca="1">INDIRECT(ADDRESS($A20,5,,,"scalars"))</f>
        <v>MOG B</v>
      </c>
      <c r="G20" s="312" t="s">
        <v>256</v>
      </c>
      <c r="H20" s="37" cm="1">
        <f t="array" aca="1" ref="H20" ca="1">INDIRECT(ADDRESS($B20,5,,,"mkt data"))</f>
        <v>374.08</v>
      </c>
      <c r="I20" s="38" cm="1">
        <f t="array" aca="1" ref="I20" ca="1">INDIRECT(ADDRESS($B20,6,,,"mkt data"))</f>
        <v>381.68</v>
      </c>
      <c r="J20" s="249" cm="1">
        <f t="array" aca="1" ref="J20" ca="1">INDIRECT(ADDRESS($A20,7,,,"SCALARS"))</f>
        <v>0</v>
      </c>
      <c r="K20" s="22">
        <f t="shared" ca="1" si="1"/>
        <v>374.0745</v>
      </c>
      <c r="L20" s="22">
        <f t="shared" ca="1" si="2"/>
        <v>381.68549999999999</v>
      </c>
      <c r="M20" s="50" cm="1">
        <f t="array" aca="1" ref="M20" ca="1">INDIRECT(ADDRESS($A20,6,,,"scalars"))</f>
        <v>1</v>
      </c>
      <c r="N20" s="23">
        <f t="shared" ca="1" si="3"/>
        <v>374.0745</v>
      </c>
      <c r="O20" s="23">
        <f t="shared" ca="1" si="4"/>
        <v>381.68549999999999</v>
      </c>
      <c r="P20" s="386"/>
      <c r="Q20" s="388"/>
      <c r="R20" s="495"/>
      <c r="S20" s="412"/>
      <c r="T20" s="73" t="b">
        <f ca="1">IF(Q19&gt;T19,TRUE,FALSE)</f>
        <v>0</v>
      </c>
      <c r="U20" s="360" t="b">
        <f ca="1">AND(IF(S19&gt;-U19,TRUE,FALSE),IF(X19&gt;0,TRUE,FALSE))</f>
        <v>0</v>
      </c>
      <c r="V20" s="361" t="b">
        <f ca="1">AND(IF(Q19&gt;-V19,TRUE,FALSE),IF(X19&lt;0,TRUE,FALSE))</f>
        <v>0</v>
      </c>
      <c r="W20" s="74" t="b">
        <f ca="1">IF(S19&gt;W19,TRUE,FALSE)</f>
        <v>0</v>
      </c>
      <c r="X20" s="29" cm="1">
        <f t="array" aca="1" ref="X20" ca="1">INDIRECT(ADDRESS($B20,9,,,"mkt data"))</f>
        <v>0</v>
      </c>
      <c r="Y20" s="55">
        <f t="shared" ca="1" si="5"/>
        <v>0</v>
      </c>
      <c r="Z20" s="29">
        <f t="shared" ca="1" si="6"/>
        <v>0</v>
      </c>
      <c r="AA20" s="400"/>
      <c r="AB20" s="290" t="str">
        <f t="shared" si="12"/>
        <v>MOG B</v>
      </c>
      <c r="AC20" s="37" cm="1">
        <f t="array" aca="1" ref="AC20" ca="1">INDIRECT(ADDRESS($B20,8,,,"mkt data"))</f>
        <v>376.80999800000001</v>
      </c>
      <c r="AD20" s="276">
        <f t="shared" ca="1" si="8"/>
        <v>377.88</v>
      </c>
      <c r="AE20" s="276">
        <f t="shared" ca="1" si="9"/>
        <v>1.0700019999999881</v>
      </c>
      <c r="AF20" s="287">
        <v>0</v>
      </c>
      <c r="AG20" s="276">
        <f t="shared" ca="1" si="10"/>
        <v>1.0700019999999881</v>
      </c>
      <c r="AH20" s="276">
        <f t="shared" ca="1" si="11"/>
        <v>0</v>
      </c>
      <c r="AI20" s="384"/>
    </row>
    <row r="21" spans="1:35" x14ac:dyDescent="0.25">
      <c r="A21" s="140">
        <f>MATCH(G21,SCALARS!C:C,0)</f>
        <v>51</v>
      </c>
      <c r="B21" s="141">
        <f>MATCH(G21,'MKT DATA'!B:B,0)</f>
        <v>51</v>
      </c>
      <c r="C21" s="140" t="str" cm="1">
        <f t="array" aca="1" ref="C21" ca="1">INDIRECT(ADDRESS($A21,2,,,"scalars"))</f>
        <v>news corp</v>
      </c>
      <c r="D21" s="217" cm="1">
        <f t="array" aca="1" ref="D21" ca="1">INDIRECT(ADDRESS($A21,8,,,"SCALARS"))</f>
        <v>4136600</v>
      </c>
      <c r="E21" s="219"/>
      <c r="F21" s="14" t="str" cm="1">
        <f t="array" aca="1" ref="F21" ca="1">INDIRECT(ADDRESS($A21,5,,,"scalars"))</f>
        <v>NWS</v>
      </c>
      <c r="G21" s="311" t="s">
        <v>171</v>
      </c>
      <c r="H21" s="33" cm="1">
        <f t="array" aca="1" ref="H21" ca="1">INDIRECT(ADDRESS($B21,5,,,"mkt data"))</f>
        <v>28.15</v>
      </c>
      <c r="I21" s="34" cm="1">
        <f t="array" aca="1" ref="I21" ca="1">INDIRECT(ADDRESS($B21,6,,,"mkt data"))</f>
        <v>28.16</v>
      </c>
      <c r="J21" s="248" cm="1">
        <f t="array" aca="1" ref="J21" ca="1">INDIRECT(ADDRESS($A21,7,,,"SCALARS"))</f>
        <v>0</v>
      </c>
      <c r="K21" s="16">
        <f t="shared" ca="1" si="1"/>
        <v>28.144499999999997</v>
      </c>
      <c r="L21" s="16">
        <f t="shared" ca="1" si="2"/>
        <v>28.165500000000002</v>
      </c>
      <c r="M21" s="49" cm="1">
        <f t="array" aca="1" ref="M21" ca="1">INDIRECT(ADDRESS($A21,6,,,"scalars"))</f>
        <v>1.1167308536261484</v>
      </c>
      <c r="N21" s="17">
        <f t="shared" ca="1" si="3"/>
        <v>31.429831509881133</v>
      </c>
      <c r="O21" s="17">
        <f t="shared" ca="1" si="4"/>
        <v>31.453282857807285</v>
      </c>
      <c r="P21" s="385">
        <f ca="1">N22-O21</f>
        <v>-0.28878285780728419</v>
      </c>
      <c r="Q21" s="387">
        <f ca="1">LN(N22/O21)</f>
        <v>-9.223734601563869E-3</v>
      </c>
      <c r="R21" s="421">
        <f ca="1">N21-O22</f>
        <v>0.23433150988113027</v>
      </c>
      <c r="S21" s="411">
        <f ca="1">LN(N21/O22)</f>
        <v>7.4836363455950345E-3</v>
      </c>
      <c r="T21" s="71">
        <v>1.4999999999999999E-2</v>
      </c>
      <c r="U21" s="358">
        <v>0.01</v>
      </c>
      <c r="V21" s="359">
        <v>0.01</v>
      </c>
      <c r="W21" s="72">
        <v>1.4999999999999999E-2</v>
      </c>
      <c r="X21" s="27" cm="1">
        <f t="array" aca="1" ref="X21" ca="1">INDIRECT(ADDRESS($B21,9,,,"mkt data"))</f>
        <v>0</v>
      </c>
      <c r="Y21" s="53">
        <f t="shared" ca="1" si="5"/>
        <v>0</v>
      </c>
      <c r="Z21" s="27">
        <f t="shared" ca="1" si="6"/>
        <v>0</v>
      </c>
      <c r="AA21" s="399">
        <f ca="1">SUM(Z21:Z22)</f>
        <v>0</v>
      </c>
      <c r="AB21" s="282" t="str">
        <f t="shared" si="0"/>
        <v>NWSA</v>
      </c>
      <c r="AC21" s="33" cm="1">
        <f t="array" aca="1" ref="AC21" ca="1">INDIRECT(ADDRESS($B21,8,,,"mkt data"))</f>
        <v>29.25</v>
      </c>
      <c r="AD21" s="274">
        <f t="shared" ca="1" si="8"/>
        <v>28.155000000000001</v>
      </c>
      <c r="AE21" s="274">
        <f t="shared" ca="1" si="9"/>
        <v>-1.0949999999999989</v>
      </c>
      <c r="AF21" s="285">
        <v>0</v>
      </c>
      <c r="AG21" s="274">
        <f t="shared" ca="1" si="10"/>
        <v>-1.0949999999999989</v>
      </c>
      <c r="AH21" s="274">
        <f t="shared" ca="1" si="11"/>
        <v>0</v>
      </c>
      <c r="AI21" s="383">
        <f ca="1">AH21+AH22</f>
        <v>0</v>
      </c>
    </row>
    <row r="22" spans="1:35" ht="15.75" thickBot="1" x14ac:dyDescent="0.3">
      <c r="A22" s="142">
        <f>MATCH(G22,SCALARS!C:C,0)</f>
        <v>50</v>
      </c>
      <c r="B22" s="143">
        <f>MATCH(G22,'MKT DATA'!B:B,0)</f>
        <v>50</v>
      </c>
      <c r="C22" s="142" t="str" cm="1">
        <f t="array" aca="1" ref="C22" ca="1">INDIRECT(ADDRESS($A22,2,,,"scalars"))</f>
        <v>news corp</v>
      </c>
      <c r="D22" s="218" cm="1">
        <f t="array" aca="1" ref="D22" ca="1">INDIRECT(ADDRESS($A22,8,,,"SCALARS"))</f>
        <v>1292100</v>
      </c>
      <c r="E22" s="220"/>
      <c r="F22" s="20" t="str" cm="1">
        <f t="array" aca="1" ref="F22" ca="1">INDIRECT(ADDRESS($A22,5,,,"scalars"))</f>
        <v>NWS</v>
      </c>
      <c r="G22" s="312" t="s">
        <v>170</v>
      </c>
      <c r="H22" s="37" cm="1">
        <f t="array" aca="1" ref="H22" ca="1">INDIRECT(ADDRESS($B22,5,,,"mkt data"))</f>
        <v>31.17</v>
      </c>
      <c r="I22" s="38" cm="1">
        <f t="array" aca="1" ref="I22" ca="1">INDIRECT(ADDRESS($B22,6,,,"mkt data"))</f>
        <v>31.19</v>
      </c>
      <c r="J22" s="249" cm="1">
        <f t="array" aca="1" ref="J22" ca="1">INDIRECT(ADDRESS($A22,7,,,"SCALARS"))</f>
        <v>0</v>
      </c>
      <c r="K22" s="22">
        <f t="shared" ca="1" si="1"/>
        <v>31.1645</v>
      </c>
      <c r="L22" s="22">
        <f t="shared" ca="1" si="2"/>
        <v>31.195500000000003</v>
      </c>
      <c r="M22" s="50" cm="1">
        <f t="array" aca="1" ref="M22" ca="1">INDIRECT(ADDRESS($A22,6,,,"scalars"))</f>
        <v>1</v>
      </c>
      <c r="N22" s="23">
        <f t="shared" ca="1" si="3"/>
        <v>31.1645</v>
      </c>
      <c r="O22" s="23">
        <f t="shared" ca="1" si="4"/>
        <v>31.195500000000003</v>
      </c>
      <c r="P22" s="386"/>
      <c r="Q22" s="388"/>
      <c r="R22" s="495"/>
      <c r="S22" s="412"/>
      <c r="T22" s="73" t="b">
        <f ca="1">IF(Q21&gt;T21,TRUE,FALSE)</f>
        <v>0</v>
      </c>
      <c r="U22" s="360" t="b">
        <f ca="1">AND(IF(S21&gt;-U21,TRUE,FALSE),IF(X21&gt;0,TRUE,FALSE))</f>
        <v>0</v>
      </c>
      <c r="V22" s="361" t="b">
        <f ca="1">AND(IF(Q21&gt;-V21,TRUE,FALSE),IF(X21&lt;0,TRUE,FALSE))</f>
        <v>0</v>
      </c>
      <c r="W22" s="74" t="b">
        <f ca="1">IF(S21&gt;W21,TRUE,FALSE)</f>
        <v>0</v>
      </c>
      <c r="X22" s="29" cm="1">
        <f t="array" aca="1" ref="X22" ca="1">INDIRECT(ADDRESS($B22,9,,,"mkt data"))</f>
        <v>0</v>
      </c>
      <c r="Y22" s="55">
        <f t="shared" ca="1" si="5"/>
        <v>0</v>
      </c>
      <c r="Z22" s="29">
        <f t="shared" ca="1" si="6"/>
        <v>0</v>
      </c>
      <c r="AA22" s="400"/>
      <c r="AB22" s="290" t="str">
        <f t="shared" si="0"/>
        <v>NWS</v>
      </c>
      <c r="AC22" s="37" cm="1">
        <f t="array" aca="1" ref="AC22" ca="1">INDIRECT(ADDRESS($B22,8,,,"mkt data"))</f>
        <v>32.380001</v>
      </c>
      <c r="AD22" s="276">
        <f t="shared" ca="1" si="8"/>
        <v>31.18</v>
      </c>
      <c r="AE22" s="276">
        <f t="shared" ca="1" si="9"/>
        <v>-1.2000010000000003</v>
      </c>
      <c r="AF22" s="287">
        <v>0</v>
      </c>
      <c r="AG22" s="276">
        <f t="shared" ca="1" si="10"/>
        <v>-1.2000010000000003</v>
      </c>
      <c r="AH22" s="276">
        <f t="shared" ca="1" si="11"/>
        <v>0</v>
      </c>
      <c r="AI22" s="384"/>
    </row>
    <row r="23" spans="1:35" x14ac:dyDescent="0.25">
      <c r="A23" s="140">
        <f>MATCH(G23,SCALARS!C:C,0)</f>
        <v>52</v>
      </c>
      <c r="B23" s="141">
        <f>MATCH(G23,'MKT DATA'!B:B,0)</f>
        <v>52</v>
      </c>
      <c r="C23" s="140" t="str" cm="1">
        <f t="array" aca="1" ref="C23" ca="1">INDIRECT(ADDRESS($A23,2,,,"scalars"))</f>
        <v>under armour</v>
      </c>
      <c r="D23" s="217" cm="1">
        <f t="array" aca="1" ref="D23" ca="1">INDIRECT(ADDRESS($A23,8,,,"SCALARS"))</f>
        <v>2965000</v>
      </c>
      <c r="E23" s="219"/>
      <c r="F23" s="14" t="str" cm="1">
        <f t="array" aca="1" ref="F23" ca="1">INDIRECT(ADDRESS($A23,5,,,"scalars"))</f>
        <v>UAA</v>
      </c>
      <c r="G23" s="311" t="s">
        <v>248</v>
      </c>
      <c r="H23" s="33" cm="1">
        <f t="array" aca="1" ref="H23" ca="1">INDIRECT(ADDRESS($B23,5,,,"mkt data"))</f>
        <v>4.45</v>
      </c>
      <c r="I23" s="34" cm="1">
        <f t="array" aca="1" ref="I23" ca="1">INDIRECT(ADDRESS($B23,6,,,"mkt data"))</f>
        <v>4.46</v>
      </c>
      <c r="J23" s="248" cm="1">
        <f t="array" aca="1" ref="J23" ca="1">INDIRECT(ADDRESS($A23,7,,,"SCALARS"))</f>
        <v>0</v>
      </c>
      <c r="K23" s="16">
        <f t="shared" ca="1" si="1"/>
        <v>4.4445000000000006</v>
      </c>
      <c r="L23" s="16">
        <f t="shared" ca="1" si="2"/>
        <v>4.4654999999999996</v>
      </c>
      <c r="M23" s="49" cm="1">
        <f t="array" aca="1" ref="M23" ca="1">INDIRECT(ADDRESS($A23,6,,,"scalars"))</f>
        <v>1.0238709010359897</v>
      </c>
      <c r="N23" s="17">
        <f t="shared" ca="1" si="3"/>
        <v>4.5505942196544567</v>
      </c>
      <c r="O23" s="17">
        <f t="shared" ca="1" si="4"/>
        <v>4.5720955085762114</v>
      </c>
      <c r="P23" s="385">
        <f ca="1">N24-O23</f>
        <v>-3.7595508576210968E-2</v>
      </c>
      <c r="Q23" s="387">
        <f ca="1">LN(N24/O23)</f>
        <v>-8.2568116986980189E-3</v>
      </c>
      <c r="R23" s="421">
        <f ca="1">N23-O24</f>
        <v>-4.9057803455427873E-3</v>
      </c>
      <c r="S23" s="411">
        <f ca="1">LN(N23/O24)</f>
        <v>-1.0774720098033525E-3</v>
      </c>
      <c r="T23" s="71">
        <v>5.0000000000000001E-3</v>
      </c>
      <c r="U23" s="358">
        <v>3.0000000000000001E-3</v>
      </c>
      <c r="V23" s="359">
        <v>3.0000000000000001E-3</v>
      </c>
      <c r="W23" s="72">
        <v>5.0000000000000001E-3</v>
      </c>
      <c r="X23" s="27" cm="1">
        <f t="array" aca="1" ref="X23" ca="1">INDIRECT(ADDRESS($B23,9,,,"mkt data"))</f>
        <v>0</v>
      </c>
      <c r="Y23" s="53">
        <f t="shared" ca="1" si="5"/>
        <v>0</v>
      </c>
      <c r="Z23" s="27">
        <f t="shared" ca="1" si="6"/>
        <v>0</v>
      </c>
      <c r="AA23" s="399">
        <f ca="1">SUM(Z23:Z24)</f>
        <v>0</v>
      </c>
      <c r="AB23" s="282" t="str">
        <f t="shared" si="0"/>
        <v>UA</v>
      </c>
      <c r="AC23" s="33" cm="1">
        <f t="array" aca="1" ref="AC23" ca="1">INDIRECT(ADDRESS($B23,8,,,"mkt data"))</f>
        <v>4.63</v>
      </c>
      <c r="AD23" s="274">
        <f t="shared" ca="1" si="8"/>
        <v>4.4550000000000001</v>
      </c>
      <c r="AE23" s="274">
        <f t="shared" ca="1" si="9"/>
        <v>-0.17499999999999982</v>
      </c>
      <c r="AF23" s="285">
        <v>0</v>
      </c>
      <c r="AG23" s="274">
        <f t="shared" ca="1" si="10"/>
        <v>-0.17499999999999982</v>
      </c>
      <c r="AH23" s="274">
        <f t="shared" ca="1" si="11"/>
        <v>0</v>
      </c>
      <c r="AI23" s="383">
        <f ca="1">AH23+AH24</f>
        <v>0</v>
      </c>
    </row>
    <row r="24" spans="1:35" ht="15.75" thickBot="1" x14ac:dyDescent="0.3">
      <c r="A24" s="142">
        <f>MATCH(G24,SCALARS!C:C,0)</f>
        <v>53</v>
      </c>
      <c r="B24" s="143">
        <f>MATCH(G24,'MKT DATA'!B:B,0)</f>
        <v>53</v>
      </c>
      <c r="C24" s="142" t="str" cm="1">
        <f t="array" aca="1" ref="C24" ca="1">INDIRECT(ADDRESS($A24,2,,,"scalars"))</f>
        <v>under armour</v>
      </c>
      <c r="D24" s="218" cm="1">
        <f t="array" aca="1" ref="D24" ca="1">INDIRECT(ADDRESS($A24,8,,,"SCALARS"))</f>
        <v>8867000</v>
      </c>
      <c r="E24" s="220"/>
      <c r="F24" s="20" t="str" cm="1">
        <f t="array" aca="1" ref="F24" ca="1">INDIRECT(ADDRESS($A24,5,,,"scalars"))</f>
        <v>UAA</v>
      </c>
      <c r="G24" s="312" t="s">
        <v>249</v>
      </c>
      <c r="H24" s="37" cm="1">
        <f t="array" aca="1" ref="H24" ca="1">INDIRECT(ADDRESS($B24,5,,,"mkt data"))</f>
        <v>4.54</v>
      </c>
      <c r="I24" s="38" cm="1">
        <f t="array" aca="1" ref="I24" ca="1">INDIRECT(ADDRESS($B24,6,,,"mkt data"))</f>
        <v>4.55</v>
      </c>
      <c r="J24" s="249" cm="1">
        <f t="array" aca="1" ref="J24" ca="1">INDIRECT(ADDRESS($A24,7,,,"SCALARS"))</f>
        <v>0</v>
      </c>
      <c r="K24" s="22">
        <f t="shared" ca="1" si="1"/>
        <v>4.5345000000000004</v>
      </c>
      <c r="L24" s="22">
        <f t="shared" ca="1" si="2"/>
        <v>4.5554999999999994</v>
      </c>
      <c r="M24" s="50" cm="1">
        <f t="array" aca="1" ref="M24" ca="1">INDIRECT(ADDRESS($A24,6,,,"scalars"))</f>
        <v>1</v>
      </c>
      <c r="N24" s="23">
        <f t="shared" ca="1" si="3"/>
        <v>4.5345000000000004</v>
      </c>
      <c r="O24" s="23">
        <f t="shared" ca="1" si="4"/>
        <v>4.5554999999999994</v>
      </c>
      <c r="P24" s="386"/>
      <c r="Q24" s="388"/>
      <c r="R24" s="495"/>
      <c r="S24" s="412"/>
      <c r="T24" s="73" t="b">
        <f ca="1">IF(Q23&gt;T23,TRUE,FALSE)</f>
        <v>0</v>
      </c>
      <c r="U24" s="360" t="b">
        <f ca="1">AND(IF(S23&gt;-U23,TRUE,FALSE),IF(X23&gt;0,TRUE,FALSE))</f>
        <v>0</v>
      </c>
      <c r="V24" s="361" t="b">
        <f ca="1">AND(IF(Q23&gt;-V23,TRUE,FALSE),IF(X23&lt;0,TRUE,FALSE))</f>
        <v>0</v>
      </c>
      <c r="W24" s="74" t="b">
        <f ca="1">IF(S23&gt;W23,TRUE,FALSE)</f>
        <v>0</v>
      </c>
      <c r="X24" s="29" cm="1">
        <f t="array" aca="1" ref="X24" ca="1">INDIRECT(ADDRESS($B24,9,,,"mkt data"))</f>
        <v>0</v>
      </c>
      <c r="Y24" s="55">
        <f t="shared" ca="1" si="5"/>
        <v>0</v>
      </c>
      <c r="Z24" s="29">
        <f t="shared" ca="1" si="6"/>
        <v>0</v>
      </c>
      <c r="AA24" s="400"/>
      <c r="AB24" s="290" t="str">
        <f t="shared" si="0"/>
        <v>UAA</v>
      </c>
      <c r="AC24" s="37" cm="1">
        <f t="array" aca="1" ref="AC24" ca="1">INDIRECT(ADDRESS($B24,8,,,"mkt data"))</f>
        <v>4.74</v>
      </c>
      <c r="AD24" s="276">
        <f t="shared" ca="1" si="8"/>
        <v>4.5449999999999999</v>
      </c>
      <c r="AE24" s="276">
        <f t="shared" ca="1" si="9"/>
        <v>-0.19500000000000028</v>
      </c>
      <c r="AF24" s="287">
        <v>0</v>
      </c>
      <c r="AG24" s="276">
        <f t="shared" ca="1" si="10"/>
        <v>-0.19500000000000028</v>
      </c>
      <c r="AH24" s="276">
        <f t="shared" ca="1" si="11"/>
        <v>0</v>
      </c>
      <c r="AI24" s="384"/>
    </row>
    <row r="25" spans="1:35" x14ac:dyDescent="0.25">
      <c r="A25" s="140">
        <f>MATCH(G25,SCALARS!C:C,0)</f>
        <v>62</v>
      </c>
      <c r="B25" s="141">
        <f>MATCH(G25,'MKT DATA'!B:B,0)</f>
        <v>62</v>
      </c>
      <c r="C25" s="140" t="str" cm="1">
        <f t="array" aca="1" ref="C25" ca="1">INDIRECT(ADDRESS($A25,2,,,"scalars"))</f>
        <v>zillow</v>
      </c>
      <c r="D25" s="217" cm="1">
        <f t="array" aca="1" ref="D25" ca="1">INDIRECT(ADDRESS($A25,8,,,"SCALARS"))</f>
        <v>3684800</v>
      </c>
      <c r="E25" s="219"/>
      <c r="F25" s="14" t="str" cm="1">
        <f t="array" aca="1" ref="F25" ca="1">INDIRECT(ADDRESS($A25,5,,,"scalars"))</f>
        <v>ZG</v>
      </c>
      <c r="G25" s="311" t="s">
        <v>281</v>
      </c>
      <c r="H25" s="33" cm="1">
        <f t="array" aca="1" ref="H25" ca="1">INDIRECT(ADDRESS($B25,5,,,"mkt data"))</f>
        <v>28.65</v>
      </c>
      <c r="I25" s="34" cm="1">
        <f t="array" aca="1" ref="I25" ca="1">INDIRECT(ADDRESS($B25,6,,,"mkt data"))</f>
        <v>28.66</v>
      </c>
      <c r="J25" s="248" cm="1">
        <f t="array" aca="1" ref="J25" ca="1">INDIRECT(ADDRESS($A25,7,,,"SCALARS"))</f>
        <v>0</v>
      </c>
      <c r="K25" s="16">
        <f t="shared" ca="1" si="1"/>
        <v>28.644499999999997</v>
      </c>
      <c r="L25" s="16">
        <f t="shared" ca="1" si="2"/>
        <v>28.665500000000002</v>
      </c>
      <c r="M25" s="49" cm="1">
        <f t="array" aca="1" ref="M25" ca="1">INDIRECT(ADDRESS($A25,6,,,"scalars"))</f>
        <v>1.0221001329349044</v>
      </c>
      <c r="N25" s="17">
        <f t="shared" ca="1" si="3"/>
        <v>29.277547257853868</v>
      </c>
      <c r="O25" s="17">
        <f t="shared" ca="1" si="4"/>
        <v>29.299011360645505</v>
      </c>
      <c r="P25" s="385">
        <f ca="1">N26-O25</f>
        <v>8.5488639354494467E-2</v>
      </c>
      <c r="Q25" s="387">
        <f ca="1">LN(N26/O25)</f>
        <v>2.913550939500493E-3</v>
      </c>
      <c r="R25" s="421">
        <f ca="1">N25-O26</f>
        <v>-0.13795274214613329</v>
      </c>
      <c r="S25" s="411">
        <f ca="1">LN(N25/O26)</f>
        <v>-4.7008292337455482E-3</v>
      </c>
      <c r="T25" s="71">
        <v>1.2500000000000001E-2</v>
      </c>
      <c r="U25" s="358">
        <v>2.5000000000000001E-3</v>
      </c>
      <c r="V25" s="359">
        <v>5.0000000000000001E-3</v>
      </c>
      <c r="W25" s="72">
        <v>1.2500000000000001E-2</v>
      </c>
      <c r="X25" s="27" cm="1">
        <f t="array" aca="1" ref="X25" ca="1">INDIRECT(ADDRESS($B25,9,,,"mkt data"))</f>
        <v>0</v>
      </c>
      <c r="Y25" s="53">
        <f t="shared" ca="1" si="5"/>
        <v>0</v>
      </c>
      <c r="Z25" s="27">
        <f t="shared" ca="1" si="6"/>
        <v>0</v>
      </c>
      <c r="AA25" s="399">
        <f ca="1">SUM(Z25:Z26)</f>
        <v>0</v>
      </c>
      <c r="AB25" s="282" t="str">
        <f t="shared" ref="AB25:AB26" si="13">G25</f>
        <v>Z</v>
      </c>
      <c r="AC25" s="33" cm="1">
        <f t="array" aca="1" ref="AC25" ca="1">INDIRECT(ADDRESS($B25,8,,,"mkt data"))</f>
        <v>30.950001</v>
      </c>
      <c r="AD25" s="274">
        <f t="shared" ca="1" si="8"/>
        <v>28.655000000000001</v>
      </c>
      <c r="AE25" s="274">
        <f t="shared" ca="1" si="9"/>
        <v>-2.2950009999999992</v>
      </c>
      <c r="AF25" s="285">
        <v>0</v>
      </c>
      <c r="AG25" s="274">
        <f t="shared" ca="1" si="10"/>
        <v>-2.2950009999999992</v>
      </c>
      <c r="AH25" s="274">
        <f t="shared" ca="1" si="11"/>
        <v>0</v>
      </c>
      <c r="AI25" s="383">
        <f ca="1">AH25+AH26</f>
        <v>0</v>
      </c>
    </row>
    <row r="26" spans="1:35" ht="15.75" thickBot="1" x14ac:dyDescent="0.3">
      <c r="A26" s="142">
        <f>MATCH(G26,SCALARS!C:C,0)</f>
        <v>63</v>
      </c>
      <c r="B26" s="143">
        <f>MATCH(G26,'MKT DATA'!B:B,0)</f>
        <v>63</v>
      </c>
      <c r="C26" s="142" t="str" cm="1">
        <f t="array" aca="1" ref="C26" ca="1">INDIRECT(ADDRESS($A26,2,,,"scalars"))</f>
        <v>zillow</v>
      </c>
      <c r="D26" s="218" cm="1">
        <f t="array" aca="1" ref="D26" ca="1">INDIRECT(ADDRESS($A26,8,,,"SCALARS"))</f>
        <v>1137300</v>
      </c>
      <c r="E26" s="220"/>
      <c r="F26" s="20" t="str" cm="1">
        <f t="array" aca="1" ref="F26" ca="1">INDIRECT(ADDRESS($A26,5,,,"scalars"))</f>
        <v>ZG</v>
      </c>
      <c r="G26" s="312" t="s">
        <v>282</v>
      </c>
      <c r="H26" s="37" cm="1">
        <f t="array" aca="1" ref="H26" ca="1">INDIRECT(ADDRESS($B26,5,,,"mkt data"))</f>
        <v>29.39</v>
      </c>
      <c r="I26" s="38" cm="1">
        <f t="array" aca="1" ref="I26" ca="1">INDIRECT(ADDRESS($B26,6,,,"mkt data"))</f>
        <v>29.41</v>
      </c>
      <c r="J26" s="249" cm="1">
        <f t="array" aca="1" ref="J26" ca="1">INDIRECT(ADDRESS($A26,7,,,"SCALARS"))</f>
        <v>0</v>
      </c>
      <c r="K26" s="22">
        <f t="shared" ca="1" si="1"/>
        <v>29.384499999999999</v>
      </c>
      <c r="L26" s="22">
        <f t="shared" ca="1" si="2"/>
        <v>29.415500000000002</v>
      </c>
      <c r="M26" s="50" cm="1">
        <f t="array" aca="1" ref="M26" ca="1">INDIRECT(ADDRESS($A26,6,,,"scalars"))</f>
        <v>1</v>
      </c>
      <c r="N26" s="23">
        <f t="shared" ca="1" si="3"/>
        <v>29.384499999999999</v>
      </c>
      <c r="O26" s="23">
        <f t="shared" ca="1" si="4"/>
        <v>29.415500000000002</v>
      </c>
      <c r="P26" s="386"/>
      <c r="Q26" s="388"/>
      <c r="R26" s="495"/>
      <c r="S26" s="412"/>
      <c r="T26" s="73" t="b">
        <f ca="1">IF(Q25&gt;T25,TRUE,FALSE)</f>
        <v>0</v>
      </c>
      <c r="U26" s="360" t="b">
        <f ca="1">AND(IF(S25&gt;-U25,TRUE,FALSE),IF(X25&gt;0,TRUE,FALSE))</f>
        <v>0</v>
      </c>
      <c r="V26" s="361" t="b">
        <f ca="1">AND(IF(Q25&gt;-V25,TRUE,FALSE),IF(X25&lt;0,TRUE,FALSE))</f>
        <v>0</v>
      </c>
      <c r="W26" s="74" t="b">
        <f ca="1">IF(S25&gt;W25,TRUE,FALSE)</f>
        <v>0</v>
      </c>
      <c r="X26" s="29" cm="1">
        <f t="array" aca="1" ref="X26" ca="1">INDIRECT(ADDRESS($B26,9,,,"mkt data"))</f>
        <v>0</v>
      </c>
      <c r="Y26" s="55">
        <f t="shared" ca="1" si="5"/>
        <v>0</v>
      </c>
      <c r="Z26" s="29">
        <f t="shared" ca="1" si="6"/>
        <v>0</v>
      </c>
      <c r="AA26" s="400"/>
      <c r="AB26" s="290" t="str">
        <f t="shared" si="13"/>
        <v>ZG</v>
      </c>
      <c r="AC26" s="37" cm="1">
        <f t="array" aca="1" ref="AC26" ca="1">INDIRECT(ADDRESS($B26,8,,,"mkt data"))</f>
        <v>31.59</v>
      </c>
      <c r="AD26" s="276">
        <f t="shared" ca="1" si="8"/>
        <v>29.4</v>
      </c>
      <c r="AE26" s="276">
        <f t="shared" ca="1" si="9"/>
        <v>-2.1900000000000013</v>
      </c>
      <c r="AF26" s="287">
        <v>0</v>
      </c>
      <c r="AG26" s="276">
        <f t="shared" ca="1" si="10"/>
        <v>-2.1900000000000013</v>
      </c>
      <c r="AH26" s="276">
        <f t="shared" ca="1" si="11"/>
        <v>0</v>
      </c>
      <c r="AI26" s="384"/>
    </row>
    <row r="31" spans="1:35" x14ac:dyDescent="0.25">
      <c r="A31" t="s">
        <v>263</v>
      </c>
      <c r="C31" t="s">
        <v>264</v>
      </c>
      <c r="D31" t="s">
        <v>265</v>
      </c>
      <c r="E31" t="s">
        <v>266</v>
      </c>
    </row>
    <row r="32" spans="1:35" x14ac:dyDescent="0.25">
      <c r="A32" t="s">
        <v>269</v>
      </c>
      <c r="C32" t="s">
        <v>270</v>
      </c>
      <c r="D32" t="s">
        <v>267</v>
      </c>
      <c r="E32" t="s">
        <v>271</v>
      </c>
    </row>
    <row r="33" spans="1:5" x14ac:dyDescent="0.25">
      <c r="A33" t="s">
        <v>272</v>
      </c>
      <c r="C33" t="s">
        <v>273</v>
      </c>
      <c r="D33" t="s">
        <v>267</v>
      </c>
      <c r="E33" t="s">
        <v>274</v>
      </c>
    </row>
    <row r="34" spans="1:5" x14ac:dyDescent="0.25">
      <c r="A34" t="s">
        <v>275</v>
      </c>
      <c r="C34" s="270" t="s">
        <v>276</v>
      </c>
      <c r="D34" t="s">
        <v>268</v>
      </c>
      <c r="E34" t="s">
        <v>277</v>
      </c>
    </row>
    <row r="35" spans="1:5" x14ac:dyDescent="0.25">
      <c r="A35" t="s">
        <v>278</v>
      </c>
      <c r="C35" t="s">
        <v>279</v>
      </c>
      <c r="D35" t="s">
        <v>268</v>
      </c>
      <c r="E35" t="s">
        <v>280</v>
      </c>
    </row>
    <row r="38" spans="1:5" x14ac:dyDescent="0.25">
      <c r="A38" s="8"/>
    </row>
    <row r="39" spans="1:5" x14ac:dyDescent="0.25">
      <c r="A39" s="8"/>
    </row>
  </sheetData>
  <mergeCells count="78">
    <mergeCell ref="AA21:AA22"/>
    <mergeCell ref="AI21:AI22"/>
    <mergeCell ref="AA13:AA14"/>
    <mergeCell ref="AA25:AA26"/>
    <mergeCell ref="Q23:Q24"/>
    <mergeCell ref="R23:R24"/>
    <mergeCell ref="S23:S24"/>
    <mergeCell ref="P19:P20"/>
    <mergeCell ref="Q19:Q20"/>
    <mergeCell ref="R19:R20"/>
    <mergeCell ref="S19:S20"/>
    <mergeCell ref="P17:P18"/>
    <mergeCell ref="Q17:Q18"/>
    <mergeCell ref="R25:R26"/>
    <mergeCell ref="S25:S26"/>
    <mergeCell ref="P23:P24"/>
    <mergeCell ref="P15:P16"/>
    <mergeCell ref="Q15:Q16"/>
    <mergeCell ref="R15:R16"/>
    <mergeCell ref="S15:S16"/>
    <mergeCell ref="P13:P14"/>
    <mergeCell ref="Q13:Q14"/>
    <mergeCell ref="R13:R14"/>
    <mergeCell ref="S13:S14"/>
    <mergeCell ref="P5:P6"/>
    <mergeCell ref="P7:P8"/>
    <mergeCell ref="K1:L2"/>
    <mergeCell ref="P1:S2"/>
    <mergeCell ref="P21:P22"/>
    <mergeCell ref="Q21:Q22"/>
    <mergeCell ref="R21:R22"/>
    <mergeCell ref="S21:S22"/>
    <mergeCell ref="P11:P12"/>
    <mergeCell ref="Q11:Q12"/>
    <mergeCell ref="R11:R12"/>
    <mergeCell ref="S11:S12"/>
    <mergeCell ref="P9:P10"/>
    <mergeCell ref="Q9:Q10"/>
    <mergeCell ref="P25:P26"/>
    <mergeCell ref="Q25:Q26"/>
    <mergeCell ref="Q5:Q6"/>
    <mergeCell ref="R5:R6"/>
    <mergeCell ref="S5:S6"/>
    <mergeCell ref="Q7:Q8"/>
    <mergeCell ref="R7:R8"/>
    <mergeCell ref="S7:S8"/>
    <mergeCell ref="AA7:AA8"/>
    <mergeCell ref="AA11:AA12"/>
    <mergeCell ref="A3:B3"/>
    <mergeCell ref="R3:S3"/>
    <mergeCell ref="H3:I3"/>
    <mergeCell ref="K3:L3"/>
    <mergeCell ref="N3:O3"/>
    <mergeCell ref="P3:Q3"/>
    <mergeCell ref="AA9:AA10"/>
    <mergeCell ref="R9:R10"/>
    <mergeCell ref="S9:S10"/>
    <mergeCell ref="R17:R18"/>
    <mergeCell ref="S17:S18"/>
    <mergeCell ref="AA17:AA18"/>
    <mergeCell ref="AH1:AH2"/>
    <mergeCell ref="AI1:AI2"/>
    <mergeCell ref="X3:AA3"/>
    <mergeCell ref="AA15:AA16"/>
    <mergeCell ref="AI15:AI16"/>
    <mergeCell ref="AI13:AI14"/>
    <mergeCell ref="AI11:AI12"/>
    <mergeCell ref="AI9:AI10"/>
    <mergeCell ref="AI25:AI26"/>
    <mergeCell ref="AI17:AI18"/>
    <mergeCell ref="AI19:AI20"/>
    <mergeCell ref="AA5:AA6"/>
    <mergeCell ref="AI5:AI6"/>
    <mergeCell ref="AI7:AI8"/>
    <mergeCell ref="AA23:AA24"/>
    <mergeCell ref="AI23:AI24"/>
    <mergeCell ref="AA19:AA20"/>
    <mergeCell ref="AG1:AG2"/>
  </mergeCells>
  <conditionalFormatting sqref="S5:S26 S33:S35 Q5:Q26 Q33:Q35 B31:B37">
    <cfRule type="cellIs" dxfId="25" priority="66" operator="greaterThan">
      <formula>0</formula>
    </cfRule>
  </conditionalFormatting>
  <conditionalFormatting sqref="W1:W26 T1:T26 T33:T1048576 E31:E37 W30:W1048576">
    <cfRule type="cellIs" dxfId="24" priority="34" operator="equal">
      <formula>TRUE</formula>
    </cfRule>
  </conditionalFormatting>
  <conditionalFormatting sqref="U1:V26 U33:V1048576 F31:G37">
    <cfRule type="cellIs" dxfId="23" priority="33" operator="equal">
      <formula>TRUE</formula>
    </cfRule>
  </conditionalFormatting>
  <conditionalFormatting sqref="N19:N20">
    <cfRule type="top10" dxfId="22" priority="29" rank="1"/>
  </conditionalFormatting>
  <conditionalFormatting sqref="N17:N18">
    <cfRule type="top10" dxfId="21" priority="27" rank="1"/>
  </conditionalFormatting>
  <conditionalFormatting sqref="O19:O20">
    <cfRule type="top10" dxfId="20" priority="30" bottom="1" rank="1"/>
  </conditionalFormatting>
  <conditionalFormatting sqref="O17:O18">
    <cfRule type="top10" dxfId="19" priority="28" bottom="1" rank="1"/>
  </conditionalFormatting>
  <conditionalFormatting sqref="N21:N22">
    <cfRule type="top10" dxfId="18" priority="31" rank="1"/>
  </conditionalFormatting>
  <conditionalFormatting sqref="O21:O22">
    <cfRule type="top10" dxfId="17" priority="32" bottom="1" rank="1"/>
  </conditionalFormatting>
  <conditionalFormatting sqref="N7:N8">
    <cfRule type="top10" dxfId="16" priority="15" rank="1"/>
  </conditionalFormatting>
  <conditionalFormatting sqref="N5:N6">
    <cfRule type="top10" dxfId="15" priority="13" rank="1"/>
  </conditionalFormatting>
  <conditionalFormatting sqref="O7:O8">
    <cfRule type="top10" dxfId="14" priority="16" bottom="1" rank="1"/>
  </conditionalFormatting>
  <conditionalFormatting sqref="O5:O6">
    <cfRule type="top10" dxfId="13" priority="14" bottom="1" rank="1"/>
  </conditionalFormatting>
  <conditionalFormatting sqref="N9:N10">
    <cfRule type="top10" dxfId="12" priority="17" rank="1"/>
  </conditionalFormatting>
  <conditionalFormatting sqref="O9:O10">
    <cfRule type="top10" dxfId="11" priority="18" bottom="1" rank="1"/>
  </conditionalFormatting>
  <conditionalFormatting sqref="N13:N14">
    <cfRule type="top10" dxfId="10" priority="21" rank="1"/>
  </conditionalFormatting>
  <conditionalFormatting sqref="N11:N12">
    <cfRule type="top10" dxfId="9" priority="19" rank="1"/>
  </conditionalFormatting>
  <conditionalFormatting sqref="O13:O14">
    <cfRule type="top10" dxfId="8" priority="22" bottom="1" rank="1"/>
  </conditionalFormatting>
  <conditionalFormatting sqref="O11:O12">
    <cfRule type="top10" dxfId="7" priority="20" bottom="1" rank="1"/>
  </conditionalFormatting>
  <conditionalFormatting sqref="N23:N24">
    <cfRule type="top10" dxfId="6" priority="11" rank="1"/>
  </conditionalFormatting>
  <conditionalFormatting sqref="O23:O24">
    <cfRule type="top10" dxfId="5" priority="12" bottom="1" rank="1"/>
  </conditionalFormatting>
  <conditionalFormatting sqref="N25:N26">
    <cfRule type="top10" dxfId="4" priority="9" rank="1"/>
  </conditionalFormatting>
  <conditionalFormatting sqref="O25:O26">
    <cfRule type="top10" dxfId="3" priority="10" bottom="1" rank="1"/>
  </conditionalFormatting>
  <conditionalFormatting sqref="N15:N16">
    <cfRule type="top10" dxfId="2" priority="23" rank="1"/>
  </conditionalFormatting>
  <conditionalFormatting sqref="O15:O16">
    <cfRule type="top10" dxfId="1" priority="24" bottom="1" rank="1"/>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AFD55-7319-401F-9C44-8A6C6F752354}">
  <dimension ref="A1:C14"/>
  <sheetViews>
    <sheetView workbookViewId="0">
      <selection activeCell="N38" sqref="N38"/>
    </sheetView>
  </sheetViews>
  <sheetFormatPr defaultRowHeight="15" x14ac:dyDescent="0.25"/>
  <sheetData>
    <row r="1" spans="1:3" x14ac:dyDescent="0.25">
      <c r="A1" t="s">
        <v>225</v>
      </c>
      <c r="B1" t="s">
        <v>226</v>
      </c>
      <c r="C1" t="s">
        <v>227</v>
      </c>
    </row>
    <row r="2" spans="1:3" x14ac:dyDescent="0.25">
      <c r="A2">
        <v>2026</v>
      </c>
      <c r="B2" t="s">
        <v>228</v>
      </c>
      <c r="C2" t="s">
        <v>229</v>
      </c>
    </row>
    <row r="3" spans="1:3" x14ac:dyDescent="0.25">
      <c r="A3">
        <v>2027</v>
      </c>
      <c r="B3" t="s">
        <v>230</v>
      </c>
      <c r="C3" t="s">
        <v>231</v>
      </c>
    </row>
    <row r="4" spans="1:3" x14ac:dyDescent="0.25">
      <c r="A4">
        <v>2028</v>
      </c>
      <c r="B4" t="s">
        <v>232</v>
      </c>
      <c r="C4" t="s">
        <v>233</v>
      </c>
    </row>
    <row r="5" spans="1:3" x14ac:dyDescent="0.25">
      <c r="A5">
        <v>2029</v>
      </c>
      <c r="B5" t="s">
        <v>234</v>
      </c>
      <c r="C5" t="s">
        <v>235</v>
      </c>
    </row>
    <row r="6" spans="1:3" x14ac:dyDescent="0.25">
      <c r="A6">
        <v>2030</v>
      </c>
      <c r="B6" t="s">
        <v>236</v>
      </c>
      <c r="C6" t="s">
        <v>237</v>
      </c>
    </row>
    <row r="7" spans="1:3" x14ac:dyDescent="0.25">
      <c r="A7">
        <v>2031</v>
      </c>
      <c r="B7" t="s">
        <v>238</v>
      </c>
      <c r="C7" t="s">
        <v>239</v>
      </c>
    </row>
    <row r="8" spans="1:3" x14ac:dyDescent="0.25">
      <c r="A8">
        <v>2032</v>
      </c>
      <c r="B8" t="s">
        <v>240</v>
      </c>
      <c r="C8" t="s">
        <v>241</v>
      </c>
    </row>
    <row r="9" spans="1:3" x14ac:dyDescent="0.25">
      <c r="A9">
        <v>2033</v>
      </c>
      <c r="B9" t="s">
        <v>242</v>
      </c>
      <c r="C9" t="s">
        <v>243</v>
      </c>
    </row>
    <row r="10" spans="1:3" x14ac:dyDescent="0.25">
      <c r="A10">
        <v>2034</v>
      </c>
      <c r="B10" t="s">
        <v>244</v>
      </c>
      <c r="C10" t="s">
        <v>245</v>
      </c>
    </row>
    <row r="11" spans="1:3" x14ac:dyDescent="0.25">
      <c r="A11">
        <v>2035</v>
      </c>
      <c r="B11" t="s">
        <v>246</v>
      </c>
      <c r="C11" t="s">
        <v>247</v>
      </c>
    </row>
    <row r="13" spans="1:3" x14ac:dyDescent="0.25">
      <c r="B13" t="s">
        <v>285</v>
      </c>
    </row>
    <row r="14" spans="1:3" x14ac:dyDescent="0.25">
      <c r="B14" t="s">
        <v>286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77218-1E90-4421-AC04-F05B0720BE2A}">
  <dimension ref="A1:A20"/>
  <sheetViews>
    <sheetView workbookViewId="0">
      <selection activeCell="E6" sqref="E6"/>
    </sheetView>
  </sheetViews>
  <sheetFormatPr defaultRowHeight="15" x14ac:dyDescent="0.25"/>
  <sheetData>
    <row r="1" spans="1:1" x14ac:dyDescent="0.25">
      <c r="A1" t="s">
        <v>165</v>
      </c>
    </row>
    <row r="3" spans="1:1" x14ac:dyDescent="0.25">
      <c r="A3" t="s">
        <v>287</v>
      </c>
    </row>
    <row r="5" spans="1:1" x14ac:dyDescent="0.25">
      <c r="A5" t="s">
        <v>288</v>
      </c>
    </row>
    <row r="7" spans="1:1" x14ac:dyDescent="0.25">
      <c r="A7" s="8" t="s">
        <v>289</v>
      </c>
    </row>
    <row r="9" spans="1:1" x14ac:dyDescent="0.25">
      <c r="A9" s="8" t="s">
        <v>290</v>
      </c>
    </row>
    <row r="11" spans="1:1" x14ac:dyDescent="0.25">
      <c r="A11" s="8" t="s">
        <v>291</v>
      </c>
    </row>
    <row r="13" spans="1:1" x14ac:dyDescent="0.25">
      <c r="A13" s="8" t="s">
        <v>292</v>
      </c>
    </row>
    <row r="15" spans="1:1" x14ac:dyDescent="0.25">
      <c r="A15" s="8" t="s">
        <v>293</v>
      </c>
    </row>
    <row r="17" spans="1:1" x14ac:dyDescent="0.25">
      <c r="A17" s="8" t="s">
        <v>294</v>
      </c>
    </row>
    <row r="18" spans="1:1" x14ac:dyDescent="0.25">
      <c r="A18" t="s">
        <v>295</v>
      </c>
    </row>
    <row r="20" spans="1:1" x14ac:dyDescent="0.25">
      <c r="A20" t="s">
        <v>296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C4F17-AF84-46EC-8473-43601FE6F2FF}">
  <dimension ref="A1"/>
  <sheetViews>
    <sheetView workbookViewId="0">
      <selection activeCell="P34" sqref="P34"/>
    </sheetView>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FACB9-06CC-446D-AFD6-C70DB69ED8F4}">
  <sheetPr codeName="Sheet7"/>
  <dimension ref="A1:X101"/>
  <sheetViews>
    <sheetView tabSelected="1" zoomScale="85" zoomScaleNormal="85" workbookViewId="0">
      <pane ySplit="1" topLeftCell="A2" activePane="bottomLeft" state="frozen"/>
      <selection pane="bottomLeft" activeCell="K28" sqref="K28"/>
    </sheetView>
  </sheetViews>
  <sheetFormatPr defaultRowHeight="15" x14ac:dyDescent="0.25"/>
  <cols>
    <col min="1" max="1" width="13.5703125" customWidth="1"/>
    <col min="2" max="2" width="17.85546875" bestFit="1" customWidth="1"/>
    <col min="3" max="3" width="11.42578125" bestFit="1" customWidth="1"/>
    <col min="4" max="4" width="12" bestFit="1" customWidth="1"/>
    <col min="5" max="5" width="7.28515625" bestFit="1" customWidth="1"/>
    <col min="6" max="7" width="12.5703125" bestFit="1" customWidth="1"/>
    <col min="8" max="8" width="12.140625" style="1" bestFit="1" customWidth="1"/>
    <col min="9" max="9" width="7.7109375" style="185" customWidth="1"/>
    <col min="10" max="10" width="12.5703125" style="186" bestFit="1" customWidth="1"/>
    <col min="11" max="11" width="14.5703125" style="7" bestFit="1" customWidth="1"/>
    <col min="12" max="12" width="9.7109375" style="6" bestFit="1" customWidth="1"/>
    <col min="13" max="13" width="8.7109375" style="6" bestFit="1" customWidth="1"/>
    <col min="16" max="16" width="34.5703125" bestFit="1" customWidth="1"/>
  </cols>
  <sheetData>
    <row r="1" spans="1:16" ht="15.75" x14ac:dyDescent="0.25">
      <c r="A1" s="313" t="str">
        <f>SCALARS!A1</f>
        <v>grouping</v>
      </c>
      <c r="B1" s="313" t="str">
        <f>SCALARS!B1</f>
        <v>subgroup</v>
      </c>
      <c r="C1" s="313" t="str">
        <f>SCALARS!C1</f>
        <v>my_fi_name</v>
      </c>
      <c r="D1" s="313" t="str">
        <f>SCALARS!D1</f>
        <v>my_pf_name</v>
      </c>
      <c r="E1" s="313" t="str">
        <f>SCALARS!E1</f>
        <v>anchor</v>
      </c>
      <c r="F1" s="314" t="str">
        <f>SCALARS!F1</f>
        <v>multiplier</v>
      </c>
      <c r="G1" s="314" t="str">
        <f>SCALARS!G1</f>
        <v>div_adj</v>
      </c>
      <c r="H1" s="216" t="s">
        <v>152</v>
      </c>
      <c r="I1" s="317" t="s">
        <v>155</v>
      </c>
      <c r="J1" s="318" t="s">
        <v>154</v>
      </c>
      <c r="K1" s="319" t="s">
        <v>153</v>
      </c>
      <c r="L1" s="320" t="s">
        <v>156</v>
      </c>
      <c r="M1" s="320" t="s">
        <v>157</v>
      </c>
      <c r="P1" s="126" t="s">
        <v>87</v>
      </c>
    </row>
    <row r="2" spans="1:16" ht="16.5" thickBot="1" x14ac:dyDescent="0.3">
      <c r="A2" s="315" t="str">
        <f>SCALARS!A2</f>
        <v>fixed income</v>
      </c>
      <c r="B2" s="315" t="str">
        <f>SCALARS!B2</f>
        <v>agg</v>
      </c>
      <c r="C2" s="315" t="str">
        <f>SCALARS!C2</f>
        <v>AGG</v>
      </c>
      <c r="D2" s="315" t="str">
        <f>SCALARS!D2</f>
        <v>IBKR</v>
      </c>
      <c r="E2" s="315" t="str">
        <f>SCALARS!E2</f>
        <v>AGG</v>
      </c>
      <c r="F2" s="316">
        <f>SCALARS!F2</f>
        <v>1</v>
      </c>
      <c r="G2" s="316">
        <f>SCALARS!G2</f>
        <v>0</v>
      </c>
      <c r="H2" s="213" t="b">
        <v>0</v>
      </c>
      <c r="I2" s="321"/>
      <c r="J2" s="322"/>
      <c r="K2" s="323"/>
      <c r="L2" s="324"/>
      <c r="M2" s="324"/>
      <c r="P2" s="127" t="s">
        <v>88</v>
      </c>
    </row>
    <row r="3" spans="1:16" x14ac:dyDescent="0.25">
      <c r="A3" s="315" t="str">
        <f>SCALARS!A3</f>
        <v>fixed income</v>
      </c>
      <c r="B3" s="315" t="str">
        <f>SCALARS!B3</f>
        <v>agg</v>
      </c>
      <c r="C3" s="315" t="str">
        <f>SCALARS!C3</f>
        <v>BND</v>
      </c>
      <c r="D3" s="315" t="str">
        <f>SCALARS!D3</f>
        <v>IBKR</v>
      </c>
      <c r="E3" s="315" t="str">
        <f>SCALARS!E3</f>
        <v>AGG</v>
      </c>
      <c r="F3" s="316">
        <f>SCALARS!F3</f>
        <v>1.347912844590168</v>
      </c>
      <c r="G3" s="316">
        <f>SCALARS!G3</f>
        <v>0</v>
      </c>
      <c r="H3" s="213" t="b">
        <v>0</v>
      </c>
      <c r="I3" s="321"/>
      <c r="J3" s="322"/>
      <c r="K3" s="323"/>
      <c r="L3" s="324"/>
      <c r="M3" s="324"/>
    </row>
    <row r="4" spans="1:16" x14ac:dyDescent="0.25">
      <c r="A4" s="315" t="str">
        <f>SCALARS!A4</f>
        <v>fixed income</v>
      </c>
      <c r="B4" s="315" t="str">
        <f>SCALARS!B4</f>
        <v>agg</v>
      </c>
      <c r="C4" s="315" t="str">
        <f>SCALARS!C4</f>
        <v>SCHZ</v>
      </c>
      <c r="D4" s="315" t="str">
        <f>SCALARS!D4</f>
        <v>IBKR</v>
      </c>
      <c r="E4" s="315" t="str">
        <f>SCALARS!E4</f>
        <v>AGG</v>
      </c>
      <c r="F4" s="316">
        <f>SCALARS!F4</f>
        <v>4.2788214798015662</v>
      </c>
      <c r="G4" s="316">
        <f>SCALARS!G4</f>
        <v>0</v>
      </c>
      <c r="H4" s="213" t="b">
        <v>0</v>
      </c>
      <c r="I4" s="321"/>
      <c r="J4" s="322"/>
      <c r="K4" s="323"/>
      <c r="L4" s="324"/>
      <c r="M4" s="324"/>
    </row>
    <row r="5" spans="1:16" x14ac:dyDescent="0.25">
      <c r="A5" s="315" t="str">
        <f>SCALARS!A5</f>
        <v>fixed income</v>
      </c>
      <c r="B5" s="315" t="str">
        <f>SCALARS!B5</f>
        <v>agg</v>
      </c>
      <c r="C5" s="315" t="str">
        <f>SCALARS!C5</f>
        <v>SPAB</v>
      </c>
      <c r="D5" s="315" t="str">
        <f>SCALARS!D5</f>
        <v>IBKR</v>
      </c>
      <c r="E5" s="315" t="str">
        <f>SCALARS!E5</f>
        <v>AGG</v>
      </c>
      <c r="F5" s="316">
        <f>SCALARS!F5</f>
        <v>3.8797744851799019</v>
      </c>
      <c r="G5" s="316">
        <f>SCALARS!G5</f>
        <v>0</v>
      </c>
      <c r="H5" s="213" t="b">
        <v>0</v>
      </c>
      <c r="I5" s="321"/>
      <c r="J5" s="322"/>
      <c r="K5" s="323"/>
      <c r="L5" s="324"/>
      <c r="M5" s="324"/>
    </row>
    <row r="6" spans="1:16" x14ac:dyDescent="0.25">
      <c r="A6" s="315" t="str">
        <f>SCALARS!A6</f>
        <v>fixed income</v>
      </c>
      <c r="B6" s="315" t="str">
        <f>SCALARS!B6</f>
        <v>calif munis</v>
      </c>
      <c r="C6" s="315" t="str">
        <f>SCALARS!C6</f>
        <v>CMF</v>
      </c>
      <c r="D6" s="315" t="str">
        <f>SCALARS!D6</f>
        <v>IBKR</v>
      </c>
      <c r="E6" s="315" t="str">
        <f>SCALARS!E6</f>
        <v>VTEC</v>
      </c>
      <c r="F6" s="316">
        <f>SCALARS!F6</f>
        <v>1.7462273139166982</v>
      </c>
      <c r="G6" s="316">
        <f>SCALARS!G6</f>
        <v>1.1259440000000001</v>
      </c>
      <c r="H6" s="213" t="b">
        <v>0</v>
      </c>
      <c r="I6" s="321"/>
      <c r="J6" s="322"/>
      <c r="K6" s="323"/>
      <c r="L6" s="324"/>
      <c r="M6" s="324"/>
    </row>
    <row r="7" spans="1:16" x14ac:dyDescent="0.25">
      <c r="A7" s="315" t="str">
        <f>SCALARS!A7</f>
        <v>fixed income</v>
      </c>
      <c r="B7" s="315" t="str">
        <f>SCALARS!B7</f>
        <v>calif munis</v>
      </c>
      <c r="C7" s="315" t="str">
        <f>SCALARS!C7</f>
        <v>VTEC</v>
      </c>
      <c r="D7" s="315" t="str">
        <f>SCALARS!D7</f>
        <v>IBKR</v>
      </c>
      <c r="E7" s="315" t="str">
        <f>SCALARS!E7</f>
        <v>VTEC</v>
      </c>
      <c r="F7" s="316">
        <f>SCALARS!F7</f>
        <v>1</v>
      </c>
      <c r="G7" s="316">
        <f>SCALARS!G7</f>
        <v>2.0625</v>
      </c>
      <c r="H7" s="213" t="b">
        <v>0</v>
      </c>
      <c r="I7" s="321"/>
      <c r="J7" s="322"/>
      <c r="K7" s="323"/>
      <c r="L7" s="324"/>
      <c r="M7" s="324"/>
    </row>
    <row r="8" spans="1:16" x14ac:dyDescent="0.25">
      <c r="A8" s="315" t="str">
        <f>SCALARS!A8</f>
        <v>fixed income</v>
      </c>
      <c r="B8" s="315" t="str">
        <f>SCALARS!B8</f>
        <v>converts</v>
      </c>
      <c r="C8" s="315" t="str">
        <f>SCALARS!C8</f>
        <v>CWB</v>
      </c>
      <c r="D8" s="315" t="str">
        <f>SCALARS!D8</f>
        <v>IBKR</v>
      </c>
      <c r="E8" s="315" t="str">
        <f>SCALARS!E8</f>
        <v>ICVT</v>
      </c>
      <c r="F8" s="316">
        <f>SCALARS!F8</f>
        <v>1.113188222050894</v>
      </c>
      <c r="G8" s="316">
        <f>SCALARS!G8</f>
        <v>1.0709869999999999</v>
      </c>
      <c r="H8" s="213" t="b">
        <v>0</v>
      </c>
      <c r="I8" s="321"/>
      <c r="J8" s="322"/>
      <c r="K8" s="323"/>
      <c r="L8" s="324"/>
      <c r="M8" s="324"/>
    </row>
    <row r="9" spans="1:16" x14ac:dyDescent="0.25">
      <c r="A9" s="315" t="str">
        <f>SCALARS!A9</f>
        <v>fixed income</v>
      </c>
      <c r="B9" s="315" t="str">
        <f>SCALARS!B9</f>
        <v>converts</v>
      </c>
      <c r="C9" s="315" t="str">
        <f>SCALARS!C9</f>
        <v>ICVT</v>
      </c>
      <c r="D9" s="315" t="str">
        <f>SCALARS!D9</f>
        <v>IBKR</v>
      </c>
      <c r="E9" s="315" t="str">
        <f>SCALARS!E9</f>
        <v>ICVT</v>
      </c>
      <c r="F9" s="316">
        <f>SCALARS!F9</f>
        <v>1</v>
      </c>
      <c r="G9" s="316">
        <f>SCALARS!G9</f>
        <v>1.0154069999999999</v>
      </c>
      <c r="H9" s="213" t="b">
        <v>0</v>
      </c>
      <c r="I9" s="321"/>
      <c r="J9" s="322"/>
      <c r="K9" s="323"/>
      <c r="L9" s="324"/>
      <c r="M9" s="324"/>
    </row>
    <row r="10" spans="1:16" x14ac:dyDescent="0.25">
      <c r="A10" s="315" t="str">
        <f>SCALARS!A10</f>
        <v>fixed income</v>
      </c>
      <c r="B10" s="315" t="str">
        <f>SCALARS!B10</f>
        <v>corps</v>
      </c>
      <c r="C10" s="315" t="str">
        <f>SCALARS!C10</f>
        <v>CORP</v>
      </c>
      <c r="D10" s="315" t="str">
        <f>SCALARS!D10</f>
        <v>IBKR</v>
      </c>
      <c r="E10" s="315" t="str">
        <f>SCALARS!E10</f>
        <v>CORP</v>
      </c>
      <c r="F10" s="316">
        <f>SCALARS!F10</f>
        <v>1</v>
      </c>
      <c r="G10" s="316">
        <f>SCALARS!G10</f>
        <v>0</v>
      </c>
      <c r="H10" s="213" t="b">
        <v>0</v>
      </c>
      <c r="I10" s="321"/>
      <c r="J10" s="322"/>
      <c r="K10" s="323"/>
      <c r="L10" s="324"/>
      <c r="M10" s="324"/>
    </row>
    <row r="11" spans="1:16" x14ac:dyDescent="0.25">
      <c r="A11" s="315" t="str">
        <f>SCALARS!A11</f>
        <v>fixed income</v>
      </c>
      <c r="B11" s="315" t="str">
        <f>SCALARS!B11</f>
        <v>corps</v>
      </c>
      <c r="C11" s="315" t="str">
        <f>SCALARS!C11</f>
        <v>SPBO</v>
      </c>
      <c r="D11" s="315" t="str">
        <f>SCALARS!D11</f>
        <v>IBKR</v>
      </c>
      <c r="E11" s="315" t="str">
        <f>SCALARS!E11</f>
        <v>CORP</v>
      </c>
      <c r="F11" s="316">
        <f>SCALARS!F11</f>
        <v>3.3393498274074305</v>
      </c>
      <c r="G11" s="316">
        <f>SCALARS!G11</f>
        <v>0</v>
      </c>
      <c r="H11" s="213" t="b">
        <v>0</v>
      </c>
      <c r="I11" s="321"/>
      <c r="J11" s="322"/>
      <c r="K11" s="323"/>
      <c r="L11" s="324"/>
      <c r="M11" s="324"/>
    </row>
    <row r="12" spans="1:16" x14ac:dyDescent="0.25">
      <c r="A12" s="315" t="str">
        <f>SCALARS!A12</f>
        <v>fixed income</v>
      </c>
      <c r="B12" s="315" t="str">
        <f>SCALARS!B12</f>
        <v>corps</v>
      </c>
      <c r="C12" s="315" t="str">
        <f>SCALARS!C12</f>
        <v>USIG</v>
      </c>
      <c r="D12" s="315" t="str">
        <f>SCALARS!D12</f>
        <v>IBKR</v>
      </c>
      <c r="E12" s="315" t="str">
        <f>SCALARS!E12</f>
        <v>CORP</v>
      </c>
      <c r="F12" s="316">
        <f>SCALARS!F12</f>
        <v>1.8882691729807852</v>
      </c>
      <c r="G12" s="316">
        <f>SCALARS!G12</f>
        <v>0</v>
      </c>
      <c r="H12" s="213" t="b">
        <v>0</v>
      </c>
      <c r="I12" s="321"/>
      <c r="J12" s="322"/>
      <c r="K12" s="323"/>
      <c r="L12" s="324"/>
      <c r="M12" s="324"/>
    </row>
    <row r="13" spans="1:16" x14ac:dyDescent="0.25">
      <c r="A13" s="315" t="str">
        <f>SCALARS!A13</f>
        <v>fixed income</v>
      </c>
      <c r="B13" s="315" t="str">
        <f>SCALARS!B13</f>
        <v>corps</v>
      </c>
      <c r="C13" s="315" t="str">
        <f>SCALARS!C13</f>
        <v>VTC</v>
      </c>
      <c r="D13" s="315" t="str">
        <f>SCALARS!D13</f>
        <v>IBKR</v>
      </c>
      <c r="E13" s="315" t="str">
        <f>SCALARS!E13</f>
        <v>CORP</v>
      </c>
      <c r="F13" s="316">
        <f>SCALARS!F13</f>
        <v>1.2624723633728432</v>
      </c>
      <c r="G13" s="316">
        <f>SCALARS!G13</f>
        <v>0</v>
      </c>
      <c r="H13" s="213" t="b">
        <v>0</v>
      </c>
      <c r="I13" s="321"/>
      <c r="J13" s="322"/>
      <c r="K13" s="323"/>
      <c r="L13" s="324"/>
      <c r="M13" s="324"/>
    </row>
    <row r="14" spans="1:16" x14ac:dyDescent="0.25">
      <c r="A14" s="315" t="str">
        <f>SCALARS!A14</f>
        <v>fixed income</v>
      </c>
      <c r="B14" s="315" t="str">
        <f>SCALARS!B14</f>
        <v>em gov -us</v>
      </c>
      <c r="C14" s="315" t="str">
        <f>SCALARS!C14</f>
        <v>EMB</v>
      </c>
      <c r="D14" s="315" t="str">
        <f>SCALARS!D14</f>
        <v>IBKR</v>
      </c>
      <c r="E14" s="315" t="str">
        <f>SCALARS!E14</f>
        <v>EMB</v>
      </c>
      <c r="F14" s="316">
        <f>SCALARS!F14</f>
        <v>1</v>
      </c>
      <c r="G14" s="316">
        <f>SCALARS!G14</f>
        <v>3.3170269999999999</v>
      </c>
      <c r="H14" s="213" t="b">
        <v>0</v>
      </c>
      <c r="I14" s="321"/>
      <c r="J14" s="322"/>
      <c r="K14" s="323"/>
      <c r="L14" s="324"/>
      <c r="M14" s="324"/>
    </row>
    <row r="15" spans="1:16" x14ac:dyDescent="0.25">
      <c r="A15" s="315" t="str">
        <f>SCALARS!A15</f>
        <v>fixed income</v>
      </c>
      <c r="B15" s="315" t="str">
        <f>SCALARS!B15</f>
        <v>em gov -us</v>
      </c>
      <c r="C15" s="315" t="str">
        <f>SCALARS!C15</f>
        <v>VWOB</v>
      </c>
      <c r="D15" s="315" t="str">
        <f>SCALARS!D15</f>
        <v>IBKR</v>
      </c>
      <c r="E15" s="315" t="str">
        <f>SCALARS!E15</f>
        <v>EMB</v>
      </c>
      <c r="F15" s="316">
        <f>SCALARS!F15</f>
        <v>1.4326853199437097</v>
      </c>
      <c r="G15" s="316">
        <f>SCALARS!G15</f>
        <v>2.6059000000000001</v>
      </c>
      <c r="H15" s="213" t="b">
        <v>0</v>
      </c>
      <c r="I15" s="321"/>
      <c r="J15" s="322"/>
      <c r="K15" s="323"/>
      <c r="L15" s="324"/>
      <c r="M15" s="324"/>
    </row>
    <row r="16" spans="1:16" x14ac:dyDescent="0.25">
      <c r="A16" s="315" t="str">
        <f>SCALARS!A16</f>
        <v>fixed income</v>
      </c>
      <c r="B16" s="315" t="str">
        <f>SCALARS!B16</f>
        <v>fallen angels</v>
      </c>
      <c r="C16" s="315" t="str">
        <f>SCALARS!C16</f>
        <v>ANGL</v>
      </c>
      <c r="D16" s="315" t="str">
        <f>SCALARS!D16</f>
        <v>IBKR</v>
      </c>
      <c r="E16" s="315" t="str">
        <f>SCALARS!E16</f>
        <v>ANGL</v>
      </c>
      <c r="F16" s="316">
        <f>SCALARS!F16</f>
        <v>1</v>
      </c>
      <c r="G16" s="316">
        <f>SCALARS!G16</f>
        <v>1.2823</v>
      </c>
      <c r="H16" s="213" t="b">
        <v>0</v>
      </c>
      <c r="I16" s="321"/>
      <c r="J16" s="322"/>
      <c r="K16" s="323"/>
      <c r="L16" s="324"/>
      <c r="M16" s="324"/>
    </row>
    <row r="17" spans="1:13" x14ac:dyDescent="0.25">
      <c r="A17" s="315" t="str">
        <f>SCALARS!A17</f>
        <v>fixed income</v>
      </c>
      <c r="B17" s="315" t="str">
        <f>SCALARS!B17</f>
        <v>fallen angels</v>
      </c>
      <c r="C17" s="315" t="str">
        <f>SCALARS!C17</f>
        <v>FALN</v>
      </c>
      <c r="D17" s="315" t="str">
        <f>SCALARS!D17</f>
        <v>IBKR</v>
      </c>
      <c r="E17" s="315" t="str">
        <f>SCALARS!E17</f>
        <v>ANGL</v>
      </c>
      <c r="F17" s="316">
        <f>SCALARS!F17</f>
        <v>1.0756310767286057</v>
      </c>
      <c r="G17" s="316">
        <f>SCALARS!G17</f>
        <v>1.1721300000000001</v>
      </c>
      <c r="H17" s="213" t="b">
        <v>0</v>
      </c>
      <c r="I17" s="321"/>
      <c r="J17" s="322"/>
      <c r="K17" s="323"/>
      <c r="L17" s="324"/>
      <c r="M17" s="324"/>
    </row>
    <row r="18" spans="1:13" x14ac:dyDescent="0.25">
      <c r="A18" s="315" t="str">
        <f>SCALARS!A18</f>
        <v>fixed income</v>
      </c>
      <c r="B18" s="315" t="str">
        <f>SCALARS!B18</f>
        <v>hi yld</v>
      </c>
      <c r="C18" s="315" t="str">
        <f>SCALARS!C18</f>
        <v>HYG</v>
      </c>
      <c r="D18" s="315" t="str">
        <f>SCALARS!D18</f>
        <v>IBKR</v>
      </c>
      <c r="E18" s="315" t="str">
        <f>SCALARS!E18</f>
        <v>JNK</v>
      </c>
      <c r="F18" s="316">
        <f>SCALARS!F18</f>
        <v>1.2035645917267848</v>
      </c>
      <c r="G18" s="316">
        <f>SCALARS!G18</f>
        <v>0</v>
      </c>
      <c r="H18" s="213" t="b">
        <v>0</v>
      </c>
      <c r="I18" s="321"/>
      <c r="J18" s="322"/>
      <c r="K18" s="323"/>
      <c r="L18" s="324"/>
      <c r="M18" s="324"/>
    </row>
    <row r="19" spans="1:13" x14ac:dyDescent="0.25">
      <c r="A19" s="315" t="str">
        <f>SCALARS!A19</f>
        <v>fixed income</v>
      </c>
      <c r="B19" s="315" t="str">
        <f>SCALARS!B19</f>
        <v>hi yld</v>
      </c>
      <c r="C19" s="315" t="str">
        <f>SCALARS!C19</f>
        <v>HYLB</v>
      </c>
      <c r="D19" s="315" t="str">
        <f>SCALARS!D19</f>
        <v>IBKR</v>
      </c>
      <c r="E19" s="315" t="str">
        <f>SCALARS!E19</f>
        <v>JNK</v>
      </c>
      <c r="F19" s="316">
        <f>SCALARS!F19</f>
        <v>2.6375587965091265</v>
      </c>
      <c r="G19" s="316">
        <f>SCALARS!G19</f>
        <v>0</v>
      </c>
      <c r="H19" s="213" t="b">
        <v>0</v>
      </c>
      <c r="I19" s="321"/>
      <c r="J19" s="322"/>
      <c r="K19" s="323"/>
      <c r="L19" s="324"/>
      <c r="M19" s="324"/>
    </row>
    <row r="20" spans="1:13" x14ac:dyDescent="0.25">
      <c r="A20" s="315" t="str">
        <f>SCALARS!A20</f>
        <v>fixed income</v>
      </c>
      <c r="B20" s="315" t="str">
        <f>SCALARS!B20</f>
        <v>hi yld</v>
      </c>
      <c r="C20" s="315" t="str">
        <f>SCALARS!C20</f>
        <v>JNK</v>
      </c>
      <c r="D20" s="315" t="str">
        <f>SCALARS!D20</f>
        <v>IBKR</v>
      </c>
      <c r="E20" s="315" t="str">
        <f>SCALARS!E20</f>
        <v>JNK</v>
      </c>
      <c r="F20" s="316">
        <f>SCALARS!F20</f>
        <v>1</v>
      </c>
      <c r="G20" s="316">
        <f>SCALARS!G20</f>
        <v>0</v>
      </c>
      <c r="H20" s="213" t="b">
        <v>0</v>
      </c>
      <c r="I20" s="321"/>
      <c r="J20" s="322"/>
      <c r="K20" s="323"/>
      <c r="L20" s="324"/>
      <c r="M20" s="324"/>
    </row>
    <row r="21" spans="1:13" x14ac:dyDescent="0.25">
      <c r="A21" s="315" t="str">
        <f>SCALARS!A21</f>
        <v>fixed income</v>
      </c>
      <c r="B21" s="315" t="str">
        <f>SCALARS!B21</f>
        <v>hi yld</v>
      </c>
      <c r="C21" s="315" t="str">
        <f>SCALARS!C21</f>
        <v>SCYB</v>
      </c>
      <c r="D21" s="315" t="str">
        <f>SCALARS!D21</f>
        <v>IBKR</v>
      </c>
      <c r="E21" s="315" t="str">
        <f>SCALARS!E21</f>
        <v>JNK</v>
      </c>
      <c r="F21" s="316">
        <f>SCALARS!F21</f>
        <v>3.6821910379101097</v>
      </c>
      <c r="G21" s="316">
        <f>SCALARS!G21</f>
        <v>0</v>
      </c>
      <c r="H21" s="213" t="b">
        <v>0</v>
      </c>
      <c r="I21" s="321"/>
      <c r="J21" s="322"/>
      <c r="K21" s="323"/>
      <c r="L21" s="324"/>
      <c r="M21" s="324"/>
    </row>
    <row r="22" spans="1:13" x14ac:dyDescent="0.25">
      <c r="A22" s="315" t="str">
        <f>SCALARS!A22</f>
        <v>fixed income</v>
      </c>
      <c r="B22" s="315" t="str">
        <f>SCALARS!B22</f>
        <v>hi yld</v>
      </c>
      <c r="C22" s="315" t="str">
        <f>SCALARS!C22</f>
        <v>SPHY</v>
      </c>
      <c r="D22" s="315" t="str">
        <f>SCALARS!D22</f>
        <v>IBKR</v>
      </c>
      <c r="E22" s="315" t="str">
        <f>SCALARS!E22</f>
        <v>JNK</v>
      </c>
      <c r="F22" s="316">
        <f>SCALARS!F22</f>
        <v>4.1137945597961423</v>
      </c>
      <c r="G22" s="316">
        <f>SCALARS!G22</f>
        <v>0</v>
      </c>
      <c r="H22" s="213" t="b">
        <v>0</v>
      </c>
      <c r="I22" s="321"/>
      <c r="J22" s="322"/>
      <c r="K22" s="323"/>
      <c r="L22" s="324"/>
      <c r="M22" s="324"/>
    </row>
    <row r="23" spans="1:13" x14ac:dyDescent="0.25">
      <c r="A23" s="315" t="str">
        <f>SCALARS!A23</f>
        <v>fixed income</v>
      </c>
      <c r="B23" s="315" t="str">
        <f>SCALARS!B23</f>
        <v>hi yld</v>
      </c>
      <c r="C23" s="315" t="str">
        <f>SCALARS!C23</f>
        <v>USHY</v>
      </c>
      <c r="D23" s="315" t="str">
        <f>SCALARS!D23</f>
        <v>IBKR</v>
      </c>
      <c r="E23" s="315" t="str">
        <f>SCALARS!E23</f>
        <v>JNK</v>
      </c>
      <c r="F23" s="316">
        <f>SCALARS!F23</f>
        <v>2.6021755810997935</v>
      </c>
      <c r="G23" s="316">
        <f>SCALARS!G23</f>
        <v>0</v>
      </c>
      <c r="H23" s="213" t="b">
        <v>0</v>
      </c>
      <c r="I23" s="321"/>
      <c r="J23" s="322"/>
      <c r="K23" s="323"/>
      <c r="L23" s="324"/>
      <c r="M23" s="324"/>
    </row>
    <row r="24" spans="1:13" x14ac:dyDescent="0.25">
      <c r="A24" s="315" t="str">
        <f>SCALARS!A24</f>
        <v>fixed income</v>
      </c>
      <c r="B24" s="315" t="str">
        <f>SCALARS!B24</f>
        <v>intl agg - hedged</v>
      </c>
      <c r="C24" s="315" t="str">
        <f>SCALARS!C24</f>
        <v>BNDX</v>
      </c>
      <c r="D24" s="315" t="str">
        <f>SCALARS!D24</f>
        <v>IBKR</v>
      </c>
      <c r="E24" s="315" t="str">
        <f>SCALARS!E24</f>
        <v>IAGG</v>
      </c>
      <c r="F24" s="316">
        <f>SCALARS!F24</f>
        <v>1.044384047926401</v>
      </c>
      <c r="G24" s="316">
        <f>SCALARS!G24</f>
        <v>0.90090000000000003</v>
      </c>
      <c r="H24" s="213" t="b">
        <v>0</v>
      </c>
      <c r="I24" s="321"/>
      <c r="J24" s="322"/>
      <c r="K24" s="323"/>
      <c r="L24" s="324"/>
      <c r="M24" s="324"/>
    </row>
    <row r="25" spans="1:13" x14ac:dyDescent="0.25">
      <c r="A25" s="315" t="str">
        <f>SCALARS!A25</f>
        <v>fixed income</v>
      </c>
      <c r="B25" s="315" t="str">
        <f>SCALARS!B25</f>
        <v>intl agg - hedged</v>
      </c>
      <c r="C25" s="315" t="str">
        <f>SCALARS!C25</f>
        <v>IAGG</v>
      </c>
      <c r="D25" s="315" t="str">
        <f>SCALARS!D25</f>
        <v>IBKR</v>
      </c>
      <c r="E25" s="315" t="str">
        <f>SCALARS!E25</f>
        <v>IAGG</v>
      </c>
      <c r="F25" s="316">
        <f>SCALARS!F25</f>
        <v>1</v>
      </c>
      <c r="G25" s="316">
        <f>SCALARS!G25</f>
        <v>0.71307999999999994</v>
      </c>
      <c r="H25" s="213" t="b">
        <v>0</v>
      </c>
      <c r="I25" s="321"/>
      <c r="J25" s="322"/>
      <c r="K25" s="323"/>
      <c r="L25" s="324"/>
      <c r="M25" s="324"/>
    </row>
    <row r="26" spans="1:13" x14ac:dyDescent="0.25">
      <c r="A26" s="315" t="str">
        <f>SCALARS!A26</f>
        <v>fixed income</v>
      </c>
      <c r="B26" s="315" t="str">
        <f>SCALARS!B26</f>
        <v>intl gov - unhedged</v>
      </c>
      <c r="C26" s="315" t="str">
        <f>SCALARS!C26</f>
        <v>BWX</v>
      </c>
      <c r="D26" s="315" t="str">
        <f>SCALARS!D26</f>
        <v>IBKR</v>
      </c>
      <c r="E26" s="315" t="str">
        <f>SCALARS!E26</f>
        <v>IGOV</v>
      </c>
      <c r="F26" s="316">
        <f>SCALARS!F26</f>
        <v>1.8564406364247437</v>
      </c>
      <c r="G26" s="316">
        <f>SCALARS!G26</f>
        <v>0.34714599999999995</v>
      </c>
      <c r="H26" s="213" t="b">
        <v>1</v>
      </c>
      <c r="I26" s="321" t="s">
        <v>298</v>
      </c>
      <c r="J26" s="322" t="s">
        <v>300</v>
      </c>
      <c r="K26" s="323">
        <v>-2.5000000000000001E-2</v>
      </c>
      <c r="L26" s="324">
        <v>515</v>
      </c>
      <c r="M26" s="324"/>
    </row>
    <row r="27" spans="1:13" x14ac:dyDescent="0.25">
      <c r="A27" s="315" t="str">
        <f>SCALARS!A27</f>
        <v>fixed income</v>
      </c>
      <c r="B27" s="315" t="str">
        <f>SCALARS!B27</f>
        <v>intl gov - unhedged</v>
      </c>
      <c r="C27" s="315" t="str">
        <f>SCALARS!C27</f>
        <v>IGOV</v>
      </c>
      <c r="D27" s="315" t="str">
        <f>SCALARS!D27</f>
        <v>IBKR</v>
      </c>
      <c r="E27" s="315" t="str">
        <f>SCALARS!E27</f>
        <v>IGOV</v>
      </c>
      <c r="F27" s="316">
        <f>SCALARS!F27</f>
        <v>1</v>
      </c>
      <c r="G27" s="316">
        <f>SCALARS!G27</f>
        <v>0</v>
      </c>
      <c r="H27" s="213" t="b">
        <v>1</v>
      </c>
      <c r="I27" s="321" t="s">
        <v>298</v>
      </c>
      <c r="J27" s="322" t="s">
        <v>299</v>
      </c>
      <c r="K27" s="323">
        <v>-2.5000000000000001E-2</v>
      </c>
      <c r="L27" s="324"/>
      <c r="M27" s="324">
        <v>230</v>
      </c>
    </row>
    <row r="28" spans="1:13" x14ac:dyDescent="0.25">
      <c r="A28" s="315" t="str">
        <f>SCALARS!A28</f>
        <v>fixed income</v>
      </c>
      <c r="B28" s="315" t="str">
        <f>SCALARS!B28</f>
        <v>long term corps</v>
      </c>
      <c r="C28" s="315" t="str">
        <f>SCALARS!C28</f>
        <v>IGLB</v>
      </c>
      <c r="D28" s="315" t="str">
        <f>SCALARS!D28</f>
        <v>IBKR</v>
      </c>
      <c r="E28" s="315" t="str">
        <f>SCALARS!E28</f>
        <v>VCLT</v>
      </c>
      <c r="F28" s="316">
        <f>SCALARS!F28</f>
        <v>1.5005863982256551</v>
      </c>
      <c r="G28" s="316">
        <f>SCALARS!G28</f>
        <v>0</v>
      </c>
      <c r="H28" s="213" t="b">
        <v>0</v>
      </c>
      <c r="I28" s="321"/>
      <c r="J28" s="322"/>
      <c r="K28" s="323"/>
      <c r="L28" s="324"/>
      <c r="M28" s="324"/>
    </row>
    <row r="29" spans="1:13" x14ac:dyDescent="0.25">
      <c r="A29" s="315" t="str">
        <f>SCALARS!A29</f>
        <v>fixed income</v>
      </c>
      <c r="B29" s="315" t="str">
        <f>SCALARS!B29</f>
        <v>long term corps</v>
      </c>
      <c r="C29" s="315" t="str">
        <f>SCALARS!C29</f>
        <v>SPLB</v>
      </c>
      <c r="D29" s="315" t="str">
        <f>SCALARS!D29</f>
        <v>IBKR</v>
      </c>
      <c r="E29" s="315" t="str">
        <f>SCALARS!E29</f>
        <v>VCLT</v>
      </c>
      <c r="F29" s="316">
        <f>SCALARS!F29</f>
        <v>3.360568376104129</v>
      </c>
      <c r="G29" s="316">
        <f>SCALARS!G29</f>
        <v>0</v>
      </c>
      <c r="H29" s="213" t="b">
        <v>0</v>
      </c>
      <c r="I29" s="321"/>
      <c r="J29" s="322"/>
      <c r="K29" s="323"/>
      <c r="L29" s="324"/>
      <c r="M29" s="324"/>
    </row>
    <row r="30" spans="1:13" x14ac:dyDescent="0.25">
      <c r="A30" s="315" t="str">
        <f>SCALARS!A30</f>
        <v>fixed income</v>
      </c>
      <c r="B30" s="315" t="str">
        <f>SCALARS!B30</f>
        <v>long term corps</v>
      </c>
      <c r="C30" s="315" t="str">
        <f>SCALARS!C30</f>
        <v>VCLT</v>
      </c>
      <c r="D30" s="315" t="str">
        <f>SCALARS!D30</f>
        <v>IBKR</v>
      </c>
      <c r="E30" s="315" t="str">
        <f>SCALARS!E30</f>
        <v>VCLT</v>
      </c>
      <c r="F30" s="316">
        <f>SCALARS!F30</f>
        <v>1</v>
      </c>
      <c r="G30" s="316">
        <f>SCALARS!G30</f>
        <v>0</v>
      </c>
      <c r="H30" s="213" t="b">
        <v>0</v>
      </c>
      <c r="I30" s="321"/>
      <c r="J30" s="322"/>
      <c r="K30" s="323"/>
      <c r="L30" s="324"/>
      <c r="M30" s="324"/>
    </row>
    <row r="31" spans="1:13" x14ac:dyDescent="0.25">
      <c r="A31" s="315" t="str">
        <f>SCALARS!A31</f>
        <v>fixed income</v>
      </c>
      <c r="B31" s="315" t="str">
        <f>SCALARS!B31</f>
        <v>long term tsy</v>
      </c>
      <c r="C31" s="315" t="str">
        <f>SCALARS!C31</f>
        <v>SCHQ</v>
      </c>
      <c r="D31" s="315" t="str">
        <f>SCALARS!D31</f>
        <v>IBKR</v>
      </c>
      <c r="E31" s="315" t="str">
        <f>SCALARS!E31</f>
        <v>VGLT</v>
      </c>
      <c r="F31" s="316">
        <f>SCALARS!F31</f>
        <v>1.7622043279386457</v>
      </c>
      <c r="G31" s="316">
        <f>SCALARS!G31</f>
        <v>0</v>
      </c>
      <c r="H31" s="213" t="b">
        <v>0</v>
      </c>
      <c r="I31" s="321"/>
      <c r="J31" s="322"/>
      <c r="K31" s="323"/>
      <c r="L31" s="324"/>
      <c r="M31" s="324"/>
    </row>
    <row r="32" spans="1:13" x14ac:dyDescent="0.25">
      <c r="A32" s="315" t="str">
        <f>SCALARS!A32</f>
        <v>fixed income</v>
      </c>
      <c r="B32" s="315" t="str">
        <f>SCALARS!B32</f>
        <v>long term tsy</v>
      </c>
      <c r="C32" s="315" t="str">
        <f>SCALARS!C32</f>
        <v>SPTL</v>
      </c>
      <c r="D32" s="315" t="str">
        <f>SCALARS!D32</f>
        <v>IBKR</v>
      </c>
      <c r="E32" s="315" t="str">
        <f>SCALARS!E32</f>
        <v>VGLT</v>
      </c>
      <c r="F32" s="316">
        <f>SCALARS!F32</f>
        <v>2.1020788909525825</v>
      </c>
      <c r="G32" s="316">
        <f>SCALARS!G32</f>
        <v>0</v>
      </c>
      <c r="H32" s="213" t="b">
        <v>0</v>
      </c>
      <c r="I32" s="321"/>
      <c r="J32" s="322"/>
      <c r="K32" s="323"/>
      <c r="L32" s="324"/>
      <c r="M32" s="324"/>
    </row>
    <row r="33" spans="1:24" x14ac:dyDescent="0.25">
      <c r="A33" s="315" t="str">
        <f>SCALARS!A33</f>
        <v>fixed income</v>
      </c>
      <c r="B33" s="315" t="str">
        <f>SCALARS!B33</f>
        <v>long term tsy</v>
      </c>
      <c r="C33" s="315" t="str">
        <f>SCALARS!C33</f>
        <v>VGLT</v>
      </c>
      <c r="D33" s="315" t="str">
        <f>SCALARS!D33</f>
        <v>IBKR</v>
      </c>
      <c r="E33" s="315" t="str">
        <f>SCALARS!E33</f>
        <v>VGLT</v>
      </c>
      <c r="F33" s="316">
        <f>SCALARS!F33</f>
        <v>1</v>
      </c>
      <c r="G33" s="316">
        <f>SCALARS!G33</f>
        <v>0</v>
      </c>
      <c r="H33" s="213" t="b">
        <v>0</v>
      </c>
      <c r="I33" s="321"/>
      <c r="J33" s="322"/>
      <c r="K33" s="323"/>
      <c r="L33" s="324"/>
      <c r="M33" s="324"/>
    </row>
    <row r="34" spans="1:24" x14ac:dyDescent="0.25">
      <c r="A34" s="315" t="str">
        <f>SCALARS!A34</f>
        <v>fixed income</v>
      </c>
      <c r="B34" s="315" t="str">
        <f>SCALARS!B34</f>
        <v>mortgages</v>
      </c>
      <c r="C34" s="315" t="str">
        <f>SCALARS!C34</f>
        <v>MBB</v>
      </c>
      <c r="D34" s="315" t="str">
        <f>SCALARS!D34</f>
        <v>IBKR</v>
      </c>
      <c r="E34" s="315" t="str">
        <f>SCALARS!E34</f>
        <v>MBB</v>
      </c>
      <c r="F34" s="316">
        <f>SCALARS!F34</f>
        <v>1</v>
      </c>
      <c r="G34" s="316">
        <f>SCALARS!G34</f>
        <v>0</v>
      </c>
      <c r="H34" s="213" t="b">
        <v>0</v>
      </c>
      <c r="I34" s="321"/>
      <c r="J34" s="322"/>
      <c r="K34" s="323"/>
      <c r="L34" s="324"/>
      <c r="M34" s="324"/>
    </row>
    <row r="35" spans="1:24" x14ac:dyDescent="0.25">
      <c r="A35" s="315" t="str">
        <f>SCALARS!A35</f>
        <v>fixed income</v>
      </c>
      <c r="B35" s="315" t="str">
        <f>SCALARS!B35</f>
        <v>mortgages</v>
      </c>
      <c r="C35" s="315" t="str">
        <f>SCALARS!C35</f>
        <v>SPMB</v>
      </c>
      <c r="D35" s="315" t="str">
        <f>SCALARS!D35</f>
        <v>IBKR</v>
      </c>
      <c r="E35" s="315" t="str">
        <f>SCALARS!E35</f>
        <v>MBB</v>
      </c>
      <c r="F35" s="316">
        <f>SCALARS!F35</f>
        <v>4.2368054727022235</v>
      </c>
      <c r="G35" s="316">
        <f>SCALARS!G35</f>
        <v>0</v>
      </c>
      <c r="H35" s="213" t="b">
        <v>0</v>
      </c>
      <c r="I35" s="321"/>
      <c r="J35" s="322"/>
      <c r="K35" s="323"/>
      <c r="L35" s="324"/>
      <c r="M35" s="324"/>
    </row>
    <row r="36" spans="1:24" x14ac:dyDescent="0.25">
      <c r="A36" s="315" t="str">
        <f>SCALARS!A36</f>
        <v>fixed income</v>
      </c>
      <c r="B36" s="315" t="str">
        <f>SCALARS!B36</f>
        <v>mortgages</v>
      </c>
      <c r="C36" s="315" t="str">
        <f>SCALARS!C36</f>
        <v>VMBS</v>
      </c>
      <c r="D36" s="315" t="str">
        <f>SCALARS!D36</f>
        <v>IBKR</v>
      </c>
      <c r="E36" s="315" t="str">
        <f>SCALARS!E36</f>
        <v>MBB</v>
      </c>
      <c r="F36" s="316">
        <f>SCALARS!F36</f>
        <v>2.017489577378103</v>
      </c>
      <c r="G36" s="316">
        <f>SCALARS!G36</f>
        <v>0</v>
      </c>
      <c r="H36" s="213" t="b">
        <v>0</v>
      </c>
      <c r="I36" s="321"/>
      <c r="J36" s="322"/>
      <c r="K36" s="323"/>
      <c r="L36" s="324"/>
      <c r="M36" s="324"/>
    </row>
    <row r="37" spans="1:24" x14ac:dyDescent="0.25">
      <c r="A37" s="315" t="str">
        <f>SCALARS!A37</f>
        <v>fixed income</v>
      </c>
      <c r="B37" s="315" t="str">
        <f>SCALARS!B37</f>
        <v>munis</v>
      </c>
      <c r="C37" s="315" t="str">
        <f>SCALARS!C37</f>
        <v>MUB</v>
      </c>
      <c r="D37" s="315" t="str">
        <f>SCALARS!D37</f>
        <v>IBKR</v>
      </c>
      <c r="E37" s="315" t="str">
        <f>SCALARS!E37</f>
        <v>MUB</v>
      </c>
      <c r="F37" s="316">
        <f>SCALARS!F37</f>
        <v>1</v>
      </c>
      <c r="G37" s="316">
        <f>SCALARS!G37</f>
        <v>0</v>
      </c>
      <c r="H37" s="213" t="b">
        <v>0</v>
      </c>
      <c r="I37" s="321"/>
      <c r="J37" s="322"/>
      <c r="K37" s="323"/>
      <c r="L37" s="324"/>
      <c r="M37" s="324"/>
    </row>
    <row r="38" spans="1:24" x14ac:dyDescent="0.25">
      <c r="A38" s="315" t="str">
        <f>SCALARS!A38</f>
        <v>fixed income</v>
      </c>
      <c r="B38" s="315" t="str">
        <f>SCALARS!B38</f>
        <v>munis</v>
      </c>
      <c r="C38" s="315" t="str">
        <f>SCALARS!C38</f>
        <v>TFI</v>
      </c>
      <c r="D38" s="315" t="str">
        <f>SCALARS!D38</f>
        <v>IBKR</v>
      </c>
      <c r="E38" s="315" t="str">
        <f>SCALARS!E38</f>
        <v>MUB</v>
      </c>
      <c r="F38" s="316">
        <f>SCALARS!F38</f>
        <v>2.3549692862234961</v>
      </c>
      <c r="G38" s="316">
        <f>SCALARS!G38</f>
        <v>0</v>
      </c>
      <c r="H38" s="213" t="b">
        <v>0</v>
      </c>
      <c r="I38" s="321"/>
      <c r="J38" s="322"/>
      <c r="K38" s="323"/>
      <c r="L38" s="324"/>
      <c r="M38" s="324"/>
    </row>
    <row r="39" spans="1:24" x14ac:dyDescent="0.25">
      <c r="A39" s="315" t="str">
        <f>SCALARS!A39</f>
        <v>fixed income</v>
      </c>
      <c r="B39" s="315" t="str">
        <f>SCALARS!B39</f>
        <v>munis</v>
      </c>
      <c r="C39" s="315" t="str">
        <f>SCALARS!C39</f>
        <v>VTEB</v>
      </c>
      <c r="D39" s="315" t="str">
        <f>SCALARS!D39</f>
        <v>IBKR</v>
      </c>
      <c r="E39" s="315" t="str">
        <f>SCALARS!E39</f>
        <v>MUB</v>
      </c>
      <c r="F39" s="316">
        <f>SCALARS!F39</f>
        <v>2.1301427498539769</v>
      </c>
      <c r="G39" s="316">
        <f>SCALARS!G39</f>
        <v>0</v>
      </c>
      <c r="H39" s="213" t="b">
        <v>0</v>
      </c>
      <c r="I39" s="321"/>
      <c r="J39" s="322"/>
      <c r="K39" s="323"/>
      <c r="L39" s="324"/>
      <c r="M39" s="324"/>
    </row>
    <row r="40" spans="1:24" x14ac:dyDescent="0.25">
      <c r="A40" s="315" t="str">
        <f>SCALARS!A40</f>
        <v>fixed income</v>
      </c>
      <c r="B40" s="315" t="str">
        <f>SCALARS!B40</f>
        <v>prefs</v>
      </c>
      <c r="C40" s="315" t="str">
        <f>SCALARS!C40</f>
        <v>PFF</v>
      </c>
      <c r="D40" s="315" t="str">
        <f>SCALARS!D40</f>
        <v>IBKR</v>
      </c>
      <c r="E40" s="315" t="str">
        <f>SCALARS!E40</f>
        <v>PFF</v>
      </c>
      <c r="F40" s="316">
        <f>SCALARS!F40</f>
        <v>1</v>
      </c>
      <c r="G40" s="316">
        <f>SCALARS!G40</f>
        <v>1.0603740000000001</v>
      </c>
      <c r="H40" s="213" t="b">
        <v>0</v>
      </c>
      <c r="I40" s="321"/>
      <c r="J40" s="322"/>
      <c r="K40" s="323"/>
      <c r="L40" s="324"/>
      <c r="M40" s="324"/>
    </row>
    <row r="41" spans="1:24" x14ac:dyDescent="0.25">
      <c r="A41" s="315" t="str">
        <f>SCALARS!A41</f>
        <v>fixed income</v>
      </c>
      <c r="B41" s="315" t="str">
        <f>SCALARS!B41</f>
        <v>prefs</v>
      </c>
      <c r="C41" s="315" t="str">
        <f>SCALARS!C41</f>
        <v>PFFD</v>
      </c>
      <c r="D41" s="315" t="str">
        <f>SCALARS!D41</f>
        <v>IBKR</v>
      </c>
      <c r="E41" s="315" t="str">
        <f>SCALARS!E41</f>
        <v>PFF</v>
      </c>
      <c r="F41" s="316">
        <f>SCALARS!F41</f>
        <v>1.6495679503677541</v>
      </c>
      <c r="G41" s="316">
        <f>SCALARS!G41</f>
        <v>0.79999999999999993</v>
      </c>
      <c r="H41" s="213" t="b">
        <v>0</v>
      </c>
      <c r="I41" s="321"/>
      <c r="J41" s="322"/>
      <c r="K41" s="323"/>
      <c r="L41" s="324"/>
      <c r="M41" s="324"/>
    </row>
    <row r="42" spans="1:24" x14ac:dyDescent="0.25">
      <c r="A42" s="315" t="str">
        <f>SCALARS!A42</f>
        <v>class diffs</v>
      </c>
      <c r="B42" s="315" t="str">
        <f>SCALARS!B42</f>
        <v>berkshire</v>
      </c>
      <c r="C42" s="315" t="str">
        <f>SCALARS!C42</f>
        <v>BRK A</v>
      </c>
      <c r="D42" s="315" t="str">
        <f>SCALARS!D42</f>
        <v>IBKR</v>
      </c>
      <c r="E42" s="315" t="str">
        <f>SCALARS!E42</f>
        <v>BRK A</v>
      </c>
      <c r="F42" s="316">
        <f>SCALARS!F42</f>
        <v>1</v>
      </c>
      <c r="G42" s="316">
        <f>SCALARS!G42</f>
        <v>0</v>
      </c>
      <c r="H42" s="213" t="b">
        <v>0</v>
      </c>
      <c r="I42" s="321"/>
      <c r="J42" s="322"/>
      <c r="K42" s="323"/>
      <c r="L42" s="324"/>
      <c r="M42" s="324"/>
      <c r="X42" s="214"/>
    </row>
    <row r="43" spans="1:24" x14ac:dyDescent="0.25">
      <c r="A43" s="315" t="str">
        <f>SCALARS!A43</f>
        <v>class diffs</v>
      </c>
      <c r="B43" s="315" t="str">
        <f>SCALARS!B43</f>
        <v>berkshire</v>
      </c>
      <c r="C43" s="315" t="str">
        <f>SCALARS!C43</f>
        <v>BRK B</v>
      </c>
      <c r="D43" s="315" t="str">
        <f>SCALARS!D43</f>
        <v>IBKR</v>
      </c>
      <c r="E43" s="315" t="str">
        <f>SCALARS!E43</f>
        <v>BRK A</v>
      </c>
      <c r="F43" s="316">
        <f>SCALARS!F43</f>
        <v>1499.6928688102066</v>
      </c>
      <c r="G43" s="316">
        <f>SCALARS!G43</f>
        <v>0</v>
      </c>
      <c r="H43" s="213" t="b">
        <v>0</v>
      </c>
      <c r="I43" s="321"/>
      <c r="J43" s="322"/>
      <c r="K43" s="323"/>
      <c r="L43" s="324"/>
      <c r="M43" s="324"/>
    </row>
    <row r="44" spans="1:24" x14ac:dyDescent="0.25">
      <c r="A44" s="315" t="str">
        <f>SCALARS!A44</f>
        <v>class diffs</v>
      </c>
      <c r="B44" s="315" t="str">
        <f>SCALARS!B44</f>
        <v>fox corp</v>
      </c>
      <c r="C44" s="315" t="str">
        <f>SCALARS!C44</f>
        <v>FOX</v>
      </c>
      <c r="D44" s="315" t="str">
        <f>SCALARS!D44</f>
        <v>IBKR</v>
      </c>
      <c r="E44" s="315" t="str">
        <f>SCALARS!E44</f>
        <v>FOXA</v>
      </c>
      <c r="F44" s="316">
        <f>SCALARS!F44</f>
        <v>1.1190365051237789</v>
      </c>
      <c r="G44" s="316">
        <f>SCALARS!G44</f>
        <v>0</v>
      </c>
      <c r="H44" s="213" t="b">
        <v>0</v>
      </c>
      <c r="I44" s="321"/>
      <c r="J44" s="322"/>
      <c r="K44" s="323"/>
      <c r="L44" s="324"/>
      <c r="M44" s="324"/>
    </row>
    <row r="45" spans="1:24" x14ac:dyDescent="0.25">
      <c r="A45" s="315" t="str">
        <f>SCALARS!A45</f>
        <v>class diffs</v>
      </c>
      <c r="B45" s="315" t="str">
        <f>SCALARS!B45</f>
        <v>fox corp</v>
      </c>
      <c r="C45" s="315" t="str">
        <f>SCALARS!C45</f>
        <v>FOXA</v>
      </c>
      <c r="D45" s="315" t="str">
        <f>SCALARS!D45</f>
        <v>IBKR</v>
      </c>
      <c r="E45" s="315" t="str">
        <f>SCALARS!E45</f>
        <v>FOXA</v>
      </c>
      <c r="F45" s="316">
        <f>SCALARS!F45</f>
        <v>1</v>
      </c>
      <c r="G45" s="316">
        <f>SCALARS!G45</f>
        <v>0</v>
      </c>
      <c r="H45" s="213" t="b">
        <v>0</v>
      </c>
      <c r="I45" s="321"/>
      <c r="J45" s="322"/>
      <c r="K45" s="323"/>
      <c r="L45" s="324"/>
      <c r="M45" s="324"/>
    </row>
    <row r="46" spans="1:24" x14ac:dyDescent="0.25">
      <c r="A46" s="315" t="str">
        <f>SCALARS!A46</f>
        <v>class diffs</v>
      </c>
      <c r="B46" s="315" t="str">
        <f>SCALARS!B46</f>
        <v>google</v>
      </c>
      <c r="C46" s="315" t="str">
        <f>SCALARS!C46</f>
        <v>GOOG</v>
      </c>
      <c r="D46" s="315" t="str">
        <f>SCALARS!D46</f>
        <v>IBKR</v>
      </c>
      <c r="E46" s="315" t="str">
        <f>SCALARS!E46</f>
        <v>GOOGL</v>
      </c>
      <c r="F46" s="316">
        <f>SCALARS!F46</f>
        <v>1.009988043373347</v>
      </c>
      <c r="G46" s="316">
        <f>SCALARS!G46</f>
        <v>0</v>
      </c>
      <c r="H46" s="213" t="b">
        <v>0</v>
      </c>
      <c r="I46" s="321"/>
      <c r="J46" s="322"/>
      <c r="K46" s="323"/>
      <c r="L46" s="324"/>
      <c r="M46" s="324"/>
    </row>
    <row r="47" spans="1:24" x14ac:dyDescent="0.25">
      <c r="A47" s="315" t="str">
        <f>SCALARS!A47</f>
        <v>class diffs</v>
      </c>
      <c r="B47" s="315" t="str">
        <f>SCALARS!B47</f>
        <v>google</v>
      </c>
      <c r="C47" s="315" t="str">
        <f>SCALARS!C47</f>
        <v>GOOGL</v>
      </c>
      <c r="D47" s="315" t="str">
        <f>SCALARS!D47</f>
        <v>IBKR</v>
      </c>
      <c r="E47" s="315" t="str">
        <f>SCALARS!E47</f>
        <v>GOOGL</v>
      </c>
      <c r="F47" s="316">
        <f>SCALARS!F47</f>
        <v>1</v>
      </c>
      <c r="G47" s="316">
        <f>SCALARS!G47</f>
        <v>0</v>
      </c>
      <c r="H47" s="213" t="b">
        <v>0</v>
      </c>
      <c r="I47" s="321"/>
      <c r="J47" s="322"/>
      <c r="K47" s="323"/>
      <c r="L47" s="324"/>
      <c r="M47" s="324"/>
    </row>
    <row r="48" spans="1:24" x14ac:dyDescent="0.25">
      <c r="A48" s="315" t="str">
        <f>SCALARS!A48</f>
        <v>class diffs</v>
      </c>
      <c r="B48" s="315" t="str">
        <f>SCALARS!B48</f>
        <v>heico</v>
      </c>
      <c r="C48" s="315" t="str">
        <f>SCALARS!C48</f>
        <v>HEI</v>
      </c>
      <c r="D48" s="315" t="str">
        <f>SCALARS!D48</f>
        <v>IBKR</v>
      </c>
      <c r="E48" s="315" t="str">
        <f>SCALARS!E48</f>
        <v>HEI</v>
      </c>
      <c r="F48" s="316">
        <f>SCALARS!F48</f>
        <v>1</v>
      </c>
      <c r="G48" s="316">
        <f>SCALARS!G48</f>
        <v>0</v>
      </c>
      <c r="H48" s="213" t="b">
        <v>0</v>
      </c>
      <c r="I48" s="321"/>
      <c r="J48" s="322"/>
      <c r="K48" s="323"/>
      <c r="L48" s="324"/>
      <c r="M48" s="324"/>
    </row>
    <row r="49" spans="1:13" x14ac:dyDescent="0.25">
      <c r="A49" s="315" t="str">
        <f>SCALARS!A49</f>
        <v>class diffs</v>
      </c>
      <c r="B49" s="315" t="str">
        <f>SCALARS!B49</f>
        <v>heico</v>
      </c>
      <c r="C49" s="315" t="str">
        <f>SCALARS!C49</f>
        <v>HEI A</v>
      </c>
      <c r="D49" s="315" t="str">
        <f>SCALARS!D49</f>
        <v>IBKR</v>
      </c>
      <c r="E49" s="315" t="str">
        <f>SCALARS!E49</f>
        <v>HEI</v>
      </c>
      <c r="F49" s="316">
        <f>SCALARS!F49</f>
        <v>1.3463309446780249</v>
      </c>
      <c r="G49" s="316">
        <f>SCALARS!G49</f>
        <v>0</v>
      </c>
      <c r="H49" s="213" t="b">
        <v>0</v>
      </c>
      <c r="I49" s="321"/>
      <c r="J49" s="322"/>
      <c r="K49" s="323"/>
      <c r="L49" s="324"/>
      <c r="M49" s="324"/>
    </row>
    <row r="50" spans="1:13" x14ac:dyDescent="0.25">
      <c r="A50" s="315" t="str">
        <f>SCALARS!A50</f>
        <v>class diffs</v>
      </c>
      <c r="B50" s="315" t="str">
        <f>SCALARS!B50</f>
        <v>news corp</v>
      </c>
      <c r="C50" s="315" t="str">
        <f>SCALARS!C50</f>
        <v>NWS</v>
      </c>
      <c r="D50" s="315" t="str">
        <f>SCALARS!D50</f>
        <v>IBKR</v>
      </c>
      <c r="E50" s="315" t="str">
        <f>SCALARS!E50</f>
        <v>NWS</v>
      </c>
      <c r="F50" s="316">
        <f>SCALARS!F50</f>
        <v>1</v>
      </c>
      <c r="G50" s="316">
        <f>SCALARS!G50</f>
        <v>0</v>
      </c>
      <c r="H50" s="213" t="b">
        <v>0</v>
      </c>
      <c r="I50" s="321"/>
      <c r="J50" s="322"/>
      <c r="K50" s="323"/>
      <c r="L50" s="324"/>
      <c r="M50" s="324"/>
    </row>
    <row r="51" spans="1:13" x14ac:dyDescent="0.25">
      <c r="A51" s="315" t="str">
        <f>SCALARS!A51</f>
        <v>class diffs</v>
      </c>
      <c r="B51" s="315" t="str">
        <f>SCALARS!B51</f>
        <v>news corp</v>
      </c>
      <c r="C51" s="315" t="str">
        <f>SCALARS!C51</f>
        <v>NWSA</v>
      </c>
      <c r="D51" s="315" t="str">
        <f>SCALARS!D51</f>
        <v>IBKR</v>
      </c>
      <c r="E51" s="315" t="str">
        <f>SCALARS!E51</f>
        <v>NWS</v>
      </c>
      <c r="F51" s="316">
        <f>SCALARS!F51</f>
        <v>1.1167308536261484</v>
      </c>
      <c r="G51" s="316">
        <f>SCALARS!G51</f>
        <v>0</v>
      </c>
      <c r="H51" s="213" t="b">
        <v>0</v>
      </c>
      <c r="I51" s="321"/>
      <c r="J51" s="322"/>
      <c r="K51" s="323"/>
      <c r="L51" s="324"/>
      <c r="M51" s="324"/>
    </row>
    <row r="52" spans="1:13" x14ac:dyDescent="0.25">
      <c r="A52" s="315" t="str">
        <f>SCALARS!A52</f>
        <v>class diffs</v>
      </c>
      <c r="B52" s="315" t="str">
        <f>SCALARS!B52</f>
        <v>under armour</v>
      </c>
      <c r="C52" s="315" t="str">
        <f>SCALARS!C52</f>
        <v>UA</v>
      </c>
      <c r="D52" s="315" t="str">
        <f>SCALARS!D52</f>
        <v>IBKR</v>
      </c>
      <c r="E52" s="315" t="str">
        <f>SCALARS!E52</f>
        <v>UAA</v>
      </c>
      <c r="F52" s="316">
        <f>SCALARS!F52</f>
        <v>1.0238709010359897</v>
      </c>
      <c r="G52" s="316">
        <f>SCALARS!G52</f>
        <v>0</v>
      </c>
      <c r="H52" s="213" t="b">
        <v>0</v>
      </c>
      <c r="I52" s="321"/>
      <c r="J52" s="322"/>
      <c r="K52" s="323"/>
      <c r="L52" s="324"/>
      <c r="M52" s="324"/>
    </row>
    <row r="53" spans="1:13" x14ac:dyDescent="0.25">
      <c r="A53" s="315" t="str">
        <f>SCALARS!A53</f>
        <v>class diffs</v>
      </c>
      <c r="B53" s="315" t="str">
        <f>SCALARS!B53</f>
        <v>under armour</v>
      </c>
      <c r="C53" s="315" t="str">
        <f>SCALARS!C53</f>
        <v>UAA</v>
      </c>
      <c r="D53" s="315" t="str">
        <f>SCALARS!D53</f>
        <v>IBKR</v>
      </c>
      <c r="E53" s="315" t="str">
        <f>SCALARS!E53</f>
        <v>UAA</v>
      </c>
      <c r="F53" s="316">
        <f>SCALARS!F53</f>
        <v>1</v>
      </c>
      <c r="G53" s="316">
        <f>SCALARS!G53</f>
        <v>0</v>
      </c>
      <c r="H53" s="213" t="b">
        <v>0</v>
      </c>
      <c r="I53" s="321"/>
      <c r="J53" s="322"/>
      <c r="K53" s="323"/>
      <c r="L53" s="324"/>
      <c r="M53" s="324"/>
    </row>
    <row r="54" spans="1:13" x14ac:dyDescent="0.25">
      <c r="A54" s="315" t="str">
        <f>SCALARS!A54</f>
        <v>class diffs</v>
      </c>
      <c r="B54" s="315" t="str">
        <f>SCALARS!B54</f>
        <v>brown foreman</v>
      </c>
      <c r="C54" s="315" t="str">
        <f>SCALARS!C54</f>
        <v>BF A</v>
      </c>
      <c r="D54" s="315" t="str">
        <f>SCALARS!D54</f>
        <v>IBKR</v>
      </c>
      <c r="E54" s="315" t="str">
        <f>SCALARS!E54</f>
        <v>BF A</v>
      </c>
      <c r="F54" s="316">
        <f>SCALARS!F54</f>
        <v>1</v>
      </c>
      <c r="G54" s="316">
        <f>SCALARS!G54</f>
        <v>0</v>
      </c>
      <c r="H54" s="213" t="b">
        <v>0</v>
      </c>
      <c r="I54" s="321"/>
      <c r="J54" s="322"/>
      <c r="K54" s="323"/>
      <c r="L54" s="324"/>
      <c r="M54" s="324"/>
    </row>
    <row r="55" spans="1:13" x14ac:dyDescent="0.25">
      <c r="A55" s="315" t="str">
        <f>SCALARS!A55</f>
        <v>class diffs</v>
      </c>
      <c r="B55" s="315" t="str">
        <f>SCALARS!B55</f>
        <v>brown foreman</v>
      </c>
      <c r="C55" s="315" t="str">
        <f>SCALARS!C55</f>
        <v>BF B</v>
      </c>
      <c r="D55" s="315" t="str">
        <f>SCALARS!D55</f>
        <v>IBKR</v>
      </c>
      <c r="E55" s="315" t="str">
        <f>SCALARS!E55</f>
        <v>BF A</v>
      </c>
      <c r="F55" s="316">
        <f>SCALARS!F55</f>
        <v>1.0187431231444553</v>
      </c>
      <c r="G55" s="316">
        <f>SCALARS!G55</f>
        <v>0</v>
      </c>
      <c r="H55" s="213" t="b">
        <v>0</v>
      </c>
      <c r="I55" s="321"/>
      <c r="J55" s="322"/>
      <c r="K55" s="323"/>
      <c r="L55" s="324"/>
      <c r="M55" s="324"/>
    </row>
    <row r="56" spans="1:13" x14ac:dyDescent="0.25">
      <c r="A56" s="315" t="str">
        <f>SCALARS!A56</f>
        <v>class diffs</v>
      </c>
      <c r="B56" s="315" t="str">
        <f>SCALARS!B56</f>
        <v>moog</v>
      </c>
      <c r="C56" s="315" t="str">
        <f>SCALARS!C56</f>
        <v>MOG A</v>
      </c>
      <c r="D56" s="315" t="str">
        <f>SCALARS!D56</f>
        <v>IBKR</v>
      </c>
      <c r="E56" s="315" t="str">
        <f>SCALARS!E56</f>
        <v>MOG B</v>
      </c>
      <c r="F56" s="316">
        <f>SCALARS!F56</f>
        <v>1.0129174906034975</v>
      </c>
      <c r="G56" s="316">
        <f>SCALARS!G56</f>
        <v>0</v>
      </c>
      <c r="H56" s="213" t="b">
        <v>0</v>
      </c>
      <c r="I56" s="321"/>
      <c r="J56" s="322"/>
      <c r="K56" s="323"/>
      <c r="L56" s="324"/>
      <c r="M56" s="324"/>
    </row>
    <row r="57" spans="1:13" x14ac:dyDescent="0.25">
      <c r="A57" s="315" t="str">
        <f>SCALARS!A57</f>
        <v>class diffs</v>
      </c>
      <c r="B57" s="315" t="str">
        <f>SCALARS!B57</f>
        <v>moog</v>
      </c>
      <c r="C57" s="315" t="str">
        <f>SCALARS!C57</f>
        <v>MOG B</v>
      </c>
      <c r="D57" s="315" t="str">
        <f>SCALARS!D57</f>
        <v>IBKR</v>
      </c>
      <c r="E57" s="315" t="str">
        <f>SCALARS!E57</f>
        <v>MOG B</v>
      </c>
      <c r="F57" s="316">
        <f>SCALARS!F57</f>
        <v>1</v>
      </c>
      <c r="G57" s="316">
        <f>SCALARS!G57</f>
        <v>0</v>
      </c>
      <c r="H57" s="213" t="b">
        <v>0</v>
      </c>
      <c r="I57" s="321"/>
      <c r="J57" s="322"/>
      <c r="K57" s="323"/>
      <c r="L57" s="324"/>
      <c r="M57" s="324"/>
    </row>
    <row r="58" spans="1:13" x14ac:dyDescent="0.25">
      <c r="A58" s="315" t="str">
        <f>SCALARS!A58</f>
        <v>class diffs</v>
      </c>
      <c r="B58" s="315" t="str">
        <f>SCALARS!B58</f>
        <v>lenar</v>
      </c>
      <c r="C58" s="315" t="str">
        <f>SCALARS!C58</f>
        <v>LEN</v>
      </c>
      <c r="D58" s="315" t="str">
        <f>SCALARS!D58</f>
        <v>IBKR</v>
      </c>
      <c r="E58" s="315" t="str">
        <f>SCALARS!E58</f>
        <v>LEN</v>
      </c>
      <c r="F58" s="316">
        <f>SCALARS!F58</f>
        <v>1</v>
      </c>
      <c r="G58" s="316">
        <f>SCALARS!G58</f>
        <v>0</v>
      </c>
      <c r="H58" s="213" t="b">
        <v>0</v>
      </c>
      <c r="I58" s="321"/>
      <c r="J58" s="322"/>
      <c r="K58" s="323"/>
      <c r="L58" s="324"/>
      <c r="M58" s="324"/>
    </row>
    <row r="59" spans="1:13" x14ac:dyDescent="0.25">
      <c r="A59" s="315" t="str">
        <f>SCALARS!A59</f>
        <v>class diffs</v>
      </c>
      <c r="B59" s="315" t="str">
        <f>SCALARS!B59</f>
        <v>lenar</v>
      </c>
      <c r="C59" s="315" t="str">
        <f>SCALARS!C59</f>
        <v>LEN B</v>
      </c>
      <c r="D59" s="315" t="str">
        <f>SCALARS!D59</f>
        <v>IBKR</v>
      </c>
      <c r="E59" s="315" t="str">
        <f>SCALARS!E59</f>
        <v>LEN</v>
      </c>
      <c r="F59" s="316">
        <f>SCALARS!F59</f>
        <v>1.018590364295672</v>
      </c>
      <c r="G59" s="316">
        <f>SCALARS!G59</f>
        <v>0</v>
      </c>
      <c r="H59" s="213" t="b">
        <v>0</v>
      </c>
      <c r="I59" s="321"/>
      <c r="J59" s="322"/>
      <c r="K59" s="323"/>
      <c r="L59" s="324"/>
      <c r="M59" s="324"/>
    </row>
    <row r="60" spans="1:13" x14ac:dyDescent="0.25">
      <c r="A60" s="315" t="str">
        <f>SCALARS!A60</f>
        <v>class diffs</v>
      </c>
      <c r="B60" s="315" t="str">
        <f>SCALARS!B60</f>
        <v>atlanta braves</v>
      </c>
      <c r="C60" s="315" t="str">
        <f>SCALARS!C60</f>
        <v>BATRA</v>
      </c>
      <c r="D60" s="315" t="str">
        <f>SCALARS!D60</f>
        <v>IBKR</v>
      </c>
      <c r="E60" s="315" t="str">
        <f>SCALARS!E60</f>
        <v>BATRA</v>
      </c>
      <c r="F60" s="316">
        <f>SCALARS!F60</f>
        <v>1</v>
      </c>
      <c r="G60" s="316">
        <f>SCALARS!G60</f>
        <v>0</v>
      </c>
      <c r="H60" s="213" t="b">
        <v>0</v>
      </c>
      <c r="I60" s="321"/>
      <c r="J60" s="322"/>
      <c r="K60" s="323"/>
      <c r="L60" s="324"/>
      <c r="M60" s="324"/>
    </row>
    <row r="61" spans="1:13" x14ac:dyDescent="0.25">
      <c r="A61" s="315" t="str">
        <f>SCALARS!A61</f>
        <v>class diffs</v>
      </c>
      <c r="B61" s="315" t="str">
        <f>SCALARS!B61</f>
        <v>atlanta braves</v>
      </c>
      <c r="C61" s="315" t="str">
        <f>SCALARS!C61</f>
        <v>BATRK</v>
      </c>
      <c r="D61" s="315" t="str">
        <f>SCALARS!D61</f>
        <v>IBKR</v>
      </c>
      <c r="E61" s="315" t="str">
        <f>SCALARS!E61</f>
        <v>BATRA</v>
      </c>
      <c r="F61" s="316">
        <f>SCALARS!F61</f>
        <v>1.102769401099065</v>
      </c>
      <c r="G61" s="316">
        <f>SCALARS!G61</f>
        <v>0</v>
      </c>
      <c r="H61" s="213" t="b">
        <v>0</v>
      </c>
      <c r="I61" s="321"/>
      <c r="J61" s="322"/>
      <c r="K61" s="323"/>
      <c r="L61" s="324"/>
      <c r="M61" s="324"/>
    </row>
    <row r="62" spans="1:13" x14ac:dyDescent="0.25">
      <c r="A62" s="315" t="str">
        <f>SCALARS!A62</f>
        <v>class diffs</v>
      </c>
      <c r="B62" s="315" t="str">
        <f>SCALARS!B62</f>
        <v>zillow</v>
      </c>
      <c r="C62" s="315" t="str">
        <f>SCALARS!C62</f>
        <v>Z</v>
      </c>
      <c r="D62" s="315" t="str">
        <f>SCALARS!D62</f>
        <v>IBKR</v>
      </c>
      <c r="E62" s="315" t="str">
        <f>SCALARS!E62</f>
        <v>ZG</v>
      </c>
      <c r="F62" s="316">
        <f>SCALARS!F62</f>
        <v>1.0221001329349044</v>
      </c>
      <c r="G62" s="316">
        <f>SCALARS!G62</f>
        <v>0</v>
      </c>
      <c r="H62" s="213" t="b">
        <v>0</v>
      </c>
      <c r="I62" s="321"/>
      <c r="J62" s="322"/>
      <c r="K62" s="323"/>
      <c r="L62" s="324"/>
      <c r="M62" s="324"/>
    </row>
    <row r="63" spans="1:13" x14ac:dyDescent="0.25">
      <c r="A63" s="315" t="str">
        <f>SCALARS!A63</f>
        <v>class diffs</v>
      </c>
      <c r="B63" s="315" t="str">
        <f>SCALARS!B63</f>
        <v>zillow</v>
      </c>
      <c r="C63" s="315" t="str">
        <f>SCALARS!C63</f>
        <v>ZG</v>
      </c>
      <c r="D63" s="315" t="str">
        <f>SCALARS!D63</f>
        <v>IBKR</v>
      </c>
      <c r="E63" s="315" t="str">
        <f>SCALARS!E63</f>
        <v>ZG</v>
      </c>
      <c r="F63" s="316">
        <f>SCALARS!F63</f>
        <v>1</v>
      </c>
      <c r="G63" s="316">
        <f>SCALARS!G63</f>
        <v>0</v>
      </c>
      <c r="H63" s="213" t="b">
        <v>0</v>
      </c>
      <c r="I63" s="321"/>
      <c r="J63" s="322"/>
      <c r="K63" s="323"/>
      <c r="L63" s="324"/>
      <c r="M63" s="324"/>
    </row>
    <row r="64" spans="1:13" x14ac:dyDescent="0.25">
      <c r="A64" s="315" t="str">
        <f>SCALARS!A64</f>
        <v>sector</v>
      </c>
      <c r="B64" s="315" t="str">
        <f>SCALARS!B64</f>
        <v>discretionary</v>
      </c>
      <c r="C64" s="315" t="str">
        <f>SCALARS!C64</f>
        <v>FDIS</v>
      </c>
      <c r="D64" s="315" t="str">
        <f>SCALARS!D64</f>
        <v>IBKR</v>
      </c>
      <c r="E64" s="315" t="str">
        <f>SCALARS!E64</f>
        <v>VCR</v>
      </c>
      <c r="F64" s="316">
        <f>SCALARS!F64</f>
        <v>3.8503249283040715</v>
      </c>
      <c r="G64" s="316">
        <f>SCALARS!G64</f>
        <v>0</v>
      </c>
      <c r="H64" s="213" t="b">
        <v>0</v>
      </c>
      <c r="I64" s="321"/>
      <c r="J64" s="322"/>
      <c r="K64" s="323"/>
      <c r="L64" s="324"/>
      <c r="M64" s="324"/>
    </row>
    <row r="65" spans="1:13" x14ac:dyDescent="0.25">
      <c r="A65" s="315" t="str">
        <f>SCALARS!A65</f>
        <v>sector</v>
      </c>
      <c r="B65" s="315" t="str">
        <f>SCALARS!B65</f>
        <v>discretionary</v>
      </c>
      <c r="C65" s="315" t="str">
        <f>SCALARS!C65</f>
        <v>VCR</v>
      </c>
      <c r="D65" s="315" t="str">
        <f>SCALARS!D65</f>
        <v>IBKR</v>
      </c>
      <c r="E65" s="315" t="str">
        <f>SCALARS!E65</f>
        <v>VCR</v>
      </c>
      <c r="F65" s="316">
        <f>SCALARS!F65</f>
        <v>1</v>
      </c>
      <c r="G65" s="316">
        <f>SCALARS!G65</f>
        <v>0</v>
      </c>
      <c r="H65" s="213" t="b">
        <v>0</v>
      </c>
      <c r="I65" s="321"/>
      <c r="J65" s="322"/>
      <c r="K65" s="323"/>
      <c r="L65" s="324"/>
      <c r="M65" s="324"/>
    </row>
    <row r="66" spans="1:13" x14ac:dyDescent="0.25">
      <c r="A66" s="315" t="str">
        <f>SCALARS!A66</f>
        <v>sector</v>
      </c>
      <c r="B66" s="315" t="str">
        <f>SCALARS!B66</f>
        <v>discretionary</v>
      </c>
      <c r="C66" s="315" t="str">
        <f>SCALARS!C66</f>
        <v>IYC</v>
      </c>
      <c r="D66" s="315" t="str">
        <f>SCALARS!D66</f>
        <v>IBKR</v>
      </c>
      <c r="E66" s="315" t="str">
        <f>SCALARS!E66</f>
        <v>XLY</v>
      </c>
      <c r="F66" s="316">
        <f>SCALARS!F66</f>
        <v>1.1476561241353886</v>
      </c>
      <c r="G66" s="316">
        <f>SCALARS!G66</f>
        <v>0</v>
      </c>
      <c r="H66" s="213" t="b">
        <v>0</v>
      </c>
      <c r="I66" s="321"/>
      <c r="J66" s="322"/>
      <c r="K66" s="323"/>
      <c r="L66" s="324"/>
      <c r="M66" s="324"/>
    </row>
    <row r="67" spans="1:13" x14ac:dyDescent="0.25">
      <c r="A67" s="315" t="str">
        <f>SCALARS!A67</f>
        <v>sector</v>
      </c>
      <c r="B67" s="315" t="str">
        <f>SCALARS!B67</f>
        <v>discretionary</v>
      </c>
      <c r="C67" s="315" t="str">
        <f>SCALARS!C67</f>
        <v>XLY</v>
      </c>
      <c r="D67" s="315" t="str">
        <f>SCALARS!D67</f>
        <v>IBKR</v>
      </c>
      <c r="E67" s="315" t="str">
        <f>SCALARS!E67</f>
        <v>XLY</v>
      </c>
      <c r="F67" s="316">
        <f>SCALARS!F67</f>
        <v>1</v>
      </c>
      <c r="G67" s="316">
        <f>SCALARS!G67</f>
        <v>0</v>
      </c>
      <c r="H67" s="213" t="b">
        <v>0</v>
      </c>
      <c r="I67" s="321"/>
      <c r="J67" s="322"/>
      <c r="K67" s="323"/>
      <c r="L67" s="324"/>
      <c r="M67" s="324"/>
    </row>
    <row r="68" spans="1:13" x14ac:dyDescent="0.25">
      <c r="A68" s="315" t="str">
        <f>SCALARS!A68</f>
        <v>sector</v>
      </c>
      <c r="B68" s="315" t="str">
        <f>SCALARS!B68</f>
        <v>energy</v>
      </c>
      <c r="C68" s="315" t="str">
        <f>SCALARS!C68</f>
        <v>IYE</v>
      </c>
      <c r="D68" s="315" t="str">
        <f>SCALARS!D68</f>
        <v>IBKR</v>
      </c>
      <c r="E68" s="315" t="str">
        <f>SCALARS!E68</f>
        <v>IYE</v>
      </c>
      <c r="F68" s="316">
        <f>SCALARS!F68</f>
        <v>1</v>
      </c>
      <c r="G68" s="316">
        <f>SCALARS!G68</f>
        <v>0</v>
      </c>
      <c r="H68" s="213" t="b">
        <v>0</v>
      </c>
      <c r="I68" s="321"/>
      <c r="J68" s="322"/>
      <c r="K68" s="323"/>
      <c r="L68" s="324"/>
      <c r="M68" s="324"/>
    </row>
    <row r="69" spans="1:13" x14ac:dyDescent="0.25">
      <c r="A69" s="315" t="str">
        <f>SCALARS!A69</f>
        <v>sector</v>
      </c>
      <c r="B69" s="315" t="str">
        <f>SCALARS!B69</f>
        <v>energy</v>
      </c>
      <c r="C69" s="315" t="str">
        <f>SCALARS!C69</f>
        <v>XLE</v>
      </c>
      <c r="D69" s="315" t="str">
        <f>SCALARS!D69</f>
        <v>IBKR</v>
      </c>
      <c r="E69" s="315" t="str">
        <f>SCALARS!E69</f>
        <v>IYE</v>
      </c>
      <c r="F69" s="316">
        <f>SCALARS!F69</f>
        <v>1.0564521811944705</v>
      </c>
      <c r="G69" s="316">
        <f>SCALARS!G69</f>
        <v>0</v>
      </c>
      <c r="H69" s="213" t="b">
        <v>0</v>
      </c>
      <c r="I69" s="321"/>
      <c r="J69" s="322"/>
      <c r="K69" s="323"/>
      <c r="L69" s="324"/>
      <c r="M69" s="324"/>
    </row>
    <row r="70" spans="1:13" x14ac:dyDescent="0.25">
      <c r="A70" s="315" t="str">
        <f>SCALARS!A70</f>
        <v>sector</v>
      </c>
      <c r="B70" s="315" t="str">
        <f>SCALARS!B70</f>
        <v>energy</v>
      </c>
      <c r="C70" s="315" t="str">
        <f>SCALARS!C70</f>
        <v>FENY</v>
      </c>
      <c r="D70" s="315" t="str">
        <f>SCALARS!D70</f>
        <v>IBKR</v>
      </c>
      <c r="E70" s="315" t="str">
        <f>SCALARS!E70</f>
        <v>VDE</v>
      </c>
      <c r="F70" s="316">
        <f>SCALARS!F70</f>
        <v>5.0823885560869106</v>
      </c>
      <c r="G70" s="316">
        <f>SCALARS!G70</f>
        <v>0</v>
      </c>
      <c r="H70" s="213" t="b">
        <v>0</v>
      </c>
      <c r="I70" s="321"/>
      <c r="J70" s="322"/>
      <c r="K70" s="323"/>
      <c r="L70" s="324"/>
      <c r="M70" s="324"/>
    </row>
    <row r="71" spans="1:13" x14ac:dyDescent="0.25">
      <c r="A71" s="315" t="str">
        <f>SCALARS!A71</f>
        <v>sector</v>
      </c>
      <c r="B71" s="315" t="str">
        <f>SCALARS!B71</f>
        <v>energy</v>
      </c>
      <c r="C71" s="315" t="str">
        <f>SCALARS!C71</f>
        <v>VDE</v>
      </c>
      <c r="D71" s="315" t="str">
        <f>SCALARS!D71</f>
        <v>IBKR</v>
      </c>
      <c r="E71" s="315" t="str">
        <f>SCALARS!E71</f>
        <v>VDE</v>
      </c>
      <c r="F71" s="316">
        <f>SCALARS!F71</f>
        <v>1</v>
      </c>
      <c r="G71" s="316">
        <f>SCALARS!G71</f>
        <v>0</v>
      </c>
      <c r="H71" s="213" t="b">
        <v>0</v>
      </c>
      <c r="I71" s="321"/>
      <c r="J71" s="322"/>
      <c r="K71" s="323"/>
      <c r="L71" s="324"/>
      <c r="M71" s="324"/>
    </row>
    <row r="72" spans="1:13" x14ac:dyDescent="0.25">
      <c r="A72" s="315" t="str">
        <f>SCALARS!A72</f>
        <v>sector</v>
      </c>
      <c r="B72" s="315" t="str">
        <f>SCALARS!B72</f>
        <v>financials</v>
      </c>
      <c r="C72" s="315" t="str">
        <f>SCALARS!C72</f>
        <v>IYF</v>
      </c>
      <c r="D72" s="315" t="str">
        <f>SCALARS!D72</f>
        <v>IBKR</v>
      </c>
      <c r="E72" s="315" t="str">
        <f>SCALARS!E72</f>
        <v>IYF</v>
      </c>
      <c r="F72" s="316">
        <f>SCALARS!F72</f>
        <v>1</v>
      </c>
      <c r="G72" s="316">
        <f>SCALARS!G72</f>
        <v>0</v>
      </c>
      <c r="H72" s="213" t="b">
        <v>0</v>
      </c>
      <c r="I72" s="321"/>
      <c r="J72" s="322"/>
      <c r="K72" s="323"/>
      <c r="L72" s="324"/>
      <c r="M72" s="324"/>
    </row>
    <row r="73" spans="1:13" x14ac:dyDescent="0.25">
      <c r="A73" s="315" t="str">
        <f>SCALARS!A73</f>
        <v>sector</v>
      </c>
      <c r="B73" s="315" t="str">
        <f>SCALARS!B73</f>
        <v>financials</v>
      </c>
      <c r="C73" s="315" t="str">
        <f>SCALARS!C73</f>
        <v>XLF</v>
      </c>
      <c r="D73" s="315" t="str">
        <f>SCALARS!D73</f>
        <v>IBKR</v>
      </c>
      <c r="E73" s="315" t="str">
        <f>SCALARS!E73</f>
        <v>IYF</v>
      </c>
      <c r="F73" s="316">
        <f>SCALARS!F73</f>
        <v>2.3668484563063772</v>
      </c>
      <c r="G73" s="316">
        <f>SCALARS!G73</f>
        <v>0</v>
      </c>
      <c r="H73" s="213" t="b">
        <v>0</v>
      </c>
      <c r="I73" s="321"/>
      <c r="J73" s="322"/>
      <c r="K73" s="323"/>
      <c r="L73" s="324"/>
      <c r="M73" s="324"/>
    </row>
    <row r="74" spans="1:13" x14ac:dyDescent="0.25">
      <c r="A74" s="315" t="str">
        <f>SCALARS!A74</f>
        <v>sector</v>
      </c>
      <c r="B74" s="315" t="str">
        <f>SCALARS!B74</f>
        <v>financials</v>
      </c>
      <c r="C74" s="315" t="str">
        <f>SCALARS!C74</f>
        <v>FNCL</v>
      </c>
      <c r="D74" s="315" t="str">
        <f>SCALARS!D74</f>
        <v>IBKR</v>
      </c>
      <c r="E74" s="315" t="str">
        <f>SCALARS!E74</f>
        <v>VFH</v>
      </c>
      <c r="F74" s="316">
        <f>SCALARS!F74</f>
        <v>1.7171935444980413</v>
      </c>
      <c r="G74" s="316">
        <f>SCALARS!G74</f>
        <v>0</v>
      </c>
      <c r="H74" s="213" t="b">
        <v>0</v>
      </c>
      <c r="I74" s="321"/>
      <c r="J74" s="322"/>
      <c r="K74" s="323"/>
      <c r="L74" s="324"/>
      <c r="M74" s="324"/>
    </row>
    <row r="75" spans="1:13" x14ac:dyDescent="0.25">
      <c r="A75" s="315" t="str">
        <f>SCALARS!A75</f>
        <v>sector</v>
      </c>
      <c r="B75" s="315" t="str">
        <f>SCALARS!B75</f>
        <v>financials</v>
      </c>
      <c r="C75" s="315" t="str">
        <f>SCALARS!C75</f>
        <v>VFH</v>
      </c>
      <c r="D75" s="315" t="str">
        <f>SCALARS!D75</f>
        <v>IBKR</v>
      </c>
      <c r="E75" s="315" t="str">
        <f>SCALARS!E75</f>
        <v>VFH</v>
      </c>
      <c r="F75" s="316">
        <f>SCALARS!F75</f>
        <v>1</v>
      </c>
      <c r="G75" s="316">
        <f>SCALARS!G75</f>
        <v>0</v>
      </c>
      <c r="H75" s="213" t="b">
        <v>0</v>
      </c>
      <c r="I75" s="321"/>
      <c r="J75" s="322"/>
      <c r="K75" s="323"/>
      <c r="L75" s="324"/>
      <c r="M75" s="324"/>
    </row>
    <row r="76" spans="1:13" x14ac:dyDescent="0.25">
      <c r="A76" s="315" t="str">
        <f>SCALARS!A76</f>
        <v>sector</v>
      </c>
      <c r="B76" s="315" t="str">
        <f>SCALARS!B76</f>
        <v>healthcare</v>
      </c>
      <c r="C76" s="315" t="str">
        <f>SCALARS!C76</f>
        <v>FHLC</v>
      </c>
      <c r="D76" s="315" t="str">
        <f>SCALARS!D76</f>
        <v>IBKR</v>
      </c>
      <c r="E76" s="315" t="str">
        <f>SCALARS!E76</f>
        <v>VHT</v>
      </c>
      <c r="F76" s="316">
        <f>SCALARS!F76</f>
        <v>3.8686656830198984</v>
      </c>
      <c r="G76" s="316">
        <f>SCALARS!G76</f>
        <v>0</v>
      </c>
      <c r="H76" s="213" t="b">
        <v>0</v>
      </c>
      <c r="I76" s="321"/>
      <c r="J76" s="322"/>
      <c r="K76" s="323"/>
      <c r="L76" s="324"/>
      <c r="M76" s="324"/>
    </row>
    <row r="77" spans="1:13" x14ac:dyDescent="0.25">
      <c r="A77" s="315" t="str">
        <f>SCALARS!A77</f>
        <v>sector</v>
      </c>
      <c r="B77" s="315" t="str">
        <f>SCALARS!B77</f>
        <v>healthcare</v>
      </c>
      <c r="C77" s="315" t="str">
        <f>SCALARS!C77</f>
        <v>VHT</v>
      </c>
      <c r="D77" s="315" t="str">
        <f>SCALARS!D77</f>
        <v>IBKR</v>
      </c>
      <c r="E77" s="315" t="str">
        <f>SCALARS!E77</f>
        <v>VHT</v>
      </c>
      <c r="F77" s="316">
        <f>SCALARS!F77</f>
        <v>1</v>
      </c>
      <c r="G77" s="316">
        <f>SCALARS!G77</f>
        <v>0</v>
      </c>
      <c r="H77" s="213" t="b">
        <v>0</v>
      </c>
      <c r="I77" s="321"/>
      <c r="J77" s="322"/>
      <c r="K77" s="323"/>
      <c r="L77" s="324"/>
      <c r="M77" s="324"/>
    </row>
    <row r="78" spans="1:13" x14ac:dyDescent="0.25">
      <c r="A78" s="315" t="str">
        <f>SCALARS!A78</f>
        <v>sector</v>
      </c>
      <c r="B78" s="315" t="str">
        <f>SCALARS!B78</f>
        <v>healthcare</v>
      </c>
      <c r="C78" s="315" t="str">
        <f>SCALARS!C78</f>
        <v>IYH</v>
      </c>
      <c r="D78" s="315" t="str">
        <f>SCALARS!D78</f>
        <v>IBKR</v>
      </c>
      <c r="E78" s="315" t="str">
        <f>SCALARS!E78</f>
        <v>XLV</v>
      </c>
      <c r="F78" s="316">
        <f>SCALARS!F78</f>
        <v>2.3649856470298629</v>
      </c>
      <c r="G78" s="316">
        <f>SCALARS!G78</f>
        <v>0</v>
      </c>
      <c r="H78" s="213" t="b">
        <v>0</v>
      </c>
      <c r="I78" s="321"/>
      <c r="J78" s="322"/>
      <c r="K78" s="323"/>
      <c r="L78" s="324"/>
      <c r="M78" s="324"/>
    </row>
    <row r="79" spans="1:13" x14ac:dyDescent="0.25">
      <c r="A79" s="315" t="str">
        <f>SCALARS!A79</f>
        <v>sector</v>
      </c>
      <c r="B79" s="315" t="str">
        <f>SCALARS!B79</f>
        <v>healthcare</v>
      </c>
      <c r="C79" s="315" t="str">
        <f>SCALARS!C79</f>
        <v>XLV</v>
      </c>
      <c r="D79" s="315" t="str">
        <f>SCALARS!D79</f>
        <v>IBKR</v>
      </c>
      <c r="E79" s="315" t="str">
        <f>SCALARS!E79</f>
        <v>XLV</v>
      </c>
      <c r="F79" s="316">
        <f>SCALARS!F79</f>
        <v>1</v>
      </c>
      <c r="G79" s="316">
        <f>SCALARS!G79</f>
        <v>0</v>
      </c>
      <c r="H79" s="213" t="b">
        <v>0</v>
      </c>
      <c r="I79" s="321"/>
      <c r="J79" s="322"/>
      <c r="K79" s="323"/>
      <c r="L79" s="324"/>
      <c r="M79" s="324"/>
    </row>
    <row r="80" spans="1:13" x14ac:dyDescent="0.25">
      <c r="A80" s="315" t="str">
        <f>SCALARS!A80</f>
        <v>sector</v>
      </c>
      <c r="B80" s="315" t="str">
        <f>SCALARS!B80</f>
        <v>industrials</v>
      </c>
      <c r="C80" s="315" t="str">
        <f>SCALARS!C80</f>
        <v>FIDU</v>
      </c>
      <c r="D80" s="315" t="str">
        <f>SCALARS!D80</f>
        <v>IBKR</v>
      </c>
      <c r="E80" s="315" t="str">
        <f>SCALARS!E80</f>
        <v>VIS</v>
      </c>
      <c r="F80" s="316">
        <f>SCALARS!F80</f>
        <v>3.6154424655392772</v>
      </c>
      <c r="G80" s="316">
        <f>SCALARS!G80</f>
        <v>0</v>
      </c>
      <c r="H80" s="213" t="b">
        <v>0</v>
      </c>
      <c r="I80" s="321"/>
      <c r="J80" s="322"/>
      <c r="K80" s="323"/>
      <c r="L80" s="324"/>
      <c r="M80" s="324"/>
    </row>
    <row r="81" spans="1:13" x14ac:dyDescent="0.25">
      <c r="A81" s="315" t="str">
        <f>SCALARS!A81</f>
        <v>sector</v>
      </c>
      <c r="B81" s="315" t="str">
        <f>SCALARS!B81</f>
        <v>industrials</v>
      </c>
      <c r="C81" s="315" t="str">
        <f>SCALARS!C81</f>
        <v>VIS</v>
      </c>
      <c r="D81" s="315" t="str">
        <f>SCALARS!D81</f>
        <v>IBKR</v>
      </c>
      <c r="E81" s="315" t="str">
        <f>SCALARS!E81</f>
        <v>VIS</v>
      </c>
      <c r="F81" s="316">
        <f>SCALARS!F81</f>
        <v>1</v>
      </c>
      <c r="G81" s="316">
        <f>SCALARS!G81</f>
        <v>0</v>
      </c>
      <c r="H81" s="213" t="b">
        <v>0</v>
      </c>
      <c r="I81" s="321"/>
      <c r="J81" s="322"/>
      <c r="K81" s="323"/>
      <c r="L81" s="324"/>
      <c r="M81" s="324"/>
    </row>
    <row r="82" spans="1:13" x14ac:dyDescent="0.25">
      <c r="A82" s="315" t="str">
        <f>SCALARS!A82</f>
        <v>sector</v>
      </c>
      <c r="B82" s="315" t="str">
        <f>SCALARS!B82</f>
        <v>industrials</v>
      </c>
      <c r="C82" s="315" t="str">
        <f>SCALARS!C82</f>
        <v>IYJ</v>
      </c>
      <c r="D82" s="315" t="str">
        <f>SCALARS!D82</f>
        <v>IBKR</v>
      </c>
      <c r="E82" s="315" t="str">
        <f>SCALARS!E82</f>
        <v>XLI</v>
      </c>
      <c r="F82" s="316">
        <f>SCALARS!F82</f>
        <v>1.086946260925983</v>
      </c>
      <c r="G82" s="316">
        <f>SCALARS!G82</f>
        <v>0</v>
      </c>
      <c r="H82" s="213" t="b">
        <v>0</v>
      </c>
      <c r="I82" s="321"/>
      <c r="J82" s="322"/>
      <c r="K82" s="323"/>
      <c r="L82" s="324"/>
      <c r="M82" s="324"/>
    </row>
    <row r="83" spans="1:13" x14ac:dyDescent="0.25">
      <c r="A83" s="315" t="str">
        <f>SCALARS!A83</f>
        <v>sector</v>
      </c>
      <c r="B83" s="315" t="str">
        <f>SCALARS!B83</f>
        <v>industrials</v>
      </c>
      <c r="C83" s="315" t="str">
        <f>SCALARS!C83</f>
        <v>XLI</v>
      </c>
      <c r="D83" s="315" t="str">
        <f>SCALARS!D83</f>
        <v>IBKR</v>
      </c>
      <c r="E83" s="315" t="str">
        <f>SCALARS!E83</f>
        <v>XLI</v>
      </c>
      <c r="F83" s="316">
        <f>SCALARS!F83</f>
        <v>1</v>
      </c>
      <c r="G83" s="316">
        <f>SCALARS!G83</f>
        <v>0</v>
      </c>
      <c r="H83" s="213" t="b">
        <v>0</v>
      </c>
      <c r="I83" s="321"/>
      <c r="J83" s="322"/>
      <c r="K83" s="323"/>
      <c r="L83" s="324"/>
      <c r="M83" s="324"/>
    </row>
    <row r="84" spans="1:13" x14ac:dyDescent="0.25">
      <c r="A84" s="315" t="str">
        <f>SCALARS!A84</f>
        <v>sector</v>
      </c>
      <c r="B84" s="315" t="str">
        <f>SCALARS!B84</f>
        <v>real estate</v>
      </c>
      <c r="C84" s="315" t="str">
        <f>SCALARS!C84</f>
        <v>IYR</v>
      </c>
      <c r="D84" s="315" t="str">
        <f>SCALARS!D84</f>
        <v>IBKR</v>
      </c>
      <c r="E84" s="315" t="str">
        <f>SCALARS!E84</f>
        <v>IYR</v>
      </c>
      <c r="F84" s="316">
        <f>SCALARS!F84</f>
        <v>1</v>
      </c>
      <c r="G84" s="316">
        <f>SCALARS!G84</f>
        <v>0</v>
      </c>
      <c r="H84" s="213" t="b">
        <v>0</v>
      </c>
      <c r="I84" s="321"/>
      <c r="J84" s="322"/>
      <c r="K84" s="323"/>
      <c r="L84" s="324"/>
      <c r="M84" s="324"/>
    </row>
    <row r="85" spans="1:13" x14ac:dyDescent="0.25">
      <c r="A85" s="315" t="str">
        <f>SCALARS!A85</f>
        <v>sector</v>
      </c>
      <c r="B85" s="315" t="str">
        <f>SCALARS!B85</f>
        <v>real estate</v>
      </c>
      <c r="C85" s="315" t="str">
        <f>SCALARS!C85</f>
        <v>XLRE</v>
      </c>
      <c r="D85" s="315" t="str">
        <f>SCALARS!D85</f>
        <v>IBKR</v>
      </c>
      <c r="E85" s="315" t="str">
        <f>SCALARS!E85</f>
        <v>IYR</v>
      </c>
      <c r="F85" s="316">
        <f>SCALARS!F85</f>
        <v>2.3238931731837456</v>
      </c>
      <c r="G85" s="316">
        <f>SCALARS!G85</f>
        <v>0</v>
      </c>
      <c r="H85" s="213" t="b">
        <v>0</v>
      </c>
      <c r="I85" s="321"/>
      <c r="J85" s="322"/>
      <c r="K85" s="323"/>
      <c r="L85" s="324"/>
      <c r="M85" s="324"/>
    </row>
    <row r="86" spans="1:13" x14ac:dyDescent="0.25">
      <c r="A86" s="315" t="str">
        <f>SCALARS!A86</f>
        <v>sector</v>
      </c>
      <c r="B86" s="315" t="str">
        <f>SCALARS!B86</f>
        <v>real estate</v>
      </c>
      <c r="C86" s="315" t="str">
        <f>SCALARS!C86</f>
        <v>FREL</v>
      </c>
      <c r="D86" s="315" t="str">
        <f>SCALARS!D86</f>
        <v>IBKR</v>
      </c>
      <c r="E86" s="315" t="str">
        <f>SCALARS!E86</f>
        <v>VNQ</v>
      </c>
      <c r="F86" s="316">
        <f>SCALARS!F86</f>
        <v>3.2965473407357044</v>
      </c>
      <c r="G86" s="316">
        <f>SCALARS!G86</f>
        <v>0</v>
      </c>
      <c r="H86" s="213" t="b">
        <v>0</v>
      </c>
      <c r="I86" s="321"/>
      <c r="J86" s="322"/>
      <c r="K86" s="323"/>
      <c r="L86" s="324"/>
      <c r="M86" s="324"/>
    </row>
    <row r="87" spans="1:13" x14ac:dyDescent="0.25">
      <c r="A87" s="315" t="str">
        <f>SCALARS!A87</f>
        <v>sector</v>
      </c>
      <c r="B87" s="315" t="str">
        <f>SCALARS!B87</f>
        <v>real estate</v>
      </c>
      <c r="C87" s="315" t="str">
        <f>SCALARS!C87</f>
        <v>VNQ</v>
      </c>
      <c r="D87" s="315" t="str">
        <f>SCALARS!D87</f>
        <v>IBKR</v>
      </c>
      <c r="E87" s="315" t="str">
        <f>SCALARS!E87</f>
        <v>VNQ</v>
      </c>
      <c r="F87" s="316">
        <f>SCALARS!F87</f>
        <v>1</v>
      </c>
      <c r="G87" s="316">
        <f>SCALARS!G87</f>
        <v>0</v>
      </c>
      <c r="H87" s="213" t="b">
        <v>0</v>
      </c>
      <c r="I87" s="321"/>
      <c r="J87" s="322"/>
      <c r="K87" s="323"/>
      <c r="L87" s="324"/>
      <c r="M87" s="324"/>
    </row>
    <row r="88" spans="1:13" x14ac:dyDescent="0.25">
      <c r="A88" s="315" t="str">
        <f>SCALARS!A88</f>
        <v>sector</v>
      </c>
      <c r="B88" s="315" t="str">
        <f>SCALARS!B88</f>
        <v>staples</v>
      </c>
      <c r="C88" s="315" t="str">
        <f>SCALARS!C88</f>
        <v>FSTA</v>
      </c>
      <c r="D88" s="315" t="str">
        <f>SCALARS!D88</f>
        <v>IBKR</v>
      </c>
      <c r="E88" s="315" t="str">
        <f>SCALARS!E88</f>
        <v>VDC</v>
      </c>
      <c r="F88" s="316">
        <f>SCALARS!F88</f>
        <v>4.2914684187241185</v>
      </c>
      <c r="G88" s="316">
        <f>SCALARS!G88</f>
        <v>0</v>
      </c>
      <c r="H88" s="213" t="b">
        <v>0</v>
      </c>
      <c r="I88" s="321"/>
      <c r="J88" s="322"/>
      <c r="K88" s="323"/>
      <c r="L88" s="324"/>
      <c r="M88" s="324"/>
    </row>
    <row r="89" spans="1:13" x14ac:dyDescent="0.25">
      <c r="A89" s="315" t="str">
        <f>SCALARS!A89</f>
        <v>sector</v>
      </c>
      <c r="B89" s="315" t="str">
        <f>SCALARS!B89</f>
        <v>staples</v>
      </c>
      <c r="C89" s="315" t="str">
        <f>SCALARS!C89</f>
        <v>VDC</v>
      </c>
      <c r="D89" s="315" t="str">
        <f>SCALARS!D89</f>
        <v>IBKR</v>
      </c>
      <c r="E89" s="315" t="str">
        <f>SCALARS!E89</f>
        <v>VDC</v>
      </c>
      <c r="F89" s="316">
        <f>SCALARS!F89</f>
        <v>1</v>
      </c>
      <c r="G89" s="316">
        <f>SCALARS!G89</f>
        <v>0</v>
      </c>
      <c r="H89" s="213" t="b">
        <v>0</v>
      </c>
      <c r="I89" s="321"/>
      <c r="J89" s="322"/>
      <c r="K89" s="323"/>
      <c r="L89" s="324"/>
      <c r="M89" s="324"/>
    </row>
    <row r="90" spans="1:13" x14ac:dyDescent="0.25">
      <c r="A90" s="315" t="str">
        <f>SCALARS!A90</f>
        <v>sector</v>
      </c>
      <c r="B90" s="315" t="str">
        <f>SCALARS!B90</f>
        <v>staples</v>
      </c>
      <c r="C90" s="315" t="str">
        <f>SCALARS!C90</f>
        <v>IYK</v>
      </c>
      <c r="D90" s="315" t="str">
        <f>SCALARS!D90</f>
        <v>IBKR</v>
      </c>
      <c r="E90" s="315" t="str">
        <f>SCALARS!E90</f>
        <v>XLP</v>
      </c>
      <c r="F90" s="316">
        <f>SCALARS!F90</f>
        <v>1.135506158949811</v>
      </c>
      <c r="G90" s="316">
        <f>SCALARS!G90</f>
        <v>0</v>
      </c>
      <c r="H90" s="213" t="b">
        <v>0</v>
      </c>
      <c r="I90" s="321"/>
      <c r="J90" s="322"/>
      <c r="K90" s="323"/>
      <c r="L90" s="324"/>
      <c r="M90" s="324"/>
    </row>
    <row r="91" spans="1:13" x14ac:dyDescent="0.25">
      <c r="A91" s="315" t="str">
        <f>SCALARS!A91</f>
        <v>sector</v>
      </c>
      <c r="B91" s="315" t="str">
        <f>SCALARS!B91</f>
        <v>staples</v>
      </c>
      <c r="C91" s="315" t="str">
        <f>SCALARS!C91</f>
        <v>XLP</v>
      </c>
      <c r="D91" s="315" t="str">
        <f>SCALARS!D91</f>
        <v>IBKR</v>
      </c>
      <c r="E91" s="315" t="str">
        <f>SCALARS!E91</f>
        <v>XLP</v>
      </c>
      <c r="F91" s="316">
        <f>SCALARS!F91</f>
        <v>1</v>
      </c>
      <c r="G91" s="316">
        <f>SCALARS!G91</f>
        <v>0</v>
      </c>
      <c r="H91" s="213" t="b">
        <v>0</v>
      </c>
      <c r="I91" s="321"/>
      <c r="J91" s="322"/>
      <c r="K91" s="323"/>
      <c r="L91" s="324"/>
      <c r="M91" s="324"/>
    </row>
    <row r="92" spans="1:13" x14ac:dyDescent="0.25">
      <c r="A92" s="315" t="str">
        <f>SCALARS!A92</f>
        <v>sector</v>
      </c>
      <c r="B92" s="315" t="str">
        <f>SCALARS!B92</f>
        <v>technology</v>
      </c>
      <c r="C92" s="315" t="str">
        <f>SCALARS!C92</f>
        <v>FTEC</v>
      </c>
      <c r="D92" s="315" t="str">
        <f>SCALARS!D92</f>
        <v>IBKR</v>
      </c>
      <c r="E92" s="315" t="str">
        <f>SCALARS!E92</f>
        <v>FTEC</v>
      </c>
      <c r="F92" s="316">
        <f>SCALARS!F92</f>
        <v>1</v>
      </c>
      <c r="G92" s="316">
        <f>SCALARS!G92</f>
        <v>0</v>
      </c>
      <c r="H92" s="213" t="b">
        <v>0</v>
      </c>
      <c r="I92" s="321"/>
      <c r="J92" s="322"/>
      <c r="K92" s="323"/>
      <c r="L92" s="324"/>
      <c r="M92" s="324"/>
    </row>
    <row r="93" spans="1:13" x14ac:dyDescent="0.25">
      <c r="A93" s="315" t="str">
        <f>SCALARS!A93</f>
        <v>sector</v>
      </c>
      <c r="B93" s="315" t="str">
        <f>SCALARS!B93</f>
        <v>technology</v>
      </c>
      <c r="C93" s="315" t="str">
        <f>SCALARS!C93</f>
        <v>VGT</v>
      </c>
      <c r="D93" s="315" t="str">
        <f>SCALARS!D93</f>
        <v>IBKR</v>
      </c>
      <c r="E93" s="315" t="str">
        <f>SCALARS!E93</f>
        <v>FTEC</v>
      </c>
      <c r="F93" s="316">
        <f>SCALARS!F93</f>
        <v>2.3868196813451816</v>
      </c>
      <c r="G93" s="316">
        <f>SCALARS!G93</f>
        <v>0</v>
      </c>
      <c r="H93" s="213" t="b">
        <v>0</v>
      </c>
      <c r="I93" s="321"/>
      <c r="J93" s="322"/>
      <c r="K93" s="323"/>
      <c r="L93" s="324"/>
      <c r="M93" s="324"/>
    </row>
    <row r="94" spans="1:13" x14ac:dyDescent="0.25">
      <c r="A94" s="315" t="str">
        <f>SCALARS!A94</f>
        <v>sector</v>
      </c>
      <c r="B94" s="315" t="str">
        <f>SCALARS!B94</f>
        <v>technology</v>
      </c>
      <c r="C94" s="315" t="str">
        <f>SCALARS!C94</f>
        <v>IYW</v>
      </c>
      <c r="D94" s="315" t="str">
        <f>SCALARS!D94</f>
        <v>IBKR</v>
      </c>
      <c r="E94" s="315" t="str">
        <f>SCALARS!E94</f>
        <v>IYW</v>
      </c>
      <c r="F94" s="316">
        <f>SCALARS!F94</f>
        <v>1</v>
      </c>
      <c r="G94" s="316">
        <f>SCALARS!G94</f>
        <v>0</v>
      </c>
      <c r="H94" s="213" t="b">
        <v>0</v>
      </c>
      <c r="I94" s="321"/>
      <c r="J94" s="322"/>
      <c r="K94" s="323"/>
      <c r="L94" s="324"/>
      <c r="M94" s="324"/>
    </row>
    <row r="95" spans="1:13" x14ac:dyDescent="0.25">
      <c r="A95" s="315" t="str">
        <f>SCALARS!A95</f>
        <v>sector</v>
      </c>
      <c r="B95" s="315" t="str">
        <f>SCALARS!B95</f>
        <v>technology</v>
      </c>
      <c r="C95" s="315" t="str">
        <f>SCALARS!C95</f>
        <v>XLK</v>
      </c>
      <c r="D95" s="315" t="str">
        <f>SCALARS!D95</f>
        <v>IBKR</v>
      </c>
      <c r="E95" s="315" t="str">
        <f>SCALARS!E95</f>
        <v>IYW</v>
      </c>
      <c r="F95" s="316">
        <f>SCALARS!F95</f>
        <v>1.3533217556995059</v>
      </c>
      <c r="G95" s="316">
        <f>SCALARS!G95</f>
        <v>0</v>
      </c>
      <c r="H95" s="213" t="b">
        <v>0</v>
      </c>
      <c r="I95" s="321"/>
      <c r="J95" s="322"/>
      <c r="K95" s="323"/>
      <c r="L95" s="324"/>
      <c r="M95" s="324"/>
    </row>
    <row r="96" spans="1:13" x14ac:dyDescent="0.25">
      <c r="A96" s="315" t="str">
        <f>SCALARS!A96</f>
        <v>sector</v>
      </c>
      <c r="B96" s="315" t="str">
        <f>SCALARS!B96</f>
        <v>utilities</v>
      </c>
      <c r="C96" s="315" t="str">
        <f>SCALARS!C96</f>
        <v>IDU</v>
      </c>
      <c r="D96" s="315" t="str">
        <f>SCALARS!D96</f>
        <v>IBKR</v>
      </c>
      <c r="E96" s="315" t="str">
        <f>SCALARS!E96</f>
        <v>IDU</v>
      </c>
      <c r="F96" s="316">
        <f>SCALARS!F96</f>
        <v>1</v>
      </c>
      <c r="G96" s="316">
        <f>SCALARS!G96</f>
        <v>0</v>
      </c>
      <c r="H96" s="213" t="b">
        <v>0</v>
      </c>
      <c r="I96" s="321"/>
      <c r="J96" s="322"/>
      <c r="K96" s="323"/>
      <c r="L96" s="324"/>
      <c r="M96" s="324"/>
    </row>
    <row r="97" spans="1:13" x14ac:dyDescent="0.25">
      <c r="A97" s="315" t="str">
        <f>SCALARS!A97</f>
        <v>sector</v>
      </c>
      <c r="B97" s="315" t="str">
        <f>SCALARS!B97</f>
        <v>utilities</v>
      </c>
      <c r="C97" s="315" t="str">
        <f>SCALARS!C97</f>
        <v>XLU</v>
      </c>
      <c r="D97" s="315" t="str">
        <f>SCALARS!D97</f>
        <v>IBKR</v>
      </c>
      <c r="E97" s="315" t="str">
        <f>SCALARS!E97</f>
        <v>IDU</v>
      </c>
      <c r="F97" s="316">
        <f>SCALARS!F97</f>
        <v>2.546399854098417</v>
      </c>
      <c r="G97" s="316">
        <f>SCALARS!G97</f>
        <v>0</v>
      </c>
      <c r="H97" s="213" t="b">
        <v>0</v>
      </c>
      <c r="I97" s="321"/>
      <c r="J97" s="322"/>
      <c r="K97" s="323"/>
      <c r="L97" s="324"/>
      <c r="M97" s="324"/>
    </row>
    <row r="98" spans="1:13" x14ac:dyDescent="0.25">
      <c r="J98" s="263"/>
      <c r="K98" s="264"/>
      <c r="L98" s="265"/>
      <c r="M98" s="265"/>
    </row>
    <row r="99" spans="1:13" x14ac:dyDescent="0.25">
      <c r="J99" s="263"/>
      <c r="K99" s="264"/>
      <c r="L99" s="265"/>
      <c r="M99" s="265"/>
    </row>
    <row r="100" spans="1:13" x14ac:dyDescent="0.25">
      <c r="J100" s="263"/>
      <c r="K100" s="264"/>
      <c r="L100" s="265"/>
      <c r="M100" s="265"/>
    </row>
    <row r="101" spans="1:13" x14ac:dyDescent="0.25">
      <c r="J101" s="263"/>
      <c r="K101" s="264"/>
      <c r="L101" s="265"/>
      <c r="M101" s="265"/>
    </row>
  </sheetData>
  <conditionalFormatting sqref="H1:H1048576">
    <cfRule type="cellIs" dxfId="0" priority="1" operator="equal">
      <formula>TRUE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ADMIN INPUTS</vt:lpstr>
      <vt:lpstr>ANCHOR INPUTS</vt:lpstr>
      <vt:lpstr>SCALARS</vt:lpstr>
      <vt:lpstr>MKT DATA</vt:lpstr>
      <vt:lpstr>FIXED INCOME</vt:lpstr>
      <vt:lpstr>SECTORS</vt:lpstr>
      <vt:lpstr>CORPS</vt:lpstr>
      <vt:lpstr>TARGETS</vt:lpstr>
      <vt:lpstr>ADRS</vt:lpstr>
      <vt:lpstr>CEFS</vt:lpstr>
      <vt:lpstr>TRADING INPUTS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Hyland</dc:creator>
  <cp:lastModifiedBy>Michael Hyland</cp:lastModifiedBy>
  <dcterms:created xsi:type="dcterms:W3CDTF">2026-03-22T14:06:48Z</dcterms:created>
  <dcterms:modified xsi:type="dcterms:W3CDTF">2026-09-23T19:46:51Z</dcterms:modified>
</cp:coreProperties>
</file>