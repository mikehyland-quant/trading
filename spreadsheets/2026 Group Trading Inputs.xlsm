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micha\git-projects\trading\spreadsheets\"/>
    </mc:Choice>
  </mc:AlternateContent>
  <xr:revisionPtr revIDLastSave="0" documentId="13_ncr:1_{103752AF-CB27-4B9D-9A99-FDB51637FA62}" xr6:coauthVersionLast="47" xr6:coauthVersionMax="47" xr10:uidLastSave="{00000000-0000-0000-0000-000000000000}"/>
  <bookViews>
    <workbookView xWindow="28680" yWindow="-120" windowWidth="29040" windowHeight="15720" tabRatio="762" activeTab="6" xr2:uid="{7864433A-DFC4-4915-B0C9-D347D4BABFCE}"/>
  </bookViews>
  <sheets>
    <sheet name="ADMIN INPUTS" sheetId="15" r:id="rId1"/>
    <sheet name="ANCHOR INPUTS" sheetId="16" r:id="rId2"/>
    <sheet name="SCALARS" sheetId="21" r:id="rId3"/>
    <sheet name="MKT DATA" sheetId="19" r:id="rId4"/>
    <sheet name="FI GROUP" sheetId="29" r:id="rId5"/>
    <sheet name="FIXED INCOME" sheetId="20" r:id="rId6"/>
    <sheet name="SECTORS" sheetId="23" r:id="rId7"/>
    <sheet name="CORPS" sheetId="25" r:id="rId8"/>
    <sheet name="TARGETS" sheetId="26" r:id="rId9"/>
    <sheet name="CEFS" sheetId="28" r:id="rId10"/>
    <sheet name="ADRS" sheetId="27" r:id="rId11"/>
    <sheet name="TRADING INPUTS" sheetId="24" r:id="rId12"/>
  </sheets>
  <definedNames>
    <definedName name="_xleta.ABS" hidden="1" xlm="1">#NAME?</definedName>
    <definedName name="_xleta.AND" hidden="1" xlm="1">#NAME?</definedName>
    <definedName name="_xleta.IF"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63" i="26" l="1"/>
  <c r="C63" i="26"/>
  <c r="B63" i="26"/>
  <c r="A63" i="26"/>
  <c r="AB62" i="26"/>
  <c r="B62" i="26"/>
  <c r="A62" i="26"/>
  <c r="AB61" i="26"/>
  <c r="C61" i="26"/>
  <c r="B61" i="26"/>
  <c r="A61" i="26"/>
  <c r="AB60" i="26"/>
  <c r="B60" i="26"/>
  <c r="A60" i="26"/>
  <c r="AB59" i="26"/>
  <c r="C59" i="26"/>
  <c r="B59" i="26"/>
  <c r="A59" i="26"/>
  <c r="AB58" i="26"/>
  <c r="B58" i="26"/>
  <c r="A58" i="26"/>
  <c r="AB57" i="26"/>
  <c r="C57" i="26"/>
  <c r="B57" i="26"/>
  <c r="A57" i="26"/>
  <c r="AB56" i="26"/>
  <c r="B56" i="26"/>
  <c r="A56" i="26"/>
  <c r="AB55" i="26"/>
  <c r="C55" i="26"/>
  <c r="B55" i="26"/>
  <c r="A55" i="26"/>
  <c r="AB54" i="26"/>
  <c r="B54" i="26"/>
  <c r="A54" i="26"/>
  <c r="AB31" i="26"/>
  <c r="C31" i="26"/>
  <c r="B31" i="26"/>
  <c r="A31" i="26"/>
  <c r="AB30" i="26"/>
  <c r="B30" i="26"/>
  <c r="A30" i="26"/>
  <c r="AB29" i="26"/>
  <c r="C29" i="26"/>
  <c r="B29" i="26"/>
  <c r="A29" i="26"/>
  <c r="AB28" i="26"/>
  <c r="B28" i="26"/>
  <c r="A28" i="26"/>
  <c r="AB27" i="26"/>
  <c r="C27" i="26"/>
  <c r="B27" i="26"/>
  <c r="A27" i="26"/>
  <c r="AB26" i="26"/>
  <c r="B26" i="26"/>
  <c r="A26" i="26"/>
  <c r="AB25" i="26"/>
  <c r="C25" i="26"/>
  <c r="B25" i="26"/>
  <c r="A25" i="26"/>
  <c r="AB24" i="26"/>
  <c r="B24" i="26"/>
  <c r="A24" i="26"/>
  <c r="AB23" i="26"/>
  <c r="C23" i="26"/>
  <c r="B23" i="26"/>
  <c r="A23" i="26"/>
  <c r="AB22" i="26"/>
  <c r="B22" i="26"/>
  <c r="A22" i="26"/>
  <c r="AB21" i="26"/>
  <c r="C21" i="26"/>
  <c r="B21" i="26"/>
  <c r="A21" i="26"/>
  <c r="AB20" i="26"/>
  <c r="B20" i="26"/>
  <c r="A20" i="26"/>
  <c r="F18" i="26" a="1"/>
  <c r="F17" i="26" a="1"/>
  <c r="F16" i="26" a="1"/>
  <c r="F15" i="26" a="1"/>
  <c r="F14" i="26" a="1"/>
  <c r="F13" i="26" a="1"/>
  <c r="F12" i="26" a="1"/>
  <c r="F11" i="26" a="1"/>
  <c r="F10" i="26" a="1"/>
  <c r="F9" i="26" a="1"/>
  <c r="F8" i="26" a="1"/>
  <c r="F7" i="26" a="1"/>
  <c r="F6" i="26" a="1"/>
  <c r="F5" i="26" a="1"/>
  <c r="F52" i="26" a="1"/>
  <c r="F51" i="26" a="1"/>
  <c r="F50" i="26" a="1"/>
  <c r="F49" i="26" a="1"/>
  <c r="F48" i="26" a="1"/>
  <c r="F47" i="26" a="1"/>
  <c r="F46" i="26" a="1"/>
  <c r="F45" i="26" a="1"/>
  <c r="F44" i="26" a="1"/>
  <c r="F43" i="26" a="1"/>
  <c r="F42" i="26" a="1"/>
  <c r="F41" i="26" a="1"/>
  <c r="F40" i="26" a="1"/>
  <c r="F39" i="26" a="1"/>
  <c r="F38" i="26" a="1"/>
  <c r="F37" i="26" a="1"/>
  <c r="F36" i="26" a="1"/>
  <c r="F35" i="26" a="1"/>
  <c r="F34" i="26" a="1"/>
  <c r="F33" i="26" a="1"/>
  <c r="AB18" i="26"/>
  <c r="C18" i="26"/>
  <c r="B18" i="26"/>
  <c r="A18" i="26"/>
  <c r="AB17" i="26"/>
  <c r="B17" i="26"/>
  <c r="A17" i="26"/>
  <c r="AB16" i="26"/>
  <c r="C16" i="26"/>
  <c r="B16" i="26"/>
  <c r="A16" i="26"/>
  <c r="AB15" i="26"/>
  <c r="B15" i="26"/>
  <c r="A15" i="26"/>
  <c r="AB14" i="26"/>
  <c r="C14" i="26"/>
  <c r="B14" i="26"/>
  <c r="A14" i="26"/>
  <c r="AB13" i="26"/>
  <c r="B13" i="26"/>
  <c r="A13" i="26"/>
  <c r="AB12" i="26"/>
  <c r="C12" i="26"/>
  <c r="B12" i="26"/>
  <c r="A12" i="26"/>
  <c r="AB11" i="26"/>
  <c r="B11" i="26"/>
  <c r="A11" i="26"/>
  <c r="AB10" i="26"/>
  <c r="C10" i="26"/>
  <c r="B10" i="26"/>
  <c r="A10" i="26"/>
  <c r="AB9" i="26"/>
  <c r="J9" i="26" a="1"/>
  <c r="B9" i="26"/>
  <c r="A9" i="26"/>
  <c r="AB8" i="26"/>
  <c r="C8" i="26"/>
  <c r="B8" i="26"/>
  <c r="A8" i="26"/>
  <c r="AB7" i="26"/>
  <c r="B7" i="26"/>
  <c r="A7" i="26"/>
  <c r="AB6" i="26"/>
  <c r="C6" i="26"/>
  <c r="B6" i="26"/>
  <c r="A6" i="26"/>
  <c r="AB5" i="26"/>
  <c r="B5" i="26"/>
  <c r="A5" i="26"/>
  <c r="D34" i="26" a="1"/>
  <c r="D33" i="26" a="1"/>
  <c r="AB52" i="26"/>
  <c r="C52" i="26"/>
  <c r="B52" i="26"/>
  <c r="A52" i="26"/>
  <c r="AB51" i="26"/>
  <c r="B51" i="26"/>
  <c r="A51" i="26"/>
  <c r="AB50" i="26"/>
  <c r="C50" i="26"/>
  <c r="B50" i="26"/>
  <c r="A50" i="26"/>
  <c r="AB49" i="26"/>
  <c r="B49" i="26"/>
  <c r="A49" i="26"/>
  <c r="AB48" i="26"/>
  <c r="C48" i="26"/>
  <c r="B48" i="26"/>
  <c r="A48" i="26"/>
  <c r="AB47" i="26"/>
  <c r="B47" i="26"/>
  <c r="A47" i="26"/>
  <c r="AB46" i="26"/>
  <c r="C46" i="26"/>
  <c r="B46" i="26"/>
  <c r="A46" i="26"/>
  <c r="AB45" i="26"/>
  <c r="B45" i="26"/>
  <c r="A45" i="26"/>
  <c r="AB44" i="26"/>
  <c r="C44" i="26"/>
  <c r="B44" i="26"/>
  <c r="A44" i="26"/>
  <c r="AB43" i="26"/>
  <c r="B43" i="26"/>
  <c r="A43" i="26"/>
  <c r="AB42" i="26"/>
  <c r="C42" i="26"/>
  <c r="B42" i="26"/>
  <c r="A42" i="26"/>
  <c r="AB41" i="26"/>
  <c r="B41" i="26"/>
  <c r="A41" i="26"/>
  <c r="AB40" i="26"/>
  <c r="C40" i="26"/>
  <c r="B40" i="26"/>
  <c r="A40" i="26"/>
  <c r="AB39" i="26"/>
  <c r="B39" i="26"/>
  <c r="A39" i="26"/>
  <c r="AB38" i="26"/>
  <c r="C38" i="26"/>
  <c r="B38" i="26"/>
  <c r="A38" i="26"/>
  <c r="AB37" i="26"/>
  <c r="B37" i="26"/>
  <c r="A37" i="26"/>
  <c r="AB36" i="26"/>
  <c r="C36" i="26"/>
  <c r="B36" i="26"/>
  <c r="A36" i="26"/>
  <c r="AB35" i="26"/>
  <c r="B35" i="26"/>
  <c r="A35" i="26"/>
  <c r="AB34" i="26"/>
  <c r="C34" i="26"/>
  <c r="B34" i="26"/>
  <c r="A34" i="26"/>
  <c r="AB33" i="26"/>
  <c r="B33" i="26"/>
  <c r="A33" i="26"/>
  <c r="AB4" i="26"/>
  <c r="X1" i="26"/>
  <c r="X31" i="23" a="1"/>
  <c r="AC19" i="29" a="1"/>
  <c r="AC20" i="29" a="1"/>
  <c r="AC21" i="29" a="1"/>
  <c r="AC22" i="29" a="1"/>
  <c r="AC23" i="29" a="1"/>
  <c r="AC24" i="29" a="1"/>
  <c r="AC25" i="29" a="1"/>
  <c r="AC26" i="29" a="1"/>
  <c r="AC27" i="29" a="1"/>
  <c r="AC28" i="29" a="1"/>
  <c r="AC29" i="29" a="1"/>
  <c r="AC30" i="29" a="1"/>
  <c r="AC18" i="29" a="1"/>
  <c r="AC17" i="29" a="1"/>
  <c r="AC16" i="29" a="1"/>
  <c r="AC15" i="29" a="1"/>
  <c r="AC14" i="29" a="1"/>
  <c r="AC13" i="29" a="1"/>
  <c r="AC12" i="29" a="1"/>
  <c r="AC11" i="29" a="1"/>
  <c r="AC10" i="29" a="1"/>
  <c r="AC9" i="29" a="1"/>
  <c r="AC8" i="29" a="1"/>
  <c r="AC7" i="29" a="1"/>
  <c r="AC6" i="29" a="1"/>
  <c r="AC5" i="29" a="1"/>
  <c r="X1" i="29"/>
  <c r="AB30" i="29"/>
  <c r="B30" i="29"/>
  <c r="A30" i="29"/>
  <c r="AB29" i="29"/>
  <c r="B29" i="29"/>
  <c r="A29" i="29"/>
  <c r="AB28" i="29"/>
  <c r="B28" i="29"/>
  <c r="A28" i="29"/>
  <c r="AB27" i="29"/>
  <c r="B27" i="29"/>
  <c r="A27" i="29"/>
  <c r="AB26" i="29"/>
  <c r="B26" i="29"/>
  <c r="A26" i="29"/>
  <c r="AB25" i="29"/>
  <c r="B25" i="29"/>
  <c r="A25" i="29"/>
  <c r="AB24" i="29"/>
  <c r="B24" i="29"/>
  <c r="A24" i="29"/>
  <c r="AB23" i="29"/>
  <c r="B23" i="29"/>
  <c r="A23" i="29"/>
  <c r="AB22" i="29"/>
  <c r="B22" i="29"/>
  <c r="A22" i="29"/>
  <c r="AB21" i="29"/>
  <c r="B21" i="29"/>
  <c r="A21" i="29"/>
  <c r="AB20" i="29"/>
  <c r="B20" i="29"/>
  <c r="A20" i="29"/>
  <c r="AB19" i="29"/>
  <c r="B19" i="29"/>
  <c r="A19" i="29"/>
  <c r="AB18" i="29"/>
  <c r="B18" i="29"/>
  <c r="A18" i="29"/>
  <c r="AB17" i="29"/>
  <c r="B17" i="29"/>
  <c r="A17" i="29"/>
  <c r="AB16" i="29"/>
  <c r="B16" i="29"/>
  <c r="A16" i="29"/>
  <c r="AB15" i="29"/>
  <c r="B15" i="29"/>
  <c r="A15" i="29"/>
  <c r="AB14" i="29"/>
  <c r="B14" i="29"/>
  <c r="A14" i="29"/>
  <c r="AB13" i="29"/>
  <c r="B13" i="29"/>
  <c r="A13" i="29"/>
  <c r="AB12" i="29"/>
  <c r="B12" i="29"/>
  <c r="A12" i="29"/>
  <c r="AB11" i="29"/>
  <c r="B11" i="29"/>
  <c r="A11" i="29"/>
  <c r="AB10" i="29"/>
  <c r="B10" i="29"/>
  <c r="A10" i="29"/>
  <c r="AB9" i="29"/>
  <c r="B9" i="29"/>
  <c r="A9" i="29"/>
  <c r="AB8" i="29"/>
  <c r="B8" i="29"/>
  <c r="A8" i="29"/>
  <c r="AB7" i="29"/>
  <c r="B7" i="29"/>
  <c r="A7" i="29"/>
  <c r="AB6" i="29"/>
  <c r="B6" i="29"/>
  <c r="A6" i="29"/>
  <c r="AB5" i="29"/>
  <c r="B5" i="29"/>
  <c r="A5" i="29"/>
  <c r="AB4" i="29"/>
  <c r="A24" i="23"/>
  <c r="B24" i="23"/>
  <c r="C24" i="23" a="1"/>
  <c r="D24" i="23" a="1"/>
  <c r="F24" i="23" a="1"/>
  <c r="H24" i="23" a="1"/>
  <c r="I24" i="23" a="1"/>
  <c r="L24" i="23" s="1"/>
  <c r="J24" i="23" a="1"/>
  <c r="M24" i="23" a="1"/>
  <c r="X24" i="23" a="1"/>
  <c r="AB24" i="23"/>
  <c r="AC24" i="23" a="1"/>
  <c r="A25" i="23"/>
  <c r="B25" i="23"/>
  <c r="C25" i="23" a="1"/>
  <c r="D25" i="23" a="1"/>
  <c r="F25" i="23" a="1"/>
  <c r="H25" i="23" a="1"/>
  <c r="I25" i="23" a="1"/>
  <c r="L25" i="23" s="1"/>
  <c r="J25" i="23" a="1"/>
  <c r="M25" i="23" a="1"/>
  <c r="X25" i="23" a="1"/>
  <c r="AB25" i="23"/>
  <c r="AC25" i="23" a="1"/>
  <c r="A26" i="23"/>
  <c r="B26" i="23"/>
  <c r="C26" i="23" a="1"/>
  <c r="D26" i="23" a="1"/>
  <c r="F26" i="23" a="1"/>
  <c r="H26" i="23" a="1"/>
  <c r="I26" i="23" a="1"/>
  <c r="L26" i="23" s="1"/>
  <c r="J26" i="23" a="1"/>
  <c r="M26" i="23" a="1"/>
  <c r="X26" i="23" a="1"/>
  <c r="AB26" i="23"/>
  <c r="AC26" i="23" a="1"/>
  <c r="A27" i="23"/>
  <c r="B27" i="23"/>
  <c r="C27" i="23" a="1"/>
  <c r="D27" i="23" a="1"/>
  <c r="F27" i="23" a="1"/>
  <c r="H27" i="23" a="1"/>
  <c r="I27" i="23" a="1"/>
  <c r="L27" i="23" s="1"/>
  <c r="J27" i="23" a="1"/>
  <c r="M27" i="23" a="1"/>
  <c r="X27" i="23" a="1"/>
  <c r="AB27" i="23"/>
  <c r="AC27" i="23" a="1"/>
  <c r="A29" i="23"/>
  <c r="B29" i="23"/>
  <c r="C29" i="23" a="1"/>
  <c r="D29" i="23" a="1"/>
  <c r="F29" i="23" a="1"/>
  <c r="H29" i="23" a="1"/>
  <c r="I29" i="23" a="1"/>
  <c r="L29" i="23" s="1"/>
  <c r="J29" i="23" a="1"/>
  <c r="M29" i="23" a="1"/>
  <c r="X29" i="23" a="1"/>
  <c r="AB29" i="23"/>
  <c r="AC29" i="23" a="1"/>
  <c r="A30" i="23"/>
  <c r="B30" i="23"/>
  <c r="C30" i="23" a="1"/>
  <c r="D30" i="23" a="1"/>
  <c r="F30" i="23" a="1"/>
  <c r="H30" i="23" a="1"/>
  <c r="I30" i="23" a="1"/>
  <c r="L30" i="23" s="1"/>
  <c r="J30" i="23" a="1"/>
  <c r="M30" i="23" a="1"/>
  <c r="X30" i="23" a="1"/>
  <c r="AB30" i="23"/>
  <c r="AC30" i="23" a="1"/>
  <c r="A31" i="23"/>
  <c r="B31" i="23"/>
  <c r="C31" i="23" a="1"/>
  <c r="D31" i="23" a="1"/>
  <c r="F31" i="23" a="1"/>
  <c r="H31" i="23" a="1"/>
  <c r="I31" i="23" a="1"/>
  <c r="L31" i="23" s="1"/>
  <c r="J31" i="23" a="1"/>
  <c r="M31" i="23" a="1"/>
  <c r="AB31" i="23"/>
  <c r="AC31" i="23" a="1"/>
  <c r="A32" i="23"/>
  <c r="B32" i="23"/>
  <c r="C32" i="23" a="1"/>
  <c r="D32" i="23" a="1"/>
  <c r="F32" i="23" a="1"/>
  <c r="H32" i="23" a="1"/>
  <c r="I32" i="23" a="1"/>
  <c r="L32" i="23" s="1"/>
  <c r="J32" i="23" a="1"/>
  <c r="M32" i="23" a="1"/>
  <c r="X32" i="23" a="1"/>
  <c r="AB32" i="23"/>
  <c r="AC32" i="23" a="1"/>
  <c r="AB24" i="25"/>
  <c r="B24" i="25"/>
  <c r="A24" i="25"/>
  <c r="AB23" i="25"/>
  <c r="B23" i="25"/>
  <c r="A23" i="25"/>
  <c r="AB8" i="25"/>
  <c r="B8" i="25"/>
  <c r="A8" i="25"/>
  <c r="AB7" i="25"/>
  <c r="B7" i="25"/>
  <c r="A7" i="25"/>
  <c r="AB6" i="25"/>
  <c r="B6" i="25"/>
  <c r="A6" i="25"/>
  <c r="AB5" i="25"/>
  <c r="B5" i="25"/>
  <c r="A5" i="25"/>
  <c r="AB20" i="25"/>
  <c r="B20" i="25"/>
  <c r="A20" i="25"/>
  <c r="AB19" i="25"/>
  <c r="B19" i="25"/>
  <c r="A19" i="25"/>
  <c r="AB18" i="25"/>
  <c r="B18" i="25"/>
  <c r="A18" i="25"/>
  <c r="AB17" i="25"/>
  <c r="B17" i="25"/>
  <c r="A17" i="25"/>
  <c r="AB26" i="25"/>
  <c r="B26" i="25"/>
  <c r="A26" i="25"/>
  <c r="AB25" i="25"/>
  <c r="B25" i="25"/>
  <c r="A25" i="25"/>
  <c r="AC6" i="23" a="1"/>
  <c r="AB6" i="23"/>
  <c r="AC5" i="23" a="1"/>
  <c r="AB5" i="23"/>
  <c r="X6" i="23" a="1"/>
  <c r="X5" i="23" a="1"/>
  <c r="A90" i="24"/>
  <c r="B90" i="24"/>
  <c r="C90" i="24"/>
  <c r="D90" i="24"/>
  <c r="E90" i="24"/>
  <c r="F90" i="24"/>
  <c r="G90" i="24"/>
  <c r="A91" i="24"/>
  <c r="B91" i="24"/>
  <c r="C91" i="24"/>
  <c r="D91" i="24"/>
  <c r="E91" i="24"/>
  <c r="F91" i="24"/>
  <c r="G91" i="24"/>
  <c r="A92" i="24"/>
  <c r="B92" i="24"/>
  <c r="C92" i="24"/>
  <c r="D92" i="24"/>
  <c r="E92" i="24"/>
  <c r="F92" i="24"/>
  <c r="G92" i="24"/>
  <c r="A93" i="24"/>
  <c r="B93" i="24"/>
  <c r="C93" i="24"/>
  <c r="D93" i="24"/>
  <c r="E93" i="24"/>
  <c r="F93" i="24"/>
  <c r="G93" i="24"/>
  <c r="A94" i="24"/>
  <c r="B94" i="24"/>
  <c r="C94" i="24"/>
  <c r="D94" i="24"/>
  <c r="E94" i="24"/>
  <c r="F94" i="24"/>
  <c r="G94" i="24"/>
  <c r="A95" i="24"/>
  <c r="B95" i="24"/>
  <c r="C95" i="24"/>
  <c r="D95" i="24"/>
  <c r="E95" i="24"/>
  <c r="F95" i="24"/>
  <c r="G95" i="24"/>
  <c r="A96" i="24"/>
  <c r="B96" i="24"/>
  <c r="C96" i="24"/>
  <c r="D96" i="24"/>
  <c r="E96" i="24"/>
  <c r="F96" i="24"/>
  <c r="G96" i="24"/>
  <c r="A97" i="24"/>
  <c r="B97" i="24"/>
  <c r="C97" i="24"/>
  <c r="D97" i="24"/>
  <c r="E97" i="24"/>
  <c r="F97" i="24"/>
  <c r="G97" i="24"/>
  <c r="AB4" i="20"/>
  <c r="AB4" i="23"/>
  <c r="AB4" i="25"/>
  <c r="AB16" i="25"/>
  <c r="B16" i="25"/>
  <c r="A16" i="25"/>
  <c r="AB15" i="25"/>
  <c r="B15" i="25"/>
  <c r="A15" i="25"/>
  <c r="AB14" i="25"/>
  <c r="B14" i="25"/>
  <c r="A14" i="25"/>
  <c r="AB13" i="25"/>
  <c r="B13" i="25"/>
  <c r="A13" i="25"/>
  <c r="AB10" i="25"/>
  <c r="B10" i="25"/>
  <c r="A10" i="25"/>
  <c r="AB9" i="25"/>
  <c r="B9" i="25"/>
  <c r="A9" i="25"/>
  <c r="AB22" i="25"/>
  <c r="B22" i="25"/>
  <c r="A22" i="25"/>
  <c r="AB21" i="25"/>
  <c r="B21" i="25"/>
  <c r="A21" i="25"/>
  <c r="AB12" i="25"/>
  <c r="B12" i="25"/>
  <c r="A12" i="25"/>
  <c r="AB11" i="25"/>
  <c r="B11" i="25"/>
  <c r="A11" i="25"/>
  <c r="AB18" i="20"/>
  <c r="AB17" i="20"/>
  <c r="AB16" i="20"/>
  <c r="AB15" i="20"/>
  <c r="AB14" i="20"/>
  <c r="AB13" i="20"/>
  <c r="AB12" i="20"/>
  <c r="AB11" i="20"/>
  <c r="AB10" i="20"/>
  <c r="AB9" i="20"/>
  <c r="AB8" i="20"/>
  <c r="AB7" i="20"/>
  <c r="AB6" i="20"/>
  <c r="AB5" i="20"/>
  <c r="AB22" i="23"/>
  <c r="AB21" i="23"/>
  <c r="AB20" i="23"/>
  <c r="AB19" i="23"/>
  <c r="AB18" i="23"/>
  <c r="AB17" i="23"/>
  <c r="AB16" i="23"/>
  <c r="AB15" i="23"/>
  <c r="AB14" i="23"/>
  <c r="AB13" i="23"/>
  <c r="AB12" i="23"/>
  <c r="AB11" i="23"/>
  <c r="AB10" i="23"/>
  <c r="AB9" i="23"/>
  <c r="AB8" i="23"/>
  <c r="AB7" i="23"/>
  <c r="AB34" i="23"/>
  <c r="AB35" i="23"/>
  <c r="AB36" i="23"/>
  <c r="AB37" i="23"/>
  <c r="AB38" i="23"/>
  <c r="AB39" i="23"/>
  <c r="AB40" i="23"/>
  <c r="AB41" i="23"/>
  <c r="AB42" i="23"/>
  <c r="AB43" i="23"/>
  <c r="AB44" i="23"/>
  <c r="AB45" i="23"/>
  <c r="AB46" i="23"/>
  <c r="AB47" i="23"/>
  <c r="AB48" i="23"/>
  <c r="AB49" i="23"/>
  <c r="AB50" i="23"/>
  <c r="AB51" i="23"/>
  <c r="G89" i="24"/>
  <c r="G88" i="24"/>
  <c r="G87" i="24"/>
  <c r="G86" i="24"/>
  <c r="G85" i="24"/>
  <c r="G84" i="24"/>
  <c r="G83" i="24"/>
  <c r="G82" i="24"/>
  <c r="G81" i="24"/>
  <c r="G80" i="24"/>
  <c r="G79" i="24"/>
  <c r="G78" i="24"/>
  <c r="G77" i="24"/>
  <c r="G76" i="24"/>
  <c r="G75" i="24"/>
  <c r="G74" i="24"/>
  <c r="G73" i="24"/>
  <c r="G72" i="24"/>
  <c r="G71" i="24"/>
  <c r="G70" i="24"/>
  <c r="G69" i="24"/>
  <c r="G68" i="24"/>
  <c r="G67" i="24"/>
  <c r="G66" i="24"/>
  <c r="G65" i="24"/>
  <c r="G64" i="24"/>
  <c r="G63" i="24"/>
  <c r="G62" i="24"/>
  <c r="G61" i="24"/>
  <c r="G60" i="24"/>
  <c r="G59" i="24"/>
  <c r="G58" i="24"/>
  <c r="G57" i="24"/>
  <c r="G56" i="24"/>
  <c r="G55" i="24"/>
  <c r="G54" i="24"/>
  <c r="G53" i="24"/>
  <c r="G52" i="24"/>
  <c r="G51" i="24"/>
  <c r="G50" i="24"/>
  <c r="G49" i="24"/>
  <c r="G48" i="24"/>
  <c r="G47" i="24"/>
  <c r="G46" i="24"/>
  <c r="G45" i="24"/>
  <c r="G44" i="24"/>
  <c r="G43" i="24"/>
  <c r="G42" i="24"/>
  <c r="G41" i="24"/>
  <c r="G40" i="24"/>
  <c r="G39" i="24"/>
  <c r="G38" i="24"/>
  <c r="G37" i="24"/>
  <c r="G36" i="24"/>
  <c r="G35" i="24"/>
  <c r="G34" i="24"/>
  <c r="G33" i="24"/>
  <c r="G32" i="24"/>
  <c r="G31" i="24"/>
  <c r="G30" i="24"/>
  <c r="G29" i="24"/>
  <c r="G28" i="24"/>
  <c r="G27" i="24"/>
  <c r="G26" i="24"/>
  <c r="R26" i="24" s="1"/>
  <c r="G25" i="24"/>
  <c r="G24" i="24"/>
  <c r="G23" i="24"/>
  <c r="G22" i="24"/>
  <c r="G21" i="24"/>
  <c r="G20" i="24"/>
  <c r="G19" i="24"/>
  <c r="G18" i="24"/>
  <c r="G17" i="24"/>
  <c r="G16" i="24"/>
  <c r="G15" i="24"/>
  <c r="G14" i="24"/>
  <c r="G13" i="24"/>
  <c r="G12" i="24"/>
  <c r="G11" i="24"/>
  <c r="G10" i="24"/>
  <c r="G9" i="24"/>
  <c r="G8" i="24"/>
  <c r="G7" i="24"/>
  <c r="G6" i="24"/>
  <c r="G5" i="24"/>
  <c r="G4" i="24"/>
  <c r="G3" i="24"/>
  <c r="G2" i="24"/>
  <c r="G1" i="24"/>
  <c r="A88" i="24"/>
  <c r="B88" i="24"/>
  <c r="C88" i="24"/>
  <c r="D88" i="24"/>
  <c r="E88" i="24"/>
  <c r="F88" i="24"/>
  <c r="A89" i="24"/>
  <c r="B89" i="24"/>
  <c r="C89" i="24"/>
  <c r="D89" i="24"/>
  <c r="E89" i="24"/>
  <c r="F89" i="24"/>
  <c r="A74" i="24"/>
  <c r="B74" i="24"/>
  <c r="C74" i="24"/>
  <c r="D74" i="24"/>
  <c r="E74" i="24"/>
  <c r="F74" i="24"/>
  <c r="A75" i="24"/>
  <c r="B75" i="24"/>
  <c r="C75" i="24"/>
  <c r="D75" i="24"/>
  <c r="E75" i="24"/>
  <c r="F75" i="24"/>
  <c r="A76" i="24"/>
  <c r="B76" i="24"/>
  <c r="C76" i="24"/>
  <c r="D76" i="24"/>
  <c r="E76" i="24"/>
  <c r="F76" i="24"/>
  <c r="A77" i="24"/>
  <c r="B77" i="24"/>
  <c r="C77" i="24"/>
  <c r="D77" i="24"/>
  <c r="E77" i="24"/>
  <c r="F77" i="24"/>
  <c r="A78" i="24"/>
  <c r="B78" i="24"/>
  <c r="C78" i="24"/>
  <c r="D78" i="24"/>
  <c r="E78" i="24"/>
  <c r="F78" i="24"/>
  <c r="A79" i="24"/>
  <c r="B79" i="24"/>
  <c r="C79" i="24"/>
  <c r="D79" i="24"/>
  <c r="E79" i="24"/>
  <c r="F79" i="24"/>
  <c r="A80" i="24"/>
  <c r="B80" i="24"/>
  <c r="C80" i="24"/>
  <c r="D80" i="24"/>
  <c r="E80" i="24"/>
  <c r="F80" i="24"/>
  <c r="A81" i="24"/>
  <c r="B81" i="24"/>
  <c r="C81" i="24"/>
  <c r="D81" i="24"/>
  <c r="E81" i="24"/>
  <c r="F81" i="24"/>
  <c r="A82" i="24"/>
  <c r="B82" i="24"/>
  <c r="C82" i="24"/>
  <c r="D82" i="24"/>
  <c r="E82" i="24"/>
  <c r="F82" i="24"/>
  <c r="A83" i="24"/>
  <c r="B83" i="24"/>
  <c r="C83" i="24"/>
  <c r="D83" i="24"/>
  <c r="E83" i="24"/>
  <c r="F83" i="24"/>
  <c r="A84" i="24"/>
  <c r="B84" i="24"/>
  <c r="C84" i="24"/>
  <c r="D84" i="24"/>
  <c r="E84" i="24"/>
  <c r="F84" i="24"/>
  <c r="A85" i="24"/>
  <c r="B85" i="24"/>
  <c r="C85" i="24"/>
  <c r="D85" i="24"/>
  <c r="E85" i="24"/>
  <c r="F85" i="24"/>
  <c r="A86" i="24"/>
  <c r="B86" i="24"/>
  <c r="C86" i="24"/>
  <c r="D86" i="24"/>
  <c r="E86" i="24"/>
  <c r="F86" i="24"/>
  <c r="A87" i="24"/>
  <c r="B87" i="24"/>
  <c r="C87" i="24"/>
  <c r="D87" i="24"/>
  <c r="E87" i="24"/>
  <c r="F87" i="24"/>
  <c r="B6" i="23"/>
  <c r="A6" i="23"/>
  <c r="B5" i="23"/>
  <c r="A5" i="23"/>
  <c r="B35" i="23"/>
  <c r="A35" i="23"/>
  <c r="B34" i="23"/>
  <c r="A34" i="23"/>
  <c r="X1" i="25"/>
  <c r="X1" i="23"/>
  <c r="F6" i="23" a="1"/>
  <c r="C35" i="23" a="1"/>
  <c r="F34" i="23" a="1"/>
  <c r="C6" i="23" a="1"/>
  <c r="F5" i="23" a="1"/>
  <c r="AC34" i="23" a="1"/>
  <c r="C34" i="23" a="1"/>
  <c r="C5" i="23" a="1"/>
  <c r="AC35" i="23" a="1"/>
  <c r="F35" i="23" a="1"/>
  <c r="AC63" i="26" l="1" a="1"/>
  <c r="X63" i="26" a="1"/>
  <c r="I63" i="26" a="1"/>
  <c r="L63" i="26" s="1"/>
  <c r="H63" i="26" a="1"/>
  <c r="M63" i="26" a="1"/>
  <c r="J63" i="26" a="1"/>
  <c r="F63" i="26" a="1"/>
  <c r="D63" i="26" a="1"/>
  <c r="H62" i="26" a="1"/>
  <c r="X62" i="26" a="1"/>
  <c r="I62" i="26" a="1"/>
  <c r="L62" i="26" s="1"/>
  <c r="AC62" i="26" a="1"/>
  <c r="M62" i="26" a="1"/>
  <c r="J62" i="26" a="1"/>
  <c r="D62" i="26" a="1"/>
  <c r="F62" i="26" a="1"/>
  <c r="H61" i="26" a="1"/>
  <c r="I61" i="26" a="1"/>
  <c r="L61" i="26" s="1"/>
  <c r="X61" i="26" a="1"/>
  <c r="AC61" i="26" a="1"/>
  <c r="M61" i="26" a="1"/>
  <c r="F61" i="26" a="1"/>
  <c r="J61" i="26" a="1"/>
  <c r="D61" i="26" a="1"/>
  <c r="H60" i="26" a="1"/>
  <c r="X60" i="26" a="1"/>
  <c r="AC60" i="26" a="1"/>
  <c r="I60" i="26" a="1"/>
  <c r="L60" i="26" s="1"/>
  <c r="J60" i="26" a="1"/>
  <c r="D60" i="26" a="1"/>
  <c r="M60" i="26" a="1"/>
  <c r="F60" i="26" a="1"/>
  <c r="I59" i="26" a="1"/>
  <c r="L59" i="26" s="1"/>
  <c r="H59" i="26" a="1"/>
  <c r="AC59" i="26" a="1"/>
  <c r="X59" i="26" a="1"/>
  <c r="J59" i="26" a="1"/>
  <c r="M59" i="26" a="1"/>
  <c r="F59" i="26" a="1"/>
  <c r="D59" i="26" a="1"/>
  <c r="AC58" i="26" a="1"/>
  <c r="H58" i="26" a="1"/>
  <c r="I58" i="26" a="1"/>
  <c r="L58" i="26" s="1"/>
  <c r="X58" i="26" a="1"/>
  <c r="J58" i="26" a="1"/>
  <c r="F58" i="26" a="1"/>
  <c r="M58" i="26" a="1"/>
  <c r="D58" i="26" a="1"/>
  <c r="H57" i="26" a="1"/>
  <c r="AC57" i="26" a="1"/>
  <c r="X57" i="26" a="1"/>
  <c r="I57" i="26" a="1"/>
  <c r="L57" i="26" s="1"/>
  <c r="D57" i="26" a="1"/>
  <c r="F57" i="26" a="1"/>
  <c r="M57" i="26" a="1"/>
  <c r="J57" i="26" a="1"/>
  <c r="H56" i="26" a="1"/>
  <c r="AC56" i="26" a="1"/>
  <c r="X56" i="26" a="1"/>
  <c r="I56" i="26" a="1"/>
  <c r="L56" i="26" s="1"/>
  <c r="M56" i="26" a="1"/>
  <c r="F56" i="26" a="1"/>
  <c r="D56" i="26" a="1"/>
  <c r="J56" i="26" a="1"/>
  <c r="X55" i="26" a="1"/>
  <c r="I55" i="26" a="1"/>
  <c r="L55" i="26" s="1"/>
  <c r="AC55" i="26" a="1"/>
  <c r="H55" i="26" a="1"/>
  <c r="F55" i="26" a="1"/>
  <c r="D55" i="26" a="1"/>
  <c r="J55" i="26" a="1"/>
  <c r="M55" i="26" a="1"/>
  <c r="I54" i="26" a="1"/>
  <c r="L54" i="26" s="1"/>
  <c r="X54" i="26" a="1"/>
  <c r="AC54" i="26" a="1"/>
  <c r="H54" i="26" a="1"/>
  <c r="J54" i="26" a="1"/>
  <c r="M54" i="26" a="1"/>
  <c r="F54" i="26" a="1"/>
  <c r="D54" i="26" a="1"/>
  <c r="AC31" i="26" a="1"/>
  <c r="X31" i="26" a="1"/>
  <c r="H31" i="26" a="1"/>
  <c r="I31" i="26" a="1"/>
  <c r="L31" i="26" s="1"/>
  <c r="J31" i="26" a="1"/>
  <c r="D31" i="26" a="1"/>
  <c r="F31" i="26" a="1"/>
  <c r="M31" i="26" a="1"/>
  <c r="I30" i="26" a="1"/>
  <c r="L30" i="26" s="1"/>
  <c r="X30" i="26" a="1"/>
  <c r="AC30" i="26" a="1"/>
  <c r="H30" i="26" a="1"/>
  <c r="F30" i="26" a="1"/>
  <c r="J30" i="26" a="1"/>
  <c r="M30" i="26" a="1"/>
  <c r="D30" i="26" a="1"/>
  <c r="I29" i="26" a="1"/>
  <c r="L29" i="26" s="1"/>
  <c r="AC29" i="26" a="1"/>
  <c r="X29" i="26" a="1"/>
  <c r="H29" i="26" a="1"/>
  <c r="F29" i="26" a="1"/>
  <c r="J29" i="26" a="1"/>
  <c r="M29" i="26" a="1"/>
  <c r="D29" i="26" a="1"/>
  <c r="I28" i="26" a="1"/>
  <c r="L28" i="26" s="1"/>
  <c r="X28" i="26" a="1"/>
  <c r="H28" i="26" a="1"/>
  <c r="AC28" i="26" a="1"/>
  <c r="J28" i="26" a="1"/>
  <c r="F28" i="26" a="1"/>
  <c r="M28" i="26" a="1"/>
  <c r="D28" i="26" a="1"/>
  <c r="X27" i="26" a="1"/>
  <c r="H27" i="26" a="1"/>
  <c r="AC27" i="26" a="1"/>
  <c r="I27" i="26" a="1"/>
  <c r="L27" i="26" s="1"/>
  <c r="F27" i="26" a="1"/>
  <c r="J27" i="26" a="1"/>
  <c r="M27" i="26" a="1"/>
  <c r="D27" i="26" a="1"/>
  <c r="X26" i="26" a="1"/>
  <c r="H26" i="26" a="1"/>
  <c r="AC26" i="26" a="1"/>
  <c r="I26" i="26" a="1"/>
  <c r="L26" i="26" s="1"/>
  <c r="M26" i="26" a="1"/>
  <c r="J26" i="26" a="1"/>
  <c r="F26" i="26" a="1"/>
  <c r="D26" i="26" a="1"/>
  <c r="X25" i="26" a="1"/>
  <c r="I25" i="26" a="1"/>
  <c r="L25" i="26" s="1"/>
  <c r="AC25" i="26" a="1"/>
  <c r="H25" i="26" a="1"/>
  <c r="J25" i="26" a="1"/>
  <c r="D25" i="26" a="1"/>
  <c r="F25" i="26" a="1"/>
  <c r="M25" i="26" a="1"/>
  <c r="H24" i="26" a="1"/>
  <c r="X24" i="26" a="1"/>
  <c r="AC24" i="26" a="1"/>
  <c r="I24" i="26" a="1"/>
  <c r="L24" i="26" s="1"/>
  <c r="M24" i="26" a="1"/>
  <c r="F24" i="26" a="1"/>
  <c r="J24" i="26" a="1"/>
  <c r="D24" i="26" a="1"/>
  <c r="I23" i="26" a="1"/>
  <c r="L23" i="26" s="1"/>
  <c r="X23" i="26" a="1"/>
  <c r="H23" i="26" a="1"/>
  <c r="AC23" i="26" a="1"/>
  <c r="D23" i="26" a="1"/>
  <c r="J23" i="26" a="1"/>
  <c r="M23" i="26" a="1"/>
  <c r="F23" i="26" a="1"/>
  <c r="H22" i="26" a="1"/>
  <c r="AC22" i="26" a="1"/>
  <c r="X22" i="26" a="1"/>
  <c r="I22" i="26" a="1"/>
  <c r="L22" i="26" s="1"/>
  <c r="M22" i="26" a="1"/>
  <c r="F22" i="26" a="1"/>
  <c r="J22" i="26" a="1"/>
  <c r="D22" i="26" a="1"/>
  <c r="I21" i="26" a="1"/>
  <c r="L21" i="26" s="1"/>
  <c r="X21" i="26" a="1"/>
  <c r="AC21" i="26" a="1"/>
  <c r="H21" i="26" a="1"/>
  <c r="F21" i="26" a="1"/>
  <c r="D21" i="26" a="1"/>
  <c r="M21" i="26" a="1"/>
  <c r="J21" i="26" a="1"/>
  <c r="I20" i="26" a="1"/>
  <c r="L20" i="26" s="1"/>
  <c r="X20" i="26" a="1"/>
  <c r="AC20" i="26" a="1"/>
  <c r="H20" i="26" a="1"/>
  <c r="F20" i="26" a="1"/>
  <c r="M20" i="26" a="1"/>
  <c r="J20" i="26" a="1"/>
  <c r="D20" i="26" a="1"/>
  <c r="AC18" i="26" a="1"/>
  <c r="X18" i="26" a="1"/>
  <c r="I18" i="26" a="1"/>
  <c r="L18" i="26" s="1"/>
  <c r="H18" i="26" a="1"/>
  <c r="M18" i="26" a="1"/>
  <c r="J18" i="26" a="1"/>
  <c r="D18" i="26" a="1"/>
  <c r="X17" i="26" a="1"/>
  <c r="AC17" i="26" a="1"/>
  <c r="I17" i="26" a="1"/>
  <c r="L17" i="26" s="1"/>
  <c r="H17" i="26" a="1"/>
  <c r="D17" i="26" a="1"/>
  <c r="J17" i="26" a="1"/>
  <c r="M17" i="26" a="1"/>
  <c r="H16" i="26" a="1"/>
  <c r="X16" i="26" a="1"/>
  <c r="I16" i="26" a="1"/>
  <c r="L16" i="26" s="1"/>
  <c r="AC16" i="26" a="1"/>
  <c r="J16" i="26" a="1"/>
  <c r="D16" i="26" a="1"/>
  <c r="M16" i="26" a="1"/>
  <c r="H15" i="26" a="1"/>
  <c r="I15" i="26" a="1"/>
  <c r="L15" i="26" s="1"/>
  <c r="X15" i="26" a="1"/>
  <c r="AC15" i="26" a="1"/>
  <c r="D15" i="26" a="1"/>
  <c r="J15" i="26" a="1"/>
  <c r="M15" i="26" a="1"/>
  <c r="AC14" i="26" a="1"/>
  <c r="X14" i="26" a="1"/>
  <c r="H14" i="26" a="1"/>
  <c r="I14" i="26" a="1"/>
  <c r="L14" i="26" s="1"/>
  <c r="M14" i="26" a="1"/>
  <c r="D14" i="26" a="1"/>
  <c r="J14" i="26" a="1"/>
  <c r="I13" i="26" a="1"/>
  <c r="L13" i="26" s="1"/>
  <c r="H13" i="26" a="1"/>
  <c r="AC13" i="26" a="1"/>
  <c r="X13" i="26" a="1"/>
  <c r="J13" i="26" a="1"/>
  <c r="D13" i="26" a="1"/>
  <c r="M13" i="26" a="1"/>
  <c r="X12" i="26" a="1"/>
  <c r="AC12" i="26" a="1"/>
  <c r="I12" i="26" a="1"/>
  <c r="L12" i="26" s="1"/>
  <c r="H12" i="26" a="1"/>
  <c r="D12" i="26" a="1"/>
  <c r="M12" i="26" a="1"/>
  <c r="J12" i="26" a="1"/>
  <c r="H11" i="26" a="1"/>
  <c r="I11" i="26" a="1"/>
  <c r="L11" i="26" s="1"/>
  <c r="X11" i="26" a="1"/>
  <c r="AC11" i="26" a="1"/>
  <c r="M11" i="26" a="1"/>
  <c r="D11" i="26" a="1"/>
  <c r="J11" i="26" a="1"/>
  <c r="AC10" i="26" a="1"/>
  <c r="I10" i="26" a="1"/>
  <c r="L10" i="26" s="1"/>
  <c r="X10" i="26" a="1"/>
  <c r="H10" i="26" a="1"/>
  <c r="J10" i="26" a="1"/>
  <c r="D10" i="26" a="1"/>
  <c r="M10" i="26" a="1"/>
  <c r="X9" i="26" a="1"/>
  <c r="AC9" i="26" a="1"/>
  <c r="I9" i="26" a="1"/>
  <c r="L9" i="26" s="1"/>
  <c r="H9" i="26" a="1"/>
  <c r="M9" i="26" a="1"/>
  <c r="D9" i="26" a="1"/>
  <c r="AC8" i="26" a="1"/>
  <c r="H8" i="26" a="1"/>
  <c r="X8" i="26" a="1"/>
  <c r="I8" i="26" a="1"/>
  <c r="L8" i="26" s="1"/>
  <c r="M8" i="26" a="1"/>
  <c r="J8" i="26" a="1"/>
  <c r="D8" i="26" a="1"/>
  <c r="AC7" i="26" a="1"/>
  <c r="X7" i="26" a="1"/>
  <c r="I7" i="26" a="1"/>
  <c r="L7" i="26" s="1"/>
  <c r="H7" i="26" a="1"/>
  <c r="J7" i="26" a="1"/>
  <c r="M7" i="26" a="1"/>
  <c r="D7" i="26" a="1"/>
  <c r="X6" i="26" a="1"/>
  <c r="H6" i="26" a="1"/>
  <c r="I6" i="26" a="1"/>
  <c r="L6" i="26" s="1"/>
  <c r="AC6" i="26" a="1"/>
  <c r="J6" i="26" a="1"/>
  <c r="D6" i="26" a="1"/>
  <c r="M6" i="26" a="1"/>
  <c r="AC5" i="26" a="1"/>
  <c r="H5" i="26" a="1"/>
  <c r="X5" i="26" a="1"/>
  <c r="I5" i="26" a="1"/>
  <c r="L5" i="26" s="1"/>
  <c r="J5" i="26" a="1"/>
  <c r="D5" i="26" a="1"/>
  <c r="M5" i="26" a="1"/>
  <c r="AC52" i="26" a="1"/>
  <c r="X52" i="26" a="1"/>
  <c r="I52" i="26" a="1"/>
  <c r="L52" i="26" s="1"/>
  <c r="H52" i="26" a="1"/>
  <c r="M52" i="26" a="1"/>
  <c r="J52" i="26" a="1"/>
  <c r="D52" i="26" a="1"/>
  <c r="AC51" i="26" a="1"/>
  <c r="I51" i="26" a="1"/>
  <c r="L51" i="26" s="1"/>
  <c r="H51" i="26" a="1"/>
  <c r="X51" i="26" a="1"/>
  <c r="D51" i="26" a="1"/>
  <c r="J51" i="26" a="1"/>
  <c r="M51" i="26" a="1"/>
  <c r="AC50" i="26" a="1"/>
  <c r="X50" i="26" a="1"/>
  <c r="I50" i="26" a="1"/>
  <c r="L50" i="26" s="1"/>
  <c r="H50" i="26" a="1"/>
  <c r="M50" i="26" a="1"/>
  <c r="D50" i="26" a="1"/>
  <c r="J50" i="26" a="1"/>
  <c r="X49" i="26" a="1"/>
  <c r="AC49" i="26" a="1"/>
  <c r="H49" i="26" a="1"/>
  <c r="I49" i="26" a="1"/>
  <c r="L49" i="26" s="1"/>
  <c r="M49" i="26" a="1"/>
  <c r="D49" i="26" a="1"/>
  <c r="J49" i="26" a="1"/>
  <c r="AC48" i="26" a="1"/>
  <c r="X48" i="26" a="1"/>
  <c r="I48" i="26" a="1"/>
  <c r="L48" i="26" s="1"/>
  <c r="H48" i="26" a="1"/>
  <c r="J48" i="26" a="1"/>
  <c r="M48" i="26" a="1"/>
  <c r="D48" i="26" a="1"/>
  <c r="AC47" i="26" a="1"/>
  <c r="I47" i="26" a="1"/>
  <c r="L47" i="26" s="1"/>
  <c r="X47" i="26" a="1"/>
  <c r="H47" i="26" a="1"/>
  <c r="D47" i="26" a="1"/>
  <c r="M47" i="26" a="1"/>
  <c r="J47" i="26" a="1"/>
  <c r="AC46" i="26" a="1"/>
  <c r="H46" i="26" a="1"/>
  <c r="I46" i="26" a="1"/>
  <c r="L46" i="26" s="1"/>
  <c r="X46" i="26" a="1"/>
  <c r="J46" i="26" a="1"/>
  <c r="M46" i="26" a="1"/>
  <c r="D46" i="26" a="1"/>
  <c r="AC45" i="26" a="1"/>
  <c r="H45" i="26" a="1"/>
  <c r="I45" i="26" a="1"/>
  <c r="L45" i="26" s="1"/>
  <c r="X45" i="26" a="1"/>
  <c r="D45" i="26" a="1"/>
  <c r="M45" i="26" a="1"/>
  <c r="J45" i="26" a="1"/>
  <c r="H44" i="26" a="1"/>
  <c r="AC44" i="26" a="1"/>
  <c r="I44" i="26" a="1"/>
  <c r="L44" i="26" s="1"/>
  <c r="X44" i="26" a="1"/>
  <c r="M44" i="26" a="1"/>
  <c r="J44" i="26" a="1"/>
  <c r="D44" i="26" a="1"/>
  <c r="AC43" i="26" a="1"/>
  <c r="X43" i="26" a="1"/>
  <c r="I43" i="26" a="1"/>
  <c r="L43" i="26" s="1"/>
  <c r="H43" i="26" a="1"/>
  <c r="M43" i="26" a="1"/>
  <c r="D43" i="26" a="1"/>
  <c r="J43" i="26" a="1"/>
  <c r="H42" i="26" a="1"/>
  <c r="X42" i="26" a="1"/>
  <c r="AC42" i="26" a="1"/>
  <c r="I42" i="26" a="1"/>
  <c r="L42" i="26" s="1"/>
  <c r="J42" i="26" a="1"/>
  <c r="D42" i="26" a="1"/>
  <c r="M42" i="26" a="1"/>
  <c r="X41" i="26" a="1"/>
  <c r="I41" i="26" a="1"/>
  <c r="L41" i="26" s="1"/>
  <c r="AC41" i="26" a="1"/>
  <c r="H41" i="26" a="1"/>
  <c r="J41" i="26" a="1"/>
  <c r="M41" i="26" a="1"/>
  <c r="D41" i="26" a="1"/>
  <c r="H40" i="26" a="1"/>
  <c r="I40" i="26" a="1"/>
  <c r="L40" i="26" s="1"/>
  <c r="AC40" i="26" a="1"/>
  <c r="X40" i="26" a="1"/>
  <c r="J40" i="26" a="1"/>
  <c r="D40" i="26" a="1"/>
  <c r="M40" i="26" a="1"/>
  <c r="AC39" i="26" a="1"/>
  <c r="X39" i="26" a="1"/>
  <c r="I39" i="26" a="1"/>
  <c r="L39" i="26" s="1"/>
  <c r="H39" i="26" a="1"/>
  <c r="M39" i="26" a="1"/>
  <c r="D39" i="26" a="1"/>
  <c r="J39" i="26" a="1"/>
  <c r="I38" i="26" a="1"/>
  <c r="L38" i="26" s="1"/>
  <c r="X38" i="26" a="1"/>
  <c r="AC38" i="26" a="1"/>
  <c r="H38" i="26" a="1"/>
  <c r="M38" i="26" a="1"/>
  <c r="J38" i="26" a="1"/>
  <c r="D38" i="26" a="1"/>
  <c r="X37" i="26" a="1"/>
  <c r="H37" i="26" a="1"/>
  <c r="I37" i="26" a="1"/>
  <c r="L37" i="26" s="1"/>
  <c r="AC37" i="26" a="1"/>
  <c r="D37" i="26" a="1"/>
  <c r="J37" i="26" a="1"/>
  <c r="M37" i="26" a="1"/>
  <c r="AC36" i="26" a="1"/>
  <c r="X36" i="26" a="1"/>
  <c r="I36" i="26" a="1"/>
  <c r="L36" i="26" s="1"/>
  <c r="H36" i="26" a="1"/>
  <c r="D36" i="26" a="1"/>
  <c r="J36" i="26" a="1"/>
  <c r="M36" i="26" a="1"/>
  <c r="H35" i="26" a="1"/>
  <c r="I35" i="26" a="1"/>
  <c r="L35" i="26" s="1"/>
  <c r="X35" i="26" a="1"/>
  <c r="AC35" i="26" a="1"/>
  <c r="J35" i="26" a="1"/>
  <c r="D35" i="26" a="1"/>
  <c r="M35" i="26" a="1"/>
  <c r="I34" i="26" a="1"/>
  <c r="L34" i="26" s="1"/>
  <c r="X34" i="26" a="1"/>
  <c r="H34" i="26" a="1"/>
  <c r="AC34" i="26" a="1"/>
  <c r="J34" i="26" a="1"/>
  <c r="M34" i="26" a="1"/>
  <c r="X33" i="26" a="1"/>
  <c r="H33" i="26" a="1"/>
  <c r="I33" i="26" a="1"/>
  <c r="L33" i="26" s="1"/>
  <c r="AC33" i="26" a="1"/>
  <c r="M33" i="26" a="1"/>
  <c r="J33" i="26" a="1"/>
  <c r="X30" i="29" a="1"/>
  <c r="I30" i="29" a="1"/>
  <c r="L30" i="29" s="1"/>
  <c r="H30" i="29" a="1"/>
  <c r="AD30" i="29" s="1"/>
  <c r="AE30" i="29" s="1"/>
  <c r="AG30" i="29" s="1"/>
  <c r="AH30" i="29" s="1"/>
  <c r="M30" i="29" a="1"/>
  <c r="J30" i="29" a="1"/>
  <c r="D30" i="29" a="1"/>
  <c r="C30" i="29" a="1"/>
  <c r="F30" i="29" a="1"/>
  <c r="H29" i="29" a="1"/>
  <c r="AD29" i="29" s="1"/>
  <c r="AE29" i="29" s="1"/>
  <c r="AG29" i="29" s="1"/>
  <c r="AH29" i="29" s="1"/>
  <c r="X29" i="29" a="1"/>
  <c r="I29" i="29" a="1"/>
  <c r="L29" i="29" s="1"/>
  <c r="J29" i="29" a="1"/>
  <c r="M29" i="29" a="1"/>
  <c r="C29" i="29" a="1"/>
  <c r="D29" i="29" a="1"/>
  <c r="F29" i="29" a="1"/>
  <c r="X28" i="29" a="1"/>
  <c r="I28" i="29" a="1"/>
  <c r="L28" i="29" s="1"/>
  <c r="H28" i="29" a="1"/>
  <c r="AD28" i="29" s="1"/>
  <c r="AE28" i="29" s="1"/>
  <c r="AG28" i="29" s="1"/>
  <c r="AH28" i="29" s="1"/>
  <c r="M28" i="29" a="1"/>
  <c r="J28" i="29" a="1"/>
  <c r="F28" i="29" a="1"/>
  <c r="D28" i="29" a="1"/>
  <c r="C28" i="29" a="1"/>
  <c r="X27" i="29" a="1"/>
  <c r="I27" i="29" a="1"/>
  <c r="L27" i="29" s="1"/>
  <c r="H27" i="29" a="1"/>
  <c r="AD27" i="29" s="1"/>
  <c r="AE27" i="29" s="1"/>
  <c r="AG27" i="29" s="1"/>
  <c r="AH27" i="29" s="1"/>
  <c r="F27" i="29" a="1"/>
  <c r="D27" i="29" a="1"/>
  <c r="C27" i="29" a="1"/>
  <c r="J27" i="29" a="1"/>
  <c r="M27" i="29" a="1"/>
  <c r="H26" i="29" a="1"/>
  <c r="AD26" i="29" s="1"/>
  <c r="AE26" i="29" s="1"/>
  <c r="AG26" i="29" s="1"/>
  <c r="AH26" i="29" s="1"/>
  <c r="X26" i="29" a="1"/>
  <c r="I26" i="29" a="1"/>
  <c r="L26" i="29" s="1"/>
  <c r="F26" i="29" a="1"/>
  <c r="M26" i="29" a="1"/>
  <c r="J26" i="29" a="1"/>
  <c r="D26" i="29" a="1"/>
  <c r="C26" i="29" a="1"/>
  <c r="H25" i="29" a="1"/>
  <c r="AD25" i="29" s="1"/>
  <c r="AE25" i="29" s="1"/>
  <c r="AG25" i="29" s="1"/>
  <c r="AH25" i="29" s="1"/>
  <c r="X25" i="29" a="1"/>
  <c r="I25" i="29" a="1"/>
  <c r="L25" i="29" s="1"/>
  <c r="M25" i="29" a="1"/>
  <c r="C25" i="29" a="1"/>
  <c r="F25" i="29" a="1"/>
  <c r="D25" i="29" a="1"/>
  <c r="J25" i="29" a="1"/>
  <c r="H24" i="29" a="1"/>
  <c r="AD24" i="29" s="1"/>
  <c r="AE24" i="29" s="1"/>
  <c r="AG24" i="29" s="1"/>
  <c r="AH24" i="29" s="1"/>
  <c r="X24" i="29" a="1"/>
  <c r="I24" i="29" a="1"/>
  <c r="L24" i="29" s="1"/>
  <c r="D24" i="29" a="1"/>
  <c r="M24" i="29" a="1"/>
  <c r="C24" i="29" a="1"/>
  <c r="F24" i="29" a="1"/>
  <c r="J24" i="29" a="1"/>
  <c r="I23" i="29" a="1"/>
  <c r="L23" i="29" s="1"/>
  <c r="X23" i="29" a="1"/>
  <c r="H23" i="29" a="1"/>
  <c r="AD23" i="29" s="1"/>
  <c r="AE23" i="29" s="1"/>
  <c r="AG23" i="29" s="1"/>
  <c r="AH23" i="29" s="1"/>
  <c r="M23" i="29" a="1"/>
  <c r="D23" i="29" a="1"/>
  <c r="F23" i="29" a="1"/>
  <c r="C23" i="29" a="1"/>
  <c r="J23" i="29" a="1"/>
  <c r="X22" i="29" a="1"/>
  <c r="I22" i="29" a="1"/>
  <c r="L22" i="29" s="1"/>
  <c r="H22" i="29" a="1"/>
  <c r="AD22" i="29" s="1"/>
  <c r="AE22" i="29" s="1"/>
  <c r="AG22" i="29" s="1"/>
  <c r="AH22" i="29" s="1"/>
  <c r="D22" i="29" a="1"/>
  <c r="F22" i="29" a="1"/>
  <c r="M22" i="29" a="1"/>
  <c r="C22" i="29" a="1"/>
  <c r="J22" i="29" a="1"/>
  <c r="I21" i="29" a="1"/>
  <c r="L21" i="29" s="1"/>
  <c r="H21" i="29" a="1"/>
  <c r="AD21" i="29" s="1"/>
  <c r="AE21" i="29" s="1"/>
  <c r="AG21" i="29" s="1"/>
  <c r="AH21" i="29" s="1"/>
  <c r="X21" i="29" a="1"/>
  <c r="M21" i="29" a="1"/>
  <c r="C21" i="29" a="1"/>
  <c r="D21" i="29" a="1"/>
  <c r="J21" i="29" a="1"/>
  <c r="F21" i="29" a="1"/>
  <c r="X20" i="29" a="1"/>
  <c r="I20" i="29" a="1"/>
  <c r="L20" i="29" s="1"/>
  <c r="H20" i="29" a="1"/>
  <c r="AD20" i="29" s="1"/>
  <c r="AE20" i="29" s="1"/>
  <c r="AG20" i="29" s="1"/>
  <c r="AH20" i="29" s="1"/>
  <c r="C20" i="29" a="1"/>
  <c r="F20" i="29" a="1"/>
  <c r="J20" i="29" a="1"/>
  <c r="M20" i="29" a="1"/>
  <c r="D20" i="29" a="1"/>
  <c r="I19" i="29" a="1"/>
  <c r="L19" i="29" s="1"/>
  <c r="X19" i="29" a="1"/>
  <c r="H19" i="29" a="1"/>
  <c r="AD19" i="29" s="1"/>
  <c r="AE19" i="29" s="1"/>
  <c r="AG19" i="29" s="1"/>
  <c r="AH19" i="29" s="1"/>
  <c r="M19" i="29" a="1"/>
  <c r="D19" i="29" a="1"/>
  <c r="C19" i="29" a="1"/>
  <c r="J19" i="29" a="1"/>
  <c r="F19" i="29" a="1"/>
  <c r="H18" i="29" a="1"/>
  <c r="AD18" i="29" s="1"/>
  <c r="AE18" i="29" s="1"/>
  <c r="AG18" i="29" s="1"/>
  <c r="AH18" i="29" s="1"/>
  <c r="X18" i="29" a="1"/>
  <c r="I18" i="29" a="1"/>
  <c r="L18" i="29" s="1"/>
  <c r="C18" i="29" a="1"/>
  <c r="M18" i="29" a="1"/>
  <c r="D18" i="29" a="1"/>
  <c r="J18" i="29" a="1"/>
  <c r="F18" i="29" a="1"/>
  <c r="X17" i="29" a="1"/>
  <c r="I17" i="29" a="1"/>
  <c r="L17" i="29" s="1"/>
  <c r="H17" i="29" a="1"/>
  <c r="AD17" i="29" s="1"/>
  <c r="AE17" i="29" s="1"/>
  <c r="AG17" i="29" s="1"/>
  <c r="AH17" i="29" s="1"/>
  <c r="M17" i="29" a="1"/>
  <c r="J17" i="29" a="1"/>
  <c r="F17" i="29" a="1"/>
  <c r="D17" i="29" a="1"/>
  <c r="C17" i="29" a="1"/>
  <c r="I16" i="29" a="1"/>
  <c r="L16" i="29" s="1"/>
  <c r="H16" i="29" a="1"/>
  <c r="AD16" i="29" s="1"/>
  <c r="AE16" i="29" s="1"/>
  <c r="AG16" i="29" s="1"/>
  <c r="AH16" i="29" s="1"/>
  <c r="X16" i="29" a="1"/>
  <c r="D16" i="29" a="1"/>
  <c r="C16" i="29" a="1"/>
  <c r="M16" i="29" a="1"/>
  <c r="J16" i="29" a="1"/>
  <c r="F16" i="29" a="1"/>
  <c r="H15" i="29" a="1"/>
  <c r="AD15" i="29" s="1"/>
  <c r="AE15" i="29" s="1"/>
  <c r="AG15" i="29" s="1"/>
  <c r="AH15" i="29" s="1"/>
  <c r="X15" i="29" a="1"/>
  <c r="I15" i="29" a="1"/>
  <c r="L15" i="29" s="1"/>
  <c r="F15" i="29" a="1"/>
  <c r="D15" i="29" a="1"/>
  <c r="C15" i="29" a="1"/>
  <c r="M15" i="29" a="1"/>
  <c r="J15" i="29" a="1"/>
  <c r="H14" i="29" a="1"/>
  <c r="AD14" i="29" s="1"/>
  <c r="AE14" i="29" s="1"/>
  <c r="AG14" i="29" s="1"/>
  <c r="AH14" i="29" s="1"/>
  <c r="X14" i="29" a="1"/>
  <c r="I14" i="29" a="1"/>
  <c r="L14" i="29" s="1"/>
  <c r="F14" i="29" a="1"/>
  <c r="M14" i="29" a="1"/>
  <c r="C14" i="29" a="1"/>
  <c r="D14" i="29" a="1"/>
  <c r="J14" i="29" a="1"/>
  <c r="H13" i="29" a="1"/>
  <c r="AD13" i="29" s="1"/>
  <c r="AE13" i="29" s="1"/>
  <c r="AG13" i="29" s="1"/>
  <c r="AH13" i="29" s="1"/>
  <c r="I13" i="29" a="1"/>
  <c r="L13" i="29" s="1"/>
  <c r="X13" i="29" a="1"/>
  <c r="F13" i="29" a="1"/>
  <c r="J13" i="29" a="1"/>
  <c r="C13" i="29" a="1"/>
  <c r="D13" i="29" a="1"/>
  <c r="M13" i="29" a="1"/>
  <c r="I12" i="29" a="1"/>
  <c r="L12" i="29" s="1"/>
  <c r="X12" i="29" a="1"/>
  <c r="H12" i="29" a="1"/>
  <c r="AD12" i="29" s="1"/>
  <c r="AE12" i="29" s="1"/>
  <c r="AG12" i="29" s="1"/>
  <c r="AH12" i="29" s="1"/>
  <c r="D12" i="29" a="1"/>
  <c r="C12" i="29" a="1"/>
  <c r="J12" i="29" a="1"/>
  <c r="M12" i="29" a="1"/>
  <c r="F12" i="29" a="1"/>
  <c r="I11" i="29" a="1"/>
  <c r="L11" i="29" s="1"/>
  <c r="H11" i="29" a="1"/>
  <c r="AD11" i="29" s="1"/>
  <c r="AE11" i="29" s="1"/>
  <c r="AG11" i="29" s="1"/>
  <c r="AH11" i="29" s="1"/>
  <c r="X11" i="29" a="1"/>
  <c r="M11" i="29" a="1"/>
  <c r="C11" i="29" a="1"/>
  <c r="F11" i="29" a="1"/>
  <c r="D11" i="29" a="1"/>
  <c r="J11" i="29" a="1"/>
  <c r="X10" i="29" a="1"/>
  <c r="I10" i="29" a="1"/>
  <c r="L10" i="29" s="1"/>
  <c r="H10" i="29" a="1"/>
  <c r="AD10" i="29" s="1"/>
  <c r="AE10" i="29" s="1"/>
  <c r="AG10" i="29" s="1"/>
  <c r="AH10" i="29" s="1"/>
  <c r="M10" i="29" a="1"/>
  <c r="F10" i="29" a="1"/>
  <c r="J10" i="29" a="1"/>
  <c r="D10" i="29" a="1"/>
  <c r="C10" i="29" a="1"/>
  <c r="X9" i="29" a="1"/>
  <c r="H9" i="29" a="1"/>
  <c r="AD9" i="29" s="1"/>
  <c r="AE9" i="29" s="1"/>
  <c r="AG9" i="29" s="1"/>
  <c r="AH9" i="29" s="1"/>
  <c r="I9" i="29" a="1"/>
  <c r="L9" i="29" s="1"/>
  <c r="F9" i="29" a="1"/>
  <c r="D9" i="29" a="1"/>
  <c r="C9" i="29" a="1"/>
  <c r="J9" i="29" a="1"/>
  <c r="M9" i="29" a="1"/>
  <c r="X8" i="29" a="1"/>
  <c r="H8" i="29" a="1"/>
  <c r="AD8" i="29" s="1"/>
  <c r="AE8" i="29" s="1"/>
  <c r="AG8" i="29" s="1"/>
  <c r="AH8" i="29" s="1"/>
  <c r="I8" i="29" a="1"/>
  <c r="L8" i="29" s="1"/>
  <c r="D8" i="29" a="1"/>
  <c r="M8" i="29" a="1"/>
  <c r="C8" i="29" a="1"/>
  <c r="J8" i="29" a="1"/>
  <c r="F8" i="29" a="1"/>
  <c r="I7" i="29" a="1"/>
  <c r="L7" i="29" s="1"/>
  <c r="X7" i="29" a="1"/>
  <c r="H7" i="29" a="1"/>
  <c r="AD7" i="29" s="1"/>
  <c r="AE7" i="29" s="1"/>
  <c r="AG7" i="29" s="1"/>
  <c r="AH7" i="29" s="1"/>
  <c r="F7" i="29" a="1"/>
  <c r="C7" i="29" a="1"/>
  <c r="J7" i="29" a="1"/>
  <c r="D7" i="29" a="1"/>
  <c r="M7" i="29" a="1"/>
  <c r="I6" i="29" a="1"/>
  <c r="L6" i="29" s="1"/>
  <c r="X6" i="29" a="1"/>
  <c r="H6" i="29" a="1"/>
  <c r="AD6" i="29" s="1"/>
  <c r="AE6" i="29" s="1"/>
  <c r="AG6" i="29" s="1"/>
  <c r="AH6" i="29" s="1"/>
  <c r="D6" i="29" a="1"/>
  <c r="C6" i="29" a="1"/>
  <c r="J6" i="29" a="1"/>
  <c r="M6" i="29" a="1"/>
  <c r="F6" i="29" a="1"/>
  <c r="H5" i="29" a="1"/>
  <c r="AD5" i="29" s="1"/>
  <c r="AE5" i="29" s="1"/>
  <c r="AG5" i="29" s="1"/>
  <c r="AH5" i="29" s="1"/>
  <c r="X5" i="29" a="1"/>
  <c r="I5" i="29" a="1"/>
  <c r="L5" i="29" s="1"/>
  <c r="J5" i="29" a="1"/>
  <c r="F5" i="29" a="1"/>
  <c r="C5" i="29" a="1"/>
  <c r="D5" i="29" a="1"/>
  <c r="M5" i="29" a="1"/>
  <c r="O25" i="23"/>
  <c r="O32" i="23"/>
  <c r="O26" i="23"/>
  <c r="O24" i="23"/>
  <c r="O27" i="23"/>
  <c r="O29" i="23"/>
  <c r="O30" i="23"/>
  <c r="O31" i="23"/>
  <c r="K24" i="23"/>
  <c r="N24" i="23" s="1"/>
  <c r="AD24" i="23"/>
  <c r="AE24" i="23" s="1"/>
  <c r="AG24" i="23" s="1"/>
  <c r="AH24" i="23" s="1"/>
  <c r="Y24" i="23"/>
  <c r="Z24" i="23"/>
  <c r="K25" i="23"/>
  <c r="N25" i="23" s="1"/>
  <c r="AD25" i="23"/>
  <c r="AE25" i="23" s="1"/>
  <c r="AG25" i="23" s="1"/>
  <c r="AH25" i="23" s="1"/>
  <c r="Y25" i="23"/>
  <c r="Z25" i="23"/>
  <c r="K26" i="23"/>
  <c r="N26" i="23" s="1"/>
  <c r="AD26" i="23"/>
  <c r="AE26" i="23" s="1"/>
  <c r="AG26" i="23" s="1"/>
  <c r="AH26" i="23" s="1"/>
  <c r="Y26" i="23"/>
  <c r="Z26" i="23"/>
  <c r="K27" i="23"/>
  <c r="N27" i="23" s="1"/>
  <c r="AD27" i="23"/>
  <c r="AE27" i="23" s="1"/>
  <c r="AG27" i="23" s="1"/>
  <c r="AH27" i="23" s="1"/>
  <c r="Y27" i="23"/>
  <c r="Z27" i="23"/>
  <c r="K29" i="23"/>
  <c r="N29" i="23" s="1"/>
  <c r="AD29" i="23"/>
  <c r="AE29" i="23" s="1"/>
  <c r="AG29" i="23" s="1"/>
  <c r="AH29" i="23" s="1"/>
  <c r="Z29" i="23"/>
  <c r="Y29" i="23"/>
  <c r="K30" i="23"/>
  <c r="N30" i="23" s="1"/>
  <c r="AD30" i="23"/>
  <c r="AE30" i="23" s="1"/>
  <c r="AG30" i="23" s="1"/>
  <c r="AH30" i="23" s="1"/>
  <c r="Y30" i="23"/>
  <c r="Z30" i="23"/>
  <c r="K31" i="23"/>
  <c r="N31" i="23" s="1"/>
  <c r="AD31" i="23"/>
  <c r="AE31" i="23" s="1"/>
  <c r="AG31" i="23" s="1"/>
  <c r="AH31" i="23" s="1"/>
  <c r="Y31" i="23"/>
  <c r="Z31" i="23"/>
  <c r="K32" i="23"/>
  <c r="N32" i="23" s="1"/>
  <c r="AD32" i="23"/>
  <c r="AE32" i="23" s="1"/>
  <c r="AG32" i="23" s="1"/>
  <c r="AH32" i="23" s="1"/>
  <c r="Y32" i="23"/>
  <c r="Z32" i="23"/>
  <c r="AC24" i="25" a="1"/>
  <c r="X24" i="25" a="1"/>
  <c r="I24" i="25" a="1"/>
  <c r="L24" i="25" s="1"/>
  <c r="H24" i="25" a="1"/>
  <c r="M24" i="25" a="1"/>
  <c r="J24" i="25" a="1"/>
  <c r="F24" i="25" a="1"/>
  <c r="C24" i="25" a="1"/>
  <c r="D24" i="25" a="1"/>
  <c r="AC23" i="25" a="1"/>
  <c r="X23" i="25" a="1"/>
  <c r="I23" i="25" a="1"/>
  <c r="L23" i="25" s="1"/>
  <c r="H23" i="25" a="1"/>
  <c r="J23" i="25" a="1"/>
  <c r="F23" i="25" a="1"/>
  <c r="D23" i="25" a="1"/>
  <c r="M23" i="25" a="1"/>
  <c r="C23" i="25" a="1"/>
  <c r="AC8" i="25" a="1"/>
  <c r="X8" i="25" a="1"/>
  <c r="I8" i="25" a="1"/>
  <c r="L8" i="25" s="1"/>
  <c r="H8" i="25" a="1"/>
  <c r="M8" i="25" a="1"/>
  <c r="J8" i="25" a="1"/>
  <c r="F8" i="25" a="1"/>
  <c r="D8" i="25" a="1"/>
  <c r="C8" i="25" a="1"/>
  <c r="AC7" i="25" a="1"/>
  <c r="H7" i="25" a="1"/>
  <c r="X7" i="25" a="1"/>
  <c r="I7" i="25" a="1"/>
  <c r="L7" i="25" s="1"/>
  <c r="C7" i="25" a="1"/>
  <c r="M7" i="25" a="1"/>
  <c r="F7" i="25" a="1"/>
  <c r="J7" i="25" a="1"/>
  <c r="D7" i="25" a="1"/>
  <c r="AC6" i="25" a="1"/>
  <c r="X6" i="25" a="1"/>
  <c r="I6" i="25" a="1"/>
  <c r="L6" i="25" s="1"/>
  <c r="H6" i="25" a="1"/>
  <c r="M6" i="25" a="1"/>
  <c r="J6" i="25" a="1"/>
  <c r="F6" i="25" a="1"/>
  <c r="D6" i="25" a="1"/>
  <c r="C6" i="25" a="1"/>
  <c r="AC5" i="25" a="1"/>
  <c r="I5" i="25" a="1"/>
  <c r="L5" i="25" s="1"/>
  <c r="X5" i="25" a="1"/>
  <c r="H5" i="25" a="1"/>
  <c r="J5" i="25" a="1"/>
  <c r="D5" i="25" a="1"/>
  <c r="F5" i="25" a="1"/>
  <c r="M5" i="25" a="1"/>
  <c r="C5" i="25" a="1"/>
  <c r="AC20" i="25" a="1"/>
  <c r="X20" i="25" a="1"/>
  <c r="I20" i="25" a="1"/>
  <c r="L20" i="25" s="1"/>
  <c r="H20" i="25" a="1"/>
  <c r="M20" i="25" a="1"/>
  <c r="J20" i="25" a="1"/>
  <c r="F20" i="25" a="1"/>
  <c r="D20" i="25" a="1"/>
  <c r="C20" i="25" a="1"/>
  <c r="I19" i="25" a="1"/>
  <c r="L19" i="25" s="1"/>
  <c r="H19" i="25" a="1"/>
  <c r="AC19" i="25" a="1"/>
  <c r="X19" i="25" a="1"/>
  <c r="F19" i="25" a="1"/>
  <c r="D19" i="25" a="1"/>
  <c r="J19" i="25" a="1"/>
  <c r="M19" i="25" a="1"/>
  <c r="C19" i="25" a="1"/>
  <c r="H18" i="25" a="1"/>
  <c r="I18" i="25" a="1"/>
  <c r="L18" i="25" s="1"/>
  <c r="AC18" i="25" a="1"/>
  <c r="X18" i="25" a="1"/>
  <c r="D18" i="25" a="1"/>
  <c r="C18" i="25" a="1"/>
  <c r="F18" i="25" a="1"/>
  <c r="M18" i="25" a="1"/>
  <c r="J18" i="25" a="1"/>
  <c r="X17" i="25" a="1"/>
  <c r="AC17" i="25" a="1"/>
  <c r="H17" i="25" a="1"/>
  <c r="I17" i="25" a="1"/>
  <c r="L17" i="25" s="1"/>
  <c r="C17" i="25" a="1"/>
  <c r="F17" i="25" a="1"/>
  <c r="M17" i="25" a="1"/>
  <c r="J17" i="25" a="1"/>
  <c r="D17" i="25" a="1"/>
  <c r="X26" i="25" a="1"/>
  <c r="I26" i="25" a="1"/>
  <c r="L26" i="25" s="1"/>
  <c r="AC26" i="25" a="1"/>
  <c r="H26" i="25" a="1"/>
  <c r="F26" i="25" a="1"/>
  <c r="J26" i="25" a="1"/>
  <c r="D26" i="25" a="1"/>
  <c r="M26" i="25" a="1"/>
  <c r="C26" i="25" a="1"/>
  <c r="AC25" i="25" a="1"/>
  <c r="I25" i="25" a="1"/>
  <c r="L25" i="25" s="1"/>
  <c r="X25" i="25" a="1"/>
  <c r="H25" i="25" a="1"/>
  <c r="D25" i="25" a="1"/>
  <c r="J25" i="25" a="1"/>
  <c r="M25" i="25" a="1"/>
  <c r="F25" i="25" a="1"/>
  <c r="C25" i="25" a="1"/>
  <c r="X16" i="25" a="1"/>
  <c r="I16" i="25" a="1"/>
  <c r="L16" i="25" s="1"/>
  <c r="H16" i="25" a="1"/>
  <c r="AC16" i="25" a="1"/>
  <c r="M16" i="25" a="1"/>
  <c r="D16" i="25" a="1"/>
  <c r="F16" i="25" a="1"/>
  <c r="C16" i="25" a="1"/>
  <c r="J16" i="25" a="1"/>
  <c r="X15" i="25" a="1"/>
  <c r="H15" i="25" a="1"/>
  <c r="AC15" i="25" a="1"/>
  <c r="I15" i="25" a="1"/>
  <c r="L15" i="25" s="1"/>
  <c r="D15" i="25" a="1"/>
  <c r="C15" i="25" a="1"/>
  <c r="M15" i="25" a="1"/>
  <c r="F15" i="25" a="1"/>
  <c r="J15" i="25" a="1"/>
  <c r="AC14" i="25" a="1"/>
  <c r="X14" i="25" a="1"/>
  <c r="I14" i="25" a="1"/>
  <c r="L14" i="25" s="1"/>
  <c r="H14" i="25" a="1"/>
  <c r="M14" i="25" a="1"/>
  <c r="J14" i="25" a="1"/>
  <c r="F14" i="25" a="1"/>
  <c r="D14" i="25" a="1"/>
  <c r="C14" i="25" a="1"/>
  <c r="AC13" i="25" a="1"/>
  <c r="X13" i="25" a="1"/>
  <c r="I13" i="25" a="1"/>
  <c r="L13" i="25" s="1"/>
  <c r="H13" i="25" a="1"/>
  <c r="M13" i="25" a="1"/>
  <c r="J13" i="25" a="1"/>
  <c r="F13" i="25" a="1"/>
  <c r="D13" i="25" a="1"/>
  <c r="C13" i="25" a="1"/>
  <c r="X10" i="25" a="1"/>
  <c r="AC10" i="25" a="1"/>
  <c r="I10" i="25" a="1"/>
  <c r="L10" i="25" s="1"/>
  <c r="H10" i="25" a="1"/>
  <c r="M10" i="25" a="1"/>
  <c r="F10" i="25" a="1"/>
  <c r="C10" i="25" a="1"/>
  <c r="J10" i="25" a="1"/>
  <c r="D10" i="25" a="1"/>
  <c r="AC9" i="25" a="1"/>
  <c r="H9" i="25" a="1"/>
  <c r="I9" i="25" a="1"/>
  <c r="L9" i="25" s="1"/>
  <c r="X9" i="25" a="1"/>
  <c r="F9" i="25" a="1"/>
  <c r="D9" i="25" a="1"/>
  <c r="J9" i="25" a="1"/>
  <c r="M9" i="25" a="1"/>
  <c r="C9" i="25" a="1"/>
  <c r="X22" i="25" a="1"/>
  <c r="AC22" i="25" a="1"/>
  <c r="I22" i="25" a="1"/>
  <c r="L22" i="25" s="1"/>
  <c r="H22" i="25" a="1"/>
  <c r="M22" i="25" a="1"/>
  <c r="F22" i="25" a="1"/>
  <c r="C22" i="25" a="1"/>
  <c r="D22" i="25" a="1"/>
  <c r="J22" i="25" a="1"/>
  <c r="AC21" i="25" a="1"/>
  <c r="X21" i="25" a="1"/>
  <c r="I21" i="25" a="1"/>
  <c r="L21" i="25" s="1"/>
  <c r="H21" i="25" a="1"/>
  <c r="J21" i="25" a="1"/>
  <c r="F21" i="25" a="1"/>
  <c r="C21" i="25" a="1"/>
  <c r="M21" i="25" a="1"/>
  <c r="D21" i="25" a="1"/>
  <c r="AC12" i="25" a="1"/>
  <c r="I12" i="25" a="1"/>
  <c r="L12" i="25" s="1"/>
  <c r="X12" i="25" a="1"/>
  <c r="H12" i="25" a="1"/>
  <c r="D12" i="25" a="1"/>
  <c r="C12" i="25" a="1"/>
  <c r="J12" i="25" a="1"/>
  <c r="F12" i="25" a="1"/>
  <c r="M12" i="25" a="1"/>
  <c r="H11" i="25" a="1"/>
  <c r="I11" i="25" a="1"/>
  <c r="L11" i="25" s="1"/>
  <c r="X11" i="25" a="1"/>
  <c r="AC11" i="25" a="1"/>
  <c r="D11" i="25" a="1"/>
  <c r="F11" i="25" a="1"/>
  <c r="J11" i="25" a="1"/>
  <c r="M11" i="25" a="1"/>
  <c r="C11" i="25" a="1"/>
  <c r="A2" i="24"/>
  <c r="B2" i="24"/>
  <c r="C2" i="24"/>
  <c r="D2" i="24"/>
  <c r="E2" i="24"/>
  <c r="F2" i="24"/>
  <c r="A3" i="24"/>
  <c r="B3" i="24"/>
  <c r="C3" i="24"/>
  <c r="D3" i="24"/>
  <c r="E3" i="24"/>
  <c r="F3" i="24"/>
  <c r="A4" i="24"/>
  <c r="B4" i="24"/>
  <c r="C4" i="24"/>
  <c r="D4" i="24"/>
  <c r="E4" i="24"/>
  <c r="F4" i="24"/>
  <c r="A5" i="24"/>
  <c r="B5" i="24"/>
  <c r="C5" i="24"/>
  <c r="D5" i="24"/>
  <c r="E5" i="24"/>
  <c r="F5" i="24"/>
  <c r="A6" i="24"/>
  <c r="B6" i="24"/>
  <c r="C6" i="24"/>
  <c r="D6" i="24"/>
  <c r="E6" i="24"/>
  <c r="F6" i="24"/>
  <c r="A7" i="24"/>
  <c r="B7" i="24"/>
  <c r="C7" i="24"/>
  <c r="D7" i="24"/>
  <c r="E7" i="24"/>
  <c r="F7" i="24"/>
  <c r="A8" i="24"/>
  <c r="B8" i="24"/>
  <c r="C8" i="24"/>
  <c r="D8" i="24"/>
  <c r="E8" i="24"/>
  <c r="F8" i="24"/>
  <c r="A9" i="24"/>
  <c r="B9" i="24"/>
  <c r="C9" i="24"/>
  <c r="D9" i="24"/>
  <c r="E9" i="24"/>
  <c r="F9" i="24"/>
  <c r="A10" i="24"/>
  <c r="B10" i="24"/>
  <c r="C10" i="24"/>
  <c r="D10" i="24"/>
  <c r="E10" i="24"/>
  <c r="F10" i="24"/>
  <c r="A11" i="24"/>
  <c r="B11" i="24"/>
  <c r="C11" i="24"/>
  <c r="D11" i="24"/>
  <c r="E11" i="24"/>
  <c r="F11" i="24"/>
  <c r="A12" i="24"/>
  <c r="B12" i="24"/>
  <c r="C12" i="24"/>
  <c r="D12" i="24"/>
  <c r="E12" i="24"/>
  <c r="F12" i="24"/>
  <c r="A13" i="24"/>
  <c r="B13" i="24"/>
  <c r="C13" i="24"/>
  <c r="D13" i="24"/>
  <c r="E13" i="24"/>
  <c r="F13" i="24"/>
  <c r="A14" i="24"/>
  <c r="B14" i="24"/>
  <c r="C14" i="24"/>
  <c r="D14" i="24"/>
  <c r="E14" i="24"/>
  <c r="F14" i="24"/>
  <c r="A15" i="24"/>
  <c r="B15" i="24"/>
  <c r="C15" i="24"/>
  <c r="D15" i="24"/>
  <c r="E15" i="24"/>
  <c r="F15" i="24"/>
  <c r="A16" i="24"/>
  <c r="B16" i="24"/>
  <c r="C16" i="24"/>
  <c r="D16" i="24"/>
  <c r="E16" i="24"/>
  <c r="F16" i="24"/>
  <c r="A17" i="24"/>
  <c r="B17" i="24"/>
  <c r="C17" i="24"/>
  <c r="D17" i="24"/>
  <c r="E17" i="24"/>
  <c r="F17" i="24"/>
  <c r="A18" i="24"/>
  <c r="B18" i="24"/>
  <c r="C18" i="24"/>
  <c r="D18" i="24"/>
  <c r="E18" i="24"/>
  <c r="F18" i="24"/>
  <c r="A19" i="24"/>
  <c r="B19" i="24"/>
  <c r="C19" i="24"/>
  <c r="D19" i="24"/>
  <c r="E19" i="24"/>
  <c r="F19" i="24"/>
  <c r="A20" i="24"/>
  <c r="B20" i="24"/>
  <c r="C20" i="24"/>
  <c r="D20" i="24"/>
  <c r="E20" i="24"/>
  <c r="F20" i="24"/>
  <c r="A21" i="24"/>
  <c r="B21" i="24"/>
  <c r="C21" i="24"/>
  <c r="D21" i="24"/>
  <c r="E21" i="24"/>
  <c r="F21" i="24"/>
  <c r="A22" i="24"/>
  <c r="B22" i="24"/>
  <c r="C22" i="24"/>
  <c r="D22" i="24"/>
  <c r="E22" i="24"/>
  <c r="F22" i="24"/>
  <c r="A23" i="24"/>
  <c r="B23" i="24"/>
  <c r="C23" i="24"/>
  <c r="D23" i="24"/>
  <c r="E23" i="24"/>
  <c r="F23" i="24"/>
  <c r="A24" i="24"/>
  <c r="B24" i="24"/>
  <c r="C24" i="24"/>
  <c r="D24" i="24"/>
  <c r="E24" i="24"/>
  <c r="F24" i="24"/>
  <c r="A25" i="24"/>
  <c r="B25" i="24"/>
  <c r="C25" i="24"/>
  <c r="D25" i="24"/>
  <c r="E25" i="24"/>
  <c r="F25" i="24"/>
  <c r="A26" i="24"/>
  <c r="B26" i="24"/>
  <c r="C26" i="24"/>
  <c r="D26" i="24"/>
  <c r="E26" i="24"/>
  <c r="F26" i="24"/>
  <c r="S26" i="24" s="1"/>
  <c r="T26" i="24" s="1"/>
  <c r="A27" i="24"/>
  <c r="B27" i="24"/>
  <c r="C27" i="24"/>
  <c r="D27" i="24"/>
  <c r="E27" i="24"/>
  <c r="F27" i="24"/>
  <c r="A28" i="24"/>
  <c r="B28" i="24"/>
  <c r="C28" i="24"/>
  <c r="D28" i="24"/>
  <c r="E28" i="24"/>
  <c r="F28" i="24"/>
  <c r="A29" i="24"/>
  <c r="B29" i="24"/>
  <c r="C29" i="24"/>
  <c r="D29" i="24"/>
  <c r="E29" i="24"/>
  <c r="F29" i="24"/>
  <c r="A30" i="24"/>
  <c r="B30" i="24"/>
  <c r="C30" i="24"/>
  <c r="D30" i="24"/>
  <c r="E30" i="24"/>
  <c r="F30" i="24"/>
  <c r="A31" i="24"/>
  <c r="B31" i="24"/>
  <c r="C31" i="24"/>
  <c r="D31" i="24"/>
  <c r="E31" i="24"/>
  <c r="F31" i="24"/>
  <c r="A32" i="24"/>
  <c r="B32" i="24"/>
  <c r="C32" i="24"/>
  <c r="D32" i="24"/>
  <c r="E32" i="24"/>
  <c r="F32" i="24"/>
  <c r="A33" i="24"/>
  <c r="B33" i="24"/>
  <c r="C33" i="24"/>
  <c r="D33" i="24"/>
  <c r="E33" i="24"/>
  <c r="F33" i="24"/>
  <c r="A34" i="24"/>
  <c r="B34" i="24"/>
  <c r="C34" i="24"/>
  <c r="D34" i="24"/>
  <c r="E34" i="24"/>
  <c r="F34" i="24"/>
  <c r="A35" i="24"/>
  <c r="B35" i="24"/>
  <c r="C35" i="24"/>
  <c r="D35" i="24"/>
  <c r="E35" i="24"/>
  <c r="F35" i="24"/>
  <c r="A36" i="24"/>
  <c r="B36" i="24"/>
  <c r="C36" i="24"/>
  <c r="D36" i="24"/>
  <c r="E36" i="24"/>
  <c r="F36" i="24"/>
  <c r="A37" i="24"/>
  <c r="B37" i="24"/>
  <c r="C37" i="24"/>
  <c r="D37" i="24"/>
  <c r="E37" i="24"/>
  <c r="F37" i="24"/>
  <c r="A38" i="24"/>
  <c r="B38" i="24"/>
  <c r="C38" i="24"/>
  <c r="D38" i="24"/>
  <c r="E38" i="24"/>
  <c r="F38" i="24"/>
  <c r="A39" i="24"/>
  <c r="B39" i="24"/>
  <c r="C39" i="24"/>
  <c r="D39" i="24"/>
  <c r="E39" i="24"/>
  <c r="F39" i="24"/>
  <c r="A40" i="24"/>
  <c r="B40" i="24"/>
  <c r="C40" i="24"/>
  <c r="D40" i="24"/>
  <c r="E40" i="24"/>
  <c r="F40" i="24"/>
  <c r="A41" i="24"/>
  <c r="B41" i="24"/>
  <c r="C41" i="24"/>
  <c r="D41" i="24"/>
  <c r="E41" i="24"/>
  <c r="F41" i="24"/>
  <c r="A42" i="24"/>
  <c r="B42" i="24"/>
  <c r="C42" i="24"/>
  <c r="D42" i="24"/>
  <c r="E42" i="24"/>
  <c r="F42" i="24"/>
  <c r="A43" i="24"/>
  <c r="B43" i="24"/>
  <c r="C43" i="24"/>
  <c r="D43" i="24"/>
  <c r="E43" i="24"/>
  <c r="F43" i="24"/>
  <c r="A44" i="24"/>
  <c r="B44" i="24"/>
  <c r="C44" i="24"/>
  <c r="D44" i="24"/>
  <c r="E44" i="24"/>
  <c r="F44" i="24"/>
  <c r="A45" i="24"/>
  <c r="B45" i="24"/>
  <c r="C45" i="24"/>
  <c r="D45" i="24"/>
  <c r="E45" i="24"/>
  <c r="F45" i="24"/>
  <c r="A46" i="24"/>
  <c r="B46" i="24"/>
  <c r="C46" i="24"/>
  <c r="D46" i="24"/>
  <c r="E46" i="24"/>
  <c r="F46" i="24"/>
  <c r="A47" i="24"/>
  <c r="B47" i="24"/>
  <c r="C47" i="24"/>
  <c r="D47" i="24"/>
  <c r="E47" i="24"/>
  <c r="F47" i="24"/>
  <c r="A48" i="24"/>
  <c r="B48" i="24"/>
  <c r="C48" i="24"/>
  <c r="D48" i="24"/>
  <c r="E48" i="24"/>
  <c r="F48" i="24"/>
  <c r="A49" i="24"/>
  <c r="B49" i="24"/>
  <c r="C49" i="24"/>
  <c r="D49" i="24"/>
  <c r="E49" i="24"/>
  <c r="F49" i="24"/>
  <c r="A50" i="24"/>
  <c r="B50" i="24"/>
  <c r="C50" i="24"/>
  <c r="D50" i="24"/>
  <c r="E50" i="24"/>
  <c r="F50" i="24"/>
  <c r="A51" i="24"/>
  <c r="B51" i="24"/>
  <c r="C51" i="24"/>
  <c r="D51" i="24"/>
  <c r="E51" i="24"/>
  <c r="F51" i="24"/>
  <c r="A52" i="24"/>
  <c r="B52" i="24"/>
  <c r="C52" i="24"/>
  <c r="D52" i="24"/>
  <c r="E52" i="24"/>
  <c r="F52" i="24"/>
  <c r="A53" i="24"/>
  <c r="B53" i="24"/>
  <c r="C53" i="24"/>
  <c r="D53" i="24"/>
  <c r="E53" i="24"/>
  <c r="F53" i="24"/>
  <c r="A54" i="24"/>
  <c r="B54" i="24"/>
  <c r="C54" i="24"/>
  <c r="D54" i="24"/>
  <c r="E54" i="24"/>
  <c r="F54" i="24"/>
  <c r="A55" i="24"/>
  <c r="B55" i="24"/>
  <c r="C55" i="24"/>
  <c r="D55" i="24"/>
  <c r="E55" i="24"/>
  <c r="F55" i="24"/>
  <c r="A56" i="24"/>
  <c r="B56" i="24"/>
  <c r="C56" i="24"/>
  <c r="D56" i="24"/>
  <c r="E56" i="24"/>
  <c r="F56" i="24"/>
  <c r="A57" i="24"/>
  <c r="B57" i="24"/>
  <c r="C57" i="24"/>
  <c r="D57" i="24"/>
  <c r="E57" i="24"/>
  <c r="F57" i="24"/>
  <c r="A58" i="24"/>
  <c r="B58" i="24"/>
  <c r="C58" i="24"/>
  <c r="D58" i="24"/>
  <c r="E58" i="24"/>
  <c r="F58" i="24"/>
  <c r="A59" i="24"/>
  <c r="B59" i="24"/>
  <c r="C59" i="24"/>
  <c r="D59" i="24"/>
  <c r="E59" i="24"/>
  <c r="F59" i="24"/>
  <c r="A60" i="24"/>
  <c r="B60" i="24"/>
  <c r="C60" i="24"/>
  <c r="D60" i="24"/>
  <c r="E60" i="24"/>
  <c r="F60" i="24"/>
  <c r="A61" i="24"/>
  <c r="B61" i="24"/>
  <c r="C61" i="24"/>
  <c r="D61" i="24"/>
  <c r="E61" i="24"/>
  <c r="F61" i="24"/>
  <c r="A62" i="24"/>
  <c r="B62" i="24"/>
  <c r="C62" i="24"/>
  <c r="D62" i="24"/>
  <c r="E62" i="24"/>
  <c r="F62" i="24"/>
  <c r="A63" i="24"/>
  <c r="B63" i="24"/>
  <c r="C63" i="24"/>
  <c r="D63" i="24"/>
  <c r="E63" i="24"/>
  <c r="F63" i="24"/>
  <c r="A64" i="24"/>
  <c r="B64" i="24"/>
  <c r="C64" i="24"/>
  <c r="D64" i="24"/>
  <c r="E64" i="24"/>
  <c r="F64" i="24"/>
  <c r="A65" i="24"/>
  <c r="B65" i="24"/>
  <c r="C65" i="24"/>
  <c r="D65" i="24"/>
  <c r="E65" i="24"/>
  <c r="F65" i="24"/>
  <c r="A66" i="24"/>
  <c r="B66" i="24"/>
  <c r="C66" i="24"/>
  <c r="D66" i="24"/>
  <c r="E66" i="24"/>
  <c r="F66" i="24"/>
  <c r="A67" i="24"/>
  <c r="B67" i="24"/>
  <c r="C67" i="24"/>
  <c r="D67" i="24"/>
  <c r="E67" i="24"/>
  <c r="F67" i="24"/>
  <c r="A68" i="24"/>
  <c r="B68" i="24"/>
  <c r="C68" i="24"/>
  <c r="D68" i="24"/>
  <c r="E68" i="24"/>
  <c r="F68" i="24"/>
  <c r="A69" i="24"/>
  <c r="B69" i="24"/>
  <c r="C69" i="24"/>
  <c r="D69" i="24"/>
  <c r="E69" i="24"/>
  <c r="F69" i="24"/>
  <c r="A70" i="24"/>
  <c r="B70" i="24"/>
  <c r="C70" i="24"/>
  <c r="D70" i="24"/>
  <c r="E70" i="24"/>
  <c r="F70" i="24"/>
  <c r="A71" i="24"/>
  <c r="B71" i="24"/>
  <c r="C71" i="24"/>
  <c r="D71" i="24"/>
  <c r="E71" i="24"/>
  <c r="F71" i="24"/>
  <c r="A72" i="24"/>
  <c r="B72" i="24"/>
  <c r="C72" i="24"/>
  <c r="D72" i="24"/>
  <c r="E72" i="24"/>
  <c r="F72" i="24"/>
  <c r="A73" i="24"/>
  <c r="B73" i="24"/>
  <c r="C73" i="24"/>
  <c r="D73" i="24"/>
  <c r="E73" i="24"/>
  <c r="F73" i="24"/>
  <c r="B1" i="24"/>
  <c r="C1" i="24"/>
  <c r="D1" i="24"/>
  <c r="E1" i="24"/>
  <c r="F1" i="24"/>
  <c r="A1" i="24"/>
  <c r="B6" i="15" a="1"/>
  <c r="B18" i="23"/>
  <c r="B17" i="23"/>
  <c r="B14" i="23"/>
  <c r="B13" i="23"/>
  <c r="B43" i="23"/>
  <c r="B42" i="23"/>
  <c r="B39" i="23"/>
  <c r="B38" i="23"/>
  <c r="A18" i="23"/>
  <c r="A17" i="23"/>
  <c r="A14" i="23"/>
  <c r="A13" i="23"/>
  <c r="A43" i="23"/>
  <c r="A42" i="23"/>
  <c r="A39" i="23"/>
  <c r="A38" i="23"/>
  <c r="B22" i="23"/>
  <c r="A22" i="23"/>
  <c r="B21" i="23"/>
  <c r="A21" i="23"/>
  <c r="B20" i="23"/>
  <c r="A20" i="23"/>
  <c r="B19" i="23"/>
  <c r="A19" i="23"/>
  <c r="B16" i="23"/>
  <c r="A16" i="23"/>
  <c r="B15" i="23"/>
  <c r="A15" i="23"/>
  <c r="B12" i="23"/>
  <c r="A12" i="23"/>
  <c r="B11" i="23"/>
  <c r="A11" i="23"/>
  <c r="B10" i="23"/>
  <c r="A10" i="23"/>
  <c r="B9" i="23"/>
  <c r="A9" i="23"/>
  <c r="B8" i="23"/>
  <c r="A8" i="23"/>
  <c r="B7" i="23"/>
  <c r="A7" i="23"/>
  <c r="B41" i="23"/>
  <c r="A41" i="23"/>
  <c r="B40" i="23"/>
  <c r="A40" i="23"/>
  <c r="B37" i="23"/>
  <c r="A37" i="23"/>
  <c r="B36" i="23"/>
  <c r="A36" i="23"/>
  <c r="B45" i="23"/>
  <c r="A45" i="23"/>
  <c r="B44" i="23"/>
  <c r="A44" i="23"/>
  <c r="B49" i="23"/>
  <c r="A49" i="23"/>
  <c r="B48" i="23"/>
  <c r="A48" i="23"/>
  <c r="B51" i="23"/>
  <c r="A51" i="23"/>
  <c r="B50" i="23"/>
  <c r="A50" i="23"/>
  <c r="B47" i="23"/>
  <c r="A47" i="23"/>
  <c r="B46" i="23"/>
  <c r="A46" i="23"/>
  <c r="B18" i="20"/>
  <c r="B17" i="20"/>
  <c r="B16" i="20"/>
  <c r="B15" i="20"/>
  <c r="B14" i="20"/>
  <c r="B13" i="20"/>
  <c r="B12" i="20"/>
  <c r="B11" i="20"/>
  <c r="B10" i="20"/>
  <c r="B9" i="20"/>
  <c r="B8" i="20"/>
  <c r="B7" i="20"/>
  <c r="B6" i="20"/>
  <c r="B5" i="20"/>
  <c r="A18" i="20"/>
  <c r="A17" i="20"/>
  <c r="A16" i="20"/>
  <c r="A15" i="20"/>
  <c r="A14" i="20"/>
  <c r="A13" i="20"/>
  <c r="A12" i="20"/>
  <c r="A11" i="20"/>
  <c r="A10" i="20"/>
  <c r="A9" i="20"/>
  <c r="A8" i="20"/>
  <c r="A7" i="20"/>
  <c r="A6" i="20"/>
  <c r="A5" i="20"/>
  <c r="X1" i="20"/>
  <c r="B2" i="15" a="1"/>
  <c r="M10" i="20" a="1"/>
  <c r="AC16" i="23" a="1"/>
  <c r="M17" i="23" a="1"/>
  <c r="I18" i="20" a="1"/>
  <c r="AC13" i="20" a="1"/>
  <c r="I13" i="20" a="1"/>
  <c r="M46" i="23" a="1"/>
  <c r="AC18" i="23" a="1"/>
  <c r="H35" i="23" a="1"/>
  <c r="M19" i="23" a="1"/>
  <c r="I41" i="23" a="1"/>
  <c r="AC14" i="23" a="1"/>
  <c r="H39" i="23" a="1"/>
  <c r="AC9" i="20" a="1"/>
  <c r="H7" i="20" a="1"/>
  <c r="H11" i="20" a="1"/>
  <c r="X6" i="20" a="1"/>
  <c r="I49" i="23" a="1"/>
  <c r="H10" i="20" a="1"/>
  <c r="X48" i="23" a="1"/>
  <c r="M34" i="23" a="1"/>
  <c r="AC46" i="23" a="1"/>
  <c r="M15" i="23" a="1"/>
  <c r="I9" i="20" a="1"/>
  <c r="H16" i="23" a="1"/>
  <c r="AC8" i="20" a="1"/>
  <c r="H22" i="23" a="1"/>
  <c r="M39" i="23" a="1"/>
  <c r="H7" i="23" a="1"/>
  <c r="AC7" i="23" a="1"/>
  <c r="I39" i="23" a="1"/>
  <c r="H20" i="23" a="1"/>
  <c r="M5" i="20" a="1"/>
  <c r="I37" i="23" a="1"/>
  <c r="I42" i="23" a="1"/>
  <c r="AC12" i="20" a="1"/>
  <c r="X39" i="23" a="1"/>
  <c r="X38" i="23" a="1"/>
  <c r="X13" i="23" a="1"/>
  <c r="X15" i="23" a="1"/>
  <c r="X15" i="20" a="1"/>
  <c r="AC22" i="23" a="1"/>
  <c r="H42" i="23" a="1"/>
  <c r="X42" i="23" a="1"/>
  <c r="X51" i="23" a="1"/>
  <c r="AC21" i="23" a="1"/>
  <c r="M7" i="20" a="1"/>
  <c r="I5" i="23" a="1"/>
  <c r="X12" i="23" a="1"/>
  <c r="AC10" i="23" a="1"/>
  <c r="M21" i="23" a="1"/>
  <c r="H10" i="23" a="1"/>
  <c r="M11" i="23" a="1"/>
  <c r="I10" i="23" a="1"/>
  <c r="M36" i="23" a="1"/>
  <c r="I9" i="23" a="1"/>
  <c r="AC49" i="23" a="1"/>
  <c r="I16" i="23" a="1"/>
  <c r="M14" i="20" a="1"/>
  <c r="M13" i="20" a="1"/>
  <c r="M15" i="20" a="1"/>
  <c r="M16" i="20" a="1"/>
  <c r="M5" i="23" a="1"/>
  <c r="Z5" i="23" s="1"/>
  <c r="I22" i="23" a="1"/>
  <c r="AC11" i="23" a="1"/>
  <c r="H9" i="23" a="1"/>
  <c r="I48" i="23" a="1"/>
  <c r="X14" i="23" a="1"/>
  <c r="AC39" i="23" a="1"/>
  <c r="AC38" i="23" a="1"/>
  <c r="AC9" i="23" a="1"/>
  <c r="AC19" i="23" a="1"/>
  <c r="X45" i="23" a="1"/>
  <c r="AC12" i="23" a="1"/>
  <c r="H6" i="20" a="1"/>
  <c r="J5" i="23" a="1"/>
  <c r="M17" i="20" a="1"/>
  <c r="J34" i="23" a="1"/>
  <c r="X44" i="23" a="1"/>
  <c r="I47" i="23" a="1"/>
  <c r="I43" i="23" a="1"/>
  <c r="H8" i="20" a="1"/>
  <c r="M47" i="23" a="1"/>
  <c r="AC16" i="20" a="1"/>
  <c r="I36" i="23" a="1"/>
  <c r="D35" i="23" a="1"/>
  <c r="I13" i="23" a="1"/>
  <c r="I14" i="20" a="1"/>
  <c r="M18" i="23" a="1"/>
  <c r="H44" i="23" a="1"/>
  <c r="AC44" i="23" a="1"/>
  <c r="AC17" i="23" a="1"/>
  <c r="H38" i="23" a="1"/>
  <c r="X11" i="23" a="1"/>
  <c r="AC50" i="23" a="1"/>
  <c r="H9" i="20" a="1"/>
  <c r="I11" i="20" a="1"/>
  <c r="M38" i="23" a="1"/>
  <c r="AC20" i="23" a="1"/>
  <c r="X20" i="23" a="1"/>
  <c r="H17" i="23" a="1"/>
  <c r="X9" i="20" a="1"/>
  <c r="H45" i="23" a="1"/>
  <c r="AC48" i="23" a="1"/>
  <c r="M51" i="23" a="1"/>
  <c r="M6" i="20" a="1"/>
  <c r="I50" i="23" a="1"/>
  <c r="H36" i="23" a="1"/>
  <c r="H41" i="23" a="1"/>
  <c r="AC17" i="20" a="1"/>
  <c r="I16" i="20" a="1"/>
  <c r="M6" i="23" a="1"/>
  <c r="Z6" i="23" s="1"/>
  <c r="M13" i="23" a="1"/>
  <c r="AC5" i="20" a="1"/>
  <c r="H17" i="20" a="1"/>
  <c r="I12" i="20" a="1"/>
  <c r="H8" i="23" a="1"/>
  <c r="X10" i="23" a="1"/>
  <c r="X16" i="20" a="1"/>
  <c r="AC11" i="20" a="1"/>
  <c r="H15" i="20" a="1"/>
  <c r="X18" i="23" a="1"/>
  <c r="AC10" i="20" a="1"/>
  <c r="X50" i="23" a="1"/>
  <c r="X41" i="23" a="1"/>
  <c r="AC45" i="23" a="1"/>
  <c r="I5" i="20" a="1"/>
  <c r="H51" i="23" a="1"/>
  <c r="D6" i="23" a="1"/>
  <c r="I6" i="20" a="1"/>
  <c r="X18" i="20" a="1"/>
  <c r="I14" i="23" a="1"/>
  <c r="M12" i="23" a="1"/>
  <c r="X7" i="20" a="1"/>
  <c r="AC15" i="23" a="1"/>
  <c r="H13" i="20" a="1"/>
  <c r="X17" i="20" a="1"/>
  <c r="AC40" i="23" a="1"/>
  <c r="X22" i="23" a="1"/>
  <c r="X16" i="23" a="1"/>
  <c r="I34" i="23" a="1"/>
  <c r="M9" i="20" a="1"/>
  <c r="I45" i="23" a="1"/>
  <c r="I19" i="23" a="1"/>
  <c r="AC36" i="23" a="1"/>
  <c r="M42" i="23" a="1"/>
  <c r="I11" i="23" a="1"/>
  <c r="AC6" i="20" a="1"/>
  <c r="I15" i="23" a="1"/>
  <c r="X12" i="20" a="1"/>
  <c r="M37" i="23" a="1"/>
  <c r="I21" i="23" a="1"/>
  <c r="H49" i="23" a="1"/>
  <c r="H47" i="23" a="1"/>
  <c r="I10" i="20" a="1"/>
  <c r="AC42" i="23" a="1"/>
  <c r="I51" i="23" a="1"/>
  <c r="AC47" i="23" a="1"/>
  <c r="H12" i="20" a="1"/>
  <c r="M11" i="20" a="1"/>
  <c r="AC51" i="23" a="1"/>
  <c r="H37" i="23" a="1"/>
  <c r="X21" i="23" a="1"/>
  <c r="M20" i="23" a="1"/>
  <c r="X46" i="23" a="1"/>
  <c r="M18" i="20" a="1"/>
  <c r="M50" i="23" a="1"/>
  <c r="H6" i="23" a="1"/>
  <c r="H14" i="20" a="1"/>
  <c r="J35" i="23" a="1"/>
  <c r="I17" i="20" a="1"/>
  <c r="H43" i="23" a="1"/>
  <c r="X10" i="20" a="1"/>
  <c r="I12" i="23" a="1"/>
  <c r="M9" i="23" a="1"/>
  <c r="AC43" i="23" a="1"/>
  <c r="AC7" i="20" a="1"/>
  <c r="H21" i="23" a="1"/>
  <c r="H18" i="20" a="1"/>
  <c r="D34" i="23" a="1"/>
  <c r="M40" i="23" a="1"/>
  <c r="H40" i="23" a="1"/>
  <c r="M43" i="23" a="1"/>
  <c r="M44" i="23" a="1"/>
  <c r="M35" i="23" a="1"/>
  <c r="I8" i="23" a="1"/>
  <c r="M7" i="23" a="1"/>
  <c r="M8" i="20" a="1"/>
  <c r="H16" i="20" a="1"/>
  <c r="H50" i="23" a="1"/>
  <c r="X8" i="20" a="1"/>
  <c r="X13" i="20" a="1"/>
  <c r="I8" i="20" a="1"/>
  <c r="X36" i="23" a="1"/>
  <c r="H13" i="23" a="1"/>
  <c r="X37" i="23" a="1"/>
  <c r="H11" i="23" a="1"/>
  <c r="M12" i="20" a="1"/>
  <c r="M10" i="23" a="1"/>
  <c r="M45" i="23" a="1"/>
  <c r="H19" i="23" a="1"/>
  <c r="X47" i="23" a="1"/>
  <c r="AC41" i="23" a="1"/>
  <c r="AC18" i="20" a="1"/>
  <c r="M41" i="23" a="1"/>
  <c r="H5" i="23" a="1"/>
  <c r="AC37" i="23" a="1"/>
  <c r="I17" i="23" a="1"/>
  <c r="M48" i="23" a="1"/>
  <c r="I44" i="23" a="1"/>
  <c r="M16" i="23" a="1"/>
  <c r="D5" i="23" a="1"/>
  <c r="AC8" i="23" a="1"/>
  <c r="H46" i="23" a="1"/>
  <c r="J6" i="23" a="1"/>
  <c r="AC15" i="20" a="1"/>
  <c r="X49" i="23" a="1"/>
  <c r="X40" i="23" a="1"/>
  <c r="H15" i="23" a="1"/>
  <c r="AC13" i="23" a="1"/>
  <c r="I7" i="23" a="1"/>
  <c r="I35" i="23" a="1"/>
  <c r="I6" i="23" a="1"/>
  <c r="H14" i="23" a="1"/>
  <c r="I40" i="23" a="1"/>
  <c r="I15" i="20" a="1"/>
  <c r="H5" i="20" a="1"/>
  <c r="H34" i="23" a="1"/>
  <c r="H48" i="23" a="1"/>
  <c r="I38" i="23" a="1"/>
  <c r="X9" i="23" a="1"/>
  <c r="I20" i="23" a="1"/>
  <c r="X34" i="23" a="1"/>
  <c r="M14" i="23" a="1"/>
  <c r="X11" i="20" a="1"/>
  <c r="M8" i="23" a="1"/>
  <c r="I46" i="23" a="1"/>
  <c r="H18" i="23" a="1"/>
  <c r="I18" i="23" a="1"/>
  <c r="X14" i="20" a="1"/>
  <c r="X19" i="23" a="1"/>
  <c r="H12" i="23" a="1"/>
  <c r="I7" i="20" a="1"/>
  <c r="X35" i="23" a="1"/>
  <c r="X5" i="20" a="1"/>
  <c r="M49" i="23" a="1"/>
  <c r="AC14" i="20" a="1"/>
  <c r="X43" i="23" a="1"/>
  <c r="X7" i="23" a="1"/>
  <c r="X17" i="23" a="1"/>
  <c r="M22" i="23" a="1"/>
  <c r="X8" i="23" a="1"/>
  <c r="O49" i="26" l="1"/>
  <c r="O60" i="26"/>
  <c r="O59" i="26"/>
  <c r="O58" i="26"/>
  <c r="O54" i="26"/>
  <c r="O27" i="26"/>
  <c r="O61" i="26"/>
  <c r="O55" i="26"/>
  <c r="O26" i="26"/>
  <c r="O63" i="26"/>
  <c r="O62" i="26"/>
  <c r="Y63" i="26"/>
  <c r="Z63" i="26"/>
  <c r="K63" i="26"/>
  <c r="N63" i="26" s="1"/>
  <c r="AD63" i="26"/>
  <c r="AE63" i="26" s="1"/>
  <c r="AG63" i="26" s="1"/>
  <c r="AH63" i="26" s="1"/>
  <c r="K62" i="26"/>
  <c r="N62" i="26" s="1"/>
  <c r="AD62" i="26"/>
  <c r="AE62" i="26" s="1"/>
  <c r="AG62" i="26" s="1"/>
  <c r="AH62" i="26" s="1"/>
  <c r="Y62" i="26"/>
  <c r="Z62" i="26"/>
  <c r="AA62" i="26" s="1"/>
  <c r="K61" i="26"/>
  <c r="N61" i="26" s="1"/>
  <c r="AD61" i="26"/>
  <c r="AE61" i="26" s="1"/>
  <c r="AG61" i="26" s="1"/>
  <c r="AH61" i="26" s="1"/>
  <c r="Y61" i="26"/>
  <c r="Z61" i="26"/>
  <c r="K60" i="26"/>
  <c r="N60" i="26" s="1"/>
  <c r="AD60" i="26"/>
  <c r="AE60" i="26" s="1"/>
  <c r="AG60" i="26" s="1"/>
  <c r="AH60" i="26" s="1"/>
  <c r="Y60" i="26"/>
  <c r="Z60" i="26"/>
  <c r="AA60" i="26" s="1"/>
  <c r="K59" i="26"/>
  <c r="N59" i="26" s="1"/>
  <c r="AD59" i="26"/>
  <c r="AE59" i="26" s="1"/>
  <c r="AG59" i="26" s="1"/>
  <c r="AH59" i="26" s="1"/>
  <c r="Z59" i="26"/>
  <c r="Y59" i="26"/>
  <c r="K58" i="26"/>
  <c r="N58" i="26" s="1"/>
  <c r="AD58" i="26"/>
  <c r="AE58" i="26" s="1"/>
  <c r="AG58" i="26" s="1"/>
  <c r="AH58" i="26" s="1"/>
  <c r="Y58" i="26"/>
  <c r="Z58" i="26"/>
  <c r="AA58" i="26" s="1"/>
  <c r="K57" i="26"/>
  <c r="N57" i="26" s="1"/>
  <c r="AD57" i="26"/>
  <c r="AE57" i="26" s="1"/>
  <c r="AG57" i="26" s="1"/>
  <c r="AH57" i="26" s="1"/>
  <c r="Z57" i="26"/>
  <c r="Y57" i="26"/>
  <c r="K56" i="26"/>
  <c r="N56" i="26" s="1"/>
  <c r="AD56" i="26"/>
  <c r="AE56" i="26" s="1"/>
  <c r="AG56" i="26" s="1"/>
  <c r="AH56" i="26" s="1"/>
  <c r="Z56" i="26"/>
  <c r="AA56" i="26" s="1"/>
  <c r="Y56" i="26"/>
  <c r="Z55" i="26"/>
  <c r="Y55" i="26"/>
  <c r="AD55" i="26"/>
  <c r="AE55" i="26" s="1"/>
  <c r="AG55" i="26" s="1"/>
  <c r="AH55" i="26" s="1"/>
  <c r="K55" i="26"/>
  <c r="N55" i="26" s="1"/>
  <c r="Z54" i="26"/>
  <c r="AA54" i="26" s="1"/>
  <c r="Y54" i="26"/>
  <c r="K54" i="26"/>
  <c r="N54" i="26" s="1"/>
  <c r="AD54" i="26"/>
  <c r="AE54" i="26" s="1"/>
  <c r="AG54" i="26" s="1"/>
  <c r="AH54" i="26" s="1"/>
  <c r="O31" i="26"/>
  <c r="O23" i="26"/>
  <c r="O15" i="26"/>
  <c r="O28" i="26"/>
  <c r="O57" i="26"/>
  <c r="O56" i="26"/>
  <c r="O29" i="26"/>
  <c r="O24" i="26"/>
  <c r="O22" i="26"/>
  <c r="O21" i="26"/>
  <c r="O30" i="26"/>
  <c r="O25" i="26"/>
  <c r="O20" i="26"/>
  <c r="Y31" i="26"/>
  <c r="Z31" i="26"/>
  <c r="K31" i="26"/>
  <c r="N31" i="26" s="1"/>
  <c r="AD31" i="26"/>
  <c r="AE31" i="26" s="1"/>
  <c r="AG31" i="26" s="1"/>
  <c r="AH31" i="26" s="1"/>
  <c r="Y30" i="26"/>
  <c r="Z30" i="26"/>
  <c r="AA30" i="26" s="1"/>
  <c r="K30" i="26"/>
  <c r="N30" i="26" s="1"/>
  <c r="AD30" i="26"/>
  <c r="AE30" i="26" s="1"/>
  <c r="AG30" i="26" s="1"/>
  <c r="AH30" i="26" s="1"/>
  <c r="Y29" i="26"/>
  <c r="Z29" i="26"/>
  <c r="K29" i="26"/>
  <c r="N29" i="26" s="1"/>
  <c r="AD29" i="26"/>
  <c r="AE29" i="26" s="1"/>
  <c r="AG29" i="26" s="1"/>
  <c r="AH29" i="26" s="1"/>
  <c r="Y28" i="26"/>
  <c r="Z28" i="26"/>
  <c r="AA28" i="26" s="1"/>
  <c r="AD28" i="26"/>
  <c r="AE28" i="26" s="1"/>
  <c r="AG28" i="26" s="1"/>
  <c r="AH28" i="26" s="1"/>
  <c r="K28" i="26"/>
  <c r="N28" i="26" s="1"/>
  <c r="Z27" i="26"/>
  <c r="Y27" i="26"/>
  <c r="AD27" i="26"/>
  <c r="AE27" i="26" s="1"/>
  <c r="AG27" i="26" s="1"/>
  <c r="AH27" i="26" s="1"/>
  <c r="K27" i="26"/>
  <c r="N27" i="26" s="1"/>
  <c r="Y26" i="26"/>
  <c r="Z26" i="26"/>
  <c r="AA26" i="26" s="1"/>
  <c r="AD26" i="26"/>
  <c r="AE26" i="26" s="1"/>
  <c r="AG26" i="26" s="1"/>
  <c r="AH26" i="26" s="1"/>
  <c r="K26" i="26"/>
  <c r="N26" i="26" s="1"/>
  <c r="Y25" i="26"/>
  <c r="Z25" i="26"/>
  <c r="K25" i="26"/>
  <c r="N25" i="26" s="1"/>
  <c r="AD25" i="26"/>
  <c r="AE25" i="26" s="1"/>
  <c r="AG25" i="26" s="1"/>
  <c r="AH25" i="26" s="1"/>
  <c r="AD24" i="26"/>
  <c r="AE24" i="26" s="1"/>
  <c r="AG24" i="26" s="1"/>
  <c r="AH24" i="26" s="1"/>
  <c r="K24" i="26"/>
  <c r="N24" i="26" s="1"/>
  <c r="Z24" i="26"/>
  <c r="AA24" i="26" s="1"/>
  <c r="Y24" i="26"/>
  <c r="Z23" i="26"/>
  <c r="Y23" i="26"/>
  <c r="K23" i="26"/>
  <c r="N23" i="26" s="1"/>
  <c r="AD23" i="26"/>
  <c r="AE23" i="26" s="1"/>
  <c r="AG23" i="26" s="1"/>
  <c r="AH23" i="26" s="1"/>
  <c r="K22" i="26"/>
  <c r="N22" i="26" s="1"/>
  <c r="AD22" i="26"/>
  <c r="AE22" i="26" s="1"/>
  <c r="AG22" i="26" s="1"/>
  <c r="AH22" i="26" s="1"/>
  <c r="Y22" i="26"/>
  <c r="Z22" i="26"/>
  <c r="AA22" i="26" s="1"/>
  <c r="Y21" i="26"/>
  <c r="Z21" i="26"/>
  <c r="AD21" i="26"/>
  <c r="AE21" i="26" s="1"/>
  <c r="AG21" i="26" s="1"/>
  <c r="AH21" i="26" s="1"/>
  <c r="K21" i="26"/>
  <c r="N21" i="26" s="1"/>
  <c r="Y20" i="26"/>
  <c r="Z20" i="26"/>
  <c r="AA20" i="26" s="1"/>
  <c r="K20" i="26"/>
  <c r="N20" i="26" s="1"/>
  <c r="AD20" i="26"/>
  <c r="AE20" i="26" s="1"/>
  <c r="AG20" i="26" s="1"/>
  <c r="AH20" i="26" s="1"/>
  <c r="O17" i="26"/>
  <c r="O13" i="26"/>
  <c r="O18" i="26"/>
  <c r="O16" i="26"/>
  <c r="O14" i="26"/>
  <c r="O11" i="26"/>
  <c r="O10" i="26"/>
  <c r="O7" i="26"/>
  <c r="O8" i="26"/>
  <c r="O6" i="26"/>
  <c r="O12" i="26"/>
  <c r="O9" i="26"/>
  <c r="O5" i="26"/>
  <c r="Y18" i="26"/>
  <c r="Z18" i="26"/>
  <c r="K18" i="26"/>
  <c r="N18" i="26" s="1"/>
  <c r="AD18" i="26"/>
  <c r="AE18" i="26" s="1"/>
  <c r="AG18" i="26" s="1"/>
  <c r="AH18" i="26" s="1"/>
  <c r="Y17" i="26"/>
  <c r="Z17" i="26"/>
  <c r="AA17" i="26" s="1"/>
  <c r="K17" i="26"/>
  <c r="N17" i="26" s="1"/>
  <c r="AD17" i="26"/>
  <c r="AE17" i="26" s="1"/>
  <c r="AG17" i="26" s="1"/>
  <c r="AH17" i="26" s="1"/>
  <c r="AD16" i="26"/>
  <c r="AE16" i="26" s="1"/>
  <c r="AG16" i="26" s="1"/>
  <c r="AH16" i="26" s="1"/>
  <c r="K16" i="26"/>
  <c r="N16" i="26" s="1"/>
  <c r="Z16" i="26"/>
  <c r="Y16" i="26"/>
  <c r="K15" i="26"/>
  <c r="N15" i="26" s="1"/>
  <c r="AD15" i="26"/>
  <c r="AE15" i="26" s="1"/>
  <c r="AG15" i="26" s="1"/>
  <c r="AH15" i="26" s="1"/>
  <c r="Y15" i="26"/>
  <c r="Z15" i="26"/>
  <c r="AA15" i="26" s="1"/>
  <c r="Y14" i="26"/>
  <c r="Z14" i="26"/>
  <c r="K14" i="26"/>
  <c r="N14" i="26" s="1"/>
  <c r="AD14" i="26"/>
  <c r="AE14" i="26" s="1"/>
  <c r="AG14" i="26" s="1"/>
  <c r="AH14" i="26" s="1"/>
  <c r="K13" i="26"/>
  <c r="N13" i="26" s="1"/>
  <c r="AD13" i="26"/>
  <c r="AE13" i="26" s="1"/>
  <c r="AG13" i="26" s="1"/>
  <c r="AH13" i="26" s="1"/>
  <c r="Y13" i="26"/>
  <c r="Z13" i="26"/>
  <c r="AA13" i="26" s="1"/>
  <c r="Z12" i="26"/>
  <c r="Y12" i="26"/>
  <c r="K12" i="26"/>
  <c r="N12" i="26" s="1"/>
  <c r="AD12" i="26"/>
  <c r="AE12" i="26" s="1"/>
  <c r="AG12" i="26" s="1"/>
  <c r="AH12" i="26" s="1"/>
  <c r="K11" i="26"/>
  <c r="N11" i="26" s="1"/>
  <c r="AD11" i="26"/>
  <c r="AE11" i="26" s="1"/>
  <c r="AG11" i="26" s="1"/>
  <c r="AH11" i="26" s="1"/>
  <c r="Y11" i="26"/>
  <c r="Z11" i="26"/>
  <c r="AA11" i="26" s="1"/>
  <c r="Z10" i="26"/>
  <c r="Y10" i="26"/>
  <c r="AD10" i="26"/>
  <c r="AE10" i="26" s="1"/>
  <c r="AG10" i="26" s="1"/>
  <c r="AH10" i="26" s="1"/>
  <c r="K10" i="26"/>
  <c r="N10" i="26" s="1"/>
  <c r="Z9" i="26"/>
  <c r="AA9" i="26" s="1"/>
  <c r="Y9" i="26"/>
  <c r="K9" i="26"/>
  <c r="N9" i="26" s="1"/>
  <c r="AD9" i="26"/>
  <c r="AE9" i="26" s="1"/>
  <c r="AG9" i="26" s="1"/>
  <c r="AH9" i="26" s="1"/>
  <c r="AD8" i="26"/>
  <c r="AE8" i="26" s="1"/>
  <c r="AG8" i="26" s="1"/>
  <c r="AH8" i="26" s="1"/>
  <c r="K8" i="26"/>
  <c r="N8" i="26" s="1"/>
  <c r="Z8" i="26"/>
  <c r="Y8" i="26"/>
  <c r="Y7" i="26"/>
  <c r="Z7" i="26"/>
  <c r="AA7" i="26" s="1"/>
  <c r="AD7" i="26"/>
  <c r="AE7" i="26" s="1"/>
  <c r="AG7" i="26" s="1"/>
  <c r="AH7" i="26" s="1"/>
  <c r="K7" i="26"/>
  <c r="N7" i="26" s="1"/>
  <c r="Y6" i="26"/>
  <c r="Z6" i="26"/>
  <c r="K6" i="26"/>
  <c r="N6" i="26" s="1"/>
  <c r="AD6" i="26"/>
  <c r="AE6" i="26" s="1"/>
  <c r="AG6" i="26" s="1"/>
  <c r="AH6" i="26" s="1"/>
  <c r="K5" i="26"/>
  <c r="N5" i="26" s="1"/>
  <c r="AD5" i="26"/>
  <c r="AE5" i="26" s="1"/>
  <c r="AG5" i="26" s="1"/>
  <c r="AH5" i="26" s="1"/>
  <c r="Z5" i="26"/>
  <c r="AA5" i="26" s="1"/>
  <c r="Y5" i="26"/>
  <c r="O45" i="26"/>
  <c r="O52" i="26"/>
  <c r="O46" i="26"/>
  <c r="O47" i="26"/>
  <c r="O41" i="26"/>
  <c r="O43" i="26"/>
  <c r="O37" i="26"/>
  <c r="O51" i="26"/>
  <c r="O50" i="26"/>
  <c r="O42" i="26"/>
  <c r="O38" i="26"/>
  <c r="O36" i="26"/>
  <c r="O48" i="26"/>
  <c r="O44" i="26"/>
  <c r="O39" i="26"/>
  <c r="O35" i="26"/>
  <c r="O34" i="26"/>
  <c r="O33" i="26"/>
  <c r="O40" i="26"/>
  <c r="Y52" i="26"/>
  <c r="Z52" i="26"/>
  <c r="K52" i="26"/>
  <c r="N52" i="26" s="1"/>
  <c r="AD52" i="26"/>
  <c r="AE52" i="26" s="1"/>
  <c r="AG52" i="26" s="1"/>
  <c r="AH52" i="26" s="1"/>
  <c r="AD51" i="26"/>
  <c r="AE51" i="26" s="1"/>
  <c r="AG51" i="26" s="1"/>
  <c r="AH51" i="26" s="1"/>
  <c r="K51" i="26"/>
  <c r="N51" i="26" s="1"/>
  <c r="Z51" i="26"/>
  <c r="AA51" i="26" s="1"/>
  <c r="Y51" i="26"/>
  <c r="Y50" i="26"/>
  <c r="Z50" i="26"/>
  <c r="K50" i="26"/>
  <c r="N50" i="26" s="1"/>
  <c r="AD50" i="26"/>
  <c r="AE50" i="26" s="1"/>
  <c r="AG50" i="26" s="1"/>
  <c r="AH50" i="26" s="1"/>
  <c r="Y49" i="26"/>
  <c r="Z49" i="26"/>
  <c r="AA49" i="26" s="1"/>
  <c r="AD49" i="26"/>
  <c r="AE49" i="26" s="1"/>
  <c r="AG49" i="26" s="1"/>
  <c r="AH49" i="26" s="1"/>
  <c r="K49" i="26"/>
  <c r="N49" i="26" s="1"/>
  <c r="Y48" i="26"/>
  <c r="Z48" i="26"/>
  <c r="K48" i="26"/>
  <c r="N48" i="26" s="1"/>
  <c r="AD48" i="26"/>
  <c r="AE48" i="26" s="1"/>
  <c r="AG48" i="26" s="1"/>
  <c r="AH48" i="26" s="1"/>
  <c r="Y47" i="26"/>
  <c r="Z47" i="26"/>
  <c r="AA47" i="26" s="1"/>
  <c r="AD47" i="26"/>
  <c r="AE47" i="26" s="1"/>
  <c r="AG47" i="26" s="1"/>
  <c r="AH47" i="26" s="1"/>
  <c r="K47" i="26"/>
  <c r="N47" i="26" s="1"/>
  <c r="K46" i="26"/>
  <c r="N46" i="26" s="1"/>
  <c r="AD46" i="26"/>
  <c r="AE46" i="26" s="1"/>
  <c r="AG46" i="26" s="1"/>
  <c r="AH46" i="26" s="1"/>
  <c r="Y46" i="26"/>
  <c r="Z46" i="26"/>
  <c r="K45" i="26"/>
  <c r="N45" i="26" s="1"/>
  <c r="AD45" i="26"/>
  <c r="AE45" i="26" s="1"/>
  <c r="AG45" i="26" s="1"/>
  <c r="AH45" i="26" s="1"/>
  <c r="Y45" i="26"/>
  <c r="Z45" i="26"/>
  <c r="AA45" i="26" s="1"/>
  <c r="K44" i="26"/>
  <c r="N44" i="26" s="1"/>
  <c r="AD44" i="26"/>
  <c r="AE44" i="26" s="1"/>
  <c r="AG44" i="26" s="1"/>
  <c r="AH44" i="26" s="1"/>
  <c r="Y44" i="26"/>
  <c r="Z44" i="26"/>
  <c r="Y43" i="26"/>
  <c r="Z43" i="26"/>
  <c r="AA43" i="26" s="1"/>
  <c r="K43" i="26"/>
  <c r="N43" i="26" s="1"/>
  <c r="AD43" i="26"/>
  <c r="AE43" i="26" s="1"/>
  <c r="AG43" i="26" s="1"/>
  <c r="AH43" i="26" s="1"/>
  <c r="AD42" i="26"/>
  <c r="AE42" i="26" s="1"/>
  <c r="AG42" i="26" s="1"/>
  <c r="AH42" i="26" s="1"/>
  <c r="K42" i="26"/>
  <c r="N42" i="26" s="1"/>
  <c r="Z42" i="26"/>
  <c r="Y42" i="26"/>
  <c r="Y41" i="26"/>
  <c r="Z41" i="26"/>
  <c r="AA41" i="26" s="1"/>
  <c r="AD41" i="26"/>
  <c r="AE41" i="26" s="1"/>
  <c r="AG41" i="26" s="1"/>
  <c r="AH41" i="26" s="1"/>
  <c r="K41" i="26"/>
  <c r="N41" i="26" s="1"/>
  <c r="K40" i="26"/>
  <c r="N40" i="26" s="1"/>
  <c r="AD40" i="26"/>
  <c r="AE40" i="26" s="1"/>
  <c r="AG40" i="26" s="1"/>
  <c r="AH40" i="26" s="1"/>
  <c r="Z40" i="26"/>
  <c r="Y40" i="26"/>
  <c r="Z39" i="26"/>
  <c r="AA39" i="26" s="1"/>
  <c r="Y39" i="26"/>
  <c r="K39" i="26"/>
  <c r="N39" i="26" s="1"/>
  <c r="AD39" i="26"/>
  <c r="AE39" i="26" s="1"/>
  <c r="AG39" i="26" s="1"/>
  <c r="AH39" i="26" s="1"/>
  <c r="Y38" i="26"/>
  <c r="Z38" i="26"/>
  <c r="AD38" i="26"/>
  <c r="AE38" i="26" s="1"/>
  <c r="AG38" i="26" s="1"/>
  <c r="AH38" i="26" s="1"/>
  <c r="K38" i="26"/>
  <c r="N38" i="26" s="1"/>
  <c r="Y37" i="26"/>
  <c r="Z37" i="26"/>
  <c r="AA37" i="26" s="1"/>
  <c r="K37" i="26"/>
  <c r="N37" i="26" s="1"/>
  <c r="AD37" i="26"/>
  <c r="AE37" i="26" s="1"/>
  <c r="AG37" i="26" s="1"/>
  <c r="AH37" i="26" s="1"/>
  <c r="Y36" i="26"/>
  <c r="Z36" i="26"/>
  <c r="K36" i="26"/>
  <c r="N36" i="26" s="1"/>
  <c r="AD36" i="26"/>
  <c r="AE36" i="26" s="1"/>
  <c r="AG36" i="26" s="1"/>
  <c r="AH36" i="26" s="1"/>
  <c r="K35" i="26"/>
  <c r="N35" i="26" s="1"/>
  <c r="AD35" i="26"/>
  <c r="AE35" i="26" s="1"/>
  <c r="AG35" i="26" s="1"/>
  <c r="AH35" i="26" s="1"/>
  <c r="Z35" i="26"/>
  <c r="AA35" i="26" s="1"/>
  <c r="Y35" i="26"/>
  <c r="Z34" i="26"/>
  <c r="Y34" i="26"/>
  <c r="K34" i="26"/>
  <c r="N34" i="26" s="1"/>
  <c r="AD34" i="26"/>
  <c r="AE34" i="26" s="1"/>
  <c r="AG34" i="26" s="1"/>
  <c r="AH34" i="26" s="1"/>
  <c r="Y33" i="26"/>
  <c r="Z33" i="26"/>
  <c r="AA33" i="26" s="1"/>
  <c r="AD33" i="26"/>
  <c r="AE33" i="26" s="1"/>
  <c r="AG33" i="26" s="1"/>
  <c r="AH33" i="26" s="1"/>
  <c r="K33" i="26"/>
  <c r="N33" i="26" s="1"/>
  <c r="AI27" i="29"/>
  <c r="AI24" i="29"/>
  <c r="AH1" i="29"/>
  <c r="AI11" i="29"/>
  <c r="AI15" i="29"/>
  <c r="AI8" i="29"/>
  <c r="AI21" i="29"/>
  <c r="AI5" i="29"/>
  <c r="O25" i="29"/>
  <c r="K30" i="29"/>
  <c r="N30" i="29" s="1"/>
  <c r="K29" i="29"/>
  <c r="N29" i="29" s="1"/>
  <c r="K28" i="29"/>
  <c r="N28" i="29" s="1"/>
  <c r="K27" i="29"/>
  <c r="N27" i="29" s="1"/>
  <c r="K26" i="29"/>
  <c r="N26" i="29" s="1"/>
  <c r="K25" i="29"/>
  <c r="N25" i="29" s="1"/>
  <c r="K24" i="29"/>
  <c r="N24" i="29" s="1"/>
  <c r="K23" i="29"/>
  <c r="N23" i="29" s="1"/>
  <c r="K22" i="29"/>
  <c r="N22" i="29" s="1"/>
  <c r="K21" i="29"/>
  <c r="N21" i="29" s="1"/>
  <c r="K20" i="29"/>
  <c r="N20" i="29" s="1"/>
  <c r="K19" i="29"/>
  <c r="N19" i="29" s="1"/>
  <c r="K18" i="29"/>
  <c r="N18" i="29" s="1"/>
  <c r="K17" i="29"/>
  <c r="N17" i="29" s="1"/>
  <c r="K16" i="29"/>
  <c r="N16" i="29" s="1"/>
  <c r="K15" i="29"/>
  <c r="N15" i="29" s="1"/>
  <c r="K14" i="29"/>
  <c r="N14" i="29" s="1"/>
  <c r="K13" i="29"/>
  <c r="N13" i="29" s="1"/>
  <c r="K12" i="29"/>
  <c r="N12" i="29" s="1"/>
  <c r="K11" i="29"/>
  <c r="N11" i="29" s="1"/>
  <c r="K10" i="29"/>
  <c r="N10" i="29" s="1"/>
  <c r="K9" i="29"/>
  <c r="N9" i="29" s="1"/>
  <c r="K8" i="29"/>
  <c r="N8" i="29" s="1"/>
  <c r="K7" i="29"/>
  <c r="N7" i="29" s="1"/>
  <c r="K6" i="29"/>
  <c r="N6" i="29" s="1"/>
  <c r="K5" i="29"/>
  <c r="N5" i="29" s="1"/>
  <c r="O29" i="29"/>
  <c r="O30" i="29"/>
  <c r="O27" i="29"/>
  <c r="O21" i="29"/>
  <c r="O23" i="29"/>
  <c r="O14" i="29"/>
  <c r="O24" i="29"/>
  <c r="O19" i="29"/>
  <c r="O26" i="29"/>
  <c r="O22" i="29"/>
  <c r="O20" i="29"/>
  <c r="O12" i="29"/>
  <c r="O10" i="29"/>
  <c r="O6" i="29"/>
  <c r="O15" i="29"/>
  <c r="O11" i="29"/>
  <c r="O16" i="29"/>
  <c r="O9" i="29"/>
  <c r="O28" i="29"/>
  <c r="O17" i="29"/>
  <c r="O8" i="29"/>
  <c r="O18" i="29"/>
  <c r="O5" i="29"/>
  <c r="O7" i="29"/>
  <c r="Y30" i="29"/>
  <c r="Z30" i="29"/>
  <c r="Z29" i="29"/>
  <c r="Y29" i="29"/>
  <c r="Y28" i="29"/>
  <c r="Z28" i="29"/>
  <c r="Y27" i="29"/>
  <c r="Z27" i="29"/>
  <c r="Y26" i="29"/>
  <c r="Z26" i="29"/>
  <c r="Y25" i="29"/>
  <c r="Z25" i="29"/>
  <c r="Z24" i="29"/>
  <c r="Y24" i="29"/>
  <c r="Y23" i="29"/>
  <c r="Z23" i="29"/>
  <c r="Y22" i="29"/>
  <c r="Z22" i="29"/>
  <c r="Y21" i="29"/>
  <c r="Z21" i="29"/>
  <c r="Y20" i="29"/>
  <c r="Z20" i="29"/>
  <c r="Z19" i="29"/>
  <c r="Y19" i="29"/>
  <c r="Y18" i="29"/>
  <c r="Z18" i="29"/>
  <c r="Y17" i="29"/>
  <c r="Z17" i="29"/>
  <c r="Z16" i="29"/>
  <c r="Y16" i="29"/>
  <c r="Z15" i="29"/>
  <c r="Y15" i="29"/>
  <c r="Z14" i="29"/>
  <c r="Y14" i="29"/>
  <c r="Z13" i="29"/>
  <c r="Y13" i="29"/>
  <c r="Y12" i="29"/>
  <c r="Z12" i="29"/>
  <c r="Z11" i="29"/>
  <c r="Y11" i="29"/>
  <c r="Z10" i="29"/>
  <c r="Y10" i="29"/>
  <c r="Y9" i="29"/>
  <c r="Z9" i="29"/>
  <c r="Y8" i="29"/>
  <c r="Z8" i="29"/>
  <c r="Y7" i="29"/>
  <c r="Z7" i="29"/>
  <c r="Z6" i="29"/>
  <c r="Y6" i="29"/>
  <c r="Z5" i="29"/>
  <c r="Y5" i="29"/>
  <c r="O13" i="29"/>
  <c r="U24" i="23"/>
  <c r="T24" i="23"/>
  <c r="Q24" i="23"/>
  <c r="P24" i="23"/>
  <c r="U26" i="23"/>
  <c r="T26" i="23"/>
  <c r="Q26" i="23"/>
  <c r="P26" i="23"/>
  <c r="T29" i="23"/>
  <c r="U29" i="23"/>
  <c r="P29" i="23"/>
  <c r="Q29" i="23"/>
  <c r="U31" i="23"/>
  <c r="T31" i="23"/>
  <c r="P31" i="23"/>
  <c r="Q31" i="23"/>
  <c r="AK31" i="23" s="1"/>
  <c r="AI24" i="23"/>
  <c r="AA24" i="23"/>
  <c r="AI26" i="23"/>
  <c r="AA26" i="23"/>
  <c r="AI29" i="23"/>
  <c r="AA29" i="23"/>
  <c r="AI31" i="23"/>
  <c r="AA31" i="23"/>
  <c r="O23" i="25"/>
  <c r="Y24" i="25"/>
  <c r="Z24" i="25"/>
  <c r="K24" i="25"/>
  <c r="N24" i="25" s="1"/>
  <c r="AD24" i="25"/>
  <c r="AE24" i="25" s="1"/>
  <c r="AG24" i="25" s="1"/>
  <c r="AH24" i="25" s="1"/>
  <c r="Y23" i="25"/>
  <c r="Z23" i="25"/>
  <c r="K23" i="25"/>
  <c r="N23" i="25" s="1"/>
  <c r="AD23" i="25"/>
  <c r="AE23" i="25" s="1"/>
  <c r="AG23" i="25" s="1"/>
  <c r="AH23" i="25" s="1"/>
  <c r="O24" i="25"/>
  <c r="O19" i="25"/>
  <c r="O7" i="25"/>
  <c r="O8" i="25"/>
  <c r="O20" i="25"/>
  <c r="Y8" i="25"/>
  <c r="Z8" i="25"/>
  <c r="K8" i="25"/>
  <c r="N8" i="25" s="1"/>
  <c r="AD8" i="25"/>
  <c r="AE8" i="25" s="1"/>
  <c r="AG8" i="25" s="1"/>
  <c r="AH8" i="25" s="1"/>
  <c r="K7" i="25"/>
  <c r="N7" i="25" s="1"/>
  <c r="AD7" i="25"/>
  <c r="AE7" i="25" s="1"/>
  <c r="AG7" i="25" s="1"/>
  <c r="AH7" i="25" s="1"/>
  <c r="Y7" i="25"/>
  <c r="Z7" i="25"/>
  <c r="O18" i="25"/>
  <c r="O6" i="25"/>
  <c r="O17" i="25"/>
  <c r="O5" i="25"/>
  <c r="Y6" i="25"/>
  <c r="Z6" i="25"/>
  <c r="K6" i="25"/>
  <c r="N6" i="25" s="1"/>
  <c r="AD6" i="25"/>
  <c r="AE6" i="25" s="1"/>
  <c r="AG6" i="25" s="1"/>
  <c r="AH6" i="25" s="1"/>
  <c r="Y5" i="25"/>
  <c r="Z5" i="25"/>
  <c r="K5" i="25"/>
  <c r="N5" i="25" s="1"/>
  <c r="AD5" i="25"/>
  <c r="AE5" i="25" s="1"/>
  <c r="AG5" i="25" s="1"/>
  <c r="AH5" i="25" s="1"/>
  <c r="Y20" i="25"/>
  <c r="Z20" i="25"/>
  <c r="K20" i="25"/>
  <c r="N20" i="25" s="1"/>
  <c r="AD20" i="25"/>
  <c r="AE20" i="25" s="1"/>
  <c r="AG20" i="25" s="1"/>
  <c r="AH20" i="25" s="1"/>
  <c r="K19" i="25"/>
  <c r="N19" i="25" s="1"/>
  <c r="AD19" i="25"/>
  <c r="AE19" i="25" s="1"/>
  <c r="AG19" i="25" s="1"/>
  <c r="AH19" i="25" s="1"/>
  <c r="Y19" i="25"/>
  <c r="Z19" i="25"/>
  <c r="K18" i="25"/>
  <c r="N18" i="25" s="1"/>
  <c r="AD18" i="25"/>
  <c r="AE18" i="25" s="1"/>
  <c r="AG18" i="25" s="1"/>
  <c r="AH18" i="25" s="1"/>
  <c r="Y18" i="25"/>
  <c r="Z18" i="25"/>
  <c r="Y17" i="25"/>
  <c r="Z17" i="25"/>
  <c r="K17" i="25"/>
  <c r="N17" i="25" s="1"/>
  <c r="AD17" i="25"/>
  <c r="AE17" i="25" s="1"/>
  <c r="AG17" i="25" s="1"/>
  <c r="AH17" i="25" s="1"/>
  <c r="Y26" i="25"/>
  <c r="Z26" i="25"/>
  <c r="K26" i="25"/>
  <c r="N26" i="25" s="1"/>
  <c r="AD26" i="25"/>
  <c r="AE26" i="25" s="1"/>
  <c r="AG26" i="25" s="1"/>
  <c r="AH26" i="25" s="1"/>
  <c r="Y25" i="25"/>
  <c r="Z25" i="25"/>
  <c r="AD25" i="25"/>
  <c r="AE25" i="25" s="1"/>
  <c r="AG25" i="25" s="1"/>
  <c r="AH25" i="25" s="1"/>
  <c r="K25" i="25"/>
  <c r="N25" i="25" s="1"/>
  <c r="O26" i="25"/>
  <c r="O25" i="25"/>
  <c r="Y6" i="23"/>
  <c r="AD6" i="23"/>
  <c r="AE6" i="23" s="1"/>
  <c r="AG6" i="23" s="1"/>
  <c r="AH6" i="23" s="1"/>
  <c r="Y5" i="23"/>
  <c r="AD5" i="23"/>
  <c r="AE5" i="23" s="1"/>
  <c r="AG5" i="23" s="1"/>
  <c r="AH5" i="23" s="1"/>
  <c r="AA5" i="23"/>
  <c r="O16" i="25"/>
  <c r="O10" i="25"/>
  <c r="O15" i="25"/>
  <c r="O13" i="25"/>
  <c r="O9" i="25"/>
  <c r="O12" i="25"/>
  <c r="O14" i="25"/>
  <c r="Z16" i="25"/>
  <c r="Y16" i="25"/>
  <c r="AD16" i="25"/>
  <c r="AE16" i="25" s="1"/>
  <c r="AG16" i="25" s="1"/>
  <c r="AH16" i="25" s="1"/>
  <c r="K16" i="25"/>
  <c r="N16" i="25" s="1"/>
  <c r="Y15" i="25"/>
  <c r="Z15" i="25"/>
  <c r="K15" i="25"/>
  <c r="N15" i="25" s="1"/>
  <c r="AD15" i="25"/>
  <c r="AE15" i="25" s="1"/>
  <c r="AG15" i="25" s="1"/>
  <c r="AH15" i="25" s="1"/>
  <c r="Y14" i="25"/>
  <c r="Z14" i="25"/>
  <c r="K14" i="25"/>
  <c r="N14" i="25" s="1"/>
  <c r="AD14" i="25"/>
  <c r="AE14" i="25" s="1"/>
  <c r="AG14" i="25" s="1"/>
  <c r="AH14" i="25" s="1"/>
  <c r="Y13" i="25"/>
  <c r="Z13" i="25"/>
  <c r="K13" i="25"/>
  <c r="N13" i="25" s="1"/>
  <c r="AD13" i="25"/>
  <c r="AE13" i="25" s="1"/>
  <c r="AG13" i="25" s="1"/>
  <c r="AH13" i="25" s="1"/>
  <c r="O22" i="25"/>
  <c r="O21" i="25"/>
  <c r="O11" i="25"/>
  <c r="Y10" i="25"/>
  <c r="Z10" i="25"/>
  <c r="K10" i="25"/>
  <c r="N10" i="25" s="1"/>
  <c r="AD10" i="25"/>
  <c r="AE10" i="25" s="1"/>
  <c r="AG10" i="25" s="1"/>
  <c r="AH10" i="25" s="1"/>
  <c r="AD9" i="25"/>
  <c r="AE9" i="25" s="1"/>
  <c r="AG9" i="25" s="1"/>
  <c r="AH9" i="25" s="1"/>
  <c r="K9" i="25"/>
  <c r="N9" i="25" s="1"/>
  <c r="Y9" i="25"/>
  <c r="Z9" i="25"/>
  <c r="Y22" i="25"/>
  <c r="Z22" i="25"/>
  <c r="K22" i="25"/>
  <c r="N22" i="25" s="1"/>
  <c r="AD22" i="25"/>
  <c r="AE22" i="25" s="1"/>
  <c r="AG22" i="25" s="1"/>
  <c r="AH22" i="25" s="1"/>
  <c r="Z21" i="25"/>
  <c r="Y21" i="25"/>
  <c r="K21" i="25"/>
  <c r="N21" i="25" s="1"/>
  <c r="AD21" i="25"/>
  <c r="AE21" i="25" s="1"/>
  <c r="AG21" i="25" s="1"/>
  <c r="AH21" i="25" s="1"/>
  <c r="Z12" i="25"/>
  <c r="Y12" i="25"/>
  <c r="K12" i="25"/>
  <c r="N12" i="25" s="1"/>
  <c r="AD12" i="25"/>
  <c r="AE12" i="25" s="1"/>
  <c r="AG12" i="25" s="1"/>
  <c r="AH12" i="25" s="1"/>
  <c r="K11" i="25"/>
  <c r="N11" i="25" s="1"/>
  <c r="AD11" i="25"/>
  <c r="AE11" i="25" s="1"/>
  <c r="AG11" i="25" s="1"/>
  <c r="AH11" i="25" s="1"/>
  <c r="Y11" i="25"/>
  <c r="Z11" i="25"/>
  <c r="D42" i="23" a="1"/>
  <c r="D49" i="23" a="1"/>
  <c r="F17" i="23" a="1"/>
  <c r="D48" i="23" a="1"/>
  <c r="J16" i="23" a="1"/>
  <c r="F18" i="23" a="1"/>
  <c r="D21" i="23" a="1"/>
  <c r="C42" i="23" a="1"/>
  <c r="J49" i="23" a="1"/>
  <c r="C12" i="23" a="1"/>
  <c r="C14" i="20" a="1"/>
  <c r="C48" i="23" a="1"/>
  <c r="F21" i="23" a="1"/>
  <c r="J17" i="23" a="1"/>
  <c r="C13" i="23" a="1"/>
  <c r="D36" i="23" a="1"/>
  <c r="J39" i="23" a="1"/>
  <c r="C46" i="23" a="1"/>
  <c r="C51" i="23" a="1"/>
  <c r="J10" i="20" a="1"/>
  <c r="J48" i="23" a="1"/>
  <c r="D17" i="20" a="1"/>
  <c r="J44" i="23" a="1"/>
  <c r="D51" i="23" a="1"/>
  <c r="J38" i="23" a="1"/>
  <c r="C40" i="23" a="1"/>
  <c r="F9" i="20" a="1"/>
  <c r="C10" i="23" a="1"/>
  <c r="J22" i="23" a="1"/>
  <c r="F20" i="23" a="1"/>
  <c r="J47" i="23" a="1"/>
  <c r="C38" i="23" a="1"/>
  <c r="F12" i="20" a="1"/>
  <c r="J14" i="20" a="1"/>
  <c r="F40" i="23" a="1"/>
  <c r="D10" i="20" a="1"/>
  <c r="J12" i="23" a="1"/>
  <c r="F11" i="23" a="1"/>
  <c r="C16" i="23" a="1"/>
  <c r="C15" i="23" a="1"/>
  <c r="D12" i="20" a="1"/>
  <c r="C7" i="23" a="1"/>
  <c r="D43" i="23" a="1"/>
  <c r="C41" i="23" a="1"/>
  <c r="C15" i="20" a="1"/>
  <c r="C39" i="23" a="1"/>
  <c r="C36" i="23" a="1"/>
  <c r="J11" i="23" a="1"/>
  <c r="D5" i="20" a="1"/>
  <c r="F9" i="23" a="1"/>
  <c r="J14" i="23" a="1"/>
  <c r="F42" i="23" a="1"/>
  <c r="F8" i="20" a="1"/>
  <c r="F37" i="23" a="1"/>
  <c r="F15" i="20" a="1"/>
  <c r="D38" i="23" a="1"/>
  <c r="D12" i="23" a="1"/>
  <c r="D19" i="23" a="1"/>
  <c r="C16" i="20" a="1"/>
  <c r="F15" i="23" a="1"/>
  <c r="D15" i="20" a="1"/>
  <c r="F47" i="23" a="1"/>
  <c r="J37" i="23" a="1"/>
  <c r="F45" i="23" a="1"/>
  <c r="J21" i="23" a="1"/>
  <c r="F7" i="23" a="1"/>
  <c r="C43" i="23" a="1"/>
  <c r="D15" i="23" a="1"/>
  <c r="J6" i="20" a="1"/>
  <c r="F39" i="23" a="1"/>
  <c r="C49" i="23" a="1"/>
  <c r="F17" i="20" a="1"/>
  <c r="D8" i="23" a="1"/>
  <c r="F41" i="23" a="1"/>
  <c r="C13" i="20" a="1"/>
  <c r="J50" i="23" a="1"/>
  <c r="F46" i="23" a="1"/>
  <c r="J10" i="23" a="1"/>
  <c r="C10" i="20" a="1"/>
  <c r="D7" i="20" a="1"/>
  <c r="F19" i="23" a="1"/>
  <c r="F43" i="23" a="1"/>
  <c r="C11" i="23" a="1"/>
  <c r="F8" i="23" a="1"/>
  <c r="C19" i="23" a="1"/>
  <c r="J51" i="23" a="1"/>
  <c r="C11" i="20" a="1"/>
  <c r="J43" i="23" a="1"/>
  <c r="D46" i="23" a="1"/>
  <c r="D39" i="23" a="1"/>
  <c r="J19" i="23" a="1"/>
  <c r="D14" i="23" a="1"/>
  <c r="F10" i="20" a="1"/>
  <c r="D44" i="23" a="1"/>
  <c r="F48" i="23" a="1"/>
  <c r="C6" i="20" a="1"/>
  <c r="F14" i="23" a="1"/>
  <c r="C12" i="20" a="1"/>
  <c r="J36" i="23" a="1"/>
  <c r="D18" i="20" a="1"/>
  <c r="D13" i="23" a="1"/>
  <c r="C50" i="23" a="1"/>
  <c r="F16" i="23" a="1"/>
  <c r="F18" i="20" a="1"/>
  <c r="J42" i="23" a="1"/>
  <c r="J18" i="20" a="1"/>
  <c r="C17" i="20" a="1"/>
  <c r="D9" i="20" a="1"/>
  <c r="J13" i="20" a="1"/>
  <c r="J7" i="23" a="1"/>
  <c r="C9" i="23" a="1"/>
  <c r="J17" i="20" a="1"/>
  <c r="D18" i="23" a="1"/>
  <c r="J15" i="23" a="1"/>
  <c r="F16" i="20" a="1"/>
  <c r="D16" i="23" a="1"/>
  <c r="C21" i="23" a="1"/>
  <c r="D17" i="23" a="1"/>
  <c r="C5" i="20" a="1"/>
  <c r="D47" i="23" a="1"/>
  <c r="J41" i="23" a="1"/>
  <c r="F44" i="23" a="1"/>
  <c r="J20" i="23" a="1"/>
  <c r="C8" i="23" a="1"/>
  <c r="J13" i="23" a="1"/>
  <c r="D6" i="20" a="1"/>
  <c r="C37" i="23" a="1"/>
  <c r="F7" i="20" a="1"/>
  <c r="F36" i="23" a="1"/>
  <c r="J11" i="20" a="1"/>
  <c r="F50" i="23" a="1"/>
  <c r="D9" i="23" a="1"/>
  <c r="J5" i="20" a="1"/>
  <c r="F13" i="20" a="1"/>
  <c r="F13" i="23" a="1"/>
  <c r="D7" i="23" a="1"/>
  <c r="J8" i="23" a="1"/>
  <c r="C14" i="23" a="1"/>
  <c r="C45" i="23" a="1"/>
  <c r="J15" i="20" a="1"/>
  <c r="D8" i="20" a="1"/>
  <c r="C18" i="23" a="1"/>
  <c r="C9" i="20" a="1"/>
  <c r="F38" i="23" a="1"/>
  <c r="F10" i="23" a="1"/>
  <c r="D22" i="23" a="1"/>
  <c r="F5" i="20" a="1"/>
  <c r="J9" i="20" a="1"/>
  <c r="C22" i="23" a="1"/>
  <c r="D10" i="23" a="1"/>
  <c r="C18" i="20" a="1"/>
  <c r="J9" i="23" a="1"/>
  <c r="C44" i="23" a="1"/>
  <c r="D20" i="23" a="1"/>
  <c r="D40" i="23" a="1"/>
  <c r="F14" i="20" a="1"/>
  <c r="J40" i="23" a="1"/>
  <c r="F12" i="23" a="1"/>
  <c r="C8" i="20" a="1"/>
  <c r="D11" i="23" a="1"/>
  <c r="D45" i="23" a="1"/>
  <c r="C17" i="23" a="1"/>
  <c r="D11" i="20" a="1"/>
  <c r="F49" i="23" a="1"/>
  <c r="F51" i="23" a="1"/>
  <c r="F22" i="23" a="1"/>
  <c r="C7" i="20" a="1"/>
  <c r="D14" i="20" a="1"/>
  <c r="J12" i="20" a="1"/>
  <c r="C47" i="23" a="1"/>
  <c r="D37" i="23" a="1"/>
  <c r="J46" i="23" a="1"/>
  <c r="F11" i="20" a="1"/>
  <c r="J45" i="23" a="1"/>
  <c r="J16" i="20" a="1"/>
  <c r="D41" i="23" a="1"/>
  <c r="D50" i="23" a="1"/>
  <c r="D16" i="20" a="1"/>
  <c r="D13" i="20" a="1"/>
  <c r="J8" i="20" a="1"/>
  <c r="F6" i="20" a="1"/>
  <c r="C20" i="23" a="1"/>
  <c r="J18" i="23" a="1"/>
  <c r="J7" i="20" a="1"/>
  <c r="AI7" i="26" l="1"/>
  <c r="AI20" i="26"/>
  <c r="AI28" i="26"/>
  <c r="AI5" i="26"/>
  <c r="AI9" i="26"/>
  <c r="AI54" i="26"/>
  <c r="AI56" i="26"/>
  <c r="AI62" i="26"/>
  <c r="AI37" i="26"/>
  <c r="AI58" i="26"/>
  <c r="AI60" i="26"/>
  <c r="P62" i="26"/>
  <c r="Q62" i="26"/>
  <c r="T62" i="26"/>
  <c r="U62" i="26"/>
  <c r="P60" i="26"/>
  <c r="Q60" i="26"/>
  <c r="T60" i="26"/>
  <c r="U60" i="26"/>
  <c r="Q58" i="26"/>
  <c r="P58" i="26"/>
  <c r="T58" i="26"/>
  <c r="U58" i="26"/>
  <c r="P56" i="26"/>
  <c r="Q56" i="26"/>
  <c r="U56" i="26"/>
  <c r="T56" i="26"/>
  <c r="Q54" i="26"/>
  <c r="P54" i="26"/>
  <c r="U54" i="26"/>
  <c r="T54" i="26"/>
  <c r="AI30" i="26"/>
  <c r="AI26" i="26"/>
  <c r="AI22" i="26"/>
  <c r="P30" i="26"/>
  <c r="Q30" i="26"/>
  <c r="T30" i="26"/>
  <c r="U30" i="26"/>
  <c r="P28" i="26"/>
  <c r="Q28" i="26"/>
  <c r="U28" i="26"/>
  <c r="T28" i="26"/>
  <c r="P26" i="26"/>
  <c r="Q26" i="26"/>
  <c r="T26" i="26"/>
  <c r="U26" i="26"/>
  <c r="P24" i="26"/>
  <c r="Q24" i="26"/>
  <c r="U24" i="26"/>
  <c r="T24" i="26"/>
  <c r="P22" i="26"/>
  <c r="Q22" i="26"/>
  <c r="T22" i="26"/>
  <c r="U22" i="26"/>
  <c r="P20" i="26"/>
  <c r="Q20" i="26"/>
  <c r="T20" i="26"/>
  <c r="U20" i="26"/>
  <c r="AI24" i="26"/>
  <c r="AI15" i="26"/>
  <c r="AI13" i="26"/>
  <c r="AI11" i="26"/>
  <c r="AI17" i="26"/>
  <c r="P17" i="26"/>
  <c r="Q17" i="26"/>
  <c r="T17" i="26"/>
  <c r="U17" i="26"/>
  <c r="P15" i="26"/>
  <c r="Q15" i="26"/>
  <c r="T15" i="26"/>
  <c r="U15" i="26"/>
  <c r="Q13" i="26"/>
  <c r="P13" i="26"/>
  <c r="U13" i="26"/>
  <c r="T13" i="26"/>
  <c r="P11" i="26"/>
  <c r="Q11" i="26"/>
  <c r="T11" i="26"/>
  <c r="U11" i="26"/>
  <c r="Q9" i="26"/>
  <c r="P9" i="26"/>
  <c r="T9" i="26"/>
  <c r="U9" i="26"/>
  <c r="P7" i="26"/>
  <c r="Q7" i="26"/>
  <c r="T7" i="26"/>
  <c r="U7" i="26"/>
  <c r="Q5" i="26"/>
  <c r="P5" i="26"/>
  <c r="T5" i="26"/>
  <c r="U5" i="26"/>
  <c r="AI35" i="26"/>
  <c r="AI43" i="26"/>
  <c r="AI41" i="26"/>
  <c r="AI51" i="26"/>
  <c r="AI49" i="26"/>
  <c r="AI47" i="26"/>
  <c r="AI45" i="26"/>
  <c r="Q51" i="26"/>
  <c r="P51" i="26"/>
  <c r="U51" i="26"/>
  <c r="T51" i="26"/>
  <c r="P49" i="26"/>
  <c r="Q49" i="26"/>
  <c r="U49" i="26"/>
  <c r="T49" i="26"/>
  <c r="Q47" i="26"/>
  <c r="P47" i="26"/>
  <c r="U47" i="26"/>
  <c r="T47" i="26"/>
  <c r="P45" i="26"/>
  <c r="Q45" i="26"/>
  <c r="T45" i="26"/>
  <c r="U45" i="26"/>
  <c r="Q43" i="26"/>
  <c r="P43" i="26"/>
  <c r="T43" i="26"/>
  <c r="U43" i="26"/>
  <c r="Q41" i="26"/>
  <c r="P41" i="26"/>
  <c r="U41" i="26"/>
  <c r="T41" i="26"/>
  <c r="Q39" i="26"/>
  <c r="P39" i="26"/>
  <c r="U39" i="26"/>
  <c r="T39" i="26"/>
  <c r="P37" i="26"/>
  <c r="Q37" i="26"/>
  <c r="T37" i="26"/>
  <c r="U37" i="26"/>
  <c r="Q35" i="26"/>
  <c r="P35" i="26"/>
  <c r="U35" i="26"/>
  <c r="T35" i="26"/>
  <c r="Q33" i="26"/>
  <c r="P33" i="26"/>
  <c r="AI33" i="26"/>
  <c r="AI1" i="26" s="1"/>
  <c r="AH1" i="26"/>
  <c r="U33" i="26"/>
  <c r="T33" i="26"/>
  <c r="AI39" i="26"/>
  <c r="T18" i="29"/>
  <c r="U18" i="29" s="1"/>
  <c r="T29" i="29"/>
  <c r="U29" i="29" s="1"/>
  <c r="T7" i="29"/>
  <c r="T13" i="29"/>
  <c r="U13" i="29" s="1"/>
  <c r="T23" i="29"/>
  <c r="U23" i="29" s="1"/>
  <c r="T26" i="29"/>
  <c r="U26" i="29" s="1"/>
  <c r="AI1" i="29"/>
  <c r="AJ1" i="23" s="1"/>
  <c r="AH1" i="25"/>
  <c r="T17" i="29"/>
  <c r="T28" i="29"/>
  <c r="T12" i="29"/>
  <c r="T8" i="29"/>
  <c r="T10" i="29"/>
  <c r="U10" i="29" s="1"/>
  <c r="T24" i="29"/>
  <c r="T21" i="29"/>
  <c r="T5" i="29"/>
  <c r="P11" i="29"/>
  <c r="AA8" i="29"/>
  <c r="AA27" i="29"/>
  <c r="AA21" i="29"/>
  <c r="P27" i="29"/>
  <c r="P8" i="29"/>
  <c r="AA5" i="29"/>
  <c r="P24" i="29"/>
  <c r="P15" i="29"/>
  <c r="P21" i="29"/>
  <c r="P5" i="29"/>
  <c r="P10" i="29"/>
  <c r="P7" i="29"/>
  <c r="AA24" i="29"/>
  <c r="P30" i="29"/>
  <c r="P23" i="29"/>
  <c r="P26" i="29"/>
  <c r="P20" i="29"/>
  <c r="P14" i="29"/>
  <c r="AA15" i="29"/>
  <c r="AA11" i="29"/>
  <c r="AA17" i="25"/>
  <c r="AA7" i="25"/>
  <c r="AA23" i="25"/>
  <c r="V27" i="23"/>
  <c r="S27" i="23"/>
  <c r="W27" i="23"/>
  <c r="R27" i="23"/>
  <c r="V30" i="23"/>
  <c r="S30" i="23"/>
  <c r="R30" i="23"/>
  <c r="W30" i="23"/>
  <c r="V32" i="23"/>
  <c r="S32" i="23"/>
  <c r="R32" i="23"/>
  <c r="W32" i="23"/>
  <c r="AA5" i="25"/>
  <c r="AA19" i="25"/>
  <c r="AI23" i="25"/>
  <c r="Q23" i="25"/>
  <c r="P23" i="25"/>
  <c r="U23" i="25"/>
  <c r="T23" i="25"/>
  <c r="AA25" i="25"/>
  <c r="AI7" i="25"/>
  <c r="AI19" i="25"/>
  <c r="Q7" i="25"/>
  <c r="P7" i="25"/>
  <c r="T7" i="25"/>
  <c r="U7" i="25"/>
  <c r="AI17" i="25"/>
  <c r="AI5" i="25"/>
  <c r="P5" i="25"/>
  <c r="Q5" i="25"/>
  <c r="T5" i="25"/>
  <c r="U5" i="25"/>
  <c r="P19" i="25"/>
  <c r="Q19" i="25"/>
  <c r="T19" i="25"/>
  <c r="U19" i="25"/>
  <c r="P17" i="25"/>
  <c r="Q17" i="25"/>
  <c r="U17" i="25"/>
  <c r="T17" i="25"/>
  <c r="AI25" i="25"/>
  <c r="Q25" i="25"/>
  <c r="P25" i="25"/>
  <c r="T25" i="25"/>
  <c r="U25" i="25"/>
  <c r="AI5" i="23"/>
  <c r="AA15" i="25"/>
  <c r="AA11" i="25"/>
  <c r="AI15" i="25"/>
  <c r="AI13" i="25"/>
  <c r="AA9" i="25"/>
  <c r="AA13" i="25"/>
  <c r="AI11" i="25"/>
  <c r="P15" i="25"/>
  <c r="Q15" i="25"/>
  <c r="T15" i="25"/>
  <c r="U15" i="25"/>
  <c r="P13" i="25"/>
  <c r="Q13" i="25"/>
  <c r="T13" i="25"/>
  <c r="U13" i="25"/>
  <c r="AI21" i="25"/>
  <c r="AI9" i="25"/>
  <c r="AA21" i="25"/>
  <c r="P9" i="25"/>
  <c r="Q9" i="25"/>
  <c r="T9" i="25"/>
  <c r="U9" i="25"/>
  <c r="P21" i="25"/>
  <c r="Q21" i="25"/>
  <c r="T21" i="25"/>
  <c r="U21" i="25"/>
  <c r="P11" i="25"/>
  <c r="Q11" i="25"/>
  <c r="T11" i="25"/>
  <c r="U11" i="25"/>
  <c r="L13" i="20"/>
  <c r="L7" i="20" s="1"/>
  <c r="L19" i="23" s="1"/>
  <c r="L11" i="23" s="1"/>
  <c r="L5" i="23" s="1"/>
  <c r="L44" i="23" s="1"/>
  <c r="L38" i="23" s="1"/>
  <c r="R63" i="26" l="1"/>
  <c r="W63" i="26"/>
  <c r="S63" i="26"/>
  <c r="V63" i="26"/>
  <c r="R61" i="26"/>
  <c r="W61" i="26"/>
  <c r="S61" i="26"/>
  <c r="V61" i="26"/>
  <c r="W59" i="26"/>
  <c r="R59" i="26"/>
  <c r="V59" i="26"/>
  <c r="S59" i="26"/>
  <c r="R57" i="26"/>
  <c r="W57" i="26"/>
  <c r="V57" i="26"/>
  <c r="S57" i="26"/>
  <c r="R55" i="26"/>
  <c r="W55" i="26"/>
  <c r="V55" i="26"/>
  <c r="S55" i="26"/>
  <c r="R31" i="26"/>
  <c r="W31" i="26"/>
  <c r="S31" i="26"/>
  <c r="V31" i="26"/>
  <c r="W29" i="26"/>
  <c r="R29" i="26"/>
  <c r="V29" i="26"/>
  <c r="S29" i="26"/>
  <c r="W27" i="26"/>
  <c r="R27" i="26"/>
  <c r="S27" i="26"/>
  <c r="V27" i="26"/>
  <c r="R25" i="26"/>
  <c r="W25" i="26"/>
  <c r="S25" i="26"/>
  <c r="V25" i="26"/>
  <c r="R23" i="26"/>
  <c r="W23" i="26"/>
  <c r="S23" i="26"/>
  <c r="V23" i="26"/>
  <c r="R21" i="26"/>
  <c r="W21" i="26"/>
  <c r="S21" i="26"/>
  <c r="V21" i="26"/>
  <c r="R18" i="26"/>
  <c r="W18" i="26"/>
  <c r="S18" i="26"/>
  <c r="V18" i="26"/>
  <c r="R16" i="26"/>
  <c r="W16" i="26"/>
  <c r="V16" i="26"/>
  <c r="S16" i="26"/>
  <c r="R14" i="26"/>
  <c r="W14" i="26"/>
  <c r="V14" i="26"/>
  <c r="S14" i="26"/>
  <c r="R12" i="26"/>
  <c r="W12" i="26"/>
  <c r="S12" i="26"/>
  <c r="V12" i="26"/>
  <c r="R10" i="26"/>
  <c r="W10" i="26"/>
  <c r="S10" i="26"/>
  <c r="V10" i="26"/>
  <c r="R8" i="26"/>
  <c r="W8" i="26"/>
  <c r="V8" i="26"/>
  <c r="S8" i="26"/>
  <c r="R6" i="26"/>
  <c r="W6" i="26"/>
  <c r="S6" i="26"/>
  <c r="V6" i="26"/>
  <c r="R52" i="26"/>
  <c r="W52" i="26"/>
  <c r="S52" i="26"/>
  <c r="V52" i="26"/>
  <c r="R50" i="26"/>
  <c r="W50" i="26"/>
  <c r="V50" i="26"/>
  <c r="S50" i="26"/>
  <c r="W48" i="26"/>
  <c r="R48" i="26"/>
  <c r="S48" i="26"/>
  <c r="V48" i="26"/>
  <c r="R46" i="26"/>
  <c r="W46" i="26"/>
  <c r="S46" i="26"/>
  <c r="V46" i="26"/>
  <c r="W44" i="26"/>
  <c r="R44" i="26"/>
  <c r="S44" i="26"/>
  <c r="V44" i="26"/>
  <c r="R42" i="26"/>
  <c r="W42" i="26"/>
  <c r="S42" i="26"/>
  <c r="V42" i="26"/>
  <c r="R40" i="26"/>
  <c r="W40" i="26"/>
  <c r="V40" i="26"/>
  <c r="S40" i="26"/>
  <c r="R38" i="26"/>
  <c r="W38" i="26"/>
  <c r="V38" i="26"/>
  <c r="S38" i="26"/>
  <c r="R36" i="26"/>
  <c r="W36" i="26"/>
  <c r="V36" i="26"/>
  <c r="S36" i="26"/>
  <c r="R34" i="26"/>
  <c r="W34" i="26"/>
  <c r="S34" i="26"/>
  <c r="V34" i="26"/>
  <c r="AI1" i="25"/>
  <c r="U17" i="29"/>
  <c r="U28" i="29"/>
  <c r="U12" i="29"/>
  <c r="U7" i="29"/>
  <c r="W5" i="29" s="1"/>
  <c r="U8" i="29"/>
  <c r="Q11" i="29"/>
  <c r="U21" i="29"/>
  <c r="U24" i="29"/>
  <c r="U5" i="29"/>
  <c r="Q27" i="29"/>
  <c r="Q21" i="29"/>
  <c r="Q24" i="29"/>
  <c r="Q15" i="29"/>
  <c r="Q26" i="29"/>
  <c r="Q23" i="29"/>
  <c r="Q8" i="29"/>
  <c r="Q10" i="29"/>
  <c r="Q7" i="29"/>
  <c r="S5" i="29" s="1"/>
  <c r="Q5" i="29"/>
  <c r="R26" i="25"/>
  <c r="W26" i="25"/>
  <c r="V26" i="25"/>
  <c r="S26" i="25"/>
  <c r="W24" i="25"/>
  <c r="R24" i="25"/>
  <c r="V24" i="25"/>
  <c r="S24" i="25"/>
  <c r="W22" i="25"/>
  <c r="R22" i="25"/>
  <c r="V22" i="25"/>
  <c r="S22" i="25"/>
  <c r="W20" i="25"/>
  <c r="R20" i="25"/>
  <c r="V20" i="25"/>
  <c r="S20" i="25"/>
  <c r="W18" i="25"/>
  <c r="R18" i="25"/>
  <c r="V18" i="25"/>
  <c r="S18" i="25"/>
  <c r="W16" i="25"/>
  <c r="R16" i="25"/>
  <c r="V16" i="25"/>
  <c r="S16" i="25"/>
  <c r="W14" i="25"/>
  <c r="R14" i="25"/>
  <c r="V14" i="25"/>
  <c r="S14" i="25"/>
  <c r="W12" i="25"/>
  <c r="R12" i="25"/>
  <c r="V12" i="25"/>
  <c r="S12" i="25"/>
  <c r="W10" i="25"/>
  <c r="R10" i="25"/>
  <c r="S10" i="25"/>
  <c r="V10" i="25"/>
  <c r="W8" i="25"/>
  <c r="R8" i="25"/>
  <c r="V8" i="25"/>
  <c r="S8" i="25"/>
  <c r="R6" i="25"/>
  <c r="W6" i="25"/>
  <c r="V6" i="25"/>
  <c r="S6" i="25"/>
  <c r="L43" i="23"/>
  <c r="O43" i="23" s="1"/>
  <c r="L10" i="23"/>
  <c r="O10" i="23" s="1"/>
  <c r="L12" i="20"/>
  <c r="O12" i="20" s="1"/>
  <c r="L50" i="23"/>
  <c r="O50" i="23" s="1"/>
  <c r="L17" i="23"/>
  <c r="O17" i="23" s="1"/>
  <c r="L5" i="20"/>
  <c r="O5" i="20" s="1"/>
  <c r="L36" i="23"/>
  <c r="O36" i="23" s="1"/>
  <c r="L42" i="23"/>
  <c r="O42" i="23" s="1"/>
  <c r="L9" i="23"/>
  <c r="O9" i="23" s="1"/>
  <c r="L11" i="20"/>
  <c r="O11" i="20" s="1"/>
  <c r="L37" i="23"/>
  <c r="O37" i="23" s="1"/>
  <c r="L51" i="23"/>
  <c r="O51" i="23" s="1"/>
  <c r="L18" i="23"/>
  <c r="O18" i="23" s="1"/>
  <c r="L6" i="20"/>
  <c r="O6" i="20" s="1"/>
  <c r="L34" i="23"/>
  <c r="O34" i="23" s="1"/>
  <c r="L48" i="23"/>
  <c r="O48" i="23" s="1"/>
  <c r="L15" i="23"/>
  <c r="O15" i="23" s="1"/>
  <c r="L17" i="20"/>
  <c r="O17" i="20" s="1"/>
  <c r="L46" i="23"/>
  <c r="O46" i="23" s="1"/>
  <c r="L13" i="23"/>
  <c r="O13" i="23" s="1"/>
  <c r="L15" i="20"/>
  <c r="O15" i="20" s="1"/>
  <c r="L47" i="23"/>
  <c r="O47" i="23" s="1"/>
  <c r="L14" i="23"/>
  <c r="O14" i="23" s="1"/>
  <c r="L16" i="20"/>
  <c r="O16" i="20" s="1"/>
  <c r="L41" i="23"/>
  <c r="O41" i="23" s="1"/>
  <c r="L8" i="23"/>
  <c r="O8" i="23" s="1"/>
  <c r="L22" i="23"/>
  <c r="O22" i="23" s="1"/>
  <c r="L10" i="20"/>
  <c r="O10" i="20" s="1"/>
  <c r="AD10" i="20"/>
  <c r="AE10" i="20" s="1"/>
  <c r="AG10" i="20" s="1"/>
  <c r="AH10" i="20" s="1"/>
  <c r="K10" i="20"/>
  <c r="N10" i="20" s="1"/>
  <c r="O13" i="20"/>
  <c r="L35" i="23"/>
  <c r="O35" i="23" s="1"/>
  <c r="Z44" i="23"/>
  <c r="Y44" i="23"/>
  <c r="AD46" i="23"/>
  <c r="AE46" i="23" s="1"/>
  <c r="AG46" i="23" s="1"/>
  <c r="AH46" i="23" s="1"/>
  <c r="K46" i="23"/>
  <c r="N46" i="23" s="1"/>
  <c r="L49" i="23"/>
  <c r="O49" i="23" s="1"/>
  <c r="Y11" i="23"/>
  <c r="Z11" i="23"/>
  <c r="AD13" i="23"/>
  <c r="AE13" i="23" s="1"/>
  <c r="AG13" i="23" s="1"/>
  <c r="AH13" i="23" s="1"/>
  <c r="K13" i="23"/>
  <c r="N13" i="23" s="1"/>
  <c r="L16" i="23"/>
  <c r="O16" i="23" s="1"/>
  <c r="Z13" i="20"/>
  <c r="Y13" i="20"/>
  <c r="AD15" i="20"/>
  <c r="AE15" i="20" s="1"/>
  <c r="AG15" i="20" s="1"/>
  <c r="AH15" i="20" s="1"/>
  <c r="K15" i="20"/>
  <c r="N15" i="20" s="1"/>
  <c r="L18" i="20"/>
  <c r="O18" i="20" s="1"/>
  <c r="Y45" i="23"/>
  <c r="Z45" i="23"/>
  <c r="Z12" i="23"/>
  <c r="Y12" i="23"/>
  <c r="Z14" i="20"/>
  <c r="Y14" i="20"/>
  <c r="AD19" i="23"/>
  <c r="AE19" i="23" s="1"/>
  <c r="AG19" i="23" s="1"/>
  <c r="AH19" i="23" s="1"/>
  <c r="K19" i="23"/>
  <c r="N19" i="23" s="1"/>
  <c r="AD7" i="20"/>
  <c r="AE7" i="20" s="1"/>
  <c r="AG7" i="20" s="1"/>
  <c r="AH7" i="20" s="1"/>
  <c r="K7" i="20"/>
  <c r="N7" i="20" s="1"/>
  <c r="O44" i="23"/>
  <c r="AD49" i="23"/>
  <c r="AE49" i="23" s="1"/>
  <c r="AG49" i="23" s="1"/>
  <c r="AH49" i="23" s="1"/>
  <c r="K49" i="23"/>
  <c r="N49" i="23" s="1"/>
  <c r="Z41" i="23"/>
  <c r="Y41" i="23"/>
  <c r="AD10" i="23"/>
  <c r="AE10" i="23" s="1"/>
  <c r="AG10" i="23" s="1"/>
  <c r="AH10" i="23" s="1"/>
  <c r="K10" i="23"/>
  <c r="N10" i="23" s="1"/>
  <c r="O19" i="23"/>
  <c r="Y22" i="23"/>
  <c r="Z22" i="23"/>
  <c r="Z38" i="23"/>
  <c r="Y38" i="23"/>
  <c r="AD40" i="23"/>
  <c r="AE40" i="23" s="1"/>
  <c r="AG40" i="23" s="1"/>
  <c r="AH40" i="23" s="1"/>
  <c r="K40" i="23"/>
  <c r="N40" i="23" s="1"/>
  <c r="AD7" i="23"/>
  <c r="AE7" i="23" s="1"/>
  <c r="AG7" i="23" s="1"/>
  <c r="AH7" i="23" s="1"/>
  <c r="K7" i="23"/>
  <c r="N7" i="23" s="1"/>
  <c r="Z19" i="23"/>
  <c r="Y19" i="23"/>
  <c r="AD21" i="23"/>
  <c r="AE21" i="23" s="1"/>
  <c r="AG21" i="23" s="1"/>
  <c r="AH21" i="23" s="1"/>
  <c r="K21" i="23"/>
  <c r="N21" i="23" s="1"/>
  <c r="Y7" i="20"/>
  <c r="Z7" i="20"/>
  <c r="AD9" i="20"/>
  <c r="AE9" i="20" s="1"/>
  <c r="AG9" i="20" s="1"/>
  <c r="AH9" i="20" s="1"/>
  <c r="K9" i="20"/>
  <c r="N9" i="20" s="1"/>
  <c r="AD47" i="23"/>
  <c r="AE47" i="23" s="1"/>
  <c r="AG47" i="23" s="1"/>
  <c r="AH47" i="23" s="1"/>
  <c r="K47" i="23"/>
  <c r="N47" i="23" s="1"/>
  <c r="AD14" i="23"/>
  <c r="AE14" i="23" s="1"/>
  <c r="AG14" i="23" s="1"/>
  <c r="AH14" i="23" s="1"/>
  <c r="K14" i="23"/>
  <c r="N14" i="23" s="1"/>
  <c r="AD16" i="20"/>
  <c r="AE16" i="20" s="1"/>
  <c r="AG16" i="20" s="1"/>
  <c r="AH16" i="20" s="1"/>
  <c r="K16" i="20"/>
  <c r="N16" i="20" s="1"/>
  <c r="Y42" i="23"/>
  <c r="Z42" i="23"/>
  <c r="AD44" i="23"/>
  <c r="AE44" i="23" s="1"/>
  <c r="AG44" i="23" s="1"/>
  <c r="AH44" i="23" s="1"/>
  <c r="K44" i="23"/>
  <c r="N44" i="23" s="1"/>
  <c r="Z9" i="23"/>
  <c r="Y9" i="23"/>
  <c r="AD11" i="23"/>
  <c r="AE11" i="23" s="1"/>
  <c r="AG11" i="23" s="1"/>
  <c r="AH11" i="23" s="1"/>
  <c r="K11" i="23"/>
  <c r="N11" i="23" s="1"/>
  <c r="Y11" i="20"/>
  <c r="Z11" i="20"/>
  <c r="AD13" i="20"/>
  <c r="AE13" i="20" s="1"/>
  <c r="AG13" i="20" s="1"/>
  <c r="AH13" i="20" s="1"/>
  <c r="K13" i="20"/>
  <c r="N13" i="20" s="1"/>
  <c r="AD41" i="23"/>
  <c r="AE41" i="23" s="1"/>
  <c r="AG41" i="23" s="1"/>
  <c r="AH41" i="23" s="1"/>
  <c r="K41" i="23"/>
  <c r="N41" i="23" s="1"/>
  <c r="Z20" i="23"/>
  <c r="Y20" i="23"/>
  <c r="Y8" i="20"/>
  <c r="Z8" i="20"/>
  <c r="Y36" i="23"/>
  <c r="Z36" i="23"/>
  <c r="AD38" i="23"/>
  <c r="AE38" i="23" s="1"/>
  <c r="AG38" i="23" s="1"/>
  <c r="AH38" i="23" s="1"/>
  <c r="K38" i="23"/>
  <c r="N38" i="23" s="1"/>
  <c r="Y50" i="23"/>
  <c r="Z50" i="23"/>
  <c r="K5" i="23"/>
  <c r="N5" i="23" s="1"/>
  <c r="O11" i="23"/>
  <c r="O38" i="23"/>
  <c r="AD43" i="23"/>
  <c r="AE43" i="23" s="1"/>
  <c r="AG43" i="23" s="1"/>
  <c r="AH43" i="23" s="1"/>
  <c r="K43" i="23"/>
  <c r="N43" i="23" s="1"/>
  <c r="O5" i="23"/>
  <c r="Z8" i="23"/>
  <c r="Y8" i="23"/>
  <c r="O7" i="20"/>
  <c r="Y10" i="20"/>
  <c r="Z10" i="20"/>
  <c r="AD12" i="20"/>
  <c r="AE12" i="20" s="1"/>
  <c r="AG12" i="20" s="1"/>
  <c r="AH12" i="20" s="1"/>
  <c r="K12" i="20"/>
  <c r="N12" i="20" s="1"/>
  <c r="Y35" i="23"/>
  <c r="Z35" i="23"/>
  <c r="AD37" i="23"/>
  <c r="AE37" i="23" s="1"/>
  <c r="AG37" i="23" s="1"/>
  <c r="AH37" i="23" s="1"/>
  <c r="K37" i="23"/>
  <c r="N37" i="23" s="1"/>
  <c r="L40" i="23"/>
  <c r="O40" i="23" s="1"/>
  <c r="Z49" i="23"/>
  <c r="Y49" i="23"/>
  <c r="AD51" i="23"/>
  <c r="AE51" i="23" s="1"/>
  <c r="AG51" i="23" s="1"/>
  <c r="AH51" i="23" s="1"/>
  <c r="K51" i="23"/>
  <c r="N51" i="23" s="1"/>
  <c r="L7" i="23"/>
  <c r="O7" i="23" s="1"/>
  <c r="Z16" i="23"/>
  <c r="Y16" i="23"/>
  <c r="AD18" i="23"/>
  <c r="AE18" i="23" s="1"/>
  <c r="AG18" i="23" s="1"/>
  <c r="AH18" i="23" s="1"/>
  <c r="K18" i="23"/>
  <c r="N18" i="23" s="1"/>
  <c r="L21" i="23"/>
  <c r="O21" i="23" s="1"/>
  <c r="AD6" i="20"/>
  <c r="AE6" i="20" s="1"/>
  <c r="AG6" i="20" s="1"/>
  <c r="AH6" i="20" s="1"/>
  <c r="K6" i="20"/>
  <c r="N6" i="20" s="1"/>
  <c r="L9" i="20"/>
  <c r="O9" i="20" s="1"/>
  <c r="Y18" i="20"/>
  <c r="Z18" i="20"/>
  <c r="Z17" i="23"/>
  <c r="Y17" i="23"/>
  <c r="K35" i="23"/>
  <c r="N35" i="23" s="1"/>
  <c r="AD35" i="23"/>
  <c r="AE35" i="23" s="1"/>
  <c r="AG35" i="23" s="1"/>
  <c r="AH35" i="23" s="1"/>
  <c r="AD16" i="23"/>
  <c r="AE16" i="23" s="1"/>
  <c r="AG16" i="23" s="1"/>
  <c r="AH16" i="23" s="1"/>
  <c r="K16" i="23"/>
  <c r="N16" i="23" s="1"/>
  <c r="AD18" i="20"/>
  <c r="AE18" i="20" s="1"/>
  <c r="AG18" i="20" s="1"/>
  <c r="AH18" i="20" s="1"/>
  <c r="K18" i="20"/>
  <c r="N18" i="20" s="1"/>
  <c r="L8" i="20"/>
  <c r="O8" i="20" s="1"/>
  <c r="Z43" i="23"/>
  <c r="Y43" i="23"/>
  <c r="Y10" i="23"/>
  <c r="Z10" i="23"/>
  <c r="Y12" i="20"/>
  <c r="Z12" i="20"/>
  <c r="AD14" i="20"/>
  <c r="AE14" i="20" s="1"/>
  <c r="AG14" i="20" s="1"/>
  <c r="AH14" i="20" s="1"/>
  <c r="K14" i="20"/>
  <c r="N14" i="20" s="1"/>
  <c r="Z39" i="23"/>
  <c r="Y39" i="23"/>
  <c r="AD22" i="23"/>
  <c r="AE22" i="23" s="1"/>
  <c r="AG22" i="23" s="1"/>
  <c r="AH22" i="23" s="1"/>
  <c r="K22" i="23"/>
  <c r="N22" i="23" s="1"/>
  <c r="Y5" i="20"/>
  <c r="Z5" i="20"/>
  <c r="Y16" i="20"/>
  <c r="Z16" i="20"/>
  <c r="Y40" i="23"/>
  <c r="Z40" i="23"/>
  <c r="AD42" i="23"/>
  <c r="AE42" i="23" s="1"/>
  <c r="AG42" i="23" s="1"/>
  <c r="AH42" i="23" s="1"/>
  <c r="K42" i="23"/>
  <c r="N42" i="23" s="1"/>
  <c r="L45" i="23"/>
  <c r="O45" i="23" s="1"/>
  <c r="Z7" i="23"/>
  <c r="Y7" i="23"/>
  <c r="AD9" i="23"/>
  <c r="AE9" i="23" s="1"/>
  <c r="AG9" i="23" s="1"/>
  <c r="AH9" i="23" s="1"/>
  <c r="K9" i="23"/>
  <c r="N9" i="23" s="1"/>
  <c r="L12" i="23"/>
  <c r="O12" i="23" s="1"/>
  <c r="Y21" i="23"/>
  <c r="Z21" i="23"/>
  <c r="Z9" i="20"/>
  <c r="Y9" i="20"/>
  <c r="AD11" i="20"/>
  <c r="AE11" i="20" s="1"/>
  <c r="AG11" i="20" s="1"/>
  <c r="AH11" i="20" s="1"/>
  <c r="K11" i="20"/>
  <c r="N11" i="20" s="1"/>
  <c r="L14" i="20"/>
  <c r="O14" i="20" s="1"/>
  <c r="AD8" i="23"/>
  <c r="AE8" i="23" s="1"/>
  <c r="AG8" i="23" s="1"/>
  <c r="AH8" i="23" s="1"/>
  <c r="K8" i="23"/>
  <c r="N8" i="23" s="1"/>
  <c r="Y47" i="23"/>
  <c r="Z47" i="23"/>
  <c r="Z14" i="23"/>
  <c r="Y14" i="23"/>
  <c r="Y46" i="23"/>
  <c r="Z46" i="23"/>
  <c r="AD15" i="23"/>
  <c r="AE15" i="23" s="1"/>
  <c r="AG15" i="23" s="1"/>
  <c r="AH15" i="23" s="1"/>
  <c r="K15" i="23"/>
  <c r="N15" i="23" s="1"/>
  <c r="Y15" i="20"/>
  <c r="Z15" i="20"/>
  <c r="AD45" i="23"/>
  <c r="AE45" i="23" s="1"/>
  <c r="AG45" i="23" s="1"/>
  <c r="AH45" i="23" s="1"/>
  <c r="K45" i="23"/>
  <c r="N45" i="23" s="1"/>
  <c r="AD39" i="23"/>
  <c r="AE39" i="23" s="1"/>
  <c r="AG39" i="23" s="1"/>
  <c r="AH39" i="23" s="1"/>
  <c r="K39" i="23"/>
  <c r="N39" i="23" s="1"/>
  <c r="Z51" i="23"/>
  <c r="Y51" i="23"/>
  <c r="K6" i="23"/>
  <c r="N6" i="23" s="1"/>
  <c r="Y18" i="23"/>
  <c r="Z18" i="23"/>
  <c r="AD20" i="23"/>
  <c r="AE20" i="23" s="1"/>
  <c r="AG20" i="23" s="1"/>
  <c r="AH20" i="23" s="1"/>
  <c r="K20" i="23"/>
  <c r="N20" i="23" s="1"/>
  <c r="Y6" i="20"/>
  <c r="Z6" i="20"/>
  <c r="AD8" i="20"/>
  <c r="AE8" i="20" s="1"/>
  <c r="AG8" i="20" s="1"/>
  <c r="AH8" i="20" s="1"/>
  <c r="K8" i="20"/>
  <c r="N8" i="20" s="1"/>
  <c r="K34" i="23"/>
  <c r="N34" i="23" s="1"/>
  <c r="AD34" i="23"/>
  <c r="AE34" i="23" s="1"/>
  <c r="AG34" i="23" s="1"/>
  <c r="AH34" i="23" s="1"/>
  <c r="AD48" i="23"/>
  <c r="AE48" i="23" s="1"/>
  <c r="AG48" i="23" s="1"/>
  <c r="AH48" i="23" s="1"/>
  <c r="K48" i="23"/>
  <c r="N48" i="23" s="1"/>
  <c r="Y13" i="23"/>
  <c r="Z13" i="23"/>
  <c r="AD17" i="20"/>
  <c r="AE17" i="20" s="1"/>
  <c r="AG17" i="20" s="1"/>
  <c r="AH17" i="20" s="1"/>
  <c r="K17" i="20"/>
  <c r="N17" i="20" s="1"/>
  <c r="AD12" i="23"/>
  <c r="AE12" i="23" s="1"/>
  <c r="AG12" i="23" s="1"/>
  <c r="AH12" i="23" s="1"/>
  <c r="K12" i="23"/>
  <c r="N12" i="23" s="1"/>
  <c r="Z37" i="23"/>
  <c r="Y37" i="23"/>
  <c r="Y34" i="23"/>
  <c r="Z34" i="23"/>
  <c r="AD36" i="23"/>
  <c r="AE36" i="23" s="1"/>
  <c r="AG36" i="23" s="1"/>
  <c r="AH36" i="23" s="1"/>
  <c r="K36" i="23"/>
  <c r="N36" i="23" s="1"/>
  <c r="L39" i="23"/>
  <c r="O39" i="23" s="1"/>
  <c r="Z48" i="23"/>
  <c r="Y48" i="23"/>
  <c r="AD50" i="23"/>
  <c r="AE50" i="23" s="1"/>
  <c r="AG50" i="23" s="1"/>
  <c r="AH50" i="23" s="1"/>
  <c r="K50" i="23"/>
  <c r="N50" i="23" s="1"/>
  <c r="L6" i="23"/>
  <c r="O6" i="23" s="1"/>
  <c r="Z15" i="23"/>
  <c r="Y15" i="23"/>
  <c r="AD17" i="23"/>
  <c r="AE17" i="23" s="1"/>
  <c r="AG17" i="23" s="1"/>
  <c r="AH17" i="23" s="1"/>
  <c r="K17" i="23"/>
  <c r="N17" i="23" s="1"/>
  <c r="L20" i="23"/>
  <c r="O20" i="23" s="1"/>
  <c r="AD5" i="20"/>
  <c r="AE5" i="20" s="1"/>
  <c r="AG5" i="20" s="1"/>
  <c r="AH5" i="20" s="1"/>
  <c r="K5" i="20"/>
  <c r="N5" i="20" s="1"/>
  <c r="Y17" i="20"/>
  <c r="Z17" i="20"/>
  <c r="AH1" i="20" l="1"/>
  <c r="Q7" i="23"/>
  <c r="AK7" i="23" s="1"/>
  <c r="AH1" i="23"/>
  <c r="AI50" i="23"/>
  <c r="AI9" i="23"/>
  <c r="AA5" i="20"/>
  <c r="AA40" i="23"/>
  <c r="T42" i="23"/>
  <c r="U19" i="23"/>
  <c r="AI9" i="20"/>
  <c r="AA38" i="23"/>
  <c r="AA7" i="20"/>
  <c r="AA7" i="23"/>
  <c r="AI38" i="23"/>
  <c r="AA13" i="23"/>
  <c r="AA42" i="23"/>
  <c r="AI36" i="23"/>
  <c r="P7" i="23"/>
  <c r="AA34" i="23"/>
  <c r="AA19" i="23"/>
  <c r="AI15" i="23"/>
  <c r="U44" i="23"/>
  <c r="U7" i="23"/>
  <c r="AI42" i="23"/>
  <c r="AI19" i="23"/>
  <c r="AA15" i="23"/>
  <c r="U42" i="23"/>
  <c r="AI46" i="23"/>
  <c r="AA15" i="20"/>
  <c r="AI44" i="23"/>
  <c r="T17" i="23"/>
  <c r="AI17" i="23"/>
  <c r="AA46" i="23"/>
  <c r="AI11" i="20"/>
  <c r="AI48" i="23"/>
  <c r="U17" i="20"/>
  <c r="S18" i="20" s="1"/>
  <c r="T40" i="23"/>
  <c r="AI15" i="20"/>
  <c r="AA21" i="23"/>
  <c r="U36" i="23"/>
  <c r="T21" i="23"/>
  <c r="U21" i="23"/>
  <c r="AK21" i="23" s="1"/>
  <c r="P11" i="23"/>
  <c r="Q11" i="23"/>
  <c r="AI34" i="23"/>
  <c r="Q15" i="23"/>
  <c r="P15" i="23"/>
  <c r="AI21" i="23"/>
  <c r="Q48" i="23"/>
  <c r="P48" i="23"/>
  <c r="T44" i="23"/>
  <c r="T15" i="23"/>
  <c r="U15" i="23"/>
  <c r="P5" i="20"/>
  <c r="Q5" i="20"/>
  <c r="P21" i="23"/>
  <c r="Q21" i="23"/>
  <c r="P36" i="23"/>
  <c r="Q36" i="23"/>
  <c r="T50" i="23"/>
  <c r="U50" i="23"/>
  <c r="U34" i="23"/>
  <c r="T34" i="23"/>
  <c r="Q38" i="23"/>
  <c r="P38" i="23"/>
  <c r="P17" i="23"/>
  <c r="Q17" i="23"/>
  <c r="P42" i="23"/>
  <c r="Q42" i="23"/>
  <c r="AA50" i="23"/>
  <c r="T13" i="20"/>
  <c r="U13" i="20"/>
  <c r="AK13" i="20" s="1"/>
  <c r="AA44" i="23"/>
  <c r="AA9" i="20"/>
  <c r="AI13" i="20"/>
  <c r="P15" i="20"/>
  <c r="Q15" i="20"/>
  <c r="AA13" i="20"/>
  <c r="U40" i="23"/>
  <c r="Q13" i="20"/>
  <c r="P13" i="20"/>
  <c r="T5" i="23"/>
  <c r="U5" i="23"/>
  <c r="T15" i="20"/>
  <c r="U15" i="20"/>
  <c r="Q7" i="20"/>
  <c r="AK7" i="20" s="1"/>
  <c r="P7" i="20"/>
  <c r="AA17" i="20"/>
  <c r="P44" i="23"/>
  <c r="Q44" i="23"/>
  <c r="Q34" i="23"/>
  <c r="P34" i="23"/>
  <c r="AA11" i="20"/>
  <c r="P17" i="20"/>
  <c r="Q17" i="20"/>
  <c r="T11" i="23"/>
  <c r="U11" i="23"/>
  <c r="AI7" i="23"/>
  <c r="Q9" i="23"/>
  <c r="AK9" i="23" s="1"/>
  <c r="P9" i="23"/>
  <c r="P5" i="23"/>
  <c r="Q5" i="23"/>
  <c r="T48" i="23"/>
  <c r="U48" i="23"/>
  <c r="T11" i="20"/>
  <c r="U11" i="20"/>
  <c r="T38" i="23"/>
  <c r="U38" i="23"/>
  <c r="P19" i="23"/>
  <c r="Q19" i="23"/>
  <c r="T5" i="20"/>
  <c r="U5" i="20"/>
  <c r="U17" i="23"/>
  <c r="AA36" i="23"/>
  <c r="AI11" i="23"/>
  <c r="Q46" i="23"/>
  <c r="P46" i="23"/>
  <c r="T7" i="20"/>
  <c r="U7" i="20"/>
  <c r="T13" i="23"/>
  <c r="U13" i="23"/>
  <c r="AA48" i="23"/>
  <c r="Q13" i="23"/>
  <c r="P13" i="23"/>
  <c r="T7" i="23"/>
  <c r="AI5" i="20"/>
  <c r="T36" i="23"/>
  <c r="T17" i="20"/>
  <c r="AA17" i="23"/>
  <c r="P50" i="23"/>
  <c r="Q50" i="23"/>
  <c r="Q11" i="20"/>
  <c r="P11" i="20"/>
  <c r="AI7" i="20"/>
  <c r="AI13" i="23"/>
  <c r="P9" i="20"/>
  <c r="Q9" i="20"/>
  <c r="T9" i="20"/>
  <c r="U9" i="20"/>
  <c r="AI40" i="23"/>
  <c r="T46" i="23"/>
  <c r="U46" i="23"/>
  <c r="AI17" i="20"/>
  <c r="T9" i="23"/>
  <c r="U9" i="23"/>
  <c r="Q40" i="23"/>
  <c r="P40" i="23"/>
  <c r="AA9" i="23"/>
  <c r="T19" i="23"/>
  <c r="AA11" i="23"/>
  <c r="S18" i="23" l="1"/>
  <c r="AK17" i="23"/>
  <c r="AI1" i="20"/>
  <c r="AJ2" i="23" s="1"/>
  <c r="W12" i="23"/>
  <c r="R12" i="23"/>
  <c r="V12" i="23"/>
  <c r="S12" i="23"/>
  <c r="S6" i="23"/>
  <c r="V6" i="23"/>
  <c r="W6" i="23"/>
  <c r="R6" i="23"/>
  <c r="V45" i="23"/>
  <c r="S45" i="23"/>
  <c r="W45" i="23"/>
  <c r="R45" i="23"/>
  <c r="V41" i="23"/>
  <c r="S41" i="23"/>
  <c r="W41" i="23"/>
  <c r="R41" i="23"/>
  <c r="V37" i="23"/>
  <c r="S37" i="23"/>
  <c r="W49" i="23"/>
  <c r="R49" i="23"/>
  <c r="W37" i="23"/>
  <c r="R37" i="23"/>
  <c r="V51" i="23"/>
  <c r="S51" i="23"/>
  <c r="V49" i="23"/>
  <c r="S49" i="23"/>
  <c r="W47" i="23"/>
  <c r="R47" i="23"/>
  <c r="W51" i="23"/>
  <c r="R51" i="23"/>
  <c r="V47" i="23"/>
  <c r="S47" i="23"/>
  <c r="V22" i="23"/>
  <c r="S22" i="23"/>
  <c r="W22" i="23"/>
  <c r="R22" i="23"/>
  <c r="V20" i="23"/>
  <c r="S20" i="23"/>
  <c r="R18" i="23"/>
  <c r="W18" i="23"/>
  <c r="R20" i="23"/>
  <c r="W20" i="23"/>
  <c r="V18" i="23"/>
  <c r="V14" i="23"/>
  <c r="S14" i="23"/>
  <c r="W14" i="23"/>
  <c r="R14" i="23"/>
  <c r="W10" i="23"/>
  <c r="R10" i="23"/>
  <c r="V10" i="23"/>
  <c r="S10" i="23"/>
  <c r="V8" i="23"/>
  <c r="S8" i="23"/>
  <c r="W8" i="23"/>
  <c r="R8" i="23"/>
  <c r="AI1" i="23"/>
  <c r="V18" i="20"/>
  <c r="W18" i="20"/>
  <c r="R18" i="20"/>
  <c r="V14" i="20"/>
  <c r="S14" i="20"/>
  <c r="V12" i="20"/>
  <c r="S12" i="20"/>
  <c r="W12" i="20"/>
  <c r="R12" i="20"/>
  <c r="V10" i="20"/>
  <c r="S10" i="20"/>
  <c r="W14" i="20"/>
  <c r="R14" i="20"/>
  <c r="W16" i="20"/>
  <c r="R16" i="20"/>
  <c r="R8" i="20"/>
  <c r="W8" i="20"/>
  <c r="R10" i="20"/>
  <c r="W10" i="20"/>
  <c r="V6" i="20"/>
  <c r="S6" i="20"/>
  <c r="W6" i="20"/>
  <c r="R6" i="20"/>
  <c r="V8" i="20"/>
  <c r="S8" i="20"/>
  <c r="S16" i="20"/>
  <c r="V16" i="20"/>
  <c r="AE1" i="2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<sst xmlns="http://schemas.openxmlformats.org/spreadsheetml/2006/main" count="2055" uniqueCount="357">
  <si>
    <t>IBKR</t>
  </si>
  <si>
    <t>my_pf_name</t>
  </si>
  <si>
    <t>my_fi_name</t>
  </si>
  <si>
    <t>VTEB</t>
  </si>
  <si>
    <t>MUB</t>
  </si>
  <si>
    <t>SCHZ</t>
  </si>
  <si>
    <t>SPAB</t>
  </si>
  <si>
    <t>BND</t>
  </si>
  <si>
    <t>AGG</t>
  </si>
  <si>
    <t>moving_avg_days</t>
  </si>
  <si>
    <t>Keys</t>
  </si>
  <si>
    <t>Values</t>
  </si>
  <si>
    <t>SPHY</t>
  </si>
  <si>
    <t>SCYB</t>
  </si>
  <si>
    <t>HYLB</t>
  </si>
  <si>
    <t>USHY</t>
  </si>
  <si>
    <t>HYG</t>
  </si>
  <si>
    <t>JNK</t>
  </si>
  <si>
    <t>SPMB</t>
  </si>
  <si>
    <t>VMBS</t>
  </si>
  <si>
    <t>MBB</t>
  </si>
  <si>
    <t>TFI</t>
  </si>
  <si>
    <t>SPLB</t>
  </si>
  <si>
    <t>IGLB</t>
  </si>
  <si>
    <t>VCLT</t>
  </si>
  <si>
    <t>SPTL</t>
  </si>
  <si>
    <t>SCHQ</t>
  </si>
  <si>
    <t>VGLT</t>
  </si>
  <si>
    <t>SPBO</t>
  </si>
  <si>
    <t>USIG</t>
  </si>
  <si>
    <t>VTC</t>
  </si>
  <si>
    <t>CORP</t>
  </si>
  <si>
    <t>pct</t>
  </si>
  <si>
    <t>multiplier</t>
  </si>
  <si>
    <t>trading_inputs_sheet</t>
  </si>
  <si>
    <t>$A$1</t>
  </si>
  <si>
    <t>my_prod_type</t>
  </si>
  <si>
    <t>size_screen_bid</t>
  </si>
  <si>
    <t>size_screen_ask</t>
  </si>
  <si>
    <t>price_screen_close</t>
  </si>
  <si>
    <t>time</t>
  </si>
  <si>
    <t>equity</t>
  </si>
  <si>
    <t>ANGL</t>
  </si>
  <si>
    <t>BNDX</t>
  </si>
  <si>
    <t>BWX</t>
  </si>
  <si>
    <t>CMF</t>
  </si>
  <si>
    <t>CWB</t>
  </si>
  <si>
    <t>EMB</t>
  </si>
  <si>
    <t>FALN</t>
  </si>
  <si>
    <t>IAGG</t>
  </si>
  <si>
    <t>ICVT</t>
  </si>
  <si>
    <t>IGOV</t>
  </si>
  <si>
    <t>PFF</t>
  </si>
  <si>
    <t>PFFD</t>
  </si>
  <si>
    <t>SCHH</t>
  </si>
  <si>
    <t>USRT</t>
  </si>
  <si>
    <t>VTEC</t>
  </si>
  <si>
    <t>VWOB</t>
  </si>
  <si>
    <t>position</t>
  </si>
  <si>
    <t>symbol</t>
  </si>
  <si>
    <t>scalar</t>
  </si>
  <si>
    <t>best_unit_cf</t>
  </si>
  <si>
    <t>hit bid</t>
  </si>
  <si>
    <t>lift ask</t>
  </si>
  <si>
    <t>rows</t>
  </si>
  <si>
    <t>mkt data</t>
  </si>
  <si>
    <t>mkt prices</t>
  </si>
  <si>
    <t>bid</t>
  </si>
  <si>
    <t>ask</t>
  </si>
  <si>
    <t>unit cf</t>
  </si>
  <si>
    <t>current position</t>
  </si>
  <si>
    <t>shs</t>
  </si>
  <si>
    <t>net units</t>
  </si>
  <si>
    <t>FIs_sheet</t>
  </si>
  <si>
    <t>FIs_table</t>
  </si>
  <si>
    <t>trading_inputs_upload_cell</t>
  </si>
  <si>
    <t>margin</t>
  </si>
  <si>
    <t>net price</t>
  </si>
  <si>
    <t>enter</t>
  </si>
  <si>
    <t>exit</t>
  </si>
  <si>
    <t>lift top/hit bottom</t>
  </si>
  <si>
    <t>hit top/lift bottom</t>
  </si>
  <si>
    <t>buy top</t>
  </si>
  <si>
    <t>sell top</t>
  </si>
  <si>
    <t>units</t>
  </si>
  <si>
    <t>$val</t>
  </si>
  <si>
    <t>cd git-projects\trading\stat_arb</t>
  </si>
  <si>
    <t>python App_StatArb_Trade.py</t>
  </si>
  <si>
    <t>anchor</t>
  </si>
  <si>
    <t>FSTA</t>
  </si>
  <si>
    <t>VDC</t>
  </si>
  <si>
    <t>XLP</t>
  </si>
  <si>
    <t>FENY</t>
  </si>
  <si>
    <t>IYE</t>
  </si>
  <si>
    <t>VDE</t>
  </si>
  <si>
    <t>XLE</t>
  </si>
  <si>
    <t>IYF</t>
  </si>
  <si>
    <t>VFH</t>
  </si>
  <si>
    <t>XLF</t>
  </si>
  <si>
    <t>FHLC</t>
  </si>
  <si>
    <t>IYH</t>
  </si>
  <si>
    <t>VHT</t>
  </si>
  <si>
    <t>XLV</t>
  </si>
  <si>
    <t>FIDU</t>
  </si>
  <si>
    <t>XLI</t>
  </si>
  <si>
    <t>FREL</t>
  </si>
  <si>
    <t>IYR</t>
  </si>
  <si>
    <t>VNQ</t>
  </si>
  <si>
    <t>XLRE</t>
  </si>
  <si>
    <t>FTEC</t>
  </si>
  <si>
    <t>IYW</t>
  </si>
  <si>
    <t>VGT</t>
  </si>
  <si>
    <t>XLK</t>
  </si>
  <si>
    <t>FUTY</t>
  </si>
  <si>
    <t>IDU</t>
  </si>
  <si>
    <t>VPU</t>
  </si>
  <si>
    <t>XLU</t>
  </si>
  <si>
    <t>sector</t>
  </si>
  <si>
    <t>staples</t>
  </si>
  <si>
    <t>utilities</t>
  </si>
  <si>
    <t>real estate</t>
  </si>
  <si>
    <t>energy</t>
  </si>
  <si>
    <t>healthcare</t>
  </si>
  <si>
    <t>financials</t>
  </si>
  <si>
    <t>discretionary</t>
  </si>
  <si>
    <t>FNCL</t>
  </si>
  <si>
    <t>VIS</t>
  </si>
  <si>
    <t>IYJ</t>
  </si>
  <si>
    <t>IYK</t>
  </si>
  <si>
    <t>anchor_inputs</t>
  </si>
  <si>
    <t>div_treatment</t>
  </si>
  <si>
    <t>fixed income</t>
  </si>
  <si>
    <t>agg</t>
  </si>
  <si>
    <t>fallen angels</t>
  </si>
  <si>
    <t>corps</t>
  </si>
  <si>
    <t>em gov -us</t>
  </si>
  <si>
    <t>intl agg - hedged</t>
  </si>
  <si>
    <t>converts</t>
  </si>
  <si>
    <t>intl gov - unhedged</t>
  </si>
  <si>
    <t>hi yld</t>
  </si>
  <si>
    <t>mortgages</t>
  </si>
  <si>
    <t>munis</t>
  </si>
  <si>
    <t>prefs</t>
  </si>
  <si>
    <t>long term corps</t>
  </si>
  <si>
    <t>long term tsy</t>
  </si>
  <si>
    <t>calif munis</t>
  </si>
  <si>
    <t>technology</t>
  </si>
  <si>
    <t>div adj</t>
  </si>
  <si>
    <t>div_adj</t>
  </si>
  <si>
    <t>adv</t>
  </si>
  <si>
    <t>industrials</t>
  </si>
  <si>
    <t>TRUE/FALSE</t>
  </si>
  <si>
    <t>profit_margin</t>
  </si>
  <si>
    <t>buy_or_sell</t>
  </si>
  <si>
    <t>g_or_p</t>
  </si>
  <si>
    <t>buy_size</t>
  </si>
  <si>
    <t>sell_size</t>
  </si>
  <si>
    <t>SCALARS</t>
  </si>
  <si>
    <t>scalar_outputs_download_cell</t>
  </si>
  <si>
    <t>scalar_outputs_sheet</t>
  </si>
  <si>
    <t>avg_daily_volume</t>
  </si>
  <si>
    <t>simple moving avg</t>
  </si>
  <si>
    <t>add 1st div between ex-dates</t>
  </si>
  <si>
    <t>annual div accumulation</t>
  </si>
  <si>
    <t>shop-shop*usdcad</t>
  </si>
  <si>
    <t>GOOG</t>
  </si>
  <si>
    <t>GOOGL</t>
  </si>
  <si>
    <t>FOX</t>
  </si>
  <si>
    <t>FOXA</t>
  </si>
  <si>
    <t>NWS</t>
  </si>
  <si>
    <t>NWSA</t>
  </si>
  <si>
    <t>HEI</t>
  </si>
  <si>
    <t>FDIS</t>
  </si>
  <si>
    <t>IYC</t>
  </si>
  <si>
    <t>XLY</t>
  </si>
  <si>
    <t>VCR</t>
  </si>
  <si>
    <t>google</t>
  </si>
  <si>
    <t>fox corp</t>
  </si>
  <si>
    <t>news corp</t>
  </si>
  <si>
    <t>heico</t>
  </si>
  <si>
    <t>HEI A</t>
  </si>
  <si>
    <t>berkshire</t>
  </si>
  <si>
    <t>BRK A</t>
  </si>
  <si>
    <t>BRK B</t>
  </si>
  <si>
    <t>SMH</t>
  </si>
  <si>
    <t>SOXX</t>
  </si>
  <si>
    <t>XBI</t>
  </si>
  <si>
    <t>IBB</t>
  </si>
  <si>
    <t>AERO</t>
  </si>
  <si>
    <t>ITA</t>
  </si>
  <si>
    <t>PPA</t>
  </si>
  <si>
    <t>SHLD</t>
  </si>
  <si>
    <t>XAR</t>
  </si>
  <si>
    <t>IDEF</t>
  </si>
  <si>
    <t>KBE</t>
  </si>
  <si>
    <t>KBWB</t>
  </si>
  <si>
    <t>REIT</t>
  </si>
  <si>
    <t>ICF</t>
  </si>
  <si>
    <t>RWR</t>
  </si>
  <si>
    <t>INFRA</t>
  </si>
  <si>
    <t>DFAR - active?</t>
  </si>
  <si>
    <t>scalars</t>
  </si>
  <si>
    <t>close</t>
  </si>
  <si>
    <t>div</t>
  </si>
  <si>
    <t>chg</t>
  </si>
  <si>
    <t>pnl</t>
  </si>
  <si>
    <t>avg of</t>
  </si>
  <si>
    <t>TOTAL</t>
  </si>
  <si>
    <t>bid / ask</t>
  </si>
  <si>
    <t>price</t>
  </si>
  <si>
    <t>total</t>
  </si>
  <si>
    <t>price w/ comm &amp; div</t>
  </si>
  <si>
    <t>countries</t>
  </si>
  <si>
    <t>regions</t>
  </si>
  <si>
    <t>semis</t>
  </si>
  <si>
    <t>biotech</t>
  </si>
  <si>
    <t>aerospace</t>
  </si>
  <si>
    <t>banks</t>
  </si>
  <si>
    <t>grouping</t>
  </si>
  <si>
    <t>subgroup</t>
  </si>
  <si>
    <t>sector alt</t>
  </si>
  <si>
    <t>price_screen_bid</t>
  </si>
  <si>
    <t>price_screen_ask</t>
  </si>
  <si>
    <t>pref vs pref - espcially banks and fin companies</t>
  </si>
  <si>
    <t>IBDR</t>
  </si>
  <si>
    <t>BSCQ</t>
  </si>
  <si>
    <t>IBDS</t>
  </si>
  <si>
    <t>BSCR</t>
  </si>
  <si>
    <t>IBDT</t>
  </si>
  <si>
    <t>BSCS</t>
  </si>
  <si>
    <t>IBDU</t>
  </si>
  <si>
    <t>BSCT</t>
  </si>
  <si>
    <t>IBDV</t>
  </si>
  <si>
    <t>BSCU</t>
  </si>
  <si>
    <t>IBDW</t>
  </si>
  <si>
    <t>BSCV</t>
  </si>
  <si>
    <t>IBDX</t>
  </si>
  <si>
    <t>BSCW</t>
  </si>
  <si>
    <t>IBDY</t>
  </si>
  <si>
    <t>BSCX</t>
  </si>
  <si>
    <t>IBDZ</t>
  </si>
  <si>
    <t>BSCY</t>
  </si>
  <si>
    <t>IBCA</t>
  </si>
  <si>
    <t>BSCZ</t>
  </si>
  <si>
    <t>UA</t>
  </si>
  <si>
    <t>UAA</t>
  </si>
  <si>
    <t>under armour</t>
  </si>
  <si>
    <t>brown foreman</t>
  </si>
  <si>
    <t>BF A</t>
  </si>
  <si>
    <t>BF B</t>
  </si>
  <si>
    <t>moog</t>
  </si>
  <si>
    <t>MOG A</t>
  </si>
  <si>
    <t>MOG B</t>
  </si>
  <si>
    <t>lenar</t>
  </si>
  <si>
    <t>LEN</t>
  </si>
  <si>
    <t>LEN B</t>
  </si>
  <si>
    <t>atlanta braves</t>
  </si>
  <si>
    <t>BATRA</t>
  </si>
  <si>
    <t>BATRK</t>
  </si>
  <si>
    <t>Company</t>
  </si>
  <si>
    <t>Pair</t>
  </si>
  <si>
    <t>Structure</t>
  </si>
  <si>
    <t>My note</t>
  </si>
  <si>
    <t>Class A / Class C</t>
  </si>
  <si>
    <t>Series A / Series C</t>
  </si>
  <si>
    <t>Liberty Global</t>
  </si>
  <si>
    <t>LBTYA / LBTYK</t>
  </si>
  <si>
    <t>Very interesting; also LBTYB exists (SEC)</t>
  </si>
  <si>
    <t>Liberty Latin America</t>
  </si>
  <si>
    <t>LILA / LILAK</t>
  </si>
  <si>
    <t>Very interesting; both Nasdaq-listed (SEC)</t>
  </si>
  <si>
    <t>Liberty Media / Formula One</t>
  </si>
  <si>
    <t>FWONA / FWONK</t>
  </si>
  <si>
    <t>Particularly interesting now; both Nasdaq-listed (SEC)</t>
  </si>
  <si>
    <t>Liberty Capital / GCI</t>
  </si>
  <si>
    <t>GLIBA / GLIBK</t>
  </si>
  <si>
    <t>Newer pair; both Nasdaq-listed</t>
  </si>
  <si>
    <t>Z</t>
  </si>
  <si>
    <t>ZG</t>
  </si>
  <si>
    <t>zillow</t>
  </si>
  <si>
    <t>PFF vs PGX vs PFXF</t>
  </si>
  <si>
    <t>are there many Canadian, Mexican and South American ADRs? they are in my time zone</t>
  </si>
  <si>
    <t>Good instinct on the time zone — that actually changes the trade's character quite a bit, not just its convenience. Let me break down availability first, then the mechanism difference.</t>
  </si>
  <si>
    <r>
      <t>Canada</t>
    </r>
    <r>
      <rPr>
        <sz val="11"/>
        <color theme="1"/>
        <rFont val="Aptos Narrow"/>
        <family val="2"/>
        <scheme val="minor"/>
      </rPr>
      <t xml:space="preserve"> — technically the smallest ADR opportunity set, but for a good reason: most large Canadian names aren't ADRs at all, they're </t>
    </r>
    <r>
      <rPr>
        <b/>
        <sz val="11"/>
        <color theme="1"/>
        <rFont val="Aptos Narrow"/>
        <family val="2"/>
        <scheme val="minor"/>
      </rPr>
      <t>interlisted ordinary shares</t>
    </r>
    <r>
      <rPr>
        <sz val="11"/>
        <color theme="1"/>
        <rFont val="Aptos Narrow"/>
        <family val="2"/>
        <scheme val="minor"/>
      </rPr>
      <t xml:space="preserve"> trading directly on both the TSX and NYSE/Nasdaq under the same or a very similar ticker (RY, TD, BMO, BNS, CNQ, SU, ENB, SHOP, CP, CNI). No depositary bank, no conversion ratio, no depositary fee — it's the identical share, just listed on two exchanges. This is actually a </t>
    </r>
    <r>
      <rPr>
        <i/>
        <sz val="11"/>
        <color theme="1"/>
        <rFont val="Aptos Narrow"/>
        <family val="2"/>
        <scheme val="minor"/>
      </rPr>
      <t>cleaner</t>
    </r>
    <r>
      <rPr>
        <sz val="11"/>
        <color theme="1"/>
        <rFont val="Aptos Narrow"/>
        <family val="2"/>
        <scheme val="minor"/>
      </rPr>
      <t xml:space="preserve"> trade than true ADR arb: the only frictions left are FX (CAD/USD) and cross-border settlement/liquidity timing, since both legs trade during full overlapping hours (TSX and NYSE both run ~9:30am–4pm ET). This is close to your GOOG/GOOGL trade with an FX leg bolted on, rather than classic ADR arb.</t>
    </r>
  </si>
  <si>
    <r>
      <t>Mexico</t>
    </r>
    <r>
      <rPr>
        <sz val="11"/>
        <color theme="1"/>
        <rFont val="Aptos Narrow"/>
        <family val="2"/>
        <scheme val="minor"/>
      </rPr>
      <t xml:space="preserve"> — a real but moderate set of true ADRs: América Móvil (AMX), Cemex (CX, fixed 10:1 ratio confirmed against the CEMEX.CPO Mexico line), and a handful of others (Grupo Televisa, Vitro historically, Grupo Aeroportuario names). Mexican and US markets overlap almost entirely (Mexico City is US Central time), so again you lose the overnight-gap dynamic — but Cemex is liquid enough on both sides to be a workable real-time basis trade, and the peso adds a genuine FX-hedging leg since USD/MXN moves are non-trivial.</t>
    </r>
  </si>
  <si>
    <r>
      <t>Brazil</t>
    </r>
    <r>
      <rPr>
        <sz val="11"/>
        <color theme="1"/>
        <rFont val="Aptos Narrow"/>
        <family val="2"/>
        <scheme val="minor"/>
      </rPr>
      <t xml:space="preserve"> — the deepest South American ADR list: Petrobras (PBR/PBR-A), Vale (VALE), Itaú Unibanco (ITUB), Banco Bradesco (BBD), Ambev (ABEV), Gerdau (GGB), and more. Brazil is only 1-2 hours ahead of US Eastern depending on DST alignment, so overlap is substantial for most of the US trading day — similar dynamic to Mexico.</t>
    </r>
  </si>
  <si>
    <r>
      <t>Argentina</t>
    </r>
    <r>
      <rPr>
        <sz val="11"/>
        <color theme="1"/>
        <rFont val="Aptos Narrow"/>
        <family val="2"/>
        <scheme val="minor"/>
      </rPr>
      <t xml:space="preserve"> — disproportionately ADR-heavy relative to the size of its market, because Argentine capital controls have historically pushed a lot of trading volume into the ADR structure rather than the local Buenos Aires exchange. Confirmed a long list still active: YPF, Grupo Financiero Galicia (GGAL), Banco Macro (BMA), BBVA Argentina (BBAR), Grupo Supervielle (SUPV), IRSA, Telecom Argentina (TEO), Pampa Energía, Vista Energy, Cresud (CRESY), Loma Negra, Adecoagro, Corporación América Airports (CAAP), Transportadora de Gas del Sur — a genuinely rich set for a systematic screener, and Argentina trades same time zone as US Eastern (no offset at all most of the year).</t>
    </r>
  </si>
  <si>
    <r>
      <t>Chile, Peru, Colombia</t>
    </r>
    <r>
      <rPr>
        <sz val="11"/>
        <color theme="1"/>
        <rFont val="Aptos Narrow"/>
        <family val="2"/>
        <scheme val="minor"/>
      </rPr>
      <t xml:space="preserve"> — thin. A handful of ADRs each (e.g., Banco de Chile, Credicorp for Peru, Bancolombia, Ecopetrol), generally lower liquidity, wider spreads — workable but you'll be capacity-constrained fast.</t>
    </r>
  </si>
  <si>
    <t>Why the time-zone overlap changes the trade, not just the convenience</t>
  </si>
  <si>
    <r>
      <t xml:space="preserve">For Asian/European ADRs, a meaningful chunk of the "edge" is really a forecasting problem — the ADR is stale against an overnight move you haven't seen yet, so you're pricing in expected home-market reaction, which is closer to alpha generation than arb. With Canada/Mexico/Argentina/Brazil trading concurrently (or near-concurrently) with the US, that overnight-gap source of edge mostly disappears — which is good for you in one sense (removes a forecasting risk you can't easily model) but means the remaining edge is purely mechanical: bid-ask/liquidity mismatches between the two listings, real-time FX slippage, and periodic conversion-ratio or corporate-action mispricings. That's a </t>
    </r>
    <r>
      <rPr>
        <i/>
        <sz val="11"/>
        <color theme="1"/>
        <rFont val="Aptos Narrow"/>
        <family val="2"/>
        <scheme val="minor"/>
      </rPr>
      <t>higher win-rate, lower magnitude-per-trade</t>
    </r>
    <r>
      <rPr>
        <sz val="11"/>
        <color theme="1"/>
        <rFont val="Aptos Narrow"/>
        <family val="2"/>
        <scheme val="minor"/>
      </rPr>
      <t xml:space="preserve"> profile — much closer in character to your existing pairs trades than to the classical ADR-arb literature, which is written almost entirely around the Asian/European overnight-gap case.</t>
    </r>
  </si>
  <si>
    <t>Given your IBKR access already covers TSX, BMV (Mexico), B3 (Brazil), and BYMA (Argentina), this is one of the more directly executable extensions of what you're already running — the Canadian interlisted names in particular are close to a drop-in addition to your existing screener with an FX-hedge module bolted on.</t>
  </si>
  <si>
    <t>pair</t>
  </si>
  <si>
    <t>sell</t>
  </si>
  <si>
    <t>buy</t>
  </si>
  <si>
    <t>max/min</t>
  </si>
  <si>
    <t>diff/pct</t>
  </si>
  <si>
    <t>bid/ask</t>
  </si>
  <si>
    <t>group</t>
  </si>
  <si>
    <t>2026 tgt</t>
  </si>
  <si>
    <t>2027 tgt</t>
  </si>
  <si>
    <t>2028 tgt</t>
  </si>
  <si>
    <t>2029 tgt</t>
  </si>
  <si>
    <t>2030 tgt</t>
  </si>
  <si>
    <t>2031 tgt</t>
  </si>
  <si>
    <t>2032 tgt</t>
  </si>
  <si>
    <t>2033 tgt</t>
  </si>
  <si>
    <t>2034 tgt</t>
  </si>
  <si>
    <t>2035 tgt</t>
  </si>
  <si>
    <t>trade relative discounts in similar securities</t>
  </si>
  <si>
    <t>add PGX to PFFD/PFF if cumulative dividends</t>
  </si>
  <si>
    <t>BSJQ</t>
  </si>
  <si>
    <t>IBHF</t>
  </si>
  <si>
    <t>BSJR</t>
  </si>
  <si>
    <t>IBHG</t>
  </si>
  <si>
    <t>BSJS</t>
  </si>
  <si>
    <t>IBHH</t>
  </si>
  <si>
    <t>BSJT</t>
  </si>
  <si>
    <t>IBHI</t>
  </si>
  <si>
    <t>BSJU</t>
  </si>
  <si>
    <t>IBHJ</t>
  </si>
  <si>
    <t>BSJV</t>
  </si>
  <si>
    <t>IBHK</t>
  </si>
  <si>
    <t>BSJW</t>
  </si>
  <si>
    <t>IBHL</t>
  </si>
  <si>
    <t>BSMQ</t>
  </si>
  <si>
    <t>IBMO</t>
  </si>
  <si>
    <t>BSMR</t>
  </si>
  <si>
    <t>IBMP</t>
  </si>
  <si>
    <t>BSMS</t>
  </si>
  <si>
    <t>IBMQ</t>
  </si>
  <si>
    <t>BSMT</t>
  </si>
  <si>
    <t>IBMR</t>
  </si>
  <si>
    <t>BSMU</t>
  </si>
  <si>
    <t>IBMS</t>
  </si>
  <si>
    <t>BSMV</t>
  </si>
  <si>
    <t>IBMT</t>
  </si>
  <si>
    <t>BSGR</t>
  </si>
  <si>
    <t>IBTH</t>
  </si>
  <si>
    <t>BSTS</t>
  </si>
  <si>
    <t>IBTI</t>
  </si>
  <si>
    <t>BSGT</t>
  </si>
  <si>
    <t>IBTJ</t>
  </si>
  <si>
    <t>BSTU</t>
  </si>
  <si>
    <t>IBTK</t>
  </si>
  <si>
    <t>BSTV</t>
  </si>
  <si>
    <t>IBTL</t>
  </si>
  <si>
    <t>If you mean traditional U.S. exchange-traded closed-end funds (CEFs), the latest ICI count is 338 funds as of June 30, 2026. That breaks down into:</t>
  </si>
  <si>
    <t>203 bond CEFs</t>
  </si>
  <si>
    <t>135 equity CEFs</t>
  </si>
  <si>
    <t>Those funds had about $267 billion of assets. ICI</t>
  </si>
  <si>
    <t>The count has been shrinking: 393 at year-end 2024 → 364 at year-end 2025 → 347 in Q1 2026 → 338 in Q2 2026, largely because of mergers, liquidations, and conversions. ICI</t>
  </si>
  <si>
    <t>There are more entities if you use the broader legal definition of “closed-end fund.” At year-end 2025, ICI counted 816 total, including interval funds, tender-offer funds, and BDCs. But for what I think you're asking about — tickered CEFs you could potentially trade against each other — think roughly 340 securities. ICI</t>
  </si>
  <si>
    <t>Given what you're doing with ETF pairs, the interesting next question is probably: how many of those 338 have another CEF with a sufficiently similar portfolio/mandate to make a sensible pairs trade? That universe could be quite substantial.</t>
  </si>
  <si>
    <t>bank loans</t>
  </si>
  <si>
    <t>AFTER 9:30am!</t>
  </si>
  <si>
    <t>MAYBE DIV METHOD 2?</t>
  </si>
  <si>
    <t>2026-09-29_16-03-12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</si>
</sst>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 #,##0.0000_);_(* \(#,##0.0000\);_(* &quot;-&quot;??_);_(@_)"/>
    <numFmt numFmtId="165" formatCode="_(* #,##0_);_(* \(#,##0\);_(* &quot;-&quot;??_);_(@_)"/>
    <numFmt numFmtId="166" formatCode="_(&quot;$&quot;* #,##0.000_);_(&quot;$&quot;* \(#,##0.000\);_(&quot;$&quot;* &quot;-&quot;??_);_(@_)"/>
    <numFmt numFmtId="167" formatCode="0.000%"/>
    <numFmt numFmtId="168" formatCode="_(&quot;$&quot;* #,##0_);_(&quot;$&quot;* \(#,##0\);_(&quot;$&quot;* &quot;-&quot;??_);_(@_)"/>
    <numFmt numFmtId="169" formatCode="0.0000"/>
    <numFmt numFmtId="170" formatCode="0.00000"/>
    <numFmt numFmtId="171" formatCode="_(* #,##0.0000_);_(* \(#,##0.0000\);_(* &quot;-&quot;????_);_(@_)"/>
    <numFmt numFmtId="172" formatCode="_(&quot;$&quot;* #,##0.0000_);_(&quot;$&quot;* \(#,##0.0000\);_(&quot;$&quot;* &quot;-&quot;??_);_(@_)"/>
    <numFmt numFmtId="173" formatCode="_(&quot;$&quot;* #,##0.000000_);_(&quot;$&quot;* \(#,##0.000000\);_(&quot;$&quot;* &quot;-&quot;??_);_(@_)"/>
    <numFmt numFmtId="174" formatCode="&quot;$&quot;#,##0.0000"/>
  </numFmts>
  <fonts count="27" x14ac:knownFonts="1">
    <font>
      <sz val="11"/>
      <color theme="1"/>
      <name val="Aptos Narrow"/>
      <family val="2"/>
      <scheme val="minor"/>
    </font>
    <font>
      <sz val="11"/>
      <color theme="1"/>
      <name val="Aptos Narrow"/>
      <family val="2"/>
      <scheme val="minor"/>
    </font>
    <font>
      <sz val="8"/>
      <name val="Aptos Narrow"/>
      <family val="2"/>
      <scheme val="minor"/>
    </font>
    <font>
      <b/>
      <u/>
      <sz val="11"/>
      <color theme="1"/>
      <name val="Aptos Narrow"/>
      <family val="2"/>
      <scheme val="minor"/>
    </font>
    <font>
      <b/>
      <sz val="11"/>
      <color theme="1"/>
      <name val="Aptos Narrow"/>
      <family val="2"/>
      <scheme val="minor"/>
    </font>
    <font>
      <b/>
      <sz val="9"/>
      <color theme="1"/>
      <name val="Aptos Narrow"/>
      <family val="2"/>
      <scheme val="minor"/>
    </font>
    <font>
      <b/>
      <u/>
      <sz val="9"/>
      <color theme="1"/>
      <name val="Aptos Narrow"/>
      <family val="2"/>
      <scheme val="minor"/>
    </font>
    <font>
      <b/>
      <u/>
      <sz val="9"/>
      <color theme="0" tint="-0.499984740745262"/>
      <name val="Aptos Narrow"/>
      <family val="2"/>
      <scheme val="minor"/>
    </font>
    <font>
      <sz val="11"/>
      <color theme="0" tint="-0.499984740745262"/>
      <name val="Aptos Narrow"/>
      <family val="2"/>
      <scheme val="minor"/>
    </font>
    <font>
      <b/>
      <sz val="9"/>
      <color theme="0" tint="-0.499984740745262"/>
      <name val="Aptos Narrow"/>
      <family val="2"/>
      <scheme val="minor"/>
    </font>
    <font>
      <b/>
      <sz val="9"/>
      <color rgb="FFFF0000"/>
      <name val="Aptos Narrow"/>
      <family val="2"/>
      <scheme val="minor"/>
    </font>
    <font>
      <b/>
      <sz val="11"/>
      <name val="Aptos Narrow"/>
      <family val="2"/>
      <scheme val="minor"/>
    </font>
    <font>
      <b/>
      <sz val="11"/>
      <color rgb="FF7030A0"/>
      <name val="Aptos Narrow"/>
      <family val="2"/>
      <scheme val="minor"/>
    </font>
    <font>
      <sz val="11"/>
      <name val="Aptos Narrow"/>
      <family val="2"/>
      <scheme val="minor"/>
    </font>
    <font>
      <sz val="9"/>
      <color theme="1"/>
      <name val="Aptos Narrow"/>
      <family val="2"/>
      <scheme val="minor"/>
    </font>
    <font>
      <strike/>
      <sz val="11"/>
      <color theme="1"/>
      <name val="Aptos Narrow"/>
      <family val="2"/>
      <scheme val="minor"/>
    </font>
    <font>
      <sz val="12"/>
      <color theme="1"/>
      <name val="Arial"/>
      <family val="2"/>
    </font>
    <font>
      <b/>
      <sz val="11"/>
      <color theme="0" tint="-0.499984740745262"/>
      <name val="Aptos Narrow"/>
      <family val="2"/>
      <scheme val="minor"/>
    </font>
    <font>
      <b/>
      <sz val="11"/>
      <color rgb="FF0070C0"/>
      <name val="Aptos Narrow"/>
      <family val="2"/>
      <scheme val="minor"/>
    </font>
    <font>
      <b/>
      <sz val="11"/>
      <color rgb="FFFF0000"/>
      <name val="Aptos Narrow"/>
      <family val="2"/>
      <scheme val="minor"/>
    </font>
    <font>
      <b/>
      <sz val="9"/>
      <name val="Aptos Narrow"/>
      <family val="2"/>
      <scheme val="minor"/>
    </font>
    <font>
      <b/>
      <u/>
      <sz val="9"/>
      <name val="Aptos Narrow"/>
      <family val="2"/>
      <scheme val="minor"/>
    </font>
    <font>
      <sz val="11"/>
      <color rgb="FFFF0000"/>
      <name val="Aptos Narrow"/>
      <family val="2"/>
      <scheme val="minor"/>
    </font>
    <font>
      <b/>
      <sz val="11"/>
      <color theme="8"/>
      <name val="Aptos Narrow"/>
      <family val="2"/>
      <scheme val="minor"/>
    </font>
    <font>
      <b/>
      <strike/>
      <sz val="11"/>
      <color rgb="FFFF0000"/>
      <name val="Aptos Narrow"/>
      <family val="2"/>
      <scheme val="minor"/>
    </font>
    <font>
      <i/>
      <sz val="11"/>
      <color theme="1"/>
      <name val="Aptos Narrow"/>
      <family val="2"/>
      <scheme val="minor"/>
    </font>
    <font>
      <sz val="9"/>
      <color theme="0" tint="-0.499984740745262"/>
      <name val="Aptos Narrow"/>
      <family val="2"/>
      <scheme val="minor"/>
    </font>
  </fonts>
  <fills count="7">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1"/>
        <bgColor indexed="64"/>
      </patternFill>
    </fill>
    <fill>
      <patternFill patternType="solid">
        <fgColor theme="6" tint="0.79998168889431442"/>
        <bgColor indexed="64"/>
      </patternFill>
    </fill>
  </fills>
  <borders count="1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bottom/>
      <diagonal/>
    </border>
    <border>
      <left style="thin">
        <color indexed="64"/>
      </left>
      <right/>
      <top/>
      <bottom/>
      <diagonal/>
    </border>
    <border>
      <left/>
      <right style="thin">
        <color indexed="64"/>
      </right>
      <top style="medium">
        <color indexed="64"/>
      </top>
      <bottom/>
      <diagonal/>
    </border>
    <border>
      <left/>
      <right style="thin">
        <color indexed="64"/>
      </right>
      <top/>
      <bottom style="medium">
        <color indexed="64"/>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420">
    <xf numFmtId="0" fontId="0" fillId="0" borderId="0" xfId="0"/>
    <xf numFmtId="0" fontId="0" fillId="0" borderId="0" xfId="0" applyAlignment="1">
      <alignment horizontal="center"/>
    </xf>
    <xf numFmtId="44" fontId="0" fillId="0" borderId="0" xfId="1" applyFont="1"/>
    <xf numFmtId="0" fontId="3" fillId="0" borderId="0" xfId="0" applyFont="1"/>
    <xf numFmtId="164" fontId="0" fillId="0" borderId="0" xfId="3" applyNumberFormat="1" applyFont="1"/>
    <xf numFmtId="0" fontId="3" fillId="0" borderId="0" xfId="0" applyFont="1" applyAlignment="1">
      <alignment horizontal="left"/>
    </xf>
    <xf numFmtId="165" fontId="0" fillId="0" borderId="0" xfId="3" applyNumberFormat="1" applyFont="1"/>
    <xf numFmtId="166" fontId="0" fillId="0" borderId="0" xfId="1" applyNumberFormat="1" applyFont="1"/>
    <xf numFmtId="0" fontId="4" fillId="0" borderId="0" xfId="0" applyFont="1"/>
    <xf numFmtId="0" fontId="5" fillId="0" borderId="0" xfId="0" applyFont="1"/>
    <xf numFmtId="0" fontId="8" fillId="0" borderId="0" xfId="0" applyFont="1"/>
    <xf numFmtId="166" fontId="0" fillId="0" borderId="0" xfId="0" applyNumberFormat="1"/>
    <xf numFmtId="0" fontId="6" fillId="0" borderId="0" xfId="0" applyFont="1" applyAlignment="1">
      <alignment horizontal="center"/>
    </xf>
    <xf numFmtId="166" fontId="8" fillId="0" borderId="0" xfId="1" applyNumberFormat="1" applyFont="1"/>
    <xf numFmtId="0" fontId="8" fillId="0" borderId="2" xfId="0" applyFont="1" applyBorder="1"/>
    <xf numFmtId="0" fontId="4" fillId="0" borderId="2" xfId="0" applyFont="1" applyBorder="1"/>
    <xf numFmtId="166" fontId="8" fillId="0" borderId="2" xfId="1" applyNumberFormat="1" applyFont="1" applyBorder="1"/>
    <xf numFmtId="166" fontId="0" fillId="0" borderId="2" xfId="1" applyNumberFormat="1" applyFont="1" applyBorder="1"/>
    <xf numFmtId="166" fontId="8" fillId="0" borderId="0" xfId="1" applyNumberFormat="1" applyFont="1" applyBorder="1"/>
    <xf numFmtId="166" fontId="0" fillId="0" borderId="0" xfId="1" applyNumberFormat="1" applyFont="1" applyBorder="1"/>
    <xf numFmtId="0" fontId="8" fillId="0" borderId="7" xfId="0" applyFont="1" applyBorder="1"/>
    <xf numFmtId="0" fontId="4" fillId="0" borderId="7" xfId="0" applyFont="1" applyBorder="1"/>
    <xf numFmtId="166" fontId="8" fillId="0" borderId="7" xfId="1" applyNumberFormat="1" applyFont="1" applyBorder="1"/>
    <xf numFmtId="166" fontId="0" fillId="0" borderId="7" xfId="1" applyNumberFormat="1" applyFont="1" applyBorder="1"/>
    <xf numFmtId="22" fontId="0" fillId="0" borderId="0" xfId="0" applyNumberFormat="1" applyAlignment="1">
      <alignment horizontal="center"/>
    </xf>
    <xf numFmtId="43" fontId="12" fillId="0" borderId="0" xfId="0" applyNumberFormat="1" applyFont="1"/>
    <xf numFmtId="0" fontId="12" fillId="0" borderId="0" xfId="0" applyFont="1"/>
    <xf numFmtId="165" fontId="12" fillId="0" borderId="2" xfId="3" applyNumberFormat="1" applyFont="1" applyBorder="1"/>
    <xf numFmtId="165" fontId="12" fillId="0" borderId="0" xfId="3" applyNumberFormat="1" applyFont="1" applyBorder="1"/>
    <xf numFmtId="165" fontId="12" fillId="0" borderId="7" xfId="3" applyNumberFormat="1" applyFont="1" applyBorder="1"/>
    <xf numFmtId="165" fontId="12" fillId="0" borderId="0" xfId="3" applyNumberFormat="1" applyFont="1"/>
    <xf numFmtId="0" fontId="7" fillId="0" borderId="4" xfId="0" applyFont="1" applyBorder="1" applyAlignment="1">
      <alignment horizontal="center"/>
    </xf>
    <xf numFmtId="0" fontId="7" fillId="0" borderId="5" xfId="0" applyFont="1" applyBorder="1" applyAlignment="1">
      <alignment horizontal="center"/>
    </xf>
    <xf numFmtId="44" fontId="0" fillId="0" borderId="1" xfId="1" applyFont="1" applyBorder="1"/>
    <xf numFmtId="44" fontId="0" fillId="0" borderId="3" xfId="1" applyFont="1" applyBorder="1"/>
    <xf numFmtId="44" fontId="0" fillId="0" borderId="4" xfId="1" applyFont="1" applyBorder="1"/>
    <xf numFmtId="44" fontId="0" fillId="0" borderId="5" xfId="1" applyFont="1" applyBorder="1"/>
    <xf numFmtId="44" fontId="0" fillId="0" borderId="6" xfId="1" applyFont="1" applyBorder="1"/>
    <xf numFmtId="44" fontId="0" fillId="0" borderId="8" xfId="1" applyFont="1" applyBorder="1"/>
    <xf numFmtId="164" fontId="5" fillId="0" borderId="9" xfId="3" applyNumberFormat="1" applyFont="1" applyBorder="1"/>
    <xf numFmtId="0" fontId="6" fillId="0" borderId="4" xfId="0" applyFont="1" applyBorder="1" applyAlignment="1">
      <alignment horizontal="center"/>
    </xf>
    <xf numFmtId="166" fontId="5" fillId="0" borderId="1" xfId="1" applyNumberFormat="1" applyFont="1" applyBorder="1" applyAlignment="1">
      <alignment horizontal="center"/>
    </xf>
    <xf numFmtId="166" fontId="5" fillId="0" borderId="3" xfId="1" applyNumberFormat="1" applyFont="1" applyBorder="1" applyAlignment="1">
      <alignment horizontal="center"/>
    </xf>
    <xf numFmtId="166" fontId="5" fillId="0" borderId="2" xfId="1" applyNumberFormat="1" applyFont="1" applyBorder="1" applyAlignment="1">
      <alignment horizontal="center"/>
    </xf>
    <xf numFmtId="164" fontId="4" fillId="0" borderId="9" xfId="3" applyNumberFormat="1" applyFont="1" applyBorder="1"/>
    <xf numFmtId="164" fontId="4" fillId="0" borderId="11" xfId="3" applyNumberFormat="1" applyFont="1" applyBorder="1"/>
    <xf numFmtId="164" fontId="4" fillId="0" borderId="10" xfId="3" applyNumberFormat="1" applyFont="1" applyBorder="1"/>
    <xf numFmtId="164" fontId="4" fillId="0" borderId="0" xfId="3" applyNumberFormat="1" applyFont="1"/>
    <xf numFmtId="168" fontId="12" fillId="0" borderId="2" xfId="1" applyNumberFormat="1" applyFont="1" applyBorder="1"/>
    <xf numFmtId="168" fontId="12" fillId="0" borderId="0" xfId="1" applyNumberFormat="1" applyFont="1" applyBorder="1"/>
    <xf numFmtId="168" fontId="12" fillId="0" borderId="7" xfId="1" applyNumberFormat="1" applyFont="1" applyBorder="1"/>
    <xf numFmtId="168" fontId="4" fillId="0" borderId="0" xfId="1" applyNumberFormat="1" applyFont="1"/>
    <xf numFmtId="0" fontId="5" fillId="0" borderId="2" xfId="0" applyFont="1" applyBorder="1"/>
    <xf numFmtId="0" fontId="6" fillId="0" borderId="7" xfId="0" applyFont="1" applyBorder="1" applyAlignment="1">
      <alignment horizontal="center"/>
    </xf>
    <xf numFmtId="44" fontId="6" fillId="0" borderId="6" xfId="1" applyFont="1" applyBorder="1" applyAlignment="1">
      <alignment horizontal="center"/>
    </xf>
    <xf numFmtId="44" fontId="6" fillId="0" borderId="8" xfId="1" applyFont="1" applyBorder="1" applyAlignment="1">
      <alignment horizontal="center"/>
    </xf>
    <xf numFmtId="164" fontId="6" fillId="0" borderId="11" xfId="3" applyNumberFormat="1" applyFont="1" applyBorder="1" applyAlignment="1">
      <alignment horizontal="center"/>
    </xf>
    <xf numFmtId="166" fontId="6" fillId="0" borderId="7" xfId="1" applyNumberFormat="1" applyFont="1" applyBorder="1" applyAlignment="1">
      <alignment horizontal="center"/>
    </xf>
    <xf numFmtId="166" fontId="6" fillId="0" borderId="8" xfId="1" applyNumberFormat="1" applyFont="1" applyBorder="1" applyAlignment="1">
      <alignment horizontal="center"/>
    </xf>
    <xf numFmtId="166" fontId="6" fillId="0" borderId="5" xfId="1" applyNumberFormat="1" applyFont="1" applyFill="1" applyBorder="1" applyAlignment="1">
      <alignment horizontal="center"/>
    </xf>
    <xf numFmtId="10" fontId="14" fillId="0" borderId="3" xfId="0" applyNumberFormat="1" applyFont="1" applyBorder="1"/>
    <xf numFmtId="10" fontId="14" fillId="0" borderId="8" xfId="0" applyNumberFormat="1" applyFont="1" applyBorder="1"/>
    <xf numFmtId="0" fontId="5" fillId="0" borderId="9" xfId="0" applyFont="1" applyBorder="1"/>
    <xf numFmtId="0" fontId="6" fillId="0" borderId="11" xfId="0" applyFont="1" applyBorder="1" applyAlignment="1">
      <alignment horizontal="center"/>
    </xf>
    <xf numFmtId="10" fontId="1" fillId="2" borderId="10" xfId="2" applyNumberFormat="1" applyFont="1" applyFill="1" applyBorder="1"/>
    <xf numFmtId="10" fontId="1" fillId="2" borderId="11" xfId="2" applyNumberFormat="1" applyFont="1" applyFill="1" applyBorder="1"/>
    <xf numFmtId="10" fontId="0" fillId="2" borderId="9" xfId="2" applyNumberFormat="1" applyFont="1" applyFill="1" applyBorder="1"/>
    <xf numFmtId="10" fontId="0" fillId="2" borderId="11" xfId="2" applyNumberFormat="1" applyFont="1" applyFill="1" applyBorder="1"/>
    <xf numFmtId="10" fontId="0" fillId="2" borderId="10" xfId="2" applyNumberFormat="1" applyFont="1" applyFill="1" applyBorder="1"/>
    <xf numFmtId="0" fontId="15" fillId="0" borderId="0" xfId="0" applyFont="1"/>
    <xf numFmtId="0" fontId="16" fillId="3" borderId="9" xfId="0" applyFont="1" applyFill="1" applyBorder="1"/>
    <xf numFmtId="0" fontId="16" fillId="3" borderId="11" xfId="0" applyFont="1" applyFill="1" applyBorder="1"/>
    <xf numFmtId="0" fontId="0" fillId="0" borderId="0" xfId="0" applyAlignment="1">
      <alignment vertical="center" wrapText="1"/>
    </xf>
    <xf numFmtId="0" fontId="3" fillId="0" borderId="0" xfId="0" applyFont="1" applyAlignment="1">
      <alignment horizontal="center"/>
    </xf>
    <xf numFmtId="0" fontId="7" fillId="0" borderId="7" xfId="0" applyFont="1" applyBorder="1" applyAlignment="1">
      <alignment horizontal="center"/>
    </xf>
    <xf numFmtId="0" fontId="9" fillId="0" borderId="9" xfId="0" applyFont="1" applyBorder="1" applyAlignment="1">
      <alignment horizontal="center"/>
    </xf>
    <xf numFmtId="0" fontId="7" fillId="0" borderId="10" xfId="0" applyFont="1" applyBorder="1" applyAlignment="1">
      <alignment horizontal="center"/>
    </xf>
    <xf numFmtId="164" fontId="11" fillId="0" borderId="11" xfId="3" applyNumberFormat="1" applyFont="1" applyBorder="1"/>
    <xf numFmtId="164" fontId="11" fillId="0" borderId="9" xfId="3" applyNumberFormat="1" applyFont="1" applyBorder="1"/>
    <xf numFmtId="0" fontId="8" fillId="0" borderId="0" xfId="0" applyFont="1" applyAlignment="1">
      <alignment horizontal="center"/>
    </xf>
    <xf numFmtId="0" fontId="8" fillId="0" borderId="1" xfId="0" applyFont="1" applyBorder="1"/>
    <xf numFmtId="0" fontId="8" fillId="0" borderId="3" xfId="0" applyFont="1" applyBorder="1"/>
    <xf numFmtId="0" fontId="8" fillId="0" borderId="6" xfId="0" applyFont="1" applyBorder="1"/>
    <xf numFmtId="0" fontId="8" fillId="0" borderId="8" xfId="0" applyFont="1" applyBorder="1"/>
    <xf numFmtId="0" fontId="8" fillId="0" borderId="1" xfId="0" applyFont="1" applyBorder="1" applyAlignment="1">
      <alignment horizontal="center"/>
    </xf>
    <xf numFmtId="0" fontId="8" fillId="0" borderId="3" xfId="0" applyFont="1" applyBorder="1" applyAlignment="1">
      <alignment horizontal="center"/>
    </xf>
    <xf numFmtId="0" fontId="8" fillId="0" borderId="6" xfId="0" applyFont="1" applyBorder="1" applyAlignment="1">
      <alignment horizontal="center"/>
    </xf>
    <xf numFmtId="0" fontId="8" fillId="0" borderId="8" xfId="0" applyFont="1" applyBorder="1" applyAlignment="1">
      <alignment horizontal="center"/>
    </xf>
    <xf numFmtId="0" fontId="8" fillId="0" borderId="4" xfId="0" applyFont="1" applyBorder="1" applyAlignment="1">
      <alignment horizontal="center"/>
    </xf>
    <xf numFmtId="0" fontId="8" fillId="0" borderId="5" xfId="0" applyFont="1" applyBorder="1" applyAlignment="1">
      <alignment horizontal="center"/>
    </xf>
    <xf numFmtId="0" fontId="9" fillId="0" borderId="1" xfId="0" applyFont="1" applyBorder="1" applyAlignment="1">
      <alignment horizontal="center"/>
    </xf>
    <xf numFmtId="164" fontId="18" fillId="0" borderId="9" xfId="3" applyNumberFormat="1" applyFont="1" applyBorder="1"/>
    <xf numFmtId="164" fontId="18" fillId="0" borderId="11" xfId="3" applyNumberFormat="1" applyFont="1" applyBorder="1"/>
    <xf numFmtId="0" fontId="18" fillId="0" borderId="2" xfId="0" applyFont="1" applyBorder="1"/>
    <xf numFmtId="0" fontId="18" fillId="0" borderId="7" xfId="0" applyFont="1" applyBorder="1"/>
    <xf numFmtId="44" fontId="5" fillId="0" borderId="9" xfId="1" applyFont="1" applyBorder="1" applyAlignment="1">
      <alignment horizontal="center"/>
    </xf>
    <xf numFmtId="44" fontId="6" fillId="0" borderId="11" xfId="1" applyFont="1" applyBorder="1" applyAlignment="1">
      <alignment horizontal="center"/>
    </xf>
    <xf numFmtId="0" fontId="8" fillId="4" borderId="1" xfId="0" applyFont="1" applyFill="1" applyBorder="1" applyAlignment="1">
      <alignment horizontal="center"/>
    </xf>
    <xf numFmtId="0" fontId="8" fillId="4" borderId="3" xfId="0" applyFont="1" applyFill="1" applyBorder="1" applyAlignment="1">
      <alignment horizontal="center"/>
    </xf>
    <xf numFmtId="0" fontId="8" fillId="4" borderId="2" xfId="0" applyFont="1" applyFill="1" applyBorder="1"/>
    <xf numFmtId="44" fontId="1" fillId="4" borderId="1" xfId="1" applyFont="1" applyFill="1" applyBorder="1"/>
    <xf numFmtId="44" fontId="1" fillId="4" borderId="3" xfId="1" applyFont="1" applyFill="1" applyBorder="1"/>
    <xf numFmtId="166" fontId="8" fillId="4" borderId="2" xfId="1" applyNumberFormat="1" applyFont="1" applyFill="1" applyBorder="1"/>
    <xf numFmtId="166" fontId="1" fillId="4" borderId="2" xfId="1" applyNumberFormat="1" applyFont="1" applyFill="1" applyBorder="1"/>
    <xf numFmtId="10" fontId="14" fillId="4" borderId="3" xfId="0" applyNumberFormat="1" applyFont="1" applyFill="1" applyBorder="1"/>
    <xf numFmtId="0" fontId="8" fillId="4" borderId="6" xfId="0" applyFont="1" applyFill="1" applyBorder="1" applyAlignment="1">
      <alignment horizontal="center"/>
    </xf>
    <xf numFmtId="0" fontId="8" fillId="4" borderId="8" xfId="0" applyFont="1" applyFill="1" applyBorder="1" applyAlignment="1">
      <alignment horizontal="center"/>
    </xf>
    <xf numFmtId="0" fontId="8" fillId="4" borderId="7" xfId="0" applyFont="1" applyFill="1" applyBorder="1"/>
    <xf numFmtId="44" fontId="1" fillId="4" borderId="6" xfId="1" applyFont="1" applyFill="1" applyBorder="1"/>
    <xf numFmtId="44" fontId="1" fillId="4" borderId="8" xfId="1" applyFont="1" applyFill="1" applyBorder="1"/>
    <xf numFmtId="166" fontId="8" fillId="4" borderId="7" xfId="1" applyNumberFormat="1" applyFont="1" applyFill="1" applyBorder="1"/>
    <xf numFmtId="166" fontId="1" fillId="4" borderId="7" xfId="1" applyNumberFormat="1" applyFont="1" applyFill="1" applyBorder="1"/>
    <xf numFmtId="10" fontId="14" fillId="4" borderId="8" xfId="0" applyNumberFormat="1" applyFont="1" applyFill="1" applyBorder="1"/>
    <xf numFmtId="0" fontId="0" fillId="4" borderId="2" xfId="0" applyFill="1" applyBorder="1"/>
    <xf numFmtId="164" fontId="1" fillId="4" borderId="9" xfId="3" applyNumberFormat="1" applyFont="1" applyFill="1" applyBorder="1"/>
    <xf numFmtId="0" fontId="0" fillId="4" borderId="7" xfId="0" applyFill="1" applyBorder="1"/>
    <xf numFmtId="164" fontId="13" fillId="4" borderId="11" xfId="3" applyNumberFormat="1" applyFont="1" applyFill="1" applyBorder="1"/>
    <xf numFmtId="169" fontId="0" fillId="0" borderId="0" xfId="0" applyNumberFormat="1" applyAlignment="1">
      <alignment horizontal="center"/>
    </xf>
    <xf numFmtId="44" fontId="0" fillId="0" borderId="0" xfId="1" applyFont="1" applyAlignment="1">
      <alignment horizontal="center"/>
    </xf>
    <xf numFmtId="165" fontId="8" fillId="4" borderId="9" xfId="3" applyNumberFormat="1" applyFont="1" applyFill="1" applyBorder="1" applyAlignment="1">
      <alignment horizontal="center"/>
    </xf>
    <xf numFmtId="10" fontId="0" fillId="4" borderId="9" xfId="2" applyNumberFormat="1" applyFont="1" applyFill="1" applyBorder="1"/>
    <xf numFmtId="165" fontId="12" fillId="4" borderId="2" xfId="3" applyNumberFormat="1" applyFont="1" applyFill="1" applyBorder="1"/>
    <xf numFmtId="168" fontId="12" fillId="4" borderId="2" xfId="1" applyNumberFormat="1" applyFont="1" applyFill="1" applyBorder="1"/>
    <xf numFmtId="44" fontId="0" fillId="4" borderId="1" xfId="1" applyFont="1" applyFill="1" applyBorder="1"/>
    <xf numFmtId="44" fontId="0" fillId="4" borderId="3" xfId="1" applyFont="1" applyFill="1" applyBorder="1"/>
    <xf numFmtId="166" fontId="0" fillId="4" borderId="2" xfId="1" applyNumberFormat="1" applyFont="1" applyFill="1" applyBorder="1"/>
    <xf numFmtId="165" fontId="8" fillId="4" borderId="11" xfId="3" applyNumberFormat="1" applyFont="1" applyFill="1" applyBorder="1" applyAlignment="1">
      <alignment horizontal="center"/>
    </xf>
    <xf numFmtId="10" fontId="0" fillId="4" borderId="11" xfId="2" applyNumberFormat="1" applyFont="1" applyFill="1" applyBorder="1"/>
    <xf numFmtId="165" fontId="12" fillId="4" borderId="7" xfId="3" applyNumberFormat="1" applyFont="1" applyFill="1" applyBorder="1"/>
    <xf numFmtId="168" fontId="12" fillId="4" borderId="7" xfId="1" applyNumberFormat="1" applyFont="1" applyFill="1" applyBorder="1"/>
    <xf numFmtId="44" fontId="0" fillId="4" borderId="6" xfId="1" applyFont="1" applyFill="1" applyBorder="1"/>
    <xf numFmtId="44" fontId="0" fillId="4" borderId="8" xfId="1" applyFont="1" applyFill="1" applyBorder="1"/>
    <xf numFmtId="166" fontId="0" fillId="4" borderId="7" xfId="1" applyNumberFormat="1" applyFont="1" applyFill="1" applyBorder="1"/>
    <xf numFmtId="0" fontId="17" fillId="4" borderId="2" xfId="0" applyFont="1" applyFill="1" applyBorder="1"/>
    <xf numFmtId="164" fontId="4" fillId="4" borderId="9" xfId="3" applyNumberFormat="1" applyFont="1" applyFill="1" applyBorder="1"/>
    <xf numFmtId="0" fontId="17" fillId="4" borderId="7" xfId="0" applyFont="1" applyFill="1" applyBorder="1"/>
    <xf numFmtId="164" fontId="4" fillId="4" borderId="11" xfId="3" applyNumberFormat="1" applyFont="1" applyFill="1" applyBorder="1"/>
    <xf numFmtId="0" fontId="8" fillId="0" borderId="2" xfId="0" applyFont="1" applyBorder="1" applyAlignment="1">
      <alignment horizontal="center"/>
    </xf>
    <xf numFmtId="0" fontId="8" fillId="0" borderId="7" xfId="0" applyFont="1" applyBorder="1" applyAlignment="1">
      <alignment horizontal="center"/>
    </xf>
    <xf numFmtId="0" fontId="0" fillId="2" borderId="0" xfId="0" applyFill="1" applyAlignment="1">
      <alignment horizontal="center"/>
    </xf>
    <xf numFmtId="170" fontId="0" fillId="0" borderId="0" xfId="0" applyNumberFormat="1"/>
    <xf numFmtId="0" fontId="3" fillId="0" borderId="0" xfId="0" applyFont="1" applyAlignment="1">
      <alignment horizontal="right"/>
    </xf>
    <xf numFmtId="0" fontId="3" fillId="2" borderId="0" xfId="0" applyFont="1" applyFill="1" applyAlignment="1">
      <alignment horizontal="center"/>
    </xf>
    <xf numFmtId="165" fontId="8" fillId="0" borderId="9" xfId="3" applyNumberFormat="1" applyFont="1" applyFill="1" applyBorder="1" applyAlignment="1">
      <alignment horizontal="center"/>
    </xf>
    <xf numFmtId="165" fontId="8" fillId="0" borderId="11" xfId="3" applyNumberFormat="1" applyFont="1" applyFill="1" applyBorder="1" applyAlignment="1">
      <alignment horizontal="center"/>
    </xf>
    <xf numFmtId="10" fontId="0" fillId="0" borderId="9" xfId="2" applyNumberFormat="1" applyFont="1" applyFill="1" applyBorder="1"/>
    <xf numFmtId="10" fontId="0" fillId="0" borderId="11" xfId="2" applyNumberFormat="1" applyFont="1" applyFill="1" applyBorder="1"/>
    <xf numFmtId="165" fontId="21" fillId="0" borderId="7" xfId="3" applyNumberFormat="1" applyFont="1" applyBorder="1" applyAlignment="1">
      <alignment horizontal="center"/>
    </xf>
    <xf numFmtId="168" fontId="21" fillId="0" borderId="7" xfId="1" applyNumberFormat="1" applyFont="1" applyBorder="1" applyAlignment="1">
      <alignment horizontal="center"/>
    </xf>
    <xf numFmtId="0" fontId="21" fillId="0" borderId="7" xfId="0" applyFont="1" applyBorder="1" applyAlignment="1">
      <alignment horizontal="center"/>
    </xf>
    <xf numFmtId="0" fontId="21" fillId="0" borderId="8" xfId="0" applyFont="1" applyBorder="1" applyAlignment="1">
      <alignment horizontal="center"/>
    </xf>
    <xf numFmtId="171" fontId="0" fillId="0" borderId="0" xfId="0" applyNumberFormat="1"/>
    <xf numFmtId="165" fontId="13" fillId="0" borderId="0" xfId="3" applyNumberFormat="1" applyFont="1"/>
    <xf numFmtId="44" fontId="0" fillId="0" borderId="0" xfId="0" applyNumberFormat="1"/>
    <xf numFmtId="0" fontId="0" fillId="0" borderId="2" xfId="0" applyBorder="1"/>
    <xf numFmtId="0" fontId="0" fillId="0" borderId="3" xfId="0" applyBorder="1"/>
    <xf numFmtId="0" fontId="0" fillId="0" borderId="5" xfId="0" applyBorder="1"/>
    <xf numFmtId="0" fontId="0" fillId="0" borderId="7" xfId="0" applyBorder="1"/>
    <xf numFmtId="0" fontId="0" fillId="0" borderId="8" xfId="0" applyBorder="1"/>
    <xf numFmtId="0" fontId="3" fillId="0" borderId="1" xfId="0" applyFont="1" applyBorder="1"/>
    <xf numFmtId="165" fontId="8" fillId="0" borderId="9" xfId="0" applyNumberFormat="1" applyFont="1" applyBorder="1"/>
    <xf numFmtId="165" fontId="8" fillId="0" borderId="11" xfId="0" applyNumberFormat="1" applyFont="1" applyBorder="1"/>
    <xf numFmtId="165" fontId="8" fillId="0" borderId="9" xfId="0" applyNumberFormat="1" applyFont="1" applyBorder="1" applyAlignment="1">
      <alignment horizontal="center"/>
    </xf>
    <xf numFmtId="165" fontId="8" fillId="0" borderId="10" xfId="0" applyNumberFormat="1" applyFont="1" applyBorder="1" applyAlignment="1">
      <alignment horizontal="center"/>
    </xf>
    <xf numFmtId="165" fontId="8" fillId="0" borderId="11" xfId="0" applyNumberFormat="1" applyFont="1" applyBorder="1" applyAlignment="1">
      <alignment horizontal="center"/>
    </xf>
    <xf numFmtId="172" fontId="0" fillId="0" borderId="0" xfId="1" applyNumberFormat="1" applyFont="1"/>
    <xf numFmtId="173" fontId="3" fillId="0" borderId="0" xfId="1" applyNumberFormat="1" applyFont="1" applyAlignment="1">
      <alignment horizontal="center"/>
    </xf>
    <xf numFmtId="173" fontId="0" fillId="0" borderId="0" xfId="1" applyNumberFormat="1" applyFont="1" applyAlignment="1">
      <alignment horizontal="right"/>
    </xf>
    <xf numFmtId="0" fontId="0" fillId="0" borderId="4" xfId="0" applyBorder="1" applyAlignment="1">
      <alignment horizontal="center"/>
    </xf>
    <xf numFmtId="0" fontId="0" fillId="0" borderId="6" xfId="0" applyBorder="1" applyAlignment="1">
      <alignment horizontal="center"/>
    </xf>
    <xf numFmtId="172" fontId="0" fillId="0" borderId="9" xfId="1" applyNumberFormat="1" applyFont="1" applyBorder="1"/>
    <xf numFmtId="172" fontId="0" fillId="0" borderId="11" xfId="1" applyNumberFormat="1" applyFont="1" applyBorder="1"/>
    <xf numFmtId="172" fontId="0" fillId="0" borderId="10" xfId="1" applyNumberFormat="1" applyFont="1" applyBorder="1"/>
    <xf numFmtId="172" fontId="0" fillId="4" borderId="9" xfId="1" applyNumberFormat="1" applyFont="1" applyFill="1" applyBorder="1"/>
    <xf numFmtId="172" fontId="0" fillId="4" borderId="11" xfId="1" applyNumberFormat="1" applyFont="1" applyFill="1" applyBorder="1"/>
    <xf numFmtId="172" fontId="1" fillId="4" borderId="9" xfId="1" applyNumberFormat="1" applyFont="1" applyFill="1" applyBorder="1"/>
    <xf numFmtId="172" fontId="1" fillId="4" borderId="11" xfId="1" applyNumberFormat="1" applyFont="1" applyFill="1" applyBorder="1"/>
    <xf numFmtId="172" fontId="0" fillId="0" borderId="2" xfId="0" applyNumberFormat="1" applyBorder="1"/>
    <xf numFmtId="0" fontId="10" fillId="0" borderId="2" xfId="0" applyFont="1" applyBorder="1"/>
    <xf numFmtId="173" fontId="3" fillId="0" borderId="0" xfId="1" applyNumberFormat="1" applyFont="1" applyAlignment="1">
      <alignment horizontal="right"/>
    </xf>
    <xf numFmtId="44" fontId="0" fillId="0" borderId="0" xfId="1" applyFont="1" applyFill="1" applyAlignment="1">
      <alignment horizontal="center"/>
    </xf>
    <xf numFmtId="166" fontId="0" fillId="0" borderId="0" xfId="1" applyNumberFormat="1" applyFont="1" applyFill="1"/>
    <xf numFmtId="165" fontId="0" fillId="0" borderId="0" xfId="3" applyNumberFormat="1" applyFont="1" applyFill="1"/>
    <xf numFmtId="0" fontId="5" fillId="0" borderId="2" xfId="0" applyFont="1" applyBorder="1" applyAlignment="1">
      <alignment horizontal="center"/>
    </xf>
    <xf numFmtId="0" fontId="4" fillId="0" borderId="1" xfId="0" applyFont="1" applyBorder="1"/>
    <xf numFmtId="0" fontId="4" fillId="0" borderId="4" xfId="0" applyFont="1" applyBorder="1"/>
    <xf numFmtId="0" fontId="4" fillId="0" borderId="6" xfId="0" applyFont="1" applyBorder="1"/>
    <xf numFmtId="0" fontId="22" fillId="0" borderId="0" xfId="0" applyFont="1"/>
    <xf numFmtId="44" fontId="1" fillId="4" borderId="4" xfId="1" applyFont="1" applyFill="1" applyBorder="1"/>
    <xf numFmtId="166" fontId="6" fillId="0" borderId="6" xfId="1" applyNumberFormat="1" applyFont="1" applyFill="1" applyBorder="1" applyAlignment="1">
      <alignment horizontal="center"/>
    </xf>
    <xf numFmtId="166" fontId="6" fillId="0" borderId="7" xfId="1" applyNumberFormat="1" applyFont="1" applyFill="1" applyBorder="1" applyAlignment="1">
      <alignment horizontal="center"/>
    </xf>
    <xf numFmtId="44" fontId="0" fillId="0" borderId="2" xfId="1" applyFont="1" applyBorder="1"/>
    <xf numFmtId="44" fontId="0" fillId="0" borderId="0" xfId="1" applyFont="1" applyBorder="1"/>
    <xf numFmtId="44" fontId="0" fillId="0" borderId="7" xfId="1" applyFont="1" applyBorder="1"/>
    <xf numFmtId="44" fontId="6" fillId="0" borderId="7" xfId="1" applyFont="1" applyBorder="1" applyAlignment="1">
      <alignment horizontal="center"/>
    </xf>
    <xf numFmtId="44" fontId="1" fillId="4" borderId="2" xfId="1" applyFont="1" applyFill="1" applyBorder="1"/>
    <xf numFmtId="44" fontId="1" fillId="4" borderId="0" xfId="1" applyFont="1" applyFill="1" applyBorder="1"/>
    <xf numFmtId="44" fontId="0" fillId="4" borderId="2" xfId="1" applyFont="1" applyFill="1" applyBorder="1"/>
    <xf numFmtId="44" fontId="0" fillId="4" borderId="0" xfId="1" applyFont="1" applyFill="1" applyBorder="1"/>
    <xf numFmtId="0" fontId="4" fillId="0" borderId="2" xfId="0" applyFont="1" applyBorder="1" applyAlignment="1">
      <alignment horizontal="center"/>
    </xf>
    <xf numFmtId="172" fontId="0" fillId="0" borderId="7" xfId="0" applyNumberFormat="1" applyBorder="1"/>
    <xf numFmtId="0" fontId="10" fillId="0" borderId="7" xfId="0" applyFont="1" applyBorder="1"/>
    <xf numFmtId="44" fontId="0" fillId="2" borderId="2" xfId="1" applyFont="1" applyFill="1" applyBorder="1"/>
    <xf numFmtId="44" fontId="0" fillId="2" borderId="0" xfId="1" applyFont="1" applyFill="1" applyBorder="1"/>
    <xf numFmtId="44" fontId="0" fillId="2" borderId="7" xfId="1" applyFont="1" applyFill="1" applyBorder="1"/>
    <xf numFmtId="0" fontId="17" fillId="4" borderId="2" xfId="0" applyFont="1" applyFill="1" applyBorder="1" applyAlignment="1">
      <alignment horizontal="center"/>
    </xf>
    <xf numFmtId="0" fontId="17" fillId="4" borderId="7" xfId="0" applyFont="1" applyFill="1" applyBorder="1" applyAlignment="1">
      <alignment horizontal="center"/>
    </xf>
    <xf numFmtId="0" fontId="4" fillId="0" borderId="7" xfId="0" applyFont="1" applyBorder="1" applyAlignment="1">
      <alignment horizontal="center"/>
    </xf>
    <xf numFmtId="0" fontId="18" fillId="0" borderId="2" xfId="0" applyFont="1" applyBorder="1" applyAlignment="1">
      <alignment horizontal="center"/>
    </xf>
    <xf numFmtId="0" fontId="18" fillId="0" borderId="7" xfId="0" applyFont="1" applyBorder="1" applyAlignment="1">
      <alignment horizontal="center"/>
    </xf>
    <xf numFmtId="0" fontId="0" fillId="0" borderId="2" xfId="0" applyBorder="1" applyAlignment="1">
      <alignment horizontal="center"/>
    </xf>
    <xf numFmtId="0" fontId="0" fillId="0" borderId="7" xfId="0" applyBorder="1" applyAlignment="1">
      <alignment horizontal="center"/>
    </xf>
    <xf numFmtId="0" fontId="0" fillId="4" borderId="2" xfId="0" applyFill="1" applyBorder="1" applyAlignment="1">
      <alignment horizontal="center"/>
    </xf>
    <xf numFmtId="0" fontId="0" fillId="4" borderId="7" xfId="0" applyFill="1" applyBorder="1" applyAlignment="1">
      <alignment horizontal="center"/>
    </xf>
    <xf numFmtId="166" fontId="7" fillId="0" borderId="6" xfId="1" applyNumberFormat="1" applyFont="1" applyBorder="1" applyAlignment="1">
      <alignment horizontal="center"/>
    </xf>
    <xf numFmtId="166" fontId="7" fillId="0" borderId="8" xfId="1" applyNumberFormat="1" applyFont="1" applyBorder="1" applyAlignment="1">
      <alignment horizontal="center"/>
    </xf>
    <xf numFmtId="172" fontId="0" fillId="0" borderId="0" xfId="1" applyNumberFormat="1" applyFont="1" applyBorder="1"/>
    <xf numFmtId="164" fontId="4" fillId="0" borderId="0" xfId="3" applyNumberFormat="1" applyFont="1" applyBorder="1"/>
    <xf numFmtId="10" fontId="14" fillId="0" borderId="0" xfId="0" applyNumberFormat="1" applyFont="1"/>
    <xf numFmtId="43" fontId="12" fillId="0" borderId="0" xfId="0" applyNumberFormat="1" applyFont="1" applyAlignment="1">
      <alignment horizontal="center" vertical="center"/>
    </xf>
    <xf numFmtId="0" fontId="4" fillId="0" borderId="3" xfId="0" applyFont="1" applyBorder="1"/>
    <xf numFmtId="0" fontId="4" fillId="0" borderId="8" xfId="0" applyFont="1" applyBorder="1"/>
    <xf numFmtId="0" fontId="3" fillId="4" borderId="0" xfId="0" applyFont="1" applyFill="1"/>
    <xf numFmtId="0" fontId="3" fillId="4" borderId="0" xfId="0" applyFont="1" applyFill="1" applyAlignment="1">
      <alignment horizontal="right"/>
    </xf>
    <xf numFmtId="0" fontId="0" fillId="4" borderId="0" xfId="0" applyFill="1"/>
    <xf numFmtId="170" fontId="0" fillId="4" borderId="0" xfId="0" applyNumberFormat="1" applyFill="1"/>
    <xf numFmtId="169" fontId="3" fillId="4" borderId="0" xfId="0" applyNumberFormat="1" applyFont="1" applyFill="1" applyAlignment="1">
      <alignment horizontal="center"/>
    </xf>
    <xf numFmtId="44" fontId="3" fillId="4" borderId="0" xfId="1" applyFont="1" applyFill="1" applyAlignment="1">
      <alignment horizontal="center"/>
    </xf>
    <xf numFmtId="166" fontId="3" fillId="4" borderId="0" xfId="1" applyNumberFormat="1" applyFont="1" applyFill="1" applyAlignment="1">
      <alignment horizontal="right"/>
    </xf>
    <xf numFmtId="165" fontId="3" fillId="4" borderId="0" xfId="3" applyNumberFormat="1" applyFont="1" applyFill="1" applyAlignment="1">
      <alignment horizontal="right"/>
    </xf>
    <xf numFmtId="169" fontId="0" fillId="4" borderId="0" xfId="0" applyNumberFormat="1" applyFill="1" applyAlignment="1">
      <alignment horizontal="center"/>
    </xf>
    <xf numFmtId="44" fontId="0" fillId="4" borderId="0" xfId="1" applyFont="1" applyFill="1" applyAlignment="1">
      <alignment horizontal="center"/>
    </xf>
    <xf numFmtId="166" fontId="0" fillId="4" borderId="0" xfId="1" applyNumberFormat="1" applyFont="1" applyFill="1"/>
    <xf numFmtId="165" fontId="0" fillId="4" borderId="0" xfId="3" applyNumberFormat="1" applyFont="1" applyFill="1"/>
    <xf numFmtId="0" fontId="8" fillId="5" borderId="0" xfId="0" applyFont="1" applyFill="1" applyAlignment="1">
      <alignment horizontal="center"/>
    </xf>
    <xf numFmtId="165" fontId="8" fillId="5" borderId="0" xfId="3" applyNumberFormat="1" applyFont="1" applyFill="1" applyBorder="1" applyAlignment="1">
      <alignment horizontal="center"/>
    </xf>
    <xf numFmtId="10" fontId="0" fillId="5" borderId="0" xfId="2" applyNumberFormat="1" applyFont="1" applyFill="1" applyBorder="1"/>
    <xf numFmtId="0" fontId="8" fillId="5" borderId="0" xfId="0" applyFont="1" applyFill="1"/>
    <xf numFmtId="0" fontId="4" fillId="5" borderId="0" xfId="0" applyFont="1" applyFill="1"/>
    <xf numFmtId="44" fontId="0" fillId="5" borderId="0" xfId="1" applyFont="1" applyFill="1" applyBorder="1"/>
    <xf numFmtId="172" fontId="0" fillId="5" borderId="0" xfId="1" applyNumberFormat="1" applyFont="1" applyFill="1" applyBorder="1"/>
    <xf numFmtId="166" fontId="8" fillId="5" borderId="0" xfId="1" applyNumberFormat="1" applyFont="1" applyFill="1" applyBorder="1"/>
    <xf numFmtId="164" fontId="11" fillId="5" borderId="0" xfId="3" applyNumberFormat="1" applyFont="1" applyFill="1" applyBorder="1"/>
    <xf numFmtId="166" fontId="0" fillId="5" borderId="0" xfId="1" applyNumberFormat="1" applyFont="1" applyFill="1" applyBorder="1"/>
    <xf numFmtId="0" fontId="19" fillId="5" borderId="0" xfId="0" applyFont="1" applyFill="1" applyAlignment="1">
      <alignment vertical="center"/>
    </xf>
    <xf numFmtId="167" fontId="4" fillId="5" borderId="0" xfId="2" applyNumberFormat="1" applyFont="1" applyFill="1" applyBorder="1" applyAlignment="1">
      <alignment vertical="center"/>
    </xf>
    <xf numFmtId="0" fontId="0" fillId="5" borderId="0" xfId="0" applyFill="1" applyAlignment="1">
      <alignment vertical="center"/>
    </xf>
    <xf numFmtId="10" fontId="14" fillId="5" borderId="0" xfId="0" applyNumberFormat="1" applyFont="1" applyFill="1"/>
    <xf numFmtId="165" fontId="12" fillId="5" borderId="0" xfId="3" applyNumberFormat="1" applyFont="1" applyFill="1" applyBorder="1"/>
    <xf numFmtId="168" fontId="12" fillId="5" borderId="0" xfId="1" applyNumberFormat="1" applyFont="1" applyFill="1" applyBorder="1"/>
    <xf numFmtId="43" fontId="12" fillId="5" borderId="0" xfId="0" applyNumberFormat="1" applyFont="1" applyFill="1" applyAlignment="1">
      <alignment horizontal="center" vertical="center"/>
    </xf>
    <xf numFmtId="0" fontId="4" fillId="5" borderId="0" xfId="0" applyFont="1" applyFill="1" applyAlignment="1">
      <alignment horizontal="center"/>
    </xf>
    <xf numFmtId="44" fontId="0" fillId="5" borderId="7" xfId="1" applyFont="1" applyFill="1" applyBorder="1"/>
    <xf numFmtId="44" fontId="0" fillId="5" borderId="8" xfId="1" applyFont="1" applyFill="1" applyBorder="1" applyAlignment="1">
      <alignment horizontal="center" vertical="center"/>
    </xf>
    <xf numFmtId="174" fontId="0" fillId="0" borderId="2" xfId="0" applyNumberFormat="1" applyBorder="1"/>
    <xf numFmtId="44" fontId="0" fillId="0" borderId="3" xfId="1" applyFont="1" applyBorder="1" applyAlignment="1">
      <alignment horizontal="center" vertical="center"/>
    </xf>
    <xf numFmtId="44" fontId="0" fillId="0" borderId="8" xfId="1" applyFont="1" applyBorder="1" applyAlignment="1">
      <alignment horizontal="center" vertical="center"/>
    </xf>
    <xf numFmtId="44" fontId="1" fillId="4" borderId="3" xfId="1" applyFont="1" applyFill="1" applyBorder="1" applyAlignment="1">
      <alignment horizontal="center" vertical="center"/>
    </xf>
    <xf numFmtId="44" fontId="1" fillId="4" borderId="8" xfId="1" applyFont="1" applyFill="1" applyBorder="1" applyAlignment="1">
      <alignment horizontal="center" vertical="center"/>
    </xf>
    <xf numFmtId="167" fontId="4" fillId="5" borderId="12" xfId="2" applyNumberFormat="1" applyFont="1" applyFill="1" applyBorder="1" applyAlignment="1">
      <alignment vertical="center"/>
    </xf>
    <xf numFmtId="0" fontId="0" fillId="5" borderId="13" xfId="0" applyFill="1" applyBorder="1" applyAlignment="1">
      <alignment vertical="center"/>
    </xf>
    <xf numFmtId="166" fontId="6" fillId="0" borderId="12" xfId="1" applyNumberFormat="1" applyFont="1" applyFill="1" applyBorder="1" applyAlignment="1">
      <alignment horizontal="center"/>
    </xf>
    <xf numFmtId="10" fontId="14" fillId="0" borderId="14" xfId="0" applyNumberFormat="1" applyFont="1" applyBorder="1"/>
    <xf numFmtId="10" fontId="14" fillId="0" borderId="15" xfId="0" applyNumberFormat="1" applyFont="1" applyBorder="1"/>
    <xf numFmtId="10" fontId="14" fillId="5" borderId="12" xfId="0" applyNumberFormat="1" applyFont="1" applyFill="1" applyBorder="1"/>
    <xf numFmtId="10" fontId="14" fillId="5" borderId="13" xfId="0" applyNumberFormat="1" applyFont="1" applyFill="1" applyBorder="1"/>
    <xf numFmtId="10" fontId="14" fillId="4" borderId="14" xfId="0" applyNumberFormat="1" applyFont="1" applyFill="1" applyBorder="1"/>
    <xf numFmtId="10" fontId="14" fillId="4" borderId="15" xfId="0" applyNumberFormat="1" applyFont="1" applyFill="1" applyBorder="1"/>
    <xf numFmtId="0" fontId="10" fillId="0" borderId="2" xfId="0" applyFont="1" applyBorder="1" applyAlignment="1">
      <alignment vertical="center"/>
    </xf>
    <xf numFmtId="0" fontId="10" fillId="0" borderId="7" xfId="0" applyFont="1" applyBorder="1" applyAlignment="1">
      <alignment vertical="center"/>
    </xf>
    <xf numFmtId="44" fontId="23" fillId="0" borderId="1" xfId="1" applyFont="1" applyBorder="1"/>
    <xf numFmtId="44" fontId="23" fillId="0" borderId="3" xfId="1" applyFont="1" applyBorder="1"/>
    <xf numFmtId="44" fontId="23" fillId="0" borderId="6" xfId="1" applyFont="1" applyBorder="1"/>
    <xf numFmtId="44" fontId="23" fillId="0" borderId="8" xfId="1" applyFont="1" applyBorder="1"/>
    <xf numFmtId="43" fontId="0" fillId="0" borderId="0" xfId="0" applyNumberFormat="1"/>
    <xf numFmtId="0" fontId="19" fillId="2" borderId="0" xfId="0" applyFont="1" applyFill="1"/>
    <xf numFmtId="0" fontId="24" fillId="2" borderId="0" xfId="0" applyFont="1" applyFill="1"/>
    <xf numFmtId="166" fontId="0" fillId="0" borderId="1" xfId="0" applyNumberFormat="1" applyBorder="1" applyAlignment="1">
      <alignment vertical="center"/>
    </xf>
    <xf numFmtId="167" fontId="4" fillId="0" borderId="8" xfId="2" applyNumberFormat="1" applyFont="1" applyFill="1" applyBorder="1" applyAlignment="1">
      <alignment vertical="center"/>
    </xf>
    <xf numFmtId="166" fontId="0" fillId="0" borderId="4" xfId="0" applyNumberFormat="1" applyBorder="1" applyAlignment="1">
      <alignment vertical="center"/>
    </xf>
    <xf numFmtId="166" fontId="0" fillId="0" borderId="6" xfId="0" applyNumberFormat="1" applyBorder="1" applyAlignment="1">
      <alignment vertical="center"/>
    </xf>
    <xf numFmtId="0" fontId="0" fillId="0" borderId="4" xfId="0" applyBorder="1" applyAlignment="1">
      <alignment vertical="center"/>
    </xf>
    <xf numFmtId="0" fontId="5" fillId="0" borderId="1" xfId="0" applyFont="1" applyBorder="1" applyAlignment="1">
      <alignment horizontal="center"/>
    </xf>
    <xf numFmtId="0" fontId="5" fillId="0" borderId="3" xfId="0" applyFont="1" applyBorder="1" applyAlignment="1">
      <alignment horizontal="center"/>
    </xf>
    <xf numFmtId="44" fontId="0" fillId="5" borderId="5" xfId="1" applyFont="1" applyFill="1" applyBorder="1" applyAlignment="1">
      <alignment horizontal="center" vertical="center"/>
    </xf>
    <xf numFmtId="10" fontId="14" fillId="0" borderId="0" xfId="0" applyNumberFormat="1" applyFont="1" applyAlignment="1">
      <alignment horizontal="center"/>
    </xf>
    <xf numFmtId="165" fontId="12" fillId="0" borderId="0" xfId="3" applyNumberFormat="1" applyFont="1" applyAlignment="1">
      <alignment horizontal="center"/>
    </xf>
    <xf numFmtId="0" fontId="5" fillId="0" borderId="9" xfId="0" applyFont="1" applyBorder="1" applyAlignment="1">
      <alignment horizontal="center"/>
    </xf>
    <xf numFmtId="0" fontId="12" fillId="0" borderId="0" xfId="0" applyFont="1" applyAlignment="1">
      <alignment horizontal="center"/>
    </xf>
    <xf numFmtId="0" fontId="5" fillId="0" borderId="1" xfId="0" applyFont="1" applyBorder="1"/>
    <xf numFmtId="0" fontId="5" fillId="0" borderId="3" xfId="0" applyFont="1" applyBorder="1"/>
    <xf numFmtId="166" fontId="0" fillId="0" borderId="3" xfId="0" applyNumberFormat="1" applyBorder="1" applyAlignment="1">
      <alignment vertical="center"/>
    </xf>
    <xf numFmtId="166" fontId="0" fillId="0" borderId="5" xfId="0" applyNumberFormat="1" applyBorder="1" applyAlignment="1">
      <alignment vertical="center"/>
    </xf>
    <xf numFmtId="167" fontId="4" fillId="0" borderId="5" xfId="2" applyNumberFormat="1" applyFont="1" applyFill="1" applyBorder="1" applyAlignment="1">
      <alignment vertical="center"/>
    </xf>
    <xf numFmtId="166" fontId="6" fillId="0" borderId="0" xfId="1" applyNumberFormat="1" applyFont="1" applyFill="1" applyBorder="1" applyAlignment="1">
      <alignment horizontal="center"/>
    </xf>
    <xf numFmtId="10" fontId="14" fillId="0" borderId="2" xfId="0" applyNumberFormat="1" applyFont="1" applyBorder="1"/>
    <xf numFmtId="10" fontId="14" fillId="0" borderId="7" xfId="0" applyNumberFormat="1" applyFont="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11" xfId="0" applyFont="1" applyBorder="1" applyAlignment="1">
      <alignment horizontal="center"/>
    </xf>
    <xf numFmtId="167" fontId="4" fillId="0" borderId="5" xfId="2" applyNumberFormat="1" applyFont="1" applyFill="1" applyBorder="1" applyAlignment="1">
      <alignment horizontal="center" vertic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10" fontId="14" fillId="4" borderId="2" xfId="0" applyNumberFormat="1" applyFont="1" applyFill="1" applyBorder="1"/>
    <xf numFmtId="10" fontId="14" fillId="4" borderId="7" xfId="0" applyNumberFormat="1" applyFont="1" applyFill="1" applyBorder="1"/>
    <xf numFmtId="10" fontId="0" fillId="0" borderId="10" xfId="2" applyNumberFormat="1" applyFont="1" applyFill="1" applyBorder="1"/>
    <xf numFmtId="0" fontId="8" fillId="0" borderId="9" xfId="0" applyFont="1" applyBorder="1" applyAlignment="1">
      <alignment horizontal="center"/>
    </xf>
    <xf numFmtId="0" fontId="8" fillId="0" borderId="11" xfId="0" applyFont="1" applyBorder="1" applyAlignment="1">
      <alignment horizontal="center"/>
    </xf>
    <xf numFmtId="0" fontId="22" fillId="0" borderId="9" xfId="0" applyFont="1" applyBorder="1" applyAlignment="1">
      <alignment horizontal="center"/>
    </xf>
    <xf numFmtId="0" fontId="22" fillId="0" borderId="11" xfId="0" applyFont="1" applyBorder="1" applyAlignment="1">
      <alignment horizontal="center"/>
    </xf>
    <xf numFmtId="10" fontId="8" fillId="0" borderId="9" xfId="2" applyNumberFormat="1" applyFont="1" applyFill="1" applyBorder="1"/>
    <xf numFmtId="0" fontId="17" fillId="0" borderId="3" xfId="0" applyFont="1" applyBorder="1"/>
    <xf numFmtId="44" fontId="8" fillId="0" borderId="1" xfId="1" applyFont="1" applyBorder="1"/>
    <xf numFmtId="44" fontId="8" fillId="0" borderId="3" xfId="1" applyFont="1" applyBorder="1"/>
    <xf numFmtId="172" fontId="8" fillId="0" borderId="9" xfId="1" applyNumberFormat="1" applyFont="1" applyBorder="1"/>
    <xf numFmtId="164" fontId="17" fillId="0" borderId="9" xfId="3" applyNumberFormat="1" applyFont="1" applyBorder="1"/>
    <xf numFmtId="10" fontId="26" fillId="0" borderId="2" xfId="0" applyNumberFormat="1" applyFont="1" applyBorder="1"/>
    <xf numFmtId="10" fontId="26" fillId="0" borderId="14" xfId="0" applyNumberFormat="1" applyFont="1" applyBorder="1"/>
    <xf numFmtId="10" fontId="26" fillId="0" borderId="3" xfId="0" applyNumberFormat="1" applyFont="1" applyBorder="1"/>
    <xf numFmtId="165" fontId="17" fillId="0" borderId="2" xfId="3" applyNumberFormat="1" applyFont="1" applyBorder="1"/>
    <xf numFmtId="168" fontId="17" fillId="0" borderId="2" xfId="1" applyNumberFormat="1" applyFont="1" applyBorder="1"/>
    <xf numFmtId="0" fontId="17" fillId="0" borderId="2" xfId="0" applyFont="1" applyBorder="1" applyAlignment="1">
      <alignment horizontal="center"/>
    </xf>
    <xf numFmtId="44" fontId="8" fillId="0" borderId="2" xfId="1" applyFont="1" applyBorder="1"/>
    <xf numFmtId="44" fontId="8" fillId="2" borderId="2" xfId="1" applyFont="1" applyFill="1" applyBorder="1"/>
    <xf numFmtId="10" fontId="8" fillId="0" borderId="11" xfId="2" applyNumberFormat="1" applyFont="1" applyFill="1" applyBorder="1"/>
    <xf numFmtId="0" fontId="17" fillId="0" borderId="8" xfId="0" applyFont="1" applyBorder="1"/>
    <xf numFmtId="44" fontId="8" fillId="0" borderId="6" xfId="1" applyFont="1" applyBorder="1"/>
    <xf numFmtId="44" fontId="8" fillId="0" borderId="8" xfId="1" applyFont="1" applyBorder="1"/>
    <xf numFmtId="172" fontId="8" fillId="0" borderId="11" xfId="1" applyNumberFormat="1" applyFont="1" applyBorder="1"/>
    <xf numFmtId="164" fontId="17" fillId="0" borderId="11" xfId="3" applyNumberFormat="1" applyFont="1" applyBorder="1"/>
    <xf numFmtId="10" fontId="26" fillId="0" borderId="7" xfId="0" applyNumberFormat="1" applyFont="1" applyBorder="1"/>
    <xf numFmtId="10" fontId="26" fillId="0" borderId="15" xfId="0" applyNumberFormat="1" applyFont="1" applyBorder="1"/>
    <xf numFmtId="10" fontId="26" fillId="0" borderId="8" xfId="0" applyNumberFormat="1" applyFont="1" applyBorder="1"/>
    <xf numFmtId="165" fontId="17" fillId="0" borderId="7" xfId="3" applyNumberFormat="1" applyFont="1" applyBorder="1"/>
    <xf numFmtId="168" fontId="17" fillId="0" borderId="7" xfId="1" applyNumberFormat="1" applyFont="1" applyBorder="1"/>
    <xf numFmtId="0" fontId="17" fillId="0" borderId="7" xfId="0" applyFont="1" applyBorder="1" applyAlignment="1">
      <alignment horizontal="center"/>
    </xf>
    <xf numFmtId="44" fontId="8" fillId="0" borderId="7" xfId="1" applyFont="1" applyBorder="1"/>
    <xf numFmtId="44" fontId="8" fillId="2" borderId="7" xfId="1" applyFont="1" applyFill="1" applyBorder="1"/>
    <xf numFmtId="43" fontId="12" fillId="0" borderId="3" xfId="0" applyNumberFormat="1" applyFont="1" applyBorder="1" applyAlignment="1">
      <alignment vertical="center"/>
    </xf>
    <xf numFmtId="43" fontId="12" fillId="0" borderId="5" xfId="0" applyNumberFormat="1" applyFont="1" applyBorder="1" applyAlignment="1">
      <alignment vertical="center"/>
    </xf>
    <xf numFmtId="43" fontId="12" fillId="0" borderId="8" xfId="0" applyNumberFormat="1" applyFont="1" applyBorder="1" applyAlignment="1">
      <alignment vertical="center"/>
    </xf>
    <xf numFmtId="174" fontId="9" fillId="0" borderId="2" xfId="1" applyNumberFormat="1" applyFont="1" applyBorder="1" applyAlignment="1">
      <alignment horizontal="center" vertical="center"/>
    </xf>
    <xf numFmtId="174" fontId="9" fillId="0" borderId="7" xfId="1" applyNumberFormat="1" applyFont="1" applyBorder="1" applyAlignment="1">
      <alignment horizontal="center" vertical="center"/>
    </xf>
    <xf numFmtId="0" fontId="10" fillId="0" borderId="2" xfId="0" applyFont="1" applyBorder="1" applyAlignment="1">
      <alignment horizontal="center" vertical="center"/>
    </xf>
    <xf numFmtId="0" fontId="10" fillId="0" borderId="7" xfId="0" applyFont="1" applyBorder="1" applyAlignment="1">
      <alignment horizontal="center" vertical="center"/>
    </xf>
    <xf numFmtId="0" fontId="9" fillId="0" borderId="1" xfId="0" applyFont="1" applyBorder="1" applyAlignment="1">
      <alignment horizontal="center"/>
    </xf>
    <xf numFmtId="0" fontId="9" fillId="0" borderId="3" xfId="0" applyFont="1" applyBorder="1" applyAlignment="1">
      <alignment horizontal="center"/>
    </xf>
    <xf numFmtId="44" fontId="5" fillId="0" borderId="1" xfId="1" applyFont="1" applyBorder="1" applyAlignment="1">
      <alignment horizontal="center"/>
    </xf>
    <xf numFmtId="44" fontId="5" fillId="0" borderId="3" xfId="1" applyFont="1" applyBorder="1" applyAlignment="1">
      <alignment horizontal="center"/>
    </xf>
    <xf numFmtId="166" fontId="7" fillId="0" borderId="1" xfId="1" applyNumberFormat="1" applyFont="1" applyBorder="1" applyAlignment="1">
      <alignment horizontal="center"/>
    </xf>
    <xf numFmtId="166" fontId="7" fillId="0" borderId="3" xfId="1" applyNumberFormat="1" applyFont="1" applyBorder="1" applyAlignment="1">
      <alignment horizontal="center"/>
    </xf>
    <xf numFmtId="166" fontId="5" fillId="0" borderId="2" xfId="1" applyNumberFormat="1" applyFont="1" applyBorder="1" applyAlignment="1">
      <alignment horizontal="center"/>
    </xf>
    <xf numFmtId="166" fontId="5" fillId="0" borderId="3" xfId="1" applyNumberFormat="1" applyFont="1" applyBorder="1" applyAlignment="1">
      <alignment horizontal="center"/>
    </xf>
    <xf numFmtId="0" fontId="5" fillId="0" borderId="1" xfId="0" applyFont="1" applyBorder="1" applyAlignment="1">
      <alignment horizontal="center"/>
    </xf>
    <xf numFmtId="0" fontId="5" fillId="0" borderId="2" xfId="0" applyFont="1" applyBorder="1" applyAlignment="1">
      <alignment horizontal="center"/>
    </xf>
    <xf numFmtId="165" fontId="20" fillId="0" borderId="2" xfId="3" applyNumberFormat="1" applyFont="1" applyBorder="1" applyAlignment="1">
      <alignment horizontal="center"/>
    </xf>
    <xf numFmtId="165" fontId="20" fillId="0" borderId="3" xfId="3" applyNumberFormat="1" applyFont="1" applyBorder="1" applyAlignment="1">
      <alignment horizontal="center"/>
    </xf>
    <xf numFmtId="10" fontId="14" fillId="0" borderId="3" xfId="0" applyNumberFormat="1" applyFont="1" applyBorder="1" applyAlignment="1">
      <alignment horizontal="center" vertical="center"/>
    </xf>
    <xf numFmtId="10" fontId="14" fillId="0" borderId="5" xfId="0" applyNumberFormat="1" applyFont="1" applyBorder="1" applyAlignment="1">
      <alignment horizontal="center" vertical="center"/>
    </xf>
    <xf numFmtId="10" fontId="14" fillId="0" borderId="8" xfId="0" applyNumberFormat="1" applyFont="1" applyBorder="1" applyAlignment="1">
      <alignment horizontal="center" vertical="center"/>
    </xf>
    <xf numFmtId="165" fontId="13" fillId="0" borderId="3" xfId="3" applyNumberFormat="1" applyFont="1" applyBorder="1" applyAlignment="1">
      <alignment horizontal="center" vertical="center"/>
    </xf>
    <xf numFmtId="165" fontId="13" fillId="0" borderId="5" xfId="3" applyNumberFormat="1" applyFont="1" applyBorder="1" applyAlignment="1">
      <alignment horizontal="center" vertical="center"/>
    </xf>
    <xf numFmtId="165" fontId="13" fillId="0" borderId="8" xfId="3" applyNumberFormat="1" applyFont="1" applyBorder="1" applyAlignment="1">
      <alignment horizontal="center" vertical="center"/>
    </xf>
    <xf numFmtId="10" fontId="14" fillId="0" borderId="1" xfId="0" applyNumberFormat="1" applyFont="1" applyBorder="1" applyAlignment="1">
      <alignment horizontal="center" vertical="center"/>
    </xf>
    <xf numFmtId="10" fontId="14" fillId="0" borderId="4" xfId="0" applyNumberFormat="1" applyFont="1" applyBorder="1" applyAlignment="1">
      <alignment horizontal="center" vertical="center"/>
    </xf>
    <xf numFmtId="10" fontId="14" fillId="0" borderId="6" xfId="0" applyNumberFormat="1" applyFont="1" applyBorder="1" applyAlignment="1">
      <alignment horizontal="center" vertical="center"/>
    </xf>
    <xf numFmtId="0" fontId="6" fillId="0" borderId="6" xfId="0" applyFont="1" applyBorder="1" applyAlignment="1">
      <alignment horizontal="center"/>
    </xf>
    <xf numFmtId="0" fontId="6" fillId="0" borderId="8" xfId="0" applyFont="1" applyBorder="1" applyAlignment="1">
      <alignment horizontal="center"/>
    </xf>
    <xf numFmtId="43" fontId="12" fillId="0" borderId="3" xfId="3" applyFont="1" applyBorder="1" applyAlignment="1">
      <alignment vertical="center"/>
    </xf>
    <xf numFmtId="43" fontId="12" fillId="0" borderId="5" xfId="3" applyFont="1" applyBorder="1" applyAlignment="1">
      <alignment vertical="center"/>
    </xf>
    <xf numFmtId="43" fontId="12" fillId="0" borderId="8" xfId="3" applyFont="1" applyBorder="1" applyAlignment="1">
      <alignment vertical="center"/>
    </xf>
    <xf numFmtId="43" fontId="12" fillId="0" borderId="3" xfId="0" applyNumberFormat="1" applyFont="1" applyBorder="1" applyAlignment="1">
      <alignment horizontal="center" vertical="center"/>
    </xf>
    <xf numFmtId="43" fontId="12" fillId="0" borderId="5" xfId="0" applyNumberFormat="1" applyFont="1" applyBorder="1" applyAlignment="1">
      <alignment horizontal="center" vertical="center"/>
    </xf>
    <xf numFmtId="43" fontId="12" fillId="0" borderId="8" xfId="0" applyNumberFormat="1" applyFont="1" applyBorder="1" applyAlignment="1">
      <alignment horizontal="center" vertical="center"/>
    </xf>
    <xf numFmtId="44" fontId="0" fillId="0" borderId="3" xfId="1" applyFont="1" applyBorder="1" applyAlignment="1">
      <alignment horizontal="center" vertical="center"/>
    </xf>
    <xf numFmtId="44" fontId="0" fillId="0" borderId="5" xfId="1" applyFont="1" applyBorder="1" applyAlignment="1">
      <alignment horizontal="center" vertical="center"/>
    </xf>
    <xf numFmtId="44" fontId="0" fillId="0" borderId="8" xfId="1" applyFont="1" applyBorder="1" applyAlignment="1">
      <alignment horizontal="center" vertical="center"/>
    </xf>
    <xf numFmtId="44" fontId="4" fillId="0" borderId="2" xfId="0" applyNumberFormat="1" applyFont="1" applyBorder="1" applyAlignment="1">
      <alignment horizontal="center" vertical="center"/>
    </xf>
    <xf numFmtId="44" fontId="4" fillId="0" borderId="7" xfId="0" applyNumberFormat="1" applyFont="1" applyBorder="1" applyAlignment="1">
      <alignment horizontal="center" vertical="center"/>
    </xf>
    <xf numFmtId="44" fontId="4" fillId="0" borderId="3" xfId="0" applyNumberFormat="1" applyFont="1" applyBorder="1" applyAlignment="1">
      <alignment horizontal="center" vertical="center"/>
    </xf>
    <xf numFmtId="44" fontId="4" fillId="0" borderId="8" xfId="0" applyNumberFormat="1" applyFont="1" applyBorder="1" applyAlignment="1">
      <alignment horizontal="center" vertical="center"/>
    </xf>
    <xf numFmtId="0" fontId="4" fillId="0" borderId="1" xfId="0" applyFont="1" applyBorder="1" applyAlignment="1">
      <alignment horizontal="center" vertical="center"/>
    </xf>
    <xf numFmtId="0" fontId="4" fillId="0" borderId="6" xfId="0" applyFont="1" applyBorder="1" applyAlignment="1">
      <alignment horizontal="center" vertical="center"/>
    </xf>
    <xf numFmtId="166" fontId="0" fillId="0" borderId="1" xfId="0" applyNumberFormat="1" applyBorder="1" applyAlignment="1">
      <alignment vertical="center"/>
    </xf>
    <xf numFmtId="0" fontId="0" fillId="0" borderId="6" xfId="0" applyBorder="1" applyAlignment="1">
      <alignment vertical="center"/>
    </xf>
    <xf numFmtId="167" fontId="4" fillId="0" borderId="2" xfId="2" applyNumberFormat="1" applyFont="1" applyFill="1" applyBorder="1" applyAlignment="1">
      <alignment vertical="center"/>
    </xf>
    <xf numFmtId="167" fontId="4" fillId="0" borderId="7" xfId="2" applyNumberFormat="1" applyFont="1" applyFill="1" applyBorder="1" applyAlignment="1">
      <alignment vertical="center"/>
    </xf>
    <xf numFmtId="166" fontId="5" fillId="0" borderId="1" xfId="1" applyNumberFormat="1" applyFont="1" applyBorder="1" applyAlignment="1">
      <alignment horizontal="center"/>
    </xf>
    <xf numFmtId="166" fontId="5" fillId="0" borderId="14" xfId="1" applyNumberFormat="1" applyFont="1" applyBorder="1" applyAlignment="1">
      <alignment horizontal="center"/>
    </xf>
    <xf numFmtId="166" fontId="0" fillId="4" borderId="1" xfId="0" applyNumberFormat="1" applyFill="1" applyBorder="1" applyAlignment="1">
      <alignment vertical="center"/>
    </xf>
    <xf numFmtId="0" fontId="0" fillId="4" borderId="6" xfId="0" applyFill="1" applyBorder="1" applyAlignment="1">
      <alignment vertical="center"/>
    </xf>
    <xf numFmtId="43" fontId="12" fillId="4" borderId="3" xfId="3" applyFont="1" applyFill="1" applyBorder="1" applyAlignment="1">
      <alignment vertical="center"/>
    </xf>
    <xf numFmtId="43" fontId="12" fillId="4" borderId="8" xfId="3" applyFont="1" applyFill="1" applyBorder="1" applyAlignment="1">
      <alignment vertical="center"/>
    </xf>
    <xf numFmtId="167" fontId="4" fillId="4" borderId="2" xfId="2" applyNumberFormat="1" applyFont="1" applyFill="1" applyBorder="1" applyAlignment="1">
      <alignment vertical="center"/>
    </xf>
    <xf numFmtId="167" fontId="4" fillId="4" borderId="7" xfId="2" applyNumberFormat="1" applyFont="1" applyFill="1" applyBorder="1" applyAlignment="1">
      <alignment vertical="center"/>
    </xf>
    <xf numFmtId="43" fontId="12" fillId="0" borderId="3" xfId="3" applyFont="1" applyFill="1" applyBorder="1" applyAlignment="1">
      <alignment vertical="center"/>
    </xf>
    <xf numFmtId="43" fontId="12" fillId="0" borderId="8" xfId="3" applyFont="1" applyFill="1" applyBorder="1" applyAlignment="1">
      <alignment vertical="center"/>
    </xf>
    <xf numFmtId="167" fontId="19" fillId="0" borderId="2" xfId="2" applyNumberFormat="1" applyFont="1" applyFill="1" applyBorder="1" applyAlignment="1">
      <alignment vertical="center"/>
    </xf>
    <xf numFmtId="167" fontId="19" fillId="0" borderId="7" xfId="2" applyNumberFormat="1" applyFont="1" applyFill="1" applyBorder="1" applyAlignment="1">
      <alignment vertical="center"/>
    </xf>
    <xf numFmtId="166" fontId="13" fillId="0" borderId="1" xfId="0" applyNumberFormat="1" applyFont="1" applyBorder="1" applyAlignment="1">
      <alignment vertical="center"/>
    </xf>
    <xf numFmtId="0" fontId="13" fillId="0" borderId="6" xfId="0" applyFont="1" applyBorder="1" applyAlignment="1">
      <alignment vertical="center"/>
    </xf>
    <xf numFmtId="44" fontId="1" fillId="4" borderId="3" xfId="1" applyFont="1" applyFill="1" applyBorder="1" applyAlignment="1">
      <alignment horizontal="center" vertical="center"/>
    </xf>
    <xf numFmtId="44" fontId="1" fillId="4" borderId="8" xfId="1" applyFont="1" applyFill="1" applyBorder="1" applyAlignment="1">
      <alignment horizontal="center" vertical="center"/>
    </xf>
    <xf numFmtId="44" fontId="8" fillId="0" borderId="3" xfId="1" applyFont="1" applyBorder="1" applyAlignment="1">
      <alignment horizontal="center" vertical="center"/>
    </xf>
    <xf numFmtId="44" fontId="8" fillId="0" borderId="8" xfId="1" applyFont="1" applyBorder="1" applyAlignment="1">
      <alignment horizontal="center" vertical="center"/>
    </xf>
    <xf numFmtId="166" fontId="8" fillId="0" borderId="1" xfId="0" applyNumberFormat="1" applyFont="1" applyBorder="1" applyAlignment="1">
      <alignment vertical="center"/>
    </xf>
    <xf numFmtId="0" fontId="8" fillId="0" borderId="6" xfId="0" applyFont="1" applyBorder="1" applyAlignment="1">
      <alignment vertical="center"/>
    </xf>
    <xf numFmtId="167" fontId="17" fillId="0" borderId="2" xfId="2" applyNumberFormat="1" applyFont="1" applyFill="1" applyBorder="1" applyAlignment="1">
      <alignment vertical="center"/>
    </xf>
    <xf numFmtId="167" fontId="17" fillId="0" borderId="7" xfId="2" applyNumberFormat="1" applyFont="1" applyFill="1" applyBorder="1" applyAlignment="1">
      <alignment vertical="center"/>
    </xf>
    <xf numFmtId="43" fontId="17" fillId="0" borderId="3" xfId="3" applyFont="1" applyBorder="1" applyAlignment="1">
      <alignment vertical="center"/>
    </xf>
    <xf numFmtId="43" fontId="17" fillId="0" borderId="8" xfId="3" applyFont="1" applyBorder="1" applyAlignment="1">
      <alignment vertical="center"/>
    </xf>
    <xf numFmtId="43" fontId="17" fillId="0" borderId="3" xfId="0" applyNumberFormat="1" applyFont="1" applyBorder="1" applyAlignment="1">
      <alignment horizontal="center" vertical="center"/>
    </xf>
    <xf numFmtId="43" fontId="17" fillId="0" borderId="8" xfId="0" applyNumberFormat="1" applyFont="1" applyBorder="1" applyAlignment="1">
      <alignment horizontal="center" vertical="center"/>
    </xf>
    <xf numFmtId="43" fontId="17" fillId="0" borderId="3" xfId="0" applyNumberFormat="1" applyFont="1" applyBorder="1" applyAlignment="1">
      <alignment vertical="center"/>
    </xf>
    <xf numFmtId="43" fontId="17" fillId="0" borderId="8" xfId="0" applyNumberFormat="1" applyFont="1" applyBorder="1" applyAlignment="1">
      <alignment vertical="center"/>
    </xf>
    <xf numFmtId="44" fontId="0" fillId="6" borderId="0" xfId="0" applyNumberFormat="1" applyFill="1"/>
    <xf numFmtId="16" fontId="0" fillId="0" borderId="0" xfId="0" applyNumberFormat="1"/>
    <xf numFmtId="16" fontId="19" fillId="0" borderId="0" xfId="0" applyNumberFormat="1" applyFont="1"/>
    <xf numFmtId="167" fontId="0" fillId="0" borderId="0" xfId="0" applyNumberFormat="1"/>
  </cellXfs>
  <cellStyles count="4">
    <cellStyle name="Comma" xfId="3" builtinId="3"/>
    <cellStyle name="Currency" xfId="1" builtinId="4"/>
    <cellStyle name="Normal" xfId="0" builtinId="0"/>
    <cellStyle name="Percent" xfId="2" builtinId="5"/>
  </cellStyles>
  <dxfs count="202">
    <dxf>
      <font>
        <color rgb="FF006100"/>
      </font>
      <fill>
        <patternFill>
          <bgColor rgb="FFC6EFCE"/>
        </patternFill>
      </fill>
    </dxf>
    <dxf>
      <font>
        <b/>
        <i val="0"/>
        <color rgb="FF006100"/>
      </font>
      <fill>
        <patternFill patternType="none">
          <bgColor auto="1"/>
        </patternFill>
      </fill>
    </dxf>
    <dxf>
      <font>
        <b/>
        <i val="0"/>
        <color rgb="FF9C0006"/>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color rgb="FF9C5700"/>
      </font>
      <fill>
        <patternFill>
          <bgColor rgb="FFFFEB9C"/>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color rgb="FF9C0006"/>
      </font>
      <fill>
        <patternFill>
          <bgColor rgb="FFFFC7CE"/>
        </patternFill>
      </fill>
    </dxf>
    <dxf>
      <font>
        <color rgb="FF9C5700"/>
      </font>
      <fill>
        <patternFill>
          <bgColor rgb="FFFFEB9C"/>
        </patternFill>
      </fill>
    </dxf>
    <dxf>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alignment horizontal="general" vertical="center" textRotation="0" wrapText="1" indent="0" justifyLastLine="0" shrinkToFit="0" readingOrder="0"/>
    </dxf>
    <dxf>
      <font>
        <b/>
      </font>
    </dxf>
    <dxf>
      <alignment horizontal="general" vertic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3</xdr:col>
      <xdr:colOff>200025</xdr:colOff>
      <xdr:row>0</xdr:row>
      <xdr:rowOff>161925</xdr:rowOff>
    </xdr:from>
    <xdr:to>
      <xdr:col>3</xdr:col>
      <xdr:colOff>1114425</xdr:colOff>
      <xdr:row>4</xdr:row>
      <xdr:rowOff>85725</xdr:rowOff>
    </xdr:to>
    <xdr:sp macro="[0]!UpdateMultipliersGroup" textlink="">
      <xdr:nvSpPr>
        <xdr:cNvPr id="2" name="Rectangle 1">
          <a:extLst>
            <a:ext uri="{FF2B5EF4-FFF2-40B4-BE49-F238E27FC236}">
              <a16:creationId xmlns:a16="http://schemas.microsoft.com/office/drawing/2014/main" id="{677D85F0-62B1-2EFC-2A3C-1AC9205685BF}"/>
            </a:ext>
          </a:extLst>
        </xdr:cNvPr>
        <xdr:cNvSpPr/>
      </xdr:nvSpPr>
      <xdr:spPr>
        <a:xfrm>
          <a:off x="3895725" y="161925"/>
          <a:ext cx="914400" cy="685800"/>
        </a:xfrm>
        <a:prstGeom prst="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Update Multipliers</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E913BC0-E3D8-4CCA-950F-A7509FC6B526}" name="admin_inputs" displayName="admin_inputs" ref="A1:B7" totalsRowShown="0">
  <autoFilter ref="A1:B7" xr:uid="{7E913BC0-E3D8-4CCA-950F-A7509FC6B526}"/>
  <tableColumns count="2">
    <tableColumn id="1" xr3:uid="{DBCC28E9-5CC8-4346-8F1B-B8CC81979271}" name="Keys"/>
    <tableColumn id="2" xr3:uid="{BC9C663B-3B3C-4AB3-A127-6F36C4D9E41D}" name="Valu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1E0AE69-AE86-439F-8B86-A6C16D189F1B}" name="anchor_inputs" displayName="anchor_inputs" ref="A1:G109" totalsRowShown="0">
  <autoFilter ref="A1:G109" xr:uid="{41E0AE69-AE86-439F-8B86-A6C16D189F1B}"/>
  <sortState xmlns:xlrd2="http://schemas.microsoft.com/office/spreadsheetml/2017/richdata2" ref="A2:G109">
    <sortCondition ref="A1:A109"/>
  </sortState>
  <tableColumns count="7">
    <tableColumn id="4" xr3:uid="{C143C91C-ACAF-4ACF-B91F-4435A63F4151}" name="grouping" dataDxfId="201"/>
    <tableColumn id="2" xr3:uid="{F486AEE1-C7BF-4FB6-956C-83C2ABB71F18}" name="subgroup"/>
    <tableColumn id="1" xr3:uid="{4425B6E4-20BC-47CF-A149-57992AA900B4}" name="my_fi_name" dataDxfId="200"/>
    <tableColumn id="6" xr3:uid="{3FB674DC-28D9-413B-AEF2-94CC07DCB1E2}" name="my_pf_name" dataDxfId="199"/>
    <tableColumn id="5" xr3:uid="{1C677B6D-D63E-4271-8F12-49B31EA5C0F2}" name="anchor"/>
    <tableColumn id="3" xr3:uid="{B174390F-1C67-417C-A283-D8C2F19DC00A}" name="moving_avg_days" dataDxfId="198"/>
    <tableColumn id="7" xr3:uid="{C52E743F-9654-49BA-BB50-AD02E79E39CB}" name="div_treatment" dataDxfId="19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23B66-DD64-4B52-A1F6-E049BD827304}">
  <sheetPr codeName="Sheet1"/>
  <dimension ref="A1:E7"/>
  <sheetViews>
    <sheetView workbookViewId="0">
      <selection activeCell="F26" sqref="F26"/>
    </sheetView>
  </sheetViews>
  <sheetFormatPr defaultRowHeight="15" x14ac:dyDescent="0.25"/>
  <cols>
    <col min="1" max="1" width="29.42578125" customWidth="1"/>
    <col min="2" max="2" width="17.28515625" customWidth="1"/>
    <col min="3" max="3" width="11.5703125" bestFit="1" customWidth="1"/>
    <col min="4" max="4" width="19.42578125" customWidth="1"/>
    <col min="5" max="5" width="14" bestFit="1" customWidth="1"/>
    <col min="13" max="13" width="17" customWidth="1"/>
    <col min="14" max="14" width="17.140625" customWidth="1"/>
  </cols>
  <sheetData>
    <row r="1" spans="1:5" x14ac:dyDescent="0.25">
      <c r="A1" t="s">
        <v>10</v>
      </c>
      <c r="B1" t="s">
        <v>11</v>
      </c>
    </row>
    <row r="2" spans="1:5" x14ac:dyDescent="0.25">
      <c r="A2" t="s">
        <v>73</v>
      </c>
      <c r="B2" t="str" cm="1">
        <f t="array" aca="1" ref="B2" ca="1">_xlfn.TEXTAFTER(CELL("filename",'ANCHOR INPUTS'!C1),"]")</f>
        <v>ANCHOR INPUTS</v>
      </c>
    </row>
    <row r="3" spans="1:5" x14ac:dyDescent="0.25">
      <c r="A3" t="s">
        <v>74</v>
      </c>
      <c r="B3" t="s">
        <v>129</v>
      </c>
      <c r="E3" s="275" t="s">
        <v>354</v>
      </c>
    </row>
    <row r="4" spans="1:5" x14ac:dyDescent="0.25">
      <c r="A4" t="s">
        <v>159</v>
      </c>
      <c r="B4" t="s">
        <v>157</v>
      </c>
    </row>
    <row r="5" spans="1:5" x14ac:dyDescent="0.25">
      <c r="A5" t="s">
        <v>158</v>
      </c>
      <c r="B5" t="s">
        <v>35</v>
      </c>
    </row>
    <row r="6" spans="1:5" x14ac:dyDescent="0.25">
      <c r="A6" t="s">
        <v>34</v>
      </c>
      <c r="B6" t="str" cm="1">
        <f t="array" aca="1" ref="B6" ca="1">_xlfn.TEXTAFTER(CELL("filename",'TRADING INPUTS'!C4),"]")</f>
        <v>TRADING INPUTS</v>
      </c>
      <c r="D6" s="24">
        <v>46294.45815972222</v>
      </c>
    </row>
    <row r="7" spans="1:5" x14ac:dyDescent="0.25">
      <c r="A7" t="s">
        <v>75</v>
      </c>
      <c r="B7" t="s">
        <v>35</v>
      </c>
    </row>
  </sheetData>
  <phoneticPr fontId="2" type="noConversion"/>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4A0C6A-C81F-4362-A841-5F39AFD14BA6}">
  <sheetPr codeName="Sheet2"/>
  <dimension ref="A1:R109"/>
  <sheetViews>
    <sheetView zoomScale="85" zoomScaleNormal="85" workbookViewId="0">
      <pane ySplit="1" topLeftCell="A38" activePane="bottomLeft" state="frozen"/>
      <selection pane="bottomLeft" activeCell="J86" sqref="J86"/>
    </sheetView>
  </sheetViews>
  <sheetFormatPr defaultRowHeight="15" customHeight="1" x14ac:dyDescent="0.25"/>
  <cols>
    <col min="1" max="1" width="15.28515625" customWidth="1"/>
    <col min="2" max="2" width="20.28515625" customWidth="1"/>
    <col min="3" max="3" width="14" style="8" bestFit="1" customWidth="1"/>
    <col min="4" max="4" width="14.5703125" style="1" bestFit="1" customWidth="1"/>
    <col min="5" max="5" width="9.42578125" style="1" bestFit="1" customWidth="1"/>
    <col min="6" max="6" width="21.140625" style="1" bestFit="1" customWidth="1"/>
    <col min="7" max="7" width="16" style="1" bestFit="1" customWidth="1"/>
  </cols>
  <sheetData>
    <row r="1" spans="1:12" ht="15" customHeight="1" x14ac:dyDescent="0.25">
      <c r="A1" t="s">
        <v>218</v>
      </c>
      <c r="B1" t="s">
        <v>219</v>
      </c>
      <c r="C1" s="8" t="s">
        <v>2</v>
      </c>
      <c r="D1" t="s">
        <v>1</v>
      </c>
      <c r="E1" t="s">
        <v>88</v>
      </c>
      <c r="F1" s="1" t="s">
        <v>9</v>
      </c>
      <c r="G1" t="s">
        <v>130</v>
      </c>
      <c r="H1" s="1"/>
      <c r="I1" s="159" t="s">
        <v>130</v>
      </c>
      <c r="J1" s="154"/>
      <c r="K1" s="154"/>
      <c r="L1" s="155"/>
    </row>
    <row r="2" spans="1:12" ht="15" customHeight="1" x14ac:dyDescent="0.25">
      <c r="A2" t="s">
        <v>131</v>
      </c>
      <c r="B2" t="s">
        <v>132</v>
      </c>
      <c r="C2" s="8" t="s">
        <v>8</v>
      </c>
      <c r="D2" t="s">
        <v>0</v>
      </c>
      <c r="E2" t="s">
        <v>8</v>
      </c>
      <c r="F2" s="1">
        <v>20</v>
      </c>
      <c r="G2" s="1">
        <v>0</v>
      </c>
      <c r="H2" s="1"/>
      <c r="I2" s="168">
        <v>0</v>
      </c>
      <c r="J2" t="s">
        <v>161</v>
      </c>
      <c r="L2" s="156"/>
    </row>
    <row r="3" spans="1:12" ht="15" customHeight="1" x14ac:dyDescent="0.25">
      <c r="A3" t="s">
        <v>131</v>
      </c>
      <c r="B3" t="s">
        <v>132</v>
      </c>
      <c r="C3" s="8" t="s">
        <v>7</v>
      </c>
      <c r="D3" t="s">
        <v>0</v>
      </c>
      <c r="E3" t="s">
        <v>8</v>
      </c>
      <c r="F3" s="1">
        <v>20</v>
      </c>
      <c r="G3" s="1">
        <v>0</v>
      </c>
      <c r="H3" s="1"/>
      <c r="I3" s="168">
        <v>1</v>
      </c>
      <c r="J3" t="s">
        <v>162</v>
      </c>
      <c r="L3" s="156"/>
    </row>
    <row r="4" spans="1:12" ht="15" customHeight="1" thickBot="1" x14ac:dyDescent="0.3">
      <c r="A4" t="s">
        <v>131</v>
      </c>
      <c r="B4" t="s">
        <v>132</v>
      </c>
      <c r="C4" s="8" t="s">
        <v>5</v>
      </c>
      <c r="D4" t="s">
        <v>0</v>
      </c>
      <c r="E4" t="s">
        <v>8</v>
      </c>
      <c r="F4" s="1">
        <v>20</v>
      </c>
      <c r="G4" s="1">
        <v>0</v>
      </c>
      <c r="H4" s="1"/>
      <c r="I4" s="169">
        <v>2</v>
      </c>
      <c r="J4" s="157" t="s">
        <v>163</v>
      </c>
      <c r="K4" s="157"/>
      <c r="L4" s="158"/>
    </row>
    <row r="5" spans="1:12" ht="15" customHeight="1" x14ac:dyDescent="0.25">
      <c r="A5" t="s">
        <v>131</v>
      </c>
      <c r="B5" t="s">
        <v>132</v>
      </c>
      <c r="C5" s="8" t="s">
        <v>6</v>
      </c>
      <c r="D5" t="s">
        <v>0</v>
      </c>
      <c r="E5" t="s">
        <v>8</v>
      </c>
      <c r="F5" s="1">
        <v>20</v>
      </c>
      <c r="G5" s="1">
        <v>0</v>
      </c>
      <c r="H5" s="1"/>
      <c r="I5" s="1"/>
    </row>
    <row r="6" spans="1:12" ht="15" customHeight="1" x14ac:dyDescent="0.25">
      <c r="A6" t="s">
        <v>131</v>
      </c>
      <c r="B6" t="s">
        <v>145</v>
      </c>
      <c r="C6" s="8" t="s">
        <v>45</v>
      </c>
      <c r="D6" t="s">
        <v>0</v>
      </c>
      <c r="E6" t="s">
        <v>56</v>
      </c>
      <c r="F6" s="1">
        <v>20</v>
      </c>
      <c r="G6" s="1">
        <v>2</v>
      </c>
      <c r="H6" s="1"/>
      <c r="I6" s="1"/>
    </row>
    <row r="7" spans="1:12" ht="15" customHeight="1" x14ac:dyDescent="0.25">
      <c r="A7" t="s">
        <v>131</v>
      </c>
      <c r="B7" t="s">
        <v>145</v>
      </c>
      <c r="C7" s="8" t="s">
        <v>56</v>
      </c>
      <c r="D7" t="s">
        <v>0</v>
      </c>
      <c r="E7" t="s">
        <v>56</v>
      </c>
      <c r="F7" s="1">
        <v>20</v>
      </c>
      <c r="G7" s="1">
        <v>2</v>
      </c>
      <c r="H7" s="1"/>
      <c r="I7" s="1"/>
    </row>
    <row r="8" spans="1:12" ht="15" customHeight="1" x14ac:dyDescent="0.25">
      <c r="A8" t="s">
        <v>131</v>
      </c>
      <c r="B8" t="s">
        <v>137</v>
      </c>
      <c r="C8" s="8" t="s">
        <v>46</v>
      </c>
      <c r="D8" t="s">
        <v>0</v>
      </c>
      <c r="E8" t="s">
        <v>50</v>
      </c>
      <c r="F8" s="1">
        <v>20</v>
      </c>
      <c r="G8" s="1">
        <v>2</v>
      </c>
      <c r="H8" s="1"/>
      <c r="I8" s="1"/>
    </row>
    <row r="9" spans="1:12" ht="15" customHeight="1" x14ac:dyDescent="0.25">
      <c r="A9" t="s">
        <v>131</v>
      </c>
      <c r="B9" t="s">
        <v>137</v>
      </c>
      <c r="C9" s="8" t="s">
        <v>50</v>
      </c>
      <c r="D9" t="s">
        <v>0</v>
      </c>
      <c r="E9" t="s">
        <v>50</v>
      </c>
      <c r="F9" s="1">
        <v>20</v>
      </c>
      <c r="G9" s="1">
        <v>2</v>
      </c>
      <c r="H9" s="1"/>
      <c r="I9" s="1"/>
    </row>
    <row r="10" spans="1:12" ht="15" customHeight="1" x14ac:dyDescent="0.25">
      <c r="A10" t="s">
        <v>131</v>
      </c>
      <c r="B10" t="s">
        <v>134</v>
      </c>
      <c r="C10" s="8" t="s">
        <v>31</v>
      </c>
      <c r="D10" t="s">
        <v>0</v>
      </c>
      <c r="E10" t="s">
        <v>31</v>
      </c>
      <c r="F10" s="1">
        <v>20</v>
      </c>
      <c r="G10" s="1">
        <v>0</v>
      </c>
      <c r="H10" s="1"/>
      <c r="I10" s="1"/>
    </row>
    <row r="11" spans="1:12" ht="15" customHeight="1" x14ac:dyDescent="0.25">
      <c r="A11" t="s">
        <v>131</v>
      </c>
      <c r="B11" t="s">
        <v>134</v>
      </c>
      <c r="C11" s="8" t="s">
        <v>28</v>
      </c>
      <c r="D11" t="s">
        <v>0</v>
      </c>
      <c r="E11" t="s">
        <v>31</v>
      </c>
      <c r="F11" s="1">
        <v>20</v>
      </c>
      <c r="G11" s="1">
        <v>0</v>
      </c>
      <c r="H11" s="1"/>
      <c r="I11" s="1"/>
    </row>
    <row r="12" spans="1:12" ht="15" customHeight="1" x14ac:dyDescent="0.25">
      <c r="A12" t="s">
        <v>131</v>
      </c>
      <c r="B12" t="s">
        <v>134</v>
      </c>
      <c r="C12" s="8" t="s">
        <v>29</v>
      </c>
      <c r="D12" t="s">
        <v>0</v>
      </c>
      <c r="E12" t="s">
        <v>31</v>
      </c>
      <c r="F12" s="1">
        <v>20</v>
      </c>
      <c r="G12" s="1">
        <v>0</v>
      </c>
      <c r="H12" s="1"/>
      <c r="I12" s="1"/>
    </row>
    <row r="13" spans="1:12" ht="15" customHeight="1" x14ac:dyDescent="0.25">
      <c r="A13" t="s">
        <v>131</v>
      </c>
      <c r="B13" t="s">
        <v>134</v>
      </c>
      <c r="C13" s="8" t="s">
        <v>30</v>
      </c>
      <c r="D13" t="s">
        <v>0</v>
      </c>
      <c r="E13" t="s">
        <v>31</v>
      </c>
      <c r="F13" s="1">
        <v>20</v>
      </c>
      <c r="G13" s="1">
        <v>0</v>
      </c>
      <c r="H13" s="1"/>
      <c r="I13" s="1"/>
    </row>
    <row r="14" spans="1:12" ht="15" customHeight="1" x14ac:dyDescent="0.25">
      <c r="A14" t="s">
        <v>131</v>
      </c>
      <c r="B14" t="s">
        <v>135</v>
      </c>
      <c r="C14" s="8" t="s">
        <v>47</v>
      </c>
      <c r="D14" t="s">
        <v>0</v>
      </c>
      <c r="E14" t="s">
        <v>47</v>
      </c>
      <c r="F14" s="1">
        <v>20</v>
      </c>
      <c r="G14" s="1">
        <v>2</v>
      </c>
      <c r="H14" s="1"/>
      <c r="I14" s="1"/>
    </row>
    <row r="15" spans="1:12" ht="15" customHeight="1" x14ac:dyDescent="0.25">
      <c r="A15" t="s">
        <v>131</v>
      </c>
      <c r="B15" t="s">
        <v>135</v>
      </c>
      <c r="C15" s="8" t="s">
        <v>57</v>
      </c>
      <c r="D15" t="s">
        <v>0</v>
      </c>
      <c r="E15" t="s">
        <v>47</v>
      </c>
      <c r="F15" s="1">
        <v>20</v>
      </c>
      <c r="G15" s="1">
        <v>2</v>
      </c>
      <c r="H15" s="1"/>
      <c r="I15" s="1"/>
    </row>
    <row r="16" spans="1:12" ht="15" customHeight="1" x14ac:dyDescent="0.25">
      <c r="A16" t="s">
        <v>131</v>
      </c>
      <c r="B16" t="s">
        <v>133</v>
      </c>
      <c r="C16" s="8" t="s">
        <v>42</v>
      </c>
      <c r="D16" t="s">
        <v>0</v>
      </c>
      <c r="E16" t="s">
        <v>42</v>
      </c>
      <c r="F16" s="1">
        <v>20</v>
      </c>
      <c r="G16" s="1">
        <v>2</v>
      </c>
      <c r="H16" s="1"/>
      <c r="I16" s="1"/>
    </row>
    <row r="17" spans="1:9" ht="15" customHeight="1" x14ac:dyDescent="0.25">
      <c r="A17" t="s">
        <v>131</v>
      </c>
      <c r="B17" t="s">
        <v>133</v>
      </c>
      <c r="C17" s="8" t="s">
        <v>48</v>
      </c>
      <c r="D17" t="s">
        <v>0</v>
      </c>
      <c r="E17" t="s">
        <v>42</v>
      </c>
      <c r="F17" s="1">
        <v>20</v>
      </c>
      <c r="G17" s="1">
        <v>2</v>
      </c>
      <c r="H17" s="1"/>
      <c r="I17" s="1"/>
    </row>
    <row r="18" spans="1:9" ht="15" customHeight="1" x14ac:dyDescent="0.25">
      <c r="A18" t="s">
        <v>131</v>
      </c>
      <c r="B18" t="s">
        <v>139</v>
      </c>
      <c r="C18" s="8" t="s">
        <v>16</v>
      </c>
      <c r="D18" t="s">
        <v>0</v>
      </c>
      <c r="E18" t="s">
        <v>17</v>
      </c>
      <c r="F18" s="1">
        <v>20</v>
      </c>
      <c r="G18" s="1">
        <v>0</v>
      </c>
      <c r="H18" s="1"/>
      <c r="I18" s="1"/>
    </row>
    <row r="19" spans="1:9" ht="15" customHeight="1" x14ac:dyDescent="0.25">
      <c r="A19" t="s">
        <v>131</v>
      </c>
      <c r="B19" t="s">
        <v>139</v>
      </c>
      <c r="C19" s="8" t="s">
        <v>14</v>
      </c>
      <c r="D19" t="s">
        <v>0</v>
      </c>
      <c r="E19" t="s">
        <v>17</v>
      </c>
      <c r="F19" s="1">
        <v>20</v>
      </c>
      <c r="G19" s="1">
        <v>0</v>
      </c>
      <c r="H19" s="1"/>
      <c r="I19" s="1"/>
    </row>
    <row r="20" spans="1:9" ht="15" customHeight="1" x14ac:dyDescent="0.25">
      <c r="A20" t="s">
        <v>131</v>
      </c>
      <c r="B20" t="s">
        <v>139</v>
      </c>
      <c r="C20" s="8" t="s">
        <v>17</v>
      </c>
      <c r="D20" t="s">
        <v>0</v>
      </c>
      <c r="E20" t="s">
        <v>17</v>
      </c>
      <c r="F20" s="1">
        <v>20</v>
      </c>
      <c r="G20" s="1">
        <v>0</v>
      </c>
      <c r="H20" s="1"/>
      <c r="I20" s="1"/>
    </row>
    <row r="21" spans="1:9" ht="15" customHeight="1" x14ac:dyDescent="0.25">
      <c r="A21" t="s">
        <v>131</v>
      </c>
      <c r="B21" t="s">
        <v>139</v>
      </c>
      <c r="C21" s="8" t="s">
        <v>13</v>
      </c>
      <c r="D21" t="s">
        <v>0</v>
      </c>
      <c r="E21" t="s">
        <v>17</v>
      </c>
      <c r="F21" s="1">
        <v>20</v>
      </c>
      <c r="G21" s="1">
        <v>0</v>
      </c>
      <c r="H21" s="1"/>
      <c r="I21" s="1"/>
    </row>
    <row r="22" spans="1:9" ht="15" customHeight="1" x14ac:dyDescent="0.25">
      <c r="A22" t="s">
        <v>131</v>
      </c>
      <c r="B22" t="s">
        <v>139</v>
      </c>
      <c r="C22" s="8" t="s">
        <v>12</v>
      </c>
      <c r="D22" t="s">
        <v>0</v>
      </c>
      <c r="E22" t="s">
        <v>17</v>
      </c>
      <c r="F22" s="1">
        <v>20</v>
      </c>
      <c r="G22" s="1">
        <v>0</v>
      </c>
      <c r="H22" s="1"/>
      <c r="I22" s="1"/>
    </row>
    <row r="23" spans="1:9" ht="15" customHeight="1" x14ac:dyDescent="0.25">
      <c r="A23" t="s">
        <v>131</v>
      </c>
      <c r="B23" t="s">
        <v>139</v>
      </c>
      <c r="C23" s="8" t="s">
        <v>15</v>
      </c>
      <c r="D23" t="s">
        <v>0</v>
      </c>
      <c r="E23" t="s">
        <v>17</v>
      </c>
      <c r="F23" s="1">
        <v>20</v>
      </c>
      <c r="G23" s="1">
        <v>0</v>
      </c>
      <c r="H23" s="1"/>
      <c r="I23" s="1"/>
    </row>
    <row r="24" spans="1:9" ht="15" customHeight="1" x14ac:dyDescent="0.25">
      <c r="A24" t="s">
        <v>131</v>
      </c>
      <c r="B24" t="s">
        <v>136</v>
      </c>
      <c r="C24" s="8" t="s">
        <v>43</v>
      </c>
      <c r="D24" t="s">
        <v>0</v>
      </c>
      <c r="E24" t="s">
        <v>49</v>
      </c>
      <c r="F24" s="1">
        <v>20</v>
      </c>
      <c r="G24" s="1">
        <v>2</v>
      </c>
      <c r="H24" s="1"/>
      <c r="I24" s="1"/>
    </row>
    <row r="25" spans="1:9" ht="15" customHeight="1" x14ac:dyDescent="0.25">
      <c r="A25" t="s">
        <v>131</v>
      </c>
      <c r="B25" t="s">
        <v>136</v>
      </c>
      <c r="C25" s="8" t="s">
        <v>49</v>
      </c>
      <c r="D25" t="s">
        <v>0</v>
      </c>
      <c r="E25" t="s">
        <v>49</v>
      </c>
      <c r="F25" s="1">
        <v>20</v>
      </c>
      <c r="G25" s="1">
        <v>2</v>
      </c>
      <c r="H25" s="1"/>
      <c r="I25" s="1"/>
    </row>
    <row r="26" spans="1:9" ht="15" customHeight="1" x14ac:dyDescent="0.25">
      <c r="A26" t="s">
        <v>131</v>
      </c>
      <c r="B26" t="s">
        <v>138</v>
      </c>
      <c r="C26" s="8" t="s">
        <v>44</v>
      </c>
      <c r="D26" t="s">
        <v>0</v>
      </c>
      <c r="E26" t="s">
        <v>51</v>
      </c>
      <c r="F26" s="1">
        <v>20</v>
      </c>
      <c r="G26" s="1">
        <v>2</v>
      </c>
      <c r="H26" s="1"/>
      <c r="I26" s="1"/>
    </row>
    <row r="27" spans="1:9" ht="15" customHeight="1" x14ac:dyDescent="0.25">
      <c r="A27" t="s">
        <v>131</v>
      </c>
      <c r="B27" t="s">
        <v>138</v>
      </c>
      <c r="C27" s="8" t="s">
        <v>51</v>
      </c>
      <c r="D27" t="s">
        <v>0</v>
      </c>
      <c r="E27" t="s">
        <v>51</v>
      </c>
      <c r="F27" s="1">
        <v>20</v>
      </c>
      <c r="G27" s="1">
        <v>2</v>
      </c>
      <c r="H27" s="1"/>
      <c r="I27" s="1"/>
    </row>
    <row r="28" spans="1:9" ht="15" customHeight="1" x14ac:dyDescent="0.25">
      <c r="A28" t="s">
        <v>131</v>
      </c>
      <c r="B28" t="s">
        <v>143</v>
      </c>
      <c r="C28" s="8" t="s">
        <v>23</v>
      </c>
      <c r="D28" t="s">
        <v>0</v>
      </c>
      <c r="E28" t="s">
        <v>24</v>
      </c>
      <c r="F28" s="1">
        <v>20</v>
      </c>
      <c r="G28" s="1">
        <v>0</v>
      </c>
      <c r="H28" s="1"/>
      <c r="I28" s="1"/>
    </row>
    <row r="29" spans="1:9" ht="15" customHeight="1" x14ac:dyDescent="0.25">
      <c r="A29" t="s">
        <v>131</v>
      </c>
      <c r="B29" t="s">
        <v>143</v>
      </c>
      <c r="C29" s="8" t="s">
        <v>22</v>
      </c>
      <c r="D29" t="s">
        <v>0</v>
      </c>
      <c r="E29" t="s">
        <v>24</v>
      </c>
      <c r="F29" s="1">
        <v>20</v>
      </c>
      <c r="G29" s="1">
        <v>0</v>
      </c>
      <c r="H29" s="1"/>
      <c r="I29" s="1"/>
    </row>
    <row r="30" spans="1:9" ht="15" customHeight="1" x14ac:dyDescent="0.25">
      <c r="A30" t="s">
        <v>131</v>
      </c>
      <c r="B30" t="s">
        <v>143</v>
      </c>
      <c r="C30" s="8" t="s">
        <v>24</v>
      </c>
      <c r="D30" t="s">
        <v>0</v>
      </c>
      <c r="E30" t="s">
        <v>24</v>
      </c>
      <c r="F30" s="1">
        <v>20</v>
      </c>
      <c r="G30" s="1">
        <v>0</v>
      </c>
      <c r="H30" s="1"/>
      <c r="I30" s="1"/>
    </row>
    <row r="31" spans="1:9" ht="15" customHeight="1" x14ac:dyDescent="0.25">
      <c r="A31" t="s">
        <v>131</v>
      </c>
      <c r="B31" t="s">
        <v>144</v>
      </c>
      <c r="C31" s="8" t="s">
        <v>26</v>
      </c>
      <c r="D31" t="s">
        <v>0</v>
      </c>
      <c r="E31" t="s">
        <v>27</v>
      </c>
      <c r="F31" s="1">
        <v>20</v>
      </c>
      <c r="G31" s="1">
        <v>0</v>
      </c>
      <c r="H31" s="1"/>
      <c r="I31" s="1"/>
    </row>
    <row r="32" spans="1:9" ht="15" customHeight="1" x14ac:dyDescent="0.25">
      <c r="A32" t="s">
        <v>131</v>
      </c>
      <c r="B32" t="s">
        <v>144</v>
      </c>
      <c r="C32" s="8" t="s">
        <v>25</v>
      </c>
      <c r="D32" t="s">
        <v>0</v>
      </c>
      <c r="E32" t="s">
        <v>27</v>
      </c>
      <c r="F32" s="1">
        <v>20</v>
      </c>
      <c r="G32" s="1">
        <v>0</v>
      </c>
      <c r="H32" s="1"/>
      <c r="I32" s="1"/>
    </row>
    <row r="33" spans="1:9" ht="15" customHeight="1" x14ac:dyDescent="0.25">
      <c r="A33" t="s">
        <v>131</v>
      </c>
      <c r="B33" t="s">
        <v>144</v>
      </c>
      <c r="C33" s="8" t="s">
        <v>27</v>
      </c>
      <c r="D33" t="s">
        <v>0</v>
      </c>
      <c r="E33" t="s">
        <v>27</v>
      </c>
      <c r="F33" s="1">
        <v>20</v>
      </c>
      <c r="G33" s="1">
        <v>0</v>
      </c>
      <c r="H33" s="1"/>
      <c r="I33" s="1"/>
    </row>
    <row r="34" spans="1:9" ht="15" customHeight="1" x14ac:dyDescent="0.25">
      <c r="A34" t="s">
        <v>131</v>
      </c>
      <c r="B34" t="s">
        <v>140</v>
      </c>
      <c r="C34" s="8" t="s">
        <v>20</v>
      </c>
      <c r="D34" t="s">
        <v>0</v>
      </c>
      <c r="E34" t="s">
        <v>20</v>
      </c>
      <c r="F34" s="1">
        <v>20</v>
      </c>
      <c r="G34" s="1">
        <v>0</v>
      </c>
      <c r="H34" s="1"/>
      <c r="I34" s="1"/>
    </row>
    <row r="35" spans="1:9" ht="15" customHeight="1" x14ac:dyDescent="0.25">
      <c r="A35" t="s">
        <v>131</v>
      </c>
      <c r="B35" t="s">
        <v>140</v>
      </c>
      <c r="C35" s="8" t="s">
        <v>18</v>
      </c>
      <c r="D35" t="s">
        <v>0</v>
      </c>
      <c r="E35" t="s">
        <v>20</v>
      </c>
      <c r="F35" s="1">
        <v>20</v>
      </c>
      <c r="G35" s="1">
        <v>0</v>
      </c>
      <c r="H35" s="1"/>
      <c r="I35" s="1"/>
    </row>
    <row r="36" spans="1:9" ht="15" customHeight="1" x14ac:dyDescent="0.25">
      <c r="A36" t="s">
        <v>131</v>
      </c>
      <c r="B36" t="s">
        <v>140</v>
      </c>
      <c r="C36" s="8" t="s">
        <v>19</v>
      </c>
      <c r="D36" t="s">
        <v>0</v>
      </c>
      <c r="E36" t="s">
        <v>20</v>
      </c>
      <c r="F36" s="1">
        <v>20</v>
      </c>
      <c r="G36" s="1">
        <v>0</v>
      </c>
      <c r="H36" s="1"/>
      <c r="I36" s="1"/>
    </row>
    <row r="37" spans="1:9" ht="15" customHeight="1" x14ac:dyDescent="0.25">
      <c r="A37" t="s">
        <v>131</v>
      </c>
      <c r="B37" t="s">
        <v>141</v>
      </c>
      <c r="C37" s="8" t="s">
        <v>4</v>
      </c>
      <c r="D37" t="s">
        <v>0</v>
      </c>
      <c r="E37" t="s">
        <v>4</v>
      </c>
      <c r="F37" s="1">
        <v>20</v>
      </c>
      <c r="G37" s="1">
        <v>0</v>
      </c>
      <c r="H37" s="1"/>
      <c r="I37" s="1"/>
    </row>
    <row r="38" spans="1:9" ht="15" customHeight="1" x14ac:dyDescent="0.25">
      <c r="A38" t="s">
        <v>131</v>
      </c>
      <c r="B38" t="s">
        <v>141</v>
      </c>
      <c r="C38" s="8" t="s">
        <v>21</v>
      </c>
      <c r="D38" t="s">
        <v>0</v>
      </c>
      <c r="E38" t="s">
        <v>4</v>
      </c>
      <c r="F38" s="1">
        <v>20</v>
      </c>
      <c r="G38" s="1">
        <v>0</v>
      </c>
      <c r="H38" s="1"/>
      <c r="I38" s="1"/>
    </row>
    <row r="39" spans="1:9" ht="15" customHeight="1" x14ac:dyDescent="0.25">
      <c r="A39" t="s">
        <v>131</v>
      </c>
      <c r="B39" t="s">
        <v>141</v>
      </c>
      <c r="C39" s="8" t="s">
        <v>3</v>
      </c>
      <c r="D39" t="s">
        <v>0</v>
      </c>
      <c r="E39" t="s">
        <v>4</v>
      </c>
      <c r="F39" s="1">
        <v>20</v>
      </c>
      <c r="G39" s="1">
        <v>0</v>
      </c>
      <c r="H39" s="1"/>
      <c r="I39" s="1"/>
    </row>
    <row r="40" spans="1:9" ht="15" customHeight="1" x14ac:dyDescent="0.25">
      <c r="A40" t="s">
        <v>131</v>
      </c>
      <c r="B40" t="s">
        <v>142</v>
      </c>
      <c r="C40" s="8" t="s">
        <v>52</v>
      </c>
      <c r="D40" t="s">
        <v>0</v>
      </c>
      <c r="E40" t="s">
        <v>52</v>
      </c>
      <c r="F40" s="1">
        <v>20</v>
      </c>
      <c r="G40" s="1">
        <v>2</v>
      </c>
      <c r="H40" s="1"/>
      <c r="I40" s="1"/>
    </row>
    <row r="41" spans="1:9" ht="15" customHeight="1" x14ac:dyDescent="0.25">
      <c r="A41" t="s">
        <v>131</v>
      </c>
      <c r="B41" t="s">
        <v>142</v>
      </c>
      <c r="C41" s="8" t="s">
        <v>53</v>
      </c>
      <c r="D41" t="s">
        <v>0</v>
      </c>
      <c r="E41" t="s">
        <v>52</v>
      </c>
      <c r="F41" s="1">
        <v>20</v>
      </c>
      <c r="G41" s="1">
        <v>2</v>
      </c>
      <c r="H41" s="1"/>
      <c r="I41" s="1"/>
    </row>
    <row r="42" spans="1:9" ht="15" customHeight="1" x14ac:dyDescent="0.25">
      <c r="A42" t="s">
        <v>134</v>
      </c>
      <c r="B42" s="72" t="s">
        <v>181</v>
      </c>
      <c r="C42" s="8" t="s">
        <v>182</v>
      </c>
      <c r="D42" t="s">
        <v>0</v>
      </c>
      <c r="E42" t="s">
        <v>182</v>
      </c>
      <c r="F42" s="1">
        <v>20</v>
      </c>
      <c r="G42" s="1">
        <v>0</v>
      </c>
      <c r="H42" s="1"/>
      <c r="I42" s="1"/>
    </row>
    <row r="43" spans="1:9" ht="15" customHeight="1" x14ac:dyDescent="0.25">
      <c r="A43" t="s">
        <v>134</v>
      </c>
      <c r="B43" s="72" t="s">
        <v>181</v>
      </c>
      <c r="C43" s="8" t="s">
        <v>183</v>
      </c>
      <c r="D43" t="s">
        <v>0</v>
      </c>
      <c r="E43" t="s">
        <v>182</v>
      </c>
      <c r="F43" s="1">
        <v>20</v>
      </c>
      <c r="G43" s="1">
        <v>0</v>
      </c>
      <c r="H43" s="1"/>
      <c r="I43" s="1"/>
    </row>
    <row r="44" spans="1:9" ht="15" customHeight="1" x14ac:dyDescent="0.25">
      <c r="A44" t="s">
        <v>134</v>
      </c>
      <c r="B44" s="72" t="s">
        <v>177</v>
      </c>
      <c r="C44" s="8" t="s">
        <v>167</v>
      </c>
      <c r="D44" t="s">
        <v>0</v>
      </c>
      <c r="E44" t="s">
        <v>168</v>
      </c>
      <c r="F44" s="1">
        <v>20</v>
      </c>
      <c r="G44" s="1">
        <v>0</v>
      </c>
      <c r="H44" s="1"/>
      <c r="I44" s="1"/>
    </row>
    <row r="45" spans="1:9" ht="15" customHeight="1" x14ac:dyDescent="0.25">
      <c r="A45" t="s">
        <v>134</v>
      </c>
      <c r="B45" s="72" t="s">
        <v>177</v>
      </c>
      <c r="C45" s="8" t="s">
        <v>168</v>
      </c>
      <c r="D45" t="s">
        <v>0</v>
      </c>
      <c r="E45" t="s">
        <v>168</v>
      </c>
      <c r="F45" s="1">
        <v>20</v>
      </c>
      <c r="G45" s="1">
        <v>0</v>
      </c>
      <c r="H45" s="1"/>
      <c r="I45" s="1"/>
    </row>
    <row r="46" spans="1:9" ht="15" customHeight="1" x14ac:dyDescent="0.25">
      <c r="A46" t="s">
        <v>134</v>
      </c>
      <c r="B46" s="72" t="s">
        <v>176</v>
      </c>
      <c r="C46" s="8" t="s">
        <v>165</v>
      </c>
      <c r="D46" t="s">
        <v>0</v>
      </c>
      <c r="E46" t="s">
        <v>166</v>
      </c>
      <c r="F46" s="1">
        <v>20</v>
      </c>
      <c r="G46" s="1">
        <v>0</v>
      </c>
      <c r="H46" s="1"/>
      <c r="I46" s="1"/>
    </row>
    <row r="47" spans="1:9" ht="15" customHeight="1" x14ac:dyDescent="0.25">
      <c r="A47" t="s">
        <v>134</v>
      </c>
      <c r="B47" s="72" t="s">
        <v>176</v>
      </c>
      <c r="C47" s="8" t="s">
        <v>166</v>
      </c>
      <c r="D47" t="s">
        <v>0</v>
      </c>
      <c r="E47" t="s">
        <v>166</v>
      </c>
      <c r="F47" s="1">
        <v>20</v>
      </c>
      <c r="G47" s="1">
        <v>0</v>
      </c>
      <c r="H47" s="1"/>
      <c r="I47" s="1"/>
    </row>
    <row r="48" spans="1:9" ht="15" customHeight="1" x14ac:dyDescent="0.25">
      <c r="A48" t="s">
        <v>134</v>
      </c>
      <c r="B48" s="72" t="s">
        <v>179</v>
      </c>
      <c r="C48" s="8" t="s">
        <v>171</v>
      </c>
      <c r="D48" t="s">
        <v>0</v>
      </c>
      <c r="E48" t="s">
        <v>171</v>
      </c>
      <c r="F48" s="1">
        <v>20</v>
      </c>
      <c r="G48" s="1">
        <v>0</v>
      </c>
      <c r="H48" s="1"/>
      <c r="I48" s="1"/>
    </row>
    <row r="49" spans="1:18" ht="15" customHeight="1" x14ac:dyDescent="0.25">
      <c r="A49" t="s">
        <v>134</v>
      </c>
      <c r="B49" s="72" t="s">
        <v>179</v>
      </c>
      <c r="C49" s="8" t="s">
        <v>180</v>
      </c>
      <c r="D49" t="s">
        <v>0</v>
      </c>
      <c r="E49" t="s">
        <v>171</v>
      </c>
      <c r="F49" s="1">
        <v>20</v>
      </c>
      <c r="G49" s="1">
        <v>0</v>
      </c>
      <c r="H49" s="1"/>
      <c r="I49" s="1"/>
    </row>
    <row r="50" spans="1:18" ht="15" customHeight="1" x14ac:dyDescent="0.25">
      <c r="A50" t="s">
        <v>134</v>
      </c>
      <c r="B50" s="72" t="s">
        <v>178</v>
      </c>
      <c r="C50" s="8" t="s">
        <v>169</v>
      </c>
      <c r="D50" t="s">
        <v>0</v>
      </c>
      <c r="E50" t="s">
        <v>169</v>
      </c>
      <c r="F50" s="1">
        <v>20</v>
      </c>
      <c r="G50" s="1">
        <v>0</v>
      </c>
      <c r="H50" s="1"/>
      <c r="I50" s="1"/>
    </row>
    <row r="51" spans="1:18" ht="15" customHeight="1" x14ac:dyDescent="0.25">
      <c r="A51" t="s">
        <v>134</v>
      </c>
      <c r="B51" s="72" t="s">
        <v>178</v>
      </c>
      <c r="C51" s="8" t="s">
        <v>170</v>
      </c>
      <c r="D51" t="s">
        <v>0</v>
      </c>
      <c r="E51" t="s">
        <v>169</v>
      </c>
      <c r="F51" s="1">
        <v>20</v>
      </c>
      <c r="G51" s="1">
        <v>0</v>
      </c>
      <c r="H51" s="1"/>
      <c r="I51" s="1"/>
    </row>
    <row r="52" spans="1:18" ht="15" customHeight="1" x14ac:dyDescent="0.25">
      <c r="A52" t="s">
        <v>134</v>
      </c>
      <c r="B52" s="72" t="s">
        <v>246</v>
      </c>
      <c r="C52" s="8" t="s">
        <v>244</v>
      </c>
      <c r="D52" t="s">
        <v>0</v>
      </c>
      <c r="E52" t="s">
        <v>245</v>
      </c>
      <c r="F52" s="1">
        <v>20</v>
      </c>
      <c r="G52" s="1">
        <v>0</v>
      </c>
      <c r="H52" s="1"/>
      <c r="I52" s="1"/>
    </row>
    <row r="53" spans="1:18" ht="15" customHeight="1" x14ac:dyDescent="0.25">
      <c r="A53" t="s">
        <v>134</v>
      </c>
      <c r="B53" s="72" t="s">
        <v>246</v>
      </c>
      <c r="C53" s="8" t="s">
        <v>245</v>
      </c>
      <c r="D53" t="s">
        <v>0</v>
      </c>
      <c r="E53" t="s">
        <v>245</v>
      </c>
      <c r="F53" s="1">
        <v>20</v>
      </c>
      <c r="G53" s="1">
        <v>0</v>
      </c>
      <c r="H53" s="1"/>
      <c r="I53" s="1"/>
    </row>
    <row r="54" spans="1:18" ht="15" customHeight="1" x14ac:dyDescent="0.25">
      <c r="A54" t="s">
        <v>134</v>
      </c>
      <c r="B54" s="72" t="s">
        <v>247</v>
      </c>
      <c r="C54" s="8" t="s">
        <v>248</v>
      </c>
      <c r="D54" t="s">
        <v>0</v>
      </c>
      <c r="E54" t="s">
        <v>248</v>
      </c>
      <c r="F54" s="1">
        <v>20</v>
      </c>
      <c r="G54" s="1">
        <v>0</v>
      </c>
      <c r="H54" s="1"/>
      <c r="I54" s="1"/>
    </row>
    <row r="55" spans="1:18" ht="15" customHeight="1" x14ac:dyDescent="0.25">
      <c r="A55" t="s">
        <v>134</v>
      </c>
      <c r="B55" s="72" t="s">
        <v>247</v>
      </c>
      <c r="C55" s="8" t="s">
        <v>249</v>
      </c>
      <c r="D55" t="s">
        <v>0</v>
      </c>
      <c r="E55" t="s">
        <v>248</v>
      </c>
      <c r="F55" s="1">
        <v>20</v>
      </c>
      <c r="G55" s="1">
        <v>0</v>
      </c>
      <c r="H55" s="1"/>
      <c r="I55" s="1"/>
    </row>
    <row r="56" spans="1:18" ht="15" customHeight="1" x14ac:dyDescent="0.25">
      <c r="A56" t="s">
        <v>134</v>
      </c>
      <c r="B56" s="72" t="s">
        <v>250</v>
      </c>
      <c r="C56" s="8" t="s">
        <v>251</v>
      </c>
      <c r="D56" t="s">
        <v>0</v>
      </c>
      <c r="E56" t="s">
        <v>252</v>
      </c>
      <c r="F56" s="1">
        <v>20</v>
      </c>
      <c r="G56" s="1">
        <v>0</v>
      </c>
      <c r="H56" s="1"/>
      <c r="I56" s="1"/>
    </row>
    <row r="57" spans="1:18" ht="15" customHeight="1" x14ac:dyDescent="0.25">
      <c r="A57" t="s">
        <v>134</v>
      </c>
      <c r="B57" s="72" t="s">
        <v>250</v>
      </c>
      <c r="C57" s="8" t="s">
        <v>252</v>
      </c>
      <c r="D57" t="s">
        <v>0</v>
      </c>
      <c r="E57" t="s">
        <v>252</v>
      </c>
      <c r="F57" s="1">
        <v>20</v>
      </c>
      <c r="G57" s="1">
        <v>0</v>
      </c>
      <c r="H57" s="1"/>
      <c r="I57" s="1"/>
    </row>
    <row r="58" spans="1:18" ht="15" customHeight="1" x14ac:dyDescent="0.25">
      <c r="A58" t="s">
        <v>134</v>
      </c>
      <c r="B58" s="72" t="s">
        <v>253</v>
      </c>
      <c r="C58" s="8" t="s">
        <v>254</v>
      </c>
      <c r="D58" t="s">
        <v>0</v>
      </c>
      <c r="E58" t="s">
        <v>254</v>
      </c>
      <c r="F58" s="1">
        <v>20</v>
      </c>
      <c r="G58" s="1">
        <v>0</v>
      </c>
      <c r="H58" s="1"/>
      <c r="I58" s="1"/>
    </row>
    <row r="59" spans="1:18" ht="15" customHeight="1" x14ac:dyDescent="0.25">
      <c r="A59" t="s">
        <v>134</v>
      </c>
      <c r="B59" s="72" t="s">
        <v>253</v>
      </c>
      <c r="C59" s="8" t="s">
        <v>255</v>
      </c>
      <c r="D59" t="s">
        <v>0</v>
      </c>
      <c r="E59" t="s">
        <v>254</v>
      </c>
      <c r="F59" s="1">
        <v>20</v>
      </c>
      <c r="G59" s="1">
        <v>0</v>
      </c>
      <c r="H59" s="1"/>
      <c r="I59" s="1"/>
    </row>
    <row r="60" spans="1:18" ht="15" customHeight="1" x14ac:dyDescent="0.25">
      <c r="A60" t="s">
        <v>134</v>
      </c>
      <c r="B60" s="72" t="s">
        <v>256</v>
      </c>
      <c r="C60" s="8" t="s">
        <v>257</v>
      </c>
      <c r="D60" t="s">
        <v>0</v>
      </c>
      <c r="E60" t="s">
        <v>257</v>
      </c>
      <c r="F60" s="1">
        <v>20</v>
      </c>
      <c r="G60" s="1">
        <v>0</v>
      </c>
      <c r="H60" s="1"/>
      <c r="I60" s="1"/>
    </row>
    <row r="61" spans="1:18" ht="15" customHeight="1" x14ac:dyDescent="0.25">
      <c r="A61" t="s">
        <v>134</v>
      </c>
      <c r="B61" s="72" t="s">
        <v>256</v>
      </c>
      <c r="C61" s="8" t="s">
        <v>258</v>
      </c>
      <c r="D61" t="s">
        <v>0</v>
      </c>
      <c r="E61" t="s">
        <v>257</v>
      </c>
      <c r="F61" s="1">
        <v>20</v>
      </c>
      <c r="G61" s="1">
        <v>0</v>
      </c>
      <c r="H61" s="1"/>
      <c r="I61" s="1"/>
    </row>
    <row r="62" spans="1:18" ht="15" customHeight="1" x14ac:dyDescent="0.25">
      <c r="A62" t="s">
        <v>134</v>
      </c>
      <c r="B62" s="72" t="s">
        <v>279</v>
      </c>
      <c r="C62" s="8" t="s">
        <v>277</v>
      </c>
      <c r="D62" t="s">
        <v>0</v>
      </c>
      <c r="E62" t="s">
        <v>278</v>
      </c>
      <c r="F62" s="1">
        <v>20</v>
      </c>
      <c r="G62" s="1">
        <v>0</v>
      </c>
      <c r="H62" s="1"/>
      <c r="I62" s="1"/>
    </row>
    <row r="63" spans="1:18" ht="15" customHeight="1" x14ac:dyDescent="0.25">
      <c r="A63" t="s">
        <v>134</v>
      </c>
      <c r="B63" s="72" t="s">
        <v>279</v>
      </c>
      <c r="C63" s="8" t="s">
        <v>278</v>
      </c>
      <c r="D63" t="s">
        <v>0</v>
      </c>
      <c r="E63" t="s">
        <v>278</v>
      </c>
      <c r="F63" s="1">
        <v>20</v>
      </c>
      <c r="G63" s="1">
        <v>0</v>
      </c>
      <c r="H63" s="1"/>
      <c r="I63" s="1"/>
    </row>
    <row r="64" spans="1:18" ht="15" customHeight="1" x14ac:dyDescent="0.25">
      <c r="A64" t="s">
        <v>117</v>
      </c>
      <c r="B64" s="72" t="s">
        <v>124</v>
      </c>
      <c r="C64" s="8" t="s">
        <v>172</v>
      </c>
      <c r="D64" t="s">
        <v>0</v>
      </c>
      <c r="E64" t="s">
        <v>175</v>
      </c>
      <c r="F64" s="1">
        <v>20</v>
      </c>
      <c r="G64" s="1">
        <v>1</v>
      </c>
      <c r="H64" s="1"/>
      <c r="I64" s="1"/>
      <c r="L64" s="1"/>
      <c r="M64" s="1"/>
      <c r="N64" s="1"/>
      <c r="O64" s="1"/>
      <c r="P64" s="1"/>
      <c r="Q64" s="1"/>
      <c r="R64" s="1"/>
    </row>
    <row r="65" spans="1:9" ht="15" customHeight="1" x14ac:dyDescent="0.25">
      <c r="A65" t="s">
        <v>117</v>
      </c>
      <c r="B65" s="72" t="s">
        <v>124</v>
      </c>
      <c r="C65" s="8" t="s">
        <v>175</v>
      </c>
      <c r="D65" t="s">
        <v>0</v>
      </c>
      <c r="E65" t="s">
        <v>175</v>
      </c>
      <c r="F65" s="1">
        <v>20</v>
      </c>
      <c r="G65" s="1">
        <v>1</v>
      </c>
      <c r="H65" s="1"/>
      <c r="I65" s="1"/>
    </row>
    <row r="66" spans="1:9" ht="15" customHeight="1" x14ac:dyDescent="0.25">
      <c r="A66" t="s">
        <v>117</v>
      </c>
      <c r="B66" s="72" t="s">
        <v>124</v>
      </c>
      <c r="C66" s="8" t="s">
        <v>173</v>
      </c>
      <c r="D66" t="s">
        <v>0</v>
      </c>
      <c r="E66" t="s">
        <v>174</v>
      </c>
      <c r="F66" s="1">
        <v>20</v>
      </c>
      <c r="G66" s="1">
        <v>1</v>
      </c>
      <c r="H66" s="1"/>
      <c r="I66" s="1"/>
    </row>
    <row r="67" spans="1:9" ht="15" customHeight="1" x14ac:dyDescent="0.25">
      <c r="A67" t="s">
        <v>117</v>
      </c>
      <c r="B67" s="72" t="s">
        <v>124</v>
      </c>
      <c r="C67" s="8" t="s">
        <v>174</v>
      </c>
      <c r="D67" t="s">
        <v>0</v>
      </c>
      <c r="E67" t="s">
        <v>174</v>
      </c>
      <c r="F67" s="1">
        <v>20</v>
      </c>
      <c r="G67" s="1">
        <v>1</v>
      </c>
      <c r="H67" s="1"/>
      <c r="I67" s="1"/>
    </row>
    <row r="68" spans="1:9" ht="15" customHeight="1" x14ac:dyDescent="0.25">
      <c r="A68" t="s">
        <v>117</v>
      </c>
      <c r="B68" s="72" t="s">
        <v>121</v>
      </c>
      <c r="C68" s="8" t="s">
        <v>93</v>
      </c>
      <c r="D68" t="s">
        <v>0</v>
      </c>
      <c r="E68" t="s">
        <v>93</v>
      </c>
      <c r="F68" s="1">
        <v>20</v>
      </c>
      <c r="G68" s="1">
        <v>1</v>
      </c>
      <c r="H68" s="1"/>
      <c r="I68" s="1"/>
    </row>
    <row r="69" spans="1:9" ht="15" customHeight="1" x14ac:dyDescent="0.25">
      <c r="A69" t="s">
        <v>117</v>
      </c>
      <c r="B69" s="72" t="s">
        <v>121</v>
      </c>
      <c r="C69" s="8" t="s">
        <v>95</v>
      </c>
      <c r="D69" t="s">
        <v>0</v>
      </c>
      <c r="E69" t="s">
        <v>93</v>
      </c>
      <c r="F69" s="1">
        <v>20</v>
      </c>
      <c r="G69" s="1">
        <v>1</v>
      </c>
      <c r="H69" s="1"/>
      <c r="I69" s="1"/>
    </row>
    <row r="70" spans="1:9" ht="15" customHeight="1" x14ac:dyDescent="0.25">
      <c r="A70" t="s">
        <v>117</v>
      </c>
      <c r="B70" s="72" t="s">
        <v>121</v>
      </c>
      <c r="C70" s="8" t="s">
        <v>92</v>
      </c>
      <c r="D70" t="s">
        <v>0</v>
      </c>
      <c r="E70" t="s">
        <v>94</v>
      </c>
      <c r="F70" s="1">
        <v>20</v>
      </c>
      <c r="G70" s="1">
        <v>1</v>
      </c>
      <c r="H70" s="1"/>
      <c r="I70" s="1"/>
    </row>
    <row r="71" spans="1:9" ht="15" customHeight="1" x14ac:dyDescent="0.25">
      <c r="A71" t="s">
        <v>117</v>
      </c>
      <c r="B71" s="72" t="s">
        <v>121</v>
      </c>
      <c r="C71" s="8" t="s">
        <v>94</v>
      </c>
      <c r="D71" t="s">
        <v>0</v>
      </c>
      <c r="E71" t="s">
        <v>94</v>
      </c>
      <c r="F71" s="1">
        <v>20</v>
      </c>
      <c r="G71" s="1">
        <v>1</v>
      </c>
      <c r="H71" s="1"/>
      <c r="I71" s="1"/>
    </row>
    <row r="72" spans="1:9" ht="15" customHeight="1" x14ac:dyDescent="0.25">
      <c r="A72" t="s">
        <v>117</v>
      </c>
      <c r="B72" s="72" t="s">
        <v>123</v>
      </c>
      <c r="C72" s="8" t="s">
        <v>96</v>
      </c>
      <c r="D72" t="s">
        <v>0</v>
      </c>
      <c r="E72" t="s">
        <v>96</v>
      </c>
      <c r="F72" s="1">
        <v>20</v>
      </c>
      <c r="G72" s="1">
        <v>1</v>
      </c>
      <c r="H72" s="1"/>
      <c r="I72" s="1"/>
    </row>
    <row r="73" spans="1:9" ht="15" customHeight="1" x14ac:dyDescent="0.25">
      <c r="A73" t="s">
        <v>117</v>
      </c>
      <c r="B73" s="72" t="s">
        <v>123</v>
      </c>
      <c r="C73" s="8" t="s">
        <v>98</v>
      </c>
      <c r="D73" t="s">
        <v>0</v>
      </c>
      <c r="E73" t="s">
        <v>96</v>
      </c>
      <c r="F73" s="1">
        <v>20</v>
      </c>
      <c r="G73" s="1">
        <v>1</v>
      </c>
      <c r="H73" s="1"/>
      <c r="I73" s="1"/>
    </row>
    <row r="74" spans="1:9" ht="15" customHeight="1" x14ac:dyDescent="0.25">
      <c r="A74" s="72" t="s">
        <v>117</v>
      </c>
      <c r="B74" s="72" t="s">
        <v>123</v>
      </c>
      <c r="C74" s="8" t="s">
        <v>125</v>
      </c>
      <c r="D74" s="72" t="s">
        <v>0</v>
      </c>
      <c r="E74" t="s">
        <v>97</v>
      </c>
      <c r="F74" s="1">
        <v>20</v>
      </c>
      <c r="G74" s="1">
        <v>1</v>
      </c>
      <c r="H74" s="1"/>
      <c r="I74" s="1"/>
    </row>
    <row r="75" spans="1:9" ht="15" customHeight="1" x14ac:dyDescent="0.25">
      <c r="A75" s="72" t="s">
        <v>117</v>
      </c>
      <c r="B75" s="72" t="s">
        <v>123</v>
      </c>
      <c r="C75" s="8" t="s">
        <v>97</v>
      </c>
      <c r="D75" s="72" t="s">
        <v>0</v>
      </c>
      <c r="E75" t="s">
        <v>97</v>
      </c>
      <c r="F75" s="1">
        <v>20</v>
      </c>
      <c r="G75" s="1">
        <v>1</v>
      </c>
      <c r="H75" s="1"/>
      <c r="I75" s="1"/>
    </row>
    <row r="76" spans="1:9" ht="15" customHeight="1" x14ac:dyDescent="0.25">
      <c r="A76" t="s">
        <v>117</v>
      </c>
      <c r="B76" s="72" t="s">
        <v>122</v>
      </c>
      <c r="C76" s="8" t="s">
        <v>99</v>
      </c>
      <c r="D76" t="s">
        <v>0</v>
      </c>
      <c r="E76" t="s">
        <v>101</v>
      </c>
      <c r="F76" s="1">
        <v>20</v>
      </c>
      <c r="G76" s="1">
        <v>1</v>
      </c>
      <c r="H76" s="1"/>
      <c r="I76" s="1"/>
    </row>
    <row r="77" spans="1:9" ht="15" customHeight="1" x14ac:dyDescent="0.25">
      <c r="A77" t="s">
        <v>117</v>
      </c>
      <c r="B77" s="72" t="s">
        <v>122</v>
      </c>
      <c r="C77" s="8" t="s">
        <v>101</v>
      </c>
      <c r="D77" t="s">
        <v>0</v>
      </c>
      <c r="E77" t="s">
        <v>101</v>
      </c>
      <c r="F77" s="1">
        <v>20</v>
      </c>
      <c r="G77" s="1">
        <v>1</v>
      </c>
    </row>
    <row r="78" spans="1:9" ht="15" customHeight="1" x14ac:dyDescent="0.25">
      <c r="A78" t="s">
        <v>117</v>
      </c>
      <c r="B78" s="72" t="s">
        <v>122</v>
      </c>
      <c r="C78" s="8" t="s">
        <v>100</v>
      </c>
      <c r="D78" t="s">
        <v>0</v>
      </c>
      <c r="E78" t="s">
        <v>102</v>
      </c>
      <c r="F78" s="1">
        <v>20</v>
      </c>
      <c r="G78" s="1">
        <v>1</v>
      </c>
      <c r="H78" s="1"/>
      <c r="I78" s="1"/>
    </row>
    <row r="79" spans="1:9" ht="15" customHeight="1" x14ac:dyDescent="0.25">
      <c r="A79" t="s">
        <v>117</v>
      </c>
      <c r="B79" s="72" t="s">
        <v>122</v>
      </c>
      <c r="C79" s="8" t="s">
        <v>102</v>
      </c>
      <c r="D79" t="s">
        <v>0</v>
      </c>
      <c r="E79" t="s">
        <v>102</v>
      </c>
      <c r="F79" s="1">
        <v>20</v>
      </c>
      <c r="G79" s="1">
        <v>1</v>
      </c>
      <c r="H79" s="1"/>
      <c r="I79" s="1"/>
    </row>
    <row r="80" spans="1:9" ht="15" customHeight="1" x14ac:dyDescent="0.25">
      <c r="A80" s="72" t="s">
        <v>117</v>
      </c>
      <c r="B80" s="72" t="s">
        <v>150</v>
      </c>
      <c r="C80" s="8" t="s">
        <v>103</v>
      </c>
      <c r="D80" s="72" t="s">
        <v>0</v>
      </c>
      <c r="E80" t="s">
        <v>126</v>
      </c>
      <c r="F80" s="1">
        <v>20</v>
      </c>
      <c r="G80" s="1">
        <v>1</v>
      </c>
      <c r="H80" s="1"/>
      <c r="I80" s="1"/>
    </row>
    <row r="81" spans="1:9" ht="15" customHeight="1" x14ac:dyDescent="0.25">
      <c r="A81" s="72" t="s">
        <v>117</v>
      </c>
      <c r="B81" s="72" t="s">
        <v>150</v>
      </c>
      <c r="C81" s="8" t="s">
        <v>126</v>
      </c>
      <c r="D81" s="72" t="s">
        <v>0</v>
      </c>
      <c r="E81" t="s">
        <v>126</v>
      </c>
      <c r="F81" s="1">
        <v>20</v>
      </c>
      <c r="G81" s="1">
        <v>1</v>
      </c>
    </row>
    <row r="82" spans="1:9" ht="15" customHeight="1" x14ac:dyDescent="0.25">
      <c r="A82" s="72" t="s">
        <v>117</v>
      </c>
      <c r="B82" s="72" t="s">
        <v>150</v>
      </c>
      <c r="C82" s="8" t="s">
        <v>127</v>
      </c>
      <c r="D82" t="s">
        <v>0</v>
      </c>
      <c r="E82" t="s">
        <v>104</v>
      </c>
      <c r="F82" s="1">
        <v>20</v>
      </c>
      <c r="G82" s="1">
        <v>1</v>
      </c>
      <c r="H82" s="1"/>
      <c r="I82" s="1"/>
    </row>
    <row r="83" spans="1:9" ht="15" customHeight="1" x14ac:dyDescent="0.25">
      <c r="A83" s="72" t="s">
        <v>117</v>
      </c>
      <c r="B83" s="72" t="s">
        <v>150</v>
      </c>
      <c r="C83" s="8" t="s">
        <v>104</v>
      </c>
      <c r="D83" t="s">
        <v>0</v>
      </c>
      <c r="E83" t="s">
        <v>104</v>
      </c>
      <c r="F83" s="1">
        <v>20</v>
      </c>
      <c r="G83" s="1">
        <v>1</v>
      </c>
      <c r="H83" s="1"/>
      <c r="I83" s="1"/>
    </row>
    <row r="84" spans="1:9" ht="15" customHeight="1" x14ac:dyDescent="0.25">
      <c r="A84" t="s">
        <v>117</v>
      </c>
      <c r="B84" s="72" t="s">
        <v>120</v>
      </c>
      <c r="C84" s="8" t="s">
        <v>106</v>
      </c>
      <c r="D84" t="s">
        <v>0</v>
      </c>
      <c r="E84" t="s">
        <v>106</v>
      </c>
      <c r="F84" s="1">
        <v>20</v>
      </c>
      <c r="G84" s="1">
        <v>1</v>
      </c>
      <c r="H84" s="1"/>
      <c r="I84" s="1"/>
    </row>
    <row r="85" spans="1:9" ht="15" customHeight="1" x14ac:dyDescent="0.25">
      <c r="A85" t="s">
        <v>117</v>
      </c>
      <c r="B85" s="72" t="s">
        <v>120</v>
      </c>
      <c r="C85" s="8" t="s">
        <v>108</v>
      </c>
      <c r="D85" t="s">
        <v>0</v>
      </c>
      <c r="E85" t="s">
        <v>106</v>
      </c>
      <c r="F85" s="1">
        <v>20</v>
      </c>
      <c r="G85" s="1">
        <v>1</v>
      </c>
      <c r="H85" s="1"/>
      <c r="I85" s="1"/>
    </row>
    <row r="86" spans="1:9" ht="15" customHeight="1" x14ac:dyDescent="0.25">
      <c r="A86" t="s">
        <v>117</v>
      </c>
      <c r="B86" s="72" t="s">
        <v>120</v>
      </c>
      <c r="C86" s="8" t="s">
        <v>105</v>
      </c>
      <c r="D86" t="s">
        <v>0</v>
      </c>
      <c r="E86" t="s">
        <v>107</v>
      </c>
      <c r="F86" s="1">
        <v>20</v>
      </c>
      <c r="G86" s="1">
        <v>1</v>
      </c>
      <c r="H86" s="1"/>
      <c r="I86" s="1"/>
    </row>
    <row r="87" spans="1:9" ht="15" customHeight="1" x14ac:dyDescent="0.25">
      <c r="A87" t="s">
        <v>117</v>
      </c>
      <c r="B87" s="72" t="s">
        <v>120</v>
      </c>
      <c r="C87" s="8" t="s">
        <v>107</v>
      </c>
      <c r="D87" t="s">
        <v>0</v>
      </c>
      <c r="E87" t="s">
        <v>107</v>
      </c>
      <c r="F87" s="1">
        <v>20</v>
      </c>
      <c r="G87" s="1">
        <v>1</v>
      </c>
      <c r="H87" s="1"/>
      <c r="I87" s="1"/>
    </row>
    <row r="88" spans="1:9" ht="15" customHeight="1" x14ac:dyDescent="0.25">
      <c r="A88" t="s">
        <v>117</v>
      </c>
      <c r="B88" s="72" t="s">
        <v>118</v>
      </c>
      <c r="C88" s="8" t="s">
        <v>89</v>
      </c>
      <c r="D88" t="s">
        <v>0</v>
      </c>
      <c r="E88" t="s">
        <v>90</v>
      </c>
      <c r="F88" s="1">
        <v>20</v>
      </c>
      <c r="G88" s="1">
        <v>1</v>
      </c>
      <c r="H88" s="1"/>
      <c r="I88" s="1"/>
    </row>
    <row r="89" spans="1:9" ht="15" customHeight="1" x14ac:dyDescent="0.25">
      <c r="A89" t="s">
        <v>117</v>
      </c>
      <c r="B89" s="72" t="s">
        <v>118</v>
      </c>
      <c r="C89" s="8" t="s">
        <v>90</v>
      </c>
      <c r="D89" t="s">
        <v>0</v>
      </c>
      <c r="E89" t="s">
        <v>90</v>
      </c>
      <c r="F89" s="1">
        <v>20</v>
      </c>
      <c r="G89" s="1">
        <v>1</v>
      </c>
      <c r="H89" s="1"/>
      <c r="I89" s="1"/>
    </row>
    <row r="90" spans="1:9" ht="15" customHeight="1" x14ac:dyDescent="0.25">
      <c r="A90" s="72" t="s">
        <v>117</v>
      </c>
      <c r="B90" s="72" t="s">
        <v>118</v>
      </c>
      <c r="C90" s="8" t="s">
        <v>128</v>
      </c>
      <c r="D90" t="s">
        <v>0</v>
      </c>
      <c r="E90" t="s">
        <v>91</v>
      </c>
      <c r="F90" s="1">
        <v>20</v>
      </c>
      <c r="G90" s="1">
        <v>1</v>
      </c>
      <c r="H90" s="1"/>
      <c r="I90" s="1"/>
    </row>
    <row r="91" spans="1:9" ht="15" customHeight="1" x14ac:dyDescent="0.25">
      <c r="A91" s="72" t="s">
        <v>117</v>
      </c>
      <c r="B91" s="72" t="s">
        <v>118</v>
      </c>
      <c r="C91" s="8" t="s">
        <v>91</v>
      </c>
      <c r="D91" t="s">
        <v>0</v>
      </c>
      <c r="E91" t="s">
        <v>91</v>
      </c>
      <c r="F91" s="1">
        <v>20</v>
      </c>
      <c r="G91" s="1">
        <v>1</v>
      </c>
      <c r="H91" s="1"/>
      <c r="I91" s="1"/>
    </row>
    <row r="92" spans="1:9" ht="15" customHeight="1" x14ac:dyDescent="0.25">
      <c r="A92" t="s">
        <v>117</v>
      </c>
      <c r="B92" s="72" t="s">
        <v>146</v>
      </c>
      <c r="C92" s="8" t="s">
        <v>109</v>
      </c>
      <c r="D92" t="s">
        <v>0</v>
      </c>
      <c r="E92" t="s">
        <v>109</v>
      </c>
      <c r="F92" s="1">
        <v>20</v>
      </c>
      <c r="G92" s="1">
        <v>1</v>
      </c>
      <c r="H92" s="1"/>
      <c r="I92" s="1"/>
    </row>
    <row r="93" spans="1:9" ht="15" customHeight="1" x14ac:dyDescent="0.25">
      <c r="A93" t="s">
        <v>117</v>
      </c>
      <c r="B93" s="72" t="s">
        <v>146</v>
      </c>
      <c r="C93" s="8" t="s">
        <v>111</v>
      </c>
      <c r="D93" t="s">
        <v>0</v>
      </c>
      <c r="E93" t="s">
        <v>109</v>
      </c>
      <c r="F93" s="1">
        <v>20</v>
      </c>
      <c r="G93" s="1">
        <v>1</v>
      </c>
      <c r="H93" s="1"/>
      <c r="I93" s="1"/>
    </row>
    <row r="94" spans="1:9" ht="15" customHeight="1" x14ac:dyDescent="0.25">
      <c r="A94" t="s">
        <v>117</v>
      </c>
      <c r="B94" s="72" t="s">
        <v>146</v>
      </c>
      <c r="C94" s="8" t="s">
        <v>110</v>
      </c>
      <c r="D94" t="s">
        <v>0</v>
      </c>
      <c r="E94" t="s">
        <v>110</v>
      </c>
      <c r="F94" s="1">
        <v>20</v>
      </c>
      <c r="G94" s="1">
        <v>1</v>
      </c>
      <c r="H94" s="1"/>
      <c r="I94" s="1"/>
    </row>
    <row r="95" spans="1:9" ht="15" customHeight="1" x14ac:dyDescent="0.25">
      <c r="A95" t="s">
        <v>117</v>
      </c>
      <c r="B95" s="72" t="s">
        <v>146</v>
      </c>
      <c r="C95" s="8" t="s">
        <v>112</v>
      </c>
      <c r="D95" t="s">
        <v>0</v>
      </c>
      <c r="E95" t="s">
        <v>110</v>
      </c>
      <c r="F95" s="1">
        <v>20</v>
      </c>
      <c r="G95" s="1">
        <v>1</v>
      </c>
      <c r="H95" s="1"/>
      <c r="I95" s="1"/>
    </row>
    <row r="96" spans="1:9" ht="15" customHeight="1" x14ac:dyDescent="0.25">
      <c r="A96" t="s">
        <v>117</v>
      </c>
      <c r="B96" s="72" t="s">
        <v>119</v>
      </c>
      <c r="C96" s="8" t="s">
        <v>114</v>
      </c>
      <c r="D96" t="s">
        <v>0</v>
      </c>
      <c r="E96" t="s">
        <v>114</v>
      </c>
      <c r="F96" s="1">
        <v>20</v>
      </c>
      <c r="G96" s="1">
        <v>1</v>
      </c>
      <c r="H96" s="1"/>
      <c r="I96" s="1"/>
    </row>
    <row r="97" spans="1:9" ht="15" customHeight="1" x14ac:dyDescent="0.25">
      <c r="A97" t="s">
        <v>117</v>
      </c>
      <c r="B97" s="72" t="s">
        <v>119</v>
      </c>
      <c r="C97" s="8" t="s">
        <v>116</v>
      </c>
      <c r="D97" t="s">
        <v>0</v>
      </c>
      <c r="E97" t="s">
        <v>114</v>
      </c>
      <c r="F97" s="1">
        <v>20</v>
      </c>
      <c r="G97" s="1">
        <v>1</v>
      </c>
      <c r="H97" s="1"/>
      <c r="I97" s="1"/>
    </row>
    <row r="98" spans="1:9" ht="15" customHeight="1" x14ac:dyDescent="0.25">
      <c r="A98" t="s">
        <v>117</v>
      </c>
      <c r="B98" s="72" t="s">
        <v>119</v>
      </c>
      <c r="C98" s="8" t="s">
        <v>113</v>
      </c>
      <c r="D98" t="s">
        <v>0</v>
      </c>
      <c r="E98" t="s">
        <v>115</v>
      </c>
      <c r="F98" s="1">
        <v>20</v>
      </c>
      <c r="G98" s="1">
        <v>1</v>
      </c>
      <c r="H98" s="1"/>
      <c r="I98" s="1"/>
    </row>
    <row r="99" spans="1:9" ht="15" customHeight="1" x14ac:dyDescent="0.25">
      <c r="A99" t="s">
        <v>117</v>
      </c>
      <c r="B99" s="72" t="s">
        <v>119</v>
      </c>
      <c r="C99" s="8" t="s">
        <v>115</v>
      </c>
      <c r="D99" t="s">
        <v>0</v>
      </c>
      <c r="E99" t="s">
        <v>115</v>
      </c>
      <c r="F99" s="1">
        <v>20</v>
      </c>
      <c r="G99" s="1">
        <v>1</v>
      </c>
      <c r="H99" s="1"/>
      <c r="I99" s="1"/>
    </row>
    <row r="100" spans="1:9" ht="15" customHeight="1" x14ac:dyDescent="0.25">
      <c r="A100" s="72" t="s">
        <v>220</v>
      </c>
      <c r="B100" t="s">
        <v>214</v>
      </c>
      <c r="C100" s="8" t="s">
        <v>184</v>
      </c>
      <c r="D100" t="s">
        <v>0</v>
      </c>
      <c r="E100" t="s">
        <v>184</v>
      </c>
      <c r="F100" s="1">
        <v>20</v>
      </c>
      <c r="G100" s="1">
        <v>1</v>
      </c>
      <c r="H100" s="1"/>
      <c r="I100" s="1"/>
    </row>
    <row r="101" spans="1:9" ht="15" customHeight="1" x14ac:dyDescent="0.25">
      <c r="A101" s="72" t="s">
        <v>220</v>
      </c>
      <c r="B101" t="s">
        <v>214</v>
      </c>
      <c r="C101" s="8" t="s">
        <v>185</v>
      </c>
      <c r="D101" t="s">
        <v>0</v>
      </c>
      <c r="E101" t="s">
        <v>184</v>
      </c>
      <c r="F101" s="1">
        <v>20</v>
      </c>
      <c r="G101" s="1">
        <v>1</v>
      </c>
      <c r="H101" s="1"/>
      <c r="I101" s="1"/>
    </row>
    <row r="102" spans="1:9" ht="15" customHeight="1" x14ac:dyDescent="0.25">
      <c r="A102" t="s">
        <v>220</v>
      </c>
      <c r="B102" t="s">
        <v>216</v>
      </c>
      <c r="C102" s="8" t="s">
        <v>189</v>
      </c>
      <c r="D102" t="s">
        <v>0</v>
      </c>
      <c r="E102" t="s">
        <v>192</v>
      </c>
      <c r="F102" s="1">
        <v>20</v>
      </c>
      <c r="G102" s="1">
        <v>2</v>
      </c>
    </row>
    <row r="103" spans="1:9" ht="15" customHeight="1" x14ac:dyDescent="0.25">
      <c r="A103" t="s">
        <v>220</v>
      </c>
      <c r="B103" t="s">
        <v>216</v>
      </c>
      <c r="C103" s="8" t="s">
        <v>192</v>
      </c>
      <c r="D103" t="s">
        <v>0</v>
      </c>
      <c r="E103" t="s">
        <v>192</v>
      </c>
      <c r="F103" s="1">
        <v>20</v>
      </c>
      <c r="G103" s="1">
        <v>2</v>
      </c>
    </row>
    <row r="104" spans="1:9" ht="15" customHeight="1" x14ac:dyDescent="0.25">
      <c r="A104" t="s">
        <v>220</v>
      </c>
      <c r="B104" t="s">
        <v>217</v>
      </c>
      <c r="C104" s="8" t="s">
        <v>194</v>
      </c>
      <c r="D104" t="s">
        <v>0</v>
      </c>
      <c r="E104" t="s">
        <v>195</v>
      </c>
      <c r="F104" s="1">
        <v>20</v>
      </c>
      <c r="G104" s="1">
        <v>1</v>
      </c>
    </row>
    <row r="105" spans="1:9" ht="15" customHeight="1" x14ac:dyDescent="0.25">
      <c r="A105" t="s">
        <v>220</v>
      </c>
      <c r="B105" t="s">
        <v>217</v>
      </c>
      <c r="C105" s="8" t="s">
        <v>195</v>
      </c>
      <c r="D105" t="s">
        <v>0</v>
      </c>
      <c r="E105" t="s">
        <v>195</v>
      </c>
      <c r="F105" s="1">
        <v>20</v>
      </c>
      <c r="G105" s="1">
        <v>1</v>
      </c>
    </row>
    <row r="106" spans="1:9" ht="15" customHeight="1" x14ac:dyDescent="0.25">
      <c r="A106" t="s">
        <v>220</v>
      </c>
      <c r="B106" t="s">
        <v>215</v>
      </c>
      <c r="C106" s="8" t="s">
        <v>186</v>
      </c>
      <c r="D106" t="s">
        <v>0</v>
      </c>
      <c r="E106" t="s">
        <v>187</v>
      </c>
      <c r="F106" s="1">
        <v>20</v>
      </c>
      <c r="G106" s="1">
        <v>2</v>
      </c>
    </row>
    <row r="107" spans="1:9" ht="15" customHeight="1" x14ac:dyDescent="0.25">
      <c r="A107" t="s">
        <v>220</v>
      </c>
      <c r="B107" t="s">
        <v>215</v>
      </c>
      <c r="C107" s="8" t="s">
        <v>187</v>
      </c>
      <c r="D107" t="s">
        <v>0</v>
      </c>
      <c r="E107" t="s">
        <v>187</v>
      </c>
      <c r="F107" s="1">
        <v>20</v>
      </c>
      <c r="G107" s="1">
        <v>2</v>
      </c>
    </row>
    <row r="108" spans="1:9" ht="15" customHeight="1" x14ac:dyDescent="0.25">
      <c r="A108" t="s">
        <v>220</v>
      </c>
      <c r="B108" s="72" t="s">
        <v>120</v>
      </c>
      <c r="C108" s="8" t="s">
        <v>54</v>
      </c>
      <c r="D108" t="s">
        <v>0</v>
      </c>
      <c r="E108" t="s">
        <v>55</v>
      </c>
      <c r="F108" s="1">
        <v>20</v>
      </c>
      <c r="G108" s="1">
        <v>1</v>
      </c>
    </row>
    <row r="109" spans="1:9" ht="15" customHeight="1" x14ac:dyDescent="0.25">
      <c r="A109" t="s">
        <v>220</v>
      </c>
      <c r="B109" s="72" t="s">
        <v>120</v>
      </c>
      <c r="C109" s="8" t="s">
        <v>55</v>
      </c>
      <c r="D109" t="s">
        <v>0</v>
      </c>
      <c r="E109" t="s">
        <v>55</v>
      </c>
      <c r="F109" s="1">
        <v>20</v>
      </c>
      <c r="G109" s="1">
        <v>1</v>
      </c>
    </row>
  </sheetData>
  <phoneticPr fontId="2" type="noConversion"/>
  <conditionalFormatting sqref="I1:I1048576 G1:G1048576">
    <cfRule type="cellIs" dxfId="196" priority="3" operator="equal">
      <formula>2</formula>
    </cfRule>
  </conditionalFormatting>
  <conditionalFormatting sqref="I1:I1048576 G1:G1048576">
    <cfRule type="cellIs" dxfId="195" priority="1" operator="equal">
      <formula>1</formula>
    </cfRule>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F6CDDC-7782-4403-AB78-7ED1C8D15CDF}">
  <sheetPr codeName="Sheet5"/>
  <dimension ref="A1:O109"/>
  <sheetViews>
    <sheetView zoomScale="85" zoomScaleNormal="85" workbookViewId="0">
      <pane ySplit="1" topLeftCell="A38" activePane="bottomLeft" state="frozen"/>
      <selection pane="bottomLeft" activeCell="E60" sqref="E60"/>
    </sheetView>
  </sheetViews>
  <sheetFormatPr defaultRowHeight="15" x14ac:dyDescent="0.25"/>
  <cols>
    <col min="1" max="1" width="13.42578125" customWidth="1"/>
    <col min="2" max="2" width="18.7109375" customWidth="1"/>
    <col min="3" max="3" width="13" customWidth="1"/>
    <col min="4" max="4" width="12.28515625" bestFit="1" customWidth="1"/>
    <col min="5" max="5" width="7.140625" bestFit="1" customWidth="1"/>
    <col min="6" max="6" width="12.140625" style="4" bestFit="1" customWidth="1"/>
    <col min="7" max="7" width="14" style="167" customWidth="1"/>
    <col min="8" max="8" width="16.85546875" style="152" bestFit="1" customWidth="1"/>
    <col min="12" max="12" width="13" customWidth="1"/>
    <col min="13" max="13" width="12.140625" style="4" bestFit="1" customWidth="1"/>
    <col min="14" max="14" width="11.28515625" style="4" customWidth="1"/>
    <col min="15" max="15" width="13" style="167" customWidth="1"/>
    <col min="21" max="21" width="10.140625" bestFit="1" customWidth="1"/>
    <col min="22" max="22" width="13.28515625" bestFit="1" customWidth="1"/>
    <col min="24" max="24" width="13.28515625" bestFit="1" customWidth="1"/>
  </cols>
  <sheetData>
    <row r="1" spans="1:15" s="3" customFormat="1" x14ac:dyDescent="0.25">
      <c r="A1" s="5" t="s">
        <v>218</v>
      </c>
      <c r="B1" s="5" t="s">
        <v>219</v>
      </c>
      <c r="C1" s="5" t="s">
        <v>2</v>
      </c>
      <c r="D1" s="5" t="s">
        <v>1</v>
      </c>
      <c r="E1" s="5" t="s">
        <v>88</v>
      </c>
      <c r="F1" s="73" t="s">
        <v>33</v>
      </c>
      <c r="G1" s="166" t="s">
        <v>148</v>
      </c>
      <c r="H1" s="73" t="s">
        <v>160</v>
      </c>
      <c r="L1" s="5"/>
      <c r="M1" s="73"/>
      <c r="N1" s="73"/>
      <c r="O1" s="166"/>
    </row>
    <row r="2" spans="1:15" x14ac:dyDescent="0.25">
      <c r="A2" t="s">
        <v>131</v>
      </c>
      <c r="B2" t="s">
        <v>132</v>
      </c>
      <c r="C2" t="s">
        <v>8</v>
      </c>
      <c r="D2" t="s">
        <v>0</v>
      </c>
      <c r="E2" t="s">
        <v>8</v>
      </c>
      <c r="F2" s="4">
        <v>1</v>
      </c>
      <c r="H2" s="152">
        <v>8801200</v>
      </c>
      <c r="L2" s="151"/>
    </row>
    <row r="3" spans="1:15" x14ac:dyDescent="0.25">
      <c r="A3" t="s">
        <v>131</v>
      </c>
      <c r="B3" t="s">
        <v>132</v>
      </c>
      <c r="C3" t="s">
        <v>7</v>
      </c>
      <c r="D3" t="s">
        <v>0</v>
      </c>
      <c r="E3" t="s">
        <v>8</v>
      </c>
      <c r="F3" s="4">
        <v>1.3476529542927795</v>
      </c>
      <c r="H3" s="152">
        <v>8439500</v>
      </c>
      <c r="L3" s="151"/>
    </row>
    <row r="4" spans="1:15" x14ac:dyDescent="0.25">
      <c r="A4" t="s">
        <v>131</v>
      </c>
      <c r="B4" t="s">
        <v>132</v>
      </c>
      <c r="C4" t="s">
        <v>5</v>
      </c>
      <c r="D4" t="s">
        <v>0</v>
      </c>
      <c r="E4" t="s">
        <v>8</v>
      </c>
      <c r="F4" s="4">
        <v>4.2784875370075781</v>
      </c>
      <c r="H4" s="152">
        <v>2156400</v>
      </c>
      <c r="L4" s="151"/>
    </row>
    <row r="5" spans="1:15" x14ac:dyDescent="0.25">
      <c r="A5" t="s">
        <v>131</v>
      </c>
      <c r="B5" t="s">
        <v>132</v>
      </c>
      <c r="C5" t="s">
        <v>6</v>
      </c>
      <c r="D5" t="s">
        <v>0</v>
      </c>
      <c r="E5" t="s">
        <v>8</v>
      </c>
      <c r="F5" s="4">
        <v>3.879379510030232</v>
      </c>
      <c r="H5" s="152">
        <v>2699900</v>
      </c>
      <c r="L5" s="151"/>
    </row>
    <row r="6" spans="1:15" x14ac:dyDescent="0.25">
      <c r="A6" t="s">
        <v>131</v>
      </c>
      <c r="B6" t="s">
        <v>145</v>
      </c>
      <c r="C6" t="s">
        <v>45</v>
      </c>
      <c r="D6" t="s">
        <v>0</v>
      </c>
      <c r="E6" t="s">
        <v>56</v>
      </c>
      <c r="F6" s="4">
        <v>1.7459777128119032</v>
      </c>
      <c r="G6" s="167">
        <v>1.1259440000000001</v>
      </c>
      <c r="H6" s="152">
        <v>990100</v>
      </c>
      <c r="L6" s="151"/>
    </row>
    <row r="7" spans="1:15" x14ac:dyDescent="0.25">
      <c r="A7" t="s">
        <v>131</v>
      </c>
      <c r="B7" t="s">
        <v>145</v>
      </c>
      <c r="C7" t="s">
        <v>56</v>
      </c>
      <c r="D7" t="s">
        <v>0</v>
      </c>
      <c r="E7" t="s">
        <v>56</v>
      </c>
      <c r="F7" s="4">
        <v>1</v>
      </c>
      <c r="G7" s="167">
        <v>2.0625</v>
      </c>
      <c r="H7" s="152">
        <v>539000</v>
      </c>
      <c r="I7" s="8"/>
      <c r="L7" s="151"/>
    </row>
    <row r="8" spans="1:15" x14ac:dyDescent="0.25">
      <c r="A8" t="s">
        <v>131</v>
      </c>
      <c r="B8" t="s">
        <v>137</v>
      </c>
      <c r="C8" t="s">
        <v>46</v>
      </c>
      <c r="D8" t="s">
        <v>0</v>
      </c>
      <c r="E8" t="s">
        <v>50</v>
      </c>
      <c r="F8" s="4">
        <v>1.1131780213907789</v>
      </c>
      <c r="G8" s="167">
        <v>1.0709869999999999</v>
      </c>
      <c r="H8" s="152">
        <v>603600</v>
      </c>
      <c r="L8" s="151"/>
    </row>
    <row r="9" spans="1:15" x14ac:dyDescent="0.25">
      <c r="A9" t="s">
        <v>131</v>
      </c>
      <c r="B9" t="s">
        <v>137</v>
      </c>
      <c r="C9" t="s">
        <v>50</v>
      </c>
      <c r="D9" t="s">
        <v>0</v>
      </c>
      <c r="E9" t="s">
        <v>50</v>
      </c>
      <c r="F9" s="4">
        <v>1</v>
      </c>
      <c r="G9" s="167">
        <v>1.0154069999999999</v>
      </c>
      <c r="H9" s="152">
        <v>599200</v>
      </c>
      <c r="L9" s="151"/>
    </row>
    <row r="10" spans="1:15" x14ac:dyDescent="0.25">
      <c r="A10" t="s">
        <v>131</v>
      </c>
      <c r="B10" t="s">
        <v>134</v>
      </c>
      <c r="C10" t="s">
        <v>31</v>
      </c>
      <c r="D10" t="s">
        <v>0</v>
      </c>
      <c r="E10" t="s">
        <v>31</v>
      </c>
      <c r="F10" s="4">
        <v>1</v>
      </c>
      <c r="H10" s="152">
        <v>115800</v>
      </c>
      <c r="L10" s="151"/>
    </row>
    <row r="11" spans="1:15" x14ac:dyDescent="0.25">
      <c r="A11" t="s">
        <v>131</v>
      </c>
      <c r="B11" t="s">
        <v>134</v>
      </c>
      <c r="C11" t="s">
        <v>28</v>
      </c>
      <c r="D11" t="s">
        <v>0</v>
      </c>
      <c r="E11" t="s">
        <v>31</v>
      </c>
      <c r="F11" s="4">
        <v>3.3385746448746723</v>
      </c>
      <c r="H11" s="152">
        <v>517600</v>
      </c>
      <c r="L11" s="151"/>
    </row>
    <row r="12" spans="1:15" x14ac:dyDescent="0.25">
      <c r="A12" t="s">
        <v>131</v>
      </c>
      <c r="B12" t="s">
        <v>134</v>
      </c>
      <c r="C12" t="s">
        <v>29</v>
      </c>
      <c r="D12" t="s">
        <v>0</v>
      </c>
      <c r="E12" t="s">
        <v>31</v>
      </c>
      <c r="F12" s="4">
        <v>1.887587836157131</v>
      </c>
      <c r="H12" s="152">
        <v>2164400</v>
      </c>
      <c r="L12" s="151"/>
    </row>
    <row r="13" spans="1:15" x14ac:dyDescent="0.25">
      <c r="A13" t="s">
        <v>131</v>
      </c>
      <c r="B13" t="s">
        <v>134</v>
      </c>
      <c r="C13" t="s">
        <v>30</v>
      </c>
      <c r="D13" t="s">
        <v>0</v>
      </c>
      <c r="E13" t="s">
        <v>31</v>
      </c>
      <c r="F13" s="4">
        <v>1.2622429847942509</v>
      </c>
      <c r="H13" s="152">
        <v>103100</v>
      </c>
      <c r="L13" s="151"/>
    </row>
    <row r="14" spans="1:15" x14ac:dyDescent="0.25">
      <c r="A14" t="s">
        <v>131</v>
      </c>
      <c r="B14" t="s">
        <v>135</v>
      </c>
      <c r="C14" t="s">
        <v>47</v>
      </c>
      <c r="D14" t="s">
        <v>0</v>
      </c>
      <c r="E14" t="s">
        <v>47</v>
      </c>
      <c r="F14" s="4">
        <v>1</v>
      </c>
      <c r="G14" s="167">
        <v>3.3170269999999999</v>
      </c>
      <c r="H14" s="152">
        <v>6323400</v>
      </c>
      <c r="L14" s="151"/>
    </row>
    <row r="15" spans="1:15" x14ac:dyDescent="0.25">
      <c r="A15" t="s">
        <v>131</v>
      </c>
      <c r="B15" t="s">
        <v>135</v>
      </c>
      <c r="C15" t="s">
        <v>57</v>
      </c>
      <c r="D15" t="s">
        <v>0</v>
      </c>
      <c r="E15" t="s">
        <v>47</v>
      </c>
      <c r="F15" s="4">
        <v>1.432717711900662</v>
      </c>
      <c r="G15" s="167">
        <v>2.6059000000000001</v>
      </c>
      <c r="H15" s="152">
        <v>510400</v>
      </c>
      <c r="L15" s="151"/>
    </row>
    <row r="16" spans="1:15" x14ac:dyDescent="0.25">
      <c r="A16" t="s">
        <v>131</v>
      </c>
      <c r="B16" t="s">
        <v>133</v>
      </c>
      <c r="C16" t="s">
        <v>42</v>
      </c>
      <c r="D16" t="s">
        <v>0</v>
      </c>
      <c r="E16" t="s">
        <v>42</v>
      </c>
      <c r="F16" s="4">
        <v>1</v>
      </c>
      <c r="G16" s="167">
        <v>1.2823</v>
      </c>
      <c r="H16" s="152">
        <v>799100</v>
      </c>
      <c r="L16" s="151"/>
    </row>
    <row r="17" spans="1:12" x14ac:dyDescent="0.25">
      <c r="A17" t="s">
        <v>131</v>
      </c>
      <c r="B17" t="s">
        <v>133</v>
      </c>
      <c r="C17" t="s">
        <v>48</v>
      </c>
      <c r="D17" t="s">
        <v>0</v>
      </c>
      <c r="E17" t="s">
        <v>42</v>
      </c>
      <c r="F17" s="4">
        <v>1.0757044797511381</v>
      </c>
      <c r="G17" s="167">
        <v>1.1721300000000001</v>
      </c>
      <c r="H17" s="152">
        <v>721200</v>
      </c>
      <c r="L17" s="151"/>
    </row>
    <row r="18" spans="1:12" x14ac:dyDescent="0.25">
      <c r="A18" t="s">
        <v>131</v>
      </c>
      <c r="B18" t="s">
        <v>139</v>
      </c>
      <c r="C18" t="s">
        <v>16</v>
      </c>
      <c r="D18" t="s">
        <v>0</v>
      </c>
      <c r="E18" t="s">
        <v>17</v>
      </c>
      <c r="F18" s="4">
        <v>1.2033184753457946</v>
      </c>
      <c r="H18" s="152">
        <v>35459100</v>
      </c>
      <c r="L18" s="151"/>
    </row>
    <row r="19" spans="1:12" x14ac:dyDescent="0.25">
      <c r="A19" t="s">
        <v>131</v>
      </c>
      <c r="B19" t="s">
        <v>139</v>
      </c>
      <c r="C19" t="s">
        <v>14</v>
      </c>
      <c r="D19" t="s">
        <v>0</v>
      </c>
      <c r="E19" t="s">
        <v>17</v>
      </c>
      <c r="F19" s="4">
        <v>2.63706732931468</v>
      </c>
      <c r="H19" s="152">
        <v>1023400</v>
      </c>
      <c r="L19" s="151"/>
    </row>
    <row r="20" spans="1:12" x14ac:dyDescent="0.25">
      <c r="A20" t="s">
        <v>131</v>
      </c>
      <c r="B20" t="s">
        <v>139</v>
      </c>
      <c r="C20" t="s">
        <v>17</v>
      </c>
      <c r="D20" t="s">
        <v>0</v>
      </c>
      <c r="E20" t="s">
        <v>17</v>
      </c>
      <c r="F20" s="4">
        <v>1</v>
      </c>
      <c r="H20" s="152">
        <v>2735600</v>
      </c>
      <c r="L20" s="151"/>
    </row>
    <row r="21" spans="1:12" x14ac:dyDescent="0.25">
      <c r="A21" t="s">
        <v>131</v>
      </c>
      <c r="B21" t="s">
        <v>139</v>
      </c>
      <c r="C21" t="s">
        <v>13</v>
      </c>
      <c r="D21" t="s">
        <v>0</v>
      </c>
      <c r="E21" t="s">
        <v>17</v>
      </c>
      <c r="F21" s="4">
        <v>3.6815334229865626</v>
      </c>
      <c r="H21" s="152">
        <v>1024100</v>
      </c>
      <c r="L21" s="151"/>
    </row>
    <row r="22" spans="1:12" x14ac:dyDescent="0.25">
      <c r="A22" t="s">
        <v>131</v>
      </c>
      <c r="B22" t="s">
        <v>139</v>
      </c>
      <c r="C22" t="s">
        <v>12</v>
      </c>
      <c r="D22" t="s">
        <v>0</v>
      </c>
      <c r="E22" t="s">
        <v>17</v>
      </c>
      <c r="F22" s="4">
        <v>4.1125776309759745</v>
      </c>
      <c r="H22" s="152">
        <v>5654000</v>
      </c>
      <c r="L22" s="151"/>
    </row>
    <row r="23" spans="1:12" x14ac:dyDescent="0.25">
      <c r="A23" t="s">
        <v>131</v>
      </c>
      <c r="B23" t="s">
        <v>139</v>
      </c>
      <c r="C23" t="s">
        <v>15</v>
      </c>
      <c r="D23" t="s">
        <v>0</v>
      </c>
      <c r="E23" t="s">
        <v>17</v>
      </c>
      <c r="F23" s="4">
        <v>2.601578010930413</v>
      </c>
      <c r="H23" s="152">
        <v>11681600</v>
      </c>
      <c r="L23" s="151"/>
    </row>
    <row r="24" spans="1:12" x14ac:dyDescent="0.25">
      <c r="A24" t="s">
        <v>131</v>
      </c>
      <c r="B24" t="s">
        <v>136</v>
      </c>
      <c r="C24" t="s">
        <v>43</v>
      </c>
      <c r="D24" t="s">
        <v>0</v>
      </c>
      <c r="E24" t="s">
        <v>49</v>
      </c>
      <c r="F24" s="4">
        <v>1.0452602286087633</v>
      </c>
      <c r="G24" s="167">
        <v>0.90090000000000003</v>
      </c>
      <c r="H24" s="152">
        <v>4173700</v>
      </c>
      <c r="L24" s="151"/>
    </row>
    <row r="25" spans="1:12" x14ac:dyDescent="0.25">
      <c r="A25" t="s">
        <v>131</v>
      </c>
      <c r="B25" t="s">
        <v>136</v>
      </c>
      <c r="C25" t="s">
        <v>49</v>
      </c>
      <c r="D25" t="s">
        <v>0</v>
      </c>
      <c r="E25" t="s">
        <v>49</v>
      </c>
      <c r="F25" s="4">
        <v>1</v>
      </c>
      <c r="G25" s="167">
        <v>0.71307999999999994</v>
      </c>
      <c r="H25" s="152">
        <v>1529900</v>
      </c>
      <c r="L25" s="151"/>
    </row>
    <row r="26" spans="1:12" x14ac:dyDescent="0.25">
      <c r="A26" t="s">
        <v>131</v>
      </c>
      <c r="B26" t="s">
        <v>138</v>
      </c>
      <c r="C26" t="s">
        <v>44</v>
      </c>
      <c r="D26" t="s">
        <v>0</v>
      </c>
      <c r="E26" t="s">
        <v>51</v>
      </c>
      <c r="F26" s="4">
        <v>1.8534459673916217</v>
      </c>
      <c r="G26" s="167">
        <v>0.34714599999999995</v>
      </c>
      <c r="H26" s="152">
        <v>378500</v>
      </c>
      <c r="L26" s="151"/>
    </row>
    <row r="27" spans="1:12" x14ac:dyDescent="0.25">
      <c r="A27" t="s">
        <v>131</v>
      </c>
      <c r="B27" t="s">
        <v>138</v>
      </c>
      <c r="C27" t="s">
        <v>51</v>
      </c>
      <c r="D27" t="s">
        <v>0</v>
      </c>
      <c r="E27" t="s">
        <v>51</v>
      </c>
      <c r="F27" s="4">
        <v>1</v>
      </c>
      <c r="G27" s="167">
        <v>0</v>
      </c>
      <c r="H27" s="152">
        <v>305200</v>
      </c>
      <c r="L27" s="151"/>
    </row>
    <row r="28" spans="1:12" x14ac:dyDescent="0.25">
      <c r="A28" t="s">
        <v>131</v>
      </c>
      <c r="B28" t="s">
        <v>143</v>
      </c>
      <c r="C28" t="s">
        <v>23</v>
      </c>
      <c r="D28" t="s">
        <v>0</v>
      </c>
      <c r="E28" t="s">
        <v>24</v>
      </c>
      <c r="F28" s="4">
        <v>1.5005264406293857</v>
      </c>
      <c r="H28" s="152">
        <v>2109100</v>
      </c>
      <c r="L28" s="151"/>
    </row>
    <row r="29" spans="1:12" x14ac:dyDescent="0.25">
      <c r="A29" t="s">
        <v>131</v>
      </c>
      <c r="B29" t="s">
        <v>143</v>
      </c>
      <c r="C29" t="s">
        <v>22</v>
      </c>
      <c r="D29" t="s">
        <v>0</v>
      </c>
      <c r="E29" t="s">
        <v>24</v>
      </c>
      <c r="F29" s="4">
        <v>3.3605849998281307</v>
      </c>
      <c r="H29" s="152">
        <v>2726800</v>
      </c>
      <c r="L29" s="151"/>
    </row>
    <row r="30" spans="1:12" x14ac:dyDescent="0.25">
      <c r="A30" t="s">
        <v>131</v>
      </c>
      <c r="B30" t="s">
        <v>143</v>
      </c>
      <c r="C30" t="s">
        <v>24</v>
      </c>
      <c r="D30" t="s">
        <v>0</v>
      </c>
      <c r="E30" t="s">
        <v>24</v>
      </c>
      <c r="F30" s="4">
        <v>1</v>
      </c>
      <c r="H30" s="152">
        <v>4149500</v>
      </c>
      <c r="L30" s="151"/>
    </row>
    <row r="31" spans="1:12" x14ac:dyDescent="0.25">
      <c r="A31" t="s">
        <v>131</v>
      </c>
      <c r="B31" t="s">
        <v>144</v>
      </c>
      <c r="C31" t="s">
        <v>26</v>
      </c>
      <c r="D31" t="s">
        <v>0</v>
      </c>
      <c r="E31" t="s">
        <v>27</v>
      </c>
      <c r="F31" s="4">
        <v>1.7621198643786105</v>
      </c>
      <c r="H31" s="152">
        <v>967700</v>
      </c>
      <c r="L31" s="151"/>
    </row>
    <row r="32" spans="1:12" x14ac:dyDescent="0.25">
      <c r="A32" t="s">
        <v>131</v>
      </c>
      <c r="B32" t="s">
        <v>144</v>
      </c>
      <c r="C32" t="s">
        <v>25</v>
      </c>
      <c r="D32" t="s">
        <v>0</v>
      </c>
      <c r="E32" t="s">
        <v>27</v>
      </c>
      <c r="F32" s="4">
        <v>2.1017573180361939</v>
      </c>
      <c r="H32" s="152">
        <v>6250700</v>
      </c>
      <c r="L32" s="151"/>
    </row>
    <row r="33" spans="1:12" x14ac:dyDescent="0.25">
      <c r="A33" t="s">
        <v>131</v>
      </c>
      <c r="B33" t="s">
        <v>144</v>
      </c>
      <c r="C33" t="s">
        <v>27</v>
      </c>
      <c r="D33" t="s">
        <v>0</v>
      </c>
      <c r="E33" t="s">
        <v>27</v>
      </c>
      <c r="F33" s="4">
        <v>1</v>
      </c>
      <c r="H33" s="152">
        <v>2455300</v>
      </c>
      <c r="L33" s="151"/>
    </row>
    <row r="34" spans="1:12" x14ac:dyDescent="0.25">
      <c r="A34" t="s">
        <v>131</v>
      </c>
      <c r="B34" t="s">
        <v>140</v>
      </c>
      <c r="C34" t="s">
        <v>20</v>
      </c>
      <c r="D34" t="s">
        <v>0</v>
      </c>
      <c r="E34" t="s">
        <v>20</v>
      </c>
      <c r="F34" s="4">
        <v>1</v>
      </c>
      <c r="H34" s="152">
        <v>3629500</v>
      </c>
      <c r="L34" s="151"/>
    </row>
    <row r="35" spans="1:12" x14ac:dyDescent="0.25">
      <c r="A35" t="s">
        <v>131</v>
      </c>
      <c r="B35" t="s">
        <v>140</v>
      </c>
      <c r="C35" t="s">
        <v>18</v>
      </c>
      <c r="D35" t="s">
        <v>0</v>
      </c>
      <c r="E35" t="s">
        <v>20</v>
      </c>
      <c r="F35" s="4">
        <v>4.2362063800883574</v>
      </c>
      <c r="H35" s="152">
        <v>1243000</v>
      </c>
      <c r="L35" s="151"/>
    </row>
    <row r="36" spans="1:12" x14ac:dyDescent="0.25">
      <c r="A36" t="s">
        <v>131</v>
      </c>
      <c r="B36" t="s">
        <v>140</v>
      </c>
      <c r="C36" t="s">
        <v>19</v>
      </c>
      <c r="D36" t="s">
        <v>0</v>
      </c>
      <c r="E36" t="s">
        <v>20</v>
      </c>
      <c r="F36" s="4">
        <v>2.0167600576728906</v>
      </c>
      <c r="H36" s="152">
        <v>1561000</v>
      </c>
      <c r="L36" s="151"/>
    </row>
    <row r="37" spans="1:12" x14ac:dyDescent="0.25">
      <c r="A37" t="s">
        <v>131</v>
      </c>
      <c r="B37" t="s">
        <v>141</v>
      </c>
      <c r="C37" t="s">
        <v>4</v>
      </c>
      <c r="D37" t="s">
        <v>0</v>
      </c>
      <c r="E37" t="s">
        <v>4</v>
      </c>
      <c r="F37" s="4">
        <v>1</v>
      </c>
      <c r="H37" s="152">
        <v>6957400</v>
      </c>
      <c r="L37" s="151"/>
    </row>
    <row r="38" spans="1:12" x14ac:dyDescent="0.25">
      <c r="A38" t="s">
        <v>131</v>
      </c>
      <c r="B38" t="s">
        <v>141</v>
      </c>
      <c r="C38" t="s">
        <v>21</v>
      </c>
      <c r="D38" t="s">
        <v>0</v>
      </c>
      <c r="E38" t="s">
        <v>4</v>
      </c>
      <c r="F38" s="4">
        <v>2.3562987017736692</v>
      </c>
      <c r="H38" s="152">
        <v>842900</v>
      </c>
      <c r="L38" s="151"/>
    </row>
    <row r="39" spans="1:12" x14ac:dyDescent="0.25">
      <c r="A39" t="s">
        <v>131</v>
      </c>
      <c r="B39" t="s">
        <v>141</v>
      </c>
      <c r="C39" t="s">
        <v>3</v>
      </c>
      <c r="D39" t="s">
        <v>0</v>
      </c>
      <c r="E39" t="s">
        <v>4</v>
      </c>
      <c r="F39" s="4">
        <v>2.1303218841231355</v>
      </c>
      <c r="H39" s="152">
        <v>12745700</v>
      </c>
      <c r="L39" s="151"/>
    </row>
    <row r="40" spans="1:12" x14ac:dyDescent="0.25">
      <c r="A40" t="s">
        <v>131</v>
      </c>
      <c r="B40" t="s">
        <v>142</v>
      </c>
      <c r="C40" t="s">
        <v>52</v>
      </c>
      <c r="D40" t="s">
        <v>0</v>
      </c>
      <c r="E40" t="s">
        <v>52</v>
      </c>
      <c r="F40" s="4">
        <v>1</v>
      </c>
      <c r="G40" s="167">
        <v>1.0603740000000001</v>
      </c>
      <c r="H40" s="152">
        <v>2679800</v>
      </c>
      <c r="L40" s="151"/>
    </row>
    <row r="41" spans="1:12" x14ac:dyDescent="0.25">
      <c r="A41" t="s">
        <v>131</v>
      </c>
      <c r="B41" t="s">
        <v>142</v>
      </c>
      <c r="C41" t="s">
        <v>53</v>
      </c>
      <c r="D41" t="s">
        <v>0</v>
      </c>
      <c r="E41" t="s">
        <v>52</v>
      </c>
      <c r="F41" s="4">
        <v>1.6517399608224508</v>
      </c>
      <c r="G41" s="167">
        <v>0.79999999999999993</v>
      </c>
      <c r="H41" s="152">
        <v>811800</v>
      </c>
      <c r="L41" s="151"/>
    </row>
    <row r="42" spans="1:12" x14ac:dyDescent="0.25">
      <c r="A42" t="s">
        <v>134</v>
      </c>
      <c r="B42" t="s">
        <v>181</v>
      </c>
      <c r="C42" t="s">
        <v>182</v>
      </c>
      <c r="D42" t="s">
        <v>0</v>
      </c>
      <c r="E42" t="s">
        <v>182</v>
      </c>
      <c r="F42" s="4">
        <v>1</v>
      </c>
      <c r="H42" s="152">
        <v>17600</v>
      </c>
      <c r="L42" s="151"/>
    </row>
    <row r="43" spans="1:12" x14ac:dyDescent="0.25">
      <c r="A43" t="s">
        <v>134</v>
      </c>
      <c r="B43" t="s">
        <v>181</v>
      </c>
      <c r="C43" t="s">
        <v>183</v>
      </c>
      <c r="D43" t="s">
        <v>0</v>
      </c>
      <c r="E43" t="s">
        <v>182</v>
      </c>
      <c r="F43" s="4">
        <v>1500.2743937719083</v>
      </c>
      <c r="H43" s="152">
        <v>10746000</v>
      </c>
      <c r="L43" s="151"/>
    </row>
    <row r="44" spans="1:12" x14ac:dyDescent="0.25">
      <c r="A44" t="s">
        <v>134</v>
      </c>
      <c r="B44" t="s">
        <v>177</v>
      </c>
      <c r="C44" t="s">
        <v>167</v>
      </c>
      <c r="D44" t="s">
        <v>0</v>
      </c>
      <c r="E44" t="s">
        <v>168</v>
      </c>
      <c r="F44" s="4">
        <v>1.1190659503663023</v>
      </c>
      <c r="H44" s="152">
        <v>1209000</v>
      </c>
      <c r="L44" s="151"/>
    </row>
    <row r="45" spans="1:12" x14ac:dyDescent="0.25">
      <c r="A45" t="s">
        <v>134</v>
      </c>
      <c r="B45" t="s">
        <v>177</v>
      </c>
      <c r="C45" t="s">
        <v>168</v>
      </c>
      <c r="D45" t="s">
        <v>0</v>
      </c>
      <c r="E45" t="s">
        <v>168</v>
      </c>
      <c r="F45" s="4">
        <v>1</v>
      </c>
      <c r="H45" s="152">
        <v>5234900</v>
      </c>
      <c r="L45" s="151"/>
    </row>
    <row r="46" spans="1:12" x14ac:dyDescent="0.25">
      <c r="A46" t="s">
        <v>134</v>
      </c>
      <c r="B46" t="s">
        <v>176</v>
      </c>
      <c r="C46" t="s">
        <v>165</v>
      </c>
      <c r="D46" t="s">
        <v>0</v>
      </c>
      <c r="E46" t="s">
        <v>166</v>
      </c>
      <c r="F46" s="4">
        <v>1.0099220339547419</v>
      </c>
      <c r="H46" s="152">
        <v>45084500</v>
      </c>
      <c r="L46" s="151"/>
    </row>
    <row r="47" spans="1:12" x14ac:dyDescent="0.25">
      <c r="A47" t="s">
        <v>134</v>
      </c>
      <c r="B47" t="s">
        <v>176</v>
      </c>
      <c r="C47" t="s">
        <v>166</v>
      </c>
      <c r="D47" t="s">
        <v>0</v>
      </c>
      <c r="E47" t="s">
        <v>166</v>
      </c>
      <c r="F47" s="4">
        <v>1</v>
      </c>
      <c r="H47" s="152">
        <v>67465500</v>
      </c>
      <c r="L47" s="151"/>
    </row>
    <row r="48" spans="1:12" x14ac:dyDescent="0.25">
      <c r="A48" t="s">
        <v>134</v>
      </c>
      <c r="B48" t="s">
        <v>179</v>
      </c>
      <c r="C48" t="s">
        <v>171</v>
      </c>
      <c r="D48" t="s">
        <v>0</v>
      </c>
      <c r="E48" t="s">
        <v>171</v>
      </c>
      <c r="F48" s="4">
        <v>1</v>
      </c>
      <c r="H48" s="152">
        <v>1181400</v>
      </c>
      <c r="L48" s="151"/>
    </row>
    <row r="49" spans="1:12" x14ac:dyDescent="0.25">
      <c r="A49" t="s">
        <v>134</v>
      </c>
      <c r="B49" t="s">
        <v>179</v>
      </c>
      <c r="C49" t="s">
        <v>180</v>
      </c>
      <c r="D49" t="s">
        <v>0</v>
      </c>
      <c r="E49" t="s">
        <v>171</v>
      </c>
      <c r="F49" s="4">
        <v>1.342462941083487</v>
      </c>
      <c r="H49" s="152">
        <v>264200</v>
      </c>
      <c r="L49" s="151"/>
    </row>
    <row r="50" spans="1:12" x14ac:dyDescent="0.25">
      <c r="A50" t="s">
        <v>134</v>
      </c>
      <c r="B50" t="s">
        <v>178</v>
      </c>
      <c r="C50" t="s">
        <v>169</v>
      </c>
      <c r="D50" t="s">
        <v>0</v>
      </c>
      <c r="E50" t="s">
        <v>169</v>
      </c>
      <c r="F50" s="4">
        <v>1</v>
      </c>
      <c r="H50" s="152">
        <v>1196400</v>
      </c>
      <c r="L50" s="151"/>
    </row>
    <row r="51" spans="1:12" x14ac:dyDescent="0.25">
      <c r="A51" t="s">
        <v>134</v>
      </c>
      <c r="B51" t="s">
        <v>178</v>
      </c>
      <c r="C51" t="s">
        <v>170</v>
      </c>
      <c r="D51" t="s">
        <v>0</v>
      </c>
      <c r="E51" t="s">
        <v>169</v>
      </c>
      <c r="F51" s="4">
        <v>1.1122074555542789</v>
      </c>
      <c r="H51" s="152">
        <v>4008400</v>
      </c>
      <c r="L51" s="151"/>
    </row>
    <row r="52" spans="1:12" x14ac:dyDescent="0.25">
      <c r="A52" t="s">
        <v>134</v>
      </c>
      <c r="B52" t="s">
        <v>246</v>
      </c>
      <c r="C52" t="s">
        <v>244</v>
      </c>
      <c r="D52" t="s">
        <v>0</v>
      </c>
      <c r="E52" t="s">
        <v>245</v>
      </c>
      <c r="F52" s="4">
        <v>1.0216973463961607</v>
      </c>
      <c r="H52" s="152">
        <v>2627500</v>
      </c>
      <c r="L52" s="151"/>
    </row>
    <row r="53" spans="1:12" x14ac:dyDescent="0.25">
      <c r="A53" t="s">
        <v>134</v>
      </c>
      <c r="B53" t="s">
        <v>246</v>
      </c>
      <c r="C53" t="s">
        <v>245</v>
      </c>
      <c r="D53" t="s">
        <v>0</v>
      </c>
      <c r="E53" t="s">
        <v>245</v>
      </c>
      <c r="F53" s="4">
        <v>1</v>
      </c>
      <c r="H53" s="152">
        <v>8473100</v>
      </c>
      <c r="L53" s="151"/>
    </row>
    <row r="54" spans="1:12" x14ac:dyDescent="0.25">
      <c r="A54" t="s">
        <v>134</v>
      </c>
      <c r="B54" t="s">
        <v>247</v>
      </c>
      <c r="C54" t="s">
        <v>248</v>
      </c>
      <c r="D54" t="s">
        <v>0</v>
      </c>
      <c r="E54" t="s">
        <v>248</v>
      </c>
      <c r="F54" s="4">
        <v>1</v>
      </c>
      <c r="H54" s="152">
        <v>144800</v>
      </c>
      <c r="L54" s="151"/>
    </row>
    <row r="55" spans="1:12" x14ac:dyDescent="0.25">
      <c r="A55" t="s">
        <v>134</v>
      </c>
      <c r="B55" t="s">
        <v>247</v>
      </c>
      <c r="C55" t="s">
        <v>249</v>
      </c>
      <c r="D55" t="s">
        <v>0</v>
      </c>
      <c r="E55" t="s">
        <v>248</v>
      </c>
      <c r="F55" s="4">
        <v>1.0179027655763175</v>
      </c>
      <c r="H55" s="152">
        <v>2368000</v>
      </c>
      <c r="L55" s="151"/>
    </row>
    <row r="56" spans="1:12" x14ac:dyDescent="0.25">
      <c r="A56" t="s">
        <v>134</v>
      </c>
      <c r="B56" t="s">
        <v>250</v>
      </c>
      <c r="C56" t="s">
        <v>251</v>
      </c>
      <c r="D56" t="s">
        <v>0</v>
      </c>
      <c r="E56" t="s">
        <v>252</v>
      </c>
      <c r="F56" s="4">
        <v>1.0138139386124387</v>
      </c>
      <c r="H56" s="152">
        <v>682300</v>
      </c>
      <c r="L56" s="151"/>
    </row>
    <row r="57" spans="1:12" x14ac:dyDescent="0.25">
      <c r="A57" t="s">
        <v>134</v>
      </c>
      <c r="B57" t="s">
        <v>250</v>
      </c>
      <c r="C57" t="s">
        <v>252</v>
      </c>
      <c r="D57" t="s">
        <v>0</v>
      </c>
      <c r="E57" t="s">
        <v>252</v>
      </c>
      <c r="F57" s="4">
        <v>1</v>
      </c>
      <c r="H57" s="152">
        <v>700</v>
      </c>
      <c r="L57" s="151"/>
    </row>
    <row r="58" spans="1:12" x14ac:dyDescent="0.25">
      <c r="A58" t="s">
        <v>134</v>
      </c>
      <c r="B58" t="s">
        <v>253</v>
      </c>
      <c r="C58" t="s">
        <v>254</v>
      </c>
      <c r="D58" t="s">
        <v>0</v>
      </c>
      <c r="E58" t="s">
        <v>254</v>
      </c>
      <c r="F58" s="4">
        <v>1</v>
      </c>
      <c r="H58" s="152">
        <v>3152600</v>
      </c>
      <c r="L58" s="151"/>
    </row>
    <row r="59" spans="1:12" x14ac:dyDescent="0.25">
      <c r="A59" t="s">
        <v>134</v>
      </c>
      <c r="B59" t="s">
        <v>253</v>
      </c>
      <c r="C59" t="s">
        <v>255</v>
      </c>
      <c r="D59" t="s">
        <v>0</v>
      </c>
      <c r="E59" t="s">
        <v>254</v>
      </c>
      <c r="F59" s="4">
        <v>1.0188671639731526</v>
      </c>
      <c r="H59" s="152">
        <v>91100</v>
      </c>
      <c r="L59" s="151"/>
    </row>
    <row r="60" spans="1:12" x14ac:dyDescent="0.25">
      <c r="A60" t="s">
        <v>134</v>
      </c>
      <c r="B60" t="s">
        <v>256</v>
      </c>
      <c r="C60" t="s">
        <v>257</v>
      </c>
      <c r="D60" t="s">
        <v>0</v>
      </c>
      <c r="E60" t="s">
        <v>257</v>
      </c>
      <c r="F60" s="4">
        <v>1</v>
      </c>
      <c r="H60" s="152">
        <v>66800</v>
      </c>
      <c r="L60" s="151"/>
    </row>
    <row r="61" spans="1:12" x14ac:dyDescent="0.25">
      <c r="A61" t="s">
        <v>134</v>
      </c>
      <c r="B61" t="s">
        <v>256</v>
      </c>
      <c r="C61" t="s">
        <v>258</v>
      </c>
      <c r="D61" t="s">
        <v>0</v>
      </c>
      <c r="E61" t="s">
        <v>257</v>
      </c>
      <c r="F61" s="4">
        <v>1.101711315475786</v>
      </c>
      <c r="H61" s="152">
        <v>494200</v>
      </c>
      <c r="L61" s="151"/>
    </row>
    <row r="62" spans="1:12" x14ac:dyDescent="0.25">
      <c r="A62" t="s">
        <v>134</v>
      </c>
      <c r="B62" t="s">
        <v>279</v>
      </c>
      <c r="C62" t="s">
        <v>277</v>
      </c>
      <c r="D62" t="s">
        <v>0</v>
      </c>
      <c r="E62" t="s">
        <v>278</v>
      </c>
      <c r="F62" s="4">
        <v>1.0220244199044932</v>
      </c>
      <c r="H62" s="152">
        <v>3777200</v>
      </c>
      <c r="L62" s="151"/>
    </row>
    <row r="63" spans="1:12" x14ac:dyDescent="0.25">
      <c r="A63" t="s">
        <v>134</v>
      </c>
      <c r="B63" t="s">
        <v>279</v>
      </c>
      <c r="C63" t="s">
        <v>278</v>
      </c>
      <c r="D63" t="s">
        <v>0</v>
      </c>
      <c r="E63" t="s">
        <v>278</v>
      </c>
      <c r="F63" s="4">
        <v>1</v>
      </c>
      <c r="H63" s="152">
        <v>1119900</v>
      </c>
      <c r="L63" s="151"/>
    </row>
    <row r="64" spans="1:12" x14ac:dyDescent="0.25">
      <c r="A64" t="s">
        <v>117</v>
      </c>
      <c r="B64" t="s">
        <v>124</v>
      </c>
      <c r="C64" t="s">
        <v>172</v>
      </c>
      <c r="D64" t="s">
        <v>0</v>
      </c>
      <c r="E64" t="s">
        <v>175</v>
      </c>
      <c r="F64" s="4">
        <v>3.8504793278650524</v>
      </c>
      <c r="G64" s="167">
        <v>0</v>
      </c>
      <c r="H64" s="152">
        <v>83100</v>
      </c>
      <c r="L64" s="151"/>
    </row>
    <row r="65" spans="1:12" x14ac:dyDescent="0.25">
      <c r="A65" t="s">
        <v>117</v>
      </c>
      <c r="B65" t="s">
        <v>124</v>
      </c>
      <c r="C65" t="s">
        <v>175</v>
      </c>
      <c r="D65" t="s">
        <v>0</v>
      </c>
      <c r="E65" t="s">
        <v>175</v>
      </c>
      <c r="F65" s="4">
        <v>1</v>
      </c>
      <c r="G65" s="167">
        <v>0</v>
      </c>
      <c r="H65" s="152">
        <v>133900</v>
      </c>
      <c r="L65" s="151"/>
    </row>
    <row r="66" spans="1:12" x14ac:dyDescent="0.25">
      <c r="A66" t="s">
        <v>117</v>
      </c>
      <c r="B66" t="s">
        <v>124</v>
      </c>
      <c r="C66" t="s">
        <v>173</v>
      </c>
      <c r="D66" t="s">
        <v>0</v>
      </c>
      <c r="E66" t="s">
        <v>174</v>
      </c>
      <c r="F66" s="4">
        <v>1.1481073725958202</v>
      </c>
      <c r="G66" s="167">
        <v>0</v>
      </c>
      <c r="H66" s="152">
        <v>96700</v>
      </c>
      <c r="L66" s="151"/>
    </row>
    <row r="67" spans="1:12" x14ac:dyDescent="0.25">
      <c r="A67" t="s">
        <v>117</v>
      </c>
      <c r="B67" t="s">
        <v>124</v>
      </c>
      <c r="C67" t="s">
        <v>174</v>
      </c>
      <c r="D67" t="s">
        <v>0</v>
      </c>
      <c r="E67" t="s">
        <v>174</v>
      </c>
      <c r="F67" s="4">
        <v>1</v>
      </c>
      <c r="G67" s="167">
        <v>0</v>
      </c>
      <c r="H67" s="152">
        <v>6890400</v>
      </c>
      <c r="L67" s="151"/>
    </row>
    <row r="68" spans="1:12" x14ac:dyDescent="0.25">
      <c r="A68" t="s">
        <v>117</v>
      </c>
      <c r="B68" t="s">
        <v>121</v>
      </c>
      <c r="C68" t="s">
        <v>93</v>
      </c>
      <c r="D68" t="s">
        <v>0</v>
      </c>
      <c r="E68" t="s">
        <v>93</v>
      </c>
      <c r="F68" s="4">
        <v>1</v>
      </c>
      <c r="G68" s="167">
        <v>0</v>
      </c>
      <c r="H68" s="152">
        <v>783800</v>
      </c>
      <c r="L68" s="151"/>
    </row>
    <row r="69" spans="1:12" x14ac:dyDescent="0.25">
      <c r="A69" t="s">
        <v>117</v>
      </c>
      <c r="B69" t="s">
        <v>121</v>
      </c>
      <c r="C69" t="s">
        <v>95</v>
      </c>
      <c r="D69" t="s">
        <v>0</v>
      </c>
      <c r="E69" t="s">
        <v>93</v>
      </c>
      <c r="F69" s="4">
        <v>1.055560510390495</v>
      </c>
      <c r="G69" s="167">
        <v>0</v>
      </c>
      <c r="H69" s="152">
        <v>30089100</v>
      </c>
      <c r="L69" s="151"/>
    </row>
    <row r="70" spans="1:12" x14ac:dyDescent="0.25">
      <c r="A70" t="s">
        <v>117</v>
      </c>
      <c r="B70" t="s">
        <v>121</v>
      </c>
      <c r="C70" t="s">
        <v>92</v>
      </c>
      <c r="D70" t="s">
        <v>0</v>
      </c>
      <c r="E70" t="s">
        <v>94</v>
      </c>
      <c r="F70" s="4">
        <v>5.0819175405972761</v>
      </c>
      <c r="G70" s="167">
        <v>0</v>
      </c>
      <c r="H70" s="152">
        <v>1205900</v>
      </c>
      <c r="L70" s="151"/>
    </row>
    <row r="71" spans="1:12" x14ac:dyDescent="0.25">
      <c r="A71" t="s">
        <v>117</v>
      </c>
      <c r="B71" t="s">
        <v>121</v>
      </c>
      <c r="C71" t="s">
        <v>94</v>
      </c>
      <c r="D71" t="s">
        <v>0</v>
      </c>
      <c r="E71" t="s">
        <v>94</v>
      </c>
      <c r="F71" s="4">
        <v>1</v>
      </c>
      <c r="G71" s="167">
        <v>0</v>
      </c>
      <c r="H71" s="152">
        <v>528300</v>
      </c>
      <c r="L71" s="151"/>
    </row>
    <row r="72" spans="1:12" x14ac:dyDescent="0.25">
      <c r="A72" t="s">
        <v>117</v>
      </c>
      <c r="B72" t="s">
        <v>123</v>
      </c>
      <c r="C72" t="s">
        <v>96</v>
      </c>
      <c r="D72" t="s">
        <v>0</v>
      </c>
      <c r="E72" t="s">
        <v>96</v>
      </c>
      <c r="F72" s="4">
        <v>1</v>
      </c>
      <c r="G72" s="167">
        <v>0</v>
      </c>
      <c r="H72" s="152">
        <v>414400</v>
      </c>
      <c r="L72" s="151"/>
    </row>
    <row r="73" spans="1:12" x14ac:dyDescent="0.25">
      <c r="A73" t="s">
        <v>117</v>
      </c>
      <c r="B73" t="s">
        <v>123</v>
      </c>
      <c r="C73" t="s">
        <v>98</v>
      </c>
      <c r="D73" t="s">
        <v>0</v>
      </c>
      <c r="E73" t="s">
        <v>96</v>
      </c>
      <c r="F73" s="4">
        <v>2.365835254630634</v>
      </c>
      <c r="G73" s="167">
        <v>0</v>
      </c>
      <c r="H73" s="152">
        <v>32592200</v>
      </c>
      <c r="L73" s="151"/>
    </row>
    <row r="74" spans="1:12" x14ac:dyDescent="0.25">
      <c r="A74" t="s">
        <v>117</v>
      </c>
      <c r="B74" t="s">
        <v>123</v>
      </c>
      <c r="C74" t="s">
        <v>125</v>
      </c>
      <c r="D74" t="s">
        <v>0</v>
      </c>
      <c r="E74" t="s">
        <v>97</v>
      </c>
      <c r="F74" s="4">
        <v>1.7174825805012639</v>
      </c>
      <c r="G74" s="167">
        <v>0</v>
      </c>
      <c r="H74" s="152">
        <v>111700</v>
      </c>
      <c r="L74" s="151"/>
    </row>
    <row r="75" spans="1:12" x14ac:dyDescent="0.25">
      <c r="A75" t="s">
        <v>117</v>
      </c>
      <c r="B75" t="s">
        <v>123</v>
      </c>
      <c r="C75" t="s">
        <v>97</v>
      </c>
      <c r="D75" t="s">
        <v>0</v>
      </c>
      <c r="E75" t="s">
        <v>97</v>
      </c>
      <c r="F75" s="4">
        <v>1</v>
      </c>
      <c r="G75" s="167">
        <v>0</v>
      </c>
      <c r="H75" s="152">
        <v>545400</v>
      </c>
      <c r="L75" s="151"/>
    </row>
    <row r="76" spans="1:12" x14ac:dyDescent="0.25">
      <c r="A76" t="s">
        <v>117</v>
      </c>
      <c r="B76" t="s">
        <v>122</v>
      </c>
      <c r="C76" t="s">
        <v>99</v>
      </c>
      <c r="D76" t="s">
        <v>0</v>
      </c>
      <c r="E76" t="s">
        <v>101</v>
      </c>
      <c r="F76" s="4">
        <v>3.8686202871095823</v>
      </c>
      <c r="G76" s="167">
        <v>0</v>
      </c>
      <c r="H76" s="152">
        <v>235200</v>
      </c>
      <c r="L76" s="151"/>
    </row>
    <row r="77" spans="1:12" x14ac:dyDescent="0.25">
      <c r="A77" t="s">
        <v>117</v>
      </c>
      <c r="B77" t="s">
        <v>122</v>
      </c>
      <c r="C77" t="s">
        <v>101</v>
      </c>
      <c r="D77" t="s">
        <v>0</v>
      </c>
      <c r="E77" t="s">
        <v>101</v>
      </c>
      <c r="F77" s="4">
        <v>1</v>
      </c>
      <c r="G77" s="167">
        <v>0</v>
      </c>
      <c r="H77" s="152">
        <v>547100</v>
      </c>
      <c r="L77" s="151"/>
    </row>
    <row r="78" spans="1:12" x14ac:dyDescent="0.25">
      <c r="A78" t="s">
        <v>117</v>
      </c>
      <c r="B78" t="s">
        <v>122</v>
      </c>
      <c r="C78" t="s">
        <v>100</v>
      </c>
      <c r="D78" t="s">
        <v>0</v>
      </c>
      <c r="E78" t="s">
        <v>102</v>
      </c>
      <c r="F78" s="4">
        <v>2.3635341245347772</v>
      </c>
      <c r="G78" s="167">
        <v>0</v>
      </c>
      <c r="H78" s="152">
        <v>701100</v>
      </c>
      <c r="L78" s="151"/>
    </row>
    <row r="79" spans="1:12" x14ac:dyDescent="0.25">
      <c r="A79" t="s">
        <v>117</v>
      </c>
      <c r="B79" t="s">
        <v>122</v>
      </c>
      <c r="C79" t="s">
        <v>102</v>
      </c>
      <c r="D79" t="s">
        <v>0</v>
      </c>
      <c r="E79" t="s">
        <v>102</v>
      </c>
      <c r="F79" s="4">
        <v>1</v>
      </c>
      <c r="G79" s="167">
        <v>0</v>
      </c>
      <c r="H79" s="152">
        <v>8768100</v>
      </c>
      <c r="L79" s="151"/>
    </row>
    <row r="80" spans="1:12" x14ac:dyDescent="0.25">
      <c r="A80" t="s">
        <v>117</v>
      </c>
      <c r="B80" t="s">
        <v>150</v>
      </c>
      <c r="C80" t="s">
        <v>103</v>
      </c>
      <c r="D80" t="s">
        <v>0</v>
      </c>
      <c r="E80" t="s">
        <v>126</v>
      </c>
      <c r="F80" s="4">
        <v>3.6156820964864536</v>
      </c>
      <c r="G80" s="167">
        <v>0</v>
      </c>
      <c r="H80" s="152">
        <v>134100</v>
      </c>
      <c r="L80" s="151"/>
    </row>
    <row r="81" spans="1:12" x14ac:dyDescent="0.25">
      <c r="A81" t="s">
        <v>117</v>
      </c>
      <c r="B81" t="s">
        <v>150</v>
      </c>
      <c r="C81" t="s">
        <v>126</v>
      </c>
      <c r="D81" t="s">
        <v>0</v>
      </c>
      <c r="E81" t="s">
        <v>126</v>
      </c>
      <c r="F81" s="4">
        <v>1</v>
      </c>
      <c r="G81" s="167">
        <v>0</v>
      </c>
      <c r="H81" s="152">
        <v>274500</v>
      </c>
      <c r="L81" s="151"/>
    </row>
    <row r="82" spans="1:12" x14ac:dyDescent="0.25">
      <c r="A82" t="s">
        <v>117</v>
      </c>
      <c r="B82" t="s">
        <v>150</v>
      </c>
      <c r="C82" t="s">
        <v>127</v>
      </c>
      <c r="D82" t="s">
        <v>0</v>
      </c>
      <c r="E82" t="s">
        <v>104</v>
      </c>
      <c r="F82" s="4">
        <v>1.0868044059737907</v>
      </c>
      <c r="G82" s="167">
        <v>0</v>
      </c>
      <c r="H82" s="152">
        <v>126700</v>
      </c>
      <c r="L82" s="151"/>
    </row>
    <row r="83" spans="1:12" x14ac:dyDescent="0.25">
      <c r="A83" t="s">
        <v>117</v>
      </c>
      <c r="B83" t="s">
        <v>150</v>
      </c>
      <c r="C83" t="s">
        <v>104</v>
      </c>
      <c r="D83" t="s">
        <v>0</v>
      </c>
      <c r="E83" t="s">
        <v>104</v>
      </c>
      <c r="F83" s="4">
        <v>1</v>
      </c>
      <c r="G83" s="167">
        <v>0</v>
      </c>
      <c r="H83" s="152">
        <v>6809900</v>
      </c>
      <c r="L83" s="151"/>
    </row>
    <row r="84" spans="1:12" x14ac:dyDescent="0.25">
      <c r="A84" t="s">
        <v>117</v>
      </c>
      <c r="B84" t="s">
        <v>120</v>
      </c>
      <c r="C84" t="s">
        <v>106</v>
      </c>
      <c r="D84" t="s">
        <v>0</v>
      </c>
      <c r="E84" t="s">
        <v>106</v>
      </c>
      <c r="F84" s="4">
        <v>1</v>
      </c>
      <c r="G84" s="167">
        <v>0</v>
      </c>
      <c r="H84" s="152">
        <v>5269200</v>
      </c>
      <c r="L84" s="151"/>
    </row>
    <row r="85" spans="1:12" x14ac:dyDescent="0.25">
      <c r="A85" t="s">
        <v>117</v>
      </c>
      <c r="B85" t="s">
        <v>120</v>
      </c>
      <c r="C85" t="s">
        <v>108</v>
      </c>
      <c r="D85" t="s">
        <v>0</v>
      </c>
      <c r="E85" t="s">
        <v>106</v>
      </c>
      <c r="F85" s="4">
        <v>2.3239863552527336</v>
      </c>
      <c r="G85" s="167">
        <v>0</v>
      </c>
      <c r="H85" s="152">
        <v>5179300</v>
      </c>
      <c r="L85" s="151"/>
    </row>
    <row r="86" spans="1:12" x14ac:dyDescent="0.25">
      <c r="A86" t="s">
        <v>117</v>
      </c>
      <c r="B86" t="s">
        <v>120</v>
      </c>
      <c r="C86" t="s">
        <v>105</v>
      </c>
      <c r="D86" t="s">
        <v>0</v>
      </c>
      <c r="E86" t="s">
        <v>107</v>
      </c>
      <c r="F86" s="4">
        <v>3.2971569058891874</v>
      </c>
      <c r="G86" s="167">
        <v>0</v>
      </c>
      <c r="H86" s="152">
        <v>294900</v>
      </c>
      <c r="L86" s="151"/>
    </row>
    <row r="87" spans="1:12" x14ac:dyDescent="0.25">
      <c r="A87" t="s">
        <v>117</v>
      </c>
      <c r="B87" t="s">
        <v>120</v>
      </c>
      <c r="C87" t="s">
        <v>107</v>
      </c>
      <c r="D87" t="s">
        <v>0</v>
      </c>
      <c r="E87" t="s">
        <v>107</v>
      </c>
      <c r="F87" s="4">
        <v>1</v>
      </c>
      <c r="G87" s="167">
        <v>0</v>
      </c>
      <c r="H87" s="152">
        <v>3282100</v>
      </c>
      <c r="L87" s="151"/>
    </row>
    <row r="88" spans="1:12" x14ac:dyDescent="0.25">
      <c r="A88" t="s">
        <v>117</v>
      </c>
      <c r="B88" t="s">
        <v>118</v>
      </c>
      <c r="C88" t="s">
        <v>89</v>
      </c>
      <c r="D88" t="s">
        <v>0</v>
      </c>
      <c r="E88" t="s">
        <v>90</v>
      </c>
      <c r="F88" s="4">
        <v>4.2915416033745313</v>
      </c>
      <c r="G88" s="167">
        <v>0</v>
      </c>
      <c r="H88" s="152">
        <v>148700</v>
      </c>
      <c r="L88" s="151"/>
    </row>
    <row r="89" spans="1:12" x14ac:dyDescent="0.25">
      <c r="A89" t="s">
        <v>117</v>
      </c>
      <c r="B89" t="s">
        <v>118</v>
      </c>
      <c r="C89" t="s">
        <v>90</v>
      </c>
      <c r="D89" t="s">
        <v>0</v>
      </c>
      <c r="E89" t="s">
        <v>90</v>
      </c>
      <c r="F89" s="4">
        <v>1</v>
      </c>
      <c r="G89" s="167">
        <v>0</v>
      </c>
      <c r="H89" s="152">
        <v>155500</v>
      </c>
      <c r="L89" s="151"/>
    </row>
    <row r="90" spans="1:12" x14ac:dyDescent="0.25">
      <c r="A90" t="s">
        <v>117</v>
      </c>
      <c r="B90" t="s">
        <v>118</v>
      </c>
      <c r="C90" t="s">
        <v>128</v>
      </c>
      <c r="D90" t="s">
        <v>0</v>
      </c>
      <c r="E90" t="s">
        <v>91</v>
      </c>
      <c r="F90" s="4">
        <v>1.1364038287273412</v>
      </c>
      <c r="G90" s="167">
        <v>0</v>
      </c>
      <c r="H90" s="152">
        <v>231900</v>
      </c>
    </row>
    <row r="91" spans="1:12" x14ac:dyDescent="0.25">
      <c r="A91" t="s">
        <v>117</v>
      </c>
      <c r="B91" t="s">
        <v>118</v>
      </c>
      <c r="C91" t="s">
        <v>91</v>
      </c>
      <c r="D91" t="s">
        <v>0</v>
      </c>
      <c r="E91" t="s">
        <v>91</v>
      </c>
      <c r="F91" s="4">
        <v>1</v>
      </c>
      <c r="G91" s="167">
        <v>0</v>
      </c>
      <c r="H91" s="152">
        <v>10391400</v>
      </c>
    </row>
    <row r="92" spans="1:12" x14ac:dyDescent="0.25">
      <c r="A92" t="s">
        <v>117</v>
      </c>
      <c r="B92" t="s">
        <v>146</v>
      </c>
      <c r="C92" t="s">
        <v>109</v>
      </c>
      <c r="D92" t="s">
        <v>0</v>
      </c>
      <c r="E92" t="s">
        <v>109</v>
      </c>
      <c r="F92" s="4">
        <v>1</v>
      </c>
      <c r="G92" s="167">
        <v>0</v>
      </c>
      <c r="H92" s="152">
        <v>259600</v>
      </c>
    </row>
    <row r="93" spans="1:12" x14ac:dyDescent="0.25">
      <c r="A93" t="s">
        <v>117</v>
      </c>
      <c r="B93" t="s">
        <v>146</v>
      </c>
      <c r="C93" t="s">
        <v>111</v>
      </c>
      <c r="D93" t="s">
        <v>0</v>
      </c>
      <c r="E93" t="s">
        <v>109</v>
      </c>
      <c r="F93" s="4">
        <v>2.3868797535163391</v>
      </c>
      <c r="G93" s="167">
        <v>0</v>
      </c>
      <c r="H93" s="152">
        <v>9901900</v>
      </c>
    </row>
    <row r="94" spans="1:12" x14ac:dyDescent="0.25">
      <c r="A94" t="s">
        <v>117</v>
      </c>
      <c r="B94" t="s">
        <v>146</v>
      </c>
      <c r="C94" t="s">
        <v>110</v>
      </c>
      <c r="D94" t="s">
        <v>0</v>
      </c>
      <c r="E94" t="s">
        <v>110</v>
      </c>
      <c r="F94" s="4">
        <v>1</v>
      </c>
      <c r="G94" s="167">
        <v>0</v>
      </c>
      <c r="H94" s="152">
        <v>525500</v>
      </c>
    </row>
    <row r="95" spans="1:12" x14ac:dyDescent="0.25">
      <c r="A95" t="s">
        <v>117</v>
      </c>
      <c r="B95" t="s">
        <v>146</v>
      </c>
      <c r="C95" t="s">
        <v>112</v>
      </c>
      <c r="D95" t="s">
        <v>0</v>
      </c>
      <c r="E95" t="s">
        <v>110</v>
      </c>
      <c r="F95" s="4">
        <v>1.3543725595392817</v>
      </c>
      <c r="G95" s="167">
        <v>0</v>
      </c>
      <c r="H95" s="152">
        <v>7694500</v>
      </c>
    </row>
    <row r="96" spans="1:12" x14ac:dyDescent="0.25">
      <c r="A96" t="s">
        <v>117</v>
      </c>
      <c r="B96" t="s">
        <v>119</v>
      </c>
      <c r="C96" t="s">
        <v>114</v>
      </c>
      <c r="D96" t="s">
        <v>0</v>
      </c>
      <c r="E96" t="s">
        <v>114</v>
      </c>
      <c r="F96" s="4">
        <v>1</v>
      </c>
      <c r="G96" s="167">
        <v>0</v>
      </c>
      <c r="H96" s="152">
        <v>160700</v>
      </c>
    </row>
    <row r="97" spans="1:8" x14ac:dyDescent="0.25">
      <c r="A97" t="s">
        <v>117</v>
      </c>
      <c r="B97" t="s">
        <v>119</v>
      </c>
      <c r="C97" t="s">
        <v>116</v>
      </c>
      <c r="D97" t="s">
        <v>0</v>
      </c>
      <c r="E97" t="s">
        <v>114</v>
      </c>
      <c r="F97" s="4">
        <v>2.5504587868090085</v>
      </c>
      <c r="G97" s="167">
        <v>0</v>
      </c>
      <c r="H97" s="152">
        <v>20647800</v>
      </c>
    </row>
    <row r="98" spans="1:8" x14ac:dyDescent="0.25">
      <c r="A98" t="s">
        <v>117</v>
      </c>
      <c r="B98" t="s">
        <v>119</v>
      </c>
      <c r="C98" t="s">
        <v>113</v>
      </c>
      <c r="D98" t="s">
        <v>0</v>
      </c>
      <c r="E98" t="s">
        <v>115</v>
      </c>
      <c r="F98" s="4">
        <v>3.3501781063964833</v>
      </c>
      <c r="G98" s="167">
        <v>0</v>
      </c>
      <c r="H98" s="152">
        <v>420000</v>
      </c>
    </row>
    <row r="99" spans="1:8" x14ac:dyDescent="0.25">
      <c r="A99" t="s">
        <v>117</v>
      </c>
      <c r="B99" t="s">
        <v>119</v>
      </c>
      <c r="C99" t="s">
        <v>115</v>
      </c>
      <c r="D99" t="s">
        <v>0</v>
      </c>
      <c r="E99" t="s">
        <v>115</v>
      </c>
      <c r="F99" s="4">
        <v>1</v>
      </c>
      <c r="G99" s="167">
        <v>0</v>
      </c>
      <c r="H99" s="152">
        <v>298900</v>
      </c>
    </row>
    <row r="100" spans="1:8" x14ac:dyDescent="0.25">
      <c r="A100" t="s">
        <v>220</v>
      </c>
      <c r="B100" t="s">
        <v>214</v>
      </c>
      <c r="C100" t="s">
        <v>184</v>
      </c>
      <c r="D100" t="s">
        <v>0</v>
      </c>
      <c r="E100" t="s">
        <v>184</v>
      </c>
      <c r="F100" s="4">
        <v>1</v>
      </c>
      <c r="G100" s="167">
        <v>0</v>
      </c>
      <c r="H100" s="152">
        <v>22890000</v>
      </c>
    </row>
    <row r="101" spans="1:8" x14ac:dyDescent="0.25">
      <c r="A101" t="s">
        <v>220</v>
      </c>
      <c r="B101" t="s">
        <v>214</v>
      </c>
      <c r="C101" t="s">
        <v>185</v>
      </c>
      <c r="D101" t="s">
        <v>0</v>
      </c>
      <c r="E101" t="s">
        <v>184</v>
      </c>
      <c r="F101" s="4">
        <v>1.0795331505050998</v>
      </c>
      <c r="G101" s="167">
        <v>0</v>
      </c>
      <c r="H101" s="152">
        <v>21529200</v>
      </c>
    </row>
    <row r="102" spans="1:8" x14ac:dyDescent="0.25">
      <c r="A102" t="s">
        <v>220</v>
      </c>
      <c r="B102" t="s">
        <v>216</v>
      </c>
      <c r="C102" t="s">
        <v>189</v>
      </c>
      <c r="D102" t="s">
        <v>0</v>
      </c>
      <c r="E102" t="s">
        <v>192</v>
      </c>
      <c r="F102" s="4">
        <v>1.1222172537786732</v>
      </c>
      <c r="G102" s="167">
        <v>0.56542500000000007</v>
      </c>
      <c r="H102" s="152">
        <v>696500</v>
      </c>
    </row>
    <row r="103" spans="1:8" x14ac:dyDescent="0.25">
      <c r="A103" t="s">
        <v>220</v>
      </c>
      <c r="B103" t="s">
        <v>216</v>
      </c>
      <c r="C103" t="s">
        <v>192</v>
      </c>
      <c r="D103" t="s">
        <v>0</v>
      </c>
      <c r="E103" t="s">
        <v>192</v>
      </c>
      <c r="F103" s="4">
        <v>1</v>
      </c>
      <c r="G103" s="167">
        <v>0.30292600000000003</v>
      </c>
      <c r="H103" s="152">
        <v>601200</v>
      </c>
    </row>
    <row r="104" spans="1:8" x14ac:dyDescent="0.25">
      <c r="A104" t="s">
        <v>220</v>
      </c>
      <c r="B104" t="s">
        <v>217</v>
      </c>
      <c r="C104" t="s">
        <v>194</v>
      </c>
      <c r="D104" t="s">
        <v>0</v>
      </c>
      <c r="E104" t="s">
        <v>195</v>
      </c>
      <c r="F104" s="4">
        <v>1.3972495770763729</v>
      </c>
      <c r="G104" s="167">
        <v>0</v>
      </c>
      <c r="H104" s="152">
        <v>1481500</v>
      </c>
    </row>
    <row r="105" spans="1:8" x14ac:dyDescent="0.25">
      <c r="A105" t="s">
        <v>220</v>
      </c>
      <c r="B105" t="s">
        <v>217</v>
      </c>
      <c r="C105" t="s">
        <v>195</v>
      </c>
      <c r="D105" t="s">
        <v>0</v>
      </c>
      <c r="E105" t="s">
        <v>195</v>
      </c>
      <c r="F105" s="4">
        <v>1</v>
      </c>
      <c r="G105" s="167">
        <v>0</v>
      </c>
      <c r="H105" s="152">
        <v>1722700</v>
      </c>
    </row>
    <row r="106" spans="1:8" x14ac:dyDescent="0.25">
      <c r="A106" t="s">
        <v>220</v>
      </c>
      <c r="B106" t="s">
        <v>215</v>
      </c>
      <c r="C106" t="s">
        <v>186</v>
      </c>
      <c r="D106" t="s">
        <v>0</v>
      </c>
      <c r="E106" t="s">
        <v>187</v>
      </c>
      <c r="F106" s="4">
        <v>1.3069823843894885</v>
      </c>
      <c r="G106" s="167">
        <v>0.13809399999999999</v>
      </c>
      <c r="H106" s="152">
        <v>8506600</v>
      </c>
    </row>
    <row r="107" spans="1:8" x14ac:dyDescent="0.25">
      <c r="A107" t="s">
        <v>220</v>
      </c>
      <c r="B107" t="s">
        <v>215</v>
      </c>
      <c r="C107" t="s">
        <v>187</v>
      </c>
      <c r="D107" t="s">
        <v>0</v>
      </c>
      <c r="E107" t="s">
        <v>187</v>
      </c>
      <c r="F107" s="4">
        <v>1</v>
      </c>
      <c r="G107" s="167">
        <v>0.15678600000000001</v>
      </c>
      <c r="H107" s="152">
        <v>1562600</v>
      </c>
    </row>
    <row r="108" spans="1:8" x14ac:dyDescent="0.25">
      <c r="A108" t="s">
        <v>220</v>
      </c>
      <c r="B108" t="s">
        <v>120</v>
      </c>
      <c r="C108" t="s">
        <v>54</v>
      </c>
      <c r="D108" t="s">
        <v>0</v>
      </c>
      <c r="E108" t="s">
        <v>55</v>
      </c>
      <c r="F108" s="4">
        <v>2.784925031314228</v>
      </c>
      <c r="G108" s="167">
        <v>0</v>
      </c>
      <c r="H108" s="152">
        <v>6406800</v>
      </c>
    </row>
    <row r="109" spans="1:8" x14ac:dyDescent="0.25">
      <c r="A109" t="s">
        <v>220</v>
      </c>
      <c r="B109" t="s">
        <v>120</v>
      </c>
      <c r="C109" t="s">
        <v>55</v>
      </c>
      <c r="D109" t="s">
        <v>0</v>
      </c>
      <c r="E109" t="s">
        <v>55</v>
      </c>
      <c r="F109" s="4">
        <v>1</v>
      </c>
      <c r="G109" s="167">
        <v>0</v>
      </c>
      <c r="H109" s="152">
        <v>561200</v>
      </c>
    </row>
  </sheetData>
  <sortState xmlns:xlrd2="http://schemas.microsoft.com/office/spreadsheetml/2017/richdata2" ref="A2:H107">
    <sortCondition ref="F2:F107"/>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1F6C1-E4F3-4B42-9841-0C92920A773A}">
  <sheetPr codeName="Sheet3"/>
  <dimension ref="A1:O109"/>
  <sheetViews>
    <sheetView zoomScale="85" zoomScaleNormal="85" workbookViewId="0">
      <pane ySplit="1" topLeftCell="A71" activePane="bottomLeft" state="frozen"/>
      <selection pane="bottomLeft" activeCell="M92" sqref="M92"/>
    </sheetView>
  </sheetViews>
  <sheetFormatPr defaultRowHeight="15" x14ac:dyDescent="0.25"/>
  <cols>
    <col min="1" max="1" width="13.140625" bestFit="1" customWidth="1"/>
    <col min="2" max="2" width="11.42578125" bestFit="1" customWidth="1"/>
    <col min="3" max="3" width="12" bestFit="1" customWidth="1"/>
    <col min="4" max="4" width="15" style="6" bestFit="1" customWidth="1"/>
    <col min="5" max="5" width="16" style="2" bestFit="1" customWidth="1"/>
    <col min="6" max="6" width="16.28515625" style="2" bestFit="1" customWidth="1"/>
    <col min="7" max="7" width="15.28515625" style="6" bestFit="1" customWidth="1"/>
    <col min="8" max="8" width="19" style="2" bestFit="1" customWidth="1"/>
    <col min="9" max="9" width="10.28515625" style="6" bestFit="1" customWidth="1"/>
    <col min="10" max="10" width="19.7109375" style="6" bestFit="1" customWidth="1"/>
    <col min="11" max="11" width="11.42578125" bestFit="1" customWidth="1"/>
  </cols>
  <sheetData>
    <row r="1" spans="1:15" s="3" customFormat="1" x14ac:dyDescent="0.25">
      <c r="A1" s="5" t="s">
        <v>36</v>
      </c>
      <c r="B1" s="5" t="s">
        <v>2</v>
      </c>
      <c r="C1" s="5" t="s">
        <v>1</v>
      </c>
      <c r="D1" s="141" t="s">
        <v>37</v>
      </c>
      <c r="E1" s="141" t="s">
        <v>221</v>
      </c>
      <c r="F1" s="141" t="s">
        <v>222</v>
      </c>
      <c r="G1" s="179" t="s">
        <v>38</v>
      </c>
      <c r="H1" s="141" t="s">
        <v>39</v>
      </c>
      <c r="I1" s="141" t="s">
        <v>58</v>
      </c>
      <c r="J1" s="3" t="s">
        <v>40</v>
      </c>
      <c r="L1" s="5"/>
      <c r="N1" s="73"/>
      <c r="O1" s="166"/>
    </row>
    <row r="2" spans="1:15" x14ac:dyDescent="0.25">
      <c r="A2" t="s">
        <v>41</v>
      </c>
      <c r="B2" t="s">
        <v>8</v>
      </c>
      <c r="C2" t="s">
        <v>0</v>
      </c>
      <c r="D2" s="6">
        <v>100</v>
      </c>
      <c r="E2" s="2">
        <v>93.98</v>
      </c>
      <c r="F2" s="2">
        <v>94.61</v>
      </c>
      <c r="G2" s="6">
        <v>500</v>
      </c>
      <c r="H2" s="2">
        <v>94.650002000000001</v>
      </c>
      <c r="I2" s="6">
        <v>0</v>
      </c>
      <c r="J2" s="6" t="s">
        <v>356</v>
      </c>
    </row>
    <row r="3" spans="1:15" x14ac:dyDescent="0.25">
      <c r="A3" t="s">
        <v>41</v>
      </c>
      <c r="B3" t="s">
        <v>7</v>
      </c>
      <c r="C3" t="s">
        <v>0</v>
      </c>
      <c r="D3" s="6">
        <v>700</v>
      </c>
      <c r="E3" s="2">
        <v>70.180000000000007</v>
      </c>
      <c r="F3" s="2">
        <v>70.260000000000005</v>
      </c>
      <c r="G3" s="6">
        <v>700</v>
      </c>
      <c r="H3" s="2">
        <v>70.279999000000004</v>
      </c>
      <c r="I3" s="6">
        <v>0</v>
      </c>
      <c r="J3" s="6" t="s">
        <v>356</v>
      </c>
    </row>
    <row r="4" spans="1:15" x14ac:dyDescent="0.25">
      <c r="A4" t="s">
        <v>41</v>
      </c>
      <c r="B4" t="s">
        <v>5</v>
      </c>
      <c r="C4" t="s">
        <v>0</v>
      </c>
      <c r="D4" s="6">
        <v>400</v>
      </c>
      <c r="E4" s="2">
        <v>22</v>
      </c>
      <c r="F4" s="2">
        <v>22.47</v>
      </c>
      <c r="G4" s="6">
        <v>600</v>
      </c>
      <c r="H4" s="2">
        <v>22.129999000000002</v>
      </c>
      <c r="I4" s="6">
        <v>0</v>
      </c>
      <c r="J4" s="6" t="s">
        <v>356</v>
      </c>
    </row>
    <row r="5" spans="1:15" x14ac:dyDescent="0.25">
      <c r="A5" t="s">
        <v>41</v>
      </c>
      <c r="B5" t="s">
        <v>6</v>
      </c>
      <c r="C5" t="s">
        <v>0</v>
      </c>
      <c r="D5" s="6">
        <v>300</v>
      </c>
      <c r="E5" s="2">
        <v>23.24</v>
      </c>
      <c r="F5" s="2">
        <v>24.81</v>
      </c>
      <c r="G5" s="6">
        <v>200</v>
      </c>
      <c r="H5" s="2">
        <v>24.4</v>
      </c>
      <c r="I5" s="6">
        <v>0</v>
      </c>
      <c r="J5" s="6" t="s">
        <v>356</v>
      </c>
    </row>
    <row r="6" spans="1:15" x14ac:dyDescent="0.25">
      <c r="A6" t="s">
        <v>41</v>
      </c>
      <c r="B6" t="s">
        <v>45</v>
      </c>
      <c r="C6" t="s">
        <v>0</v>
      </c>
      <c r="D6" s="6">
        <v>100</v>
      </c>
      <c r="E6" s="2">
        <v>53.6</v>
      </c>
      <c r="F6" s="2">
        <v>53.94</v>
      </c>
      <c r="G6" s="6">
        <v>200</v>
      </c>
      <c r="H6" s="2">
        <v>53.919998</v>
      </c>
      <c r="I6" s="6">
        <v>0</v>
      </c>
      <c r="J6" s="6" t="s">
        <v>356</v>
      </c>
    </row>
    <row r="7" spans="1:15" x14ac:dyDescent="0.25">
      <c r="A7" t="s">
        <v>41</v>
      </c>
      <c r="B7" t="s">
        <v>56</v>
      </c>
      <c r="C7" t="s">
        <v>0</v>
      </c>
      <c r="D7" s="6">
        <v>200</v>
      </c>
      <c r="E7" s="2">
        <v>92.68</v>
      </c>
      <c r="F7" s="2">
        <v>97.5</v>
      </c>
      <c r="G7" s="6">
        <v>2000</v>
      </c>
      <c r="H7" s="2">
        <v>93.900002000000001</v>
      </c>
      <c r="I7" s="6">
        <v>0</v>
      </c>
      <c r="J7" s="6" t="s">
        <v>356</v>
      </c>
    </row>
    <row r="8" spans="1:15" x14ac:dyDescent="0.25">
      <c r="A8" t="s">
        <v>41</v>
      </c>
      <c r="B8" t="s">
        <v>46</v>
      </c>
      <c r="C8" t="s">
        <v>0</v>
      </c>
      <c r="D8" s="6">
        <v>100</v>
      </c>
      <c r="E8" s="2">
        <v>95.96</v>
      </c>
      <c r="F8" s="2">
        <v>107</v>
      </c>
      <c r="G8" s="6">
        <v>100</v>
      </c>
      <c r="H8" s="2">
        <v>101.129997</v>
      </c>
      <c r="I8" s="6">
        <v>0</v>
      </c>
      <c r="J8" s="6" t="s">
        <v>356</v>
      </c>
    </row>
    <row r="9" spans="1:15" x14ac:dyDescent="0.25">
      <c r="A9" t="s">
        <v>41</v>
      </c>
      <c r="B9" t="s">
        <v>50</v>
      </c>
      <c r="C9" t="s">
        <v>0</v>
      </c>
      <c r="D9" s="6">
        <v>300</v>
      </c>
      <c r="E9" s="2">
        <v>113.13</v>
      </c>
      <c r="F9" s="2">
        <v>114.5</v>
      </c>
      <c r="G9" s="6">
        <v>100</v>
      </c>
      <c r="H9" s="2">
        <v>112.94000200000001</v>
      </c>
      <c r="I9" s="6">
        <v>0</v>
      </c>
      <c r="J9" s="6" t="s">
        <v>356</v>
      </c>
    </row>
    <row r="10" spans="1:15" x14ac:dyDescent="0.25">
      <c r="A10" t="s">
        <v>41</v>
      </c>
      <c r="B10" t="s">
        <v>31</v>
      </c>
      <c r="C10" t="s">
        <v>0</v>
      </c>
      <c r="D10" s="6">
        <v>1000</v>
      </c>
      <c r="E10" s="2">
        <v>89.94</v>
      </c>
      <c r="F10" s="2">
        <v>97.06</v>
      </c>
      <c r="G10" s="6">
        <v>100</v>
      </c>
      <c r="H10" s="2">
        <v>92.080001999999993</v>
      </c>
      <c r="I10" s="6">
        <v>0</v>
      </c>
      <c r="J10" s="6" t="s">
        <v>356</v>
      </c>
    </row>
    <row r="11" spans="1:15" x14ac:dyDescent="0.25">
      <c r="A11" t="s">
        <v>41</v>
      </c>
      <c r="B11" t="s">
        <v>28</v>
      </c>
      <c r="C11" t="s">
        <v>0</v>
      </c>
      <c r="D11" s="6">
        <v>200</v>
      </c>
      <c r="E11" s="2">
        <v>26.27</v>
      </c>
      <c r="F11" s="2">
        <v>27.56</v>
      </c>
      <c r="G11" s="6">
        <v>500</v>
      </c>
      <c r="H11" s="2">
        <v>27.58</v>
      </c>
      <c r="I11" s="6">
        <v>0</v>
      </c>
      <c r="J11" s="6" t="s">
        <v>356</v>
      </c>
    </row>
    <row r="12" spans="1:15" x14ac:dyDescent="0.25">
      <c r="A12" t="s">
        <v>41</v>
      </c>
      <c r="B12" t="s">
        <v>29</v>
      </c>
      <c r="C12" t="s">
        <v>0</v>
      </c>
      <c r="D12" s="6">
        <v>100</v>
      </c>
      <c r="E12" s="2">
        <v>46.5</v>
      </c>
      <c r="F12" s="2">
        <v>51.24</v>
      </c>
      <c r="G12" s="6">
        <v>100</v>
      </c>
      <c r="H12" s="2">
        <v>48.82</v>
      </c>
      <c r="I12" s="6">
        <v>0</v>
      </c>
      <c r="J12" s="6" t="s">
        <v>356</v>
      </c>
    </row>
    <row r="13" spans="1:15" x14ac:dyDescent="0.25">
      <c r="A13" t="s">
        <v>41</v>
      </c>
      <c r="B13" t="s">
        <v>30</v>
      </c>
      <c r="C13" t="s">
        <v>0</v>
      </c>
      <c r="D13" s="6">
        <v>100</v>
      </c>
      <c r="E13" s="2">
        <v>70.64</v>
      </c>
      <c r="F13" s="2">
        <v>72.989999999999995</v>
      </c>
      <c r="G13" s="6">
        <v>400</v>
      </c>
      <c r="H13" s="2">
        <v>72.915001000000004</v>
      </c>
      <c r="I13" s="6">
        <v>0</v>
      </c>
      <c r="J13" s="6" t="s">
        <v>356</v>
      </c>
    </row>
    <row r="14" spans="1:15" x14ac:dyDescent="0.25">
      <c r="A14" t="s">
        <v>41</v>
      </c>
      <c r="B14" t="s">
        <v>47</v>
      </c>
      <c r="C14" t="s">
        <v>0</v>
      </c>
      <c r="D14" s="6">
        <v>100</v>
      </c>
      <c r="E14" s="2">
        <v>90.86</v>
      </c>
      <c r="F14" s="2">
        <v>92.06</v>
      </c>
      <c r="G14" s="6">
        <v>600</v>
      </c>
      <c r="H14" s="2">
        <v>91.339995999999999</v>
      </c>
      <c r="I14" s="6">
        <v>0</v>
      </c>
      <c r="J14" s="6" t="s">
        <v>356</v>
      </c>
    </row>
    <row r="15" spans="1:15" x14ac:dyDescent="0.25">
      <c r="A15" t="s">
        <v>41</v>
      </c>
      <c r="B15" t="s">
        <v>57</v>
      </c>
      <c r="C15" t="s">
        <v>0</v>
      </c>
      <c r="D15" s="6">
        <v>200</v>
      </c>
      <c r="E15" s="2">
        <v>63.22</v>
      </c>
      <c r="F15" s="2">
        <v>64.06</v>
      </c>
      <c r="G15" s="6">
        <v>200</v>
      </c>
      <c r="H15" s="2">
        <v>63.509998000000003</v>
      </c>
      <c r="I15" s="6">
        <v>0</v>
      </c>
      <c r="J15" s="6" t="s">
        <v>356</v>
      </c>
    </row>
    <row r="16" spans="1:15" x14ac:dyDescent="0.25">
      <c r="A16" t="s">
        <v>41</v>
      </c>
      <c r="B16" t="s">
        <v>42</v>
      </c>
      <c r="C16" t="s">
        <v>0</v>
      </c>
      <c r="D16" s="6">
        <v>200</v>
      </c>
      <c r="E16" s="2">
        <v>27.69</v>
      </c>
      <c r="F16" s="2">
        <v>28.7</v>
      </c>
      <c r="G16" s="6">
        <v>100</v>
      </c>
      <c r="H16" s="2">
        <v>28.01</v>
      </c>
      <c r="I16" s="6">
        <v>0</v>
      </c>
      <c r="J16" s="6" t="s">
        <v>356</v>
      </c>
    </row>
    <row r="17" spans="1:10" x14ac:dyDescent="0.25">
      <c r="A17" t="s">
        <v>41</v>
      </c>
      <c r="B17" t="s">
        <v>48</v>
      </c>
      <c r="C17" t="s">
        <v>0</v>
      </c>
      <c r="D17" s="6">
        <v>300</v>
      </c>
      <c r="E17" s="2">
        <v>24.83</v>
      </c>
      <c r="F17" s="2">
        <v>26.1</v>
      </c>
      <c r="G17" s="6">
        <v>2000</v>
      </c>
      <c r="H17" s="2">
        <v>26.075001</v>
      </c>
      <c r="I17" s="6">
        <v>0</v>
      </c>
      <c r="J17" s="6" t="s">
        <v>356</v>
      </c>
    </row>
    <row r="18" spans="1:10" x14ac:dyDescent="0.25">
      <c r="A18" t="s">
        <v>41</v>
      </c>
      <c r="B18" t="s">
        <v>16</v>
      </c>
      <c r="C18" t="s">
        <v>0</v>
      </c>
      <c r="D18" s="6">
        <v>900</v>
      </c>
      <c r="E18" s="2">
        <v>77.400000000000006</v>
      </c>
      <c r="F18" s="2">
        <v>77.41</v>
      </c>
      <c r="G18" s="6">
        <v>4000</v>
      </c>
      <c r="H18" s="2">
        <v>77.540001000000004</v>
      </c>
      <c r="I18" s="6">
        <v>0</v>
      </c>
      <c r="J18" s="6" t="s">
        <v>356</v>
      </c>
    </row>
    <row r="19" spans="1:10" x14ac:dyDescent="0.25">
      <c r="A19" t="s">
        <v>41</v>
      </c>
      <c r="B19" t="s">
        <v>14</v>
      </c>
      <c r="C19" t="s">
        <v>0</v>
      </c>
      <c r="D19" s="6">
        <v>100</v>
      </c>
      <c r="E19" s="2">
        <v>34.299999999999997</v>
      </c>
      <c r="F19" s="2">
        <v>35.72</v>
      </c>
      <c r="G19" s="6">
        <v>2500</v>
      </c>
      <c r="H19" s="2">
        <v>35.369999</v>
      </c>
      <c r="I19" s="6">
        <v>0</v>
      </c>
      <c r="J19" s="6" t="s">
        <v>356</v>
      </c>
    </row>
    <row r="20" spans="1:10" x14ac:dyDescent="0.25">
      <c r="A20" t="s">
        <v>41</v>
      </c>
      <c r="B20" t="s">
        <v>17</v>
      </c>
      <c r="C20" t="s">
        <v>0</v>
      </c>
      <c r="D20" s="6">
        <v>400</v>
      </c>
      <c r="E20" s="2">
        <v>92.9</v>
      </c>
      <c r="F20" s="2">
        <v>93.59</v>
      </c>
      <c r="G20" s="6">
        <v>300</v>
      </c>
      <c r="H20" s="2">
        <v>93.160004000000001</v>
      </c>
      <c r="I20" s="6">
        <v>0</v>
      </c>
      <c r="J20" s="6" t="s">
        <v>356</v>
      </c>
    </row>
    <row r="21" spans="1:10" x14ac:dyDescent="0.25">
      <c r="A21" t="s">
        <v>41</v>
      </c>
      <c r="B21" t="s">
        <v>13</v>
      </c>
      <c r="C21" t="s">
        <v>0</v>
      </c>
      <c r="D21" s="6">
        <v>400</v>
      </c>
      <c r="E21" s="2">
        <v>25.2</v>
      </c>
      <c r="F21" s="2">
        <v>25.69</v>
      </c>
      <c r="G21" s="6">
        <v>200</v>
      </c>
      <c r="H21" s="2">
        <v>25.309999000000001</v>
      </c>
      <c r="I21" s="6">
        <v>0</v>
      </c>
      <c r="J21" s="6" t="s">
        <v>356</v>
      </c>
    </row>
    <row r="22" spans="1:10" x14ac:dyDescent="0.25">
      <c r="A22" t="s">
        <v>41</v>
      </c>
      <c r="B22" t="s">
        <v>12</v>
      </c>
      <c r="C22" t="s">
        <v>0</v>
      </c>
      <c r="D22" s="6">
        <v>64600</v>
      </c>
      <c r="E22" s="2">
        <v>22.55</v>
      </c>
      <c r="F22" s="2">
        <v>22.75</v>
      </c>
      <c r="G22" s="6">
        <v>66600</v>
      </c>
      <c r="H22" s="2">
        <v>22.690000999999999</v>
      </c>
      <c r="I22" s="6">
        <v>0</v>
      </c>
      <c r="J22" s="6" t="s">
        <v>356</v>
      </c>
    </row>
    <row r="23" spans="1:10" x14ac:dyDescent="0.25">
      <c r="A23" t="s">
        <v>41</v>
      </c>
      <c r="B23" t="s">
        <v>15</v>
      </c>
      <c r="C23" t="s">
        <v>0</v>
      </c>
      <c r="D23" s="6">
        <v>4700</v>
      </c>
      <c r="E23" s="2">
        <v>35.75</v>
      </c>
      <c r="F23" s="2">
        <v>35.82</v>
      </c>
      <c r="G23" s="6">
        <v>5300</v>
      </c>
      <c r="H23" s="2">
        <v>35.860000999999997</v>
      </c>
      <c r="I23" s="6">
        <v>0</v>
      </c>
      <c r="J23" s="6" t="s">
        <v>356</v>
      </c>
    </row>
    <row r="24" spans="1:10" x14ac:dyDescent="0.25">
      <c r="A24" t="s">
        <v>41</v>
      </c>
      <c r="B24" t="s">
        <v>43</v>
      </c>
      <c r="C24" t="s">
        <v>0</v>
      </c>
      <c r="D24" s="6">
        <v>2300</v>
      </c>
      <c r="E24" s="2">
        <v>46.7</v>
      </c>
      <c r="F24" s="2">
        <v>47.19</v>
      </c>
      <c r="G24" s="6">
        <v>100</v>
      </c>
      <c r="H24" s="2">
        <v>46.84</v>
      </c>
      <c r="I24" s="6">
        <v>0</v>
      </c>
      <c r="J24" s="6" t="s">
        <v>356</v>
      </c>
    </row>
    <row r="25" spans="1:10" x14ac:dyDescent="0.25">
      <c r="A25" t="s">
        <v>41</v>
      </c>
      <c r="B25" t="s">
        <v>49</v>
      </c>
      <c r="C25" t="s">
        <v>0</v>
      </c>
      <c r="D25" s="6">
        <v>200</v>
      </c>
      <c r="E25" s="2">
        <v>49.17</v>
      </c>
      <c r="F25" s="2">
        <v>50.06</v>
      </c>
      <c r="G25" s="6">
        <v>100</v>
      </c>
      <c r="H25" s="2">
        <v>49.23</v>
      </c>
      <c r="I25" s="6">
        <v>0</v>
      </c>
      <c r="J25" s="6" t="s">
        <v>356</v>
      </c>
    </row>
    <row r="26" spans="1:10" x14ac:dyDescent="0.25">
      <c r="A26" t="s">
        <v>41</v>
      </c>
      <c r="B26" t="s">
        <v>44</v>
      </c>
      <c r="C26" t="s">
        <v>0</v>
      </c>
      <c r="D26" s="6">
        <v>100</v>
      </c>
      <c r="E26" s="2">
        <v>20.8</v>
      </c>
      <c r="F26" s="2">
        <v>22</v>
      </c>
      <c r="G26" s="6">
        <v>200</v>
      </c>
      <c r="H26" s="2">
        <v>21.23</v>
      </c>
      <c r="I26" s="6">
        <v>-3715</v>
      </c>
      <c r="J26" s="6" t="s">
        <v>356</v>
      </c>
    </row>
    <row r="27" spans="1:10" x14ac:dyDescent="0.25">
      <c r="A27" t="s">
        <v>41</v>
      </c>
      <c r="B27" t="s">
        <v>51</v>
      </c>
      <c r="C27" t="s">
        <v>0</v>
      </c>
      <c r="D27" s="6">
        <v>1200</v>
      </c>
      <c r="E27" s="2">
        <v>39.79</v>
      </c>
      <c r="F27" s="2">
        <v>41.85</v>
      </c>
      <c r="G27" s="6">
        <v>100</v>
      </c>
      <c r="H27" s="2">
        <v>39.880001</v>
      </c>
      <c r="I27" s="6">
        <v>2000</v>
      </c>
      <c r="J27" s="6" t="s">
        <v>356</v>
      </c>
    </row>
    <row r="28" spans="1:10" x14ac:dyDescent="0.25">
      <c r="A28" t="s">
        <v>41</v>
      </c>
      <c r="B28" t="s">
        <v>23</v>
      </c>
      <c r="C28" t="s">
        <v>0</v>
      </c>
      <c r="D28" s="6">
        <v>200</v>
      </c>
      <c r="E28" s="2">
        <v>43.8</v>
      </c>
      <c r="F28" s="2">
        <v>48.26</v>
      </c>
      <c r="G28" s="6">
        <v>100</v>
      </c>
      <c r="H28" s="2">
        <v>45.98</v>
      </c>
      <c r="I28" s="6">
        <v>0</v>
      </c>
      <c r="J28" s="6" t="s">
        <v>356</v>
      </c>
    </row>
    <row r="29" spans="1:10" x14ac:dyDescent="0.25">
      <c r="A29" t="s">
        <v>41</v>
      </c>
      <c r="B29" t="s">
        <v>22</v>
      </c>
      <c r="C29" t="s">
        <v>0</v>
      </c>
      <c r="D29" s="6">
        <v>300</v>
      </c>
      <c r="E29" s="2">
        <v>19.55</v>
      </c>
      <c r="F29" s="2">
        <v>21.54</v>
      </c>
      <c r="G29" s="6">
        <v>300</v>
      </c>
      <c r="H29" s="2">
        <v>20.52</v>
      </c>
      <c r="I29" s="6">
        <v>0</v>
      </c>
      <c r="J29" s="6" t="s">
        <v>356</v>
      </c>
    </row>
    <row r="30" spans="1:10" x14ac:dyDescent="0.25">
      <c r="A30" t="s">
        <v>41</v>
      </c>
      <c r="B30" t="s">
        <v>24</v>
      </c>
      <c r="C30" t="s">
        <v>0</v>
      </c>
      <c r="D30" s="6">
        <v>100</v>
      </c>
      <c r="E30" s="2">
        <v>68</v>
      </c>
      <c r="F30" s="2">
        <v>70.25</v>
      </c>
      <c r="G30" s="6">
        <v>1200</v>
      </c>
      <c r="H30" s="2">
        <v>68.970000999999996</v>
      </c>
      <c r="I30" s="6">
        <v>0</v>
      </c>
      <c r="J30" s="6" t="s">
        <v>356</v>
      </c>
    </row>
    <row r="31" spans="1:10" x14ac:dyDescent="0.25">
      <c r="A31" t="s">
        <v>41</v>
      </c>
      <c r="B31" t="s">
        <v>26</v>
      </c>
      <c r="C31" t="s">
        <v>0</v>
      </c>
      <c r="D31" s="6">
        <v>13400</v>
      </c>
      <c r="E31" s="2">
        <v>28.58</v>
      </c>
      <c r="F31" s="2">
        <v>28.59</v>
      </c>
      <c r="G31" s="6">
        <v>54000</v>
      </c>
      <c r="H31" s="2">
        <v>28.690000999999999</v>
      </c>
      <c r="I31" s="6">
        <v>0</v>
      </c>
      <c r="J31" s="6" t="s">
        <v>356</v>
      </c>
    </row>
    <row r="32" spans="1:10" x14ac:dyDescent="0.25">
      <c r="A32" t="s">
        <v>41</v>
      </c>
      <c r="B32" t="s">
        <v>25</v>
      </c>
      <c r="C32" t="s">
        <v>0</v>
      </c>
      <c r="D32" s="6">
        <v>92300</v>
      </c>
      <c r="E32" s="2">
        <v>23.96</v>
      </c>
      <c r="F32" s="2">
        <v>23.97</v>
      </c>
      <c r="G32" s="6">
        <v>126000</v>
      </c>
      <c r="H32" s="2">
        <v>24.059999000000001</v>
      </c>
      <c r="I32" s="6">
        <v>0</v>
      </c>
      <c r="J32" s="6" t="s">
        <v>356</v>
      </c>
    </row>
    <row r="33" spans="1:10" x14ac:dyDescent="0.25">
      <c r="A33" t="s">
        <v>41</v>
      </c>
      <c r="B33" t="s">
        <v>27</v>
      </c>
      <c r="C33" t="s">
        <v>0</v>
      </c>
      <c r="D33" s="6">
        <v>30500</v>
      </c>
      <c r="E33" s="2">
        <v>50.35</v>
      </c>
      <c r="F33" s="2">
        <v>50.37</v>
      </c>
      <c r="G33" s="6">
        <v>18500</v>
      </c>
      <c r="H33" s="2">
        <v>50.57</v>
      </c>
      <c r="I33" s="6">
        <v>0</v>
      </c>
      <c r="J33" s="6" t="s">
        <v>356</v>
      </c>
    </row>
    <row r="34" spans="1:10" x14ac:dyDescent="0.25">
      <c r="A34" t="s">
        <v>41</v>
      </c>
      <c r="B34" t="s">
        <v>20</v>
      </c>
      <c r="C34" t="s">
        <v>0</v>
      </c>
      <c r="D34" s="6">
        <v>100</v>
      </c>
      <c r="E34" s="2">
        <v>85.4</v>
      </c>
      <c r="F34" s="2">
        <v>89.51</v>
      </c>
      <c r="G34" s="6">
        <v>500</v>
      </c>
      <c r="H34" s="2">
        <v>89.660004000000001</v>
      </c>
      <c r="I34" s="6">
        <v>0</v>
      </c>
      <c r="J34" s="6" t="s">
        <v>356</v>
      </c>
    </row>
    <row r="35" spans="1:10" x14ac:dyDescent="0.25">
      <c r="A35" t="s">
        <v>41</v>
      </c>
      <c r="B35" t="s">
        <v>18</v>
      </c>
      <c r="C35" t="s">
        <v>0</v>
      </c>
      <c r="D35" s="6">
        <v>400</v>
      </c>
      <c r="E35" s="2">
        <v>21.1</v>
      </c>
      <c r="F35" s="2">
        <v>21.18</v>
      </c>
      <c r="G35" s="6">
        <v>400</v>
      </c>
      <c r="H35" s="2">
        <v>21.17</v>
      </c>
      <c r="I35" s="6">
        <v>0</v>
      </c>
      <c r="J35" s="6" t="s">
        <v>356</v>
      </c>
    </row>
    <row r="36" spans="1:10" x14ac:dyDescent="0.25">
      <c r="A36" t="s">
        <v>41</v>
      </c>
      <c r="B36" t="s">
        <v>19</v>
      </c>
      <c r="C36" t="s">
        <v>0</v>
      </c>
      <c r="D36" s="6">
        <v>100</v>
      </c>
      <c r="E36" s="2">
        <v>44.39</v>
      </c>
      <c r="F36" s="2">
        <v>47</v>
      </c>
      <c r="G36" s="6">
        <v>100</v>
      </c>
      <c r="H36" s="2">
        <v>44.529998999999997</v>
      </c>
      <c r="I36" s="6">
        <v>0</v>
      </c>
      <c r="J36" s="6" t="s">
        <v>356</v>
      </c>
    </row>
    <row r="37" spans="1:10" x14ac:dyDescent="0.25">
      <c r="A37" t="s">
        <v>41</v>
      </c>
      <c r="B37" t="s">
        <v>4</v>
      </c>
      <c r="C37" t="s">
        <v>0</v>
      </c>
      <c r="D37" s="6">
        <v>200</v>
      </c>
      <c r="E37" s="2">
        <v>100.05</v>
      </c>
      <c r="F37" s="2">
        <v>100.37</v>
      </c>
      <c r="G37" s="6">
        <v>100</v>
      </c>
      <c r="H37" s="2">
        <v>100.610001</v>
      </c>
      <c r="I37" s="6">
        <v>-2000</v>
      </c>
      <c r="J37" s="6" t="s">
        <v>356</v>
      </c>
    </row>
    <row r="38" spans="1:10" x14ac:dyDescent="0.25">
      <c r="A38" t="s">
        <v>41</v>
      </c>
      <c r="B38" t="s">
        <v>21</v>
      </c>
      <c r="C38" t="s">
        <v>0</v>
      </c>
      <c r="D38" s="6">
        <v>100</v>
      </c>
      <c r="E38" s="2">
        <v>40.31</v>
      </c>
      <c r="F38" s="2">
        <v>44.82</v>
      </c>
      <c r="G38" s="6">
        <v>100</v>
      </c>
      <c r="H38" s="2">
        <v>42.580002</v>
      </c>
      <c r="I38" s="6">
        <v>4700</v>
      </c>
      <c r="J38" s="6" t="s">
        <v>356</v>
      </c>
    </row>
    <row r="39" spans="1:10" x14ac:dyDescent="0.25">
      <c r="A39" t="s">
        <v>41</v>
      </c>
      <c r="B39" t="s">
        <v>3</v>
      </c>
      <c r="C39" t="s">
        <v>0</v>
      </c>
      <c r="D39" s="6">
        <v>400</v>
      </c>
      <c r="E39" s="2">
        <v>46.88</v>
      </c>
      <c r="F39" s="2">
        <v>47.3</v>
      </c>
      <c r="G39" s="6">
        <v>2700</v>
      </c>
      <c r="H39" s="2">
        <v>47.189999</v>
      </c>
      <c r="I39" s="6">
        <v>0</v>
      </c>
      <c r="J39" s="6" t="s">
        <v>356</v>
      </c>
    </row>
    <row r="40" spans="1:10" x14ac:dyDescent="0.25">
      <c r="A40" t="s">
        <v>41</v>
      </c>
      <c r="B40" t="s">
        <v>52</v>
      </c>
      <c r="C40" t="s">
        <v>0</v>
      </c>
      <c r="D40" s="6">
        <v>200</v>
      </c>
      <c r="E40" s="2">
        <v>29.42</v>
      </c>
      <c r="F40" s="2">
        <v>29.75</v>
      </c>
      <c r="G40" s="6">
        <v>800</v>
      </c>
      <c r="H40" s="2">
        <v>29.559999000000001</v>
      </c>
      <c r="I40" s="6">
        <v>-1700</v>
      </c>
      <c r="J40" s="6" t="s">
        <v>356</v>
      </c>
    </row>
    <row r="41" spans="1:10" x14ac:dyDescent="0.25">
      <c r="A41" t="s">
        <v>41</v>
      </c>
      <c r="B41" t="s">
        <v>53</v>
      </c>
      <c r="C41" t="s">
        <v>0</v>
      </c>
      <c r="D41" s="6">
        <v>300</v>
      </c>
      <c r="E41" s="2">
        <v>17.54</v>
      </c>
      <c r="F41" s="2">
        <v>18.5</v>
      </c>
      <c r="G41" s="6">
        <v>1000</v>
      </c>
      <c r="H41" s="2">
        <v>17.639999</v>
      </c>
      <c r="I41" s="6">
        <v>2805</v>
      </c>
      <c r="J41" s="6" t="s">
        <v>356</v>
      </c>
    </row>
    <row r="42" spans="1:10" x14ac:dyDescent="0.25">
      <c r="A42" t="s">
        <v>41</v>
      </c>
      <c r="B42" t="s">
        <v>182</v>
      </c>
      <c r="C42" t="s">
        <v>0</v>
      </c>
      <c r="D42" s="6">
        <v>300</v>
      </c>
      <c r="E42" s="2">
        <v>750377.8</v>
      </c>
      <c r="F42" s="2">
        <v>754539.76</v>
      </c>
      <c r="G42" s="6">
        <v>300</v>
      </c>
      <c r="H42" s="2">
        <v>753875</v>
      </c>
      <c r="I42" s="6">
        <v>0</v>
      </c>
      <c r="J42" s="6" t="s">
        <v>356</v>
      </c>
    </row>
    <row r="43" spans="1:10" x14ac:dyDescent="0.25">
      <c r="A43" t="s">
        <v>41</v>
      </c>
      <c r="B43" t="s">
        <v>183</v>
      </c>
      <c r="C43" t="s">
        <v>0</v>
      </c>
      <c r="D43" s="6">
        <v>100</v>
      </c>
      <c r="E43" s="2">
        <v>502</v>
      </c>
      <c r="F43" s="2">
        <v>502.55</v>
      </c>
      <c r="G43" s="6">
        <v>900</v>
      </c>
      <c r="H43" s="2">
        <v>503.08999599999999</v>
      </c>
      <c r="I43" s="6">
        <v>0</v>
      </c>
      <c r="J43" s="6" t="s">
        <v>356</v>
      </c>
    </row>
    <row r="44" spans="1:10" x14ac:dyDescent="0.25">
      <c r="A44" t="s">
        <v>41</v>
      </c>
      <c r="B44" t="s">
        <v>167</v>
      </c>
      <c r="C44" t="s">
        <v>0</v>
      </c>
      <c r="D44" s="6">
        <v>100</v>
      </c>
      <c r="E44" s="2">
        <v>55</v>
      </c>
      <c r="F44" s="2">
        <v>56.94</v>
      </c>
      <c r="G44" s="6">
        <v>100</v>
      </c>
      <c r="H44" s="2">
        <v>56.549999</v>
      </c>
      <c r="I44" s="6">
        <v>0</v>
      </c>
      <c r="J44" s="6" t="s">
        <v>356</v>
      </c>
    </row>
    <row r="45" spans="1:10" x14ac:dyDescent="0.25">
      <c r="A45" t="s">
        <v>41</v>
      </c>
      <c r="B45" t="s">
        <v>168</v>
      </c>
      <c r="C45" t="s">
        <v>0</v>
      </c>
      <c r="D45" s="6">
        <v>1000</v>
      </c>
      <c r="E45" s="2">
        <v>52.95</v>
      </c>
      <c r="F45" s="2">
        <v>63.06</v>
      </c>
      <c r="G45" s="6">
        <v>200</v>
      </c>
      <c r="H45" s="2">
        <v>63.060001</v>
      </c>
      <c r="I45" s="6">
        <v>0</v>
      </c>
      <c r="J45" s="6" t="s">
        <v>356</v>
      </c>
    </row>
    <row r="46" spans="1:10" x14ac:dyDescent="0.25">
      <c r="A46" t="s">
        <v>41</v>
      </c>
      <c r="B46" t="s">
        <v>165</v>
      </c>
      <c r="C46" t="s">
        <v>0</v>
      </c>
      <c r="D46" s="6">
        <v>1000</v>
      </c>
      <c r="E46" s="2">
        <v>337.2</v>
      </c>
      <c r="F46" s="2">
        <v>337.4</v>
      </c>
      <c r="G46" s="6">
        <v>700</v>
      </c>
      <c r="H46" s="2">
        <v>339.16000400000001</v>
      </c>
      <c r="I46" s="6">
        <v>0</v>
      </c>
      <c r="J46" s="6" t="s">
        <v>356</v>
      </c>
    </row>
    <row r="47" spans="1:10" x14ac:dyDescent="0.25">
      <c r="A47" t="s">
        <v>41</v>
      </c>
      <c r="B47" t="s">
        <v>166</v>
      </c>
      <c r="C47" t="s">
        <v>0</v>
      </c>
      <c r="D47" s="6">
        <v>400</v>
      </c>
      <c r="E47" s="2">
        <v>340.76</v>
      </c>
      <c r="F47" s="2">
        <v>340.92</v>
      </c>
      <c r="G47" s="6">
        <v>100</v>
      </c>
      <c r="H47" s="2">
        <v>342.75</v>
      </c>
      <c r="I47" s="6">
        <v>0</v>
      </c>
      <c r="J47" s="6" t="s">
        <v>356</v>
      </c>
    </row>
    <row r="48" spans="1:10" x14ac:dyDescent="0.25">
      <c r="A48" t="s">
        <v>41</v>
      </c>
      <c r="B48" t="s">
        <v>171</v>
      </c>
      <c r="C48" t="s">
        <v>0</v>
      </c>
      <c r="D48" s="6">
        <v>200</v>
      </c>
      <c r="E48" s="2">
        <v>302.75</v>
      </c>
      <c r="F48" s="2">
        <v>315</v>
      </c>
      <c r="G48" s="6">
        <v>200</v>
      </c>
      <c r="H48" s="2">
        <v>304.60998499999999</v>
      </c>
      <c r="I48" s="6">
        <v>0</v>
      </c>
      <c r="J48" s="6" t="s">
        <v>356</v>
      </c>
    </row>
    <row r="49" spans="1:10" x14ac:dyDescent="0.25">
      <c r="A49" t="s">
        <v>41</v>
      </c>
      <c r="B49" t="s">
        <v>180</v>
      </c>
      <c r="C49" t="s">
        <v>0</v>
      </c>
      <c r="D49" s="6">
        <v>1000</v>
      </c>
      <c r="E49" s="2">
        <v>201.01</v>
      </c>
      <c r="F49" s="2">
        <v>368.33</v>
      </c>
      <c r="G49" s="6">
        <v>200</v>
      </c>
      <c r="H49" s="2">
        <v>230.63000500000001</v>
      </c>
      <c r="I49" s="6">
        <v>0</v>
      </c>
      <c r="J49" s="6" t="s">
        <v>356</v>
      </c>
    </row>
    <row r="50" spans="1:10" x14ac:dyDescent="0.25">
      <c r="A50" t="s">
        <v>41</v>
      </c>
      <c r="B50" t="s">
        <v>169</v>
      </c>
      <c r="C50" t="s">
        <v>0</v>
      </c>
      <c r="D50" s="6">
        <v>700</v>
      </c>
      <c r="E50" s="2">
        <v>30.84</v>
      </c>
      <c r="F50" s="2">
        <v>32.11</v>
      </c>
      <c r="G50" s="6">
        <v>600</v>
      </c>
      <c r="H50" s="2">
        <v>32.240001999999997</v>
      </c>
      <c r="I50" s="6">
        <v>0</v>
      </c>
      <c r="J50" s="6" t="s">
        <v>356</v>
      </c>
    </row>
    <row r="51" spans="1:10" x14ac:dyDescent="0.25">
      <c r="A51" t="s">
        <v>41</v>
      </c>
      <c r="B51" t="s">
        <v>170</v>
      </c>
      <c r="C51" t="s">
        <v>0</v>
      </c>
      <c r="D51" s="6">
        <v>200</v>
      </c>
      <c r="E51" s="2">
        <v>28.03</v>
      </c>
      <c r="F51" s="2">
        <v>28.92</v>
      </c>
      <c r="G51" s="6">
        <v>200</v>
      </c>
      <c r="H51" s="2">
        <v>29.1</v>
      </c>
      <c r="I51" s="6">
        <v>0</v>
      </c>
      <c r="J51" s="6" t="s">
        <v>356</v>
      </c>
    </row>
    <row r="52" spans="1:10" x14ac:dyDescent="0.25">
      <c r="A52" t="s">
        <v>41</v>
      </c>
      <c r="B52" t="s">
        <v>244</v>
      </c>
      <c r="C52" t="s">
        <v>0</v>
      </c>
      <c r="D52" s="6">
        <v>700</v>
      </c>
      <c r="E52" s="2">
        <v>4.22</v>
      </c>
      <c r="F52" s="2">
        <v>4.2699999999999996</v>
      </c>
      <c r="G52" s="6">
        <v>2000</v>
      </c>
      <c r="H52" s="2">
        <v>4.24</v>
      </c>
      <c r="I52" s="6">
        <v>0</v>
      </c>
      <c r="J52" s="6" t="s">
        <v>356</v>
      </c>
    </row>
    <row r="53" spans="1:10" x14ac:dyDescent="0.25">
      <c r="A53" t="s">
        <v>41</v>
      </c>
      <c r="B53" t="s">
        <v>245</v>
      </c>
      <c r="C53" t="s">
        <v>0</v>
      </c>
      <c r="D53" s="6">
        <v>800</v>
      </c>
      <c r="E53" s="2">
        <v>4.2699999999999996</v>
      </c>
      <c r="F53" s="2">
        <v>4.29</v>
      </c>
      <c r="G53" s="6">
        <v>100</v>
      </c>
      <c r="H53" s="2">
        <v>4.28</v>
      </c>
      <c r="I53" s="6">
        <v>0</v>
      </c>
      <c r="J53" s="6" t="s">
        <v>356</v>
      </c>
    </row>
    <row r="54" spans="1:10" x14ac:dyDescent="0.25">
      <c r="A54" t="s">
        <v>41</v>
      </c>
      <c r="B54" t="s">
        <v>248</v>
      </c>
      <c r="C54" t="s">
        <v>0</v>
      </c>
      <c r="D54" s="6">
        <v>200</v>
      </c>
      <c r="E54" s="2">
        <v>26.33</v>
      </c>
      <c r="F54" s="2">
        <v>27.4</v>
      </c>
      <c r="G54" s="6">
        <v>300</v>
      </c>
      <c r="H54" s="2">
        <v>26.57</v>
      </c>
      <c r="I54" s="6">
        <v>0</v>
      </c>
      <c r="J54" s="6" t="s">
        <v>356</v>
      </c>
    </row>
    <row r="55" spans="1:10" x14ac:dyDescent="0.25">
      <c r="A55" t="s">
        <v>41</v>
      </c>
      <c r="B55" t="s">
        <v>249</v>
      </c>
      <c r="C55" t="s">
        <v>0</v>
      </c>
      <c r="D55" s="6">
        <v>2100</v>
      </c>
      <c r="E55" s="2">
        <v>25.75</v>
      </c>
      <c r="F55" s="2">
        <v>26.77</v>
      </c>
      <c r="G55" s="6">
        <v>200</v>
      </c>
      <c r="H55" s="2">
        <v>26.030000999999999</v>
      </c>
      <c r="I55" s="6">
        <v>0</v>
      </c>
      <c r="J55" s="6" t="s">
        <v>356</v>
      </c>
    </row>
    <row r="56" spans="1:10" x14ac:dyDescent="0.25">
      <c r="A56" t="s">
        <v>41</v>
      </c>
      <c r="B56" t="s">
        <v>251</v>
      </c>
      <c r="C56" t="s">
        <v>0</v>
      </c>
      <c r="D56" s="6">
        <v>200</v>
      </c>
      <c r="E56" s="2">
        <v>360</v>
      </c>
      <c r="F56" s="2">
        <v>400</v>
      </c>
      <c r="G56" s="6">
        <v>200</v>
      </c>
      <c r="H56" s="2">
        <v>389.959991</v>
      </c>
      <c r="I56" s="6">
        <v>0</v>
      </c>
      <c r="J56" s="6" t="s">
        <v>356</v>
      </c>
    </row>
    <row r="57" spans="1:10" x14ac:dyDescent="0.25">
      <c r="A57" t="s">
        <v>41</v>
      </c>
      <c r="B57" t="s">
        <v>252</v>
      </c>
      <c r="C57" t="s">
        <v>0</v>
      </c>
      <c r="D57" s="6">
        <v>200</v>
      </c>
      <c r="E57" s="2">
        <v>157.19999999999999</v>
      </c>
      <c r="F57" s="2">
        <v>628.76</v>
      </c>
      <c r="G57" s="6">
        <v>200</v>
      </c>
      <c r="H57" s="2">
        <v>397.39999399999999</v>
      </c>
      <c r="I57" s="6">
        <v>0</v>
      </c>
      <c r="J57" s="6" t="s">
        <v>356</v>
      </c>
    </row>
    <row r="58" spans="1:10" x14ac:dyDescent="0.25">
      <c r="A58" t="s">
        <v>41</v>
      </c>
      <c r="B58" t="s">
        <v>254</v>
      </c>
      <c r="C58" t="s">
        <v>0</v>
      </c>
      <c r="D58" s="6">
        <v>100</v>
      </c>
      <c r="E58" s="2">
        <v>83.03</v>
      </c>
      <c r="F58" s="2">
        <v>83.33</v>
      </c>
      <c r="G58" s="6">
        <v>500</v>
      </c>
      <c r="H58" s="2">
        <v>82.029999000000004</v>
      </c>
      <c r="I58" s="6">
        <v>0</v>
      </c>
      <c r="J58" s="6" t="s">
        <v>356</v>
      </c>
    </row>
    <row r="59" spans="1:10" x14ac:dyDescent="0.25">
      <c r="A59" t="s">
        <v>41</v>
      </c>
      <c r="B59" t="s">
        <v>255</v>
      </c>
      <c r="C59" t="s">
        <v>0</v>
      </c>
      <c r="D59" s="6">
        <v>200</v>
      </c>
      <c r="E59" s="2">
        <v>79.680000000000007</v>
      </c>
      <c r="F59" s="2">
        <v>82</v>
      </c>
      <c r="G59" s="6">
        <v>200</v>
      </c>
      <c r="H59" s="2">
        <v>80.559997999999993</v>
      </c>
      <c r="I59" s="6">
        <v>0</v>
      </c>
      <c r="J59" s="6" t="s">
        <v>356</v>
      </c>
    </row>
    <row r="60" spans="1:10" x14ac:dyDescent="0.25">
      <c r="A60" t="s">
        <v>41</v>
      </c>
      <c r="B60" t="s">
        <v>257</v>
      </c>
      <c r="C60" t="s">
        <v>0</v>
      </c>
      <c r="D60" s="6">
        <v>100</v>
      </c>
      <c r="E60" s="2">
        <v>55</v>
      </c>
      <c r="F60" s="2">
        <v>94.62</v>
      </c>
      <c r="G60" s="6">
        <v>200</v>
      </c>
      <c r="H60" s="2">
        <v>59.610000999999997</v>
      </c>
      <c r="I60" s="6">
        <v>0</v>
      </c>
      <c r="J60" s="6" t="s">
        <v>356</v>
      </c>
    </row>
    <row r="61" spans="1:10" x14ac:dyDescent="0.25">
      <c r="A61" t="s">
        <v>41</v>
      </c>
      <c r="B61" t="s">
        <v>258</v>
      </c>
      <c r="C61" t="s">
        <v>0</v>
      </c>
      <c r="D61" s="6">
        <v>100</v>
      </c>
      <c r="E61" s="2">
        <v>52.1</v>
      </c>
      <c r="F61" s="2">
        <v>57</v>
      </c>
      <c r="G61" s="6">
        <v>100</v>
      </c>
      <c r="H61" s="2">
        <v>54.290000999999997</v>
      </c>
      <c r="I61" s="6">
        <v>0</v>
      </c>
      <c r="J61" s="6" t="s">
        <v>356</v>
      </c>
    </row>
    <row r="62" spans="1:10" x14ac:dyDescent="0.25">
      <c r="A62" t="s">
        <v>41</v>
      </c>
      <c r="B62" t="s">
        <v>277</v>
      </c>
      <c r="C62" t="s">
        <v>0</v>
      </c>
      <c r="D62" s="6">
        <v>100</v>
      </c>
      <c r="E62" s="2">
        <v>27.1</v>
      </c>
      <c r="F62" s="2">
        <v>27.93</v>
      </c>
      <c r="G62" s="6">
        <v>100</v>
      </c>
      <c r="H62" s="2">
        <v>27.440000999999999</v>
      </c>
      <c r="I62" s="6">
        <v>0</v>
      </c>
      <c r="J62" s="6" t="s">
        <v>356</v>
      </c>
    </row>
    <row r="63" spans="1:10" x14ac:dyDescent="0.25">
      <c r="A63" t="s">
        <v>41</v>
      </c>
      <c r="B63" t="s">
        <v>278</v>
      </c>
      <c r="C63" t="s">
        <v>0</v>
      </c>
      <c r="D63" s="6">
        <v>100</v>
      </c>
      <c r="E63" s="2">
        <v>27.74</v>
      </c>
      <c r="F63" s="2">
        <v>28.23</v>
      </c>
      <c r="G63" s="6">
        <v>100</v>
      </c>
      <c r="H63" s="2">
        <v>28.15</v>
      </c>
      <c r="I63" s="6">
        <v>0</v>
      </c>
      <c r="J63" s="6" t="s">
        <v>356</v>
      </c>
    </row>
    <row r="64" spans="1:10" x14ac:dyDescent="0.25">
      <c r="A64" t="s">
        <v>41</v>
      </c>
      <c r="B64" t="s">
        <v>172</v>
      </c>
      <c r="C64" t="s">
        <v>0</v>
      </c>
      <c r="D64" s="6">
        <v>300</v>
      </c>
      <c r="E64" s="2">
        <v>94.02</v>
      </c>
      <c r="F64" s="2">
        <v>96.65</v>
      </c>
      <c r="G64" s="6">
        <v>300</v>
      </c>
      <c r="H64" s="2">
        <v>94.900002000000001</v>
      </c>
      <c r="I64" s="6">
        <v>0</v>
      </c>
      <c r="J64" s="6" t="s">
        <v>356</v>
      </c>
    </row>
    <row r="65" spans="1:10" x14ac:dyDescent="0.25">
      <c r="A65" t="s">
        <v>41</v>
      </c>
      <c r="B65" t="s">
        <v>173</v>
      </c>
      <c r="C65" t="s">
        <v>0</v>
      </c>
      <c r="D65" s="6">
        <v>100</v>
      </c>
      <c r="E65" s="2">
        <v>92.98</v>
      </c>
      <c r="F65" s="2">
        <v>97.9</v>
      </c>
      <c r="G65" s="6">
        <v>200</v>
      </c>
      <c r="H65" s="2">
        <v>95.32</v>
      </c>
      <c r="I65" s="6">
        <v>0</v>
      </c>
      <c r="J65" s="6" t="s">
        <v>356</v>
      </c>
    </row>
    <row r="66" spans="1:10" x14ac:dyDescent="0.25">
      <c r="A66" t="s">
        <v>41</v>
      </c>
      <c r="B66" t="s">
        <v>174</v>
      </c>
      <c r="C66" t="s">
        <v>0</v>
      </c>
      <c r="D66" s="6">
        <v>500</v>
      </c>
      <c r="E66" s="2">
        <v>108.8</v>
      </c>
      <c r="F66" s="2">
        <v>109.48</v>
      </c>
      <c r="G66" s="6">
        <v>500</v>
      </c>
      <c r="H66" s="2">
        <v>109</v>
      </c>
      <c r="I66" s="6">
        <v>0</v>
      </c>
      <c r="J66" s="6" t="s">
        <v>356</v>
      </c>
    </row>
    <row r="67" spans="1:10" x14ac:dyDescent="0.25">
      <c r="A67" t="s">
        <v>41</v>
      </c>
      <c r="B67" t="s">
        <v>175</v>
      </c>
      <c r="C67" t="s">
        <v>0</v>
      </c>
      <c r="D67" s="6">
        <v>200</v>
      </c>
      <c r="E67" s="2">
        <v>362.02</v>
      </c>
      <c r="F67" s="2">
        <v>371.93</v>
      </c>
      <c r="G67" s="6">
        <v>1900</v>
      </c>
      <c r="H67" s="2">
        <v>365.45001200000002</v>
      </c>
      <c r="I67" s="6">
        <v>0</v>
      </c>
      <c r="J67" s="6" t="s">
        <v>356</v>
      </c>
    </row>
    <row r="68" spans="1:10" x14ac:dyDescent="0.25">
      <c r="A68" t="s">
        <v>41</v>
      </c>
      <c r="B68" t="s">
        <v>92</v>
      </c>
      <c r="C68" t="s">
        <v>0</v>
      </c>
      <c r="D68" s="6">
        <v>600</v>
      </c>
      <c r="E68" s="2">
        <v>33.33</v>
      </c>
      <c r="F68" s="2">
        <v>34.49</v>
      </c>
      <c r="G68" s="6">
        <v>500</v>
      </c>
      <c r="H68" s="2">
        <v>34.209999000000003</v>
      </c>
      <c r="I68" s="6">
        <v>0</v>
      </c>
      <c r="J68" s="6" t="s">
        <v>356</v>
      </c>
    </row>
    <row r="69" spans="1:10" x14ac:dyDescent="0.25">
      <c r="A69" t="s">
        <v>41</v>
      </c>
      <c r="B69" t="s">
        <v>93</v>
      </c>
      <c r="C69" t="s">
        <v>0</v>
      </c>
      <c r="D69" s="6">
        <v>100</v>
      </c>
      <c r="E69" s="2">
        <v>61.65</v>
      </c>
      <c r="F69" s="2">
        <v>66.05</v>
      </c>
      <c r="G69" s="6">
        <v>100</v>
      </c>
      <c r="H69" s="2">
        <v>65.370002999999997</v>
      </c>
      <c r="I69" s="6">
        <v>4500</v>
      </c>
      <c r="J69" s="6" t="s">
        <v>356</v>
      </c>
    </row>
    <row r="70" spans="1:10" x14ac:dyDescent="0.25">
      <c r="A70" t="s">
        <v>41</v>
      </c>
      <c r="B70" t="s">
        <v>94</v>
      </c>
      <c r="C70" t="s">
        <v>0</v>
      </c>
      <c r="D70" s="6">
        <v>200</v>
      </c>
      <c r="E70" s="2">
        <v>171.08</v>
      </c>
      <c r="F70" s="2">
        <v>173</v>
      </c>
      <c r="G70" s="6">
        <v>200</v>
      </c>
      <c r="H70" s="2">
        <v>173.83000200000001</v>
      </c>
      <c r="I70" s="6">
        <v>0</v>
      </c>
      <c r="J70" s="6" t="s">
        <v>356</v>
      </c>
    </row>
    <row r="71" spans="1:10" x14ac:dyDescent="0.25">
      <c r="A71" t="s">
        <v>41</v>
      </c>
      <c r="B71" t="s">
        <v>95</v>
      </c>
      <c r="C71" t="s">
        <v>0</v>
      </c>
      <c r="D71" s="6">
        <v>2000</v>
      </c>
      <c r="E71" s="2">
        <v>61.54</v>
      </c>
      <c r="F71" s="2">
        <v>61.63</v>
      </c>
      <c r="G71" s="6">
        <v>4500</v>
      </c>
      <c r="H71" s="2">
        <v>62.099997999999999</v>
      </c>
      <c r="I71" s="6">
        <v>-4756</v>
      </c>
      <c r="J71" s="6" t="s">
        <v>356</v>
      </c>
    </row>
    <row r="72" spans="1:10" x14ac:dyDescent="0.25">
      <c r="A72" t="s">
        <v>41</v>
      </c>
      <c r="B72" t="s">
        <v>125</v>
      </c>
      <c r="C72" t="s">
        <v>0</v>
      </c>
      <c r="D72" s="6">
        <v>100</v>
      </c>
      <c r="E72" s="2">
        <v>72.28</v>
      </c>
      <c r="F72" s="2">
        <v>81.02</v>
      </c>
      <c r="G72" s="6">
        <v>100</v>
      </c>
      <c r="H72" s="2">
        <v>76.839995999999999</v>
      </c>
      <c r="I72" s="6">
        <v>0</v>
      </c>
      <c r="J72" s="6" t="s">
        <v>356</v>
      </c>
    </row>
    <row r="73" spans="1:10" x14ac:dyDescent="0.25">
      <c r="A73" t="s">
        <v>41</v>
      </c>
      <c r="B73" t="s">
        <v>96</v>
      </c>
      <c r="C73" t="s">
        <v>0</v>
      </c>
      <c r="D73" s="6">
        <v>200</v>
      </c>
      <c r="E73" s="2">
        <v>121.3</v>
      </c>
      <c r="F73" s="2">
        <v>134.19999999999999</v>
      </c>
      <c r="G73" s="6">
        <v>100</v>
      </c>
      <c r="H73" s="2">
        <v>127.41999800000001</v>
      </c>
      <c r="I73" s="6">
        <v>4000</v>
      </c>
      <c r="J73" s="6" t="s">
        <v>356</v>
      </c>
    </row>
    <row r="74" spans="1:10" x14ac:dyDescent="0.25">
      <c r="A74" t="s">
        <v>41</v>
      </c>
      <c r="B74" t="s">
        <v>97</v>
      </c>
      <c r="C74" t="s">
        <v>0</v>
      </c>
      <c r="D74" s="6">
        <v>300</v>
      </c>
      <c r="E74" s="2">
        <v>130.30000000000001</v>
      </c>
      <c r="F74" s="2">
        <v>132.66</v>
      </c>
      <c r="G74" s="6">
        <v>100</v>
      </c>
      <c r="H74" s="2">
        <v>132.11000100000001</v>
      </c>
      <c r="I74" s="6">
        <v>0</v>
      </c>
      <c r="J74" s="6" t="s">
        <v>356</v>
      </c>
    </row>
    <row r="75" spans="1:10" x14ac:dyDescent="0.25">
      <c r="A75" t="s">
        <v>41</v>
      </c>
      <c r="B75" t="s">
        <v>98</v>
      </c>
      <c r="C75" t="s">
        <v>0</v>
      </c>
      <c r="D75" s="6">
        <v>8000</v>
      </c>
      <c r="E75" s="2">
        <v>53.98</v>
      </c>
      <c r="F75" s="2">
        <v>54</v>
      </c>
      <c r="G75" s="6">
        <v>1800</v>
      </c>
      <c r="H75" s="2">
        <v>54.189999</v>
      </c>
      <c r="I75" s="6">
        <v>-9460</v>
      </c>
      <c r="J75" s="6" t="s">
        <v>356</v>
      </c>
    </row>
    <row r="76" spans="1:10" x14ac:dyDescent="0.25">
      <c r="A76" t="s">
        <v>41</v>
      </c>
      <c r="B76" t="s">
        <v>99</v>
      </c>
      <c r="C76" t="s">
        <v>0</v>
      </c>
      <c r="D76" s="6">
        <v>200</v>
      </c>
      <c r="E76" s="2">
        <v>79.8</v>
      </c>
      <c r="F76" s="2">
        <v>85.36</v>
      </c>
      <c r="G76" s="6">
        <v>100</v>
      </c>
      <c r="H76" s="2">
        <v>82.919998000000007</v>
      </c>
      <c r="I76" s="6">
        <v>0</v>
      </c>
      <c r="J76" s="6" t="s">
        <v>356</v>
      </c>
    </row>
    <row r="77" spans="1:10" x14ac:dyDescent="0.25">
      <c r="A77" t="s">
        <v>41</v>
      </c>
      <c r="B77" t="s">
        <v>100</v>
      </c>
      <c r="C77" t="s">
        <v>0</v>
      </c>
      <c r="D77" s="6">
        <v>100</v>
      </c>
      <c r="E77" s="2">
        <v>69.56</v>
      </c>
      <c r="F77" s="2">
        <v>76.41</v>
      </c>
      <c r="G77" s="6">
        <v>100</v>
      </c>
      <c r="H77" s="2">
        <v>72.669998000000007</v>
      </c>
      <c r="I77" s="6">
        <v>0</v>
      </c>
      <c r="J77" s="6" t="s">
        <v>356</v>
      </c>
    </row>
    <row r="78" spans="1:10" x14ac:dyDescent="0.25">
      <c r="A78" t="s">
        <v>41</v>
      </c>
      <c r="B78" t="s">
        <v>101</v>
      </c>
      <c r="C78" t="s">
        <v>0</v>
      </c>
      <c r="D78" s="6">
        <v>700</v>
      </c>
      <c r="E78" s="2">
        <v>320.19</v>
      </c>
      <c r="F78" s="2">
        <v>322.47000000000003</v>
      </c>
      <c r="G78" s="6">
        <v>100</v>
      </c>
      <c r="H78" s="2">
        <v>320.73998999999998</v>
      </c>
      <c r="I78" s="6">
        <v>0</v>
      </c>
      <c r="J78" s="6" t="s">
        <v>356</v>
      </c>
    </row>
    <row r="79" spans="1:10" x14ac:dyDescent="0.25">
      <c r="A79" t="s">
        <v>41</v>
      </c>
      <c r="B79" t="s">
        <v>102</v>
      </c>
      <c r="C79" t="s">
        <v>0</v>
      </c>
      <c r="D79" s="6">
        <v>100</v>
      </c>
      <c r="E79" s="2">
        <v>170.71</v>
      </c>
      <c r="F79" s="2">
        <v>171.01</v>
      </c>
      <c r="G79" s="6">
        <v>100</v>
      </c>
      <c r="H79" s="2">
        <v>171.259995</v>
      </c>
      <c r="I79" s="6">
        <v>0</v>
      </c>
      <c r="J79" s="6" t="s">
        <v>356</v>
      </c>
    </row>
    <row r="80" spans="1:10" x14ac:dyDescent="0.25">
      <c r="A80" t="s">
        <v>41</v>
      </c>
      <c r="B80" t="s">
        <v>103</v>
      </c>
      <c r="C80" t="s">
        <v>0</v>
      </c>
      <c r="D80" s="6">
        <v>100</v>
      </c>
      <c r="E80" s="2">
        <v>85.05</v>
      </c>
      <c r="F80" s="2">
        <v>94.66</v>
      </c>
      <c r="G80" s="6">
        <v>100</v>
      </c>
      <c r="H80" s="2">
        <v>89.5</v>
      </c>
      <c r="I80" s="6">
        <v>0</v>
      </c>
      <c r="J80" s="6" t="s">
        <v>356</v>
      </c>
    </row>
    <row r="81" spans="1:10" x14ac:dyDescent="0.25">
      <c r="A81" t="s">
        <v>41</v>
      </c>
      <c r="B81" t="s">
        <v>127</v>
      </c>
      <c r="C81" t="s">
        <v>0</v>
      </c>
      <c r="D81" s="6">
        <v>2600</v>
      </c>
      <c r="E81" s="2">
        <v>152.84</v>
      </c>
      <c r="F81" s="2">
        <v>157.51</v>
      </c>
      <c r="G81" s="6">
        <v>2400</v>
      </c>
      <c r="H81" s="2">
        <v>155.25</v>
      </c>
      <c r="I81" s="6">
        <v>0</v>
      </c>
      <c r="J81" s="6" t="s">
        <v>356</v>
      </c>
    </row>
    <row r="82" spans="1:10" x14ac:dyDescent="0.25">
      <c r="A82" t="s">
        <v>41</v>
      </c>
      <c r="B82" t="s">
        <v>126</v>
      </c>
      <c r="C82" t="s">
        <v>0</v>
      </c>
      <c r="D82" s="6">
        <v>300</v>
      </c>
      <c r="E82" s="2">
        <v>322</v>
      </c>
      <c r="F82" s="2">
        <v>329.97</v>
      </c>
      <c r="G82" s="6">
        <v>1900</v>
      </c>
      <c r="H82" s="2">
        <v>323.80999800000001</v>
      </c>
      <c r="I82" s="6">
        <v>0</v>
      </c>
      <c r="J82" s="6" t="s">
        <v>356</v>
      </c>
    </row>
    <row r="83" spans="1:10" x14ac:dyDescent="0.25">
      <c r="A83" t="s">
        <v>41</v>
      </c>
      <c r="B83" t="s">
        <v>104</v>
      </c>
      <c r="C83" t="s">
        <v>0</v>
      </c>
      <c r="D83" s="6">
        <v>700</v>
      </c>
      <c r="E83" s="2">
        <v>168.72</v>
      </c>
      <c r="F83" s="2">
        <v>169.4</v>
      </c>
      <c r="G83" s="6">
        <v>100</v>
      </c>
      <c r="H83" s="2">
        <v>168.779999</v>
      </c>
      <c r="I83" s="6">
        <v>0</v>
      </c>
      <c r="J83" s="6" t="s">
        <v>356</v>
      </c>
    </row>
    <row r="84" spans="1:10" x14ac:dyDescent="0.25">
      <c r="A84" t="s">
        <v>41</v>
      </c>
      <c r="B84" t="s">
        <v>105</v>
      </c>
      <c r="C84" t="s">
        <v>0</v>
      </c>
      <c r="D84" s="6">
        <v>100</v>
      </c>
      <c r="E84" s="2">
        <v>25.99</v>
      </c>
      <c r="F84" s="2">
        <v>28.8</v>
      </c>
      <c r="G84" s="6">
        <v>100</v>
      </c>
      <c r="H84" s="2">
        <v>27.48</v>
      </c>
      <c r="I84" s="6">
        <v>0</v>
      </c>
      <c r="J84" s="6" t="s">
        <v>356</v>
      </c>
    </row>
    <row r="85" spans="1:10" x14ac:dyDescent="0.25">
      <c r="A85" t="s">
        <v>41</v>
      </c>
      <c r="B85" t="s">
        <v>106</v>
      </c>
      <c r="C85" t="s">
        <v>0</v>
      </c>
      <c r="D85" s="6">
        <v>5100</v>
      </c>
      <c r="E85" s="2">
        <v>96</v>
      </c>
      <c r="F85" s="2">
        <v>96.15</v>
      </c>
      <c r="G85" s="6">
        <v>200</v>
      </c>
      <c r="H85" s="2">
        <v>96.160004000000001</v>
      </c>
      <c r="I85" s="6">
        <v>0</v>
      </c>
      <c r="J85" s="6" t="s">
        <v>356</v>
      </c>
    </row>
    <row r="86" spans="1:10" x14ac:dyDescent="0.25">
      <c r="A86" t="s">
        <v>41</v>
      </c>
      <c r="B86" t="s">
        <v>107</v>
      </c>
      <c r="C86" t="s">
        <v>0</v>
      </c>
      <c r="D86" s="6">
        <v>2600</v>
      </c>
      <c r="E86" s="2">
        <v>90.39</v>
      </c>
      <c r="F86" s="2">
        <v>90.56</v>
      </c>
      <c r="G86" s="6">
        <v>600</v>
      </c>
      <c r="H86" s="2">
        <v>90.589995999999999</v>
      </c>
      <c r="I86" s="6">
        <v>0</v>
      </c>
      <c r="J86" s="6" t="s">
        <v>356</v>
      </c>
    </row>
    <row r="87" spans="1:10" x14ac:dyDescent="0.25">
      <c r="A87" t="s">
        <v>41</v>
      </c>
      <c r="B87" t="s">
        <v>108</v>
      </c>
      <c r="C87" t="s">
        <v>0</v>
      </c>
      <c r="D87" s="6">
        <v>100</v>
      </c>
      <c r="E87" s="2">
        <v>41.35</v>
      </c>
      <c r="F87" s="2">
        <v>41.38</v>
      </c>
      <c r="G87" s="6">
        <v>4400</v>
      </c>
      <c r="H87" s="2">
        <v>41.349997999999999</v>
      </c>
      <c r="I87" s="6">
        <v>0</v>
      </c>
      <c r="J87" s="6" t="s">
        <v>356</v>
      </c>
    </row>
    <row r="88" spans="1:10" x14ac:dyDescent="0.25">
      <c r="A88" t="s">
        <v>41</v>
      </c>
      <c r="B88" t="s">
        <v>89</v>
      </c>
      <c r="C88" t="s">
        <v>0</v>
      </c>
      <c r="D88" s="6">
        <v>100</v>
      </c>
      <c r="E88" s="2">
        <v>49.2</v>
      </c>
      <c r="F88" s="2">
        <v>54.12</v>
      </c>
      <c r="G88" s="6">
        <v>100</v>
      </c>
      <c r="H88" s="2">
        <v>51.91</v>
      </c>
      <c r="I88" s="6">
        <v>0</v>
      </c>
      <c r="J88" s="6" t="s">
        <v>356</v>
      </c>
    </row>
    <row r="89" spans="1:10" x14ac:dyDescent="0.25">
      <c r="A89" t="s">
        <v>41</v>
      </c>
      <c r="B89" t="s">
        <v>128</v>
      </c>
      <c r="C89" t="s">
        <v>0</v>
      </c>
      <c r="D89" s="6">
        <v>100</v>
      </c>
      <c r="E89" s="2">
        <v>71.14</v>
      </c>
      <c r="F89" s="2">
        <v>73.42</v>
      </c>
      <c r="G89" s="6">
        <v>100</v>
      </c>
      <c r="H89" s="2">
        <v>71.830001999999993</v>
      </c>
      <c r="I89" s="6">
        <v>2000</v>
      </c>
      <c r="J89" s="6" t="s">
        <v>356</v>
      </c>
    </row>
    <row r="90" spans="1:10" x14ac:dyDescent="0.25">
      <c r="A90" t="s">
        <v>41</v>
      </c>
      <c r="B90" t="s">
        <v>90</v>
      </c>
      <c r="C90" t="s">
        <v>0</v>
      </c>
      <c r="D90" s="6">
        <v>100</v>
      </c>
      <c r="E90" s="2">
        <v>218.78</v>
      </c>
      <c r="F90" s="2">
        <v>225.75</v>
      </c>
      <c r="G90" s="6">
        <v>200</v>
      </c>
      <c r="H90" s="2">
        <v>222.800003</v>
      </c>
      <c r="I90" s="6">
        <v>0</v>
      </c>
      <c r="J90" s="6" t="s">
        <v>356</v>
      </c>
    </row>
    <row r="91" spans="1:10" x14ac:dyDescent="0.25">
      <c r="A91" t="s">
        <v>41</v>
      </c>
      <c r="B91" t="s">
        <v>91</v>
      </c>
      <c r="C91" t="s">
        <v>0</v>
      </c>
      <c r="D91" s="6">
        <v>1500</v>
      </c>
      <c r="E91" s="2">
        <v>81.52</v>
      </c>
      <c r="F91" s="2">
        <v>81.88</v>
      </c>
      <c r="G91" s="6">
        <v>500</v>
      </c>
      <c r="H91" s="2">
        <v>82.279999000000004</v>
      </c>
      <c r="I91" s="6">
        <v>-1765</v>
      </c>
      <c r="J91" s="6" t="s">
        <v>356</v>
      </c>
    </row>
    <row r="92" spans="1:10" x14ac:dyDescent="0.25">
      <c r="A92" t="s">
        <v>41</v>
      </c>
      <c r="B92" t="s">
        <v>109</v>
      </c>
      <c r="C92" t="s">
        <v>0</v>
      </c>
      <c r="D92" s="6">
        <v>700</v>
      </c>
      <c r="E92" s="2">
        <v>297.39</v>
      </c>
      <c r="F92" s="2">
        <v>300.23</v>
      </c>
      <c r="G92" s="6">
        <v>700</v>
      </c>
      <c r="H92" s="2">
        <v>298.60000600000001</v>
      </c>
      <c r="I92" s="6">
        <v>0</v>
      </c>
      <c r="J92" s="6" t="s">
        <v>356</v>
      </c>
    </row>
    <row r="93" spans="1:10" x14ac:dyDescent="0.25">
      <c r="A93" t="s">
        <v>41</v>
      </c>
      <c r="B93" t="s">
        <v>110</v>
      </c>
      <c r="C93" t="s">
        <v>0</v>
      </c>
      <c r="D93" s="6">
        <v>2200</v>
      </c>
      <c r="E93" s="2">
        <v>263.01</v>
      </c>
      <c r="F93" s="2">
        <v>264.05</v>
      </c>
      <c r="G93" s="6">
        <v>2100</v>
      </c>
      <c r="H93" s="2">
        <v>263.57000699999998</v>
      </c>
      <c r="I93" s="6">
        <v>0</v>
      </c>
      <c r="J93" s="6" t="s">
        <v>356</v>
      </c>
    </row>
    <row r="94" spans="1:10" x14ac:dyDescent="0.25">
      <c r="A94" t="s">
        <v>41</v>
      </c>
      <c r="B94" t="s">
        <v>111</v>
      </c>
      <c r="C94" t="s">
        <v>0</v>
      </c>
      <c r="D94" s="6">
        <v>1800</v>
      </c>
      <c r="E94" s="2">
        <v>124.7</v>
      </c>
      <c r="F94" s="2">
        <v>125.24</v>
      </c>
      <c r="G94" s="6">
        <v>1600</v>
      </c>
      <c r="H94" s="2">
        <v>125.099998</v>
      </c>
      <c r="I94" s="6">
        <v>0</v>
      </c>
      <c r="J94" s="6" t="s">
        <v>356</v>
      </c>
    </row>
    <row r="95" spans="1:10" x14ac:dyDescent="0.25">
      <c r="A95" t="s">
        <v>41</v>
      </c>
      <c r="B95" t="s">
        <v>112</v>
      </c>
      <c r="C95" t="s">
        <v>0</v>
      </c>
      <c r="D95" s="6">
        <v>900</v>
      </c>
      <c r="E95" s="2">
        <v>194.46</v>
      </c>
      <c r="F95" s="2">
        <v>195</v>
      </c>
      <c r="G95" s="6">
        <v>1900</v>
      </c>
      <c r="H95" s="2">
        <v>194.529999</v>
      </c>
      <c r="I95" s="6">
        <v>0</v>
      </c>
      <c r="J95" s="6" t="s">
        <v>356</v>
      </c>
    </row>
    <row r="96" spans="1:10" x14ac:dyDescent="0.25">
      <c r="A96" t="s">
        <v>41</v>
      </c>
      <c r="B96" t="s">
        <v>113</v>
      </c>
      <c r="C96" t="s">
        <v>0</v>
      </c>
      <c r="D96" s="6">
        <v>300</v>
      </c>
      <c r="E96" s="2">
        <v>50</v>
      </c>
      <c r="F96" s="2">
        <v>54.51</v>
      </c>
      <c r="G96" s="6">
        <v>100</v>
      </c>
      <c r="H96" s="2">
        <v>50.82</v>
      </c>
      <c r="I96" s="6">
        <v>0</v>
      </c>
      <c r="J96" s="6" t="s">
        <v>356</v>
      </c>
    </row>
    <row r="97" spans="1:10" x14ac:dyDescent="0.25">
      <c r="A97" t="s">
        <v>41</v>
      </c>
      <c r="B97" t="s">
        <v>114</v>
      </c>
      <c r="C97" t="s">
        <v>0</v>
      </c>
      <c r="D97" s="6">
        <v>100</v>
      </c>
      <c r="E97" s="2">
        <v>99.8</v>
      </c>
      <c r="F97" s="2">
        <v>107.24</v>
      </c>
      <c r="G97" s="6">
        <v>100</v>
      </c>
      <c r="H97" s="2">
        <v>100.519997</v>
      </c>
      <c r="I97" s="6">
        <v>-1125</v>
      </c>
      <c r="J97" s="6" t="s">
        <v>356</v>
      </c>
    </row>
    <row r="98" spans="1:10" x14ac:dyDescent="0.25">
      <c r="A98" t="s">
        <v>41</v>
      </c>
      <c r="B98" t="s">
        <v>115</v>
      </c>
      <c r="C98" t="s">
        <v>0</v>
      </c>
      <c r="D98" s="6">
        <v>100</v>
      </c>
      <c r="E98" s="2">
        <v>170.09</v>
      </c>
      <c r="F98" s="2">
        <v>174.38</v>
      </c>
      <c r="G98" s="6">
        <v>200</v>
      </c>
      <c r="H98" s="2">
        <v>170.28999300000001</v>
      </c>
      <c r="I98" s="6">
        <v>0</v>
      </c>
      <c r="J98" s="6" t="s">
        <v>356</v>
      </c>
    </row>
    <row r="99" spans="1:10" x14ac:dyDescent="0.25">
      <c r="A99" t="s">
        <v>41</v>
      </c>
      <c r="B99" t="s">
        <v>116</v>
      </c>
      <c r="C99" t="s">
        <v>0</v>
      </c>
      <c r="D99" s="6">
        <v>8700</v>
      </c>
      <c r="E99" s="2">
        <v>39.659999999999997</v>
      </c>
      <c r="F99" s="2">
        <v>39.72</v>
      </c>
      <c r="G99" s="6">
        <v>100</v>
      </c>
      <c r="H99" s="2">
        <v>39.25</v>
      </c>
      <c r="I99" s="6">
        <v>2850</v>
      </c>
      <c r="J99" s="6" t="s">
        <v>356</v>
      </c>
    </row>
    <row r="100" spans="1:10" x14ac:dyDescent="0.25">
      <c r="A100" t="s">
        <v>41</v>
      </c>
      <c r="B100" t="s">
        <v>189</v>
      </c>
      <c r="C100" t="s">
        <v>0</v>
      </c>
      <c r="D100" s="6">
        <v>200</v>
      </c>
      <c r="E100" s="2">
        <v>208.68</v>
      </c>
      <c r="F100" s="2">
        <v>209.64</v>
      </c>
      <c r="G100" s="6">
        <v>100</v>
      </c>
      <c r="H100" s="2">
        <v>209.259995</v>
      </c>
      <c r="I100" s="6">
        <v>0</v>
      </c>
      <c r="J100" s="6" t="s">
        <v>356</v>
      </c>
    </row>
    <row r="101" spans="1:10" x14ac:dyDescent="0.25">
      <c r="A101" t="s">
        <v>41</v>
      </c>
      <c r="B101" t="s">
        <v>192</v>
      </c>
      <c r="C101" t="s">
        <v>0</v>
      </c>
      <c r="D101" s="6">
        <v>100</v>
      </c>
      <c r="E101" s="2">
        <v>232</v>
      </c>
      <c r="F101" s="2">
        <v>245</v>
      </c>
      <c r="G101" s="6">
        <v>100</v>
      </c>
      <c r="H101" s="2">
        <v>234.19000199999999</v>
      </c>
      <c r="I101" s="6">
        <v>0</v>
      </c>
      <c r="J101" s="6" t="s">
        <v>356</v>
      </c>
    </row>
    <row r="102" spans="1:10" x14ac:dyDescent="0.25">
      <c r="A102" t="s">
        <v>41</v>
      </c>
      <c r="B102" t="s">
        <v>186</v>
      </c>
      <c r="C102" t="s">
        <v>0</v>
      </c>
      <c r="D102" s="6">
        <v>200</v>
      </c>
      <c r="E102" s="2">
        <v>156.84</v>
      </c>
      <c r="F102" s="2">
        <v>157</v>
      </c>
      <c r="G102" s="6">
        <v>900</v>
      </c>
      <c r="H102" s="2">
        <v>156.61000100000001</v>
      </c>
      <c r="I102" s="6">
        <v>0</v>
      </c>
      <c r="J102" s="6" t="s">
        <v>356</v>
      </c>
    </row>
    <row r="103" spans="1:10" x14ac:dyDescent="0.25">
      <c r="A103" t="s">
        <v>41</v>
      </c>
      <c r="B103" t="s">
        <v>187</v>
      </c>
      <c r="C103" t="s">
        <v>0</v>
      </c>
      <c r="D103" s="6">
        <v>300</v>
      </c>
      <c r="E103" s="2">
        <v>210.16</v>
      </c>
      <c r="F103" s="2">
        <v>212.04</v>
      </c>
      <c r="G103" s="6">
        <v>300</v>
      </c>
      <c r="H103" s="2">
        <v>210.71000699999999</v>
      </c>
      <c r="I103" s="6">
        <v>0</v>
      </c>
      <c r="J103" s="6" t="s">
        <v>356</v>
      </c>
    </row>
    <row r="104" spans="1:10" x14ac:dyDescent="0.25">
      <c r="A104" t="s">
        <v>41</v>
      </c>
      <c r="B104" t="s">
        <v>54</v>
      </c>
      <c r="C104" t="s">
        <v>0</v>
      </c>
      <c r="D104" s="6">
        <v>10400</v>
      </c>
      <c r="E104" s="2">
        <v>22.06</v>
      </c>
      <c r="F104" s="2">
        <v>22.27</v>
      </c>
      <c r="G104" s="6">
        <v>10400</v>
      </c>
      <c r="H104" s="2">
        <v>22.25</v>
      </c>
      <c r="I104" s="6">
        <v>0</v>
      </c>
      <c r="J104" s="6" t="s">
        <v>356</v>
      </c>
    </row>
    <row r="105" spans="1:10" x14ac:dyDescent="0.25">
      <c r="A105" t="s">
        <v>41</v>
      </c>
      <c r="B105" t="s">
        <v>55</v>
      </c>
      <c r="C105" t="s">
        <v>0</v>
      </c>
      <c r="D105" s="6">
        <v>1000</v>
      </c>
      <c r="E105" s="2">
        <v>61.04</v>
      </c>
      <c r="F105" s="2">
        <v>62.22</v>
      </c>
      <c r="G105" s="6">
        <v>400</v>
      </c>
      <c r="H105" s="2">
        <v>62.220001000000003</v>
      </c>
      <c r="I105" s="6">
        <v>0</v>
      </c>
      <c r="J105" s="6" t="s">
        <v>356</v>
      </c>
    </row>
    <row r="106" spans="1:10" x14ac:dyDescent="0.25">
      <c r="A106" t="s">
        <v>41</v>
      </c>
      <c r="B106" t="s">
        <v>194</v>
      </c>
      <c r="C106" t="s">
        <v>0</v>
      </c>
      <c r="D106" s="6">
        <v>1500</v>
      </c>
      <c r="E106" s="2">
        <v>62.48</v>
      </c>
      <c r="F106" s="2">
        <v>64.53</v>
      </c>
      <c r="G106" s="6">
        <v>3100</v>
      </c>
      <c r="H106" s="2">
        <v>64.5</v>
      </c>
      <c r="I106" s="6">
        <v>-5000</v>
      </c>
      <c r="J106" s="6" t="s">
        <v>356</v>
      </c>
    </row>
    <row r="107" spans="1:10" x14ac:dyDescent="0.25">
      <c r="A107" t="s">
        <v>41</v>
      </c>
      <c r="B107" t="s">
        <v>195</v>
      </c>
      <c r="C107" t="s">
        <v>0</v>
      </c>
      <c r="D107" s="6">
        <v>400</v>
      </c>
      <c r="E107" s="2">
        <v>87</v>
      </c>
      <c r="F107" s="2">
        <v>89.89</v>
      </c>
      <c r="G107" s="6">
        <v>1400</v>
      </c>
      <c r="H107" s="2">
        <v>88.660004000000001</v>
      </c>
      <c r="I107" s="6">
        <v>3565</v>
      </c>
      <c r="J107" s="6" t="s">
        <v>356</v>
      </c>
    </row>
    <row r="108" spans="1:10" x14ac:dyDescent="0.25">
      <c r="A108" t="s">
        <v>41</v>
      </c>
      <c r="B108" t="s">
        <v>184</v>
      </c>
      <c r="C108" t="s">
        <v>0</v>
      </c>
      <c r="D108" s="6">
        <v>500</v>
      </c>
      <c r="E108" s="2">
        <v>607</v>
      </c>
      <c r="F108" s="2">
        <v>607.26</v>
      </c>
      <c r="G108" s="6">
        <v>200</v>
      </c>
      <c r="H108" s="2">
        <v>600.01000999999997</v>
      </c>
      <c r="I108" s="6">
        <v>0</v>
      </c>
      <c r="J108" s="6" t="s">
        <v>356</v>
      </c>
    </row>
    <row r="109" spans="1:10" x14ac:dyDescent="0.25">
      <c r="A109" t="s">
        <v>41</v>
      </c>
      <c r="B109" t="s">
        <v>185</v>
      </c>
      <c r="C109" t="s">
        <v>0</v>
      </c>
      <c r="D109" s="6">
        <v>1000</v>
      </c>
      <c r="E109" s="2">
        <v>566.94000000000005</v>
      </c>
      <c r="F109" s="2">
        <v>567.01</v>
      </c>
      <c r="G109" s="6">
        <v>200</v>
      </c>
      <c r="H109" s="2">
        <v>560.78997800000002</v>
      </c>
      <c r="I109" s="6">
        <v>0</v>
      </c>
      <c r="J109" s="6" t="s">
        <v>356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BCBC8-B4A0-45E1-90DC-5695E15EDB21}">
  <sheetPr>
    <tabColor theme="6" tint="0.79998168889431442"/>
  </sheetPr>
  <dimension ref="A1:AK33"/>
  <sheetViews>
    <sheetView topLeftCell="G1" zoomScale="85" zoomScaleNormal="85" workbookViewId="0">
      <selection activeCell="AK8" sqref="AK8"/>
    </sheetView>
  </sheetViews>
  <sheetFormatPr defaultRowHeight="15" x14ac:dyDescent="0.25"/>
  <cols>
    <col min="1" max="2" width="9.28515625" bestFit="1" customWidth="1"/>
    <col min="3" max="3" width="14.85546875" bestFit="1" customWidth="1"/>
    <col min="4" max="4" width="11.7109375" bestFit="1" customWidth="1"/>
    <col min="5" max="5" width="9.28515625" bestFit="1" customWidth="1"/>
    <col min="8" max="10" width="9.28515625" bestFit="1" customWidth="1"/>
    <col min="11" max="12" width="10.85546875" customWidth="1"/>
    <col min="13" max="13" width="9.28515625" bestFit="1" customWidth="1"/>
    <col min="14" max="15" width="11" customWidth="1"/>
    <col min="16" max="17" width="10" customWidth="1"/>
    <col min="18" max="18" width="7.42578125" style="1" bestFit="1" customWidth="1"/>
    <col min="19" max="19" width="7.42578125" style="1" customWidth="1"/>
    <col min="20" max="20" width="10" style="1" bestFit="1" customWidth="1"/>
    <col min="21" max="21" width="9.28515625" style="1" bestFit="1" customWidth="1"/>
    <col min="22" max="22" width="9.28515625" style="1" customWidth="1"/>
    <col min="23" max="23" width="7.42578125" style="1" bestFit="1" customWidth="1"/>
    <col min="24" max="24" width="9.28515625" bestFit="1" customWidth="1"/>
    <col min="25" max="25" width="10.7109375" bestFit="1" customWidth="1"/>
    <col min="26" max="27" width="9.28515625" bestFit="1" customWidth="1"/>
    <col min="28" max="28" width="9.140625" style="1"/>
    <col min="29" max="29" width="9.5703125" bestFit="1" customWidth="1"/>
    <col min="30" max="30" width="10.5703125" bestFit="1" customWidth="1"/>
    <col min="31" max="31" width="9" bestFit="1" customWidth="1"/>
    <col min="32" max="32" width="6.140625" bestFit="1" customWidth="1"/>
    <col min="33" max="33" width="8.7109375" bestFit="1" customWidth="1"/>
    <col min="34" max="34" width="11.28515625" bestFit="1" customWidth="1"/>
    <col min="35" max="35" width="10.5703125" bestFit="1" customWidth="1"/>
  </cols>
  <sheetData>
    <row r="1" spans="1:37" x14ac:dyDescent="0.25">
      <c r="A1" s="10"/>
      <c r="B1" s="10"/>
      <c r="C1" s="10"/>
      <c r="D1" s="10"/>
      <c r="E1" s="10"/>
      <c r="F1" s="10"/>
      <c r="G1" s="10"/>
      <c r="H1" s="10"/>
      <c r="I1" s="192"/>
      <c r="J1" s="216"/>
      <c r="K1" s="342">
        <v>5.4999999999999997E-3</v>
      </c>
      <c r="L1" s="342"/>
      <c r="M1" s="217"/>
      <c r="N1" s="19"/>
      <c r="O1" s="19"/>
      <c r="T1" s="285"/>
      <c r="X1" s="344" t="str">
        <f>'MKT DATA'!J2</f>
        <v>2026-09-29_16-03-12</v>
      </c>
      <c r="Y1" s="344"/>
      <c r="Z1" s="344"/>
      <c r="AA1" s="344"/>
      <c r="AB1" s="219"/>
      <c r="AG1" s="382" t="s">
        <v>207</v>
      </c>
      <c r="AH1" s="378">
        <f ca="1">SUM(AH5:AH51)</f>
        <v>729.49259999996559</v>
      </c>
      <c r="AI1" s="380">
        <f ca="1">SUM(AI5:AI51)</f>
        <v>729.49259999996559</v>
      </c>
    </row>
    <row r="2" spans="1:37" ht="15.75" thickBot="1" x14ac:dyDescent="0.3">
      <c r="A2" s="10"/>
      <c r="B2" s="10"/>
      <c r="C2" s="10"/>
      <c r="D2" s="10"/>
      <c r="E2" s="10"/>
      <c r="F2" s="10"/>
      <c r="G2" s="10"/>
      <c r="H2" s="10"/>
      <c r="I2" s="2"/>
      <c r="J2" s="165"/>
      <c r="K2" s="343"/>
      <c r="L2" s="343"/>
      <c r="M2" s="7"/>
      <c r="N2" s="7"/>
      <c r="O2" s="7"/>
      <c r="T2" s="286"/>
      <c r="X2" s="345"/>
      <c r="Y2" s="345"/>
      <c r="Z2" s="345"/>
      <c r="AA2" s="345"/>
      <c r="AC2" s="69"/>
      <c r="AD2" s="69"/>
      <c r="AE2" s="69"/>
      <c r="AF2" s="69"/>
      <c r="AG2" s="383"/>
      <c r="AH2" s="379"/>
      <c r="AI2" s="381"/>
    </row>
    <row r="3" spans="1:37" s="9" customFormat="1" ht="12" x14ac:dyDescent="0.2">
      <c r="A3" s="346" t="s">
        <v>64</v>
      </c>
      <c r="B3" s="347"/>
      <c r="C3" s="90"/>
      <c r="D3" s="75"/>
      <c r="E3" s="62"/>
      <c r="F3" s="52"/>
      <c r="G3" s="52"/>
      <c r="H3" s="348" t="s">
        <v>66</v>
      </c>
      <c r="I3" s="349"/>
      <c r="J3" s="95"/>
      <c r="K3" s="350" t="s">
        <v>211</v>
      </c>
      <c r="L3" s="351"/>
      <c r="M3" s="39"/>
      <c r="N3" s="352" t="s">
        <v>69</v>
      </c>
      <c r="O3" s="353"/>
      <c r="P3" s="354" t="s">
        <v>61</v>
      </c>
      <c r="Q3" s="355"/>
      <c r="R3" s="282"/>
      <c r="S3" s="283"/>
      <c r="T3" s="289"/>
      <c r="U3" s="290"/>
      <c r="V3" s="282"/>
      <c r="W3" s="283"/>
      <c r="X3" s="356" t="s">
        <v>70</v>
      </c>
      <c r="Y3" s="356"/>
      <c r="Z3" s="356"/>
      <c r="AA3" s="357"/>
      <c r="AB3" s="287"/>
      <c r="AC3" s="41"/>
      <c r="AD3" s="43" t="s">
        <v>206</v>
      </c>
      <c r="AE3" s="43" t="s">
        <v>209</v>
      </c>
      <c r="AF3" s="43"/>
      <c r="AG3" s="43" t="s">
        <v>210</v>
      </c>
      <c r="AH3" s="43"/>
      <c r="AI3" s="42" t="s">
        <v>297</v>
      </c>
    </row>
    <row r="4" spans="1:37" s="12" customFormat="1" ht="12.75" thickBot="1" x14ac:dyDescent="0.25">
      <c r="A4" s="31" t="s">
        <v>201</v>
      </c>
      <c r="B4" s="32" t="s">
        <v>65</v>
      </c>
      <c r="C4" s="31" t="s">
        <v>117</v>
      </c>
      <c r="D4" s="76" t="s">
        <v>149</v>
      </c>
      <c r="E4" s="63" t="s">
        <v>76</v>
      </c>
      <c r="F4" s="74" t="s">
        <v>88</v>
      </c>
      <c r="G4" s="53" t="s">
        <v>59</v>
      </c>
      <c r="H4" s="54" t="s">
        <v>67</v>
      </c>
      <c r="I4" s="55" t="s">
        <v>68</v>
      </c>
      <c r="J4" s="96" t="s">
        <v>147</v>
      </c>
      <c r="K4" s="214" t="s">
        <v>67</v>
      </c>
      <c r="L4" s="215" t="s">
        <v>68</v>
      </c>
      <c r="M4" s="56" t="s">
        <v>60</v>
      </c>
      <c r="N4" s="57" t="s">
        <v>62</v>
      </c>
      <c r="O4" s="58" t="s">
        <v>63</v>
      </c>
      <c r="P4" s="40" t="s">
        <v>294</v>
      </c>
      <c r="Q4" s="12" t="s">
        <v>295</v>
      </c>
      <c r="R4" s="367" t="s">
        <v>78</v>
      </c>
      <c r="S4" s="368"/>
      <c r="T4" s="40" t="s">
        <v>296</v>
      </c>
      <c r="U4" s="12" t="s">
        <v>295</v>
      </c>
      <c r="V4" s="367" t="s">
        <v>79</v>
      </c>
      <c r="W4" s="368"/>
      <c r="X4" s="147" t="s">
        <v>71</v>
      </c>
      <c r="Y4" s="148" t="s">
        <v>85</v>
      </c>
      <c r="Z4" s="149" t="s">
        <v>84</v>
      </c>
      <c r="AA4" s="150" t="s">
        <v>72</v>
      </c>
      <c r="AB4" s="63" t="str">
        <f t="shared" ref="AB4:AB30" si="0">G4</f>
        <v>symbol</v>
      </c>
      <c r="AC4" s="189" t="s">
        <v>202</v>
      </c>
      <c r="AD4" s="190" t="s">
        <v>208</v>
      </c>
      <c r="AE4" s="190" t="s">
        <v>204</v>
      </c>
      <c r="AF4" s="190" t="s">
        <v>203</v>
      </c>
      <c r="AG4" s="190" t="s">
        <v>204</v>
      </c>
      <c r="AH4" s="194" t="s">
        <v>205</v>
      </c>
      <c r="AI4" s="55" t="s">
        <v>205</v>
      </c>
    </row>
    <row r="5" spans="1:37" x14ac:dyDescent="0.25">
      <c r="A5" s="84">
        <f>MATCH(G5,SCALARS!C:C,0)</f>
        <v>38</v>
      </c>
      <c r="B5" s="85">
        <f>MATCH(G5,'MKT DATA'!B:B,0)</f>
        <v>38</v>
      </c>
      <c r="C5" s="137" t="str" cm="1">
        <f t="array" aca="1" ref="C5" ca="1">INDIRECT(ADDRESS($A5,2,,,"scalars"))</f>
        <v>munis</v>
      </c>
      <c r="D5" s="162" cm="1">
        <f t="array" aca="1" ref="D5" ca="1">INDIRECT(ADDRESS($A5,8,,,"SCALARS"))</f>
        <v>842900</v>
      </c>
      <c r="E5" s="66">
        <v>0.1002</v>
      </c>
      <c r="F5" s="14" t="str" cm="1">
        <f t="array" aca="1" ref="F5" ca="1">INDIRECT(ADDRESS($A5,5,,,"scalars"))</f>
        <v>MUB</v>
      </c>
      <c r="G5" s="15" t="s">
        <v>21</v>
      </c>
      <c r="H5" s="33" cm="1">
        <f t="array" aca="1" ref="H5" ca="1">INDIRECT(ADDRESS($B5,5,,,"mkt data"))</f>
        <v>40.31</v>
      </c>
      <c r="I5" s="34" cm="1">
        <f t="array" aca="1" ref="I5" ca="1">INDIRECT(ADDRESS($B5,6,,,"mkt data"))</f>
        <v>44.82</v>
      </c>
      <c r="J5" s="170" cm="1">
        <f t="array" aca="1" ref="J5" ca="1">INDIRECT(ADDRESS($A5,7,,,"SCALARS"))</f>
        <v>0</v>
      </c>
      <c r="K5" s="16">
        <f t="shared" ref="K5:K30" ca="1" si="1">H5+J5-K$1</f>
        <v>40.304500000000004</v>
      </c>
      <c r="L5" s="16">
        <f t="shared" ref="L5:L30" ca="1" si="2">I5+J5+K$1</f>
        <v>44.825499999999998</v>
      </c>
      <c r="M5" s="44" cm="1">
        <f t="array" aca="1" ref="M5" ca="1">INDIRECT(ADDRESS($A5,6,,,"scalars"))</f>
        <v>2.3562987017736692</v>
      </c>
      <c r="N5" s="17">
        <f t="shared" ref="N5:N30" ca="1" si="3">K5*M5</f>
        <v>94.969441025636854</v>
      </c>
      <c r="O5" s="17">
        <f t="shared" ref="O5:O30" ca="1" si="4">M5*L5</f>
        <v>105.6222674563556</v>
      </c>
      <c r="P5" s="277">
        <f ca="1">MAX(N5:N7)</f>
        <v>100.0445</v>
      </c>
      <c r="Q5" s="291">
        <f ca="1">P5-P7</f>
        <v>-0.33100000000000307</v>
      </c>
      <c r="R5" s="364">
        <v>1E-3</v>
      </c>
      <c r="S5" s="358" t="b">
        <f ca="1">IF(Q7&gt;R5,TRUE,FALSE)</f>
        <v>0</v>
      </c>
      <c r="T5" s="277">
        <f ca="1">N5*(X5&gt;0)+N6*(X6&gt;0)+N7*(X7&gt;0)</f>
        <v>94.969441025636854</v>
      </c>
      <c r="U5" s="291">
        <f ca="1">T5-T7</f>
        <v>-5.4060589743631482</v>
      </c>
      <c r="V5" s="364">
        <v>2.0000000000000001E-4</v>
      </c>
      <c r="W5" s="358" t="b">
        <f t="shared" ref="W5" ca="1" si="5">AND(U7&gt;V5,U7&lt;&gt;"-")</f>
        <v>0</v>
      </c>
      <c r="X5" s="27" cm="1">
        <f t="array" aca="1" ref="X5" ca="1">INDIRECT(ADDRESS($B5,9,,,"mkt data"))</f>
        <v>4700</v>
      </c>
      <c r="Y5" s="48">
        <f t="shared" ref="Y5:Y30" ca="1" si="6">X5*AVERAGE(H5:I5)</f>
        <v>200055.5</v>
      </c>
      <c r="Z5" s="27">
        <f t="shared" ref="Z5:Z30" ca="1" si="7">X5/M5</f>
        <v>1994.6537323396835</v>
      </c>
      <c r="AA5" s="369">
        <f ca="1">SUM(Z5:Z7)</f>
        <v>-5.3462676603164709</v>
      </c>
      <c r="AB5" s="297" t="str">
        <f t="shared" si="0"/>
        <v>TFI</v>
      </c>
      <c r="AC5" s="33" cm="1">
        <f t="array" aca="1" ref="AC5" ca="1">INDIRECT(ADDRESS($B5,8,,,"mkt data"))</f>
        <v>42.580002</v>
      </c>
      <c r="AD5" s="191">
        <f t="shared" ref="AD5:AD18" ca="1" si="8">AVERAGE(H5,I5)</f>
        <v>42.564999999999998</v>
      </c>
      <c r="AE5" s="191">
        <f ca="1">AD5-AC5</f>
        <v>-1.5002000000002624E-2</v>
      </c>
      <c r="AF5" s="202">
        <v>0</v>
      </c>
      <c r="AG5" s="191">
        <f ca="1">AE5+AF5</f>
        <v>-1.5002000000002624E-2</v>
      </c>
      <c r="AH5" s="191">
        <f t="shared" ref="AH5:AH18" ca="1" si="9">AG5*X5</f>
        <v>-70.509400000012334</v>
      </c>
      <c r="AI5" s="375">
        <f ca="1">SUM(AH5:AH7)</f>
        <v>729.49259999996559</v>
      </c>
      <c r="AJ5" s="418">
        <v>46281</v>
      </c>
      <c r="AK5" s="419"/>
    </row>
    <row r="6" spans="1:37" x14ac:dyDescent="0.25">
      <c r="A6" s="88">
        <f>MATCH(G6,SCALARS!C:C,0)</f>
        <v>39</v>
      </c>
      <c r="B6" s="89">
        <f>MATCH(G6,'MKT DATA'!B:B,0)</f>
        <v>39</v>
      </c>
      <c r="C6" s="79" t="str" cm="1">
        <f t="array" aca="1" ref="C6" ca="1">INDIRECT(ADDRESS($A6,2,,,"scalars"))</f>
        <v>munis</v>
      </c>
      <c r="D6" s="163" cm="1">
        <f t="array" aca="1" ref="D6" ca="1">INDIRECT(ADDRESS($A6,8,,,"SCALARS"))</f>
        <v>12745700</v>
      </c>
      <c r="E6" s="64">
        <v>0.1002</v>
      </c>
      <c r="F6" s="10" t="str" cm="1">
        <f t="array" aca="1" ref="F6" ca="1">INDIRECT(ADDRESS($A6,5,,,"scalars"))</f>
        <v>MUB</v>
      </c>
      <c r="G6" s="8" t="s">
        <v>3</v>
      </c>
      <c r="H6" s="35" cm="1">
        <f t="array" aca="1" ref="H6" ca="1">INDIRECT(ADDRESS($B6,5,,,"mkt data"))</f>
        <v>46.88</v>
      </c>
      <c r="I6" s="36" cm="1">
        <f t="array" aca="1" ref="I6" ca="1">INDIRECT(ADDRESS($B6,6,,,"mkt data"))</f>
        <v>47.3</v>
      </c>
      <c r="J6" s="172" cm="1">
        <f t="array" aca="1" ref="J6" ca="1">INDIRECT(ADDRESS($A6,7,,,"SCALARS"))</f>
        <v>0</v>
      </c>
      <c r="K6" s="18">
        <f t="shared" ca="1" si="1"/>
        <v>46.874500000000005</v>
      </c>
      <c r="L6" s="18">
        <f t="shared" ca="1" si="2"/>
        <v>47.305499999999995</v>
      </c>
      <c r="M6" s="46" cm="1">
        <f t="array" aca="1" ref="M6" ca="1">INDIRECT(ADDRESS($A6,6,,,"scalars"))</f>
        <v>2.1303218841231355</v>
      </c>
      <c r="N6" s="19">
        <f t="shared" ca="1" si="3"/>
        <v>99.85777315732993</v>
      </c>
      <c r="O6" s="19">
        <f t="shared" ca="1" si="4"/>
        <v>100.77594188938697</v>
      </c>
      <c r="P6" s="281"/>
      <c r="Q6" s="292"/>
      <c r="R6" s="365"/>
      <c r="S6" s="359"/>
      <c r="T6" s="281"/>
      <c r="U6" s="292"/>
      <c r="V6" s="365"/>
      <c r="W6" s="359"/>
      <c r="X6" s="28" cm="1">
        <f t="array" aca="1" ref="X6" ca="1">INDIRECT(ADDRESS($B6,9,,,"mkt data"))</f>
        <v>0</v>
      </c>
      <c r="Y6" s="49">
        <f t="shared" ca="1" si="6"/>
        <v>0</v>
      </c>
      <c r="Z6" s="28">
        <f t="shared" ca="1" si="7"/>
        <v>0</v>
      </c>
      <c r="AA6" s="370"/>
      <c r="AB6" s="298" t="str">
        <f t="shared" si="0"/>
        <v>VTEB</v>
      </c>
      <c r="AC6" s="35" cm="1">
        <f t="array" aca="1" ref="AC6" ca="1">INDIRECT(ADDRESS($B6,8,,,"mkt data"))</f>
        <v>47.189999</v>
      </c>
      <c r="AD6" s="192">
        <f t="shared" ca="1" si="8"/>
        <v>47.09</v>
      </c>
      <c r="AE6" s="192">
        <f t="shared" ref="AE6:AE18" ca="1" si="10">AD6-AC6</f>
        <v>-9.999899999999684E-2</v>
      </c>
      <c r="AF6" s="203">
        <v>0</v>
      </c>
      <c r="AG6" s="192">
        <f t="shared" ref="AG6:AG18" ca="1" si="11">AE6+AF6</f>
        <v>-9.999899999999684E-2</v>
      </c>
      <c r="AH6" s="192">
        <f t="shared" ca="1" si="9"/>
        <v>0</v>
      </c>
      <c r="AI6" s="376"/>
    </row>
    <row r="7" spans="1:37" ht="15.75" thickBot="1" x14ac:dyDescent="0.3">
      <c r="A7" s="86">
        <f>MATCH(G7,SCALARS!C:C,0)</f>
        <v>37</v>
      </c>
      <c r="B7" s="87">
        <f>MATCH(G7,'MKT DATA'!B:B,0)</f>
        <v>37</v>
      </c>
      <c r="C7" s="138" t="str" cm="1">
        <f t="array" aca="1" ref="C7" ca="1">INDIRECT(ADDRESS($A7,2,,,"scalars"))</f>
        <v>munis</v>
      </c>
      <c r="D7" s="164" cm="1">
        <f t="array" aca="1" ref="D7" ca="1">INDIRECT(ADDRESS($A7,8,,,"SCALARS"))</f>
        <v>6957400</v>
      </c>
      <c r="E7" s="65">
        <v>0.1002</v>
      </c>
      <c r="F7" s="20" t="str" cm="1">
        <f t="array" aca="1" ref="F7" ca="1">INDIRECT(ADDRESS($A7,5,,,"scalars"))</f>
        <v>MUB</v>
      </c>
      <c r="G7" s="21" t="s">
        <v>4</v>
      </c>
      <c r="H7" s="37" cm="1">
        <f t="array" aca="1" ref="H7" ca="1">INDIRECT(ADDRESS($B7,5,,,"mkt data"))</f>
        <v>100.05</v>
      </c>
      <c r="I7" s="38" cm="1">
        <f t="array" aca="1" ref="I7" ca="1">INDIRECT(ADDRESS($B7,6,,,"mkt data"))</f>
        <v>100.37</v>
      </c>
      <c r="J7" s="171" cm="1">
        <f t="array" aca="1" ref="J7" ca="1">INDIRECT(ADDRESS($A7,7,,,"SCALARS"))</f>
        <v>0</v>
      </c>
      <c r="K7" s="22">
        <f t="shared" ca="1" si="1"/>
        <v>100.0445</v>
      </c>
      <c r="L7" s="22">
        <f t="shared" ca="1" si="2"/>
        <v>100.3755</v>
      </c>
      <c r="M7" s="45" cm="1">
        <f t="array" aca="1" ref="M7" ca="1">INDIRECT(ADDRESS($A7,6,,,"scalars"))</f>
        <v>1</v>
      </c>
      <c r="N7" s="23">
        <f t="shared" ca="1" si="3"/>
        <v>100.0445</v>
      </c>
      <c r="O7" s="23">
        <f t="shared" ca="1" si="4"/>
        <v>100.3755</v>
      </c>
      <c r="P7" s="279">
        <f ca="1">MIN(O5:O7)</f>
        <v>100.3755</v>
      </c>
      <c r="Q7" s="293">
        <f ca="1">LN(P5/P7)</f>
        <v>-3.3030665696136001E-3</v>
      </c>
      <c r="R7" s="366"/>
      <c r="S7" s="360"/>
      <c r="T7" s="280">
        <f ca="1">O5*(X5&lt;0)+O6*(X6&lt;0)+O7*(X7&lt;0)</f>
        <v>100.3755</v>
      </c>
      <c r="U7" s="293">
        <f ca="1">IF(T7&lt;&gt;"-",LN(T5/T7),"-")</f>
        <v>-5.5362987136367225E-2</v>
      </c>
      <c r="V7" s="366"/>
      <c r="W7" s="360"/>
      <c r="X7" s="29" cm="1">
        <f t="array" aca="1" ref="X7" ca="1">INDIRECT(ADDRESS($B7,9,,,"mkt data"))</f>
        <v>-2000</v>
      </c>
      <c r="Y7" s="50">
        <f t="shared" ca="1" si="6"/>
        <v>-200420.00000000003</v>
      </c>
      <c r="Z7" s="29">
        <f t="shared" ca="1" si="7"/>
        <v>-2000</v>
      </c>
      <c r="AA7" s="371"/>
      <c r="AB7" s="298" t="str">
        <f t="shared" si="0"/>
        <v>MUB</v>
      </c>
      <c r="AC7" s="35" cm="1">
        <f t="array" aca="1" ref="AC7" ca="1">INDIRECT(ADDRESS($B7,8,,,"mkt data"))</f>
        <v>100.610001</v>
      </c>
      <c r="AD7" s="192">
        <f t="shared" ca="1" si="8"/>
        <v>100.21000000000001</v>
      </c>
      <c r="AE7" s="192">
        <f t="shared" ca="1" si="10"/>
        <v>-0.40000099999998895</v>
      </c>
      <c r="AF7" s="203">
        <v>0</v>
      </c>
      <c r="AG7" s="192">
        <f t="shared" ca="1" si="11"/>
        <v>-0.40000099999998895</v>
      </c>
      <c r="AH7" s="192">
        <f t="shared" ca="1" si="9"/>
        <v>800.0019999999779</v>
      </c>
      <c r="AI7" s="377"/>
    </row>
    <row r="8" spans="1:37" x14ac:dyDescent="0.25">
      <c r="A8" s="84">
        <f>MATCH(G8,SCALARS!C:C,0)</f>
        <v>35</v>
      </c>
      <c r="B8" s="85">
        <f>MATCH(G8,'MKT DATA'!B:B,0)</f>
        <v>35</v>
      </c>
      <c r="C8" s="137" t="str" cm="1">
        <f t="array" aca="1" ref="C8" ca="1">INDIRECT(ADDRESS($A8,2,,,"scalars"))</f>
        <v>mortgages</v>
      </c>
      <c r="D8" s="162" cm="1">
        <f t="array" aca="1" ref="D8" ca="1">INDIRECT(ADDRESS($A8,8,,,"SCALARS"))</f>
        <v>1243000</v>
      </c>
      <c r="E8" s="66">
        <v>0.16500000000000001</v>
      </c>
      <c r="F8" s="14" t="str" cm="1">
        <f t="array" aca="1" ref="F8" ca="1">INDIRECT(ADDRESS($A8,5,,,"scalars"))</f>
        <v>MBB</v>
      </c>
      <c r="G8" s="15" t="s">
        <v>18</v>
      </c>
      <c r="H8" s="33" cm="1">
        <f t="array" aca="1" ref="H8" ca="1">INDIRECT(ADDRESS($B8,5,,,"mkt data"))</f>
        <v>21.1</v>
      </c>
      <c r="I8" s="34" cm="1">
        <f t="array" aca="1" ref="I8" ca="1">INDIRECT(ADDRESS($B8,6,,,"mkt data"))</f>
        <v>21.18</v>
      </c>
      <c r="J8" s="170" cm="1">
        <f t="array" aca="1" ref="J8" ca="1">INDIRECT(ADDRESS($A8,7,,,"SCALARS"))</f>
        <v>0</v>
      </c>
      <c r="K8" s="16">
        <f t="shared" ca="1" si="1"/>
        <v>21.0945</v>
      </c>
      <c r="L8" s="16">
        <f t="shared" ca="1" si="2"/>
        <v>21.185500000000001</v>
      </c>
      <c r="M8" s="44" cm="1">
        <f t="array" aca="1" ref="M8" ca="1">INDIRECT(ADDRESS($A8,6,,,"scalars"))</f>
        <v>4.2362063800883574</v>
      </c>
      <c r="N8" s="17">
        <f t="shared" ca="1" si="3"/>
        <v>89.360655484773858</v>
      </c>
      <c r="O8" s="17">
        <f t="shared" ca="1" si="4"/>
        <v>89.746150265361905</v>
      </c>
      <c r="P8" s="277">
        <f ca="1">MAX(N8:N10)</f>
        <v>89.51288677978242</v>
      </c>
      <c r="Q8" s="291">
        <f ca="1">P8-P10</f>
        <v>-2.6132202175830344E-3</v>
      </c>
      <c r="R8" s="364"/>
      <c r="S8" s="358"/>
      <c r="T8" s="277">
        <f ca="1">N8*(X8&gt;0)+N9*(X9&gt;0)+N10*(X10&gt;0)</f>
        <v>0</v>
      </c>
      <c r="U8" s="291">
        <f ca="1">T8-T10</f>
        <v>0</v>
      </c>
      <c r="V8" s="364"/>
      <c r="W8" s="358"/>
      <c r="X8" s="27" cm="1">
        <f t="array" aca="1" ref="X8" ca="1">INDIRECT(ADDRESS($B8,9,,,"mkt data"))</f>
        <v>0</v>
      </c>
      <c r="Y8" s="48">
        <f t="shared" ca="1" si="6"/>
        <v>0</v>
      </c>
      <c r="Z8" s="27">
        <f t="shared" ca="1" si="7"/>
        <v>0</v>
      </c>
      <c r="AA8" s="369">
        <f ca="1">SUM(Z8:Z10)</f>
        <v>0</v>
      </c>
      <c r="AB8" s="297" t="str">
        <f t="shared" si="0"/>
        <v>SPMB</v>
      </c>
      <c r="AC8" s="33" cm="1">
        <f t="array" aca="1" ref="AC8" ca="1">INDIRECT(ADDRESS($B8,8,,,"mkt data"))</f>
        <v>21.17</v>
      </c>
      <c r="AD8" s="191">
        <f t="shared" ca="1" si="8"/>
        <v>21.14</v>
      </c>
      <c r="AE8" s="191">
        <f t="shared" ca="1" si="10"/>
        <v>-3.0000000000001137E-2</v>
      </c>
      <c r="AF8" s="202">
        <v>0</v>
      </c>
      <c r="AG8" s="191">
        <f t="shared" ca="1" si="11"/>
        <v>-3.0000000000001137E-2</v>
      </c>
      <c r="AH8" s="191">
        <f t="shared" ca="1" si="9"/>
        <v>0</v>
      </c>
      <c r="AI8" s="375">
        <f ca="1">SUM(AH8:AH10)</f>
        <v>0</v>
      </c>
    </row>
    <row r="9" spans="1:37" x14ac:dyDescent="0.25">
      <c r="A9" s="88">
        <f>MATCH(G9,SCALARS!C:C,0)</f>
        <v>36</v>
      </c>
      <c r="B9" s="89">
        <f>MATCH(G9,'MKT DATA'!B:B,0)</f>
        <v>36</v>
      </c>
      <c r="C9" s="79" t="str" cm="1">
        <f t="array" aca="1" ref="C9" ca="1">INDIRECT(ADDRESS($A9,2,,,"scalars"))</f>
        <v>mortgages</v>
      </c>
      <c r="D9" s="163" cm="1">
        <f t="array" aca="1" ref="D9" ca="1">INDIRECT(ADDRESS($A9,8,,,"SCALARS"))</f>
        <v>1561000</v>
      </c>
      <c r="E9" s="68">
        <v>0.16500000000000001</v>
      </c>
      <c r="F9" s="10" t="str" cm="1">
        <f t="array" aca="1" ref="F9" ca="1">INDIRECT(ADDRESS($A9,5,,,"scalars"))</f>
        <v>MBB</v>
      </c>
      <c r="G9" s="8" t="s">
        <v>19</v>
      </c>
      <c r="H9" s="35" cm="1">
        <f t="array" aca="1" ref="H9" ca="1">INDIRECT(ADDRESS($B9,5,,,"mkt data"))</f>
        <v>44.39</v>
      </c>
      <c r="I9" s="36" cm="1">
        <f t="array" aca="1" ref="I9" ca="1">INDIRECT(ADDRESS($B9,6,,,"mkt data"))</f>
        <v>47</v>
      </c>
      <c r="J9" s="172" cm="1">
        <f t="array" aca="1" ref="J9" ca="1">INDIRECT(ADDRESS($A9,7,,,"SCALARS"))</f>
        <v>0</v>
      </c>
      <c r="K9" s="18">
        <f t="shared" ca="1" si="1"/>
        <v>44.384500000000003</v>
      </c>
      <c r="L9" s="18">
        <f t="shared" ca="1" si="2"/>
        <v>47.005499999999998</v>
      </c>
      <c r="M9" s="46" cm="1">
        <f t="array" aca="1" ref="M9" ca="1">INDIRECT(ADDRESS($A9,6,,,"scalars"))</f>
        <v>2.0167600576728906</v>
      </c>
      <c r="N9" s="19">
        <f t="shared" ca="1" si="3"/>
        <v>89.51288677978242</v>
      </c>
      <c r="O9" s="19">
        <f t="shared" ca="1" si="4"/>
        <v>94.798814890943049</v>
      </c>
      <c r="P9" s="281"/>
      <c r="Q9" s="292"/>
      <c r="R9" s="365"/>
      <c r="S9" s="359"/>
      <c r="T9" s="281"/>
      <c r="U9" s="292"/>
      <c r="V9" s="365"/>
      <c r="W9" s="359"/>
      <c r="X9" s="28" cm="1">
        <f t="array" aca="1" ref="X9" ca="1">INDIRECT(ADDRESS($B9,9,,,"mkt data"))</f>
        <v>0</v>
      </c>
      <c r="Y9" s="49">
        <f t="shared" ca="1" si="6"/>
        <v>0</v>
      </c>
      <c r="Z9" s="28">
        <f t="shared" ca="1" si="7"/>
        <v>0</v>
      </c>
      <c r="AA9" s="370"/>
      <c r="AB9" s="298" t="str">
        <f t="shared" si="0"/>
        <v>VMBS</v>
      </c>
      <c r="AC9" s="35" cm="1">
        <f t="array" aca="1" ref="AC9" ca="1">INDIRECT(ADDRESS($B9,8,,,"mkt data"))</f>
        <v>44.529998999999997</v>
      </c>
      <c r="AD9" s="192">
        <f t="shared" ca="1" si="8"/>
        <v>45.695</v>
      </c>
      <c r="AE9" s="192">
        <f t="shared" ca="1" si="10"/>
        <v>1.1650010000000037</v>
      </c>
      <c r="AF9" s="203">
        <v>0</v>
      </c>
      <c r="AG9" s="192">
        <f t="shared" ca="1" si="11"/>
        <v>1.1650010000000037</v>
      </c>
      <c r="AH9" s="192">
        <f t="shared" ca="1" si="9"/>
        <v>0</v>
      </c>
      <c r="AI9" s="376"/>
    </row>
    <row r="10" spans="1:37" ht="15.75" thickBot="1" x14ac:dyDescent="0.3">
      <c r="A10" s="86">
        <f>MATCH(G10,SCALARS!C:C,0)</f>
        <v>34</v>
      </c>
      <c r="B10" s="87">
        <f>MATCH(G10,'MKT DATA'!B:B,0)</f>
        <v>34</v>
      </c>
      <c r="C10" s="138" t="str" cm="1">
        <f t="array" aca="1" ref="C10" ca="1">INDIRECT(ADDRESS($A10,2,,,"scalars"))</f>
        <v>mortgages</v>
      </c>
      <c r="D10" s="164" cm="1">
        <f t="array" aca="1" ref="D10" ca="1">INDIRECT(ADDRESS($A10,8,,,"SCALARS"))</f>
        <v>3629500</v>
      </c>
      <c r="E10" s="67">
        <v>0.16500000000000001</v>
      </c>
      <c r="F10" s="20" t="str" cm="1">
        <f t="array" aca="1" ref="F10" ca="1">INDIRECT(ADDRESS($A10,5,,,"scalars"))</f>
        <v>MBB</v>
      </c>
      <c r="G10" s="21" t="s">
        <v>20</v>
      </c>
      <c r="H10" s="37" cm="1">
        <f t="array" aca="1" ref="H10" ca="1">INDIRECT(ADDRESS($B10,5,,,"mkt data"))</f>
        <v>85.4</v>
      </c>
      <c r="I10" s="38" cm="1">
        <f t="array" aca="1" ref="I10" ca="1">INDIRECT(ADDRESS($B10,6,,,"mkt data"))</f>
        <v>89.51</v>
      </c>
      <c r="J10" s="171" cm="1">
        <f t="array" aca="1" ref="J10" ca="1">INDIRECT(ADDRESS($A10,7,,,"SCALARS"))</f>
        <v>0</v>
      </c>
      <c r="K10" s="22">
        <f t="shared" ca="1" si="1"/>
        <v>85.394500000000008</v>
      </c>
      <c r="L10" s="22">
        <f t="shared" ca="1" si="2"/>
        <v>89.515500000000003</v>
      </c>
      <c r="M10" s="45" cm="1">
        <f t="array" aca="1" ref="M10" ca="1">INDIRECT(ADDRESS($A10,6,,,"scalars"))</f>
        <v>1</v>
      </c>
      <c r="N10" s="23">
        <f t="shared" ca="1" si="3"/>
        <v>85.394500000000008</v>
      </c>
      <c r="O10" s="23">
        <f t="shared" ca="1" si="4"/>
        <v>89.515500000000003</v>
      </c>
      <c r="P10" s="280">
        <f ca="1">MIN(O8:O10)</f>
        <v>89.515500000000003</v>
      </c>
      <c r="Q10" s="278">
        <f ca="1">LN(P8/P10)</f>
        <v>-2.9193361620113794E-5</v>
      </c>
      <c r="R10" s="366"/>
      <c r="S10" s="360"/>
      <c r="T10" s="280">
        <f ca="1">O8*(X8&gt;0)+O9*(X9&gt;0)+O10*(X10&gt;0)</f>
        <v>0</v>
      </c>
      <c r="U10" s="278" t="str">
        <f ca="1">IF(T10&lt;&gt;0,LN(T8/T10),"-")</f>
        <v>-</v>
      </c>
      <c r="V10" s="366"/>
      <c r="W10" s="360"/>
      <c r="X10" s="29" cm="1">
        <f t="array" aca="1" ref="X10" ca="1">INDIRECT(ADDRESS($B10,9,,,"mkt data"))</f>
        <v>0</v>
      </c>
      <c r="Y10" s="50">
        <f t="shared" ca="1" si="6"/>
        <v>0</v>
      </c>
      <c r="Z10" s="29">
        <f t="shared" ca="1" si="7"/>
        <v>0</v>
      </c>
      <c r="AA10" s="371"/>
      <c r="AB10" s="299" t="str">
        <f t="shared" si="0"/>
        <v>MBB</v>
      </c>
      <c r="AC10" s="37" cm="1">
        <f t="array" aca="1" ref="AC10" ca="1">INDIRECT(ADDRESS($B10,8,,,"mkt data"))</f>
        <v>89.660004000000001</v>
      </c>
      <c r="AD10" s="193">
        <f t="shared" ca="1" si="8"/>
        <v>87.455000000000013</v>
      </c>
      <c r="AE10" s="193">
        <f t="shared" ca="1" si="10"/>
        <v>-2.2050039999999882</v>
      </c>
      <c r="AF10" s="204">
        <v>0</v>
      </c>
      <c r="AG10" s="193">
        <f t="shared" ca="1" si="11"/>
        <v>-2.2050039999999882</v>
      </c>
      <c r="AH10" s="193">
        <f t="shared" ca="1" si="9"/>
        <v>0</v>
      </c>
      <c r="AI10" s="377"/>
    </row>
    <row r="11" spans="1:37" x14ac:dyDescent="0.25">
      <c r="A11" s="84">
        <f>MATCH(G11,SCALARS!C:C,0)</f>
        <v>11</v>
      </c>
      <c r="B11" s="85">
        <f>MATCH(G11,'MKT DATA'!B:B,0)</f>
        <v>11</v>
      </c>
      <c r="C11" s="137" t="str" cm="1">
        <f t="array" aca="1" ref="C11" ca="1">INDIRECT(ADDRESS($A11,2,,,"scalars"))</f>
        <v>corps</v>
      </c>
      <c r="D11" s="162" cm="1">
        <f t="array" aca="1" ref="D11" ca="1">INDIRECT(ADDRESS($A11,8,,,"SCALARS"))</f>
        <v>517600</v>
      </c>
      <c r="E11" s="66">
        <v>0.16500000000000001</v>
      </c>
      <c r="F11" s="14" t="str" cm="1">
        <f t="array" aca="1" ref="F11" ca="1">INDIRECT(ADDRESS($A11,5,,,"scalars"))</f>
        <v>CORP</v>
      </c>
      <c r="G11" s="15" t="s">
        <v>28</v>
      </c>
      <c r="H11" s="33" cm="1">
        <f t="array" aca="1" ref="H11" ca="1">INDIRECT(ADDRESS($B11,5,,,"mkt data"))</f>
        <v>26.27</v>
      </c>
      <c r="I11" s="34" cm="1">
        <f t="array" aca="1" ref="I11" ca="1">INDIRECT(ADDRESS($B11,6,,,"mkt data"))</f>
        <v>27.56</v>
      </c>
      <c r="J11" s="170" cm="1">
        <f t="array" aca="1" ref="J11" ca="1">INDIRECT(ADDRESS($A11,7,,,"SCALARS"))</f>
        <v>0</v>
      </c>
      <c r="K11" s="16">
        <f t="shared" ca="1" si="1"/>
        <v>26.264499999999998</v>
      </c>
      <c r="L11" s="16">
        <f t="shared" ca="1" si="2"/>
        <v>27.5655</v>
      </c>
      <c r="M11" s="44" cm="1">
        <f t="array" aca="1" ref="M11" ca="1">INDIRECT(ADDRESS($A11,6,,,"scalars"))</f>
        <v>3.3385746448746723</v>
      </c>
      <c r="N11" s="17">
        <f t="shared" ca="1" si="3"/>
        <v>87.685993760310822</v>
      </c>
      <c r="O11" s="17">
        <f t="shared" ca="1" si="4"/>
        <v>92.029479373292773</v>
      </c>
      <c r="P11" s="279">
        <f ca="1">MAX(N11:N14)</f>
        <v>89.9345</v>
      </c>
      <c r="Q11" s="292">
        <f ca="1">P11-P14</f>
        <v>-2.0949793732927731</v>
      </c>
      <c r="R11" s="364"/>
      <c r="S11" s="361"/>
      <c r="T11" s="301"/>
      <c r="U11" s="302"/>
      <c r="V11" s="364"/>
      <c r="W11" s="361"/>
      <c r="X11" s="27" cm="1">
        <f t="array" aca="1" ref="X11" ca="1">INDIRECT(ADDRESS($B11,9,,,"mkt data"))</f>
        <v>0</v>
      </c>
      <c r="Y11" s="48">
        <f t="shared" ca="1" si="6"/>
        <v>0</v>
      </c>
      <c r="Z11" s="27">
        <f t="shared" ca="1" si="7"/>
        <v>0</v>
      </c>
      <c r="AA11" s="339">
        <f ca="1">SUM(Z11:Z14)</f>
        <v>0</v>
      </c>
      <c r="AB11" s="298" t="str">
        <f t="shared" si="0"/>
        <v>SPBO</v>
      </c>
      <c r="AC11" s="35" cm="1">
        <f t="array" aca="1" ref="AC11" ca="1">INDIRECT(ADDRESS($B11,8,,,"mkt data"))</f>
        <v>27.58</v>
      </c>
      <c r="AD11" s="192">
        <f t="shared" ca="1" si="8"/>
        <v>26.914999999999999</v>
      </c>
      <c r="AE11" s="192">
        <f t="shared" ca="1" si="10"/>
        <v>-0.66499999999999915</v>
      </c>
      <c r="AF11" s="203">
        <v>0</v>
      </c>
      <c r="AG11" s="192">
        <f t="shared" ca="1" si="11"/>
        <v>-0.66499999999999915</v>
      </c>
      <c r="AH11" s="192">
        <f t="shared" ca="1" si="9"/>
        <v>0</v>
      </c>
      <c r="AI11" s="375">
        <f ca="1">SUM(AH11:AH14)</f>
        <v>0</v>
      </c>
    </row>
    <row r="12" spans="1:37" x14ac:dyDescent="0.25">
      <c r="A12" s="88">
        <f>MATCH(G12,SCALARS!C:C,0)</f>
        <v>12</v>
      </c>
      <c r="B12" s="89">
        <f>MATCH(G12,'MKT DATA'!B:B,0)</f>
        <v>12</v>
      </c>
      <c r="C12" s="79" t="str" cm="1">
        <f t="array" aca="1" ref="C12" ca="1">INDIRECT(ADDRESS($A12,2,,,"scalars"))</f>
        <v>corps</v>
      </c>
      <c r="D12" s="163" cm="1">
        <f t="array" aca="1" ref="D12" ca="1">INDIRECT(ADDRESS($A12,8,,,"SCALARS"))</f>
        <v>2164400</v>
      </c>
      <c r="E12" s="68">
        <v>0.16500000000000001</v>
      </c>
      <c r="F12" s="10" t="str" cm="1">
        <f t="array" aca="1" ref="F12" ca="1">INDIRECT(ADDRESS($A12,5,,,"scalars"))</f>
        <v>CORP</v>
      </c>
      <c r="G12" s="8" t="s">
        <v>29</v>
      </c>
      <c r="H12" s="35" cm="1">
        <f t="array" aca="1" ref="H12" ca="1">INDIRECT(ADDRESS($B12,5,,,"mkt data"))</f>
        <v>46.5</v>
      </c>
      <c r="I12" s="36" cm="1">
        <f t="array" aca="1" ref="I12" ca="1">INDIRECT(ADDRESS($B12,6,,,"mkt data"))</f>
        <v>51.24</v>
      </c>
      <c r="J12" s="172" cm="1">
        <f t="array" aca="1" ref="J12" ca="1">INDIRECT(ADDRESS($A12,7,,,"SCALARS"))</f>
        <v>0</v>
      </c>
      <c r="K12" s="18">
        <f t="shared" ca="1" si="1"/>
        <v>46.494500000000002</v>
      </c>
      <c r="L12" s="18">
        <f t="shared" ca="1" si="2"/>
        <v>51.2455</v>
      </c>
      <c r="M12" s="46" cm="1">
        <f t="array" aca="1" ref="M12" ca="1">INDIRECT(ADDRESS($A12,6,,,"scalars"))</f>
        <v>1.887587836157131</v>
      </c>
      <c r="N12" s="19">
        <f t="shared" ca="1" si="3"/>
        <v>87.762452648207727</v>
      </c>
      <c r="O12" s="19">
        <f t="shared" ca="1" si="4"/>
        <v>96.730382457790256</v>
      </c>
      <c r="P12" s="279"/>
      <c r="Q12" s="292"/>
      <c r="R12" s="365"/>
      <c r="S12" s="362"/>
      <c r="T12" s="279">
        <f ca="1">N11*(X11&gt;0)+N12*(X12&gt;0)+N13*(X13&gt;0)+N14*(X14&gt;0)</f>
        <v>0</v>
      </c>
      <c r="U12" s="292">
        <f ca="1">T12-T13</f>
        <v>0</v>
      </c>
      <c r="V12" s="365"/>
      <c r="W12" s="362"/>
      <c r="X12" s="28" cm="1">
        <f t="array" aca="1" ref="X12" ca="1">INDIRECT(ADDRESS($B12,9,,,"mkt data"))</f>
        <v>0</v>
      </c>
      <c r="Y12" s="49">
        <f t="shared" ca="1" si="6"/>
        <v>0</v>
      </c>
      <c r="Z12" s="28">
        <f t="shared" ca="1" si="7"/>
        <v>0</v>
      </c>
      <c r="AA12" s="340"/>
      <c r="AB12" s="298" t="str">
        <f t="shared" si="0"/>
        <v>USIG</v>
      </c>
      <c r="AC12" s="35" cm="1">
        <f t="array" aca="1" ref="AC12" ca="1">INDIRECT(ADDRESS($B12,8,,,"mkt data"))</f>
        <v>48.82</v>
      </c>
      <c r="AD12" s="192">
        <f t="shared" ca="1" si="8"/>
        <v>48.870000000000005</v>
      </c>
      <c r="AE12" s="192">
        <f t="shared" ca="1" si="10"/>
        <v>5.0000000000004263E-2</v>
      </c>
      <c r="AF12" s="203">
        <v>0</v>
      </c>
      <c r="AG12" s="192">
        <f t="shared" ca="1" si="11"/>
        <v>5.0000000000004263E-2</v>
      </c>
      <c r="AH12" s="192">
        <f t="shared" ca="1" si="9"/>
        <v>0</v>
      </c>
      <c r="AI12" s="376"/>
    </row>
    <row r="13" spans="1:37" x14ac:dyDescent="0.25">
      <c r="A13" s="88">
        <f>MATCH(G13,SCALARS!C:C,0)</f>
        <v>13</v>
      </c>
      <c r="B13" s="89">
        <f>MATCH(G13,'MKT DATA'!B:B,0)</f>
        <v>13</v>
      </c>
      <c r="C13" s="79" t="str" cm="1">
        <f t="array" aca="1" ref="C13" ca="1">INDIRECT(ADDRESS($A13,2,,,"scalars"))</f>
        <v>corps</v>
      </c>
      <c r="D13" s="163" cm="1">
        <f t="array" aca="1" ref="D13" ca="1">INDIRECT(ADDRESS($A13,8,,,"SCALARS"))</f>
        <v>103100</v>
      </c>
      <c r="E13" s="68">
        <v>0.16500000000000001</v>
      </c>
      <c r="F13" s="10" t="str" cm="1">
        <f t="array" aca="1" ref="F13" ca="1">INDIRECT(ADDRESS($A13,5,,,"scalars"))</f>
        <v>CORP</v>
      </c>
      <c r="G13" s="8" t="s">
        <v>30</v>
      </c>
      <c r="H13" s="35" cm="1">
        <f t="array" aca="1" ref="H13" ca="1">INDIRECT(ADDRESS($B13,5,,,"mkt data"))</f>
        <v>70.64</v>
      </c>
      <c r="I13" s="36" cm="1">
        <f t="array" aca="1" ref="I13" ca="1">INDIRECT(ADDRESS($B13,6,,,"mkt data"))</f>
        <v>72.989999999999995</v>
      </c>
      <c r="J13" s="172" cm="1">
        <f t="array" aca="1" ref="J13" ca="1">INDIRECT(ADDRESS($A13,7,,,"SCALARS"))</f>
        <v>0</v>
      </c>
      <c r="K13" s="18">
        <f t="shared" ca="1" si="1"/>
        <v>70.634500000000003</v>
      </c>
      <c r="L13" s="18">
        <f t="shared" ca="1" si="2"/>
        <v>72.995499999999993</v>
      </c>
      <c r="M13" s="46" cm="1">
        <f t="array" aca="1" ref="M13" ca="1">INDIRECT(ADDRESS($A13,6,,,"scalars"))</f>
        <v>1.2622429847942509</v>
      </c>
      <c r="N13" s="19">
        <f t="shared" ca="1" si="3"/>
        <v>89.157902109449523</v>
      </c>
      <c r="O13" s="19">
        <f t="shared" ca="1" si="4"/>
        <v>92.138057796548736</v>
      </c>
      <c r="P13" s="279"/>
      <c r="Q13" s="292"/>
      <c r="R13" s="365"/>
      <c r="S13" s="362"/>
      <c r="T13" s="279">
        <f ca="1">O11*(X11&lt;0)+O12*(X12&lt;0)+O13*(X13&lt;0)+O14*(X14&lt;0)</f>
        <v>0</v>
      </c>
      <c r="U13" s="300" t="str">
        <f ca="1">IF(T13&lt;&gt;0,LN(T12/T13),"-")</f>
        <v>-</v>
      </c>
      <c r="V13" s="365"/>
      <c r="W13" s="362"/>
      <c r="X13" s="28" cm="1">
        <f t="array" aca="1" ref="X13" ca="1">INDIRECT(ADDRESS($B13,9,,,"mkt data"))</f>
        <v>0</v>
      </c>
      <c r="Y13" s="49">
        <f t="shared" ca="1" si="6"/>
        <v>0</v>
      </c>
      <c r="Z13" s="28">
        <f t="shared" ca="1" si="7"/>
        <v>0</v>
      </c>
      <c r="AA13" s="340"/>
      <c r="AB13" s="298" t="str">
        <f t="shared" si="0"/>
        <v>VTC</v>
      </c>
      <c r="AC13" s="35" cm="1">
        <f t="array" aca="1" ref="AC13" ca="1">INDIRECT(ADDRESS($B13,8,,,"mkt data"))</f>
        <v>72.915001000000004</v>
      </c>
      <c r="AD13" s="192">
        <f t="shared" ca="1" si="8"/>
        <v>71.814999999999998</v>
      </c>
      <c r="AE13" s="192">
        <f t="shared" ca="1" si="10"/>
        <v>-1.100001000000006</v>
      </c>
      <c r="AF13" s="203">
        <v>0</v>
      </c>
      <c r="AG13" s="192">
        <f t="shared" ca="1" si="11"/>
        <v>-1.100001000000006</v>
      </c>
      <c r="AH13" s="192">
        <f t="shared" ca="1" si="9"/>
        <v>0</v>
      </c>
      <c r="AI13" s="376"/>
    </row>
    <row r="14" spans="1:37" ht="15.75" thickBot="1" x14ac:dyDescent="0.3">
      <c r="A14" s="86">
        <f>MATCH(G14,SCALARS!C:C,0)</f>
        <v>10</v>
      </c>
      <c r="B14" s="87">
        <f>MATCH(G14,'MKT DATA'!B:B,0)</f>
        <v>10</v>
      </c>
      <c r="C14" s="138" t="str" cm="1">
        <f t="array" aca="1" ref="C14" ca="1">INDIRECT(ADDRESS($A14,2,,,"scalars"))</f>
        <v>corps</v>
      </c>
      <c r="D14" s="164" cm="1">
        <f t="array" aca="1" ref="D14" ca="1">INDIRECT(ADDRESS($A14,8,,,"SCALARS"))</f>
        <v>115800</v>
      </c>
      <c r="E14" s="67">
        <v>0.16500000000000001</v>
      </c>
      <c r="F14" s="20" t="str" cm="1">
        <f t="array" aca="1" ref="F14" ca="1">INDIRECT(ADDRESS($A14,5,,,"scalars"))</f>
        <v>CORP</v>
      </c>
      <c r="G14" s="21" t="s">
        <v>31</v>
      </c>
      <c r="H14" s="37" cm="1">
        <f t="array" aca="1" ref="H14" ca="1">INDIRECT(ADDRESS($B14,5,,,"mkt data"))</f>
        <v>89.94</v>
      </c>
      <c r="I14" s="38" cm="1">
        <f t="array" aca="1" ref="I14" ca="1">INDIRECT(ADDRESS($B14,6,,,"mkt data"))</f>
        <v>97.06</v>
      </c>
      <c r="J14" s="171" cm="1">
        <f t="array" aca="1" ref="J14" ca="1">INDIRECT(ADDRESS($A14,7,,,"SCALARS"))</f>
        <v>0</v>
      </c>
      <c r="K14" s="22">
        <f t="shared" ca="1" si="1"/>
        <v>89.9345</v>
      </c>
      <c r="L14" s="22">
        <f t="shared" ca="1" si="2"/>
        <v>97.0655</v>
      </c>
      <c r="M14" s="45" cm="1">
        <f t="array" aca="1" ref="M14" ca="1">INDIRECT(ADDRESS($A14,6,,,"scalars"))</f>
        <v>1</v>
      </c>
      <c r="N14" s="23">
        <f t="shared" ca="1" si="3"/>
        <v>89.9345</v>
      </c>
      <c r="O14" s="23">
        <f t="shared" ca="1" si="4"/>
        <v>97.0655</v>
      </c>
      <c r="P14" s="279">
        <f ca="1">MIN(O11:O14)</f>
        <v>92.029479373292773</v>
      </c>
      <c r="Q14" s="293">
        <v>-7.632700728893973E-3</v>
      </c>
      <c r="R14" s="365"/>
      <c r="S14" s="362"/>
      <c r="T14" s="169"/>
      <c r="U14" s="303"/>
      <c r="V14" s="365"/>
      <c r="W14" s="362"/>
      <c r="X14" s="29" cm="1">
        <f t="array" aca="1" ref="X14" ca="1">INDIRECT(ADDRESS($B14,9,,,"mkt data"))</f>
        <v>0</v>
      </c>
      <c r="Y14" s="50">
        <f t="shared" ca="1" si="6"/>
        <v>0</v>
      </c>
      <c r="Z14" s="29">
        <f t="shared" ca="1" si="7"/>
        <v>0</v>
      </c>
      <c r="AA14" s="341"/>
      <c r="AB14" s="298" t="str">
        <f t="shared" si="0"/>
        <v>CORP</v>
      </c>
      <c r="AC14" s="35" cm="1">
        <f t="array" aca="1" ref="AC14" ca="1">INDIRECT(ADDRESS($B14,8,,,"mkt data"))</f>
        <v>92.080001999999993</v>
      </c>
      <c r="AD14" s="192">
        <f t="shared" ca="1" si="8"/>
        <v>93.5</v>
      </c>
      <c r="AE14" s="192">
        <f t="shared" ca="1" si="10"/>
        <v>1.4199980000000068</v>
      </c>
      <c r="AF14" s="203">
        <v>0</v>
      </c>
      <c r="AG14" s="192">
        <f t="shared" ca="1" si="11"/>
        <v>1.4199980000000068</v>
      </c>
      <c r="AH14" s="192">
        <f t="shared" ca="1" si="9"/>
        <v>0</v>
      </c>
      <c r="AI14" s="377"/>
    </row>
    <row r="15" spans="1:37" x14ac:dyDescent="0.25">
      <c r="A15" s="84">
        <f>MATCH(G15,SCALARS!C:C,0)</f>
        <v>22</v>
      </c>
      <c r="B15" s="85">
        <f>MATCH(G15,'MKT DATA'!B:B,0)</f>
        <v>22</v>
      </c>
      <c r="C15" s="137" t="str" cm="1">
        <f t="array" aca="1" ref="C15" ca="1">INDIRECT(ADDRESS($A15,2,,,"scalars"))</f>
        <v>hi yld</v>
      </c>
      <c r="D15" s="162" cm="1">
        <f t="array" aca="1" ref="D15" ca="1">INDIRECT(ADDRESS($A15,8,,,"SCALARS"))</f>
        <v>5654000</v>
      </c>
      <c r="E15" s="66">
        <v>0.27500000000000002</v>
      </c>
      <c r="F15" s="14" t="str" cm="1">
        <f t="array" aca="1" ref="F15" ca="1">INDIRECT(ADDRESS($A15,5,,,"scalars"))</f>
        <v>JNK</v>
      </c>
      <c r="G15" s="15" t="s">
        <v>12</v>
      </c>
      <c r="H15" s="33" cm="1">
        <f t="array" aca="1" ref="H15" ca="1">INDIRECT(ADDRESS($B15,5,,,"mkt data"))</f>
        <v>22.55</v>
      </c>
      <c r="I15" s="34" cm="1">
        <f t="array" aca="1" ref="I15" ca="1">INDIRECT(ADDRESS($B15,6,,,"mkt data"))</f>
        <v>22.75</v>
      </c>
      <c r="J15" s="170" cm="1">
        <f t="array" aca="1" ref="J15" ca="1">INDIRECT(ADDRESS($A15,7,,,"SCALARS"))</f>
        <v>0</v>
      </c>
      <c r="K15" s="16">
        <f t="shared" ca="1" si="1"/>
        <v>22.544499999999999</v>
      </c>
      <c r="L15" s="16">
        <f t="shared" ca="1" si="2"/>
        <v>22.755500000000001</v>
      </c>
      <c r="M15" s="44" cm="1">
        <f t="array" aca="1" ref="M15" ca="1">INDIRECT(ADDRESS($A15,6,,,"scalars"))</f>
        <v>4.1125776309759745</v>
      </c>
      <c r="N15" s="17">
        <f t="shared" ca="1" si="3"/>
        <v>92.716006401537854</v>
      </c>
      <c r="O15" s="17">
        <f t="shared" ca="1" si="4"/>
        <v>93.58376028167379</v>
      </c>
      <c r="P15" s="277">
        <f ca="1">MAX(N15:N20)</f>
        <v>93.130231740150109</v>
      </c>
      <c r="Q15" s="291">
        <f ca="1">P15-P20</f>
        <v>-2.5269687982245159E-2</v>
      </c>
      <c r="R15" s="364"/>
      <c r="S15" s="361"/>
      <c r="V15" s="364"/>
      <c r="W15" s="361"/>
      <c r="X15" s="27" cm="1">
        <f t="array" aca="1" ref="X15" ca="1">INDIRECT(ADDRESS($B15,9,,,"mkt data"))</f>
        <v>0</v>
      </c>
      <c r="Y15" s="48">
        <f t="shared" ca="1" si="6"/>
        <v>0</v>
      </c>
      <c r="Z15" s="27">
        <f t="shared" ca="1" si="7"/>
        <v>0</v>
      </c>
      <c r="AA15" s="372">
        <f ca="1">SUM(Z15:Z20)</f>
        <v>0</v>
      </c>
      <c r="AB15" s="297" t="str">
        <f t="shared" si="0"/>
        <v>SPHY</v>
      </c>
      <c r="AC15" s="33" cm="1">
        <f t="array" aca="1" ref="AC15" ca="1">INDIRECT(ADDRESS($B15,8,,,"mkt data"))</f>
        <v>22.690000999999999</v>
      </c>
      <c r="AD15" s="191">
        <f t="shared" ca="1" si="8"/>
        <v>22.65</v>
      </c>
      <c r="AE15" s="191">
        <f t="shared" ca="1" si="10"/>
        <v>-4.0001000000000175E-2</v>
      </c>
      <c r="AF15" s="202">
        <v>0</v>
      </c>
      <c r="AG15" s="191">
        <f t="shared" ca="1" si="11"/>
        <v>-4.0001000000000175E-2</v>
      </c>
      <c r="AH15" s="191">
        <f t="shared" ca="1" si="9"/>
        <v>0</v>
      </c>
      <c r="AI15" s="375">
        <f ca="1">SUM(AH15:AH20)</f>
        <v>0</v>
      </c>
    </row>
    <row r="16" spans="1:37" x14ac:dyDescent="0.25">
      <c r="A16" s="88">
        <f>MATCH(G16,SCALARS!C:C,0)</f>
        <v>21</v>
      </c>
      <c r="B16" s="89">
        <f>MATCH(G16,'MKT DATA'!B:B,0)</f>
        <v>21</v>
      </c>
      <c r="C16" s="79" t="str" cm="1">
        <f t="array" aca="1" ref="C16" ca="1">INDIRECT(ADDRESS($A16,2,,,"scalars"))</f>
        <v>hi yld</v>
      </c>
      <c r="D16" s="163" cm="1">
        <f t="array" aca="1" ref="D16" ca="1">INDIRECT(ADDRESS($A16,8,,,"SCALARS"))</f>
        <v>1024100</v>
      </c>
      <c r="E16" s="68">
        <v>0.27500000000000002</v>
      </c>
      <c r="F16" s="10" t="str" cm="1">
        <f t="array" aca="1" ref="F16" ca="1">INDIRECT(ADDRESS($A16,5,,,"scalars"))</f>
        <v>JNK</v>
      </c>
      <c r="G16" s="8" t="s">
        <v>13</v>
      </c>
      <c r="H16" s="35" cm="1">
        <f t="array" aca="1" ref="H16" ca="1">INDIRECT(ADDRESS($B16,5,,,"mkt data"))</f>
        <v>25.2</v>
      </c>
      <c r="I16" s="36" cm="1">
        <f t="array" aca="1" ref="I16" ca="1">INDIRECT(ADDRESS($B16,6,,,"mkt data"))</f>
        <v>25.69</v>
      </c>
      <c r="J16" s="172" cm="1">
        <f t="array" aca="1" ref="J16" ca="1">INDIRECT(ADDRESS($A16,7,,,"SCALARS"))</f>
        <v>0</v>
      </c>
      <c r="K16" s="18">
        <f t="shared" ca="1" si="1"/>
        <v>25.194499999999998</v>
      </c>
      <c r="L16" s="18">
        <f t="shared" ca="1" si="2"/>
        <v>25.695500000000003</v>
      </c>
      <c r="M16" s="46" cm="1">
        <f t="array" aca="1" ref="M16" ca="1">INDIRECT(ADDRESS($A16,6,,,"scalars"))</f>
        <v>3.6815334229865626</v>
      </c>
      <c r="N16" s="19">
        <f t="shared" ca="1" si="3"/>
        <v>92.754393825434946</v>
      </c>
      <c r="O16" s="19">
        <f t="shared" ca="1" si="4"/>
        <v>94.598842070351225</v>
      </c>
      <c r="P16" s="279"/>
      <c r="Q16" s="292"/>
      <c r="R16" s="365"/>
      <c r="S16" s="362"/>
      <c r="T16" s="279"/>
      <c r="U16" s="292"/>
      <c r="V16" s="365"/>
      <c r="W16" s="362"/>
      <c r="X16" s="28" cm="1">
        <f t="array" aca="1" ref="X16" ca="1">INDIRECT(ADDRESS($B16,9,,,"mkt data"))</f>
        <v>0</v>
      </c>
      <c r="Y16" s="49">
        <f t="shared" ca="1" si="6"/>
        <v>0</v>
      </c>
      <c r="Z16" s="28">
        <f t="shared" ca="1" si="7"/>
        <v>0</v>
      </c>
      <c r="AA16" s="373"/>
      <c r="AB16" s="298" t="str">
        <f t="shared" si="0"/>
        <v>SCYB</v>
      </c>
      <c r="AC16" s="35" cm="1">
        <f t="array" aca="1" ref="AC16" ca="1">INDIRECT(ADDRESS($B16,8,,,"mkt data"))</f>
        <v>25.309999000000001</v>
      </c>
      <c r="AD16" s="192">
        <f t="shared" ca="1" si="8"/>
        <v>25.445</v>
      </c>
      <c r="AE16" s="192">
        <f t="shared" ca="1" si="10"/>
        <v>0.13500099999999904</v>
      </c>
      <c r="AF16" s="203">
        <v>0</v>
      </c>
      <c r="AG16" s="192">
        <f t="shared" ca="1" si="11"/>
        <v>0.13500099999999904</v>
      </c>
      <c r="AH16" s="192">
        <f t="shared" ca="1" si="9"/>
        <v>0</v>
      </c>
      <c r="AI16" s="376"/>
    </row>
    <row r="17" spans="1:35" x14ac:dyDescent="0.25">
      <c r="A17" s="88">
        <f>MATCH(G17,SCALARS!C:C,0)</f>
        <v>19</v>
      </c>
      <c r="B17" s="89">
        <f>MATCH(G17,'MKT DATA'!B:B,0)</f>
        <v>19</v>
      </c>
      <c r="C17" s="79" t="str" cm="1">
        <f t="array" aca="1" ref="C17" ca="1">INDIRECT(ADDRESS($A17,2,,,"scalars"))</f>
        <v>hi yld</v>
      </c>
      <c r="D17" s="163" cm="1">
        <f t="array" aca="1" ref="D17" ca="1">INDIRECT(ADDRESS($A17,8,,,"SCALARS"))</f>
        <v>1023400</v>
      </c>
      <c r="E17" s="68">
        <v>0.27500000000000002</v>
      </c>
      <c r="F17" s="10" t="str" cm="1">
        <f t="array" aca="1" ref="F17" ca="1">INDIRECT(ADDRESS($A17,5,,,"scalars"))</f>
        <v>JNK</v>
      </c>
      <c r="G17" s="8" t="s">
        <v>14</v>
      </c>
      <c r="H17" s="35" cm="1">
        <f t="array" aca="1" ref="H17" ca="1">INDIRECT(ADDRESS($B17,5,,,"mkt data"))</f>
        <v>34.299999999999997</v>
      </c>
      <c r="I17" s="36" cm="1">
        <f t="array" aca="1" ref="I17" ca="1">INDIRECT(ADDRESS($B17,6,,,"mkt data"))</f>
        <v>35.72</v>
      </c>
      <c r="J17" s="172" cm="1">
        <f t="array" aca="1" ref="J17" ca="1">INDIRECT(ADDRESS($A17,7,,,"SCALARS"))</f>
        <v>0</v>
      </c>
      <c r="K17" s="18">
        <f t="shared" ca="1" si="1"/>
        <v>34.294499999999999</v>
      </c>
      <c r="L17" s="18">
        <f t="shared" ca="1" si="2"/>
        <v>35.725499999999997</v>
      </c>
      <c r="M17" s="46" cm="1">
        <f t="array" aca="1" ref="M17" ca="1">INDIRECT(ADDRESS($A17,6,,,"scalars"))</f>
        <v>2.63706732931468</v>
      </c>
      <c r="N17" s="19">
        <f t="shared" ca="1" si="3"/>
        <v>90.436905525182297</v>
      </c>
      <c r="O17" s="19">
        <f t="shared" ca="1" si="4"/>
        <v>94.210548873431591</v>
      </c>
      <c r="P17" s="279"/>
      <c r="Q17" s="292"/>
      <c r="R17" s="365"/>
      <c r="S17" s="362"/>
      <c r="T17" s="279">
        <f ca="1">N15*(X15&gt;0)+N16*(X16&gt;0)+N17*(X17&gt;0)+N18*(X18&gt;0)+N19*(X19&gt;0)+N20*(X20&gt;0)</f>
        <v>0</v>
      </c>
      <c r="U17" s="292">
        <f ca="1">T17-T18</f>
        <v>0</v>
      </c>
      <c r="V17" s="365"/>
      <c r="W17" s="362"/>
      <c r="X17" s="28" cm="1">
        <f t="array" aca="1" ref="X17" ca="1">INDIRECT(ADDRESS($B17,9,,,"mkt data"))</f>
        <v>0</v>
      </c>
      <c r="Y17" s="49">
        <f t="shared" ca="1" si="6"/>
        <v>0</v>
      </c>
      <c r="Z17" s="28">
        <f t="shared" ca="1" si="7"/>
        <v>0</v>
      </c>
      <c r="AA17" s="373"/>
      <c r="AB17" s="298" t="str">
        <f t="shared" si="0"/>
        <v>HYLB</v>
      </c>
      <c r="AC17" s="35" cm="1">
        <f t="array" aca="1" ref="AC17" ca="1">INDIRECT(ADDRESS($B17,8,,,"mkt data"))</f>
        <v>35.369999</v>
      </c>
      <c r="AD17" s="192">
        <f t="shared" ca="1" si="8"/>
        <v>35.01</v>
      </c>
      <c r="AE17" s="192">
        <f t="shared" ca="1" si="10"/>
        <v>-0.35999900000000196</v>
      </c>
      <c r="AF17" s="203">
        <v>0</v>
      </c>
      <c r="AG17" s="192">
        <f t="shared" ca="1" si="11"/>
        <v>-0.35999900000000196</v>
      </c>
      <c r="AH17" s="192">
        <f t="shared" ca="1" si="9"/>
        <v>0</v>
      </c>
      <c r="AI17" s="376"/>
    </row>
    <row r="18" spans="1:35" x14ac:dyDescent="0.25">
      <c r="A18" s="88">
        <f>MATCH(G18,SCALARS!C:C,0)</f>
        <v>23</v>
      </c>
      <c r="B18" s="89">
        <f>MATCH(G18,'MKT DATA'!B:B,0)</f>
        <v>23</v>
      </c>
      <c r="C18" s="79" t="str" cm="1">
        <f t="array" aca="1" ref="C18" ca="1">INDIRECT(ADDRESS($A18,2,,,"scalars"))</f>
        <v>hi yld</v>
      </c>
      <c r="D18" s="163" cm="1">
        <f t="array" aca="1" ref="D18" ca="1">INDIRECT(ADDRESS($A18,8,,,"SCALARS"))</f>
        <v>11681600</v>
      </c>
      <c r="E18" s="68">
        <v>0.27500000000000002</v>
      </c>
      <c r="F18" s="10" t="str" cm="1">
        <f t="array" aca="1" ref="F18" ca="1">INDIRECT(ADDRESS($A18,5,,,"scalars"))</f>
        <v>JNK</v>
      </c>
      <c r="G18" s="8" t="s">
        <v>15</v>
      </c>
      <c r="H18" s="35" cm="1">
        <f t="array" aca="1" ref="H18" ca="1">INDIRECT(ADDRESS($B18,5,,,"mkt data"))</f>
        <v>35.75</v>
      </c>
      <c r="I18" s="36" cm="1">
        <f t="array" aca="1" ref="I18" ca="1">INDIRECT(ADDRESS($B18,6,,,"mkt data"))</f>
        <v>35.82</v>
      </c>
      <c r="J18" s="172" cm="1">
        <f t="array" aca="1" ref="J18" ca="1">INDIRECT(ADDRESS($A18,7,,,"SCALARS"))</f>
        <v>0</v>
      </c>
      <c r="K18" s="18">
        <f t="shared" ca="1" si="1"/>
        <v>35.744500000000002</v>
      </c>
      <c r="L18" s="18">
        <f t="shared" ca="1" si="2"/>
        <v>35.825499999999998</v>
      </c>
      <c r="M18" s="46" cm="1">
        <f t="array" aca="1" ref="M18" ca="1">INDIRECT(ADDRESS($A18,6,,,"scalars"))</f>
        <v>2.601578010930413</v>
      </c>
      <c r="N18" s="19">
        <f t="shared" ca="1" si="3"/>
        <v>92.992105211702153</v>
      </c>
      <c r="O18" s="19">
        <f t="shared" ca="1" si="4"/>
        <v>93.202833030587499</v>
      </c>
      <c r="P18" s="279"/>
      <c r="Q18" s="292"/>
      <c r="R18" s="365"/>
      <c r="S18" s="362"/>
      <c r="T18" s="279">
        <f ca="1">O15*(X15&lt;0)+O16*(X16&lt;0)+O17*(X17&lt;0)+O18*(X18&lt;0)+O19*(X19&lt;0)+O20*(X20&lt;0)</f>
        <v>0</v>
      </c>
      <c r="U18" s="300" t="str">
        <f ca="1">IF(T18&lt;&gt;0,LN(T17/T18),"-")</f>
        <v>-</v>
      </c>
      <c r="V18" s="365"/>
      <c r="W18" s="362"/>
      <c r="X18" s="28" cm="1">
        <f t="array" aca="1" ref="X18" ca="1">INDIRECT(ADDRESS($B18,9,,,"mkt data"))</f>
        <v>0</v>
      </c>
      <c r="Y18" s="49">
        <f t="shared" ca="1" si="6"/>
        <v>0</v>
      </c>
      <c r="Z18" s="28">
        <f t="shared" ca="1" si="7"/>
        <v>0</v>
      </c>
      <c r="AA18" s="373"/>
      <c r="AB18" s="298" t="str">
        <f t="shared" si="0"/>
        <v>USHY</v>
      </c>
      <c r="AC18" s="35" cm="1">
        <f t="array" aca="1" ref="AC18" ca="1">INDIRECT(ADDRESS($B18,8,,,"mkt data"))</f>
        <v>35.860000999999997</v>
      </c>
      <c r="AD18" s="192">
        <f t="shared" ca="1" si="8"/>
        <v>35.784999999999997</v>
      </c>
      <c r="AE18" s="192">
        <f t="shared" ca="1" si="10"/>
        <v>-7.5001000000000317E-2</v>
      </c>
      <c r="AF18" s="203">
        <v>0</v>
      </c>
      <c r="AG18" s="192">
        <f t="shared" ca="1" si="11"/>
        <v>-7.5001000000000317E-2</v>
      </c>
      <c r="AH18" s="192">
        <f t="shared" ca="1" si="9"/>
        <v>0</v>
      </c>
      <c r="AI18" s="376"/>
    </row>
    <row r="19" spans="1:35" x14ac:dyDescent="0.25">
      <c r="A19" s="88">
        <f>MATCH(G19,SCALARS!C:C,0)</f>
        <v>18</v>
      </c>
      <c r="B19" s="89">
        <f>MATCH(G19,'MKT DATA'!B:B,0)</f>
        <v>18</v>
      </c>
      <c r="C19" s="79" t="str" cm="1">
        <f t="array" aca="1" ref="C19" ca="1">INDIRECT(ADDRESS($A19,2,,,"scalars"))</f>
        <v>hi yld</v>
      </c>
      <c r="D19" s="163" cm="1">
        <f t="array" aca="1" ref="D19" ca="1">INDIRECT(ADDRESS($A19,8,,,"SCALARS"))</f>
        <v>35459100</v>
      </c>
      <c r="E19" s="68">
        <v>0.27500000000000002</v>
      </c>
      <c r="F19" s="10" t="str" cm="1">
        <f t="array" aca="1" ref="F19" ca="1">INDIRECT(ADDRESS($A19,5,,,"scalars"))</f>
        <v>JNK</v>
      </c>
      <c r="G19" s="8" t="s">
        <v>16</v>
      </c>
      <c r="H19" s="35" cm="1">
        <f t="array" aca="1" ref="H19" ca="1">INDIRECT(ADDRESS($B19,5,,,"mkt data"))</f>
        <v>77.400000000000006</v>
      </c>
      <c r="I19" s="36" cm="1">
        <f t="array" aca="1" ref="I19" ca="1">INDIRECT(ADDRESS($B19,6,,,"mkt data"))</f>
        <v>77.41</v>
      </c>
      <c r="J19" s="172" cm="1">
        <f t="array" aca="1" ref="J19" ca="1">INDIRECT(ADDRESS($A19,7,,,"SCALARS"))</f>
        <v>0</v>
      </c>
      <c r="K19" s="18">
        <f t="shared" ca="1" si="1"/>
        <v>77.394500000000008</v>
      </c>
      <c r="L19" s="18">
        <f t="shared" ca="1" si="2"/>
        <v>77.415499999999994</v>
      </c>
      <c r="M19" s="46" cm="1">
        <f t="array" aca="1" ref="M19" ca="1">INDIRECT(ADDRESS($A19,6,,,"scalars"))</f>
        <v>1.2033184753457946</v>
      </c>
      <c r="N19" s="19">
        <f t="shared" ca="1" si="3"/>
        <v>93.130231740150109</v>
      </c>
      <c r="O19" s="19">
        <f t="shared" ca="1" si="4"/>
        <v>93.155501428132354</v>
      </c>
      <c r="P19" s="279"/>
      <c r="Q19" s="292"/>
      <c r="R19" s="365"/>
      <c r="S19" s="362"/>
      <c r="T19" s="279"/>
      <c r="U19" s="292"/>
      <c r="V19" s="365"/>
      <c r="W19" s="362"/>
      <c r="X19" s="28" cm="1">
        <f t="array" aca="1" ref="X19" ca="1">INDIRECT(ADDRESS($B19,9,,,"mkt data"))</f>
        <v>0</v>
      </c>
      <c r="Y19" s="49">
        <f t="shared" ca="1" si="6"/>
        <v>0</v>
      </c>
      <c r="Z19" s="28">
        <f t="shared" ca="1" si="7"/>
        <v>0</v>
      </c>
      <c r="AA19" s="373"/>
      <c r="AB19" s="298" t="str">
        <f t="shared" si="0"/>
        <v>HYG</v>
      </c>
      <c r="AC19" s="35" cm="1">
        <f t="array" aca="1" ref="AC19" ca="1">INDIRECT(ADDRESS($B19,8,,,"mkt data"))</f>
        <v>77.540001000000004</v>
      </c>
      <c r="AD19" s="192">
        <f t="shared" ref="AD19:AD30" ca="1" si="12">AVERAGE(H19,I19)</f>
        <v>77.405000000000001</v>
      </c>
      <c r="AE19" s="192">
        <f t="shared" ref="AE19:AE30" ca="1" si="13">AD19-AC19</f>
        <v>-0.13500100000000259</v>
      </c>
      <c r="AF19" s="203">
        <v>0</v>
      </c>
      <c r="AG19" s="192">
        <f t="shared" ref="AG19:AG30" ca="1" si="14">AE19+AF19</f>
        <v>-0.13500100000000259</v>
      </c>
      <c r="AH19" s="192">
        <f t="shared" ref="AH19:AH30" ca="1" si="15">AG19*X19</f>
        <v>0</v>
      </c>
      <c r="AI19" s="376"/>
    </row>
    <row r="20" spans="1:35" ht="15.75" thickBot="1" x14ac:dyDescent="0.3">
      <c r="A20" s="86">
        <f>MATCH(G20,SCALARS!C:C,0)</f>
        <v>20</v>
      </c>
      <c r="B20" s="87">
        <f>MATCH(G20,'MKT DATA'!B:B,0)</f>
        <v>20</v>
      </c>
      <c r="C20" s="138" t="str" cm="1">
        <f t="array" aca="1" ref="C20" ca="1">INDIRECT(ADDRESS($A20,2,,,"scalars"))</f>
        <v>hi yld</v>
      </c>
      <c r="D20" s="164" cm="1">
        <f t="array" aca="1" ref="D20" ca="1">INDIRECT(ADDRESS($A20,8,,,"SCALARS"))</f>
        <v>2735600</v>
      </c>
      <c r="E20" s="67">
        <v>0.27500000000000002</v>
      </c>
      <c r="F20" s="20" t="str" cm="1">
        <f t="array" aca="1" ref="F20" ca="1">INDIRECT(ADDRESS($A20,5,,,"scalars"))</f>
        <v>JNK</v>
      </c>
      <c r="G20" s="21" t="s">
        <v>17</v>
      </c>
      <c r="H20" s="37" cm="1">
        <f t="array" aca="1" ref="H20" ca="1">INDIRECT(ADDRESS($B20,5,,,"mkt data"))</f>
        <v>92.9</v>
      </c>
      <c r="I20" s="38" cm="1">
        <f t="array" aca="1" ref="I20" ca="1">INDIRECT(ADDRESS($B20,6,,,"mkt data"))</f>
        <v>93.59</v>
      </c>
      <c r="J20" s="171" cm="1">
        <f t="array" aca="1" ref="J20" ca="1">INDIRECT(ADDRESS($A20,7,,,"SCALARS"))</f>
        <v>0</v>
      </c>
      <c r="K20" s="22">
        <f t="shared" ca="1" si="1"/>
        <v>92.894500000000008</v>
      </c>
      <c r="L20" s="22">
        <f t="shared" ca="1" si="2"/>
        <v>93.595500000000001</v>
      </c>
      <c r="M20" s="45" cm="1">
        <f t="array" aca="1" ref="M20" ca="1">INDIRECT(ADDRESS($A20,6,,,"scalars"))</f>
        <v>1</v>
      </c>
      <c r="N20" s="23">
        <f t="shared" ca="1" si="3"/>
        <v>92.894500000000008</v>
      </c>
      <c r="O20" s="23">
        <f t="shared" ca="1" si="4"/>
        <v>93.595500000000001</v>
      </c>
      <c r="P20" s="280">
        <f ca="1">MIN(O15:O20)</f>
        <v>93.155501428132354</v>
      </c>
      <c r="Q20" s="278">
        <v>-7.632700728893973E-3</v>
      </c>
      <c r="R20" s="366"/>
      <c r="S20" s="363"/>
      <c r="V20" s="366"/>
      <c r="W20" s="363"/>
      <c r="X20" s="29" cm="1">
        <f t="array" aca="1" ref="X20" ca="1">INDIRECT(ADDRESS($B20,9,,,"mkt data"))</f>
        <v>0</v>
      </c>
      <c r="Y20" s="50">
        <f t="shared" ca="1" si="6"/>
        <v>0</v>
      </c>
      <c r="Z20" s="29">
        <f t="shared" ca="1" si="7"/>
        <v>0</v>
      </c>
      <c r="AA20" s="374"/>
      <c r="AB20" s="299" t="str">
        <f t="shared" si="0"/>
        <v>JNK</v>
      </c>
      <c r="AC20" s="37" cm="1">
        <f t="array" aca="1" ref="AC20" ca="1">INDIRECT(ADDRESS($B20,8,,,"mkt data"))</f>
        <v>93.160004000000001</v>
      </c>
      <c r="AD20" s="193">
        <f t="shared" ca="1" si="12"/>
        <v>93.245000000000005</v>
      </c>
      <c r="AE20" s="193">
        <f t="shared" ca="1" si="13"/>
        <v>8.4996000000003846E-2</v>
      </c>
      <c r="AF20" s="204">
        <v>0</v>
      </c>
      <c r="AG20" s="193">
        <f t="shared" ca="1" si="14"/>
        <v>8.4996000000003846E-2</v>
      </c>
      <c r="AH20" s="193">
        <f t="shared" ca="1" si="15"/>
        <v>0</v>
      </c>
      <c r="AI20" s="377"/>
    </row>
    <row r="21" spans="1:35" x14ac:dyDescent="0.25">
      <c r="A21" s="84">
        <f>MATCH(G21,SCALARS!C:C,0)</f>
        <v>32</v>
      </c>
      <c r="B21" s="85">
        <f>MATCH(G21,'MKT DATA'!B:B,0)</f>
        <v>32</v>
      </c>
      <c r="C21" s="137" t="str" cm="1">
        <f t="array" aca="1" ref="C21" ca="1">INDIRECT(ADDRESS($A21,2,,,"scalars"))</f>
        <v>long term tsy</v>
      </c>
      <c r="D21" s="162" cm="1">
        <f t="array" aca="1" ref="D21" ca="1">INDIRECT(ADDRESS($A21,8,,,"SCALARS"))</f>
        <v>6250700</v>
      </c>
      <c r="E21" s="145"/>
      <c r="F21" s="14" t="str" cm="1">
        <f t="array" aca="1" ref="F21" ca="1">INDIRECT(ADDRESS($A21,5,,,"scalars"))</f>
        <v>VGLT</v>
      </c>
      <c r="G21" s="15" t="s">
        <v>25</v>
      </c>
      <c r="H21" s="33" cm="1">
        <f t="array" aca="1" ref="H21" ca="1">INDIRECT(ADDRESS($B21,5,,,"mkt data"))</f>
        <v>23.96</v>
      </c>
      <c r="I21" s="34" cm="1">
        <f t="array" aca="1" ref="I21" ca="1">INDIRECT(ADDRESS($B21,6,,,"mkt data"))</f>
        <v>23.97</v>
      </c>
      <c r="J21" s="170" cm="1">
        <f t="array" aca="1" ref="J21" ca="1">INDIRECT(ADDRESS($A21,7,,,"SCALARS"))</f>
        <v>0</v>
      </c>
      <c r="K21" s="16">
        <f t="shared" ca="1" si="1"/>
        <v>23.954499999999999</v>
      </c>
      <c r="L21" s="16">
        <f t="shared" ca="1" si="2"/>
        <v>23.9755</v>
      </c>
      <c r="M21" s="44" cm="1">
        <f t="array" aca="1" ref="M21" ca="1">INDIRECT(ADDRESS($A21,6,,,"scalars"))</f>
        <v>2.1017573180361939</v>
      </c>
      <c r="N21" s="17">
        <f t="shared" ca="1" si="3"/>
        <v>50.346545674898003</v>
      </c>
      <c r="O21" s="17">
        <f t="shared" ca="1" si="4"/>
        <v>50.390682578576765</v>
      </c>
      <c r="P21" s="279">
        <f ca="1">MAX(N21:N23)</f>
        <v>50.351694064686598</v>
      </c>
      <c r="Q21" s="292">
        <f ca="1">P21-P23</f>
        <v>-2.3805935313397697E-2</v>
      </c>
      <c r="R21" s="364"/>
      <c r="S21" s="358"/>
      <c r="T21" s="277">
        <f ca="1">N21*(X21&gt;0)+N22*(X22&gt;0)+N23*(X23&gt;0)</f>
        <v>0</v>
      </c>
      <c r="U21" s="291">
        <f ca="1">T21-T23</f>
        <v>0</v>
      </c>
      <c r="V21" s="364"/>
      <c r="W21" s="358"/>
      <c r="X21" s="27" cm="1">
        <f t="array" aca="1" ref="X21" ca="1">INDIRECT(ADDRESS($B21,9,,,"mkt data"))</f>
        <v>0</v>
      </c>
      <c r="Y21" s="48">
        <f t="shared" ca="1" si="6"/>
        <v>0</v>
      </c>
      <c r="Z21" s="27">
        <f t="shared" ca="1" si="7"/>
        <v>0</v>
      </c>
      <c r="AA21" s="369">
        <f ca="1">SUM(Z21:Z23)</f>
        <v>0</v>
      </c>
      <c r="AB21" s="298" t="str">
        <f t="shared" si="0"/>
        <v>SPTL</v>
      </c>
      <c r="AC21" s="35" cm="1">
        <f t="array" aca="1" ref="AC21" ca="1">INDIRECT(ADDRESS($B21,8,,,"mkt data"))</f>
        <v>24.059999000000001</v>
      </c>
      <c r="AD21" s="192">
        <f t="shared" ca="1" si="12"/>
        <v>23.965</v>
      </c>
      <c r="AE21" s="192">
        <f t="shared" ca="1" si="13"/>
        <v>-9.4999000000001388E-2</v>
      </c>
      <c r="AF21" s="203">
        <v>0</v>
      </c>
      <c r="AG21" s="192">
        <f t="shared" ca="1" si="14"/>
        <v>-9.4999000000001388E-2</v>
      </c>
      <c r="AH21" s="192">
        <f t="shared" ca="1" si="15"/>
        <v>0</v>
      </c>
      <c r="AI21" s="375">
        <f ca="1">SUM(AH21:AH23)</f>
        <v>0</v>
      </c>
    </row>
    <row r="22" spans="1:35" x14ac:dyDescent="0.25">
      <c r="A22" s="88">
        <f>MATCH(G22,SCALARS!C:C,0)</f>
        <v>31</v>
      </c>
      <c r="B22" s="89">
        <f>MATCH(G22,'MKT DATA'!B:B,0)</f>
        <v>31</v>
      </c>
      <c r="C22" s="79" t="str" cm="1">
        <f t="array" aca="1" ref="C22" ca="1">INDIRECT(ADDRESS($A22,2,,,"scalars"))</f>
        <v>long term tsy</v>
      </c>
      <c r="D22" s="163" cm="1">
        <f t="array" aca="1" ref="D22" ca="1">INDIRECT(ADDRESS($A22,8,,,"SCALARS"))</f>
        <v>967700</v>
      </c>
      <c r="E22" s="306"/>
      <c r="F22" s="10" t="str" cm="1">
        <f t="array" aca="1" ref="F22" ca="1">INDIRECT(ADDRESS($A22,5,,,"scalars"))</f>
        <v>VGLT</v>
      </c>
      <c r="G22" s="8" t="s">
        <v>26</v>
      </c>
      <c r="H22" s="35" cm="1">
        <f t="array" aca="1" ref="H22" ca="1">INDIRECT(ADDRESS($B22,5,,,"mkt data"))</f>
        <v>28.58</v>
      </c>
      <c r="I22" s="36" cm="1">
        <f t="array" aca="1" ref="I22" ca="1">INDIRECT(ADDRESS($B22,6,,,"mkt data"))</f>
        <v>28.59</v>
      </c>
      <c r="J22" s="172" cm="1">
        <f t="array" aca="1" ref="J22" ca="1">INDIRECT(ADDRESS($A22,7,,,"SCALARS"))</f>
        <v>0</v>
      </c>
      <c r="K22" s="18">
        <f t="shared" ca="1" si="1"/>
        <v>28.574499999999997</v>
      </c>
      <c r="L22" s="18">
        <f t="shared" ca="1" si="2"/>
        <v>28.595500000000001</v>
      </c>
      <c r="M22" s="46" cm="1">
        <f t="array" aca="1" ref="M22" ca="1">INDIRECT(ADDRESS($A22,6,,,"scalars"))</f>
        <v>1.7621198643786105</v>
      </c>
      <c r="N22" s="19">
        <f t="shared" ca="1" si="3"/>
        <v>50.351694064686598</v>
      </c>
      <c r="O22" s="19">
        <f t="shared" ca="1" si="4"/>
        <v>50.388698581838554</v>
      </c>
      <c r="P22" s="281"/>
      <c r="Q22" s="292"/>
      <c r="R22" s="365"/>
      <c r="S22" s="359"/>
      <c r="T22" s="281"/>
      <c r="U22" s="292"/>
      <c r="V22" s="365"/>
      <c r="W22" s="359"/>
      <c r="X22" s="28" cm="1">
        <f t="array" aca="1" ref="X22" ca="1">INDIRECT(ADDRESS($B22,9,,,"mkt data"))</f>
        <v>0</v>
      </c>
      <c r="Y22" s="49">
        <f t="shared" ca="1" si="6"/>
        <v>0</v>
      </c>
      <c r="Z22" s="28">
        <f t="shared" ca="1" si="7"/>
        <v>0</v>
      </c>
      <c r="AA22" s="370"/>
      <c r="AB22" s="298" t="str">
        <f t="shared" si="0"/>
        <v>SCHQ</v>
      </c>
      <c r="AC22" s="35" cm="1">
        <f t="array" aca="1" ref="AC22" ca="1">INDIRECT(ADDRESS($B22,8,,,"mkt data"))</f>
        <v>28.690000999999999</v>
      </c>
      <c r="AD22" s="192">
        <f t="shared" ca="1" si="12"/>
        <v>28.585000000000001</v>
      </c>
      <c r="AE22" s="192">
        <f t="shared" ca="1" si="13"/>
        <v>-0.1050009999999979</v>
      </c>
      <c r="AF22" s="203">
        <v>0</v>
      </c>
      <c r="AG22" s="192">
        <f t="shared" ca="1" si="14"/>
        <v>-0.1050009999999979</v>
      </c>
      <c r="AH22" s="192">
        <f t="shared" ca="1" si="15"/>
        <v>0</v>
      </c>
      <c r="AI22" s="376"/>
    </row>
    <row r="23" spans="1:35" ht="15.75" thickBot="1" x14ac:dyDescent="0.3">
      <c r="A23" s="86">
        <f>MATCH(G23,SCALARS!C:C,0)</f>
        <v>33</v>
      </c>
      <c r="B23" s="87">
        <f>MATCH(G23,'MKT DATA'!B:B,0)</f>
        <v>33</v>
      </c>
      <c r="C23" s="138" t="str" cm="1">
        <f t="array" aca="1" ref="C23" ca="1">INDIRECT(ADDRESS($A23,2,,,"scalars"))</f>
        <v>long term tsy</v>
      </c>
      <c r="D23" s="164" cm="1">
        <f t="array" aca="1" ref="D23" ca="1">INDIRECT(ADDRESS($A23,8,,,"SCALARS"))</f>
        <v>2455300</v>
      </c>
      <c r="E23" s="146"/>
      <c r="F23" s="20" t="str" cm="1">
        <f t="array" aca="1" ref="F23" ca="1">INDIRECT(ADDRESS($A23,5,,,"scalars"))</f>
        <v>VGLT</v>
      </c>
      <c r="G23" s="21" t="s">
        <v>27</v>
      </c>
      <c r="H23" s="37" cm="1">
        <f t="array" aca="1" ref="H23" ca="1">INDIRECT(ADDRESS($B23,5,,,"mkt data"))</f>
        <v>50.35</v>
      </c>
      <c r="I23" s="38" cm="1">
        <f t="array" aca="1" ref="I23" ca="1">INDIRECT(ADDRESS($B23,6,,,"mkt data"))</f>
        <v>50.37</v>
      </c>
      <c r="J23" s="171" cm="1">
        <f t="array" aca="1" ref="J23" ca="1">INDIRECT(ADDRESS($A23,7,,,"SCALARS"))</f>
        <v>0</v>
      </c>
      <c r="K23" s="22">
        <f t="shared" ca="1" si="1"/>
        <v>50.344500000000004</v>
      </c>
      <c r="L23" s="22">
        <f t="shared" ca="1" si="2"/>
        <v>50.375499999999995</v>
      </c>
      <c r="M23" s="45" cm="1">
        <f t="array" aca="1" ref="M23" ca="1">INDIRECT(ADDRESS($A23,6,,,"scalars"))</f>
        <v>1</v>
      </c>
      <c r="N23" s="23">
        <f t="shared" ca="1" si="3"/>
        <v>50.344500000000004</v>
      </c>
      <c r="O23" s="23">
        <f t="shared" ca="1" si="4"/>
        <v>50.375499999999995</v>
      </c>
      <c r="P23" s="279">
        <f ca="1">MIN(O21:O23)</f>
        <v>50.375499999999995</v>
      </c>
      <c r="Q23" s="293">
        <f ca="1">LN(P21/P23)</f>
        <v>-4.7268140401790477E-4</v>
      </c>
      <c r="R23" s="366"/>
      <c r="S23" s="360"/>
      <c r="T23" s="280">
        <f ca="1">O21*(X21&lt;0)+O22*(X22&lt;0)+O23*(X23&lt;0)</f>
        <v>0</v>
      </c>
      <c r="U23" s="300" t="str">
        <f ca="1">IF(T23&lt;&gt;0,LN(T21/T23),"-")</f>
        <v>-</v>
      </c>
      <c r="V23" s="366"/>
      <c r="W23" s="360"/>
      <c r="X23" s="29" cm="1">
        <f t="array" aca="1" ref="X23" ca="1">INDIRECT(ADDRESS($B23,9,,,"mkt data"))</f>
        <v>0</v>
      </c>
      <c r="Y23" s="50">
        <f t="shared" ca="1" si="6"/>
        <v>0</v>
      </c>
      <c r="Z23" s="29">
        <f t="shared" ca="1" si="7"/>
        <v>0</v>
      </c>
      <c r="AA23" s="371"/>
      <c r="AB23" s="298" t="str">
        <f t="shared" si="0"/>
        <v>VGLT</v>
      </c>
      <c r="AC23" s="35" cm="1">
        <f t="array" aca="1" ref="AC23" ca="1">INDIRECT(ADDRESS($B23,8,,,"mkt data"))</f>
        <v>50.57</v>
      </c>
      <c r="AD23" s="192">
        <f t="shared" ca="1" si="12"/>
        <v>50.36</v>
      </c>
      <c r="AE23" s="192">
        <f t="shared" ca="1" si="13"/>
        <v>-0.21000000000000085</v>
      </c>
      <c r="AF23" s="203">
        <v>0</v>
      </c>
      <c r="AG23" s="192">
        <f t="shared" ca="1" si="14"/>
        <v>-0.21000000000000085</v>
      </c>
      <c r="AH23" s="192">
        <f t="shared" ca="1" si="15"/>
        <v>0</v>
      </c>
      <c r="AI23" s="377"/>
    </row>
    <row r="24" spans="1:35" x14ac:dyDescent="0.25">
      <c r="A24" s="84">
        <f>MATCH(G24,SCALARS!C:C,0)</f>
        <v>29</v>
      </c>
      <c r="B24" s="85">
        <f>MATCH(G24,'MKT DATA'!B:B,0)</f>
        <v>29</v>
      </c>
      <c r="C24" s="137" t="str" cm="1">
        <f t="array" aca="1" ref="C24" ca="1">INDIRECT(ADDRESS($A24,2,,,"scalars"))</f>
        <v>long term corps</v>
      </c>
      <c r="D24" s="162" cm="1">
        <f t="array" aca="1" ref="D24" ca="1">INDIRECT(ADDRESS($A24,8,,,"SCALARS"))</f>
        <v>2726800</v>
      </c>
      <c r="E24" s="145"/>
      <c r="F24" s="14" t="str" cm="1">
        <f t="array" aca="1" ref="F24" ca="1">INDIRECT(ADDRESS($A24,5,,,"scalars"))</f>
        <v>VCLT</v>
      </c>
      <c r="G24" s="15" t="s">
        <v>22</v>
      </c>
      <c r="H24" s="33" cm="1">
        <f t="array" aca="1" ref="H24" ca="1">INDIRECT(ADDRESS($B24,5,,,"mkt data"))</f>
        <v>19.55</v>
      </c>
      <c r="I24" s="34" cm="1">
        <f t="array" aca="1" ref="I24" ca="1">INDIRECT(ADDRESS($B24,6,,,"mkt data"))</f>
        <v>21.54</v>
      </c>
      <c r="J24" s="170" cm="1">
        <f t="array" aca="1" ref="J24" ca="1">INDIRECT(ADDRESS($A24,7,,,"SCALARS"))</f>
        <v>0</v>
      </c>
      <c r="K24" s="16">
        <f t="shared" ca="1" si="1"/>
        <v>19.544499999999999</v>
      </c>
      <c r="L24" s="16">
        <f t="shared" ca="1" si="2"/>
        <v>21.545500000000001</v>
      </c>
      <c r="M24" s="44" cm="1">
        <f t="array" aca="1" ref="M24" ca="1">INDIRECT(ADDRESS($A24,6,,,"scalars"))</f>
        <v>3.3605849998281307</v>
      </c>
      <c r="N24" s="17">
        <f t="shared" ca="1" si="3"/>
        <v>65.680953529140893</v>
      </c>
      <c r="O24" s="17">
        <f t="shared" ca="1" si="4"/>
        <v>72.405484113796987</v>
      </c>
      <c r="P24" s="277">
        <f ca="1">MAX(N24:N26)</f>
        <v>67.994500000000002</v>
      </c>
      <c r="Q24" s="291">
        <f ca="1">P24-P26</f>
        <v>-2.2609999999999957</v>
      </c>
      <c r="R24" s="364"/>
      <c r="S24" s="358"/>
      <c r="T24" s="277">
        <f ca="1">N24*(X24&gt;0)+N25*(X25&gt;0)+N26*(X26&gt;0)</f>
        <v>0</v>
      </c>
      <c r="U24" s="291">
        <f ca="1">T24-T26</f>
        <v>0</v>
      </c>
      <c r="V24" s="364"/>
      <c r="W24" s="358"/>
      <c r="X24" s="27" cm="1">
        <f t="array" aca="1" ref="X24" ca="1">INDIRECT(ADDRESS($B24,9,,,"mkt data"))</f>
        <v>0</v>
      </c>
      <c r="Y24" s="48">
        <f t="shared" ca="1" si="6"/>
        <v>0</v>
      </c>
      <c r="Z24" s="27">
        <f t="shared" ca="1" si="7"/>
        <v>0</v>
      </c>
      <c r="AA24" s="369">
        <f ca="1">SUM(Z24:Z26)</f>
        <v>0</v>
      </c>
      <c r="AB24" s="297" t="str">
        <f t="shared" si="0"/>
        <v>SPLB</v>
      </c>
      <c r="AC24" s="33" cm="1">
        <f t="array" aca="1" ref="AC24" ca="1">INDIRECT(ADDRESS($B24,8,,,"mkt data"))</f>
        <v>20.52</v>
      </c>
      <c r="AD24" s="191">
        <f t="shared" ca="1" si="12"/>
        <v>20.545000000000002</v>
      </c>
      <c r="AE24" s="191">
        <f t="shared" ca="1" si="13"/>
        <v>2.5000000000002132E-2</v>
      </c>
      <c r="AF24" s="202">
        <v>0</v>
      </c>
      <c r="AG24" s="191">
        <f t="shared" ca="1" si="14"/>
        <v>2.5000000000002132E-2</v>
      </c>
      <c r="AH24" s="191">
        <f t="shared" ca="1" si="15"/>
        <v>0</v>
      </c>
      <c r="AI24" s="375">
        <f ca="1">SUM(AH24:AH26)</f>
        <v>0</v>
      </c>
    </row>
    <row r="25" spans="1:35" x14ac:dyDescent="0.25">
      <c r="A25" s="88">
        <f>MATCH(G25,SCALARS!C:C,0)</f>
        <v>28</v>
      </c>
      <c r="B25" s="89">
        <f>MATCH(G25,'MKT DATA'!B:B,0)</f>
        <v>28</v>
      </c>
      <c r="C25" s="79" t="str" cm="1">
        <f t="array" aca="1" ref="C25" ca="1">INDIRECT(ADDRESS($A25,2,,,"scalars"))</f>
        <v>long term corps</v>
      </c>
      <c r="D25" s="163" cm="1">
        <f t="array" aca="1" ref="D25" ca="1">INDIRECT(ADDRESS($A25,8,,,"SCALARS"))</f>
        <v>2109100</v>
      </c>
      <c r="E25" s="306"/>
      <c r="F25" s="10" t="str" cm="1">
        <f t="array" aca="1" ref="F25" ca="1">INDIRECT(ADDRESS($A25,5,,,"scalars"))</f>
        <v>VCLT</v>
      </c>
      <c r="G25" s="8" t="s">
        <v>23</v>
      </c>
      <c r="H25" s="35" cm="1">
        <f t="array" aca="1" ref="H25" ca="1">INDIRECT(ADDRESS($B25,5,,,"mkt data"))</f>
        <v>43.8</v>
      </c>
      <c r="I25" s="36" cm="1">
        <f t="array" aca="1" ref="I25" ca="1">INDIRECT(ADDRESS($B25,6,,,"mkt data"))</f>
        <v>48.26</v>
      </c>
      <c r="J25" s="172" cm="1">
        <f t="array" aca="1" ref="J25" ca="1">INDIRECT(ADDRESS($A25,7,,,"SCALARS"))</f>
        <v>0</v>
      </c>
      <c r="K25" s="18">
        <f t="shared" ca="1" si="1"/>
        <v>43.794499999999999</v>
      </c>
      <c r="L25" s="18">
        <f t="shared" ca="1" si="2"/>
        <v>48.265499999999996</v>
      </c>
      <c r="M25" s="46" cm="1">
        <f t="array" aca="1" ref="M25" ca="1">INDIRECT(ADDRESS($A25,6,,,"scalars"))</f>
        <v>1.5005264406293857</v>
      </c>
      <c r="N25" s="19">
        <f t="shared" ca="1" si="3"/>
        <v>65.71480520414363</v>
      </c>
      <c r="O25" s="19">
        <f t="shared" ca="1" si="4"/>
        <v>72.42365892019761</v>
      </c>
      <c r="P25" s="281"/>
      <c r="Q25" s="156"/>
      <c r="R25" s="365"/>
      <c r="S25" s="359"/>
      <c r="T25" s="281"/>
      <c r="U25" s="292"/>
      <c r="V25" s="365"/>
      <c r="W25" s="359"/>
      <c r="X25" s="28" cm="1">
        <f t="array" aca="1" ref="X25" ca="1">INDIRECT(ADDRESS($B25,9,,,"mkt data"))</f>
        <v>0</v>
      </c>
      <c r="Y25" s="49">
        <f t="shared" ca="1" si="6"/>
        <v>0</v>
      </c>
      <c r="Z25" s="28">
        <f t="shared" ca="1" si="7"/>
        <v>0</v>
      </c>
      <c r="AA25" s="370"/>
      <c r="AB25" s="298" t="str">
        <f t="shared" si="0"/>
        <v>IGLB</v>
      </c>
      <c r="AC25" s="35" cm="1">
        <f t="array" aca="1" ref="AC25" ca="1">INDIRECT(ADDRESS($B25,8,,,"mkt data"))</f>
        <v>45.98</v>
      </c>
      <c r="AD25" s="192">
        <f t="shared" ca="1" si="12"/>
        <v>46.03</v>
      </c>
      <c r="AE25" s="192">
        <f t="shared" ca="1" si="13"/>
        <v>5.0000000000004263E-2</v>
      </c>
      <c r="AF25" s="203">
        <v>0</v>
      </c>
      <c r="AG25" s="192">
        <f t="shared" ca="1" si="14"/>
        <v>5.0000000000004263E-2</v>
      </c>
      <c r="AH25" s="192">
        <f t="shared" ca="1" si="15"/>
        <v>0</v>
      </c>
      <c r="AI25" s="376"/>
    </row>
    <row r="26" spans="1:35" ht="15.75" thickBot="1" x14ac:dyDescent="0.3">
      <c r="A26" s="86">
        <f>MATCH(G26,SCALARS!C:C,0)</f>
        <v>30</v>
      </c>
      <c r="B26" s="87">
        <f>MATCH(G26,'MKT DATA'!B:B,0)</f>
        <v>30</v>
      </c>
      <c r="C26" s="138" t="str" cm="1">
        <f t="array" aca="1" ref="C26" ca="1">INDIRECT(ADDRESS($A26,2,,,"scalars"))</f>
        <v>long term corps</v>
      </c>
      <c r="D26" s="164" cm="1">
        <f t="array" aca="1" ref="D26" ca="1">INDIRECT(ADDRESS($A26,8,,,"SCALARS"))</f>
        <v>4149500</v>
      </c>
      <c r="E26" s="146"/>
      <c r="F26" s="20" t="str" cm="1">
        <f t="array" aca="1" ref="F26" ca="1">INDIRECT(ADDRESS($A26,5,,,"scalars"))</f>
        <v>VCLT</v>
      </c>
      <c r="G26" s="21" t="s">
        <v>24</v>
      </c>
      <c r="H26" s="37" cm="1">
        <f t="array" aca="1" ref="H26" ca="1">INDIRECT(ADDRESS($B26,5,,,"mkt data"))</f>
        <v>68</v>
      </c>
      <c r="I26" s="38" cm="1">
        <f t="array" aca="1" ref="I26" ca="1">INDIRECT(ADDRESS($B26,6,,,"mkt data"))</f>
        <v>70.25</v>
      </c>
      <c r="J26" s="171" cm="1">
        <f t="array" aca="1" ref="J26" ca="1">INDIRECT(ADDRESS($A26,7,,,"SCALARS"))</f>
        <v>0</v>
      </c>
      <c r="K26" s="22">
        <f t="shared" ca="1" si="1"/>
        <v>67.994500000000002</v>
      </c>
      <c r="L26" s="22">
        <f t="shared" ca="1" si="2"/>
        <v>70.255499999999998</v>
      </c>
      <c r="M26" s="45" cm="1">
        <f t="array" aca="1" ref="M26" ca="1">INDIRECT(ADDRESS($A26,6,,,"scalars"))</f>
        <v>1</v>
      </c>
      <c r="N26" s="23">
        <f t="shared" ca="1" si="3"/>
        <v>67.994500000000002</v>
      </c>
      <c r="O26" s="23">
        <f t="shared" ca="1" si="4"/>
        <v>70.255499999999998</v>
      </c>
      <c r="P26" s="280">
        <f ca="1">MIN(O24:O26)</f>
        <v>70.255499999999998</v>
      </c>
      <c r="Q26" s="278">
        <f ca="1">LN(P24/P26)</f>
        <v>-3.2711777412145836E-2</v>
      </c>
      <c r="R26" s="366"/>
      <c r="S26" s="360"/>
      <c r="T26" s="280">
        <f ca="1">O24*(X24&lt;0)+O25*(X25&lt;0)+O26*(X26&lt;0)</f>
        <v>0</v>
      </c>
      <c r="U26" s="278" t="str">
        <f ca="1">IF(T26&lt;&gt;0,LN(T24/T26),"-")</f>
        <v>-</v>
      </c>
      <c r="V26" s="366"/>
      <c r="W26" s="360"/>
      <c r="X26" s="29" cm="1">
        <f t="array" aca="1" ref="X26" ca="1">INDIRECT(ADDRESS($B26,9,,,"mkt data"))</f>
        <v>0</v>
      </c>
      <c r="Y26" s="50">
        <f t="shared" ca="1" si="6"/>
        <v>0</v>
      </c>
      <c r="Z26" s="29">
        <f t="shared" ca="1" si="7"/>
        <v>0</v>
      </c>
      <c r="AA26" s="371"/>
      <c r="AB26" s="299" t="str">
        <f t="shared" si="0"/>
        <v>VCLT</v>
      </c>
      <c r="AC26" s="37" cm="1">
        <f t="array" aca="1" ref="AC26" ca="1">INDIRECT(ADDRESS($B26,8,,,"mkt data"))</f>
        <v>68.970000999999996</v>
      </c>
      <c r="AD26" s="193">
        <f t="shared" ca="1" si="12"/>
        <v>69.125</v>
      </c>
      <c r="AE26" s="193">
        <f t="shared" ca="1" si="13"/>
        <v>0.15499900000000366</v>
      </c>
      <c r="AF26" s="204">
        <v>0</v>
      </c>
      <c r="AG26" s="193">
        <f t="shared" ca="1" si="14"/>
        <v>0.15499900000000366</v>
      </c>
      <c r="AH26" s="193">
        <f t="shared" ca="1" si="15"/>
        <v>0</v>
      </c>
      <c r="AI26" s="377"/>
    </row>
    <row r="27" spans="1:35" x14ac:dyDescent="0.25">
      <c r="A27" s="84">
        <f>MATCH(G27,SCALARS!C:C,0)</f>
        <v>4</v>
      </c>
      <c r="B27" s="85">
        <f>MATCH(G27,'MKT DATA'!B:B,0)</f>
        <v>4</v>
      </c>
      <c r="C27" s="137" t="str" cm="1">
        <f t="array" aca="1" ref="C27" ca="1">INDIRECT(ADDRESS($A27,2,,,"scalars"))</f>
        <v>agg</v>
      </c>
      <c r="D27" s="162" cm="1">
        <f t="array" aca="1" ref="D27" ca="1">INDIRECT(ADDRESS($A27,8,,,"SCALARS"))</f>
        <v>2156400</v>
      </c>
      <c r="E27" s="145"/>
      <c r="F27" s="14" t="str" cm="1">
        <f t="array" aca="1" ref="F27" ca="1">INDIRECT(ADDRESS($A27,5,,,"scalars"))</f>
        <v>AGG</v>
      </c>
      <c r="G27" s="15" t="s">
        <v>5</v>
      </c>
      <c r="H27" s="33" cm="1">
        <f t="array" aca="1" ref="H27" ca="1">INDIRECT(ADDRESS($B27,5,,,"mkt data"))</f>
        <v>22</v>
      </c>
      <c r="I27" s="34" cm="1">
        <f t="array" aca="1" ref="I27" ca="1">INDIRECT(ADDRESS($B27,6,,,"mkt data"))</f>
        <v>22.47</v>
      </c>
      <c r="J27" s="170" cm="1">
        <f t="array" aca="1" ref="J27" ca="1">INDIRECT(ADDRESS($A27,7,,,"SCALARS"))</f>
        <v>0</v>
      </c>
      <c r="K27" s="16">
        <f t="shared" ca="1" si="1"/>
        <v>21.994499999999999</v>
      </c>
      <c r="L27" s="16">
        <f t="shared" ca="1" si="2"/>
        <v>22.4755</v>
      </c>
      <c r="M27" s="44" cm="1">
        <f t="array" aca="1" ref="M27" ca="1">INDIRECT(ADDRESS($A27,6,,,"scalars"))</f>
        <v>4.2784875370075781</v>
      </c>
      <c r="N27" s="17">
        <f t="shared" ca="1" si="3"/>
        <v>94.10319413271317</v>
      </c>
      <c r="O27" s="17">
        <f t="shared" ca="1" si="4"/>
        <v>96.161146638013818</v>
      </c>
      <c r="P27" s="279">
        <f ca="1">MAX(N27:N30)</f>
        <v>94.570872241018677</v>
      </c>
      <c r="Q27" s="292">
        <f ca="1">P27-P30</f>
        <v>-4.4627758981320653E-2</v>
      </c>
      <c r="R27" s="364"/>
      <c r="S27" s="361"/>
      <c r="T27" s="301"/>
      <c r="U27" s="302"/>
      <c r="V27" s="364"/>
      <c r="W27" s="361"/>
      <c r="X27" s="27" cm="1">
        <f t="array" aca="1" ref="X27" ca="1">INDIRECT(ADDRESS($B27,9,,,"mkt data"))</f>
        <v>0</v>
      </c>
      <c r="Y27" s="48">
        <f t="shared" ca="1" si="6"/>
        <v>0</v>
      </c>
      <c r="Z27" s="27">
        <f t="shared" ca="1" si="7"/>
        <v>0</v>
      </c>
      <c r="AA27" s="339">
        <f ca="1">SUM(Z27:Z30)</f>
        <v>0</v>
      </c>
      <c r="AB27" s="298" t="str">
        <f t="shared" si="0"/>
        <v>SCHZ</v>
      </c>
      <c r="AC27" s="35" cm="1">
        <f t="array" aca="1" ref="AC27" ca="1">INDIRECT(ADDRESS($B27,8,,,"mkt data"))</f>
        <v>22.129999000000002</v>
      </c>
      <c r="AD27" s="192">
        <f t="shared" ca="1" si="12"/>
        <v>22.234999999999999</v>
      </c>
      <c r="AE27" s="192">
        <f t="shared" ca="1" si="13"/>
        <v>0.1050009999999979</v>
      </c>
      <c r="AF27" s="203">
        <v>0</v>
      </c>
      <c r="AG27" s="192">
        <f t="shared" ca="1" si="14"/>
        <v>0.1050009999999979</v>
      </c>
      <c r="AH27" s="192">
        <f t="shared" ca="1" si="15"/>
        <v>0</v>
      </c>
      <c r="AI27" s="375">
        <f ca="1">SUM(AH27:AH30)</f>
        <v>0</v>
      </c>
    </row>
    <row r="28" spans="1:35" x14ac:dyDescent="0.25">
      <c r="A28" s="88">
        <f>MATCH(G28,SCALARS!C:C,0)</f>
        <v>5</v>
      </c>
      <c r="B28" s="89">
        <f>MATCH(G28,'MKT DATA'!B:B,0)</f>
        <v>5</v>
      </c>
      <c r="C28" s="79" t="str" cm="1">
        <f t="array" aca="1" ref="C28" ca="1">INDIRECT(ADDRESS($A28,2,,,"scalars"))</f>
        <v>agg</v>
      </c>
      <c r="D28" s="163" cm="1">
        <f t="array" aca="1" ref="D28" ca="1">INDIRECT(ADDRESS($A28,8,,,"SCALARS"))</f>
        <v>2699900</v>
      </c>
      <c r="E28" s="306"/>
      <c r="F28" s="10" t="str" cm="1">
        <f t="array" aca="1" ref="F28" ca="1">INDIRECT(ADDRESS($A28,5,,,"scalars"))</f>
        <v>AGG</v>
      </c>
      <c r="G28" s="8" t="s">
        <v>6</v>
      </c>
      <c r="H28" s="35" cm="1">
        <f t="array" aca="1" ref="H28" ca="1">INDIRECT(ADDRESS($B28,5,,,"mkt data"))</f>
        <v>23.24</v>
      </c>
      <c r="I28" s="36" cm="1">
        <f t="array" aca="1" ref="I28" ca="1">INDIRECT(ADDRESS($B28,6,,,"mkt data"))</f>
        <v>24.81</v>
      </c>
      <c r="J28" s="172" cm="1">
        <f t="array" aca="1" ref="J28" ca="1">INDIRECT(ADDRESS($A28,7,,,"SCALARS"))</f>
        <v>0</v>
      </c>
      <c r="K28" s="18">
        <f t="shared" ca="1" si="1"/>
        <v>23.234499999999997</v>
      </c>
      <c r="L28" s="18">
        <f t="shared" ca="1" si="2"/>
        <v>24.8155</v>
      </c>
      <c r="M28" s="46" cm="1">
        <f t="array" aca="1" ref="M28" ca="1">INDIRECT(ADDRESS($A28,6,,,"scalars"))</f>
        <v>3.879379510030232</v>
      </c>
      <c r="N28" s="19">
        <f t="shared" ca="1" si="3"/>
        <v>90.135443225797417</v>
      </c>
      <c r="O28" s="19">
        <f t="shared" ca="1" si="4"/>
        <v>96.268742231155215</v>
      </c>
      <c r="P28" s="279"/>
      <c r="Q28" s="292"/>
      <c r="R28" s="365"/>
      <c r="S28" s="362"/>
      <c r="T28" s="279">
        <f ca="1">N27*(X27&gt;0)+N28*(X28&gt;0)+N29*(X29&gt;0)+N30*(X30&gt;0)</f>
        <v>0</v>
      </c>
      <c r="U28" s="292">
        <f ca="1">T28-T29</f>
        <v>0</v>
      </c>
      <c r="V28" s="365"/>
      <c r="W28" s="362"/>
      <c r="X28" s="28" cm="1">
        <f t="array" aca="1" ref="X28" ca="1">INDIRECT(ADDRESS($B28,9,,,"mkt data"))</f>
        <v>0</v>
      </c>
      <c r="Y28" s="49">
        <f t="shared" ca="1" si="6"/>
        <v>0</v>
      </c>
      <c r="Z28" s="28">
        <f t="shared" ca="1" si="7"/>
        <v>0</v>
      </c>
      <c r="AA28" s="340"/>
      <c r="AB28" s="298" t="str">
        <f t="shared" si="0"/>
        <v>SPAB</v>
      </c>
      <c r="AC28" s="35" cm="1">
        <f t="array" aca="1" ref="AC28" ca="1">INDIRECT(ADDRESS($B28,8,,,"mkt data"))</f>
        <v>24.4</v>
      </c>
      <c r="AD28" s="192">
        <f t="shared" ca="1" si="12"/>
        <v>24.024999999999999</v>
      </c>
      <c r="AE28" s="192">
        <f t="shared" ca="1" si="13"/>
        <v>-0.375</v>
      </c>
      <c r="AF28" s="203">
        <v>0</v>
      </c>
      <c r="AG28" s="192">
        <f t="shared" ca="1" si="14"/>
        <v>-0.375</v>
      </c>
      <c r="AH28" s="192">
        <f t="shared" ca="1" si="15"/>
        <v>0</v>
      </c>
      <c r="AI28" s="376"/>
    </row>
    <row r="29" spans="1:35" x14ac:dyDescent="0.25">
      <c r="A29" s="88">
        <f>MATCH(G29,SCALARS!C:C,0)</f>
        <v>3</v>
      </c>
      <c r="B29" s="89">
        <f>MATCH(G29,'MKT DATA'!B:B,0)</f>
        <v>3</v>
      </c>
      <c r="C29" s="79" t="str" cm="1">
        <f t="array" aca="1" ref="C29" ca="1">INDIRECT(ADDRESS($A29,2,,,"scalars"))</f>
        <v>agg</v>
      </c>
      <c r="D29" s="163" cm="1">
        <f t="array" aca="1" ref="D29" ca="1">INDIRECT(ADDRESS($A29,8,,,"SCALARS"))</f>
        <v>8439500</v>
      </c>
      <c r="E29" s="306"/>
      <c r="F29" s="10" t="str" cm="1">
        <f t="array" aca="1" ref="F29" ca="1">INDIRECT(ADDRESS($A29,5,,,"scalars"))</f>
        <v>AGG</v>
      </c>
      <c r="G29" s="8" t="s">
        <v>7</v>
      </c>
      <c r="H29" s="35" cm="1">
        <f t="array" aca="1" ref="H29" ca="1">INDIRECT(ADDRESS($B29,5,,,"mkt data"))</f>
        <v>70.180000000000007</v>
      </c>
      <c r="I29" s="36" cm="1">
        <f t="array" aca="1" ref="I29" ca="1">INDIRECT(ADDRESS($B29,6,,,"mkt data"))</f>
        <v>70.260000000000005</v>
      </c>
      <c r="J29" s="172" cm="1">
        <f t="array" aca="1" ref="J29" ca="1">INDIRECT(ADDRESS($A29,7,,,"SCALARS"))</f>
        <v>0</v>
      </c>
      <c r="K29" s="18">
        <f t="shared" ca="1" si="1"/>
        <v>70.174500000000009</v>
      </c>
      <c r="L29" s="18">
        <f t="shared" ca="1" si="2"/>
        <v>70.265500000000003</v>
      </c>
      <c r="M29" s="46" cm="1">
        <f t="array" aca="1" ref="M29" ca="1">INDIRECT(ADDRESS($A29,6,,,"scalars"))</f>
        <v>1.3476529542927795</v>
      </c>
      <c r="N29" s="19">
        <f t="shared" ca="1" si="3"/>
        <v>94.570872241018677</v>
      </c>
      <c r="O29" s="19">
        <f t="shared" ca="1" si="4"/>
        <v>94.693508659859305</v>
      </c>
      <c r="P29" s="279"/>
      <c r="Q29" s="292"/>
      <c r="R29" s="365"/>
      <c r="S29" s="362"/>
      <c r="T29" s="279">
        <f ca="1">O27*(X27&lt;0)+O28*(X28&lt;0)+O29*(X29&lt;0)+O30*(X30&lt;0)</f>
        <v>0</v>
      </c>
      <c r="U29" s="300" t="str">
        <f ca="1">IF(T29&lt;&gt;0,LN(T28/T29),"-")</f>
        <v>-</v>
      </c>
      <c r="V29" s="365"/>
      <c r="W29" s="362"/>
      <c r="X29" s="28" cm="1">
        <f t="array" aca="1" ref="X29" ca="1">INDIRECT(ADDRESS($B29,9,,,"mkt data"))</f>
        <v>0</v>
      </c>
      <c r="Y29" s="49">
        <f t="shared" ca="1" si="6"/>
        <v>0</v>
      </c>
      <c r="Z29" s="28">
        <f t="shared" ca="1" si="7"/>
        <v>0</v>
      </c>
      <c r="AA29" s="340"/>
      <c r="AB29" s="298" t="str">
        <f t="shared" si="0"/>
        <v>BND</v>
      </c>
      <c r="AC29" s="35" cm="1">
        <f t="array" aca="1" ref="AC29" ca="1">INDIRECT(ADDRESS($B29,8,,,"mkt data"))</f>
        <v>70.279999000000004</v>
      </c>
      <c r="AD29" s="192">
        <f t="shared" ca="1" si="12"/>
        <v>70.22</v>
      </c>
      <c r="AE29" s="192">
        <f t="shared" ca="1" si="13"/>
        <v>-5.9999000000004798E-2</v>
      </c>
      <c r="AF29" s="203">
        <v>0</v>
      </c>
      <c r="AG29" s="192">
        <f t="shared" ca="1" si="14"/>
        <v>-5.9999000000004798E-2</v>
      </c>
      <c r="AH29" s="192">
        <f t="shared" ca="1" si="15"/>
        <v>0</v>
      </c>
      <c r="AI29" s="376"/>
    </row>
    <row r="30" spans="1:35" ht="15.75" thickBot="1" x14ac:dyDescent="0.3">
      <c r="A30" s="86">
        <f>MATCH(G30,SCALARS!C:C,0)</f>
        <v>2</v>
      </c>
      <c r="B30" s="87">
        <f>MATCH(G30,'MKT DATA'!B:B,0)</f>
        <v>2</v>
      </c>
      <c r="C30" s="138" t="str" cm="1">
        <f t="array" aca="1" ref="C30" ca="1">INDIRECT(ADDRESS($A30,2,,,"scalars"))</f>
        <v>agg</v>
      </c>
      <c r="D30" s="164" cm="1">
        <f t="array" aca="1" ref="D30" ca="1">INDIRECT(ADDRESS($A30,8,,,"SCALARS"))</f>
        <v>8801200</v>
      </c>
      <c r="E30" s="146"/>
      <c r="F30" s="20" t="str" cm="1">
        <f t="array" aca="1" ref="F30" ca="1">INDIRECT(ADDRESS($A30,5,,,"scalars"))</f>
        <v>AGG</v>
      </c>
      <c r="G30" s="21" t="s">
        <v>8</v>
      </c>
      <c r="H30" s="37" cm="1">
        <f t="array" aca="1" ref="H30" ca="1">INDIRECT(ADDRESS($B30,5,,,"mkt data"))</f>
        <v>93.98</v>
      </c>
      <c r="I30" s="38" cm="1">
        <f t="array" aca="1" ref="I30" ca="1">INDIRECT(ADDRESS($B30,6,,,"mkt data"))</f>
        <v>94.61</v>
      </c>
      <c r="J30" s="171" cm="1">
        <f t="array" aca="1" ref="J30" ca="1">INDIRECT(ADDRESS($A30,7,,,"SCALARS"))</f>
        <v>0</v>
      </c>
      <c r="K30" s="22">
        <f t="shared" ca="1" si="1"/>
        <v>93.974500000000006</v>
      </c>
      <c r="L30" s="22">
        <f t="shared" ca="1" si="2"/>
        <v>94.615499999999997</v>
      </c>
      <c r="M30" s="45" cm="1">
        <f t="array" aca="1" ref="M30" ca="1">INDIRECT(ADDRESS($A30,6,,,"scalars"))</f>
        <v>1</v>
      </c>
      <c r="N30" s="23">
        <f t="shared" ca="1" si="3"/>
        <v>93.974500000000006</v>
      </c>
      <c r="O30" s="23">
        <f t="shared" ca="1" si="4"/>
        <v>94.615499999999997</v>
      </c>
      <c r="P30" s="280">
        <f ca="1">MIN(O27:O30)</f>
        <v>94.615499999999997</v>
      </c>
      <c r="Q30" s="278">
        <v>-7.632700728893973E-3</v>
      </c>
      <c r="R30" s="366"/>
      <c r="S30" s="363"/>
      <c r="T30" s="169"/>
      <c r="U30" s="303"/>
      <c r="V30" s="366"/>
      <c r="W30" s="363"/>
      <c r="X30" s="29" cm="1">
        <f t="array" aca="1" ref="X30" ca="1">INDIRECT(ADDRESS($B30,9,,,"mkt data"))</f>
        <v>0</v>
      </c>
      <c r="Y30" s="50">
        <f t="shared" ca="1" si="6"/>
        <v>0</v>
      </c>
      <c r="Z30" s="29">
        <f t="shared" ca="1" si="7"/>
        <v>0</v>
      </c>
      <c r="AA30" s="341"/>
      <c r="AB30" s="299" t="str">
        <f t="shared" si="0"/>
        <v>AGG</v>
      </c>
      <c r="AC30" s="37" cm="1">
        <f t="array" aca="1" ref="AC30" ca="1">INDIRECT(ADDRESS($B30,8,,,"mkt data"))</f>
        <v>94.650002000000001</v>
      </c>
      <c r="AD30" s="193">
        <f t="shared" ca="1" si="12"/>
        <v>94.295000000000002</v>
      </c>
      <c r="AE30" s="193">
        <f t="shared" ca="1" si="13"/>
        <v>-0.35500199999999893</v>
      </c>
      <c r="AF30" s="204">
        <v>0</v>
      </c>
      <c r="AG30" s="193">
        <f t="shared" ca="1" si="14"/>
        <v>-0.35500199999999893</v>
      </c>
      <c r="AH30" s="193">
        <f t="shared" ca="1" si="15"/>
        <v>0</v>
      </c>
      <c r="AI30" s="377"/>
    </row>
    <row r="31" spans="1:35" x14ac:dyDescent="0.25">
      <c r="A31" s="10"/>
      <c r="B31" s="10"/>
      <c r="C31" s="10"/>
      <c r="D31" s="10"/>
      <c r="E31" s="51"/>
      <c r="F31" s="10"/>
      <c r="G31" s="8"/>
      <c r="H31" s="2"/>
      <c r="I31" s="2"/>
      <c r="J31" s="2"/>
      <c r="K31" s="13"/>
      <c r="L31" s="13"/>
      <c r="M31" s="47"/>
      <c r="N31" s="7"/>
      <c r="O31" s="7"/>
      <c r="R31" s="286"/>
      <c r="S31" s="286"/>
      <c r="T31" s="286"/>
      <c r="U31" s="288"/>
      <c r="V31" s="288"/>
      <c r="W31" s="288"/>
      <c r="X31" s="25"/>
      <c r="Y31" s="1"/>
    </row>
    <row r="33" spans="6:7" x14ac:dyDescent="0.25">
      <c r="F33" s="275" t="s">
        <v>280</v>
      </c>
      <c r="G33" s="275"/>
    </row>
  </sheetData>
  <mergeCells count="55">
    <mergeCell ref="AI21:AI23"/>
    <mergeCell ref="AI24:AI26"/>
    <mergeCell ref="AI11:AI14"/>
    <mergeCell ref="AI27:AI30"/>
    <mergeCell ref="AI15:AI20"/>
    <mergeCell ref="AI5:AI7"/>
    <mergeCell ref="AI8:AI10"/>
    <mergeCell ref="AH1:AH2"/>
    <mergeCell ref="AI1:AI2"/>
    <mergeCell ref="V4:W4"/>
    <mergeCell ref="V5:V7"/>
    <mergeCell ref="V8:V10"/>
    <mergeCell ref="AG1:AG2"/>
    <mergeCell ref="V15:V20"/>
    <mergeCell ref="V21:V23"/>
    <mergeCell ref="V24:V26"/>
    <mergeCell ref="W24:W26"/>
    <mergeCell ref="AA5:AA7"/>
    <mergeCell ref="AA8:AA10"/>
    <mergeCell ref="AA11:AA14"/>
    <mergeCell ref="AA15:AA20"/>
    <mergeCell ref="AA21:AA23"/>
    <mergeCell ref="AA24:AA26"/>
    <mergeCell ref="W27:W30"/>
    <mergeCell ref="R4:S4"/>
    <mergeCell ref="R24:R26"/>
    <mergeCell ref="S24:S26"/>
    <mergeCell ref="R11:R14"/>
    <mergeCell ref="S11:S14"/>
    <mergeCell ref="R27:R30"/>
    <mergeCell ref="S27:S30"/>
    <mergeCell ref="R15:R20"/>
    <mergeCell ref="S15:S20"/>
    <mergeCell ref="R5:R7"/>
    <mergeCell ref="R8:R10"/>
    <mergeCell ref="S5:S7"/>
    <mergeCell ref="S8:S10"/>
    <mergeCell ref="R21:R23"/>
    <mergeCell ref="V11:V14"/>
    <mergeCell ref="AA27:AA30"/>
    <mergeCell ref="K1:L2"/>
    <mergeCell ref="X1:AA2"/>
    <mergeCell ref="A3:B3"/>
    <mergeCell ref="H3:I3"/>
    <mergeCell ref="K3:L3"/>
    <mergeCell ref="N3:O3"/>
    <mergeCell ref="P3:Q3"/>
    <mergeCell ref="X3:AA3"/>
    <mergeCell ref="S21:S23"/>
    <mergeCell ref="W5:W7"/>
    <mergeCell ref="W8:W10"/>
    <mergeCell ref="W11:W14"/>
    <mergeCell ref="W15:W20"/>
    <mergeCell ref="W21:W23"/>
    <mergeCell ref="V27:V30"/>
  </mergeCells>
  <conditionalFormatting sqref="N5:N7">
    <cfRule type="top10" dxfId="194" priority="22" rank="1"/>
  </conditionalFormatting>
  <conditionalFormatting sqref="N8:N10">
    <cfRule type="top10" dxfId="193" priority="21" rank="1"/>
  </conditionalFormatting>
  <conditionalFormatting sqref="N21:N23">
    <cfRule type="top10" dxfId="192" priority="18" rank="1"/>
  </conditionalFormatting>
  <conditionalFormatting sqref="N24:N26">
    <cfRule type="top10" dxfId="191" priority="13" rank="1"/>
  </conditionalFormatting>
  <conditionalFormatting sqref="O5:O7">
    <cfRule type="top10" dxfId="190" priority="23" bottom="1" rank="1"/>
  </conditionalFormatting>
  <conditionalFormatting sqref="O8:O10">
    <cfRule type="top10" dxfId="189" priority="17" bottom="1" rank="1"/>
  </conditionalFormatting>
  <conditionalFormatting sqref="O21:O23">
    <cfRule type="top10" dxfId="188" priority="14" bottom="1" rank="1"/>
  </conditionalFormatting>
  <conditionalFormatting sqref="O24:O26">
    <cfRule type="top10" dxfId="187" priority="12" bottom="1" rank="1"/>
  </conditionalFormatting>
  <conditionalFormatting sqref="N27:N30">
    <cfRule type="top10" dxfId="186" priority="11" rank="1"/>
  </conditionalFormatting>
  <conditionalFormatting sqref="O27:O30">
    <cfRule type="top10" dxfId="185" priority="10" bottom="1" rank="1"/>
  </conditionalFormatting>
  <conditionalFormatting sqref="N15:N20">
    <cfRule type="top10" dxfId="184" priority="19" rank="1"/>
  </conditionalFormatting>
  <conditionalFormatting sqref="O15:O20">
    <cfRule type="top10" dxfId="183" priority="15" bottom="1" rank="1"/>
  </conditionalFormatting>
  <conditionalFormatting sqref="N11:N14">
    <cfRule type="top10" dxfId="182" priority="20" rank="1"/>
  </conditionalFormatting>
  <conditionalFormatting sqref="O11:O14">
    <cfRule type="top10" dxfId="181" priority="16" bottom="1" rank="1"/>
  </conditionalFormatting>
  <conditionalFormatting sqref="W1:W1048576">
    <cfRule type="cellIs" dxfId="180" priority="8" operator="equal">
      <formula>TRUE</formula>
    </cfRule>
  </conditionalFormatting>
  <conditionalFormatting sqref="T1:T2">
    <cfRule type="cellIs" dxfId="179" priority="6" operator="equal">
      <formula>TRUE</formula>
    </cfRule>
  </conditionalFormatting>
  <conditionalFormatting sqref="S1:S1048576">
    <cfRule type="cellIs" dxfId="178" priority="5" operator="equal">
      <formula>TRUE</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93CA3-6BAF-4DE9-9A96-345BF7575CFF}">
  <sheetPr codeName="Sheet4">
    <tabColor theme="6" tint="0.79998168889431442"/>
  </sheetPr>
  <dimension ref="A1:AK41"/>
  <sheetViews>
    <sheetView topLeftCell="J1" zoomScale="85" zoomScaleNormal="85" workbookViewId="0">
      <selection activeCell="AC33" sqref="AC33"/>
    </sheetView>
  </sheetViews>
  <sheetFormatPr defaultColWidth="20.140625" defaultRowHeight="15" x14ac:dyDescent="0.25"/>
  <cols>
    <col min="1" max="1" width="8.140625" style="10" bestFit="1" customWidth="1"/>
    <col min="2" max="2" width="9.42578125" style="10" bestFit="1" customWidth="1"/>
    <col min="3" max="3" width="17.85546875" style="10" bestFit="1" customWidth="1"/>
    <col min="4" max="4" width="11.5703125" style="10" bestFit="1" customWidth="1"/>
    <col min="5" max="5" width="7.7109375" style="8" bestFit="1" customWidth="1"/>
    <col min="6" max="6" width="8" style="10" bestFit="1" customWidth="1"/>
    <col min="7" max="7" width="7.85546875" style="8" bestFit="1" customWidth="1"/>
    <col min="8" max="10" width="9" style="2" bestFit="1" customWidth="1"/>
    <col min="11" max="11" width="10" style="13" bestFit="1" customWidth="1"/>
    <col min="12" max="12" width="11.5703125" style="13" bestFit="1" customWidth="1"/>
    <col min="13" max="13" width="8.5703125" style="47" bestFit="1" customWidth="1"/>
    <col min="14" max="15" width="10" style="7" bestFit="1" customWidth="1"/>
    <col min="16" max="16" width="10" bestFit="1" customWidth="1"/>
    <col min="17" max="17" width="10.28515625" bestFit="1" customWidth="1"/>
    <col min="18" max="19" width="10" customWidth="1"/>
    <col min="20" max="20" width="12.28515625" style="11" bestFit="1" customWidth="1"/>
    <col min="21" max="21" width="8.85546875" bestFit="1" customWidth="1"/>
    <col min="22" max="22" width="9.7109375" style="30" customWidth="1"/>
    <col min="23" max="23" width="9.5703125" style="26" bestFit="1" customWidth="1"/>
    <col min="24" max="24" width="9.7109375" style="26" bestFit="1" customWidth="1"/>
    <col min="25" max="25" width="10.7109375" style="1" bestFit="1" customWidth="1"/>
    <col min="26" max="26" width="7.7109375" bestFit="1" customWidth="1"/>
    <col min="27" max="27" width="10.7109375" bestFit="1" customWidth="1"/>
    <col min="28" max="28" width="7.7109375" style="1" bestFit="1" customWidth="1"/>
    <col min="29" max="29" width="9.5703125" bestFit="1" customWidth="1"/>
    <col min="30" max="30" width="10.5703125" bestFit="1" customWidth="1"/>
    <col min="31" max="31" width="9" bestFit="1" customWidth="1"/>
    <col min="32" max="32" width="6.140625" bestFit="1" customWidth="1"/>
    <col min="33" max="33" width="8.7109375" bestFit="1" customWidth="1"/>
    <col min="34" max="34" width="12.42578125" customWidth="1"/>
    <col min="35" max="35" width="11.140625" customWidth="1"/>
    <col min="36" max="36" width="9.7109375" bestFit="1" customWidth="1"/>
    <col min="37" max="37" width="7.85546875" bestFit="1" customWidth="1"/>
  </cols>
  <sheetData>
    <row r="1" spans="1:37" x14ac:dyDescent="0.25">
      <c r="E1" s="10"/>
      <c r="G1" s="10"/>
      <c r="H1" s="10"/>
      <c r="I1" s="192"/>
      <c r="J1" s="216"/>
      <c r="K1" s="342">
        <v>5.4999999999999997E-3</v>
      </c>
      <c r="L1" s="342"/>
      <c r="M1" s="217"/>
      <c r="N1" s="19"/>
      <c r="O1" s="19"/>
      <c r="T1" s="268"/>
      <c r="U1" s="268"/>
      <c r="V1" s="218"/>
      <c r="W1" s="218"/>
      <c r="X1" s="344" t="str">
        <f>'MKT DATA'!J2</f>
        <v>2026-09-29_16-03-12</v>
      </c>
      <c r="Y1" s="344"/>
      <c r="Z1" s="344"/>
      <c r="AA1" s="344"/>
      <c r="AB1" s="219"/>
      <c r="AG1" s="382" t="s">
        <v>207</v>
      </c>
      <c r="AH1" s="378">
        <f ca="1">SUM(AH5:AH28)</f>
        <v>2271.849105000008</v>
      </c>
      <c r="AI1" s="380">
        <f ca="1">SUM(AI5:AI18)</f>
        <v>2271.8491050000084</v>
      </c>
    </row>
    <row r="2" spans="1:37" ht="15.75" thickBot="1" x14ac:dyDescent="0.3">
      <c r="E2" s="10"/>
      <c r="G2" s="10"/>
      <c r="H2" s="10"/>
      <c r="J2" s="165"/>
      <c r="K2" s="343"/>
      <c r="L2" s="343"/>
      <c r="M2" s="7"/>
      <c r="T2" s="269"/>
      <c r="U2" s="269"/>
      <c r="W2" s="1"/>
      <c r="X2" s="345"/>
      <c r="Y2" s="345"/>
      <c r="Z2" s="345"/>
      <c r="AA2" s="345"/>
      <c r="AC2" s="69"/>
      <c r="AD2" s="69"/>
      <c r="AE2" s="69"/>
      <c r="AF2" s="69"/>
      <c r="AG2" s="383"/>
      <c r="AH2" s="379"/>
      <c r="AI2" s="381"/>
    </row>
    <row r="3" spans="1:37" x14ac:dyDescent="0.25">
      <c r="A3" s="346" t="s">
        <v>64</v>
      </c>
      <c r="B3" s="347"/>
      <c r="C3" s="90"/>
      <c r="D3" s="75"/>
      <c r="E3" s="62"/>
      <c r="F3" s="52"/>
      <c r="G3" s="52"/>
      <c r="H3" s="348" t="s">
        <v>66</v>
      </c>
      <c r="I3" s="349"/>
      <c r="J3" s="95"/>
      <c r="K3" s="350" t="s">
        <v>211</v>
      </c>
      <c r="L3" s="351"/>
      <c r="M3" s="39"/>
      <c r="N3" s="352" t="s">
        <v>69</v>
      </c>
      <c r="O3" s="353"/>
      <c r="P3" s="388" t="s">
        <v>80</v>
      </c>
      <c r="Q3" s="352"/>
      <c r="R3" s="352"/>
      <c r="S3" s="389"/>
      <c r="T3" s="388" t="s">
        <v>81</v>
      </c>
      <c r="U3" s="352"/>
      <c r="V3" s="352" t="s">
        <v>79</v>
      </c>
      <c r="W3" s="353" t="s">
        <v>78</v>
      </c>
      <c r="X3" s="356" t="s">
        <v>70</v>
      </c>
      <c r="Y3" s="356"/>
      <c r="Z3" s="356"/>
      <c r="AA3" s="357"/>
      <c r="AB3" s="183"/>
      <c r="AC3" s="41"/>
      <c r="AD3" s="43" t="s">
        <v>206</v>
      </c>
      <c r="AE3" s="43" t="s">
        <v>209</v>
      </c>
      <c r="AF3" s="43"/>
      <c r="AG3" s="43" t="s">
        <v>210</v>
      </c>
      <c r="AH3" s="43"/>
      <c r="AI3" s="42" t="s">
        <v>291</v>
      </c>
    </row>
    <row r="4" spans="1:37" ht="15.75" thickBot="1" x14ac:dyDescent="0.3">
      <c r="A4" s="31" t="s">
        <v>201</v>
      </c>
      <c r="B4" s="32" t="s">
        <v>65</v>
      </c>
      <c r="C4" s="31" t="s">
        <v>117</v>
      </c>
      <c r="D4" s="76" t="s">
        <v>149</v>
      </c>
      <c r="E4" s="63" t="s">
        <v>76</v>
      </c>
      <c r="F4" s="74" t="s">
        <v>88</v>
      </c>
      <c r="G4" s="53" t="s">
        <v>59</v>
      </c>
      <c r="H4" s="54" t="s">
        <v>67</v>
      </c>
      <c r="I4" s="55" t="s">
        <v>68</v>
      </c>
      <c r="J4" s="96" t="s">
        <v>147</v>
      </c>
      <c r="K4" s="214" t="s">
        <v>67</v>
      </c>
      <c r="L4" s="215" t="s">
        <v>68</v>
      </c>
      <c r="M4" s="56" t="s">
        <v>60</v>
      </c>
      <c r="N4" s="57" t="s">
        <v>62</v>
      </c>
      <c r="O4" s="58" t="s">
        <v>63</v>
      </c>
      <c r="P4" s="40" t="s">
        <v>77</v>
      </c>
      <c r="Q4" s="12" t="s">
        <v>32</v>
      </c>
      <c r="R4" s="294" t="s">
        <v>82</v>
      </c>
      <c r="S4" s="261" t="s">
        <v>83</v>
      </c>
      <c r="T4" s="40" t="s">
        <v>77</v>
      </c>
      <c r="U4" s="12" t="s">
        <v>32</v>
      </c>
      <c r="V4" s="294" t="s">
        <v>83</v>
      </c>
      <c r="W4" s="59" t="s">
        <v>82</v>
      </c>
      <c r="X4" s="147" t="s">
        <v>71</v>
      </c>
      <c r="Y4" s="148" t="s">
        <v>85</v>
      </c>
      <c r="Z4" s="149" t="s">
        <v>84</v>
      </c>
      <c r="AA4" s="150" t="s">
        <v>72</v>
      </c>
      <c r="AB4" s="53" t="str">
        <f t="shared" ref="AB4:AB18" si="0">G4</f>
        <v>symbol</v>
      </c>
      <c r="AC4" s="189" t="s">
        <v>202</v>
      </c>
      <c r="AD4" s="190" t="s">
        <v>208</v>
      </c>
      <c r="AE4" s="190" t="s">
        <v>204</v>
      </c>
      <c r="AF4" s="190" t="s">
        <v>203</v>
      </c>
      <c r="AG4" s="190" t="s">
        <v>204</v>
      </c>
      <c r="AH4" s="194" t="s">
        <v>205</v>
      </c>
      <c r="AI4" s="55" t="s">
        <v>205</v>
      </c>
    </row>
    <row r="5" spans="1:37" x14ac:dyDescent="0.25">
      <c r="A5" s="80">
        <f>MATCH(G5,SCALARS!C:C,0)</f>
        <v>8</v>
      </c>
      <c r="B5" s="81">
        <f>MATCH(G5,'MKT DATA'!B:B,0)</f>
        <v>8</v>
      </c>
      <c r="C5" s="84" t="str" cm="1">
        <f t="array" aca="1" ref="C5" ca="1">INDIRECT(ADDRESS($A5,2,,,"scalars"))</f>
        <v>converts</v>
      </c>
      <c r="D5" s="160" cm="1">
        <f t="array" aca="1" ref="D5" ca="1">INDIRECT(ADDRESS($A5,8,,,"SCALARS"))</f>
        <v>603600</v>
      </c>
      <c r="E5" s="66">
        <v>0.16500000000000001</v>
      </c>
      <c r="F5" s="14" t="str" cm="1">
        <f t="array" aca="1" ref="F5" ca="1">INDIRECT(ADDRESS($A5,5,,,"scalars"))</f>
        <v>ICVT</v>
      </c>
      <c r="G5" s="15" t="s">
        <v>46</v>
      </c>
      <c r="H5" s="270" cm="1">
        <f t="array" aca="1" ref="H5" ca="1">INDIRECT(ADDRESS($B5,5,,,"mkt data"))</f>
        <v>95.96</v>
      </c>
      <c r="I5" s="271" cm="1">
        <f t="array" aca="1" ref="I5" ca="1">INDIRECT(ADDRESS($B5,6,,,"mkt data"))</f>
        <v>107</v>
      </c>
      <c r="J5" s="170" cm="1">
        <f t="array" aca="1" ref="J5" ca="1">INDIRECT(ADDRESS($A5,7,,,"SCALARS"))</f>
        <v>1.0709869999999999</v>
      </c>
      <c r="K5" s="16">
        <f t="shared" ref="K5:K18" ca="1" si="1">H5+J5-K$1</f>
        <v>97.025486999999998</v>
      </c>
      <c r="L5" s="16">
        <f t="shared" ref="L5:L18" ca="1" si="2">I5+J5+K$1</f>
        <v>108.076487</v>
      </c>
      <c r="M5" s="44" cm="1">
        <f t="array" aca="1" ref="M5" ca="1">INDIRECT(ADDRESS($A5,6,,,"scalars"))</f>
        <v>1.1131780213907789</v>
      </c>
      <c r="N5" s="17">
        <f t="shared" ref="N5:N18" ca="1" si="3">K5*M5</f>
        <v>108.00663964313674</v>
      </c>
      <c r="O5" s="17">
        <f t="shared" ref="O5:O18" ca="1" si="4">M5*L5</f>
        <v>120.30836995752624</v>
      </c>
      <c r="P5" s="384">
        <f ca="1">N6-O5</f>
        <v>-6.1684629575262448</v>
      </c>
      <c r="Q5" s="386">
        <f ca="1">LN(N6/O5)</f>
        <v>-5.2633245947766805E-2</v>
      </c>
      <c r="R5" s="295">
        <v>5.0000000000000001E-3</v>
      </c>
      <c r="S5" s="262">
        <v>3.0000000000000001E-3</v>
      </c>
      <c r="T5" s="384">
        <f ca="1">N5-O6</f>
        <v>-7.5142673568632574</v>
      </c>
      <c r="U5" s="386">
        <f ca="1">LN(N5/O6)</f>
        <v>-6.725882315628115E-2</v>
      </c>
      <c r="V5" s="295">
        <v>3.0000000000000001E-3</v>
      </c>
      <c r="W5" s="60">
        <v>1E-3</v>
      </c>
      <c r="X5" s="27" cm="1">
        <f t="array" aca="1" ref="X5" ca="1">INDIRECT(ADDRESS($B5,9,,,"mkt data"))</f>
        <v>0</v>
      </c>
      <c r="Y5" s="48">
        <f t="shared" ref="Y5:Y18" ca="1" si="5">X5*AVERAGE(H5:I5)</f>
        <v>0</v>
      </c>
      <c r="Z5" s="27">
        <f t="shared" ref="Z5:Z18" ca="1" si="6">X5/M5</f>
        <v>0</v>
      </c>
      <c r="AA5" s="369">
        <f ca="1">SUM(Z5:Z6)</f>
        <v>0</v>
      </c>
      <c r="AB5" s="199" t="str">
        <f t="shared" si="0"/>
        <v>CWB</v>
      </c>
      <c r="AC5" s="33" cm="1">
        <f t="array" aca="1" ref="AC5" ca="1">INDIRECT(ADDRESS($B5,8,,,"mkt data"))</f>
        <v>101.129997</v>
      </c>
      <c r="AD5" s="191">
        <f t="shared" ref="AD5:AD18" ca="1" si="7">AVERAGE(H5,I5)</f>
        <v>101.47999999999999</v>
      </c>
      <c r="AE5" s="191">
        <f t="shared" ref="AE5:AE18" ca="1" si="8">AD5-AC5</f>
        <v>0.35000299999998674</v>
      </c>
      <c r="AF5" s="202">
        <v>0</v>
      </c>
      <c r="AG5" s="191">
        <f t="shared" ref="AG5:AG18" ca="1" si="9">AE5+AF5</f>
        <v>0.35000299999998674</v>
      </c>
      <c r="AH5" s="191">
        <f t="shared" ref="AH5:AH18" ca="1" si="10">AG5*X5</f>
        <v>0</v>
      </c>
      <c r="AI5" s="375">
        <f ca="1">AH5+AH6</f>
        <v>0</v>
      </c>
    </row>
    <row r="6" spans="1:37" ht="15.75" thickBot="1" x14ac:dyDescent="0.3">
      <c r="A6" s="82">
        <f>MATCH(G6,SCALARS!C:C,0)</f>
        <v>9</v>
      </c>
      <c r="B6" s="83">
        <f>MATCH(G6,'MKT DATA'!B:B,0)</f>
        <v>9</v>
      </c>
      <c r="C6" s="138" t="str" cm="1">
        <f t="array" aca="1" ref="C6" ca="1">INDIRECT(ADDRESS($A6,2,,,"scalars"))</f>
        <v>converts</v>
      </c>
      <c r="D6" s="161" cm="1">
        <f t="array" aca="1" ref="D6" ca="1">INDIRECT(ADDRESS($A6,8,,,"SCALARS"))</f>
        <v>599200</v>
      </c>
      <c r="E6" s="67">
        <v>0.16500000000000001</v>
      </c>
      <c r="F6" s="20" t="str" cm="1">
        <f t="array" aca="1" ref="F6" ca="1">INDIRECT(ADDRESS($A6,5,,,"scalars"))</f>
        <v>ICVT</v>
      </c>
      <c r="G6" s="21" t="s">
        <v>50</v>
      </c>
      <c r="H6" s="272" cm="1">
        <f t="array" aca="1" ref="H6" ca="1">INDIRECT(ADDRESS($B6,5,,,"mkt data"))</f>
        <v>113.13</v>
      </c>
      <c r="I6" s="273" cm="1">
        <f t="array" aca="1" ref="I6" ca="1">INDIRECT(ADDRESS($B6,6,,,"mkt data"))</f>
        <v>114.5</v>
      </c>
      <c r="J6" s="171" cm="1">
        <f t="array" aca="1" ref="J6" ca="1">INDIRECT(ADDRESS($A6,7,,,"SCALARS"))</f>
        <v>1.0154069999999999</v>
      </c>
      <c r="K6" s="22">
        <f t="shared" ca="1" si="1"/>
        <v>114.13990699999999</v>
      </c>
      <c r="L6" s="22">
        <f t="shared" ca="1" si="2"/>
        <v>115.52090699999999</v>
      </c>
      <c r="M6" s="45" cm="1">
        <f t="array" aca="1" ref="M6" ca="1">INDIRECT(ADDRESS($A6,6,,,"scalars"))</f>
        <v>1</v>
      </c>
      <c r="N6" s="23">
        <f t="shared" ca="1" si="3"/>
        <v>114.13990699999999</v>
      </c>
      <c r="O6" s="23">
        <f t="shared" ca="1" si="4"/>
        <v>115.52090699999999</v>
      </c>
      <c r="P6" s="385"/>
      <c r="Q6" s="387"/>
      <c r="R6" s="296" t="b">
        <f ca="1">IF(Q5&gt;R5,TRUE,FALSE)</f>
        <v>0</v>
      </c>
      <c r="S6" s="263" t="b">
        <f ca="1">AND(IF(U5&gt;-S5,TRUE,FALSE),IF(X5&gt;0,TRUE,FALSE))</f>
        <v>0</v>
      </c>
      <c r="T6" s="385"/>
      <c r="U6" s="387"/>
      <c r="V6" s="296" t="b">
        <f ca="1">IF(U5&gt;V5,TRUE,FALSE)</f>
        <v>0</v>
      </c>
      <c r="W6" s="61" t="b">
        <f ca="1">AND(IF(Q5&gt;-W5,TRUE,FALSE),IF(X5&lt;0,TRUE,FALSE))</f>
        <v>0</v>
      </c>
      <c r="X6" s="29" cm="1">
        <f t="array" aca="1" ref="X6" ca="1">INDIRECT(ADDRESS($B6,9,,,"mkt data"))</f>
        <v>0</v>
      </c>
      <c r="Y6" s="50">
        <f t="shared" ca="1" si="5"/>
        <v>0</v>
      </c>
      <c r="Z6" s="29">
        <f t="shared" ca="1" si="6"/>
        <v>0</v>
      </c>
      <c r="AA6" s="371"/>
      <c r="AB6" s="207" t="str">
        <f t="shared" si="0"/>
        <v>ICVT</v>
      </c>
      <c r="AC6" s="37" cm="1">
        <f t="array" aca="1" ref="AC6" ca="1">INDIRECT(ADDRESS($B6,8,,,"mkt data"))</f>
        <v>112.94000200000001</v>
      </c>
      <c r="AD6" s="193">
        <f t="shared" ca="1" si="7"/>
        <v>113.815</v>
      </c>
      <c r="AE6" s="193">
        <f t="shared" ca="1" si="8"/>
        <v>0.87499799999999084</v>
      </c>
      <c r="AF6" s="204">
        <v>0</v>
      </c>
      <c r="AG6" s="193">
        <f t="shared" ca="1" si="9"/>
        <v>0.87499799999999084</v>
      </c>
      <c r="AH6" s="193">
        <f t="shared" ca="1" si="10"/>
        <v>0</v>
      </c>
      <c r="AI6" s="377"/>
      <c r="AK6" s="274"/>
    </row>
    <row r="7" spans="1:37" x14ac:dyDescent="0.25">
      <c r="A7" s="80">
        <f>MATCH(G7,SCALARS!C:C,0)</f>
        <v>26</v>
      </c>
      <c r="B7" s="81">
        <f>MATCH(G7,'MKT DATA'!B:B,0)</f>
        <v>26</v>
      </c>
      <c r="C7" s="137" t="str" cm="1">
        <f t="array" aca="1" ref="C7" ca="1">INDIRECT(ADDRESS($A7,2,,,"scalars"))</f>
        <v>intl gov - unhedged</v>
      </c>
      <c r="D7" s="160" cm="1">
        <f t="array" aca="1" ref="D7" ca="1">INDIRECT(ADDRESS($A7,8,,,"SCALARS"))</f>
        <v>378500</v>
      </c>
      <c r="E7" s="66">
        <v>0.16500000000000001</v>
      </c>
      <c r="F7" s="14" t="str" cm="1">
        <f t="array" aca="1" ref="F7" ca="1">INDIRECT(ADDRESS($A7,5,,,"scalars"))</f>
        <v>IGOV</v>
      </c>
      <c r="G7" s="15" t="s">
        <v>44</v>
      </c>
      <c r="H7" s="270" cm="1">
        <f t="array" aca="1" ref="H7" ca="1">INDIRECT(ADDRESS($B7,5,,,"mkt data"))</f>
        <v>20.8</v>
      </c>
      <c r="I7" s="271" cm="1">
        <f t="array" aca="1" ref="I7" ca="1">INDIRECT(ADDRESS($B7,6,,,"mkt data"))</f>
        <v>22</v>
      </c>
      <c r="J7" s="170" cm="1">
        <f t="array" aca="1" ref="J7" ca="1">INDIRECT(ADDRESS($A7,7,,,"SCALARS"))</f>
        <v>0.34714599999999995</v>
      </c>
      <c r="K7" s="16">
        <f t="shared" ca="1" si="1"/>
        <v>21.141645999999998</v>
      </c>
      <c r="L7" s="16">
        <f t="shared" ca="1" si="2"/>
        <v>22.352646</v>
      </c>
      <c r="M7" s="44" cm="1">
        <f t="array" aca="1" ref="M7" ca="1">INDIRECT(ADDRESS($A7,6,,,"scalars"))</f>
        <v>1.8534459673916217</v>
      </c>
      <c r="N7" s="17">
        <f t="shared" ca="1" si="3"/>
        <v>39.184898522721205</v>
      </c>
      <c r="O7" s="17">
        <f t="shared" ca="1" si="4"/>
        <v>41.429421589232462</v>
      </c>
      <c r="P7" s="384">
        <f ca="1">N8-O7</f>
        <v>-1.6449215892324602</v>
      </c>
      <c r="Q7" s="398">
        <f ca="1">LN(N8/O7)</f>
        <v>-4.0513905634113938E-2</v>
      </c>
      <c r="R7" s="295">
        <v>3.0000000000000001E-3</v>
      </c>
      <c r="S7" s="262">
        <v>1E-3</v>
      </c>
      <c r="T7" s="384">
        <f ca="1">N7-O8</f>
        <v>-2.6706014772787938</v>
      </c>
      <c r="U7" s="386">
        <f ca="1">LN(N7/O8)</f>
        <v>-6.5931779240300914E-2</v>
      </c>
      <c r="V7" s="295">
        <v>1.5E-3</v>
      </c>
      <c r="W7" s="60">
        <v>2.0000000000000001E-4</v>
      </c>
      <c r="X7" s="27" cm="1">
        <f t="array" aca="1" ref="X7" ca="1">INDIRECT(ADDRESS($B7,9,,,"mkt data"))</f>
        <v>-3715</v>
      </c>
      <c r="Y7" s="48">
        <f t="shared" ca="1" si="5"/>
        <v>-79501</v>
      </c>
      <c r="Z7" s="27">
        <f t="shared" ca="1" si="6"/>
        <v>-2004.3745894724771</v>
      </c>
      <c r="AA7" s="339">
        <f ca="1">SUM(Z7:Z8)</f>
        <v>-4.3745894724770551</v>
      </c>
      <c r="AB7" s="199" t="str">
        <f t="shared" si="0"/>
        <v>BWX</v>
      </c>
      <c r="AC7" s="33" cm="1">
        <f t="array" aca="1" ref="AC7" ca="1">INDIRECT(ADDRESS($B7,8,,,"mkt data"))</f>
        <v>21.23</v>
      </c>
      <c r="AD7" s="191">
        <f t="shared" ca="1" si="7"/>
        <v>21.4</v>
      </c>
      <c r="AE7" s="191">
        <f t="shared" ca="1" si="8"/>
        <v>0.16999999999999815</v>
      </c>
      <c r="AF7" s="202">
        <v>0</v>
      </c>
      <c r="AG7" s="191">
        <f t="shared" ca="1" si="9"/>
        <v>0.16999999999999815</v>
      </c>
      <c r="AH7" s="191">
        <f t="shared" ca="1" si="10"/>
        <v>-631.54999999999313</v>
      </c>
      <c r="AI7" s="375">
        <f ca="1">AH7+AH8</f>
        <v>1248.4480000000074</v>
      </c>
      <c r="AJ7" s="418">
        <v>46273</v>
      </c>
      <c r="AK7" s="419">
        <f ca="1">Q7+W7</f>
        <v>-4.0313905634113939E-2</v>
      </c>
    </row>
    <row r="8" spans="1:37" ht="15.75" thickBot="1" x14ac:dyDescent="0.3">
      <c r="A8" s="82">
        <f>MATCH(G8,SCALARS!C:C,0)</f>
        <v>27</v>
      </c>
      <c r="B8" s="83">
        <f>MATCH(G8,'MKT DATA'!B:B,0)</f>
        <v>27</v>
      </c>
      <c r="C8" s="138" t="str" cm="1">
        <f t="array" aca="1" ref="C8" ca="1">INDIRECT(ADDRESS($A8,2,,,"scalars"))</f>
        <v>intl gov - unhedged</v>
      </c>
      <c r="D8" s="161" cm="1">
        <f t="array" aca="1" ref="D8" ca="1">INDIRECT(ADDRESS($A8,8,,,"SCALARS"))</f>
        <v>305200</v>
      </c>
      <c r="E8" s="67">
        <v>0.16500000000000001</v>
      </c>
      <c r="F8" s="20" t="str" cm="1">
        <f t="array" aca="1" ref="F8" ca="1">INDIRECT(ADDRESS($A8,5,,,"scalars"))</f>
        <v>IGOV</v>
      </c>
      <c r="G8" s="21" t="s">
        <v>51</v>
      </c>
      <c r="H8" s="272" cm="1">
        <f t="array" aca="1" ref="H8" ca="1">INDIRECT(ADDRESS($B8,5,,,"mkt data"))</f>
        <v>39.79</v>
      </c>
      <c r="I8" s="273" cm="1">
        <f t="array" aca="1" ref="I8" ca="1">INDIRECT(ADDRESS($B8,6,,,"mkt data"))</f>
        <v>41.85</v>
      </c>
      <c r="J8" s="171" cm="1">
        <f t="array" aca="1" ref="J8" ca="1">INDIRECT(ADDRESS($A8,7,,,"SCALARS"))</f>
        <v>0</v>
      </c>
      <c r="K8" s="22">
        <f t="shared" ca="1" si="1"/>
        <v>39.784500000000001</v>
      </c>
      <c r="L8" s="22">
        <f t="shared" ca="1" si="2"/>
        <v>41.855499999999999</v>
      </c>
      <c r="M8" s="45" cm="1">
        <f t="array" aca="1" ref="M8" ca="1">INDIRECT(ADDRESS($A8,6,,,"scalars"))</f>
        <v>1</v>
      </c>
      <c r="N8" s="23">
        <f t="shared" ca="1" si="3"/>
        <v>39.784500000000001</v>
      </c>
      <c r="O8" s="23">
        <f t="shared" ca="1" si="4"/>
        <v>41.855499999999999</v>
      </c>
      <c r="P8" s="385"/>
      <c r="Q8" s="399"/>
      <c r="R8" s="296" t="b">
        <f ca="1">IF(Q7&gt;R7,TRUE,FALSE)</f>
        <v>0</v>
      </c>
      <c r="S8" s="263" t="b">
        <f ca="1">AND(IF(U7&gt;-S7,TRUE,FALSE),IF(X7&gt;0,TRUE,FALSE))</f>
        <v>0</v>
      </c>
      <c r="T8" s="385"/>
      <c r="U8" s="387"/>
      <c r="V8" s="296" t="b">
        <f ca="1">IF(U7&gt;V7,TRUE,FALSE)</f>
        <v>0</v>
      </c>
      <c r="W8" s="61" t="b">
        <f ca="1">AND(IF(Q7&gt;-W7,TRUE,FALSE),IF(X7&lt;0,TRUE,FALSE))</f>
        <v>0</v>
      </c>
      <c r="X8" s="29" cm="1">
        <f t="array" aca="1" ref="X8" ca="1">INDIRECT(ADDRESS($B8,9,,,"mkt data"))</f>
        <v>2000</v>
      </c>
      <c r="Y8" s="50">
        <f t="shared" ca="1" si="5"/>
        <v>81640</v>
      </c>
      <c r="Z8" s="29">
        <f t="shared" ca="1" si="6"/>
        <v>2000</v>
      </c>
      <c r="AA8" s="341"/>
      <c r="AB8" s="207" t="str">
        <f t="shared" si="0"/>
        <v>IGOV</v>
      </c>
      <c r="AC8" s="37" cm="1">
        <f t="array" aca="1" ref="AC8" ca="1">INDIRECT(ADDRESS($B8,8,,,"mkt data"))</f>
        <v>39.880001</v>
      </c>
      <c r="AD8" s="193">
        <f t="shared" ca="1" si="7"/>
        <v>40.82</v>
      </c>
      <c r="AE8" s="193">
        <f t="shared" ca="1" si="8"/>
        <v>0.93999900000000025</v>
      </c>
      <c r="AF8" s="204">
        <v>0</v>
      </c>
      <c r="AG8" s="193">
        <f t="shared" ca="1" si="9"/>
        <v>0.93999900000000025</v>
      </c>
      <c r="AH8" s="193">
        <f t="shared" ca="1" si="10"/>
        <v>1879.9980000000005</v>
      </c>
      <c r="AI8" s="377"/>
    </row>
    <row r="9" spans="1:37" x14ac:dyDescent="0.25">
      <c r="A9" s="80">
        <f>MATCH(G9,SCALARS!C:C,0)</f>
        <v>15</v>
      </c>
      <c r="B9" s="81">
        <f>MATCH(G9,'MKT DATA'!B:B,0)</f>
        <v>15</v>
      </c>
      <c r="C9" s="137" t="str" cm="1">
        <f t="array" aca="1" ref="C9" ca="1">INDIRECT(ADDRESS($A9,2,,,"scalars"))</f>
        <v>em gov -us</v>
      </c>
      <c r="D9" s="160" cm="1">
        <f t="array" aca="1" ref="D9" ca="1">INDIRECT(ADDRESS($A9,8,,,"SCALARS"))</f>
        <v>510400</v>
      </c>
      <c r="E9" s="66">
        <v>0.16500000000000001</v>
      </c>
      <c r="F9" s="14" t="str" cm="1">
        <f t="array" aca="1" ref="F9" ca="1">INDIRECT(ADDRESS($A9,5,,,"scalars"))</f>
        <v>EMB</v>
      </c>
      <c r="G9" s="15" t="s">
        <v>57</v>
      </c>
      <c r="H9" s="33" cm="1">
        <f t="array" aca="1" ref="H9" ca="1">INDIRECT(ADDRESS($B9,5,,,"mkt data"))</f>
        <v>63.22</v>
      </c>
      <c r="I9" s="34" cm="1">
        <f t="array" aca="1" ref="I9" ca="1">INDIRECT(ADDRESS($B9,6,,,"mkt data"))</f>
        <v>64.06</v>
      </c>
      <c r="J9" s="170" cm="1">
        <f t="array" aca="1" ref="J9" ca="1">INDIRECT(ADDRESS($A9,7,,,"SCALARS"))</f>
        <v>2.6059000000000001</v>
      </c>
      <c r="K9" s="16">
        <f t="shared" ca="1" si="1"/>
        <v>65.820400000000006</v>
      </c>
      <c r="L9" s="16">
        <f t="shared" ca="1" si="2"/>
        <v>66.671400000000006</v>
      </c>
      <c r="M9" s="44" cm="1">
        <f t="array" aca="1" ref="M9" ca="1">INDIRECT(ADDRESS($A9,6,,,"scalars"))</f>
        <v>1.432717711900662</v>
      </c>
      <c r="N9" s="17">
        <f t="shared" ca="1" si="3"/>
        <v>94.302052884386342</v>
      </c>
      <c r="O9" s="17">
        <f t="shared" ca="1" si="4"/>
        <v>95.521295657213798</v>
      </c>
      <c r="P9" s="384">
        <f ca="1">N10-O9</f>
        <v>-1.3497686572138008</v>
      </c>
      <c r="Q9" s="386">
        <f ca="1">LN(N10/O9)</f>
        <v>-1.4231339057148455E-2</v>
      </c>
      <c r="R9" s="295">
        <v>1.5E-3</v>
      </c>
      <c r="S9" s="262">
        <v>5.0000000000000001E-4</v>
      </c>
      <c r="T9" s="384">
        <f ca="1">N9-O10</f>
        <v>-1.0804741156136544</v>
      </c>
      <c r="U9" s="386">
        <f ca="1">LN(N9/O10)</f>
        <v>-1.1392447422790592E-2</v>
      </c>
      <c r="V9" s="295">
        <v>1E-3</v>
      </c>
      <c r="W9" s="60">
        <v>2.0000000000000001E-4</v>
      </c>
      <c r="X9" s="27" cm="1">
        <f t="array" aca="1" ref="X9" ca="1">INDIRECT(ADDRESS($B9,9,,,"mkt data"))</f>
        <v>0</v>
      </c>
      <c r="Y9" s="48">
        <f t="shared" ca="1" si="5"/>
        <v>0</v>
      </c>
      <c r="Z9" s="27">
        <f t="shared" ca="1" si="6"/>
        <v>0</v>
      </c>
      <c r="AA9" s="369">
        <f ca="1">SUM(Z9:Z10)</f>
        <v>0</v>
      </c>
      <c r="AB9" s="199" t="str">
        <f t="shared" si="0"/>
        <v>VWOB</v>
      </c>
      <c r="AC9" s="33" cm="1">
        <f t="array" aca="1" ref="AC9" ca="1">INDIRECT(ADDRESS($B9,8,,,"mkt data"))</f>
        <v>63.509998000000003</v>
      </c>
      <c r="AD9" s="191">
        <f t="shared" ca="1" si="7"/>
        <v>63.64</v>
      </c>
      <c r="AE9" s="191">
        <f t="shared" ca="1" si="8"/>
        <v>0.13000199999999751</v>
      </c>
      <c r="AF9" s="202">
        <v>0</v>
      </c>
      <c r="AG9" s="191">
        <f t="shared" ca="1" si="9"/>
        <v>0.13000199999999751</v>
      </c>
      <c r="AH9" s="191">
        <f t="shared" ca="1" si="10"/>
        <v>0</v>
      </c>
      <c r="AI9" s="375">
        <f ca="1">AH9+AH10</f>
        <v>0</v>
      </c>
    </row>
    <row r="10" spans="1:37" ht="15.75" thickBot="1" x14ac:dyDescent="0.3">
      <c r="A10" s="82">
        <f>MATCH(G10,SCALARS!C:C,0)</f>
        <v>14</v>
      </c>
      <c r="B10" s="83">
        <f>MATCH(G10,'MKT DATA'!B:B,0)</f>
        <v>14</v>
      </c>
      <c r="C10" s="138" t="str" cm="1">
        <f t="array" aca="1" ref="C10" ca="1">INDIRECT(ADDRESS($A10,2,,,"scalars"))</f>
        <v>em gov -us</v>
      </c>
      <c r="D10" s="161" cm="1">
        <f t="array" aca="1" ref="D10" ca="1">INDIRECT(ADDRESS($A10,8,,,"SCALARS"))</f>
        <v>6323400</v>
      </c>
      <c r="E10" s="67">
        <v>0.16500000000000001</v>
      </c>
      <c r="F10" s="20" t="str" cm="1">
        <f t="array" aca="1" ref="F10" ca="1">INDIRECT(ADDRESS($A10,5,,,"scalars"))</f>
        <v>EMB</v>
      </c>
      <c r="G10" s="21" t="s">
        <v>47</v>
      </c>
      <c r="H10" s="37" cm="1">
        <f t="array" aca="1" ref="H10" ca="1">INDIRECT(ADDRESS($B10,5,,,"mkt data"))</f>
        <v>90.86</v>
      </c>
      <c r="I10" s="38" cm="1">
        <f t="array" aca="1" ref="I10" ca="1">INDIRECT(ADDRESS($B10,6,,,"mkt data"))</f>
        <v>92.06</v>
      </c>
      <c r="J10" s="171" cm="1">
        <f t="array" aca="1" ref="J10" ca="1">INDIRECT(ADDRESS($A10,7,,,"SCALARS"))</f>
        <v>3.3170269999999999</v>
      </c>
      <c r="K10" s="22">
        <f t="shared" ca="1" si="1"/>
        <v>94.171526999999998</v>
      </c>
      <c r="L10" s="22">
        <f t="shared" ca="1" si="2"/>
        <v>95.382526999999996</v>
      </c>
      <c r="M10" s="45" cm="1">
        <f t="array" aca="1" ref="M10" ca="1">INDIRECT(ADDRESS($A10,6,,,"scalars"))</f>
        <v>1</v>
      </c>
      <c r="N10" s="23">
        <f t="shared" ca="1" si="3"/>
        <v>94.171526999999998</v>
      </c>
      <c r="O10" s="23">
        <f t="shared" ca="1" si="4"/>
        <v>95.382526999999996</v>
      </c>
      <c r="P10" s="385"/>
      <c r="Q10" s="387"/>
      <c r="R10" s="296" t="b">
        <f ca="1">IF(Q9&gt;R9,TRUE,FALSE)</f>
        <v>0</v>
      </c>
      <c r="S10" s="263" t="b">
        <f ca="1">AND(IF(U9&gt;-S9,TRUE,FALSE),IF(X9&gt;0,TRUE,FALSE))</f>
        <v>0</v>
      </c>
      <c r="T10" s="385"/>
      <c r="U10" s="387"/>
      <c r="V10" s="296" t="b">
        <f ca="1">IF(U9&gt;V9,TRUE,FALSE)</f>
        <v>0</v>
      </c>
      <c r="W10" s="61" t="b">
        <f ca="1">AND(IF(Q9&gt;-W9,TRUE,FALSE),IF(X9&lt;0,TRUE,FALSE))</f>
        <v>0</v>
      </c>
      <c r="X10" s="29" cm="1">
        <f t="array" aca="1" ref="X10" ca="1">INDIRECT(ADDRESS($B10,9,,,"mkt data"))</f>
        <v>0</v>
      </c>
      <c r="Y10" s="50">
        <f t="shared" ca="1" si="5"/>
        <v>0</v>
      </c>
      <c r="Z10" s="29">
        <f t="shared" ca="1" si="6"/>
        <v>0</v>
      </c>
      <c r="AA10" s="371"/>
      <c r="AB10" s="207" t="str">
        <f t="shared" si="0"/>
        <v>EMB</v>
      </c>
      <c r="AC10" s="37" cm="1">
        <f t="array" aca="1" ref="AC10" ca="1">INDIRECT(ADDRESS($B10,8,,,"mkt data"))</f>
        <v>91.339995999999999</v>
      </c>
      <c r="AD10" s="193">
        <f t="shared" ca="1" si="7"/>
        <v>91.460000000000008</v>
      </c>
      <c r="AE10" s="193">
        <f t="shared" ca="1" si="8"/>
        <v>0.12000400000000866</v>
      </c>
      <c r="AF10" s="204">
        <v>0</v>
      </c>
      <c r="AG10" s="193">
        <f t="shared" ca="1" si="9"/>
        <v>0.12000400000000866</v>
      </c>
      <c r="AH10" s="193">
        <f t="shared" ca="1" si="10"/>
        <v>0</v>
      </c>
      <c r="AI10" s="377"/>
    </row>
    <row r="11" spans="1:37" x14ac:dyDescent="0.25">
      <c r="A11" s="80">
        <f>MATCH(G11,SCALARS!C:C,0)</f>
        <v>6</v>
      </c>
      <c r="B11" s="81">
        <f>MATCH(G11,'MKT DATA'!B:B,0)</f>
        <v>6</v>
      </c>
      <c r="C11" s="137" t="str" cm="1">
        <f t="array" aca="1" ref="C11" ca="1">INDIRECT(ADDRESS($A11,2,,,"scalars"))</f>
        <v>calif munis</v>
      </c>
      <c r="D11" s="160" cm="1">
        <f t="array" aca="1" ref="D11" ca="1">INDIRECT(ADDRESS($A11,8,,,"SCALARS"))</f>
        <v>990100</v>
      </c>
      <c r="E11" s="66">
        <v>0.1002</v>
      </c>
      <c r="F11" s="14" t="str" cm="1">
        <f t="array" aca="1" ref="F11" ca="1">INDIRECT(ADDRESS($A11,5,,,"scalars"))</f>
        <v>VTEC</v>
      </c>
      <c r="G11" s="15" t="s">
        <v>45</v>
      </c>
      <c r="H11" s="33" cm="1">
        <f t="array" aca="1" ref="H11" ca="1">INDIRECT(ADDRESS($B11,5,,,"mkt data"))</f>
        <v>53.6</v>
      </c>
      <c r="I11" s="34" cm="1">
        <f t="array" aca="1" ref="I11" ca="1">INDIRECT(ADDRESS($B11,6,,,"mkt data"))</f>
        <v>53.94</v>
      </c>
      <c r="J11" s="170" cm="1">
        <f t="array" aca="1" ref="J11" ca="1">INDIRECT(ADDRESS($A11,7,,,"SCALARS"))</f>
        <v>1.1259440000000001</v>
      </c>
      <c r="K11" s="16">
        <f t="shared" ca="1" si="1"/>
        <v>54.720444000000001</v>
      </c>
      <c r="L11" s="16">
        <f t="shared" ca="1" si="2"/>
        <v>55.071443999999993</v>
      </c>
      <c r="M11" s="44" cm="1">
        <f t="array" aca="1" ref="M11" ca="1">INDIRECT(ADDRESS($A11,6,,,"scalars"))</f>
        <v>1.7459777128119032</v>
      </c>
      <c r="N11" s="17">
        <f t="shared" ca="1" si="3"/>
        <v>95.540675659171825</v>
      </c>
      <c r="O11" s="17">
        <f t="shared" ca="1" si="4"/>
        <v>96.153513836368802</v>
      </c>
      <c r="P11" s="384">
        <f ca="1">N12-O11</f>
        <v>-1.416513836368793</v>
      </c>
      <c r="Q11" s="398">
        <f ca="1">LN(N12/O11)</f>
        <v>-1.4841385343979812E-2</v>
      </c>
      <c r="R11" s="295">
        <v>1E-3</v>
      </c>
      <c r="S11" s="262">
        <v>2.0000000000000001E-4</v>
      </c>
      <c r="T11" s="384">
        <f ca="1">N11-O12</f>
        <v>-4.0273243408281729</v>
      </c>
      <c r="U11" s="386">
        <f ca="1">LN(N11/O12)</f>
        <v>-4.1288747886998316E-2</v>
      </c>
      <c r="V11" s="295">
        <v>1E-3</v>
      </c>
      <c r="W11" s="60">
        <v>2.0000000000000001E-4</v>
      </c>
      <c r="X11" s="27" cm="1">
        <f t="array" aca="1" ref="X11" ca="1">INDIRECT(ADDRESS($B11,9,,,"mkt data"))</f>
        <v>0</v>
      </c>
      <c r="Y11" s="48">
        <f t="shared" ca="1" si="5"/>
        <v>0</v>
      </c>
      <c r="Z11" s="27">
        <f t="shared" ca="1" si="6"/>
        <v>0</v>
      </c>
      <c r="AA11" s="372">
        <f ca="1">SUM(Z11:Z12)</f>
        <v>0</v>
      </c>
      <c r="AB11" s="199" t="str">
        <f t="shared" si="0"/>
        <v>CMF</v>
      </c>
      <c r="AC11" s="33" cm="1">
        <f t="array" aca="1" ref="AC11" ca="1">INDIRECT(ADDRESS($B11,8,,,"mkt data"))</f>
        <v>53.919998</v>
      </c>
      <c r="AD11" s="191">
        <f t="shared" ca="1" si="7"/>
        <v>53.769999999999996</v>
      </c>
      <c r="AE11" s="191">
        <f t="shared" ca="1" si="8"/>
        <v>-0.14999800000000363</v>
      </c>
      <c r="AF11" s="202">
        <v>0</v>
      </c>
      <c r="AG11" s="191">
        <f t="shared" ca="1" si="9"/>
        <v>-0.14999800000000363</v>
      </c>
      <c r="AH11" s="191">
        <f t="shared" ca="1" si="10"/>
        <v>0</v>
      </c>
      <c r="AI11" s="375">
        <f ca="1">AH11+AH12</f>
        <v>0</v>
      </c>
      <c r="AJ11" s="417"/>
      <c r="AK11" s="419"/>
    </row>
    <row r="12" spans="1:37" ht="15.75" thickBot="1" x14ac:dyDescent="0.3">
      <c r="A12" s="82">
        <f>MATCH(G12,SCALARS!C:C,0)</f>
        <v>7</v>
      </c>
      <c r="B12" s="83">
        <f>MATCH(G12,'MKT DATA'!B:B,0)</f>
        <v>7</v>
      </c>
      <c r="C12" s="138" t="str" cm="1">
        <f t="array" aca="1" ref="C12" ca="1">INDIRECT(ADDRESS($A12,2,,,"scalars"))</f>
        <v>calif munis</v>
      </c>
      <c r="D12" s="161" cm="1">
        <f t="array" aca="1" ref="D12" ca="1">INDIRECT(ADDRESS($A12,8,,,"SCALARS"))</f>
        <v>539000</v>
      </c>
      <c r="E12" s="67">
        <v>0.1002</v>
      </c>
      <c r="F12" s="20" t="str" cm="1">
        <f t="array" aca="1" ref="F12" ca="1">INDIRECT(ADDRESS($A12,5,,,"scalars"))</f>
        <v>VTEC</v>
      </c>
      <c r="G12" s="21" t="s">
        <v>56</v>
      </c>
      <c r="H12" s="37" cm="1">
        <f t="array" aca="1" ref="H12" ca="1">INDIRECT(ADDRESS($B12,5,,,"mkt data"))</f>
        <v>92.68</v>
      </c>
      <c r="I12" s="38" cm="1">
        <f t="array" aca="1" ref="I12" ca="1">INDIRECT(ADDRESS($B12,6,,,"mkt data"))</f>
        <v>97.5</v>
      </c>
      <c r="J12" s="171" cm="1">
        <f t="array" aca="1" ref="J12" ca="1">INDIRECT(ADDRESS($A12,7,,,"SCALARS"))</f>
        <v>2.0625</v>
      </c>
      <c r="K12" s="22">
        <f t="shared" ca="1" si="1"/>
        <v>94.737000000000009</v>
      </c>
      <c r="L12" s="22">
        <f t="shared" ca="1" si="2"/>
        <v>99.567999999999998</v>
      </c>
      <c r="M12" s="45" cm="1">
        <f t="array" aca="1" ref="M12" ca="1">INDIRECT(ADDRESS($A12,6,,,"scalars"))</f>
        <v>1</v>
      </c>
      <c r="N12" s="23">
        <f t="shared" ca="1" si="3"/>
        <v>94.737000000000009</v>
      </c>
      <c r="O12" s="23">
        <f t="shared" ca="1" si="4"/>
        <v>99.567999999999998</v>
      </c>
      <c r="P12" s="385"/>
      <c r="Q12" s="399"/>
      <c r="R12" s="296" t="b">
        <f ca="1">IF(Q11&gt;R11,TRUE,FALSE)</f>
        <v>0</v>
      </c>
      <c r="S12" s="263" t="b">
        <f ca="1">AND(IF(U11&gt;-S11,TRUE,FALSE),IF(X11&gt;0,TRUE,FALSE))</f>
        <v>0</v>
      </c>
      <c r="T12" s="385"/>
      <c r="U12" s="387"/>
      <c r="V12" s="296" t="b">
        <f ca="1">IF(U11&gt;V11,TRUE,FALSE)</f>
        <v>0</v>
      </c>
      <c r="W12" s="61" t="b">
        <f ca="1">AND(IF(Q11&gt;-W11,TRUE,FALSE),IF(X11&lt;0,TRUE,FALSE))</f>
        <v>0</v>
      </c>
      <c r="X12" s="29" cm="1">
        <f t="array" aca="1" ref="X12" ca="1">INDIRECT(ADDRESS($B12,9,,,"mkt data"))</f>
        <v>0</v>
      </c>
      <c r="Y12" s="50">
        <f t="shared" ca="1" si="5"/>
        <v>0</v>
      </c>
      <c r="Z12" s="29">
        <f t="shared" ca="1" si="6"/>
        <v>0</v>
      </c>
      <c r="AA12" s="374"/>
      <c r="AB12" s="207" t="str">
        <f t="shared" si="0"/>
        <v>VTEC</v>
      </c>
      <c r="AC12" s="37" cm="1">
        <f t="array" aca="1" ref="AC12" ca="1">INDIRECT(ADDRESS($B12,8,,,"mkt data"))</f>
        <v>93.900002000000001</v>
      </c>
      <c r="AD12" s="193">
        <f t="shared" ca="1" si="7"/>
        <v>95.09</v>
      </c>
      <c r="AE12" s="193">
        <f t="shared" ca="1" si="8"/>
        <v>1.1899980000000028</v>
      </c>
      <c r="AF12" s="204">
        <v>0</v>
      </c>
      <c r="AG12" s="193">
        <f t="shared" ca="1" si="9"/>
        <v>1.1899980000000028</v>
      </c>
      <c r="AH12" s="193">
        <f t="shared" ca="1" si="10"/>
        <v>0</v>
      </c>
      <c r="AI12" s="377"/>
    </row>
    <row r="13" spans="1:37" x14ac:dyDescent="0.25">
      <c r="A13" s="80">
        <f>MATCH(G13,SCALARS!C:C,0)</f>
        <v>41</v>
      </c>
      <c r="B13" s="81">
        <f>MATCH(G13,'MKT DATA'!B:B,0)</f>
        <v>41</v>
      </c>
      <c r="C13" s="137" t="str" cm="1">
        <f t="array" aca="1" ref="C13" ca="1">INDIRECT(ADDRESS($A13,2,,,"scalars"))</f>
        <v>prefs</v>
      </c>
      <c r="D13" s="160" cm="1">
        <f t="array" aca="1" ref="D13" ca="1">INDIRECT(ADDRESS($A13,8,,,"SCALARS"))</f>
        <v>811800</v>
      </c>
      <c r="E13" s="66">
        <v>0.16500000000000001</v>
      </c>
      <c r="F13" s="14" t="str" cm="1">
        <f t="array" aca="1" ref="F13" ca="1">INDIRECT(ADDRESS($A13,5,,,"scalars"))</f>
        <v>PFF</v>
      </c>
      <c r="G13" s="15" t="s">
        <v>53</v>
      </c>
      <c r="H13" s="33" cm="1">
        <f t="array" aca="1" ref="H13" ca="1">INDIRECT(ADDRESS($B13,5,,,"mkt data"))</f>
        <v>17.54</v>
      </c>
      <c r="I13" s="34" cm="1">
        <f t="array" aca="1" ref="I13" ca="1">INDIRECT(ADDRESS($B13,6,,,"mkt data"))</f>
        <v>18.5</v>
      </c>
      <c r="J13" s="170" cm="1">
        <f t="array" aca="1" ref="J13" ca="1">INDIRECT(ADDRESS($A13,7,,,"SCALARS"))</f>
        <v>0.79999999999999993</v>
      </c>
      <c r="K13" s="16">
        <f t="shared" ca="1" si="1"/>
        <v>18.334499999999998</v>
      </c>
      <c r="L13" s="16">
        <f t="shared" ca="1" si="2"/>
        <v>19.305500000000002</v>
      </c>
      <c r="M13" s="44" cm="1">
        <f t="array" aca="1" ref="M13" ca="1">INDIRECT(ADDRESS($A13,6,,,"scalars"))</f>
        <v>1.6517399608224508</v>
      </c>
      <c r="N13" s="17">
        <f t="shared" ca="1" si="3"/>
        <v>30.283826311699222</v>
      </c>
      <c r="O13" s="17">
        <f t="shared" ca="1" si="4"/>
        <v>31.887665813657826</v>
      </c>
      <c r="P13" s="384">
        <f ca="1">N14-O13</f>
        <v>-1.4127918136578259</v>
      </c>
      <c r="Q13" s="386">
        <f ca="1">LN(N14/O13)</f>
        <v>-4.5316742590036513E-2</v>
      </c>
      <c r="R13" s="295">
        <v>5.0000000000000001E-3</v>
      </c>
      <c r="S13" s="262">
        <v>3.0000000000000001E-3</v>
      </c>
      <c r="T13" s="384">
        <f ca="1">N13-O14</f>
        <v>-0.53204768830077853</v>
      </c>
      <c r="U13" s="398">
        <f ca="1">LN(N13/O14)</f>
        <v>-1.7416161913399914E-2</v>
      </c>
      <c r="V13" s="295">
        <v>4.0000000000000001E-3</v>
      </c>
      <c r="W13" s="60">
        <v>2E-3</v>
      </c>
      <c r="X13" s="27" cm="1">
        <f t="array" aca="1" ref="X13" ca="1">INDIRECT(ADDRESS($B13,9,,,"mkt data"))</f>
        <v>2805</v>
      </c>
      <c r="Y13" s="48">
        <f t="shared" ca="1" si="5"/>
        <v>50546.1</v>
      </c>
      <c r="Z13" s="27">
        <f t="shared" ca="1" si="6"/>
        <v>1698.2092015278886</v>
      </c>
      <c r="AA13" s="372">
        <f ca="1">SUM(Z13:Z14)</f>
        <v>-1.790798472111419</v>
      </c>
      <c r="AB13" s="199" t="str">
        <f t="shared" si="0"/>
        <v>PFFD</v>
      </c>
      <c r="AC13" s="33" cm="1">
        <f t="array" aca="1" ref="AC13" ca="1">INDIRECT(ADDRESS($B13,8,,,"mkt data"))</f>
        <v>17.639999</v>
      </c>
      <c r="AD13" s="191">
        <f t="shared" ca="1" si="7"/>
        <v>18.02</v>
      </c>
      <c r="AE13" s="191">
        <f t="shared" ca="1" si="8"/>
        <v>0.38000100000000003</v>
      </c>
      <c r="AF13" s="202">
        <v>0</v>
      </c>
      <c r="AG13" s="191">
        <f t="shared" ca="1" si="9"/>
        <v>0.38000100000000003</v>
      </c>
      <c r="AH13" s="191">
        <f t="shared" ca="1" si="10"/>
        <v>1065.9028050000002</v>
      </c>
      <c r="AI13" s="375">
        <f ca="1">AH13+AH14</f>
        <v>1023.4011050000008</v>
      </c>
      <c r="AJ13" s="417">
        <v>46293</v>
      </c>
      <c r="AK13" s="419">
        <f ca="1">U13+S13</f>
        <v>-1.4416161913399915E-2</v>
      </c>
    </row>
    <row r="14" spans="1:37" ht="15.75" thickBot="1" x14ac:dyDescent="0.3">
      <c r="A14" s="82">
        <f>MATCH(G14,SCALARS!C:C,0)</f>
        <v>40</v>
      </c>
      <c r="B14" s="83">
        <f>MATCH(G14,'MKT DATA'!B:B,0)</f>
        <v>40</v>
      </c>
      <c r="C14" s="138" t="str" cm="1">
        <f t="array" aca="1" ref="C14" ca="1">INDIRECT(ADDRESS($A14,2,,,"scalars"))</f>
        <v>prefs</v>
      </c>
      <c r="D14" s="161" cm="1">
        <f t="array" aca="1" ref="D14" ca="1">INDIRECT(ADDRESS($A14,8,,,"SCALARS"))</f>
        <v>2679800</v>
      </c>
      <c r="E14" s="67">
        <v>0.16500000000000001</v>
      </c>
      <c r="F14" s="20" t="str" cm="1">
        <f t="array" aca="1" ref="F14" ca="1">INDIRECT(ADDRESS($A14,5,,,"scalars"))</f>
        <v>PFF</v>
      </c>
      <c r="G14" s="21" t="s">
        <v>52</v>
      </c>
      <c r="H14" s="37" cm="1">
        <f t="array" aca="1" ref="H14" ca="1">INDIRECT(ADDRESS($B14,5,,,"mkt data"))</f>
        <v>29.42</v>
      </c>
      <c r="I14" s="38" cm="1">
        <f t="array" aca="1" ref="I14" ca="1">INDIRECT(ADDRESS($B14,6,,,"mkt data"))</f>
        <v>29.75</v>
      </c>
      <c r="J14" s="171" cm="1">
        <f t="array" aca="1" ref="J14" ca="1">INDIRECT(ADDRESS($A14,7,,,"SCALARS"))</f>
        <v>1.0603740000000001</v>
      </c>
      <c r="K14" s="22">
        <f t="shared" ca="1" si="1"/>
        <v>30.474874</v>
      </c>
      <c r="L14" s="22">
        <f t="shared" ca="1" si="2"/>
        <v>30.815874000000001</v>
      </c>
      <c r="M14" s="45" cm="1">
        <f t="array" aca="1" ref="M14" ca="1">INDIRECT(ADDRESS($A14,6,,,"scalars"))</f>
        <v>1</v>
      </c>
      <c r="N14" s="23">
        <f t="shared" ca="1" si="3"/>
        <v>30.474874</v>
      </c>
      <c r="O14" s="23">
        <f t="shared" ca="1" si="4"/>
        <v>30.815874000000001</v>
      </c>
      <c r="P14" s="385"/>
      <c r="Q14" s="387"/>
      <c r="R14" s="296" t="b">
        <f ca="1">IF(Q13&gt;R13,TRUE,FALSE)</f>
        <v>0</v>
      </c>
      <c r="S14" s="263" t="b">
        <f ca="1">AND(IF(U13&gt;-S13,TRUE,FALSE),IF(X13&gt;0,TRUE,FALSE))</f>
        <v>0</v>
      </c>
      <c r="T14" s="385"/>
      <c r="U14" s="399"/>
      <c r="V14" s="296" t="b">
        <f ca="1">IF(U13&gt;V13,TRUE,FALSE)</f>
        <v>0</v>
      </c>
      <c r="W14" s="61" t="b">
        <f ca="1">AND(IF(Q13&gt;-W13,TRUE,FALSE),IF(X13&lt;0,TRUE,FALSE))</f>
        <v>0</v>
      </c>
      <c r="X14" s="29" cm="1">
        <f t="array" aca="1" ref="X14" ca="1">INDIRECT(ADDRESS($B14,9,,,"mkt data"))</f>
        <v>-1700</v>
      </c>
      <c r="Y14" s="50">
        <f t="shared" ca="1" si="5"/>
        <v>-50294.5</v>
      </c>
      <c r="Z14" s="29">
        <f t="shared" ca="1" si="6"/>
        <v>-1700</v>
      </c>
      <c r="AA14" s="374"/>
      <c r="AB14" s="207" t="str">
        <f t="shared" si="0"/>
        <v>PFF</v>
      </c>
      <c r="AC14" s="37" cm="1">
        <f t="array" aca="1" ref="AC14" ca="1">INDIRECT(ADDRESS($B14,8,,,"mkt data"))</f>
        <v>29.559999000000001</v>
      </c>
      <c r="AD14" s="193">
        <f t="shared" ca="1" si="7"/>
        <v>29.585000000000001</v>
      </c>
      <c r="AE14" s="193">
        <f t="shared" ca="1" si="8"/>
        <v>2.5000999999999607E-2</v>
      </c>
      <c r="AF14" s="204">
        <v>0</v>
      </c>
      <c r="AG14" s="193">
        <f t="shared" ca="1" si="9"/>
        <v>2.5000999999999607E-2</v>
      </c>
      <c r="AH14" s="193">
        <f t="shared" ca="1" si="10"/>
        <v>-42.501699999999332</v>
      </c>
      <c r="AI14" s="377"/>
    </row>
    <row r="15" spans="1:37" x14ac:dyDescent="0.25">
      <c r="A15" s="80">
        <f>MATCH(G15,SCALARS!C:C,0)</f>
        <v>24</v>
      </c>
      <c r="B15" s="81">
        <f>MATCH(G15,'MKT DATA'!B:B,0)</f>
        <v>24</v>
      </c>
      <c r="C15" s="137" t="str" cm="1">
        <f t="array" aca="1" ref="C15" ca="1">INDIRECT(ADDRESS($A15,2,,,"scalars"))</f>
        <v>intl agg - hedged</v>
      </c>
      <c r="D15" s="160" cm="1">
        <f t="array" aca="1" ref="D15" ca="1">INDIRECT(ADDRESS($A15,8,,,"SCALARS"))</f>
        <v>4173700</v>
      </c>
      <c r="E15" s="145"/>
      <c r="F15" s="14" t="str" cm="1">
        <f t="array" aca="1" ref="F15" ca="1">INDIRECT(ADDRESS($A15,5,,,"scalars"))</f>
        <v>IAGG</v>
      </c>
      <c r="G15" s="15" t="s">
        <v>43</v>
      </c>
      <c r="H15" s="33" cm="1">
        <f t="array" aca="1" ref="H15" ca="1">INDIRECT(ADDRESS($B15,5,,,"mkt data"))</f>
        <v>46.7</v>
      </c>
      <c r="I15" s="34" cm="1">
        <f t="array" aca="1" ref="I15" ca="1">INDIRECT(ADDRESS($B15,6,,,"mkt data"))</f>
        <v>47.19</v>
      </c>
      <c r="J15" s="170" cm="1">
        <f t="array" aca="1" ref="J15" ca="1">INDIRECT(ADDRESS($A15,7,,,"SCALARS"))</f>
        <v>0.90090000000000003</v>
      </c>
      <c r="K15" s="16">
        <f t="shared" ca="1" si="1"/>
        <v>47.595400000000005</v>
      </c>
      <c r="L15" s="16">
        <f t="shared" ca="1" si="2"/>
        <v>48.096399999999996</v>
      </c>
      <c r="M15" s="44" cm="1">
        <f t="array" aca="1" ref="M15" ca="1">INDIRECT(ADDRESS($A15,6,,,"scalars"))</f>
        <v>1.0452602286087633</v>
      </c>
      <c r="N15" s="17">
        <f t="shared" ca="1" si="3"/>
        <v>49.749578684725542</v>
      </c>
      <c r="O15" s="17">
        <f t="shared" ca="1" si="4"/>
        <v>50.27325405925852</v>
      </c>
      <c r="P15" s="384">
        <f ca="1">N16-O15</f>
        <v>-0.39567405925851773</v>
      </c>
      <c r="Q15" s="386">
        <f ca="1">LN(N16/O15)</f>
        <v>-7.9016040484064503E-3</v>
      </c>
      <c r="R15" s="295">
        <v>3.0000000000000001E-3</v>
      </c>
      <c r="S15" s="262">
        <v>1E-3</v>
      </c>
      <c r="T15" s="384">
        <f ca="1">N15-O16</f>
        <v>-1.0290013152744564</v>
      </c>
      <c r="U15" s="386">
        <f ca="1">LN(N15/O16)</f>
        <v>-2.0472617200267353E-2</v>
      </c>
      <c r="V15" s="295">
        <v>1E-3</v>
      </c>
      <c r="W15" s="60">
        <v>2.0000000000000001E-4</v>
      </c>
      <c r="X15" s="27" cm="1">
        <f t="array" aca="1" ref="X15" ca="1">INDIRECT(ADDRESS($B15,9,,,"mkt data"))</f>
        <v>0</v>
      </c>
      <c r="Y15" s="48">
        <f t="shared" ca="1" si="5"/>
        <v>0</v>
      </c>
      <c r="Z15" s="27">
        <f t="shared" ca="1" si="6"/>
        <v>0</v>
      </c>
      <c r="AA15" s="339">
        <f ca="1">SUM(Z15:Z16)</f>
        <v>0</v>
      </c>
      <c r="AB15" s="199" t="str">
        <f t="shared" si="0"/>
        <v>BNDX</v>
      </c>
      <c r="AC15" s="33" cm="1">
        <f t="array" aca="1" ref="AC15" ca="1">INDIRECT(ADDRESS($B15,8,,,"mkt data"))</f>
        <v>46.84</v>
      </c>
      <c r="AD15" s="191">
        <f t="shared" ca="1" si="7"/>
        <v>46.945</v>
      </c>
      <c r="AE15" s="191">
        <f t="shared" ca="1" si="8"/>
        <v>0.10499999999999687</v>
      </c>
      <c r="AF15" s="202">
        <v>0</v>
      </c>
      <c r="AG15" s="191">
        <f t="shared" ca="1" si="9"/>
        <v>0.10499999999999687</v>
      </c>
      <c r="AH15" s="191">
        <f t="shared" ca="1" si="10"/>
        <v>0</v>
      </c>
      <c r="AI15" s="375">
        <f ca="1">AH15+AH16</f>
        <v>0</v>
      </c>
    </row>
    <row r="16" spans="1:37" ht="15.75" thickBot="1" x14ac:dyDescent="0.3">
      <c r="A16" s="82">
        <f>MATCH(G16,SCALARS!C:C,0)</f>
        <v>25</v>
      </c>
      <c r="B16" s="83">
        <f>MATCH(G16,'MKT DATA'!B:B,0)</f>
        <v>25</v>
      </c>
      <c r="C16" s="138" t="str" cm="1">
        <f t="array" aca="1" ref="C16" ca="1">INDIRECT(ADDRESS($A16,2,,,"scalars"))</f>
        <v>intl agg - hedged</v>
      </c>
      <c r="D16" s="161" cm="1">
        <f t="array" aca="1" ref="D16" ca="1">INDIRECT(ADDRESS($A16,8,,,"SCALARS"))</f>
        <v>1529900</v>
      </c>
      <c r="E16" s="146"/>
      <c r="F16" s="20" t="str" cm="1">
        <f t="array" aca="1" ref="F16" ca="1">INDIRECT(ADDRESS($A16,5,,,"scalars"))</f>
        <v>IAGG</v>
      </c>
      <c r="G16" s="21" t="s">
        <v>49</v>
      </c>
      <c r="H16" s="37" cm="1">
        <f t="array" aca="1" ref="H16" ca="1">INDIRECT(ADDRESS($B16,5,,,"mkt data"))</f>
        <v>49.17</v>
      </c>
      <c r="I16" s="38" cm="1">
        <f t="array" aca="1" ref="I16" ca="1">INDIRECT(ADDRESS($B16,6,,,"mkt data"))</f>
        <v>50.06</v>
      </c>
      <c r="J16" s="171" cm="1">
        <f t="array" aca="1" ref="J16" ca="1">INDIRECT(ADDRESS($A16,7,,,"SCALARS"))</f>
        <v>0.71307999999999994</v>
      </c>
      <c r="K16" s="22">
        <f t="shared" ca="1" si="1"/>
        <v>49.877580000000002</v>
      </c>
      <c r="L16" s="22">
        <f t="shared" ca="1" si="2"/>
        <v>50.778579999999998</v>
      </c>
      <c r="M16" s="45" cm="1">
        <f t="array" aca="1" ref="M16" ca="1">INDIRECT(ADDRESS($A16,6,,,"scalars"))</f>
        <v>1</v>
      </c>
      <c r="N16" s="23">
        <f t="shared" ca="1" si="3"/>
        <v>49.877580000000002</v>
      </c>
      <c r="O16" s="23">
        <f t="shared" ca="1" si="4"/>
        <v>50.778579999999998</v>
      </c>
      <c r="P16" s="385"/>
      <c r="Q16" s="387"/>
      <c r="R16" s="296" t="b">
        <f ca="1">IF(Q15&gt;R15,TRUE,FALSE)</f>
        <v>0</v>
      </c>
      <c r="S16" s="263" t="b">
        <f ca="1">AND(IF(U15&gt;-S15,TRUE,FALSE),IF(X15&gt;0,TRUE,FALSE))</f>
        <v>0</v>
      </c>
      <c r="T16" s="385"/>
      <c r="U16" s="387"/>
      <c r="V16" s="296" t="b">
        <f ca="1">IF(U15&gt;V15,TRUE,FALSE)</f>
        <v>0</v>
      </c>
      <c r="W16" s="61" t="b">
        <f ca="1">AND(IF(Q15&gt;-W15,TRUE,FALSE),IF(X15&lt;0,TRUE,FALSE))</f>
        <v>0</v>
      </c>
      <c r="X16" s="29" cm="1">
        <f t="array" aca="1" ref="X16" ca="1">INDIRECT(ADDRESS($B16,9,,,"mkt data"))</f>
        <v>0</v>
      </c>
      <c r="Y16" s="50">
        <f t="shared" ca="1" si="5"/>
        <v>0</v>
      </c>
      <c r="Z16" s="29">
        <f t="shared" ca="1" si="6"/>
        <v>0</v>
      </c>
      <c r="AA16" s="341"/>
      <c r="AB16" s="207" t="str">
        <f t="shared" si="0"/>
        <v>IAGG</v>
      </c>
      <c r="AC16" s="37" cm="1">
        <f t="array" aca="1" ref="AC16" ca="1">INDIRECT(ADDRESS($B16,8,,,"mkt data"))</f>
        <v>49.23</v>
      </c>
      <c r="AD16" s="193">
        <f t="shared" ca="1" si="7"/>
        <v>49.615000000000002</v>
      </c>
      <c r="AE16" s="193">
        <f t="shared" ca="1" si="8"/>
        <v>0.38500000000000512</v>
      </c>
      <c r="AF16" s="204">
        <v>0</v>
      </c>
      <c r="AG16" s="193">
        <f t="shared" ca="1" si="9"/>
        <v>0.38500000000000512</v>
      </c>
      <c r="AH16" s="193">
        <f t="shared" ca="1" si="10"/>
        <v>0</v>
      </c>
      <c r="AI16" s="377"/>
    </row>
    <row r="17" spans="1:35" x14ac:dyDescent="0.25">
      <c r="A17" s="80">
        <f>MATCH(G17,SCALARS!C:C,0)</f>
        <v>17</v>
      </c>
      <c r="B17" s="81">
        <f>MATCH(G17,'MKT DATA'!B:B,0)</f>
        <v>17</v>
      </c>
      <c r="C17" s="137" t="str" cm="1">
        <f t="array" aca="1" ref="C17" ca="1">INDIRECT(ADDRESS($A17,2,,,"scalars"))</f>
        <v>fallen angels</v>
      </c>
      <c r="D17" s="160" cm="1">
        <f t="array" aca="1" ref="D17" ca="1">INDIRECT(ADDRESS($A17,8,,,"SCALARS"))</f>
        <v>721200</v>
      </c>
      <c r="E17" s="145"/>
      <c r="F17" s="14" t="str" cm="1">
        <f t="array" aca="1" ref="F17" ca="1">INDIRECT(ADDRESS($A17,5,,,"scalars"))</f>
        <v>ANGL</v>
      </c>
      <c r="G17" s="15" t="s">
        <v>48</v>
      </c>
      <c r="H17" s="33" cm="1">
        <f t="array" aca="1" ref="H17" ca="1">INDIRECT(ADDRESS($B17,5,,,"mkt data"))</f>
        <v>24.83</v>
      </c>
      <c r="I17" s="34" cm="1">
        <f t="array" aca="1" ref="I17" ca="1">INDIRECT(ADDRESS($B17,6,,,"mkt data"))</f>
        <v>26.1</v>
      </c>
      <c r="J17" s="170" cm="1">
        <f t="array" aca="1" ref="J17" ca="1">INDIRECT(ADDRESS($A17,7,,,"SCALARS"))</f>
        <v>1.1721300000000001</v>
      </c>
      <c r="K17" s="16">
        <f t="shared" ca="1" si="1"/>
        <v>25.996629999999996</v>
      </c>
      <c r="L17" s="16">
        <f t="shared" ca="1" si="2"/>
        <v>27.277630000000002</v>
      </c>
      <c r="M17" s="44" cm="1">
        <f t="array" aca="1" ref="M17" ca="1">INDIRECT(ADDRESS($A17,6,,,"scalars"))</f>
        <v>1.0757044797511381</v>
      </c>
      <c r="N17" s="17">
        <f t="shared" ca="1" si="3"/>
        <v>27.964691349432826</v>
      </c>
      <c r="O17" s="17">
        <f t="shared" ca="1" si="4"/>
        <v>29.34266878799404</v>
      </c>
      <c r="P17" s="384">
        <f ca="1">N18-O17</f>
        <v>-0.37586878799404033</v>
      </c>
      <c r="Q17" s="386">
        <f ca="1">LN(N18/O17)</f>
        <v>-1.2892382729564267E-2</v>
      </c>
      <c r="R17" s="295">
        <v>1.5E-3</v>
      </c>
      <c r="S17" s="262">
        <v>2.0000000000000001E-4</v>
      </c>
      <c r="T17" s="384">
        <f ca="1">N17-O18</f>
        <v>-2.023108650567174</v>
      </c>
      <c r="U17" s="386">
        <f ca="1">LN(N17/O18)</f>
        <v>-6.984794110236274E-2</v>
      </c>
      <c r="V17" s="295">
        <v>2E-3</v>
      </c>
      <c r="W17" s="60">
        <v>5.0000000000000001E-4</v>
      </c>
      <c r="X17" s="27" cm="1">
        <f t="array" aca="1" ref="X17" ca="1">INDIRECT(ADDRESS($B17,9,,,"mkt data"))</f>
        <v>0</v>
      </c>
      <c r="Y17" s="48">
        <f t="shared" ca="1" si="5"/>
        <v>0</v>
      </c>
      <c r="Z17" s="27">
        <f t="shared" ca="1" si="6"/>
        <v>0</v>
      </c>
      <c r="AA17" s="372">
        <f ca="1">SUM(Z17:Z18)</f>
        <v>0</v>
      </c>
      <c r="AB17" s="199" t="str">
        <f t="shared" si="0"/>
        <v>FALN</v>
      </c>
      <c r="AC17" s="33" cm="1">
        <f t="array" aca="1" ref="AC17" ca="1">INDIRECT(ADDRESS($B17,8,,,"mkt data"))</f>
        <v>26.075001</v>
      </c>
      <c r="AD17" s="191">
        <f t="shared" ca="1" si="7"/>
        <v>25.465</v>
      </c>
      <c r="AE17" s="191">
        <f t="shared" ca="1" si="8"/>
        <v>-0.61000100000000046</v>
      </c>
      <c r="AF17" s="202">
        <v>0</v>
      </c>
      <c r="AG17" s="191">
        <f t="shared" ca="1" si="9"/>
        <v>-0.61000100000000046</v>
      </c>
      <c r="AH17" s="191">
        <f t="shared" ca="1" si="10"/>
        <v>0</v>
      </c>
      <c r="AI17" s="375">
        <f ca="1">AH17+AH18</f>
        <v>0</v>
      </c>
    </row>
    <row r="18" spans="1:35" ht="15.75" thickBot="1" x14ac:dyDescent="0.3">
      <c r="A18" s="82">
        <f>MATCH(G18,SCALARS!C:C,0)</f>
        <v>16</v>
      </c>
      <c r="B18" s="83">
        <f>MATCH(G18,'MKT DATA'!B:B,0)</f>
        <v>16</v>
      </c>
      <c r="C18" s="138" t="str" cm="1">
        <f t="array" aca="1" ref="C18" ca="1">INDIRECT(ADDRESS($A18,2,,,"scalars"))</f>
        <v>fallen angels</v>
      </c>
      <c r="D18" s="161" cm="1">
        <f t="array" aca="1" ref="D18" ca="1">INDIRECT(ADDRESS($A18,8,,,"SCALARS"))</f>
        <v>799100</v>
      </c>
      <c r="E18" s="146"/>
      <c r="F18" s="20" t="str" cm="1">
        <f t="array" aca="1" ref="F18" ca="1">INDIRECT(ADDRESS($A18,5,,,"scalars"))</f>
        <v>ANGL</v>
      </c>
      <c r="G18" s="21" t="s">
        <v>42</v>
      </c>
      <c r="H18" s="37" cm="1">
        <f t="array" aca="1" ref="H18" ca="1">INDIRECT(ADDRESS($B18,5,,,"mkt data"))</f>
        <v>27.69</v>
      </c>
      <c r="I18" s="38" cm="1">
        <f t="array" aca="1" ref="I18" ca="1">INDIRECT(ADDRESS($B18,6,,,"mkt data"))</f>
        <v>28.7</v>
      </c>
      <c r="J18" s="171" cm="1">
        <f t="array" aca="1" ref="J18" ca="1">INDIRECT(ADDRESS($A18,7,,,"SCALARS"))</f>
        <v>1.2823</v>
      </c>
      <c r="K18" s="22">
        <f t="shared" ca="1" si="1"/>
        <v>28.966799999999999</v>
      </c>
      <c r="L18" s="22">
        <f t="shared" ca="1" si="2"/>
        <v>29.9878</v>
      </c>
      <c r="M18" s="45" cm="1">
        <f t="array" aca="1" ref="M18" ca="1">INDIRECT(ADDRESS($A18,6,,,"scalars"))</f>
        <v>1</v>
      </c>
      <c r="N18" s="23">
        <f t="shared" ca="1" si="3"/>
        <v>28.966799999999999</v>
      </c>
      <c r="O18" s="23">
        <f t="shared" ca="1" si="4"/>
        <v>29.9878</v>
      </c>
      <c r="P18" s="385"/>
      <c r="Q18" s="387"/>
      <c r="R18" s="296" t="b">
        <f ca="1">IF(Q17&gt;R17,TRUE,FALSE)</f>
        <v>0</v>
      </c>
      <c r="S18" s="263" t="b">
        <f ca="1">AND(IF(U17&gt;-S17,TRUE,FALSE),IF(X17&gt;0,TRUE,FALSE))</f>
        <v>0</v>
      </c>
      <c r="T18" s="385"/>
      <c r="U18" s="387"/>
      <c r="V18" s="296" t="b">
        <f ca="1">IF(U17&gt;V17,TRUE,FALSE)</f>
        <v>0</v>
      </c>
      <c r="W18" s="61" t="b">
        <f ca="1">AND(IF(Q17&gt;-W17,TRUE,FALSE),IF(X17&lt;0,TRUE,FALSE))</f>
        <v>0</v>
      </c>
      <c r="X18" s="29" cm="1">
        <f t="array" aca="1" ref="X18" ca="1">INDIRECT(ADDRESS($B18,9,,,"mkt data"))</f>
        <v>0</v>
      </c>
      <c r="Y18" s="50">
        <f t="shared" ca="1" si="5"/>
        <v>0</v>
      </c>
      <c r="Z18" s="29">
        <f t="shared" ca="1" si="6"/>
        <v>0</v>
      </c>
      <c r="AA18" s="374"/>
      <c r="AB18" s="207" t="str">
        <f t="shared" si="0"/>
        <v>ANGL</v>
      </c>
      <c r="AC18" s="37" cm="1">
        <f t="array" aca="1" ref="AC18" ca="1">INDIRECT(ADDRESS($B18,8,,,"mkt data"))</f>
        <v>28.01</v>
      </c>
      <c r="AD18" s="193">
        <f t="shared" ca="1" si="7"/>
        <v>28.195</v>
      </c>
      <c r="AE18" s="193">
        <f t="shared" ca="1" si="8"/>
        <v>0.18499999999999872</v>
      </c>
      <c r="AF18" s="204">
        <v>0</v>
      </c>
      <c r="AG18" s="193">
        <f t="shared" ca="1" si="9"/>
        <v>0.18499999999999872</v>
      </c>
      <c r="AH18" s="193">
        <f t="shared" ca="1" si="10"/>
        <v>0</v>
      </c>
      <c r="AI18" s="377"/>
    </row>
    <row r="19" spans="1:35" x14ac:dyDescent="0.25">
      <c r="E19" s="10"/>
      <c r="G19" s="10"/>
      <c r="H19" s="10"/>
      <c r="I19" s="10"/>
      <c r="J19" s="10"/>
      <c r="K19" s="10"/>
      <c r="L19" s="10"/>
      <c r="M19" s="10"/>
      <c r="N19" s="10"/>
      <c r="O19" s="10"/>
    </row>
    <row r="20" spans="1:35" x14ac:dyDescent="0.25">
      <c r="C20" s="8" t="s">
        <v>309</v>
      </c>
      <c r="E20" s="10"/>
      <c r="G20" s="10"/>
      <c r="H20" s="10"/>
      <c r="I20" s="10"/>
      <c r="J20" s="10"/>
      <c r="K20" s="10"/>
      <c r="L20" s="10"/>
      <c r="M20" s="10"/>
      <c r="N20" s="10"/>
      <c r="O20" s="10"/>
    </row>
    <row r="21" spans="1:35" x14ac:dyDescent="0.25">
      <c r="P21" s="7"/>
      <c r="Q21" s="7"/>
      <c r="R21" s="7"/>
      <c r="S21" s="7"/>
      <c r="T21" s="7"/>
      <c r="U21" s="7"/>
      <c r="V21" s="7"/>
      <c r="W21" s="7"/>
      <c r="X21" s="7"/>
      <c r="Y21" s="7"/>
    </row>
    <row r="22" spans="1:35" x14ac:dyDescent="0.25">
      <c r="P22" s="7"/>
      <c r="Q22" s="7"/>
      <c r="R22" s="7"/>
      <c r="S22" s="7"/>
      <c r="T22" s="7"/>
      <c r="U22" s="7"/>
      <c r="V22" s="7"/>
      <c r="W22" s="7"/>
      <c r="X22" s="7"/>
      <c r="Y22" s="7"/>
    </row>
    <row r="23" spans="1:35" x14ac:dyDescent="0.25">
      <c r="P23" s="7"/>
      <c r="Q23" s="7"/>
      <c r="R23" s="7"/>
      <c r="S23" s="7"/>
      <c r="T23" s="7"/>
      <c r="U23" s="7"/>
      <c r="V23" s="7"/>
      <c r="W23" s="7"/>
      <c r="X23" s="7"/>
      <c r="Y23" s="7"/>
    </row>
    <row r="24" spans="1:35" x14ac:dyDescent="0.25">
      <c r="P24" s="7"/>
      <c r="Q24" s="7"/>
      <c r="R24" s="7"/>
      <c r="S24" s="7"/>
      <c r="T24" s="7"/>
      <c r="U24" s="7"/>
      <c r="V24" s="7"/>
      <c r="W24" s="7"/>
      <c r="X24" s="7"/>
      <c r="Y24" s="7"/>
    </row>
    <row r="25" spans="1:35" x14ac:dyDescent="0.25">
      <c r="C25" s="79" t="s">
        <v>353</v>
      </c>
      <c r="P25" s="7"/>
      <c r="Q25" s="7"/>
      <c r="R25" s="7"/>
      <c r="S25" s="7"/>
      <c r="T25" s="7"/>
      <c r="U25" s="7"/>
      <c r="V25" s="7"/>
      <c r="W25" s="7"/>
      <c r="X25" s="7"/>
      <c r="Y25" s="7"/>
    </row>
    <row r="26" spans="1:35" x14ac:dyDescent="0.25">
      <c r="P26" s="7"/>
      <c r="Q26" s="7"/>
      <c r="R26" s="7"/>
      <c r="S26" s="7"/>
      <c r="T26" s="7"/>
      <c r="U26" s="7"/>
      <c r="V26" s="7"/>
      <c r="W26" s="7"/>
      <c r="X26" s="7"/>
      <c r="Y26" s="7"/>
    </row>
    <row r="27" spans="1:35" x14ac:dyDescent="0.25">
      <c r="P27" s="7"/>
      <c r="Q27" s="7"/>
      <c r="R27" s="7"/>
      <c r="S27" s="7"/>
      <c r="T27" s="7"/>
      <c r="U27" s="7"/>
      <c r="V27" s="7"/>
      <c r="W27" s="7"/>
      <c r="X27" s="7"/>
      <c r="Y27" s="7"/>
    </row>
    <row r="29" spans="1:35" x14ac:dyDescent="0.25">
      <c r="O29"/>
      <c r="P29" s="1"/>
    </row>
    <row r="30" spans="1:35" x14ac:dyDescent="0.25">
      <c r="O30"/>
      <c r="P30" s="1"/>
    </row>
    <row r="31" spans="1:35" x14ac:dyDescent="0.25">
      <c r="O31"/>
      <c r="P31" s="1"/>
    </row>
    <row r="32" spans="1:35" x14ac:dyDescent="0.25">
      <c r="O32"/>
      <c r="P32" s="1"/>
    </row>
    <row r="33" spans="15:25" x14ac:dyDescent="0.25">
      <c r="O33"/>
      <c r="P33" s="1"/>
    </row>
    <row r="34" spans="15:25" x14ac:dyDescent="0.25">
      <c r="O34"/>
      <c r="P34" s="1"/>
    </row>
    <row r="35" spans="15:25" x14ac:dyDescent="0.25">
      <c r="O35"/>
      <c r="P35" s="1"/>
    </row>
    <row r="36" spans="15:25" x14ac:dyDescent="0.25">
      <c r="O36"/>
      <c r="P36" s="1"/>
    </row>
    <row r="37" spans="15:25" x14ac:dyDescent="0.25">
      <c r="O37"/>
      <c r="P37" s="1"/>
    </row>
    <row r="38" spans="15:25" x14ac:dyDescent="0.25">
      <c r="O38"/>
      <c r="P38" s="1"/>
    </row>
    <row r="39" spans="15:25" x14ac:dyDescent="0.25">
      <c r="O39"/>
      <c r="P39" s="1"/>
    </row>
    <row r="40" spans="15:25" x14ac:dyDescent="0.25">
      <c r="O40"/>
      <c r="P40" s="1"/>
      <c r="W40" s="8"/>
      <c r="X40" s="2"/>
      <c r="Y40" s="2"/>
    </row>
    <row r="41" spans="15:25" x14ac:dyDescent="0.25">
      <c r="W41" s="8"/>
      <c r="X41" s="2"/>
      <c r="Y41" s="2"/>
    </row>
  </sheetData>
  <mergeCells count="54">
    <mergeCell ref="P9:P10"/>
    <mergeCell ref="Q9:Q10"/>
    <mergeCell ref="T9:T10"/>
    <mergeCell ref="U9:U10"/>
    <mergeCell ref="P11:P12"/>
    <mergeCell ref="P7:P8"/>
    <mergeCell ref="Q7:Q8"/>
    <mergeCell ref="T7:T8"/>
    <mergeCell ref="U7:U8"/>
    <mergeCell ref="AA7:AA8"/>
    <mergeCell ref="AI17:AI18"/>
    <mergeCell ref="AA9:AA10"/>
    <mergeCell ref="X1:AA2"/>
    <mergeCell ref="Q11:Q12"/>
    <mergeCell ref="T11:T12"/>
    <mergeCell ref="U11:U12"/>
    <mergeCell ref="AA11:AA12"/>
    <mergeCell ref="X3:AA3"/>
    <mergeCell ref="AI7:AI8"/>
    <mergeCell ref="AI9:AI10"/>
    <mergeCell ref="AI11:AI12"/>
    <mergeCell ref="AI13:AI14"/>
    <mergeCell ref="AI15:AI16"/>
    <mergeCell ref="AA17:AA18"/>
    <mergeCell ref="P17:P18"/>
    <mergeCell ref="Q17:Q18"/>
    <mergeCell ref="T17:T18"/>
    <mergeCell ref="AA15:AA16"/>
    <mergeCell ref="P13:P14"/>
    <mergeCell ref="Q13:Q14"/>
    <mergeCell ref="T13:T14"/>
    <mergeCell ref="U13:U14"/>
    <mergeCell ref="AA13:AA14"/>
    <mergeCell ref="U17:U18"/>
    <mergeCell ref="P15:P16"/>
    <mergeCell ref="Q15:Q16"/>
    <mergeCell ref="T15:T16"/>
    <mergeCell ref="U15:U16"/>
    <mergeCell ref="AH1:AH2"/>
    <mergeCell ref="AI1:AI2"/>
    <mergeCell ref="P5:P6"/>
    <mergeCell ref="Q5:Q6"/>
    <mergeCell ref="T5:T6"/>
    <mergeCell ref="U5:U6"/>
    <mergeCell ref="AA5:AA6"/>
    <mergeCell ref="P3:S3"/>
    <mergeCell ref="T3:W3"/>
    <mergeCell ref="AI5:AI6"/>
    <mergeCell ref="A3:B3"/>
    <mergeCell ref="H3:I3"/>
    <mergeCell ref="N3:O3"/>
    <mergeCell ref="K3:L3"/>
    <mergeCell ref="AG1:AG2"/>
    <mergeCell ref="K1:L2"/>
  </mergeCells>
  <phoneticPr fontId="2" type="noConversion"/>
  <conditionalFormatting sqref="N15:N16">
    <cfRule type="top10" dxfId="177" priority="69" rank="1"/>
  </conditionalFormatting>
  <conditionalFormatting sqref="O15:O16">
    <cfRule type="top10" dxfId="176" priority="70" bottom="1" rank="1"/>
  </conditionalFormatting>
  <conditionalFormatting sqref="N17:N18">
    <cfRule type="top10" dxfId="175" priority="71" rank="1"/>
  </conditionalFormatting>
  <conditionalFormatting sqref="O17:O18">
    <cfRule type="top10" dxfId="174" priority="72" bottom="1" rank="1"/>
  </conditionalFormatting>
  <conditionalFormatting sqref="N13:N14">
    <cfRule type="top10" dxfId="173" priority="67" rank="1"/>
  </conditionalFormatting>
  <conditionalFormatting sqref="O13:O14">
    <cfRule type="top10" dxfId="172" priority="68" bottom="1" rank="1"/>
  </conditionalFormatting>
  <conditionalFormatting sqref="N7:N8">
    <cfRule type="top10" dxfId="171" priority="61" rank="1"/>
  </conditionalFormatting>
  <conditionalFormatting sqref="O7:O8">
    <cfRule type="top10" dxfId="170" priority="62" bottom="1" rank="1"/>
  </conditionalFormatting>
  <conditionalFormatting sqref="N9:N10">
    <cfRule type="top10" dxfId="169" priority="63" rank="1"/>
  </conditionalFormatting>
  <conditionalFormatting sqref="O9:O10">
    <cfRule type="top10" dxfId="168" priority="64" bottom="1" rank="1"/>
  </conditionalFormatting>
  <conditionalFormatting sqref="N11:N12">
    <cfRule type="top10" dxfId="167" priority="65" rank="1"/>
  </conditionalFormatting>
  <conditionalFormatting sqref="O11:O12">
    <cfRule type="top10" dxfId="166" priority="66" bottom="1" rank="1"/>
  </conditionalFormatting>
  <conditionalFormatting sqref="N5:N6">
    <cfRule type="top10" dxfId="165" priority="59" rank="1"/>
  </conditionalFormatting>
  <conditionalFormatting sqref="O5:O6">
    <cfRule type="top10" dxfId="164" priority="60" bottom="1" rank="1"/>
  </conditionalFormatting>
  <conditionalFormatting sqref="Q5:Q18">
    <cfRule type="cellIs" dxfId="163" priority="26" operator="greaterThan">
      <formula>0</formula>
    </cfRule>
  </conditionalFormatting>
  <conditionalFormatting sqref="R5:R18">
    <cfRule type="cellIs" dxfId="162" priority="25" operator="equal">
      <formula>TRUE</formula>
    </cfRule>
  </conditionalFormatting>
  <conditionalFormatting sqref="S5:S18">
    <cfRule type="cellIs" dxfId="161" priority="24" operator="equal">
      <formula>TRUE</formula>
    </cfRule>
  </conditionalFormatting>
  <conditionalFormatting sqref="U5:U18">
    <cfRule type="cellIs" dxfId="160" priority="23" operator="greaterThan">
      <formula>0</formula>
    </cfRule>
  </conditionalFormatting>
  <conditionalFormatting sqref="V5:V18">
    <cfRule type="cellIs" dxfId="159" priority="22" operator="equal">
      <formula>TRUE</formula>
    </cfRule>
  </conditionalFormatting>
  <conditionalFormatting sqref="W5:W18">
    <cfRule type="cellIs" dxfId="158" priority="21" operator="equal">
      <formula>TRUE</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AFA12-AB4F-40C7-A18B-E9F901671E9A}">
  <sheetPr codeName="Sheet6">
    <tabColor theme="6" tint="0.79998168889431442"/>
  </sheetPr>
  <dimension ref="A1:AL68"/>
  <sheetViews>
    <sheetView tabSelected="1" topLeftCell="K1" zoomScale="85" zoomScaleNormal="85" workbookViewId="0">
      <selection activeCell="AL25" sqref="AL25"/>
    </sheetView>
  </sheetViews>
  <sheetFormatPr defaultRowHeight="15" x14ac:dyDescent="0.25"/>
  <cols>
    <col min="1" max="1" width="8.140625" bestFit="1" customWidth="1"/>
    <col min="2" max="2" width="9.42578125" bestFit="1" customWidth="1"/>
    <col min="3" max="3" width="12.5703125" style="1" bestFit="1" customWidth="1"/>
    <col min="4" max="4" width="11.5703125" style="1" bestFit="1" customWidth="1"/>
    <col min="5" max="5" width="7.7109375" bestFit="1" customWidth="1"/>
    <col min="6" max="6" width="8" bestFit="1" customWidth="1"/>
    <col min="7" max="7" width="7.85546875" bestFit="1" customWidth="1"/>
    <col min="8" max="10" width="9" bestFit="1" customWidth="1"/>
    <col min="11" max="12" width="10" bestFit="1" customWidth="1"/>
    <col min="13" max="13" width="8.5703125" bestFit="1" customWidth="1"/>
    <col min="14" max="15" width="10" bestFit="1" customWidth="1"/>
    <col min="16" max="16" width="9.7109375" bestFit="1" customWidth="1"/>
    <col min="17" max="17" width="7.85546875" bestFit="1" customWidth="1"/>
    <col min="18" max="18" width="9.7109375" bestFit="1" customWidth="1"/>
    <col min="19" max="19" width="7.85546875" bestFit="1" customWidth="1"/>
    <col min="20" max="21" width="9.7109375" bestFit="1" customWidth="1"/>
    <col min="22" max="23" width="9.5703125" bestFit="1" customWidth="1"/>
    <col min="24" max="24" width="7.7109375" bestFit="1" customWidth="1"/>
    <col min="25" max="25" width="12.28515625" bestFit="1" customWidth="1"/>
    <col min="26" max="26" width="7.7109375" bestFit="1" customWidth="1"/>
    <col min="27" max="27" width="9.5703125" bestFit="1" customWidth="1"/>
    <col min="28" max="28" width="7.85546875" style="1" bestFit="1" customWidth="1"/>
    <col min="29" max="29" width="9" bestFit="1" customWidth="1"/>
    <col min="30" max="30" width="10.5703125" bestFit="1" customWidth="1"/>
    <col min="31" max="31" width="11.28515625" bestFit="1" customWidth="1"/>
    <col min="32" max="32" width="6.140625" customWidth="1"/>
    <col min="33" max="33" width="8.7109375" bestFit="1" customWidth="1"/>
    <col min="34" max="34" width="12.28515625" bestFit="1" customWidth="1"/>
    <col min="35" max="35" width="11.28515625" bestFit="1" customWidth="1"/>
    <col min="36" max="36" width="12.28515625" bestFit="1" customWidth="1"/>
    <col min="37" max="37" width="9.5703125" bestFit="1" customWidth="1"/>
    <col min="38" max="38" width="10.28515625" bestFit="1" customWidth="1"/>
  </cols>
  <sheetData>
    <row r="1" spans="1:38" x14ac:dyDescent="0.25">
      <c r="A1" s="154"/>
      <c r="B1" s="154"/>
      <c r="C1" s="154"/>
      <c r="D1" s="154"/>
      <c r="E1" s="154"/>
      <c r="F1" s="154"/>
      <c r="G1" s="154"/>
      <c r="H1" s="154"/>
      <c r="I1" s="154"/>
      <c r="J1" s="177"/>
      <c r="K1" s="342">
        <v>5.4999999999999997E-3</v>
      </c>
      <c r="L1" s="342"/>
      <c r="M1" s="154"/>
      <c r="N1" s="154"/>
      <c r="O1" s="154"/>
      <c r="T1" s="178"/>
      <c r="U1" s="178"/>
      <c r="V1" s="178"/>
      <c r="W1" s="178"/>
      <c r="X1" s="344" t="str">
        <f>'MKT DATA'!J2</f>
        <v>2026-09-29_16-03-12</v>
      </c>
      <c r="Y1" s="344"/>
      <c r="Z1" s="344"/>
      <c r="AA1" s="344"/>
      <c r="AB1" s="210"/>
      <c r="AE1" s="416">
        <f ca="1">+AI1+AJ1+AJ2+AL1</f>
        <v>5833.8588330000184</v>
      </c>
      <c r="AG1" s="382" t="s">
        <v>207</v>
      </c>
      <c r="AH1" s="378">
        <f ca="1">SUM(AH5:AH51)</f>
        <v>2832.5171280000445</v>
      </c>
      <c r="AI1" s="380">
        <f ca="1">SUM(AI5:AI51)</f>
        <v>2832.5171280000445</v>
      </c>
      <c r="AJ1" s="153">
        <f ca="1">+'FI GROUP'!AI1</f>
        <v>729.49259999996559</v>
      </c>
      <c r="AL1" s="274"/>
    </row>
    <row r="2" spans="1:38" ht="15.75" thickBot="1" x14ac:dyDescent="0.3">
      <c r="A2" s="157"/>
      <c r="B2" s="157"/>
      <c r="C2" s="157"/>
      <c r="D2" s="157"/>
      <c r="E2" s="157"/>
      <c r="F2" s="157"/>
      <c r="G2" s="157"/>
      <c r="H2" s="157"/>
      <c r="I2" s="157"/>
      <c r="J2" s="200"/>
      <c r="K2" s="343"/>
      <c r="L2" s="343"/>
      <c r="M2" s="157"/>
      <c r="N2" s="157"/>
      <c r="O2" s="157"/>
      <c r="T2" s="201"/>
      <c r="U2" s="201"/>
      <c r="V2" s="201"/>
      <c r="W2" s="201"/>
      <c r="X2" s="345"/>
      <c r="Y2" s="345"/>
      <c r="Z2" s="345"/>
      <c r="AA2" s="345"/>
      <c r="AB2" s="211"/>
      <c r="AG2" s="383"/>
      <c r="AH2" s="379"/>
      <c r="AI2" s="381"/>
      <c r="AJ2" s="153">
        <f ca="1">+'FIXED INCOME'!AI1</f>
        <v>2271.8491050000084</v>
      </c>
    </row>
    <row r="3" spans="1:38" x14ac:dyDescent="0.25">
      <c r="A3" s="346" t="s">
        <v>64</v>
      </c>
      <c r="B3" s="347"/>
      <c r="C3" s="90"/>
      <c r="D3" s="75"/>
      <c r="E3" s="62"/>
      <c r="F3" s="52"/>
      <c r="G3" s="52"/>
      <c r="H3" s="348" t="s">
        <v>66</v>
      </c>
      <c r="I3" s="349"/>
      <c r="J3" s="95"/>
      <c r="K3" s="350" t="s">
        <v>211</v>
      </c>
      <c r="L3" s="351"/>
      <c r="M3" s="39"/>
      <c r="N3" s="352" t="s">
        <v>69</v>
      </c>
      <c r="O3" s="353"/>
      <c r="P3" s="388" t="s">
        <v>80</v>
      </c>
      <c r="Q3" s="352"/>
      <c r="R3" s="352" t="s">
        <v>78</v>
      </c>
      <c r="S3" s="389" t="s">
        <v>79</v>
      </c>
      <c r="T3" s="388" t="s">
        <v>81</v>
      </c>
      <c r="U3" s="352"/>
      <c r="V3" s="352" t="s">
        <v>78</v>
      </c>
      <c r="W3" s="353" t="s">
        <v>79</v>
      </c>
      <c r="X3" s="356" t="s">
        <v>70</v>
      </c>
      <c r="Y3" s="356"/>
      <c r="Z3" s="356"/>
      <c r="AA3" s="357"/>
      <c r="AB3" s="183"/>
      <c r="AC3" s="41"/>
      <c r="AD3" s="43" t="s">
        <v>206</v>
      </c>
      <c r="AE3" s="43" t="s">
        <v>209</v>
      </c>
      <c r="AF3" s="43"/>
      <c r="AG3" s="43" t="s">
        <v>210</v>
      </c>
      <c r="AH3" s="43"/>
      <c r="AI3" s="42" t="s">
        <v>291</v>
      </c>
    </row>
    <row r="4" spans="1:38" ht="15.75" thickBot="1" x14ac:dyDescent="0.3">
      <c r="A4" s="31" t="s">
        <v>201</v>
      </c>
      <c r="B4" s="32" t="s">
        <v>65</v>
      </c>
      <c r="C4" s="31" t="s">
        <v>117</v>
      </c>
      <c r="D4" s="76" t="s">
        <v>149</v>
      </c>
      <c r="E4" s="63" t="s">
        <v>76</v>
      </c>
      <c r="F4" s="74" t="s">
        <v>88</v>
      </c>
      <c r="G4" s="53" t="s">
        <v>59</v>
      </c>
      <c r="H4" s="54" t="s">
        <v>67</v>
      </c>
      <c r="I4" s="55" t="s">
        <v>68</v>
      </c>
      <c r="J4" s="96" t="s">
        <v>147</v>
      </c>
      <c r="K4" s="214" t="s">
        <v>67</v>
      </c>
      <c r="L4" s="215" t="s">
        <v>68</v>
      </c>
      <c r="M4" s="56" t="s">
        <v>60</v>
      </c>
      <c r="N4" s="57" t="s">
        <v>62</v>
      </c>
      <c r="O4" s="58" t="s">
        <v>63</v>
      </c>
      <c r="P4" s="40" t="s">
        <v>77</v>
      </c>
      <c r="Q4" s="12" t="s">
        <v>32</v>
      </c>
      <c r="R4" s="294" t="s">
        <v>82</v>
      </c>
      <c r="S4" s="261" t="s">
        <v>83</v>
      </c>
      <c r="T4" s="40" t="s">
        <v>77</v>
      </c>
      <c r="U4" s="12" t="s">
        <v>32</v>
      </c>
      <c r="V4" s="294" t="s">
        <v>83</v>
      </c>
      <c r="W4" s="59" t="s">
        <v>82</v>
      </c>
      <c r="X4" s="147" t="s">
        <v>71</v>
      </c>
      <c r="Y4" s="148" t="s">
        <v>85</v>
      </c>
      <c r="Z4" s="149" t="s">
        <v>84</v>
      </c>
      <c r="AA4" s="150" t="s">
        <v>72</v>
      </c>
      <c r="AB4" s="53" t="str">
        <f t="shared" ref="AB4:AB22" si="0">G4</f>
        <v>symbol</v>
      </c>
      <c r="AC4" s="189" t="s">
        <v>202</v>
      </c>
      <c r="AD4" s="190" t="s">
        <v>208</v>
      </c>
      <c r="AE4" s="190" t="s">
        <v>204</v>
      </c>
      <c r="AF4" s="190" t="s">
        <v>203</v>
      </c>
      <c r="AG4" s="190" t="s">
        <v>204</v>
      </c>
      <c r="AH4" s="194" t="s">
        <v>205</v>
      </c>
      <c r="AI4" s="55" t="s">
        <v>205</v>
      </c>
    </row>
    <row r="5" spans="1:38" x14ac:dyDescent="0.25">
      <c r="A5" s="84">
        <f>MATCH(G5,SCALARS!C:C,0)</f>
        <v>66</v>
      </c>
      <c r="B5" s="85">
        <f>MATCH(G5,'MKT DATA'!B:B,0)</f>
        <v>65</v>
      </c>
      <c r="C5" s="84" t="str" cm="1">
        <f t="array" aca="1" ref="C5" ca="1">INDIRECT(ADDRESS($A5,2,,,"scalars"))</f>
        <v>discretionary</v>
      </c>
      <c r="D5" s="143" cm="1">
        <f t="array" aca="1" ref="D5" ca="1">INDIRECT(ADDRESS($A5,8,,,"SCALARS"))</f>
        <v>96700</v>
      </c>
      <c r="E5" s="145"/>
      <c r="F5" s="14" t="str" cm="1">
        <f t="array" aca="1" ref="F5" ca="1">INDIRECT(ADDRESS($A5,5,,,"scalars"))</f>
        <v>XLY</v>
      </c>
      <c r="G5" s="15" t="s">
        <v>173</v>
      </c>
      <c r="H5" s="33" cm="1">
        <f t="array" aca="1" ref="H5" ca="1">INDIRECT(ADDRESS($B5,5,,,"mkt data"))</f>
        <v>92.98</v>
      </c>
      <c r="I5" s="34" cm="1">
        <f t="array" aca="1" ref="I5" ca="1">INDIRECT(ADDRESS($B5,6,,,"mkt data"))</f>
        <v>97.9</v>
      </c>
      <c r="J5" s="170" cm="1">
        <f t="array" aca="1" ref="J5" ca="1">INDIRECT(ADDRESS($A5,7,,,"SCALARS"))</f>
        <v>0</v>
      </c>
      <c r="K5" s="16">
        <f t="shared" ref="K5:K22" ca="1" si="1">H5+J5-K$1</f>
        <v>92.974500000000006</v>
      </c>
      <c r="L5" s="16">
        <f t="shared" ref="L5:L22" ca="1" si="2">I5+J5+K$1</f>
        <v>97.905500000000004</v>
      </c>
      <c r="M5" s="44" cm="1">
        <f t="array" aca="1" ref="M5" ca="1">INDIRECT(ADDRESS($A5,6,,,"scalars"))</f>
        <v>1.1481073725958202</v>
      </c>
      <c r="N5" s="17">
        <f t="shared" ref="N5:N22" ca="1" si="3">K5*M5</f>
        <v>106.74470891341009</v>
      </c>
      <c r="O5" s="17">
        <f t="shared" ref="O5:O22" ca="1" si="4">M5*L5</f>
        <v>112.40602636768007</v>
      </c>
      <c r="P5" s="384">
        <f ca="1">N6-O5</f>
        <v>-3.6115263676800708</v>
      </c>
      <c r="Q5" s="386">
        <f ca="1">LN(N6/O5)</f>
        <v>-3.2656769719671887E-2</v>
      </c>
      <c r="R5" s="295">
        <v>0.02</v>
      </c>
      <c r="S5" s="262">
        <v>5.0000000000000001E-3</v>
      </c>
      <c r="T5" s="384">
        <f ca="1">N5-O6</f>
        <v>-2.7407910865899083</v>
      </c>
      <c r="U5" s="386">
        <f ca="1">LN(N5/O6)</f>
        <v>-2.535203473053577E-2</v>
      </c>
      <c r="V5" s="295">
        <v>0.02</v>
      </c>
      <c r="W5" s="60">
        <v>0.01</v>
      </c>
      <c r="X5" s="27" cm="1">
        <f t="array" aca="1" ref="X5" ca="1">INDIRECT(ADDRESS($B5,9,,,"mkt data"))</f>
        <v>0</v>
      </c>
      <c r="Y5" s="48">
        <f t="shared" ref="Y5:Y22" ca="1" si="5">X5*AVERAGE(H5:I5)</f>
        <v>0</v>
      </c>
      <c r="Z5" s="27">
        <f t="shared" ref="Z5:Z22" ca="1" si="6">X5/M5</f>
        <v>0</v>
      </c>
      <c r="AA5" s="369">
        <f ca="1">SUM(Z5:Z6)</f>
        <v>0</v>
      </c>
      <c r="AB5" s="199" t="str">
        <f t="shared" si="0"/>
        <v>IYC</v>
      </c>
      <c r="AC5" s="33" cm="1">
        <f t="array" aca="1" ref="AC5" ca="1">INDIRECT(ADDRESS($B5,8,,,"mkt data"))</f>
        <v>95.32</v>
      </c>
      <c r="AD5" s="191">
        <f t="shared" ref="AD5:AD22" ca="1" si="7">AVERAGE(H5,I5)</f>
        <v>95.44</v>
      </c>
      <c r="AE5" s="191">
        <f t="shared" ref="AE5:AE6" ca="1" si="8">AD5-AC5</f>
        <v>0.12000000000000455</v>
      </c>
      <c r="AF5" s="202">
        <v>0</v>
      </c>
      <c r="AG5" s="191">
        <f t="shared" ref="AG5:AG6" ca="1" si="9">AE5+AF5</f>
        <v>0.12000000000000455</v>
      </c>
      <c r="AH5" s="191">
        <f t="shared" ref="AH5:AH6" ca="1" si="10">AG5*X5</f>
        <v>0</v>
      </c>
      <c r="AI5" s="375">
        <f ca="1">AH5+AH6</f>
        <v>0</v>
      </c>
    </row>
    <row r="6" spans="1:38" ht="15.75" thickBot="1" x14ac:dyDescent="0.3">
      <c r="A6" s="86">
        <f>MATCH(G6,SCALARS!C:C,0)</f>
        <v>67</v>
      </c>
      <c r="B6" s="87">
        <f>MATCH(G6,'MKT DATA'!B:B,0)</f>
        <v>66</v>
      </c>
      <c r="C6" s="86" t="str" cm="1">
        <f t="array" aca="1" ref="C6" ca="1">INDIRECT(ADDRESS($A6,2,,,"scalars"))</f>
        <v>discretionary</v>
      </c>
      <c r="D6" s="144" cm="1">
        <f t="array" aca="1" ref="D6" ca="1">INDIRECT(ADDRESS($A6,8,,,"SCALARS"))</f>
        <v>6890400</v>
      </c>
      <c r="E6" s="146"/>
      <c r="F6" s="20" t="str" cm="1">
        <f t="array" aca="1" ref="F6" ca="1">INDIRECT(ADDRESS($A6,5,,,"scalars"))</f>
        <v>XLY</v>
      </c>
      <c r="G6" s="21" t="s">
        <v>174</v>
      </c>
      <c r="H6" s="37" cm="1">
        <f t="array" aca="1" ref="H6" ca="1">INDIRECT(ADDRESS($B6,5,,,"mkt data"))</f>
        <v>108.8</v>
      </c>
      <c r="I6" s="38" cm="1">
        <f t="array" aca="1" ref="I6" ca="1">INDIRECT(ADDRESS($B6,6,,,"mkt data"))</f>
        <v>109.48</v>
      </c>
      <c r="J6" s="171" cm="1">
        <f t="array" aca="1" ref="J6" ca="1">INDIRECT(ADDRESS($A6,7,,,"SCALARS"))</f>
        <v>0</v>
      </c>
      <c r="K6" s="22">
        <f t="shared" ca="1" si="1"/>
        <v>108.7945</v>
      </c>
      <c r="L6" s="22">
        <f t="shared" ca="1" si="2"/>
        <v>109.4855</v>
      </c>
      <c r="M6" s="45" cm="1">
        <f t="array" aca="1" ref="M6" ca="1">INDIRECT(ADDRESS($A6,6,,,"scalars"))</f>
        <v>1</v>
      </c>
      <c r="N6" s="23">
        <f t="shared" ca="1" si="3"/>
        <v>108.7945</v>
      </c>
      <c r="O6" s="23">
        <f t="shared" ca="1" si="4"/>
        <v>109.4855</v>
      </c>
      <c r="P6" s="385"/>
      <c r="Q6" s="387"/>
      <c r="R6" s="296" t="b">
        <f ca="1">IF(Q5&gt;R5,TRUE,FALSE)</f>
        <v>0</v>
      </c>
      <c r="S6" s="263" t="b">
        <f ca="1">AND(IF(U5&gt;-S5,TRUE,FALSE),IF(X5&gt;0,TRUE,FALSE))</f>
        <v>0</v>
      </c>
      <c r="T6" s="385"/>
      <c r="U6" s="387"/>
      <c r="V6" s="296" t="b">
        <f ca="1">IF(U5&gt;V5,TRUE,FALSE)</f>
        <v>0</v>
      </c>
      <c r="W6" s="61" t="b">
        <f ca="1">AND(IF(Q5&gt;-W5,TRUE,FALSE),IF(X5&lt;0,TRUE,FALSE))</f>
        <v>0</v>
      </c>
      <c r="X6" s="29" cm="1">
        <f t="array" aca="1" ref="X6" ca="1">INDIRECT(ADDRESS($B6,9,,,"mkt data"))</f>
        <v>0</v>
      </c>
      <c r="Y6" s="50">
        <f t="shared" ca="1" si="5"/>
        <v>0</v>
      </c>
      <c r="Z6" s="29">
        <f t="shared" ca="1" si="6"/>
        <v>0</v>
      </c>
      <c r="AA6" s="371"/>
      <c r="AB6" s="207" t="str">
        <f t="shared" si="0"/>
        <v>XLY</v>
      </c>
      <c r="AC6" s="37" cm="1">
        <f t="array" aca="1" ref="AC6" ca="1">INDIRECT(ADDRESS($B6,8,,,"mkt data"))</f>
        <v>109</v>
      </c>
      <c r="AD6" s="193">
        <f t="shared" ca="1" si="7"/>
        <v>109.14</v>
      </c>
      <c r="AE6" s="193">
        <f t="shared" ca="1" si="8"/>
        <v>0.14000000000000057</v>
      </c>
      <c r="AF6" s="204">
        <v>0</v>
      </c>
      <c r="AG6" s="193">
        <f t="shared" ca="1" si="9"/>
        <v>0.14000000000000057</v>
      </c>
      <c r="AH6" s="193">
        <f t="shared" ca="1" si="10"/>
        <v>0</v>
      </c>
      <c r="AI6" s="377"/>
    </row>
    <row r="7" spans="1:38" x14ac:dyDescent="0.25">
      <c r="A7" s="84">
        <f>MATCH(G7,SCALARS!C:C,0)</f>
        <v>69</v>
      </c>
      <c r="B7" s="85">
        <f>MATCH(G7,'MKT DATA'!B:B,0)</f>
        <v>71</v>
      </c>
      <c r="C7" s="84" t="str" cm="1">
        <f t="array" aca="1" ref="C7" ca="1">INDIRECT(ADDRESS($A7,2,,,"scalars"))</f>
        <v>energy</v>
      </c>
      <c r="D7" s="143" cm="1">
        <f t="array" aca="1" ref="D7" ca="1">INDIRECT(ADDRESS($A7,8,,,"SCALARS"))</f>
        <v>30089100</v>
      </c>
      <c r="E7" s="145"/>
      <c r="F7" s="14" t="str" cm="1">
        <f t="array" aca="1" ref="F7" ca="1">INDIRECT(ADDRESS($A7,5,,,"scalars"))</f>
        <v>IYE</v>
      </c>
      <c r="G7" s="15" t="s">
        <v>95</v>
      </c>
      <c r="H7" s="33" cm="1">
        <f t="array" aca="1" ref="H7" ca="1">INDIRECT(ADDRESS($B7,5,,,"mkt data"))</f>
        <v>61.54</v>
      </c>
      <c r="I7" s="34" cm="1">
        <f t="array" aca="1" ref="I7" ca="1">INDIRECT(ADDRESS($B7,6,,,"mkt data"))</f>
        <v>61.63</v>
      </c>
      <c r="J7" s="170" cm="1">
        <f t="array" aca="1" ref="J7" ca="1">INDIRECT(ADDRESS($A7,7,,,"SCALARS"))</f>
        <v>0</v>
      </c>
      <c r="K7" s="16">
        <f t="shared" ca="1" si="1"/>
        <v>61.534500000000001</v>
      </c>
      <c r="L7" s="16">
        <f t="shared" ca="1" si="2"/>
        <v>61.6355</v>
      </c>
      <c r="M7" s="78" cm="1">
        <f t="array" aca="1" ref="M7" ca="1">INDIRECT(ADDRESS($A7,6,,,"scalars"))</f>
        <v>1.055560510390495</v>
      </c>
      <c r="N7" s="17">
        <f t="shared" ca="1" si="3"/>
        <v>64.953388226623915</v>
      </c>
      <c r="O7" s="17">
        <f t="shared" ca="1" si="4"/>
        <v>65.059999838173354</v>
      </c>
      <c r="P7" s="400">
        <f ca="1">N8-O7</f>
        <v>-3.4154998381733535</v>
      </c>
      <c r="Q7" s="398">
        <f ca="1">LN(N8/O7)</f>
        <v>-5.392590622814273E-2</v>
      </c>
      <c r="R7" s="295">
        <v>2E-3</v>
      </c>
      <c r="S7" s="262">
        <v>5.0000000000000001E-4</v>
      </c>
      <c r="T7" s="384">
        <f ca="1">N7-O8</f>
        <v>-1.1021117733760804</v>
      </c>
      <c r="U7" s="386">
        <f ca="1">LN(N7/O8)</f>
        <v>-1.6825389303726949E-2</v>
      </c>
      <c r="V7" s="295">
        <v>3.5000000000000001E-3</v>
      </c>
      <c r="W7" s="60">
        <v>2E-3</v>
      </c>
      <c r="X7" s="27" cm="1">
        <f t="array" aca="1" ref="X7" ca="1">INDIRECT(ADDRESS($B7,9,,,"mkt data"))</f>
        <v>-4756</v>
      </c>
      <c r="Y7" s="48">
        <f t="shared" ca="1" si="5"/>
        <v>-292898.26</v>
      </c>
      <c r="Z7" s="27">
        <f t="shared" ca="1" si="6"/>
        <v>-4505.6630606999124</v>
      </c>
      <c r="AA7" s="369">
        <f ca="1">SUM(Z7:Z8)</f>
        <v>-5.6630606999124211</v>
      </c>
      <c r="AB7" s="199" t="str">
        <f t="shared" si="0"/>
        <v>XLE</v>
      </c>
      <c r="AC7" s="33" cm="1">
        <f t="array" aca="1" ref="AC7" ca="1">INDIRECT(ADDRESS($B7,8,,,"mkt data"))</f>
        <v>62.099997999999999</v>
      </c>
      <c r="AD7" s="191">
        <f t="shared" ca="1" si="7"/>
        <v>61.585000000000001</v>
      </c>
      <c r="AE7" s="191">
        <f t="shared" ref="AE7:AE22" ca="1" si="11">AD7-AC7</f>
        <v>-0.51499799999999851</v>
      </c>
      <c r="AF7" s="202">
        <v>0</v>
      </c>
      <c r="AG7" s="191">
        <f t="shared" ref="AG7:AG22" ca="1" si="12">AE7+AF7</f>
        <v>-0.51499799999999851</v>
      </c>
      <c r="AH7" s="191">
        <f t="shared" ref="AH7:AH22" ca="1" si="13">AG7*X7</f>
        <v>2449.3304879999928</v>
      </c>
      <c r="AI7" s="375">
        <f ca="1">AH7+AH8</f>
        <v>-4390.6830120000195</v>
      </c>
      <c r="AJ7" s="417">
        <v>46287</v>
      </c>
      <c r="AK7" s="419">
        <f ca="1">Q7+W7</f>
        <v>-5.1925906228142728E-2</v>
      </c>
      <c r="AL7" t="s">
        <v>355</v>
      </c>
    </row>
    <row r="8" spans="1:38" ht="15.75" thickBot="1" x14ac:dyDescent="0.3">
      <c r="A8" s="86">
        <f>MATCH(G8,SCALARS!C:C,0)</f>
        <v>68</v>
      </c>
      <c r="B8" s="87">
        <f>MATCH(G8,'MKT DATA'!B:B,0)</f>
        <v>69</v>
      </c>
      <c r="C8" s="86" t="str" cm="1">
        <f t="array" aca="1" ref="C8" ca="1">INDIRECT(ADDRESS($A8,2,,,"scalars"))</f>
        <v>energy</v>
      </c>
      <c r="D8" s="144" cm="1">
        <f t="array" aca="1" ref="D8" ca="1">INDIRECT(ADDRESS($A8,8,,,"SCALARS"))</f>
        <v>783800</v>
      </c>
      <c r="E8" s="146"/>
      <c r="F8" s="20" t="str" cm="1">
        <f t="array" aca="1" ref="F8" ca="1">INDIRECT(ADDRESS($A8,5,,,"scalars"))</f>
        <v>IYE</v>
      </c>
      <c r="G8" s="21" t="s">
        <v>93</v>
      </c>
      <c r="H8" s="37" cm="1">
        <f t="array" aca="1" ref="H8" ca="1">INDIRECT(ADDRESS($B8,5,,,"mkt data"))</f>
        <v>61.65</v>
      </c>
      <c r="I8" s="38" cm="1">
        <f t="array" aca="1" ref="I8" ca="1">INDIRECT(ADDRESS($B8,6,,,"mkt data"))</f>
        <v>66.05</v>
      </c>
      <c r="J8" s="171" cm="1">
        <f t="array" aca="1" ref="J8" ca="1">INDIRECT(ADDRESS($A8,7,,,"SCALARS"))</f>
        <v>0</v>
      </c>
      <c r="K8" s="22">
        <f t="shared" ca="1" si="1"/>
        <v>61.644500000000001</v>
      </c>
      <c r="L8" s="22">
        <f t="shared" ca="1" si="2"/>
        <v>66.055499999999995</v>
      </c>
      <c r="M8" s="45" cm="1">
        <f t="array" aca="1" ref="M8" ca="1">INDIRECT(ADDRESS($A8,6,,,"scalars"))</f>
        <v>1</v>
      </c>
      <c r="N8" s="23">
        <f t="shared" ca="1" si="3"/>
        <v>61.644500000000001</v>
      </c>
      <c r="O8" s="23">
        <f t="shared" ca="1" si="4"/>
        <v>66.055499999999995</v>
      </c>
      <c r="P8" s="401"/>
      <c r="Q8" s="399"/>
      <c r="R8" s="296" t="b">
        <f ca="1">IF(Q7&gt;R7,TRUE,FALSE)</f>
        <v>0</v>
      </c>
      <c r="S8" s="263" t="b">
        <f ca="1">AND(IF(U7&gt;-S7,TRUE,FALSE),IF(X7&gt;0,TRUE,FALSE))</f>
        <v>0</v>
      </c>
      <c r="T8" s="385"/>
      <c r="U8" s="387"/>
      <c r="V8" s="296" t="b">
        <f ca="1">IF(U7&gt;V7,TRUE,FALSE)</f>
        <v>0</v>
      </c>
      <c r="W8" s="61" t="b">
        <f ca="1">AND(IF(Q7&gt;-W7,TRUE,FALSE),IF(X7&lt;0,TRUE,FALSE))</f>
        <v>0</v>
      </c>
      <c r="X8" s="29" cm="1">
        <f t="array" aca="1" ref="X8" ca="1">INDIRECT(ADDRESS($B8,9,,,"mkt data"))</f>
        <v>4500</v>
      </c>
      <c r="Y8" s="50">
        <f t="shared" ca="1" si="5"/>
        <v>287325</v>
      </c>
      <c r="Z8" s="29">
        <f t="shared" ca="1" si="6"/>
        <v>4500</v>
      </c>
      <c r="AA8" s="371"/>
      <c r="AB8" s="207" t="str">
        <f t="shared" si="0"/>
        <v>IYE</v>
      </c>
      <c r="AC8" s="37" cm="1">
        <f t="array" aca="1" ref="AC8" ca="1">INDIRECT(ADDRESS($B8,8,,,"mkt data"))</f>
        <v>65.370002999999997</v>
      </c>
      <c r="AD8" s="193">
        <f t="shared" ca="1" si="7"/>
        <v>63.849999999999994</v>
      </c>
      <c r="AE8" s="193">
        <f t="shared" ca="1" si="11"/>
        <v>-1.5200030000000027</v>
      </c>
      <c r="AF8" s="204">
        <v>0</v>
      </c>
      <c r="AG8" s="193">
        <f t="shared" ca="1" si="12"/>
        <v>-1.5200030000000027</v>
      </c>
      <c r="AH8" s="193">
        <f t="shared" ca="1" si="13"/>
        <v>-6840.0135000000118</v>
      </c>
      <c r="AI8" s="377"/>
    </row>
    <row r="9" spans="1:38" x14ac:dyDescent="0.25">
      <c r="A9" s="84">
        <f>MATCH(G9,SCALARS!C:C,0)</f>
        <v>73</v>
      </c>
      <c r="B9" s="85">
        <f>MATCH(G9,'MKT DATA'!B:B,0)</f>
        <v>75</v>
      </c>
      <c r="C9" s="84" t="str" cm="1">
        <f t="array" aca="1" ref="C9" ca="1">INDIRECT(ADDRESS($A9,2,,,"scalars"))</f>
        <v>financials</v>
      </c>
      <c r="D9" s="143" cm="1">
        <f t="array" aca="1" ref="D9" ca="1">INDIRECT(ADDRESS($A9,8,,,"SCALARS"))</f>
        <v>32592200</v>
      </c>
      <c r="E9" s="145"/>
      <c r="F9" s="14" t="str" cm="1">
        <f t="array" aca="1" ref="F9" ca="1">INDIRECT(ADDRESS($A9,5,,,"scalars"))</f>
        <v>IYF</v>
      </c>
      <c r="G9" s="15" t="s">
        <v>98</v>
      </c>
      <c r="H9" s="33" cm="1">
        <f t="array" aca="1" ref="H9" ca="1">INDIRECT(ADDRESS($B9,5,,,"mkt data"))</f>
        <v>53.98</v>
      </c>
      <c r="I9" s="34" cm="1">
        <f t="array" aca="1" ref="I9" ca="1">INDIRECT(ADDRESS($B9,6,,,"mkt data"))</f>
        <v>54</v>
      </c>
      <c r="J9" s="170" cm="1">
        <f t="array" aca="1" ref="J9" ca="1">INDIRECT(ADDRESS($A9,7,,,"SCALARS"))</f>
        <v>0</v>
      </c>
      <c r="K9" s="16">
        <f t="shared" ca="1" si="1"/>
        <v>53.974499999999999</v>
      </c>
      <c r="L9" s="16">
        <f t="shared" ca="1" si="2"/>
        <v>54.005499999999998</v>
      </c>
      <c r="M9" s="44" cm="1">
        <f t="array" aca="1" ref="M9" ca="1">INDIRECT(ADDRESS($A9,6,,,"scalars"))</f>
        <v>2.365835254630634</v>
      </c>
      <c r="N9" s="17">
        <f t="shared" ca="1" si="3"/>
        <v>127.69477495106115</v>
      </c>
      <c r="O9" s="17">
        <f t="shared" ca="1" si="4"/>
        <v>127.7681158439547</v>
      </c>
      <c r="P9" s="384">
        <f ca="1">N10-O9</f>
        <v>-6.473615843954704</v>
      </c>
      <c r="Q9" s="398">
        <f ca="1">LN(N10/O9)</f>
        <v>-5.199555323277931E-2</v>
      </c>
      <c r="R9" s="295">
        <v>4.0000000000000001E-3</v>
      </c>
      <c r="S9" s="262">
        <v>1E-3</v>
      </c>
      <c r="T9" s="384">
        <f ca="1">N9-O10</f>
        <v>-6.510725048938852</v>
      </c>
      <c r="U9" s="386">
        <f ca="1">LN(N9/O10)</f>
        <v>-4.9729361696046609E-2</v>
      </c>
      <c r="V9" s="295">
        <v>5.0000000000000001E-3</v>
      </c>
      <c r="W9" s="60">
        <v>2E-3</v>
      </c>
      <c r="X9" s="27" cm="1">
        <f t="array" aca="1" ref="X9" ca="1">INDIRECT(ADDRESS($B9,9,,,"mkt data"))</f>
        <v>-9460</v>
      </c>
      <c r="Y9" s="48">
        <f t="shared" ca="1" si="5"/>
        <v>-510745.39999999997</v>
      </c>
      <c r="Z9" s="27">
        <f t="shared" ca="1" si="6"/>
        <v>-3998.5878059277388</v>
      </c>
      <c r="AA9" s="369">
        <f ca="1">SUM(Z9:Z10)</f>
        <v>1.4121940722611726</v>
      </c>
      <c r="AB9" s="199" t="str">
        <f t="shared" si="0"/>
        <v>XLF</v>
      </c>
      <c r="AC9" s="33" cm="1">
        <f t="array" aca="1" ref="AC9" ca="1">INDIRECT(ADDRESS($B9,8,,,"mkt data"))</f>
        <v>54.189999</v>
      </c>
      <c r="AD9" s="191">
        <f t="shared" ca="1" si="7"/>
        <v>53.989999999999995</v>
      </c>
      <c r="AE9" s="191">
        <f t="shared" ca="1" si="11"/>
        <v>-0.19999900000000537</v>
      </c>
      <c r="AF9" s="202">
        <v>0</v>
      </c>
      <c r="AG9" s="191">
        <f t="shared" ca="1" si="12"/>
        <v>-0.19999900000000537</v>
      </c>
      <c r="AH9" s="191">
        <f t="shared" ca="1" si="13"/>
        <v>1891.9905400000507</v>
      </c>
      <c r="AI9" s="375">
        <f ca="1">AH9+AH10</f>
        <v>3211.9985400000237</v>
      </c>
      <c r="AJ9" s="417">
        <v>46293</v>
      </c>
      <c r="AK9" s="419">
        <f ca="1">Q9+W9</f>
        <v>-4.9995553232779308E-2</v>
      </c>
    </row>
    <row r="10" spans="1:38" ht="15.75" thickBot="1" x14ac:dyDescent="0.3">
      <c r="A10" s="86">
        <f>MATCH(G10,SCALARS!C:C,0)</f>
        <v>72</v>
      </c>
      <c r="B10" s="87">
        <f>MATCH(G10,'MKT DATA'!B:B,0)</f>
        <v>73</v>
      </c>
      <c r="C10" s="86" t="str" cm="1">
        <f t="array" aca="1" ref="C10" ca="1">INDIRECT(ADDRESS($A10,2,,,"scalars"))</f>
        <v>financials</v>
      </c>
      <c r="D10" s="144" cm="1">
        <f t="array" aca="1" ref="D10" ca="1">INDIRECT(ADDRESS($A10,8,,,"SCALARS"))</f>
        <v>414400</v>
      </c>
      <c r="E10" s="146"/>
      <c r="F10" s="20" t="str" cm="1">
        <f t="array" aca="1" ref="F10" ca="1">INDIRECT(ADDRESS($A10,5,,,"scalars"))</f>
        <v>IYF</v>
      </c>
      <c r="G10" s="21" t="s">
        <v>96</v>
      </c>
      <c r="H10" s="37" cm="1">
        <f t="array" aca="1" ref="H10" ca="1">INDIRECT(ADDRESS($B10,5,,,"mkt data"))</f>
        <v>121.3</v>
      </c>
      <c r="I10" s="38" cm="1">
        <f t="array" aca="1" ref="I10" ca="1">INDIRECT(ADDRESS($B10,6,,,"mkt data"))</f>
        <v>134.19999999999999</v>
      </c>
      <c r="J10" s="171" cm="1">
        <f t="array" aca="1" ref="J10" ca="1">INDIRECT(ADDRESS($A10,7,,,"SCALARS"))</f>
        <v>0</v>
      </c>
      <c r="K10" s="22">
        <f t="shared" ca="1" si="1"/>
        <v>121.2945</v>
      </c>
      <c r="L10" s="22">
        <f t="shared" ca="1" si="2"/>
        <v>134.2055</v>
      </c>
      <c r="M10" s="45" cm="1">
        <f t="array" aca="1" ref="M10" ca="1">INDIRECT(ADDRESS($A10,6,,,"scalars"))</f>
        <v>1</v>
      </c>
      <c r="N10" s="23">
        <f t="shared" ca="1" si="3"/>
        <v>121.2945</v>
      </c>
      <c r="O10" s="23">
        <f t="shared" ca="1" si="4"/>
        <v>134.2055</v>
      </c>
      <c r="P10" s="385"/>
      <c r="Q10" s="399"/>
      <c r="R10" s="296" t="b">
        <f ca="1">IF(Q9&gt;R9,TRUE,FALSE)</f>
        <v>0</v>
      </c>
      <c r="S10" s="263" t="b">
        <f ca="1">AND(IF(U9&gt;-S9,TRUE,FALSE),IF(X9&gt;0,TRUE,FALSE))</f>
        <v>0</v>
      </c>
      <c r="T10" s="385"/>
      <c r="U10" s="387"/>
      <c r="V10" s="296" t="b">
        <f ca="1">IF(U9&gt;V9,TRUE,FALSE)</f>
        <v>0</v>
      </c>
      <c r="W10" s="61" t="b">
        <f ca="1">AND(IF(Q9&gt;-W9,TRUE,FALSE),IF(X9&lt;0,TRUE,FALSE))</f>
        <v>0</v>
      </c>
      <c r="X10" s="29" cm="1">
        <f t="array" aca="1" ref="X10" ca="1">INDIRECT(ADDRESS($B10,9,,,"mkt data"))</f>
        <v>4000</v>
      </c>
      <c r="Y10" s="50">
        <f t="shared" ca="1" si="5"/>
        <v>511000</v>
      </c>
      <c r="Z10" s="29">
        <f t="shared" ca="1" si="6"/>
        <v>4000</v>
      </c>
      <c r="AA10" s="371"/>
      <c r="AB10" s="207" t="str">
        <f t="shared" si="0"/>
        <v>IYF</v>
      </c>
      <c r="AC10" s="37" cm="1">
        <f t="array" aca="1" ref="AC10" ca="1">INDIRECT(ADDRESS($B10,8,,,"mkt data"))</f>
        <v>127.41999800000001</v>
      </c>
      <c r="AD10" s="193">
        <f t="shared" ca="1" si="7"/>
        <v>127.75</v>
      </c>
      <c r="AE10" s="193">
        <f t="shared" ca="1" si="11"/>
        <v>0.33000199999999325</v>
      </c>
      <c r="AF10" s="204">
        <v>0</v>
      </c>
      <c r="AG10" s="193">
        <f t="shared" ca="1" si="12"/>
        <v>0.33000199999999325</v>
      </c>
      <c r="AH10" s="193">
        <f t="shared" ca="1" si="13"/>
        <v>1320.007999999973</v>
      </c>
      <c r="AI10" s="377"/>
    </row>
    <row r="11" spans="1:38" x14ac:dyDescent="0.25">
      <c r="A11" s="84">
        <f>MATCH(G11,SCALARS!C:C,0)</f>
        <v>78</v>
      </c>
      <c r="B11" s="85">
        <f>MATCH(G11,'MKT DATA'!B:B,0)</f>
        <v>77</v>
      </c>
      <c r="C11" s="84" t="str" cm="1">
        <f t="array" aca="1" ref="C11" ca="1">INDIRECT(ADDRESS($A11,2,,,"scalars"))</f>
        <v>healthcare</v>
      </c>
      <c r="D11" s="143" cm="1">
        <f t="array" aca="1" ref="D11" ca="1">INDIRECT(ADDRESS($A11,8,,,"SCALARS"))</f>
        <v>701100</v>
      </c>
      <c r="E11" s="145"/>
      <c r="F11" s="14" t="str" cm="1">
        <f t="array" aca="1" ref="F11" ca="1">INDIRECT(ADDRESS($A11,5,,,"scalars"))</f>
        <v>XLV</v>
      </c>
      <c r="G11" s="15" t="s">
        <v>100</v>
      </c>
      <c r="H11" s="33" cm="1">
        <f t="array" aca="1" ref="H11" ca="1">INDIRECT(ADDRESS($B11,5,,,"mkt data"))</f>
        <v>69.56</v>
      </c>
      <c r="I11" s="34" cm="1">
        <f t="array" aca="1" ref="I11" ca="1">INDIRECT(ADDRESS($B11,6,,,"mkt data"))</f>
        <v>76.41</v>
      </c>
      <c r="J11" s="170" cm="1">
        <f t="array" aca="1" ref="J11" ca="1">INDIRECT(ADDRESS($A11,7,,,"SCALARS"))</f>
        <v>0</v>
      </c>
      <c r="K11" s="16">
        <f t="shared" ca="1" si="1"/>
        <v>69.554500000000004</v>
      </c>
      <c r="L11" s="16">
        <f t="shared" ca="1" si="2"/>
        <v>76.415499999999994</v>
      </c>
      <c r="M11" s="44" cm="1">
        <f t="array" aca="1" ref="M11" ca="1">INDIRECT(ADDRESS($A11,6,,,"scalars"))</f>
        <v>2.3635341245347772</v>
      </c>
      <c r="N11" s="17">
        <f t="shared" ca="1" si="3"/>
        <v>164.39443426495416</v>
      </c>
      <c r="O11" s="17">
        <f t="shared" ca="1" si="4"/>
        <v>180.61064189338725</v>
      </c>
      <c r="P11" s="384">
        <f ca="1">N12-O11</f>
        <v>-9.9061418933872574</v>
      </c>
      <c r="Q11" s="386">
        <f ca="1">LN(N12/O11)</f>
        <v>-5.6409572967830161E-2</v>
      </c>
      <c r="R11" s="295">
        <v>3.0000000000000001E-3</v>
      </c>
      <c r="S11" s="262">
        <v>2E-3</v>
      </c>
      <c r="T11" s="384">
        <f ca="1">N11-O12</f>
        <v>-6.6210657350458462</v>
      </c>
      <c r="U11" s="386">
        <f ca="1">LN(N11/O12)</f>
        <v>-3.948556845671386E-2</v>
      </c>
      <c r="V11" s="295">
        <v>4.0000000000000001E-3</v>
      </c>
      <c r="W11" s="60">
        <v>1E-3</v>
      </c>
      <c r="X11" s="27" cm="1">
        <f t="array" aca="1" ref="X11" ca="1">INDIRECT(ADDRESS($B11,9,,,"mkt data"))</f>
        <v>0</v>
      </c>
      <c r="Y11" s="48">
        <f t="shared" ca="1" si="5"/>
        <v>0</v>
      </c>
      <c r="Z11" s="27">
        <f t="shared" ca="1" si="6"/>
        <v>0</v>
      </c>
      <c r="AA11" s="369">
        <f ca="1">SUM(Z11:Z12)</f>
        <v>0</v>
      </c>
      <c r="AB11" s="199" t="str">
        <f t="shared" si="0"/>
        <v>IYH</v>
      </c>
      <c r="AC11" s="33" cm="1">
        <f t="array" aca="1" ref="AC11" ca="1">INDIRECT(ADDRESS($B11,8,,,"mkt data"))</f>
        <v>72.669998000000007</v>
      </c>
      <c r="AD11" s="191">
        <f t="shared" ca="1" si="7"/>
        <v>72.984999999999999</v>
      </c>
      <c r="AE11" s="191">
        <f t="shared" ca="1" si="11"/>
        <v>0.31500199999999268</v>
      </c>
      <c r="AF11" s="202">
        <v>0</v>
      </c>
      <c r="AG11" s="191">
        <f t="shared" ca="1" si="12"/>
        <v>0.31500199999999268</v>
      </c>
      <c r="AH11" s="191">
        <f t="shared" ca="1" si="13"/>
        <v>0</v>
      </c>
      <c r="AI11" s="375">
        <f ca="1">AH11+AH12</f>
        <v>0</v>
      </c>
    </row>
    <row r="12" spans="1:38" ht="15.75" thickBot="1" x14ac:dyDescent="0.3">
      <c r="A12" s="86">
        <f>MATCH(G12,SCALARS!C:C,0)</f>
        <v>79</v>
      </c>
      <c r="B12" s="87">
        <f>MATCH(G12,'MKT DATA'!B:B,0)</f>
        <v>79</v>
      </c>
      <c r="C12" s="86" t="str" cm="1">
        <f t="array" aca="1" ref="C12" ca="1">INDIRECT(ADDRESS($A12,2,,,"scalars"))</f>
        <v>healthcare</v>
      </c>
      <c r="D12" s="144" cm="1">
        <f t="array" aca="1" ref="D12" ca="1">INDIRECT(ADDRESS($A12,8,,,"SCALARS"))</f>
        <v>8768100</v>
      </c>
      <c r="E12" s="146"/>
      <c r="F12" s="20" t="str" cm="1">
        <f t="array" aca="1" ref="F12" ca="1">INDIRECT(ADDRESS($A12,5,,,"scalars"))</f>
        <v>XLV</v>
      </c>
      <c r="G12" s="21" t="s">
        <v>102</v>
      </c>
      <c r="H12" s="37" cm="1">
        <f t="array" aca="1" ref="H12" ca="1">INDIRECT(ADDRESS($B12,5,,,"mkt data"))</f>
        <v>170.71</v>
      </c>
      <c r="I12" s="38" cm="1">
        <f t="array" aca="1" ref="I12" ca="1">INDIRECT(ADDRESS($B12,6,,,"mkt data"))</f>
        <v>171.01</v>
      </c>
      <c r="J12" s="171" cm="1">
        <f t="array" aca="1" ref="J12" ca="1">INDIRECT(ADDRESS($A12,7,,,"SCALARS"))</f>
        <v>0</v>
      </c>
      <c r="K12" s="22">
        <f t="shared" ca="1" si="1"/>
        <v>170.7045</v>
      </c>
      <c r="L12" s="22">
        <f t="shared" ca="1" si="2"/>
        <v>171.0155</v>
      </c>
      <c r="M12" s="45" cm="1">
        <f t="array" aca="1" ref="M12" ca="1">INDIRECT(ADDRESS($A12,6,,,"scalars"))</f>
        <v>1</v>
      </c>
      <c r="N12" s="23">
        <f t="shared" ca="1" si="3"/>
        <v>170.7045</v>
      </c>
      <c r="O12" s="23">
        <f t="shared" ca="1" si="4"/>
        <v>171.0155</v>
      </c>
      <c r="P12" s="385"/>
      <c r="Q12" s="387"/>
      <c r="R12" s="296" t="b">
        <f ca="1">IF(Q11&gt;R11,TRUE,FALSE)</f>
        <v>0</v>
      </c>
      <c r="S12" s="263" t="b">
        <f ca="1">AND(IF(U11&gt;-S11,TRUE,FALSE),IF(X11&gt;0,TRUE,FALSE))</f>
        <v>0</v>
      </c>
      <c r="T12" s="385"/>
      <c r="U12" s="387"/>
      <c r="V12" s="296" t="b">
        <f ca="1">IF(U11&gt;V11,TRUE,FALSE)</f>
        <v>0</v>
      </c>
      <c r="W12" s="61" t="b">
        <f ca="1">AND(IF(Q11&gt;-W11,TRUE,FALSE),IF(X11&lt;0,TRUE,FALSE))</f>
        <v>0</v>
      </c>
      <c r="X12" s="29" cm="1">
        <f t="array" aca="1" ref="X12" ca="1">INDIRECT(ADDRESS($B12,9,,,"mkt data"))</f>
        <v>0</v>
      </c>
      <c r="Y12" s="50">
        <f t="shared" ca="1" si="5"/>
        <v>0</v>
      </c>
      <c r="Z12" s="29">
        <f t="shared" ca="1" si="6"/>
        <v>0</v>
      </c>
      <c r="AA12" s="371"/>
      <c r="AB12" s="207" t="str">
        <f t="shared" si="0"/>
        <v>XLV</v>
      </c>
      <c r="AC12" s="37" cm="1">
        <f t="array" aca="1" ref="AC12" ca="1">INDIRECT(ADDRESS($B12,8,,,"mkt data"))</f>
        <v>171.259995</v>
      </c>
      <c r="AD12" s="193">
        <f t="shared" ca="1" si="7"/>
        <v>170.86</v>
      </c>
      <c r="AE12" s="193">
        <f t="shared" ca="1" si="11"/>
        <v>-0.39999499999998989</v>
      </c>
      <c r="AF12" s="204">
        <v>0</v>
      </c>
      <c r="AG12" s="193">
        <f t="shared" ca="1" si="12"/>
        <v>-0.39999499999998989</v>
      </c>
      <c r="AH12" s="193">
        <f t="shared" ca="1" si="13"/>
        <v>0</v>
      </c>
      <c r="AI12" s="377"/>
    </row>
    <row r="13" spans="1:38" x14ac:dyDescent="0.25">
      <c r="A13" s="84">
        <f>MATCH(G13,SCALARS!C:C,0)</f>
        <v>82</v>
      </c>
      <c r="B13" s="85">
        <f>MATCH(G13,'MKT DATA'!B:B,0)</f>
        <v>81</v>
      </c>
      <c r="C13" s="84" t="str" cm="1">
        <f t="array" aca="1" ref="C13" ca="1">INDIRECT(ADDRESS($A13,2,,,"scalars"))</f>
        <v>industrials</v>
      </c>
      <c r="D13" s="143" cm="1">
        <f t="array" aca="1" ref="D13" ca="1">INDIRECT(ADDRESS($A13,8,,,"SCALARS"))</f>
        <v>126700</v>
      </c>
      <c r="E13" s="145"/>
      <c r="F13" s="14" t="str" cm="1">
        <f t="array" aca="1" ref="F13" ca="1">INDIRECT(ADDRESS($A13,5,,,"scalars"))</f>
        <v>XLI</v>
      </c>
      <c r="G13" s="93" t="s">
        <v>127</v>
      </c>
      <c r="H13" s="33" cm="1">
        <f t="array" aca="1" ref="H13" ca="1">INDIRECT(ADDRESS($B13,5,,,"mkt data"))</f>
        <v>152.84</v>
      </c>
      <c r="I13" s="34" cm="1">
        <f t="array" aca="1" ref="I13" ca="1">INDIRECT(ADDRESS($B13,6,,,"mkt data"))</f>
        <v>157.51</v>
      </c>
      <c r="J13" s="170" cm="1">
        <f t="array" aca="1" ref="J13" ca="1">INDIRECT(ADDRESS($A13,7,,,"SCALARS"))</f>
        <v>0</v>
      </c>
      <c r="K13" s="16">
        <f t="shared" ca="1" si="1"/>
        <v>152.83449999999999</v>
      </c>
      <c r="L13" s="16">
        <f t="shared" ca="1" si="2"/>
        <v>157.5155</v>
      </c>
      <c r="M13" s="91" cm="1">
        <f t="array" aca="1" ref="M13" ca="1">INDIRECT(ADDRESS($A13,6,,,"scalars"))</f>
        <v>1.0868044059737907</v>
      </c>
      <c r="N13" s="17">
        <f t="shared" ca="1" si="3"/>
        <v>166.10120798480131</v>
      </c>
      <c r="O13" s="17">
        <f t="shared" ca="1" si="4"/>
        <v>171.18853940916463</v>
      </c>
      <c r="P13" s="384">
        <f ca="1">N14-O13</f>
        <v>-2.4740394091646465</v>
      </c>
      <c r="Q13" s="386">
        <f ca="1">LN(N14/O13)</f>
        <v>-1.4557581512082841E-2</v>
      </c>
      <c r="R13" s="295">
        <v>5.0000000000000001E-3</v>
      </c>
      <c r="S13" s="262">
        <v>2.5000000000000001E-3</v>
      </c>
      <c r="T13" s="384">
        <f ca="1">N13-O14</f>
        <v>-3.3042920151987119</v>
      </c>
      <c r="U13" s="386">
        <f ca="1">LN(N13/O14)</f>
        <v>-1.9697959994789609E-2</v>
      </c>
      <c r="V13" s="295">
        <v>5.0000000000000001E-3</v>
      </c>
      <c r="W13" s="60">
        <v>2.5000000000000001E-3</v>
      </c>
      <c r="X13" s="27" cm="1">
        <f t="array" aca="1" ref="X13" ca="1">INDIRECT(ADDRESS($B13,9,,,"mkt data"))</f>
        <v>0</v>
      </c>
      <c r="Y13" s="48">
        <f t="shared" ca="1" si="5"/>
        <v>0</v>
      </c>
      <c r="Z13" s="27">
        <f t="shared" ca="1" si="6"/>
        <v>0</v>
      </c>
      <c r="AA13" s="369">
        <f ca="1">SUM(Z13:Z14)</f>
        <v>0</v>
      </c>
      <c r="AB13" s="208" t="str">
        <f t="shared" si="0"/>
        <v>IYJ</v>
      </c>
      <c r="AC13" s="33" cm="1">
        <f t="array" aca="1" ref="AC13" ca="1">INDIRECT(ADDRESS($B13,8,,,"mkt data"))</f>
        <v>155.25</v>
      </c>
      <c r="AD13" s="191">
        <f t="shared" ca="1" si="7"/>
        <v>155.17500000000001</v>
      </c>
      <c r="AE13" s="191">
        <f t="shared" ca="1" si="11"/>
        <v>-7.4999999999988631E-2</v>
      </c>
      <c r="AF13" s="202">
        <v>0</v>
      </c>
      <c r="AG13" s="191">
        <f t="shared" ca="1" si="12"/>
        <v>-7.4999999999988631E-2</v>
      </c>
      <c r="AH13" s="191">
        <f t="shared" ca="1" si="13"/>
        <v>0</v>
      </c>
      <c r="AI13" s="375">
        <f ca="1">AH13+AH14</f>
        <v>0</v>
      </c>
    </row>
    <row r="14" spans="1:38" ht="15.75" thickBot="1" x14ac:dyDescent="0.3">
      <c r="A14" s="86">
        <f>MATCH(G14,SCALARS!C:C,0)</f>
        <v>83</v>
      </c>
      <c r="B14" s="87">
        <f>MATCH(G14,'MKT DATA'!B:B,0)</f>
        <v>83</v>
      </c>
      <c r="C14" s="86" t="str" cm="1">
        <f t="array" aca="1" ref="C14" ca="1">INDIRECT(ADDRESS($A14,2,,,"scalars"))</f>
        <v>industrials</v>
      </c>
      <c r="D14" s="144" cm="1">
        <f t="array" aca="1" ref="D14" ca="1">INDIRECT(ADDRESS($A14,8,,,"SCALARS"))</f>
        <v>6809900</v>
      </c>
      <c r="E14" s="146"/>
      <c r="F14" s="20" t="str" cm="1">
        <f t="array" aca="1" ref="F14" ca="1">INDIRECT(ADDRESS($A14,5,,,"scalars"))</f>
        <v>XLI</v>
      </c>
      <c r="G14" s="94" t="s">
        <v>104</v>
      </c>
      <c r="H14" s="37" cm="1">
        <f t="array" aca="1" ref="H14" ca="1">INDIRECT(ADDRESS($B14,5,,,"mkt data"))</f>
        <v>168.72</v>
      </c>
      <c r="I14" s="38" cm="1">
        <f t="array" aca="1" ref="I14" ca="1">INDIRECT(ADDRESS($B14,6,,,"mkt data"))</f>
        <v>169.4</v>
      </c>
      <c r="J14" s="171" cm="1">
        <f t="array" aca="1" ref="J14" ca="1">INDIRECT(ADDRESS($A14,7,,,"SCALARS"))</f>
        <v>0</v>
      </c>
      <c r="K14" s="22">
        <f t="shared" ca="1" si="1"/>
        <v>168.71449999999999</v>
      </c>
      <c r="L14" s="22">
        <f t="shared" ca="1" si="2"/>
        <v>169.40550000000002</v>
      </c>
      <c r="M14" s="92" cm="1">
        <f t="array" aca="1" ref="M14" ca="1">INDIRECT(ADDRESS($A14,6,,,"scalars"))</f>
        <v>1</v>
      </c>
      <c r="N14" s="23">
        <f t="shared" ca="1" si="3"/>
        <v>168.71449999999999</v>
      </c>
      <c r="O14" s="23">
        <f t="shared" ca="1" si="4"/>
        <v>169.40550000000002</v>
      </c>
      <c r="P14" s="385"/>
      <c r="Q14" s="387"/>
      <c r="R14" s="296" t="b">
        <f ca="1">IF(Q13&gt;R13,TRUE,FALSE)</f>
        <v>0</v>
      </c>
      <c r="S14" s="263" t="b">
        <f ca="1">AND(IF(U13&gt;-S13,TRUE,FALSE),IF(X13&gt;0,TRUE,FALSE))</f>
        <v>0</v>
      </c>
      <c r="T14" s="385"/>
      <c r="U14" s="387"/>
      <c r="V14" s="296" t="b">
        <f ca="1">IF(U13&gt;V13,TRUE,FALSE)</f>
        <v>0</v>
      </c>
      <c r="W14" s="61" t="b">
        <f ca="1">AND(IF(Q13&gt;-W13,TRUE,FALSE),IF(X13&lt;0,TRUE,FALSE))</f>
        <v>0</v>
      </c>
      <c r="X14" s="29" cm="1">
        <f t="array" aca="1" ref="X14" ca="1">INDIRECT(ADDRESS($B14,9,,,"mkt data"))</f>
        <v>0</v>
      </c>
      <c r="Y14" s="50">
        <f t="shared" ca="1" si="5"/>
        <v>0</v>
      </c>
      <c r="Z14" s="29">
        <f t="shared" ca="1" si="6"/>
        <v>0</v>
      </c>
      <c r="AA14" s="371"/>
      <c r="AB14" s="209" t="str">
        <f t="shared" si="0"/>
        <v>XLI</v>
      </c>
      <c r="AC14" s="37" cm="1">
        <f t="array" aca="1" ref="AC14" ca="1">INDIRECT(ADDRESS($B14,8,,,"mkt data"))</f>
        <v>168.779999</v>
      </c>
      <c r="AD14" s="193">
        <f t="shared" ca="1" si="7"/>
        <v>169.06</v>
      </c>
      <c r="AE14" s="193">
        <f t="shared" ca="1" si="11"/>
        <v>0.28000099999999861</v>
      </c>
      <c r="AF14" s="204">
        <v>0</v>
      </c>
      <c r="AG14" s="193">
        <f t="shared" ca="1" si="12"/>
        <v>0.28000099999999861</v>
      </c>
      <c r="AH14" s="193">
        <f t="shared" ca="1" si="13"/>
        <v>0</v>
      </c>
      <c r="AI14" s="377"/>
    </row>
    <row r="15" spans="1:38" x14ac:dyDescent="0.25">
      <c r="A15" s="97">
        <f>MATCH(G15,SCALARS!C:C,0)</f>
        <v>85</v>
      </c>
      <c r="B15" s="98">
        <f>MATCH(G15,'MKT DATA'!B:B,0)</f>
        <v>87</v>
      </c>
      <c r="C15" s="97" t="str" cm="1">
        <f t="array" aca="1" ref="C15" ca="1">INDIRECT(ADDRESS($A15,2,,,"scalars"))</f>
        <v>real estate</v>
      </c>
      <c r="D15" s="119" cm="1">
        <f t="array" aca="1" ref="D15" ca="1">INDIRECT(ADDRESS($A15,8,,,"SCALARS"))</f>
        <v>5179300</v>
      </c>
      <c r="E15" s="120"/>
      <c r="F15" s="99" t="str" cm="1">
        <f t="array" aca="1" ref="F15" ca="1">INDIRECT(ADDRESS($A15,5,,,"scalars"))</f>
        <v>IYR</v>
      </c>
      <c r="G15" s="113" t="s">
        <v>108</v>
      </c>
      <c r="H15" s="100" cm="1">
        <f t="array" aca="1" ref="H15" ca="1">INDIRECT(ADDRESS($B15,5,,,"mkt data"))</f>
        <v>41.35</v>
      </c>
      <c r="I15" s="101" cm="1">
        <f t="array" aca="1" ref="I15" ca="1">INDIRECT(ADDRESS($B15,6,,,"mkt data"))</f>
        <v>41.38</v>
      </c>
      <c r="J15" s="175" cm="1">
        <f t="array" aca="1" ref="J15" ca="1">INDIRECT(ADDRESS($A15,7,,,"SCALARS"))</f>
        <v>0</v>
      </c>
      <c r="K15" s="102">
        <f t="shared" ca="1" si="1"/>
        <v>41.344500000000004</v>
      </c>
      <c r="L15" s="102">
        <f t="shared" ca="1" si="2"/>
        <v>41.3855</v>
      </c>
      <c r="M15" s="114" cm="1">
        <f t="array" aca="1" ref="M15" ca="1">INDIRECT(ADDRESS($A15,6,,,"scalars"))</f>
        <v>2.3239863552527336</v>
      </c>
      <c r="N15" s="103">
        <f t="shared" ca="1" si="3"/>
        <v>96.08405386474665</v>
      </c>
      <c r="O15" s="125">
        <f t="shared" ca="1" si="4"/>
        <v>96.179337305312004</v>
      </c>
      <c r="P15" s="390">
        <f ca="1">N16-O15</f>
        <v>-0.18483730531200138</v>
      </c>
      <c r="Q15" s="394">
        <f ca="1">LN(N16/O15)</f>
        <v>-1.9236475152058744E-3</v>
      </c>
      <c r="R15" s="304"/>
      <c r="S15" s="266"/>
      <c r="T15" s="390">
        <f ca="1">N15-O16</f>
        <v>-7.1446135253353305E-2</v>
      </c>
      <c r="U15" s="394">
        <f ca="1">LN(N15/O16)</f>
        <v>-7.4330320796644003E-4</v>
      </c>
      <c r="V15" s="304"/>
      <c r="W15" s="104"/>
      <c r="X15" s="121" cm="1">
        <f t="array" aca="1" ref="X15" ca="1">INDIRECT(ADDRESS($B15,9,,,"mkt data"))</f>
        <v>0</v>
      </c>
      <c r="Y15" s="122">
        <f t="shared" ca="1" si="5"/>
        <v>0</v>
      </c>
      <c r="Z15" s="121">
        <f t="shared" ca="1" si="6"/>
        <v>0</v>
      </c>
      <c r="AA15" s="392">
        <f ca="1">SUM(Z15:Z16)</f>
        <v>0</v>
      </c>
      <c r="AB15" s="212" t="str">
        <f t="shared" si="0"/>
        <v>XLRE</v>
      </c>
      <c r="AC15" s="188" cm="1">
        <f t="array" aca="1" ref="AC15" ca="1">INDIRECT(ADDRESS($B15,8,,,"mkt data"))</f>
        <v>41.349997999999999</v>
      </c>
      <c r="AD15" s="198">
        <f t="shared" ca="1" si="7"/>
        <v>41.365000000000002</v>
      </c>
      <c r="AE15" s="198">
        <f t="shared" ca="1" si="11"/>
        <v>1.5002000000002624E-2</v>
      </c>
      <c r="AF15" s="203">
        <v>0</v>
      </c>
      <c r="AG15" s="198">
        <f t="shared" ca="1" si="12"/>
        <v>1.5002000000002624E-2</v>
      </c>
      <c r="AH15" s="196">
        <f t="shared" ca="1" si="13"/>
        <v>0</v>
      </c>
      <c r="AI15" s="402">
        <f ca="1">AH15+AH16</f>
        <v>0</v>
      </c>
    </row>
    <row r="16" spans="1:38" ht="15.75" thickBot="1" x14ac:dyDescent="0.3">
      <c r="A16" s="105">
        <f>MATCH(G16,SCALARS!C:C,0)</f>
        <v>84</v>
      </c>
      <c r="B16" s="106">
        <f>MATCH(G16,'MKT DATA'!B:B,0)</f>
        <v>85</v>
      </c>
      <c r="C16" s="105" t="str" cm="1">
        <f t="array" aca="1" ref="C16" ca="1">INDIRECT(ADDRESS($A16,2,,,"scalars"))</f>
        <v>real estate</v>
      </c>
      <c r="D16" s="126" cm="1">
        <f t="array" aca="1" ref="D16" ca="1">INDIRECT(ADDRESS($A16,8,,,"SCALARS"))</f>
        <v>5269200</v>
      </c>
      <c r="E16" s="127"/>
      <c r="F16" s="107" t="str" cm="1">
        <f t="array" aca="1" ref="F16" ca="1">INDIRECT(ADDRESS($A16,5,,,"scalars"))</f>
        <v>IYR</v>
      </c>
      <c r="G16" s="115" t="s">
        <v>106</v>
      </c>
      <c r="H16" s="108" cm="1">
        <f t="array" aca="1" ref="H16" ca="1">INDIRECT(ADDRESS($B16,5,,,"mkt data"))</f>
        <v>96</v>
      </c>
      <c r="I16" s="109" cm="1">
        <f t="array" aca="1" ref="I16" ca="1">INDIRECT(ADDRESS($B16,6,,,"mkt data"))</f>
        <v>96.15</v>
      </c>
      <c r="J16" s="176" cm="1">
        <f t="array" aca="1" ref="J16" ca="1">INDIRECT(ADDRESS($A16,7,,,"SCALARS"))</f>
        <v>0</v>
      </c>
      <c r="K16" s="110">
        <f t="shared" ca="1" si="1"/>
        <v>95.994500000000002</v>
      </c>
      <c r="L16" s="110">
        <f t="shared" ca="1" si="2"/>
        <v>96.155500000000004</v>
      </c>
      <c r="M16" s="116" cm="1">
        <f t="array" aca="1" ref="M16" ca="1">INDIRECT(ADDRESS($A16,6,,,"scalars"))</f>
        <v>1</v>
      </c>
      <c r="N16" s="111">
        <f t="shared" ca="1" si="3"/>
        <v>95.994500000000002</v>
      </c>
      <c r="O16" s="132">
        <f t="shared" ca="1" si="4"/>
        <v>96.155500000000004</v>
      </c>
      <c r="P16" s="391"/>
      <c r="Q16" s="395"/>
      <c r="R16" s="305"/>
      <c r="S16" s="267"/>
      <c r="T16" s="391"/>
      <c r="U16" s="395"/>
      <c r="V16" s="305"/>
      <c r="W16" s="112"/>
      <c r="X16" s="128" cm="1">
        <f t="array" aca="1" ref="X16" ca="1">INDIRECT(ADDRESS($B16,9,,,"mkt data"))</f>
        <v>0</v>
      </c>
      <c r="Y16" s="129">
        <f t="shared" ca="1" si="5"/>
        <v>0</v>
      </c>
      <c r="Z16" s="128">
        <f t="shared" ca="1" si="6"/>
        <v>0</v>
      </c>
      <c r="AA16" s="393"/>
      <c r="AB16" s="213" t="str">
        <f t="shared" si="0"/>
        <v>IYR</v>
      </c>
      <c r="AC16" s="188" cm="1">
        <f t="array" aca="1" ref="AC16" ca="1">INDIRECT(ADDRESS($B16,8,,,"mkt data"))</f>
        <v>96.160004000000001</v>
      </c>
      <c r="AD16" s="198">
        <f t="shared" ca="1" si="7"/>
        <v>96.075000000000003</v>
      </c>
      <c r="AE16" s="198">
        <f t="shared" ca="1" si="11"/>
        <v>-8.5003999999997859E-2</v>
      </c>
      <c r="AF16" s="203">
        <v>0</v>
      </c>
      <c r="AG16" s="198">
        <f t="shared" ca="1" si="12"/>
        <v>-8.5003999999997859E-2</v>
      </c>
      <c r="AH16" s="196">
        <f t="shared" ca="1" si="13"/>
        <v>0</v>
      </c>
      <c r="AI16" s="403"/>
    </row>
    <row r="17" spans="1:38" x14ac:dyDescent="0.25">
      <c r="A17" s="84">
        <f>MATCH(G17,SCALARS!C:C,0)</f>
        <v>90</v>
      </c>
      <c r="B17" s="85">
        <f>MATCH(G17,'MKT DATA'!B:B,0)</f>
        <v>89</v>
      </c>
      <c r="C17" s="84" t="str" cm="1">
        <f t="array" aca="1" ref="C17" ca="1">INDIRECT(ADDRESS($A17,2,,,"scalars"))</f>
        <v>staples</v>
      </c>
      <c r="D17" s="143" cm="1">
        <f t="array" aca="1" ref="D17" ca="1">INDIRECT(ADDRESS($A17,8,,,"SCALARS"))</f>
        <v>231900</v>
      </c>
      <c r="E17" s="145"/>
      <c r="F17" s="14" t="str" cm="1">
        <f t="array" aca="1" ref="F17" ca="1">INDIRECT(ADDRESS($A17,5,,,"scalars"))</f>
        <v>XLP</v>
      </c>
      <c r="G17" s="93" t="s">
        <v>128</v>
      </c>
      <c r="H17" s="33" cm="1">
        <f t="array" aca="1" ref="H17" ca="1">INDIRECT(ADDRESS($B17,5,,,"mkt data"))</f>
        <v>71.14</v>
      </c>
      <c r="I17" s="34" cm="1">
        <f t="array" aca="1" ref="I17" ca="1">INDIRECT(ADDRESS($B17,6,,,"mkt data"))</f>
        <v>73.42</v>
      </c>
      <c r="J17" s="170" cm="1">
        <f t="array" aca="1" ref="J17" ca="1">INDIRECT(ADDRESS($A17,7,,,"SCALARS"))</f>
        <v>0</v>
      </c>
      <c r="K17" s="16">
        <f t="shared" ca="1" si="1"/>
        <v>71.134500000000003</v>
      </c>
      <c r="L17" s="16">
        <f t="shared" ca="1" si="2"/>
        <v>73.4255</v>
      </c>
      <c r="M17" s="91" cm="1">
        <f t="array" aca="1" ref="M17" ca="1">INDIRECT(ADDRESS($A17,6,,,"scalars"))</f>
        <v>1.1364038287273412</v>
      </c>
      <c r="N17" s="17">
        <f t="shared" ca="1" si="3"/>
        <v>80.837518154605064</v>
      </c>
      <c r="O17" s="17">
        <f t="shared" ca="1" si="4"/>
        <v>83.44101932621939</v>
      </c>
      <c r="P17" s="384">
        <f ca="1">N18-O17</f>
        <v>-1.9265193262193918</v>
      </c>
      <c r="Q17" s="386">
        <f ca="1">LN(N18/O17)</f>
        <v>-2.3359108363287983E-2</v>
      </c>
      <c r="R17" s="295">
        <v>5.0000000000000001E-3</v>
      </c>
      <c r="S17" s="262">
        <v>2.5000000000000001E-3</v>
      </c>
      <c r="T17" s="400">
        <f ca="1">N17-O18</f>
        <v>-1.0479818453949292</v>
      </c>
      <c r="U17" s="398">
        <f ca="1">LN(N17/O18)</f>
        <v>-1.2880738653469104E-2</v>
      </c>
      <c r="V17" s="295">
        <v>7.4999999999999997E-3</v>
      </c>
      <c r="W17" s="60">
        <v>4.0000000000000001E-3</v>
      </c>
      <c r="X17" s="27" cm="1">
        <f t="array" aca="1" ref="X17" ca="1">INDIRECT(ADDRESS($B17,9,,,"mkt data"))</f>
        <v>2000</v>
      </c>
      <c r="Y17" s="48">
        <f t="shared" ca="1" si="5"/>
        <v>144560</v>
      </c>
      <c r="Z17" s="27">
        <f t="shared" ca="1" si="6"/>
        <v>1759.9377522687514</v>
      </c>
      <c r="AA17" s="396">
        <f ca="1">SUM(Z17:Z18)</f>
        <v>-5.0622477312485898</v>
      </c>
      <c r="AB17" s="208" t="str">
        <f t="shared" si="0"/>
        <v>IYK</v>
      </c>
      <c r="AC17" s="33" cm="1">
        <f t="array" aca="1" ref="AC17" ca="1">INDIRECT(ADDRESS($B17,8,,,"mkt data"))</f>
        <v>71.830001999999993</v>
      </c>
      <c r="AD17" s="191">
        <f t="shared" ca="1" si="7"/>
        <v>72.28</v>
      </c>
      <c r="AE17" s="191">
        <f t="shared" ca="1" si="11"/>
        <v>0.44999800000000789</v>
      </c>
      <c r="AF17" s="202">
        <v>0</v>
      </c>
      <c r="AG17" s="191">
        <f t="shared" ca="1" si="12"/>
        <v>0.44999800000000789</v>
      </c>
      <c r="AH17" s="191">
        <f t="shared" ca="1" si="13"/>
        <v>899.99600000001578</v>
      </c>
      <c r="AI17" s="375">
        <f ca="1">AH17+AH18</f>
        <v>1923.6942350000422</v>
      </c>
      <c r="AJ17" s="417">
        <v>46288</v>
      </c>
      <c r="AK17" s="419">
        <f ca="1">U17+S17</f>
        <v>-1.0380738653469104E-2</v>
      </c>
    </row>
    <row r="18" spans="1:38" ht="15.75" thickBot="1" x14ac:dyDescent="0.3">
      <c r="A18" s="86">
        <f>MATCH(G18,SCALARS!C:C,0)</f>
        <v>91</v>
      </c>
      <c r="B18" s="87">
        <f>MATCH(G18,'MKT DATA'!B:B,0)</f>
        <v>91</v>
      </c>
      <c r="C18" s="86" t="str" cm="1">
        <f t="array" aca="1" ref="C18" ca="1">INDIRECT(ADDRESS($A18,2,,,"scalars"))</f>
        <v>staples</v>
      </c>
      <c r="D18" s="144" cm="1">
        <f t="array" aca="1" ref="D18" ca="1">INDIRECT(ADDRESS($A18,8,,,"SCALARS"))</f>
        <v>10391400</v>
      </c>
      <c r="E18" s="146"/>
      <c r="F18" s="20" t="str" cm="1">
        <f t="array" aca="1" ref="F18" ca="1">INDIRECT(ADDRESS($A18,5,,,"scalars"))</f>
        <v>XLP</v>
      </c>
      <c r="G18" s="94" t="s">
        <v>91</v>
      </c>
      <c r="H18" s="37" cm="1">
        <f t="array" aca="1" ref="H18" ca="1">INDIRECT(ADDRESS($B18,5,,,"mkt data"))</f>
        <v>81.52</v>
      </c>
      <c r="I18" s="38" cm="1">
        <f t="array" aca="1" ref="I18" ca="1">INDIRECT(ADDRESS($B18,6,,,"mkt data"))</f>
        <v>81.88</v>
      </c>
      <c r="J18" s="171" cm="1">
        <f t="array" aca="1" ref="J18" ca="1">INDIRECT(ADDRESS($A18,7,,,"SCALARS"))</f>
        <v>0</v>
      </c>
      <c r="K18" s="22">
        <f t="shared" ca="1" si="1"/>
        <v>81.514499999999998</v>
      </c>
      <c r="L18" s="22">
        <f t="shared" ca="1" si="2"/>
        <v>81.885499999999993</v>
      </c>
      <c r="M18" s="92" cm="1">
        <f t="array" aca="1" ref="M18" ca="1">INDIRECT(ADDRESS($A18,6,,,"scalars"))</f>
        <v>1</v>
      </c>
      <c r="N18" s="23">
        <f t="shared" ca="1" si="3"/>
        <v>81.514499999999998</v>
      </c>
      <c r="O18" s="23">
        <f t="shared" ca="1" si="4"/>
        <v>81.885499999999993</v>
      </c>
      <c r="P18" s="385"/>
      <c r="Q18" s="387"/>
      <c r="R18" s="296" t="b">
        <f ca="1">IF(Q17&gt;R17,TRUE,FALSE)</f>
        <v>0</v>
      </c>
      <c r="S18" s="263" t="b">
        <f ca="1">AND(IF(U17&gt;-S17,TRUE,FALSE),IF(X17&gt;0,TRUE,FALSE))</f>
        <v>0</v>
      </c>
      <c r="T18" s="401"/>
      <c r="U18" s="399"/>
      <c r="V18" s="296" t="b">
        <f ca="1">IF(U17&gt;V17,TRUE,FALSE)</f>
        <v>0</v>
      </c>
      <c r="W18" s="61" t="b">
        <f ca="1">AND(IF(Q17&gt;-W17,TRUE,FALSE),IF(X17&lt;0,TRUE,FALSE))</f>
        <v>0</v>
      </c>
      <c r="X18" s="29" cm="1">
        <f t="array" aca="1" ref="X18" ca="1">INDIRECT(ADDRESS($B18,9,,,"mkt data"))</f>
        <v>-1765</v>
      </c>
      <c r="Y18" s="50">
        <f t="shared" ca="1" si="5"/>
        <v>-144200.49999999997</v>
      </c>
      <c r="Z18" s="29">
        <f t="shared" ca="1" si="6"/>
        <v>-1765</v>
      </c>
      <c r="AA18" s="397"/>
      <c r="AB18" s="209" t="str">
        <f t="shared" si="0"/>
        <v>XLP</v>
      </c>
      <c r="AC18" s="37" cm="1">
        <f t="array" aca="1" ref="AC18" ca="1">INDIRECT(ADDRESS($B18,8,,,"mkt data"))</f>
        <v>82.279999000000004</v>
      </c>
      <c r="AD18" s="193">
        <f t="shared" ca="1" si="7"/>
        <v>81.699999999999989</v>
      </c>
      <c r="AE18" s="193">
        <f t="shared" ca="1" si="11"/>
        <v>-0.57999900000001503</v>
      </c>
      <c r="AF18" s="204">
        <v>0</v>
      </c>
      <c r="AG18" s="193">
        <f t="shared" ca="1" si="12"/>
        <v>-0.57999900000001503</v>
      </c>
      <c r="AH18" s="193">
        <f t="shared" ca="1" si="13"/>
        <v>1023.6982350000266</v>
      </c>
      <c r="AI18" s="377"/>
    </row>
    <row r="19" spans="1:38" x14ac:dyDescent="0.25">
      <c r="A19" s="84">
        <f>MATCH(G19,SCALARS!C:C,0)</f>
        <v>95</v>
      </c>
      <c r="B19" s="85">
        <f>MATCH(G19,'MKT DATA'!B:B,0)</f>
        <v>95</v>
      </c>
      <c r="C19" s="84" t="str" cm="1">
        <f t="array" aca="1" ref="C19" ca="1">INDIRECT(ADDRESS($A19,2,,,"scalars"))</f>
        <v>technology</v>
      </c>
      <c r="D19" s="143" cm="1">
        <f t="array" aca="1" ref="D19" ca="1">INDIRECT(ADDRESS($A19,8,,,"SCALARS"))</f>
        <v>7694500</v>
      </c>
      <c r="E19" s="145"/>
      <c r="F19" s="14" t="str" cm="1">
        <f t="array" aca="1" ref="F19" ca="1">INDIRECT(ADDRESS($A19,5,,,"scalars"))</f>
        <v>IYW</v>
      </c>
      <c r="G19" s="15" t="s">
        <v>112</v>
      </c>
      <c r="H19" s="33" cm="1">
        <f t="array" aca="1" ref="H19" ca="1">INDIRECT(ADDRESS($B19,5,,,"mkt data"))</f>
        <v>194.46</v>
      </c>
      <c r="I19" s="34" cm="1">
        <f t="array" aca="1" ref="I19" ca="1">INDIRECT(ADDRESS($B19,6,,,"mkt data"))</f>
        <v>195</v>
      </c>
      <c r="J19" s="170" cm="1">
        <f t="array" aca="1" ref="J19" ca="1">INDIRECT(ADDRESS($A19,7,,,"SCALARS"))</f>
        <v>0</v>
      </c>
      <c r="K19" s="16">
        <f t="shared" ca="1" si="1"/>
        <v>194.4545</v>
      </c>
      <c r="L19" s="16">
        <f t="shared" ca="1" si="2"/>
        <v>195.00550000000001</v>
      </c>
      <c r="M19" s="78" cm="1">
        <f t="array" aca="1" ref="M19" ca="1">INDIRECT(ADDRESS($A19,6,,,"scalars"))</f>
        <v>1.3543725595392817</v>
      </c>
      <c r="N19" s="17">
        <f t="shared" ca="1" si="3"/>
        <v>263.36383887893123</v>
      </c>
      <c r="O19" s="17">
        <f t="shared" ca="1" si="4"/>
        <v>264.1100981592374</v>
      </c>
      <c r="P19" s="384">
        <f ca="1">N20-O19</f>
        <v>-1.1055981592373882</v>
      </c>
      <c r="Q19" s="386">
        <f ca="1">LN(N20/O19)</f>
        <v>-4.1949123943526697E-3</v>
      </c>
      <c r="R19" s="295">
        <v>4.0000000000000001E-3</v>
      </c>
      <c r="S19" s="262">
        <v>2E-3</v>
      </c>
      <c r="T19" s="384">
        <f ca="1">N19-O20</f>
        <v>-0.69166112106876199</v>
      </c>
      <c r="U19" s="386">
        <f ca="1">LN(N19/O20)</f>
        <v>-2.622814396766671E-3</v>
      </c>
      <c r="V19" s="295">
        <v>3.0000000000000001E-3</v>
      </c>
      <c r="W19" s="60">
        <v>1E-3</v>
      </c>
      <c r="X19" s="27" cm="1">
        <f t="array" aca="1" ref="X19" ca="1">INDIRECT(ADDRESS($B19,9,,,"mkt data"))</f>
        <v>0</v>
      </c>
      <c r="Y19" s="48">
        <f t="shared" ca="1" si="5"/>
        <v>0</v>
      </c>
      <c r="Z19" s="27">
        <f t="shared" ca="1" si="6"/>
        <v>0</v>
      </c>
      <c r="AA19" s="369">
        <f ca="1">SUM(Z19:Z20)</f>
        <v>0</v>
      </c>
      <c r="AB19" s="199" t="str">
        <f t="shared" si="0"/>
        <v>XLK</v>
      </c>
      <c r="AC19" s="35" cm="1">
        <f t="array" aca="1" ref="AC19" ca="1">INDIRECT(ADDRESS($B19,8,,,"mkt data"))</f>
        <v>194.529999</v>
      </c>
      <c r="AD19" s="192">
        <f t="shared" ca="1" si="7"/>
        <v>194.73000000000002</v>
      </c>
      <c r="AE19" s="192">
        <f t="shared" ca="1" si="11"/>
        <v>0.20000100000001453</v>
      </c>
      <c r="AF19" s="203">
        <v>0</v>
      </c>
      <c r="AG19" s="192">
        <f t="shared" ca="1" si="12"/>
        <v>0.20000100000001453</v>
      </c>
      <c r="AH19" s="192">
        <f t="shared" ca="1" si="13"/>
        <v>0</v>
      </c>
      <c r="AI19" s="375">
        <f ca="1">AH19+AH20</f>
        <v>0</v>
      </c>
    </row>
    <row r="20" spans="1:38" ht="15.75" thickBot="1" x14ac:dyDescent="0.3">
      <c r="A20" s="86">
        <f>MATCH(G20,SCALARS!C:C,0)</f>
        <v>94</v>
      </c>
      <c r="B20" s="87">
        <f>MATCH(G20,'MKT DATA'!B:B,0)</f>
        <v>93</v>
      </c>
      <c r="C20" s="86" t="str" cm="1">
        <f t="array" aca="1" ref="C20" ca="1">INDIRECT(ADDRESS($A20,2,,,"scalars"))</f>
        <v>technology</v>
      </c>
      <c r="D20" s="144" cm="1">
        <f t="array" aca="1" ref="D20" ca="1">INDIRECT(ADDRESS($A20,8,,,"SCALARS"))</f>
        <v>525500</v>
      </c>
      <c r="E20" s="146"/>
      <c r="F20" s="20" t="str" cm="1">
        <f t="array" aca="1" ref="F20" ca="1">INDIRECT(ADDRESS($A20,5,,,"scalars"))</f>
        <v>IYW</v>
      </c>
      <c r="G20" s="21" t="s">
        <v>110</v>
      </c>
      <c r="H20" s="37" cm="1">
        <f t="array" aca="1" ref="H20" ca="1">INDIRECT(ADDRESS($B20,5,,,"mkt data"))</f>
        <v>263.01</v>
      </c>
      <c r="I20" s="38" cm="1">
        <f t="array" aca="1" ref="I20" ca="1">INDIRECT(ADDRESS($B20,6,,,"mkt data"))</f>
        <v>264.05</v>
      </c>
      <c r="J20" s="171" cm="1">
        <f t="array" aca="1" ref="J20" ca="1">INDIRECT(ADDRESS($A20,7,,,"SCALARS"))</f>
        <v>0</v>
      </c>
      <c r="K20" s="22">
        <f t="shared" ca="1" si="1"/>
        <v>263.00450000000001</v>
      </c>
      <c r="L20" s="22">
        <f t="shared" ca="1" si="2"/>
        <v>264.05549999999999</v>
      </c>
      <c r="M20" s="77" cm="1">
        <f t="array" aca="1" ref="M20" ca="1">INDIRECT(ADDRESS($A20,6,,,"scalars"))</f>
        <v>1</v>
      </c>
      <c r="N20" s="23">
        <f t="shared" ca="1" si="3"/>
        <v>263.00450000000001</v>
      </c>
      <c r="O20" s="23">
        <f t="shared" ca="1" si="4"/>
        <v>264.05549999999999</v>
      </c>
      <c r="P20" s="385"/>
      <c r="Q20" s="387"/>
      <c r="R20" s="296" t="b">
        <f ca="1">IF(Q19&gt;R19,TRUE,FALSE)</f>
        <v>0</v>
      </c>
      <c r="S20" s="263" t="b">
        <f ca="1">AND(IF(U19&gt;-S19,TRUE,FALSE),IF(X19&gt;0,TRUE,FALSE))</f>
        <v>0</v>
      </c>
      <c r="T20" s="385"/>
      <c r="U20" s="387"/>
      <c r="V20" s="296" t="b">
        <f ca="1">IF(U19&gt;V19,TRUE,FALSE)</f>
        <v>0</v>
      </c>
      <c r="W20" s="61" t="b">
        <f ca="1">AND(IF(Q19&gt;-W19,TRUE,FALSE),IF(X19&lt;0,TRUE,FALSE))</f>
        <v>0</v>
      </c>
      <c r="X20" s="29" cm="1">
        <f t="array" aca="1" ref="X20" ca="1">INDIRECT(ADDRESS($B20,9,,,"mkt data"))</f>
        <v>0</v>
      </c>
      <c r="Y20" s="50">
        <f t="shared" ca="1" si="5"/>
        <v>0</v>
      </c>
      <c r="Z20" s="29">
        <f t="shared" ca="1" si="6"/>
        <v>0</v>
      </c>
      <c r="AA20" s="371"/>
      <c r="AB20" s="207" t="str">
        <f t="shared" si="0"/>
        <v>IYW</v>
      </c>
      <c r="AC20" s="35" cm="1">
        <f t="array" aca="1" ref="AC20" ca="1">INDIRECT(ADDRESS($B20,8,,,"mkt data"))</f>
        <v>263.57000699999998</v>
      </c>
      <c r="AD20" s="192">
        <f t="shared" ca="1" si="7"/>
        <v>263.52999999999997</v>
      </c>
      <c r="AE20" s="192">
        <f t="shared" ca="1" si="11"/>
        <v>-4.000700000000279E-2</v>
      </c>
      <c r="AF20" s="203">
        <v>0</v>
      </c>
      <c r="AG20" s="192">
        <f t="shared" ca="1" si="12"/>
        <v>-4.000700000000279E-2</v>
      </c>
      <c r="AH20" s="192">
        <f t="shared" ca="1" si="13"/>
        <v>0</v>
      </c>
      <c r="AI20" s="377"/>
    </row>
    <row r="21" spans="1:38" x14ac:dyDescent="0.25">
      <c r="A21" s="84">
        <f>MATCH(G21,SCALARS!C:C,0)</f>
        <v>97</v>
      </c>
      <c r="B21" s="85">
        <f>MATCH(G21,'MKT DATA'!B:B,0)</f>
        <v>99</v>
      </c>
      <c r="C21" s="84" t="str" cm="1">
        <f t="array" aca="1" ref="C21" ca="1">INDIRECT(ADDRESS($A21,2,,,"scalars"))</f>
        <v>utilities</v>
      </c>
      <c r="D21" s="143" cm="1">
        <f t="array" aca="1" ref="D21" ca="1">INDIRECT(ADDRESS($A21,8,,,"SCALARS"))</f>
        <v>20647800</v>
      </c>
      <c r="E21" s="145"/>
      <c r="F21" s="14" t="str" cm="1">
        <f t="array" aca="1" ref="F21" ca="1">INDIRECT(ADDRESS($A21,5,,,"scalars"))</f>
        <v>IDU</v>
      </c>
      <c r="G21" s="15" t="s">
        <v>116</v>
      </c>
      <c r="H21" s="33" cm="1">
        <f t="array" aca="1" ref="H21" ca="1">INDIRECT(ADDRESS($B21,5,,,"mkt data"))</f>
        <v>39.659999999999997</v>
      </c>
      <c r="I21" s="34" cm="1">
        <f t="array" aca="1" ref="I21" ca="1">INDIRECT(ADDRESS($B21,6,,,"mkt data"))</f>
        <v>39.72</v>
      </c>
      <c r="J21" s="170" cm="1">
        <f t="array" aca="1" ref="J21" ca="1">INDIRECT(ADDRESS($A21,7,,,"SCALARS"))</f>
        <v>0</v>
      </c>
      <c r="K21" s="16">
        <f t="shared" ca="1" si="1"/>
        <v>39.654499999999999</v>
      </c>
      <c r="L21" s="16">
        <f t="shared" ca="1" si="2"/>
        <v>39.725499999999997</v>
      </c>
      <c r="M21" s="78" cm="1">
        <f t="array" aca="1" ref="M21" ca="1">INDIRECT(ADDRESS($A21,6,,,"scalars"))</f>
        <v>2.5504587868090085</v>
      </c>
      <c r="N21" s="17">
        <f t="shared" ca="1" si="3"/>
        <v>101.13716796151782</v>
      </c>
      <c r="O21" s="17">
        <f t="shared" ca="1" si="4"/>
        <v>101.31825053538125</v>
      </c>
      <c r="P21" s="384">
        <f ca="1">N22-O21</f>
        <v>-1.5237505353812537</v>
      </c>
      <c r="Q21" s="386">
        <f ca="1">LN(N22/O21)</f>
        <v>-1.5153486680637407E-2</v>
      </c>
      <c r="R21" s="295">
        <v>2.5000000000000001E-3</v>
      </c>
      <c r="S21" s="262">
        <v>1E-3</v>
      </c>
      <c r="T21" s="400">
        <f ca="1">N21-O22</f>
        <v>-6.1083320384821747</v>
      </c>
      <c r="U21" s="398">
        <f ca="1">LN(N21/O22)</f>
        <v>-5.8642904797575258E-2</v>
      </c>
      <c r="V21" s="295">
        <v>1E-3</v>
      </c>
      <c r="W21" s="60">
        <v>2.0000000000000001E-4</v>
      </c>
      <c r="X21" s="27" cm="1">
        <f t="array" aca="1" ref="X21" ca="1">INDIRECT(ADDRESS($B21,9,,,"mkt data"))</f>
        <v>2850</v>
      </c>
      <c r="Y21" s="48">
        <f t="shared" ca="1" si="5"/>
        <v>113116.5</v>
      </c>
      <c r="Z21" s="27">
        <f t="shared" ca="1" si="6"/>
        <v>1117.446011964679</v>
      </c>
      <c r="AA21" s="369">
        <f ca="1">SUM(Z21:Z22)</f>
        <v>-7.5539880353210265</v>
      </c>
      <c r="AB21" s="199" t="str">
        <f t="shared" si="0"/>
        <v>XLU</v>
      </c>
      <c r="AC21" s="33" cm="1">
        <f t="array" aca="1" ref="AC21" ca="1">INDIRECT(ADDRESS($B21,8,,,"mkt data"))</f>
        <v>39.25</v>
      </c>
      <c r="AD21" s="191">
        <f t="shared" ca="1" si="7"/>
        <v>39.69</v>
      </c>
      <c r="AE21" s="191">
        <f t="shared" ca="1" si="11"/>
        <v>0.43999999999999773</v>
      </c>
      <c r="AF21" s="202">
        <v>0</v>
      </c>
      <c r="AG21" s="191">
        <f t="shared" ca="1" si="12"/>
        <v>0.43999999999999773</v>
      </c>
      <c r="AH21" s="191">
        <f t="shared" ca="1" si="13"/>
        <v>1253.9999999999936</v>
      </c>
      <c r="AI21" s="375">
        <f ca="1">AH21+AH22</f>
        <v>-2121.003374999998</v>
      </c>
      <c r="AJ21" s="418">
        <v>46280</v>
      </c>
      <c r="AK21" s="419">
        <f ca="1">U21+S21</f>
        <v>-5.7642904797575258E-2</v>
      </c>
      <c r="AL21" t="s">
        <v>355</v>
      </c>
    </row>
    <row r="22" spans="1:38" ht="15.75" thickBot="1" x14ac:dyDescent="0.3">
      <c r="A22" s="86">
        <f>MATCH(G22,SCALARS!C:C,0)</f>
        <v>96</v>
      </c>
      <c r="B22" s="87">
        <f>MATCH(G22,'MKT DATA'!B:B,0)</f>
        <v>97</v>
      </c>
      <c r="C22" s="86" t="str" cm="1">
        <f t="array" aca="1" ref="C22" ca="1">INDIRECT(ADDRESS($A22,2,,,"scalars"))</f>
        <v>utilities</v>
      </c>
      <c r="D22" s="144" cm="1">
        <f t="array" aca="1" ref="D22" ca="1">INDIRECT(ADDRESS($A22,8,,,"SCALARS"))</f>
        <v>160700</v>
      </c>
      <c r="E22" s="146"/>
      <c r="F22" s="20" t="str" cm="1">
        <f t="array" aca="1" ref="F22" ca="1">INDIRECT(ADDRESS($A22,5,,,"scalars"))</f>
        <v>IDU</v>
      </c>
      <c r="G22" s="21" t="s">
        <v>114</v>
      </c>
      <c r="H22" s="37" cm="1">
        <f t="array" aca="1" ref="H22" ca="1">INDIRECT(ADDRESS($B22,5,,,"mkt data"))</f>
        <v>99.8</v>
      </c>
      <c r="I22" s="38" cm="1">
        <f t="array" aca="1" ref="I22" ca="1">INDIRECT(ADDRESS($B22,6,,,"mkt data"))</f>
        <v>107.24</v>
      </c>
      <c r="J22" s="171" cm="1">
        <f t="array" aca="1" ref="J22" ca="1">INDIRECT(ADDRESS($A22,7,,,"SCALARS"))</f>
        <v>0</v>
      </c>
      <c r="K22" s="22">
        <f t="shared" ca="1" si="1"/>
        <v>99.794499999999999</v>
      </c>
      <c r="L22" s="22">
        <f t="shared" ca="1" si="2"/>
        <v>107.24549999999999</v>
      </c>
      <c r="M22" s="77" cm="1">
        <f t="array" aca="1" ref="M22" ca="1">INDIRECT(ADDRESS($A22,6,,,"scalars"))</f>
        <v>1</v>
      </c>
      <c r="N22" s="23">
        <f t="shared" ca="1" si="3"/>
        <v>99.794499999999999</v>
      </c>
      <c r="O22" s="23">
        <f t="shared" ca="1" si="4"/>
        <v>107.24549999999999</v>
      </c>
      <c r="P22" s="385"/>
      <c r="Q22" s="387"/>
      <c r="R22" s="296" t="b">
        <f ca="1">IF(Q21&gt;R21,TRUE,FALSE)</f>
        <v>0</v>
      </c>
      <c r="S22" s="263" t="b">
        <f ca="1">AND(IF(U21&gt;-S21,TRUE,FALSE),IF(X21&gt;0,TRUE,FALSE))</f>
        <v>0</v>
      </c>
      <c r="T22" s="401"/>
      <c r="U22" s="399"/>
      <c r="V22" s="296" t="b">
        <f ca="1">IF(U21&gt;V21,TRUE,FALSE)</f>
        <v>0</v>
      </c>
      <c r="W22" s="61" t="b">
        <f ca="1">AND(IF(Q21&gt;-W21,TRUE,FALSE),IF(X21&lt;0,TRUE,FALSE))</f>
        <v>0</v>
      </c>
      <c r="X22" s="29" cm="1">
        <f t="array" aca="1" ref="X22" ca="1">INDIRECT(ADDRESS($B22,9,,,"mkt data"))</f>
        <v>-1125</v>
      </c>
      <c r="Y22" s="50">
        <f t="shared" ca="1" si="5"/>
        <v>-116460</v>
      </c>
      <c r="Z22" s="29">
        <f t="shared" ca="1" si="6"/>
        <v>-1125</v>
      </c>
      <c r="AA22" s="371"/>
      <c r="AB22" s="207" t="str">
        <f t="shared" si="0"/>
        <v>IDU</v>
      </c>
      <c r="AC22" s="37" cm="1">
        <f t="array" aca="1" ref="AC22" ca="1">INDIRECT(ADDRESS($B22,8,,,"mkt data"))</f>
        <v>100.519997</v>
      </c>
      <c r="AD22" s="193">
        <f t="shared" ca="1" si="7"/>
        <v>103.52</v>
      </c>
      <c r="AE22" s="193">
        <f t="shared" ca="1" si="11"/>
        <v>3.0000029999999924</v>
      </c>
      <c r="AF22" s="204">
        <v>0</v>
      </c>
      <c r="AG22" s="193">
        <f t="shared" ca="1" si="12"/>
        <v>3.0000029999999924</v>
      </c>
      <c r="AH22" s="193">
        <f t="shared" ca="1" si="13"/>
        <v>-3375.0033749999916</v>
      </c>
      <c r="AI22" s="377"/>
    </row>
    <row r="23" spans="1:38" ht="9.9499999999999993" customHeight="1" thickBot="1" x14ac:dyDescent="0.3">
      <c r="A23" s="234"/>
      <c r="B23" s="234"/>
      <c r="C23" s="234"/>
      <c r="D23" s="235"/>
      <c r="E23" s="236"/>
      <c r="F23" s="237"/>
      <c r="G23" s="238"/>
      <c r="H23" s="239"/>
      <c r="I23" s="239"/>
      <c r="J23" s="240"/>
      <c r="K23" s="241"/>
      <c r="L23" s="241"/>
      <c r="M23" s="242"/>
      <c r="N23" s="243"/>
      <c r="O23" s="243"/>
      <c r="P23" s="244"/>
      <c r="Q23" s="245"/>
      <c r="R23" s="247"/>
      <c r="S23" s="264"/>
      <c r="T23" s="246"/>
      <c r="U23" s="245"/>
      <c r="V23" s="247"/>
      <c r="W23" s="265"/>
      <c r="X23" s="248"/>
      <c r="Y23" s="249"/>
      <c r="Z23" s="248"/>
      <c r="AA23" s="250"/>
      <c r="AB23" s="251"/>
      <c r="AC23" s="239"/>
      <c r="AD23" s="239"/>
      <c r="AE23" s="239"/>
      <c r="AF23" s="239"/>
      <c r="AG23" s="252"/>
      <c r="AH23" s="252"/>
      <c r="AI23" s="253"/>
    </row>
    <row r="24" spans="1:38" x14ac:dyDescent="0.25">
      <c r="A24" s="97">
        <f>MATCH(G24,SCALARS!C:C,0)</f>
        <v>106</v>
      </c>
      <c r="B24" s="98">
        <f>MATCH(G24,'MKT DATA'!B:B,0)</f>
        <v>102</v>
      </c>
      <c r="C24" s="97" t="str" cm="1">
        <f t="array" aca="1" ref="C24" ca="1">INDIRECT(ADDRESS($A24,2,,,"scalars"))</f>
        <v>biotech</v>
      </c>
      <c r="D24" s="119" cm="1">
        <f t="array" aca="1" ref="D24" ca="1">INDIRECT(ADDRESS($A24,8,,,"SCALARS"))</f>
        <v>8506600</v>
      </c>
      <c r="E24" s="120"/>
      <c r="F24" s="99" t="str" cm="1">
        <f t="array" aca="1" ref="F24" ca="1">INDIRECT(ADDRESS($A24,5,,,"scalars"))</f>
        <v>IBB</v>
      </c>
      <c r="G24" s="113" t="s">
        <v>186</v>
      </c>
      <c r="H24" s="100" cm="1">
        <f t="array" aca="1" ref="H24" ca="1">INDIRECT(ADDRESS($B24,5,,,"mkt data"))</f>
        <v>156.84</v>
      </c>
      <c r="I24" s="101" cm="1">
        <f t="array" aca="1" ref="I24" ca="1">INDIRECT(ADDRESS($B24,6,,,"mkt data"))</f>
        <v>157</v>
      </c>
      <c r="J24" s="175" cm="1">
        <f t="array" aca="1" ref="J24" ca="1">INDIRECT(ADDRESS($A24,7,,,"SCALARS"))</f>
        <v>0.13809399999999999</v>
      </c>
      <c r="K24" s="102">
        <f ca="1">H24+J24-SECTORS!K$1</f>
        <v>156.97259399999999</v>
      </c>
      <c r="L24" s="102">
        <f ca="1">I24+J24+SECTORS!K$1</f>
        <v>157.14359400000001</v>
      </c>
      <c r="M24" s="114" cm="1">
        <f t="array" aca="1" ref="M24" ca="1">INDIRECT(ADDRESS($A24,6,,,"scalars"))</f>
        <v>1.3069823843894885</v>
      </c>
      <c r="N24" s="125">
        <f ca="1">K24*M24</f>
        <v>205.1604151899231</v>
      </c>
      <c r="O24" s="125">
        <f ca="1">M24*L24</f>
        <v>205.38390917765375</v>
      </c>
      <c r="P24" s="390">
        <f ca="1">N25-O24</f>
        <v>4.9273768223462469</v>
      </c>
      <c r="Q24" s="394">
        <f ca="1">LN(N25/O24)</f>
        <v>2.3707791993846098E-2</v>
      </c>
      <c r="R24" s="304"/>
      <c r="S24" s="266"/>
      <c r="T24" s="390">
        <f ca="1">N24-O25</f>
        <v>-7.0418708100769152</v>
      </c>
      <c r="U24" s="394">
        <f ca="1">LN(N24/O25)</f>
        <v>-3.3747812721436697E-2</v>
      </c>
      <c r="V24" s="304"/>
      <c r="W24" s="104"/>
      <c r="X24" s="121" cm="1">
        <f t="array" aca="1" ref="X24" ca="1">INDIRECT(ADDRESS($B24,9,,,"mkt data"))</f>
        <v>0</v>
      </c>
      <c r="Y24" s="122">
        <f ca="1">X24*AVERAGE(H24:I24)</f>
        <v>0</v>
      </c>
      <c r="Z24" s="121">
        <f ca="1">X24/M24</f>
        <v>0</v>
      </c>
      <c r="AA24" s="392">
        <f ca="1">SUM(Z24:Z25)</f>
        <v>0</v>
      </c>
      <c r="AB24" s="212" t="str">
        <f>G24</f>
        <v>XBI</v>
      </c>
      <c r="AC24" s="188" cm="1">
        <f t="array" aca="1" ref="AC24" ca="1">INDIRECT(ADDRESS($B24,8,,,"mkt data"))</f>
        <v>156.61000100000001</v>
      </c>
      <c r="AD24" s="198">
        <f ca="1">AVERAGE(H24,I24)</f>
        <v>156.92000000000002</v>
      </c>
      <c r="AE24" s="198">
        <f ca="1">AD24-AC24</f>
        <v>0.3099990000000048</v>
      </c>
      <c r="AF24" s="203">
        <v>0</v>
      </c>
      <c r="AG24" s="198">
        <f ca="1">AE24+AF24</f>
        <v>0.3099990000000048</v>
      </c>
      <c r="AH24" s="196">
        <f ca="1">AG24*X24</f>
        <v>0</v>
      </c>
      <c r="AI24" s="402">
        <f ca="1">AH24+AH25</f>
        <v>0</v>
      </c>
    </row>
    <row r="25" spans="1:38" ht="15.75" thickBot="1" x14ac:dyDescent="0.3">
      <c r="A25" s="105">
        <f>MATCH(G25,SCALARS!C:C,0)</f>
        <v>107</v>
      </c>
      <c r="B25" s="106">
        <f>MATCH(G25,'MKT DATA'!B:B,0)</f>
        <v>103</v>
      </c>
      <c r="C25" s="105" t="str" cm="1">
        <f t="array" aca="1" ref="C25" ca="1">INDIRECT(ADDRESS($A25,2,,,"scalars"))</f>
        <v>biotech</v>
      </c>
      <c r="D25" s="126" cm="1">
        <f t="array" aca="1" ref="D25" ca="1">INDIRECT(ADDRESS($A25,8,,,"SCALARS"))</f>
        <v>1562600</v>
      </c>
      <c r="E25" s="127"/>
      <c r="F25" s="107" t="str" cm="1">
        <f t="array" aca="1" ref="F25" ca="1">INDIRECT(ADDRESS($A25,5,,,"scalars"))</f>
        <v>IBB</v>
      </c>
      <c r="G25" s="115" t="s">
        <v>187</v>
      </c>
      <c r="H25" s="108" cm="1">
        <f t="array" aca="1" ref="H25" ca="1">INDIRECT(ADDRESS($B25,5,,,"mkt data"))</f>
        <v>210.16</v>
      </c>
      <c r="I25" s="109" cm="1">
        <f t="array" aca="1" ref="I25" ca="1">INDIRECT(ADDRESS($B25,6,,,"mkt data"))</f>
        <v>212.04</v>
      </c>
      <c r="J25" s="176" cm="1">
        <f t="array" aca="1" ref="J25" ca="1">INDIRECT(ADDRESS($A25,7,,,"SCALARS"))</f>
        <v>0.15678600000000001</v>
      </c>
      <c r="K25" s="110">
        <f ca="1">H25+J25-SECTORS!K$1</f>
        <v>210.311286</v>
      </c>
      <c r="L25" s="110">
        <f ca="1">I25+J25+SECTORS!K$1</f>
        <v>212.20228600000002</v>
      </c>
      <c r="M25" s="116" cm="1">
        <f t="array" aca="1" ref="M25" ca="1">INDIRECT(ADDRESS($A25,6,,,"scalars"))</f>
        <v>1</v>
      </c>
      <c r="N25" s="132">
        <f ca="1">K25*M25</f>
        <v>210.311286</v>
      </c>
      <c r="O25" s="132">
        <f ca="1">M25*L25</f>
        <v>212.20228600000002</v>
      </c>
      <c r="P25" s="391"/>
      <c r="Q25" s="395"/>
      <c r="R25" s="305"/>
      <c r="S25" s="267"/>
      <c r="T25" s="391"/>
      <c r="U25" s="395"/>
      <c r="V25" s="305"/>
      <c r="W25" s="112"/>
      <c r="X25" s="128" cm="1">
        <f t="array" aca="1" ref="X25" ca="1">INDIRECT(ADDRESS($B25,9,,,"mkt data"))</f>
        <v>0</v>
      </c>
      <c r="Y25" s="129">
        <f ca="1">X25*AVERAGE(H25:I25)</f>
        <v>0</v>
      </c>
      <c r="Z25" s="128">
        <f ca="1">X25/M25</f>
        <v>0</v>
      </c>
      <c r="AA25" s="393"/>
      <c r="AB25" s="213" t="str">
        <f>G25</f>
        <v>IBB</v>
      </c>
      <c r="AC25" s="188" cm="1">
        <f t="array" aca="1" ref="AC25" ca="1">INDIRECT(ADDRESS($B25,8,,,"mkt data"))</f>
        <v>210.71000699999999</v>
      </c>
      <c r="AD25" s="198">
        <f ca="1">AVERAGE(H25,I25)</f>
        <v>211.1</v>
      </c>
      <c r="AE25" s="198">
        <f ca="1">AD25-AC25</f>
        <v>0.38999300000000403</v>
      </c>
      <c r="AF25" s="203">
        <v>0</v>
      </c>
      <c r="AG25" s="198">
        <f ca="1">AE25+AF25</f>
        <v>0.38999300000000403</v>
      </c>
      <c r="AH25" s="196">
        <f ca="1">AG25*X25</f>
        <v>0</v>
      </c>
      <c r="AI25" s="403"/>
    </row>
    <row r="26" spans="1:38" x14ac:dyDescent="0.25">
      <c r="A26" s="84">
        <f>MATCH(G26,SCALARS!C:C,0)</f>
        <v>102</v>
      </c>
      <c r="B26" s="85">
        <f>MATCH(G26,'MKT DATA'!B:B,0)</f>
        <v>100</v>
      </c>
      <c r="C26" s="84" t="str" cm="1">
        <f t="array" aca="1" ref="C26" ca="1">INDIRECT(ADDRESS($A26,2,,,"scalars"))</f>
        <v>aerospace</v>
      </c>
      <c r="D26" s="143" cm="1">
        <f t="array" aca="1" ref="D26" ca="1">INDIRECT(ADDRESS($A26,8,,,"SCALARS"))</f>
        <v>696500</v>
      </c>
      <c r="E26" s="145"/>
      <c r="F26" s="14" t="str" cm="1">
        <f t="array" aca="1" ref="F26" ca="1">INDIRECT(ADDRESS($A26,5,,,"scalars"))</f>
        <v>XAR</v>
      </c>
      <c r="G26" s="93" t="s">
        <v>189</v>
      </c>
      <c r="H26" s="33" cm="1">
        <f t="array" aca="1" ref="H26" ca="1">INDIRECT(ADDRESS($B26,5,,,"mkt data"))</f>
        <v>208.68</v>
      </c>
      <c r="I26" s="34" cm="1">
        <f t="array" aca="1" ref="I26" ca="1">INDIRECT(ADDRESS($B26,6,,,"mkt data"))</f>
        <v>209.64</v>
      </c>
      <c r="J26" s="170" cm="1">
        <f t="array" aca="1" ref="J26" ca="1">INDIRECT(ADDRESS($A26,7,,,"SCALARS"))</f>
        <v>0.56542500000000007</v>
      </c>
      <c r="K26" s="16">
        <f ca="1">H26+J26-SECTORS!K$1</f>
        <v>209.239925</v>
      </c>
      <c r="L26" s="16">
        <f ca="1">I26+J26+SECTORS!K$1</f>
        <v>210.210925</v>
      </c>
      <c r="M26" s="91" cm="1">
        <f t="array" aca="1" ref="M26" ca="1">INDIRECT(ADDRESS($A26,6,,,"scalars"))</f>
        <v>1.1222172537786732</v>
      </c>
      <c r="N26" s="17">
        <f ca="1">K26*M26</f>
        <v>234.81265401435556</v>
      </c>
      <c r="O26" s="17">
        <f ca="1">M26*L26</f>
        <v>235.90232696777466</v>
      </c>
      <c r="P26" s="384">
        <f ca="1">N27-O26</f>
        <v>-3.604900967774654</v>
      </c>
      <c r="Q26" s="386">
        <f ca="1">LN(N27/O26)</f>
        <v>-1.5399291362052881E-2</v>
      </c>
      <c r="R26" s="295">
        <v>2.5000000000000001E-2</v>
      </c>
      <c r="S26" s="262">
        <v>5.0000000000000001E-3</v>
      </c>
      <c r="T26" s="384">
        <f ca="1">N26-O27</f>
        <v>-10.495771985644467</v>
      </c>
      <c r="U26" s="386">
        <f ca="1">LN(N26/O27)</f>
        <v>-4.3728321212752157E-2</v>
      </c>
      <c r="V26" s="295">
        <v>3.5000000000000003E-2</v>
      </c>
      <c r="W26" s="60">
        <v>1.4999999999999999E-2</v>
      </c>
      <c r="X26" s="27" cm="1">
        <f t="array" aca="1" ref="X26" ca="1">INDIRECT(ADDRESS($B26,9,,,"mkt data"))</f>
        <v>0</v>
      </c>
      <c r="Y26" s="48">
        <f ca="1">X26*AVERAGE(H26:I26)</f>
        <v>0</v>
      </c>
      <c r="Z26" s="27">
        <f ca="1">X26/M26</f>
        <v>0</v>
      </c>
      <c r="AA26" s="369">
        <f ca="1">SUM(Z26:Z27)</f>
        <v>0</v>
      </c>
      <c r="AB26" s="208" t="str">
        <f>G26</f>
        <v>ITA</v>
      </c>
      <c r="AC26" s="33" cm="1">
        <f t="array" aca="1" ref="AC26" ca="1">INDIRECT(ADDRESS($B26,8,,,"mkt data"))</f>
        <v>209.259995</v>
      </c>
      <c r="AD26" s="191">
        <f ca="1">AVERAGE(H26,I26)</f>
        <v>209.16</v>
      </c>
      <c r="AE26" s="191">
        <f ca="1">AD26-AC26</f>
        <v>-9.9995000000006939E-2</v>
      </c>
      <c r="AF26" s="202">
        <v>0</v>
      </c>
      <c r="AG26" s="191">
        <f ca="1">AE26+AF26</f>
        <v>-9.9995000000006939E-2</v>
      </c>
      <c r="AH26" s="191">
        <f ca="1">AG26*X26</f>
        <v>0</v>
      </c>
      <c r="AI26" s="375">
        <f ca="1">AH26+AH27</f>
        <v>0</v>
      </c>
    </row>
    <row r="27" spans="1:38" ht="15.75" thickBot="1" x14ac:dyDescent="0.3">
      <c r="A27" s="86">
        <f>MATCH(G27,SCALARS!C:C,0)</f>
        <v>103</v>
      </c>
      <c r="B27" s="87">
        <f>MATCH(G27,'MKT DATA'!B:B,0)</f>
        <v>101</v>
      </c>
      <c r="C27" s="86" t="str" cm="1">
        <f t="array" aca="1" ref="C27" ca="1">INDIRECT(ADDRESS($A27,2,,,"scalars"))</f>
        <v>aerospace</v>
      </c>
      <c r="D27" s="144" cm="1">
        <f t="array" aca="1" ref="D27" ca="1">INDIRECT(ADDRESS($A27,8,,,"SCALARS"))</f>
        <v>601200</v>
      </c>
      <c r="E27" s="146"/>
      <c r="F27" s="20" t="str" cm="1">
        <f t="array" aca="1" ref="F27" ca="1">INDIRECT(ADDRESS($A27,5,,,"scalars"))</f>
        <v>XAR</v>
      </c>
      <c r="G27" s="94" t="s">
        <v>192</v>
      </c>
      <c r="H27" s="37" cm="1">
        <f t="array" aca="1" ref="H27" ca="1">INDIRECT(ADDRESS($B27,5,,,"mkt data"))</f>
        <v>232</v>
      </c>
      <c r="I27" s="38" cm="1">
        <f t="array" aca="1" ref="I27" ca="1">INDIRECT(ADDRESS($B27,6,,,"mkt data"))</f>
        <v>245</v>
      </c>
      <c r="J27" s="171" cm="1">
        <f t="array" aca="1" ref="J27" ca="1">INDIRECT(ADDRESS($A27,7,,,"SCALARS"))</f>
        <v>0.30292600000000003</v>
      </c>
      <c r="K27" s="22">
        <f ca="1">H27+J27-SECTORS!K$1</f>
        <v>232.297426</v>
      </c>
      <c r="L27" s="22">
        <f ca="1">I27+J27+SECTORS!K$1</f>
        <v>245.30842600000003</v>
      </c>
      <c r="M27" s="92" cm="1">
        <f t="array" aca="1" ref="M27" ca="1">INDIRECT(ADDRESS($A27,6,,,"scalars"))</f>
        <v>1</v>
      </c>
      <c r="N27" s="23">
        <f ca="1">K27*M27</f>
        <v>232.297426</v>
      </c>
      <c r="O27" s="23">
        <f ca="1">M27*L27</f>
        <v>245.30842600000003</v>
      </c>
      <c r="P27" s="385"/>
      <c r="Q27" s="387"/>
      <c r="R27" s="296" t="b">
        <f ca="1">IF(Q26&gt;R26,TRUE,FALSE)</f>
        <v>0</v>
      </c>
      <c r="S27" s="263" t="b">
        <f ca="1">AND(IF(U26&gt;-S26,TRUE,FALSE),IF(X26&gt;0,TRUE,FALSE))</f>
        <v>0</v>
      </c>
      <c r="T27" s="385"/>
      <c r="U27" s="387"/>
      <c r="V27" s="296" t="b">
        <f ca="1">IF(U26&gt;V26,TRUE,FALSE)</f>
        <v>0</v>
      </c>
      <c r="W27" s="61" t="b">
        <f ca="1">AND(IF(Q26&gt;-W26,TRUE,FALSE),IF(X26&lt;0,TRUE,FALSE))</f>
        <v>0</v>
      </c>
      <c r="X27" s="29" cm="1">
        <f t="array" aca="1" ref="X27" ca="1">INDIRECT(ADDRESS($B27,9,,,"mkt data"))</f>
        <v>0</v>
      </c>
      <c r="Y27" s="50">
        <f ca="1">X27*AVERAGE(H27:I27)</f>
        <v>0</v>
      </c>
      <c r="Z27" s="29">
        <f ca="1">X27/M27</f>
        <v>0</v>
      </c>
      <c r="AA27" s="371"/>
      <c r="AB27" s="209" t="str">
        <f>G27</f>
        <v>XAR</v>
      </c>
      <c r="AC27" s="37" cm="1">
        <f t="array" aca="1" ref="AC27" ca="1">INDIRECT(ADDRESS($B27,8,,,"mkt data"))</f>
        <v>234.19000199999999</v>
      </c>
      <c r="AD27" s="193">
        <f ca="1">AVERAGE(H27,I27)</f>
        <v>238.5</v>
      </c>
      <c r="AE27" s="193">
        <f ca="1">AD27-AC27</f>
        <v>4.3099980000000073</v>
      </c>
      <c r="AF27" s="204">
        <v>0</v>
      </c>
      <c r="AG27" s="193">
        <f ca="1">AE27+AF27</f>
        <v>4.3099980000000073</v>
      </c>
      <c r="AH27" s="193">
        <f ca="1">AG27*X27</f>
        <v>0</v>
      </c>
      <c r="AI27" s="377"/>
    </row>
    <row r="28" spans="1:38" ht="9.9499999999999993" customHeight="1" thickBot="1" x14ac:dyDescent="0.3">
      <c r="A28" s="234"/>
      <c r="B28" s="234"/>
      <c r="C28" s="234"/>
      <c r="D28" s="235"/>
      <c r="E28" s="236"/>
      <c r="F28" s="237"/>
      <c r="G28" s="238"/>
      <c r="H28" s="239"/>
      <c r="I28" s="239"/>
      <c r="J28" s="240"/>
      <c r="K28" s="241"/>
      <c r="L28" s="241"/>
      <c r="M28" s="242"/>
      <c r="N28" s="243"/>
      <c r="O28" s="243"/>
      <c r="P28" s="244"/>
      <c r="Q28" s="245"/>
      <c r="R28" s="247"/>
      <c r="S28" s="264"/>
      <c r="T28" s="246"/>
      <c r="U28" s="245"/>
      <c r="V28" s="247"/>
      <c r="W28" s="265"/>
      <c r="X28" s="248"/>
      <c r="Y28" s="249"/>
      <c r="Z28" s="248"/>
      <c r="AA28" s="250"/>
      <c r="AB28" s="251"/>
      <c r="AC28" s="239"/>
      <c r="AD28" s="239"/>
      <c r="AE28" s="239"/>
      <c r="AF28" s="239"/>
      <c r="AG28" s="239"/>
      <c r="AH28" s="239"/>
      <c r="AI28" s="284"/>
    </row>
    <row r="29" spans="1:38" x14ac:dyDescent="0.25">
      <c r="A29" s="84">
        <f>MATCH(G29,SCALARS!C:C,0)</f>
        <v>101</v>
      </c>
      <c r="B29" s="85">
        <f>MATCH(G29,'MKT DATA'!B:B,0)</f>
        <v>109</v>
      </c>
      <c r="C29" s="84" t="str" cm="1">
        <f t="array" aca="1" ref="C29" ca="1">INDIRECT(ADDRESS($A29,2,,,"scalars"))</f>
        <v>semis</v>
      </c>
      <c r="D29" s="143" cm="1">
        <f t="array" aca="1" ref="D29" ca="1">INDIRECT(ADDRESS($A29,8,,,"SCALARS"))</f>
        <v>21529200</v>
      </c>
      <c r="E29" s="145"/>
      <c r="F29" s="14" t="str" cm="1">
        <f t="array" aca="1" ref="F29" ca="1">INDIRECT(ADDRESS($A29,5,,,"scalars"))</f>
        <v>SMH</v>
      </c>
      <c r="G29" s="220" t="s">
        <v>185</v>
      </c>
      <c r="H29" s="33" cm="1">
        <f t="array" aca="1" ref="H29" ca="1">INDIRECT(ADDRESS($B29,5,,,"mkt data"))</f>
        <v>566.94000000000005</v>
      </c>
      <c r="I29" s="34" cm="1">
        <f t="array" aca="1" ref="I29" ca="1">INDIRECT(ADDRESS($B29,6,,,"mkt data"))</f>
        <v>567.01</v>
      </c>
      <c r="J29" s="170" cm="1">
        <f t="array" aca="1" ref="J29" ca="1">INDIRECT(ADDRESS($A29,7,,,"SCALARS"))</f>
        <v>0</v>
      </c>
      <c r="K29" s="16">
        <f ca="1">H29+J29-CORPS!K$1</f>
        <v>566.93450000000007</v>
      </c>
      <c r="L29" s="16">
        <f ca="1">I29+J29+CORPS!K$1</f>
        <v>567.01549999999997</v>
      </c>
      <c r="M29" s="44" cm="1">
        <f t="array" aca="1" ref="M29" ca="1">INDIRECT(ADDRESS($A29,6,,,"scalars"))</f>
        <v>1.0795331505050998</v>
      </c>
      <c r="N29" s="17">
        <f ca="1">K29*M29</f>
        <v>612.02458691503352</v>
      </c>
      <c r="O29" s="17">
        <f ca="1">M29*L29</f>
        <v>612.11202910022439</v>
      </c>
      <c r="P29" s="384">
        <f ca="1">N30-O29</f>
        <v>-5.1175291002243739</v>
      </c>
      <c r="Q29" s="386">
        <f ca="1">LN(N30/O29)</f>
        <v>-8.3955897823767417E-3</v>
      </c>
      <c r="R29" s="295">
        <v>3.5000000000000003E-2</v>
      </c>
      <c r="S29" s="262">
        <v>1.4999999999999999E-2</v>
      </c>
      <c r="T29" s="384">
        <f ca="1">N29-O30</f>
        <v>4.7590869150335493</v>
      </c>
      <c r="U29" s="386">
        <f ca="1">LN(N29/O30)</f>
        <v>7.806363939215525E-3</v>
      </c>
      <c r="V29" s="295">
        <v>2.5000000000000001E-2</v>
      </c>
      <c r="W29" s="60">
        <v>5.0000000000000001E-3</v>
      </c>
      <c r="X29" s="27" cm="1">
        <f t="array" aca="1" ref="X29" ca="1">INDIRECT(ADDRESS($B29,9,,,"mkt data"))</f>
        <v>0</v>
      </c>
      <c r="Y29" s="48">
        <f ca="1">X29*AVERAGE(H29:I29)</f>
        <v>0</v>
      </c>
      <c r="Z29" s="27">
        <f ca="1">X29/M29</f>
        <v>0</v>
      </c>
      <c r="AA29" s="369">
        <f ca="1">SUM(Z29:Z30)</f>
        <v>0</v>
      </c>
      <c r="AB29" s="199" t="str">
        <f>G29</f>
        <v>SOXX</v>
      </c>
      <c r="AC29" s="33" cm="1">
        <f t="array" aca="1" ref="AC29" ca="1">INDIRECT(ADDRESS($B29,8,,,"mkt data"))</f>
        <v>560.78997800000002</v>
      </c>
      <c r="AD29" s="191">
        <f ca="1">AVERAGE(H29,I29)</f>
        <v>566.97500000000002</v>
      </c>
      <c r="AE29" s="191">
        <f ca="1">AD29-AC29</f>
        <v>6.1850220000000036</v>
      </c>
      <c r="AF29" s="202">
        <v>0</v>
      </c>
      <c r="AG29" s="191">
        <f ca="1">AE29+AF29</f>
        <v>6.1850220000000036</v>
      </c>
      <c r="AH29" s="191">
        <f ca="1">AG29*X29</f>
        <v>0</v>
      </c>
      <c r="AI29" s="375">
        <f ca="1">AH29+AH30</f>
        <v>0</v>
      </c>
    </row>
    <row r="30" spans="1:38" ht="15.75" thickBot="1" x14ac:dyDescent="0.3">
      <c r="A30" s="86">
        <f>MATCH(G30,SCALARS!C:C,0)</f>
        <v>100</v>
      </c>
      <c r="B30" s="87">
        <f>MATCH(G30,'MKT DATA'!B:B,0)</f>
        <v>108</v>
      </c>
      <c r="C30" s="86" t="str" cm="1">
        <f t="array" aca="1" ref="C30" ca="1">INDIRECT(ADDRESS($A30,2,,,"scalars"))</f>
        <v>semis</v>
      </c>
      <c r="D30" s="144" cm="1">
        <f t="array" aca="1" ref="D30" ca="1">INDIRECT(ADDRESS($A30,8,,,"SCALARS"))</f>
        <v>22890000</v>
      </c>
      <c r="E30" s="146"/>
      <c r="F30" s="20" t="str" cm="1">
        <f t="array" aca="1" ref="F30" ca="1">INDIRECT(ADDRESS($A30,5,,,"scalars"))</f>
        <v>SMH</v>
      </c>
      <c r="G30" s="221" t="s">
        <v>184</v>
      </c>
      <c r="H30" s="37" cm="1">
        <f t="array" aca="1" ref="H30" ca="1">INDIRECT(ADDRESS($B30,5,,,"mkt data"))</f>
        <v>607</v>
      </c>
      <c r="I30" s="38" cm="1">
        <f t="array" aca="1" ref="I30" ca="1">INDIRECT(ADDRESS($B30,6,,,"mkt data"))</f>
        <v>607.26</v>
      </c>
      <c r="J30" s="171" cm="1">
        <f t="array" aca="1" ref="J30" ca="1">INDIRECT(ADDRESS($A30,7,,,"SCALARS"))</f>
        <v>0</v>
      </c>
      <c r="K30" s="22">
        <f ca="1">H30+J30-CORPS!K$1</f>
        <v>606.99450000000002</v>
      </c>
      <c r="L30" s="22">
        <f ca="1">I30+J30+CORPS!K$1</f>
        <v>607.26549999999997</v>
      </c>
      <c r="M30" s="45" cm="1">
        <f t="array" aca="1" ref="M30" ca="1">INDIRECT(ADDRESS($A30,6,,,"scalars"))</f>
        <v>1</v>
      </c>
      <c r="N30" s="23">
        <f ca="1">K30*M30</f>
        <v>606.99450000000002</v>
      </c>
      <c r="O30" s="23">
        <f ca="1">M30*L30</f>
        <v>607.26549999999997</v>
      </c>
      <c r="P30" s="385"/>
      <c r="Q30" s="387"/>
      <c r="R30" s="296" t="b">
        <f ca="1">IF(Q29&gt;R29,TRUE,FALSE)</f>
        <v>0</v>
      </c>
      <c r="S30" s="263" t="b">
        <f ca="1">AND(IF(U29&gt;-S29,TRUE,FALSE),IF(X29&gt;0,TRUE,FALSE))</f>
        <v>0</v>
      </c>
      <c r="T30" s="385"/>
      <c r="U30" s="387"/>
      <c r="V30" s="296" t="b">
        <f ca="1">IF(U29&gt;V29,TRUE,FALSE)</f>
        <v>0</v>
      </c>
      <c r="W30" s="61" t="b">
        <f ca="1">AND(IF(Q29&gt;-W29,TRUE,FALSE),IF(X29&lt;0,TRUE,FALSE))</f>
        <v>0</v>
      </c>
      <c r="X30" s="29" cm="1">
        <f t="array" aca="1" ref="X30" ca="1">INDIRECT(ADDRESS($B30,9,,,"mkt data"))</f>
        <v>0</v>
      </c>
      <c r="Y30" s="50">
        <f ca="1">X30*AVERAGE(H30:I30)</f>
        <v>0</v>
      </c>
      <c r="Z30" s="29">
        <f ca="1">X30/M30</f>
        <v>0</v>
      </c>
      <c r="AA30" s="371"/>
      <c r="AB30" s="207" t="str">
        <f>G30</f>
        <v>SMH</v>
      </c>
      <c r="AC30" s="37" cm="1">
        <f t="array" aca="1" ref="AC30" ca="1">INDIRECT(ADDRESS($B30,8,,,"mkt data"))</f>
        <v>600.01000999999997</v>
      </c>
      <c r="AD30" s="193">
        <f ca="1">AVERAGE(H30,I30)</f>
        <v>607.13</v>
      </c>
      <c r="AE30" s="193">
        <f ca="1">AD30-AC30</f>
        <v>7.1199900000000298</v>
      </c>
      <c r="AF30" s="204">
        <v>0</v>
      </c>
      <c r="AG30" s="193">
        <f ca="1">AE30+AF30</f>
        <v>7.1199900000000298</v>
      </c>
      <c r="AH30" s="193">
        <f ca="1">AG30*X30</f>
        <v>0</v>
      </c>
      <c r="AI30" s="377"/>
    </row>
    <row r="31" spans="1:38" x14ac:dyDescent="0.25">
      <c r="A31" s="84">
        <f>MATCH(G31,SCALARS!C:C,0)</f>
        <v>104</v>
      </c>
      <c r="B31" s="85">
        <f>MATCH(G31,'MKT DATA'!B:B,0)</f>
        <v>106</v>
      </c>
      <c r="C31" s="84" t="str" cm="1">
        <f t="array" aca="1" ref="C31" ca="1">INDIRECT(ADDRESS($A31,2,,,"scalars"))</f>
        <v>banks</v>
      </c>
      <c r="D31" s="143" cm="1">
        <f t="array" aca="1" ref="D31" ca="1">INDIRECT(ADDRESS($A31,8,,,"SCALARS"))</f>
        <v>1481500</v>
      </c>
      <c r="E31" s="145"/>
      <c r="F31" s="14" t="str" cm="1">
        <f t="array" aca="1" ref="F31" ca="1">INDIRECT(ADDRESS($A31,5,,,"scalars"))</f>
        <v>KBWB</v>
      </c>
      <c r="G31" s="220" t="s">
        <v>194</v>
      </c>
      <c r="H31" s="33" cm="1">
        <f t="array" aca="1" ref="H31" ca="1">INDIRECT(ADDRESS($B31,5,,,"mkt data"))</f>
        <v>62.48</v>
      </c>
      <c r="I31" s="34" cm="1">
        <f t="array" aca="1" ref="I31" ca="1">INDIRECT(ADDRESS($B31,6,,,"mkt data"))</f>
        <v>64.53</v>
      </c>
      <c r="J31" s="170" cm="1">
        <f t="array" aca="1" ref="J31" ca="1">INDIRECT(ADDRESS($A31,7,,,"SCALARS"))</f>
        <v>0</v>
      </c>
      <c r="K31" s="16">
        <f ca="1">H31+J31-CORPS!K$1</f>
        <v>62.474499999999999</v>
      </c>
      <c r="L31" s="16">
        <f ca="1">I31+J31+CORPS!K$1</f>
        <v>64.535499999999999</v>
      </c>
      <c r="M31" s="44" cm="1">
        <f t="array" aca="1" ref="M31" ca="1">INDIRECT(ADDRESS($A31,6,,,"scalars"))</f>
        <v>1.3972495770763729</v>
      </c>
      <c r="N31" s="17">
        <f ca="1">K31*M31</f>
        <v>87.29246870305785</v>
      </c>
      <c r="O31" s="17">
        <f ca="1">M31*L31</f>
        <v>90.172200081412257</v>
      </c>
      <c r="P31" s="384">
        <f ca="1">N32-O31</f>
        <v>-3.1777000814122545</v>
      </c>
      <c r="Q31" s="398">
        <f ca="1">LN(N32/O31)</f>
        <v>-3.5876278210276842E-2</v>
      </c>
      <c r="R31" s="295">
        <v>0.02</v>
      </c>
      <c r="S31" s="262">
        <v>5.0000000000000001E-3</v>
      </c>
      <c r="T31" s="384">
        <f ca="1">N31-O32</f>
        <v>-2.6030312969421487</v>
      </c>
      <c r="U31" s="386">
        <f ca="1">LN(N31/O32)</f>
        <v>-2.9383694634924084E-2</v>
      </c>
      <c r="V31" s="295">
        <v>0.02</v>
      </c>
      <c r="W31" s="60">
        <v>5.0000000000000001E-3</v>
      </c>
      <c r="X31" s="27" cm="1">
        <f t="array" aca="1" ref="X31" ca="1">INDIRECT(ADDRESS($B31,9,,,"mkt data"))</f>
        <v>-5000</v>
      </c>
      <c r="Y31" s="48">
        <f ca="1">X31*AVERAGE(H31:I31)</f>
        <v>-317525</v>
      </c>
      <c r="Z31" s="27">
        <f ca="1">X31/M31</f>
        <v>-3578.4587678760149</v>
      </c>
      <c r="AA31" s="369">
        <f ca="1">SUM(Z31:Z32)</f>
        <v>-13.458767876014917</v>
      </c>
      <c r="AB31" s="199" t="str">
        <f>G31</f>
        <v>KBE</v>
      </c>
      <c r="AC31" s="33" cm="1">
        <f t="array" aca="1" ref="AC31" ca="1">INDIRECT(ADDRESS($B31,8,,,"mkt data"))</f>
        <v>64.5</v>
      </c>
      <c r="AD31" s="191">
        <f ca="1">AVERAGE(H31,I31)</f>
        <v>63.504999999999995</v>
      </c>
      <c r="AE31" s="191">
        <f ca="1">AD31-AC31</f>
        <v>-0.99500000000000455</v>
      </c>
      <c r="AF31" s="202">
        <v>0</v>
      </c>
      <c r="AG31" s="191">
        <f ca="1">AE31+AF31</f>
        <v>-0.99500000000000455</v>
      </c>
      <c r="AH31" s="191">
        <f ca="1">AG31*X31</f>
        <v>4975.0000000000227</v>
      </c>
      <c r="AI31" s="375">
        <f ca="1">AH31+AH32</f>
        <v>4208.5107399999961</v>
      </c>
      <c r="AJ31" s="417">
        <v>46289</v>
      </c>
      <c r="AK31" s="419">
        <f ca="1">Q31+W31</f>
        <v>-3.0876278210276841E-2</v>
      </c>
    </row>
    <row r="32" spans="1:38" ht="15.75" thickBot="1" x14ac:dyDescent="0.3">
      <c r="A32" s="86">
        <f>MATCH(G32,SCALARS!C:C,0)</f>
        <v>105</v>
      </c>
      <c r="B32" s="87">
        <f>MATCH(G32,'MKT DATA'!B:B,0)</f>
        <v>107</v>
      </c>
      <c r="C32" s="86" t="str" cm="1">
        <f t="array" aca="1" ref="C32" ca="1">INDIRECT(ADDRESS($A32,2,,,"scalars"))</f>
        <v>banks</v>
      </c>
      <c r="D32" s="144" cm="1">
        <f t="array" aca="1" ref="D32" ca="1">INDIRECT(ADDRESS($A32,8,,,"SCALARS"))</f>
        <v>1722700</v>
      </c>
      <c r="E32" s="146"/>
      <c r="F32" s="20" t="str" cm="1">
        <f t="array" aca="1" ref="F32" ca="1">INDIRECT(ADDRESS($A32,5,,,"scalars"))</f>
        <v>KBWB</v>
      </c>
      <c r="G32" s="221" t="s">
        <v>195</v>
      </c>
      <c r="H32" s="37" cm="1">
        <f t="array" aca="1" ref="H32" ca="1">INDIRECT(ADDRESS($B32,5,,,"mkt data"))</f>
        <v>87</v>
      </c>
      <c r="I32" s="38" cm="1">
        <f t="array" aca="1" ref="I32" ca="1">INDIRECT(ADDRESS($B32,6,,,"mkt data"))</f>
        <v>89.89</v>
      </c>
      <c r="J32" s="171" cm="1">
        <f t="array" aca="1" ref="J32" ca="1">INDIRECT(ADDRESS($A32,7,,,"SCALARS"))</f>
        <v>0</v>
      </c>
      <c r="K32" s="22">
        <f ca="1">H32+J32-CORPS!K$1</f>
        <v>86.994500000000002</v>
      </c>
      <c r="L32" s="22">
        <f ca="1">I32+J32+CORPS!K$1</f>
        <v>89.895499999999998</v>
      </c>
      <c r="M32" s="45" cm="1">
        <f t="array" aca="1" ref="M32" ca="1">INDIRECT(ADDRESS($A32,6,,,"scalars"))</f>
        <v>1</v>
      </c>
      <c r="N32" s="23">
        <f ca="1">K32*M32</f>
        <v>86.994500000000002</v>
      </c>
      <c r="O32" s="23">
        <f ca="1">M32*L32</f>
        <v>89.895499999999998</v>
      </c>
      <c r="P32" s="385"/>
      <c r="Q32" s="399"/>
      <c r="R32" s="296" t="b">
        <f ca="1">IF(Q31&gt;R31,TRUE,FALSE)</f>
        <v>0</v>
      </c>
      <c r="S32" s="263" t="b">
        <f ca="1">AND(IF(U31&gt;-S31,TRUE,FALSE),IF(X31&gt;0,TRUE,FALSE))</f>
        <v>0</v>
      </c>
      <c r="T32" s="385"/>
      <c r="U32" s="387"/>
      <c r="V32" s="296" t="b">
        <f ca="1">IF(U31&gt;V31,TRUE,FALSE)</f>
        <v>0</v>
      </c>
      <c r="W32" s="61" t="b">
        <f ca="1">AND(IF(Q31&gt;-W31,TRUE,FALSE),IF(X31&lt;0,TRUE,FALSE))</f>
        <v>0</v>
      </c>
      <c r="X32" s="29" cm="1">
        <f t="array" aca="1" ref="X32" ca="1">INDIRECT(ADDRESS($B32,9,,,"mkt data"))</f>
        <v>3565</v>
      </c>
      <c r="Y32" s="50">
        <f ca="1">X32*AVERAGE(H32:I32)</f>
        <v>315306.42499999999</v>
      </c>
      <c r="Z32" s="29">
        <f ca="1">X32/M32</f>
        <v>3565</v>
      </c>
      <c r="AA32" s="371"/>
      <c r="AB32" s="207" t="str">
        <f>G32</f>
        <v>KBWB</v>
      </c>
      <c r="AC32" s="37" cm="1">
        <f t="array" aca="1" ref="AC32" ca="1">INDIRECT(ADDRESS($B32,8,,,"mkt data"))</f>
        <v>88.660004000000001</v>
      </c>
      <c r="AD32" s="193">
        <f ca="1">AVERAGE(H32,I32)</f>
        <v>88.444999999999993</v>
      </c>
      <c r="AE32" s="193">
        <f ca="1">AD32-AC32</f>
        <v>-0.21500400000000752</v>
      </c>
      <c r="AF32" s="204">
        <v>0</v>
      </c>
      <c r="AG32" s="193">
        <f ca="1">AE32+AF32</f>
        <v>-0.21500400000000752</v>
      </c>
      <c r="AH32" s="193">
        <f ca="1">AG32*X32</f>
        <v>-766.48926000002677</v>
      </c>
      <c r="AI32" s="377"/>
    </row>
    <row r="33" spans="1:35" ht="9.9499999999999993" customHeight="1" thickBot="1" x14ac:dyDescent="0.3">
      <c r="A33" s="234"/>
      <c r="B33" s="234"/>
      <c r="C33" s="234"/>
      <c r="D33" s="235"/>
      <c r="E33" s="236"/>
      <c r="F33" s="237"/>
      <c r="G33" s="238"/>
      <c r="H33" s="239"/>
      <c r="I33" s="239"/>
      <c r="J33" s="240"/>
      <c r="K33" s="241"/>
      <c r="L33" s="241"/>
      <c r="M33" s="242"/>
      <c r="N33" s="243"/>
      <c r="O33" s="243"/>
      <c r="P33" s="244"/>
      <c r="Q33" s="259"/>
      <c r="R33" s="247"/>
      <c r="S33" s="264"/>
      <c r="T33" s="260"/>
      <c r="U33" s="245"/>
      <c r="V33" s="247"/>
      <c r="W33" s="265"/>
      <c r="X33" s="248"/>
      <c r="Y33" s="249"/>
      <c r="Z33" s="248"/>
      <c r="AA33" s="250"/>
      <c r="AB33" s="251"/>
      <c r="AC33" s="239"/>
      <c r="AD33" s="239"/>
      <c r="AE33" s="239"/>
      <c r="AF33" s="239"/>
      <c r="AG33" s="252"/>
      <c r="AH33" s="252"/>
      <c r="AI33" s="253"/>
    </row>
    <row r="34" spans="1:35" x14ac:dyDescent="0.25">
      <c r="A34" s="97">
        <f>MATCH(G34,SCALARS!C:C,0)</f>
        <v>64</v>
      </c>
      <c r="B34" s="98">
        <f>MATCH(G34,'MKT DATA'!B:B,0)</f>
        <v>64</v>
      </c>
      <c r="C34" s="97" t="str" cm="1">
        <f t="array" aca="1" ref="C34" ca="1">INDIRECT(ADDRESS($A34,2,,,"scalars"))</f>
        <v>discretionary</v>
      </c>
      <c r="D34" s="119" cm="1">
        <f t="array" aca="1" ref="D34" ca="1">INDIRECT(ADDRESS($A34,8,,,"SCALARS"))</f>
        <v>83100</v>
      </c>
      <c r="E34" s="120"/>
      <c r="F34" s="99" t="str" cm="1">
        <f t="array" aca="1" ref="F34" ca="1">INDIRECT(ADDRESS($A34,5,,,"scalars"))</f>
        <v>VCR</v>
      </c>
      <c r="G34" s="133" t="s">
        <v>172</v>
      </c>
      <c r="H34" s="123" cm="1">
        <f t="array" aca="1" ref="H34" ca="1">INDIRECT(ADDRESS($B34,5,,,"mkt data"))</f>
        <v>94.02</v>
      </c>
      <c r="I34" s="124" cm="1">
        <f t="array" aca="1" ref="I34" ca="1">INDIRECT(ADDRESS($B34,6,,,"mkt data"))</f>
        <v>96.65</v>
      </c>
      <c r="J34" s="173" cm="1">
        <f t="array" aca="1" ref="J34" ca="1">INDIRECT(ADDRESS($A34,7,,,"SCALARS"))</f>
        <v>0</v>
      </c>
      <c r="K34" s="102">
        <f t="shared" ref="K34:K51" ca="1" si="14">H34+J34-K$1</f>
        <v>94.014499999999998</v>
      </c>
      <c r="L34" s="102">
        <f t="shared" ref="L34:L51" ca="1" si="15">I34+J34+K$1</f>
        <v>96.655500000000004</v>
      </c>
      <c r="M34" s="134" cm="1">
        <f t="array" aca="1" ref="M34" ca="1">INDIRECT(ADDRESS($A34,6,,,"scalars"))</f>
        <v>3.8504793278650524</v>
      </c>
      <c r="N34" s="125">
        <f t="shared" ref="N34:N51" ca="1" si="16">K34*M34</f>
        <v>362.00088876956897</v>
      </c>
      <c r="O34" s="125">
        <f t="shared" ref="O34:O51" ca="1" si="17">M34*L34</f>
        <v>372.17000467446059</v>
      </c>
      <c r="P34" s="390">
        <f ca="1">N35-O34</f>
        <v>-10.155504674460587</v>
      </c>
      <c r="Q34" s="394">
        <f ca="1">LN(N35/O34)</f>
        <v>-2.7666485420488406E-2</v>
      </c>
      <c r="R34" s="304"/>
      <c r="S34" s="266"/>
      <c r="T34" s="390">
        <f ca="1">N34-O35</f>
        <v>-9.9346112304310168</v>
      </c>
      <c r="U34" s="394">
        <f ca="1">LN(N34/O35)</f>
        <v>-2.7073785155779656E-2</v>
      </c>
      <c r="V34" s="304"/>
      <c r="W34" s="104"/>
      <c r="X34" s="121" cm="1">
        <f t="array" aca="1" ref="X34" ca="1">INDIRECT(ADDRESS($B34,9,,,"mkt data"))</f>
        <v>0</v>
      </c>
      <c r="Y34" s="122">
        <f t="shared" ref="Y34:Y51" ca="1" si="18">X34*AVERAGE(H34:I34)</f>
        <v>0</v>
      </c>
      <c r="Z34" s="121">
        <f t="shared" ref="Z34:Z51" ca="1" si="19">X34/M34</f>
        <v>0</v>
      </c>
      <c r="AA34" s="392">
        <f ca="1">SUM(Z34:Z35)</f>
        <v>0</v>
      </c>
      <c r="AB34" s="205" t="str">
        <f t="shared" ref="AB34:AB51" si="20">G34</f>
        <v>FDIS</v>
      </c>
      <c r="AC34" s="100" cm="1">
        <f t="array" aca="1" ref="AC34" ca="1">INDIRECT(ADDRESS($B34,8,,,"mkt data"))</f>
        <v>94.900002000000001</v>
      </c>
      <c r="AD34" s="197">
        <f t="shared" ref="AD34:AD51" ca="1" si="21">AVERAGE(H34,I34)</f>
        <v>95.335000000000008</v>
      </c>
      <c r="AE34" s="197">
        <f ca="1">AD34-AC34</f>
        <v>0.43499800000000732</v>
      </c>
      <c r="AF34" s="202">
        <v>0</v>
      </c>
      <c r="AG34" s="197">
        <f ca="1">AE34+AF34</f>
        <v>0.43499800000000732</v>
      </c>
      <c r="AH34" s="195">
        <f t="shared" ref="AH34:AH51" ca="1" si="22">AG34*X34</f>
        <v>0</v>
      </c>
      <c r="AI34" s="402">
        <f ca="1">AH34+AH35</f>
        <v>0</v>
      </c>
    </row>
    <row r="35" spans="1:35" ht="15.75" thickBot="1" x14ac:dyDescent="0.3">
      <c r="A35" s="105">
        <f>MATCH(G35,SCALARS!C:C,0)</f>
        <v>65</v>
      </c>
      <c r="B35" s="106">
        <f>MATCH(G35,'MKT DATA'!B:B,0)</f>
        <v>67</v>
      </c>
      <c r="C35" s="105" t="str" cm="1">
        <f t="array" aca="1" ref="C35" ca="1">INDIRECT(ADDRESS($A35,2,,,"scalars"))</f>
        <v>discretionary</v>
      </c>
      <c r="D35" s="126" cm="1">
        <f t="array" aca="1" ref="D35" ca="1">INDIRECT(ADDRESS($A35,8,,,"SCALARS"))</f>
        <v>133900</v>
      </c>
      <c r="E35" s="127"/>
      <c r="F35" s="107" t="str" cm="1">
        <f t="array" aca="1" ref="F35" ca="1">INDIRECT(ADDRESS($A35,5,,,"scalars"))</f>
        <v>VCR</v>
      </c>
      <c r="G35" s="135" t="s">
        <v>175</v>
      </c>
      <c r="H35" s="130" cm="1">
        <f t="array" aca="1" ref="H35" ca="1">INDIRECT(ADDRESS($B35,5,,,"mkt data"))</f>
        <v>362.02</v>
      </c>
      <c r="I35" s="131" cm="1">
        <f t="array" aca="1" ref="I35" ca="1">INDIRECT(ADDRESS($B35,6,,,"mkt data"))</f>
        <v>371.93</v>
      </c>
      <c r="J35" s="174" cm="1">
        <f t="array" aca="1" ref="J35" ca="1">INDIRECT(ADDRESS($A35,7,,,"SCALARS"))</f>
        <v>0</v>
      </c>
      <c r="K35" s="110">
        <f t="shared" ca="1" si="14"/>
        <v>362.0145</v>
      </c>
      <c r="L35" s="110">
        <f t="shared" ca="1" si="15"/>
        <v>371.93549999999999</v>
      </c>
      <c r="M35" s="136" cm="1">
        <f t="array" aca="1" ref="M35" ca="1">INDIRECT(ADDRESS($A35,6,,,"scalars"))</f>
        <v>1</v>
      </c>
      <c r="N35" s="132">
        <f t="shared" ca="1" si="16"/>
        <v>362.0145</v>
      </c>
      <c r="O35" s="132">
        <f t="shared" ca="1" si="17"/>
        <v>371.93549999999999</v>
      </c>
      <c r="P35" s="391"/>
      <c r="Q35" s="395"/>
      <c r="R35" s="305"/>
      <c r="S35" s="267"/>
      <c r="T35" s="391"/>
      <c r="U35" s="395"/>
      <c r="V35" s="305"/>
      <c r="W35" s="112"/>
      <c r="X35" s="128" cm="1">
        <f t="array" aca="1" ref="X35" ca="1">INDIRECT(ADDRESS($B35,9,,,"mkt data"))</f>
        <v>0</v>
      </c>
      <c r="Y35" s="129">
        <f t="shared" ca="1" si="18"/>
        <v>0</v>
      </c>
      <c r="Z35" s="128">
        <f t="shared" ca="1" si="19"/>
        <v>0</v>
      </c>
      <c r="AA35" s="393"/>
      <c r="AB35" s="206" t="str">
        <f t="shared" si="20"/>
        <v>VCR</v>
      </c>
      <c r="AC35" s="188" cm="1">
        <f t="array" aca="1" ref="AC35" ca="1">INDIRECT(ADDRESS($B35,8,,,"mkt data"))</f>
        <v>365.45001200000002</v>
      </c>
      <c r="AD35" s="198">
        <f t="shared" ca="1" si="21"/>
        <v>366.97500000000002</v>
      </c>
      <c r="AE35" s="198">
        <f t="shared" ref="AE35:AE47" ca="1" si="23">AD35-AC35</f>
        <v>1.5249880000000076</v>
      </c>
      <c r="AF35" s="203">
        <v>0</v>
      </c>
      <c r="AG35" s="198">
        <f t="shared" ref="AG35:AG47" ca="1" si="24">AE35+AF35</f>
        <v>1.5249880000000076</v>
      </c>
      <c r="AH35" s="196">
        <f t="shared" ca="1" si="22"/>
        <v>0</v>
      </c>
      <c r="AI35" s="403"/>
    </row>
    <row r="36" spans="1:35" x14ac:dyDescent="0.25">
      <c r="A36" s="84">
        <f>MATCH(G36,SCALARS!C:C,0)</f>
        <v>70</v>
      </c>
      <c r="B36" s="85">
        <f>MATCH(G36,'MKT DATA'!B:B,0)</f>
        <v>68</v>
      </c>
      <c r="C36" s="84" t="str" cm="1">
        <f t="array" aca="1" ref="C36" ca="1">INDIRECT(ADDRESS($A36,2,,,"scalars"))</f>
        <v>energy</v>
      </c>
      <c r="D36" s="143" cm="1">
        <f t="array" aca="1" ref="D36" ca="1">INDIRECT(ADDRESS($A36,8,,,"SCALARS"))</f>
        <v>1205900</v>
      </c>
      <c r="E36" s="145"/>
      <c r="F36" s="14" t="str" cm="1">
        <f t="array" aca="1" ref="F36" ca="1">INDIRECT(ADDRESS($A36,5,,,"scalars"))</f>
        <v>VDE</v>
      </c>
      <c r="G36" s="15" t="s">
        <v>92</v>
      </c>
      <c r="H36" s="33" cm="1">
        <f t="array" aca="1" ref="H36" ca="1">INDIRECT(ADDRESS($B36,5,,,"mkt data"))</f>
        <v>33.33</v>
      </c>
      <c r="I36" s="34" cm="1">
        <f t="array" aca="1" ref="I36" ca="1">INDIRECT(ADDRESS($B36,6,,,"mkt data"))</f>
        <v>34.49</v>
      </c>
      <c r="J36" s="170" cm="1">
        <f t="array" aca="1" ref="J36" ca="1">INDIRECT(ADDRESS($A36,7,,,"SCALARS"))</f>
        <v>0</v>
      </c>
      <c r="K36" s="16">
        <f t="shared" ca="1" si="14"/>
        <v>33.3245</v>
      </c>
      <c r="L36" s="16">
        <f t="shared" ca="1" si="15"/>
        <v>34.4955</v>
      </c>
      <c r="M36" s="44" cm="1">
        <f t="array" aca="1" ref="M36" ca="1">INDIRECT(ADDRESS($A36,6,,,"scalars"))</f>
        <v>5.0819175405972761</v>
      </c>
      <c r="N36" s="17">
        <f t="shared" ca="1" si="16"/>
        <v>169.35236108163392</v>
      </c>
      <c r="O36" s="17">
        <f t="shared" ca="1" si="17"/>
        <v>175.30328652167333</v>
      </c>
      <c r="P36" s="384">
        <f ca="1">N37-O36</f>
        <v>-4.228786521673328</v>
      </c>
      <c r="Q36" s="386">
        <f t="shared" ref="Q36" ca="1" si="25">LN(N37/O36)</f>
        <v>-2.4418405596327412E-2</v>
      </c>
      <c r="R36" s="295">
        <v>1E-3</v>
      </c>
      <c r="S36" s="262">
        <v>0</v>
      </c>
      <c r="T36" s="384">
        <f ca="1">N36-O37</f>
        <v>-3.6531389183660963</v>
      </c>
      <c r="U36" s="386">
        <f ca="1">LN(N36/O37)</f>
        <v>-2.1341864710120426E-2</v>
      </c>
      <c r="V36" s="295">
        <v>1E-3</v>
      </c>
      <c r="W36" s="60">
        <v>0</v>
      </c>
      <c r="X36" s="27" cm="1">
        <f t="array" aca="1" ref="X36" ca="1">INDIRECT(ADDRESS($B36,9,,,"mkt data"))</f>
        <v>0</v>
      </c>
      <c r="Y36" s="48">
        <f t="shared" ca="1" si="18"/>
        <v>0</v>
      </c>
      <c r="Z36" s="27">
        <f t="shared" ca="1" si="19"/>
        <v>0</v>
      </c>
      <c r="AA36" s="369">
        <f ca="1">SUM(Z36:Z37)</f>
        <v>0</v>
      </c>
      <c r="AB36" s="199" t="str">
        <f t="shared" si="20"/>
        <v>FENY</v>
      </c>
      <c r="AC36" s="33" cm="1">
        <f t="array" aca="1" ref="AC36" ca="1">INDIRECT(ADDRESS($B36,8,,,"mkt data"))</f>
        <v>34.209999000000003</v>
      </c>
      <c r="AD36" s="191">
        <f t="shared" ca="1" si="21"/>
        <v>33.909999999999997</v>
      </c>
      <c r="AE36" s="191">
        <f t="shared" ca="1" si="23"/>
        <v>-0.29999900000000679</v>
      </c>
      <c r="AF36" s="202">
        <v>0</v>
      </c>
      <c r="AG36" s="191">
        <f t="shared" ca="1" si="24"/>
        <v>-0.29999900000000679</v>
      </c>
      <c r="AH36" s="191">
        <f t="shared" ca="1" si="22"/>
        <v>0</v>
      </c>
      <c r="AI36" s="375">
        <f ca="1">AH36+AH37</f>
        <v>0</v>
      </c>
    </row>
    <row r="37" spans="1:35" ht="15.75" thickBot="1" x14ac:dyDescent="0.3">
      <c r="A37" s="86">
        <f>MATCH(G37,SCALARS!C:C,0)</f>
        <v>71</v>
      </c>
      <c r="B37" s="87">
        <f>MATCH(G37,'MKT DATA'!B:B,0)</f>
        <v>70</v>
      </c>
      <c r="C37" s="86" t="str" cm="1">
        <f t="array" aca="1" ref="C37" ca="1">INDIRECT(ADDRESS($A37,2,,,"scalars"))</f>
        <v>energy</v>
      </c>
      <c r="D37" s="144" cm="1">
        <f t="array" aca="1" ref="D37" ca="1">INDIRECT(ADDRESS($A37,8,,,"SCALARS"))</f>
        <v>528300</v>
      </c>
      <c r="E37" s="146"/>
      <c r="F37" s="20" t="str" cm="1">
        <f t="array" aca="1" ref="F37" ca="1">INDIRECT(ADDRESS($A37,5,,,"scalars"))</f>
        <v>VDE</v>
      </c>
      <c r="G37" s="21" t="s">
        <v>94</v>
      </c>
      <c r="H37" s="37" cm="1">
        <f t="array" aca="1" ref="H37" ca="1">INDIRECT(ADDRESS($B37,5,,,"mkt data"))</f>
        <v>171.08</v>
      </c>
      <c r="I37" s="38" cm="1">
        <f t="array" aca="1" ref="I37" ca="1">INDIRECT(ADDRESS($B37,6,,,"mkt data"))</f>
        <v>173</v>
      </c>
      <c r="J37" s="171" cm="1">
        <f t="array" aca="1" ref="J37" ca="1">INDIRECT(ADDRESS($A37,7,,,"SCALARS"))</f>
        <v>0</v>
      </c>
      <c r="K37" s="22">
        <f t="shared" ca="1" si="14"/>
        <v>171.0745</v>
      </c>
      <c r="L37" s="22">
        <f t="shared" ca="1" si="15"/>
        <v>173.00550000000001</v>
      </c>
      <c r="M37" s="45" cm="1">
        <f t="array" aca="1" ref="M37" ca="1">INDIRECT(ADDRESS($A37,6,,,"scalars"))</f>
        <v>1</v>
      </c>
      <c r="N37" s="23">
        <f t="shared" ca="1" si="16"/>
        <v>171.0745</v>
      </c>
      <c r="O37" s="23">
        <f t="shared" ca="1" si="17"/>
        <v>173.00550000000001</v>
      </c>
      <c r="P37" s="385"/>
      <c r="Q37" s="387"/>
      <c r="R37" s="296" t="b">
        <f ca="1">IF(Q36&gt;R36,TRUE,FALSE)</f>
        <v>0</v>
      </c>
      <c r="S37" s="263" t="b">
        <f ca="1">AND(IF(U36&gt;-S36,TRUE,FALSE),IF(X36&gt;0,TRUE,FALSE))</f>
        <v>0</v>
      </c>
      <c r="T37" s="385"/>
      <c r="U37" s="387"/>
      <c r="V37" s="296" t="b">
        <f ca="1">IF(U36&gt;V36,TRUE,FALSE)</f>
        <v>0</v>
      </c>
      <c r="W37" s="61" t="b">
        <f ca="1">AND(IF(Q36&gt;-W36,TRUE,FALSE),IF(X36&lt;0,TRUE,FALSE))</f>
        <v>0</v>
      </c>
      <c r="X37" s="29" cm="1">
        <f t="array" aca="1" ref="X37" ca="1">INDIRECT(ADDRESS($B37,9,,,"mkt data"))</f>
        <v>0</v>
      </c>
      <c r="Y37" s="50">
        <f t="shared" ca="1" si="18"/>
        <v>0</v>
      </c>
      <c r="Z37" s="29">
        <f t="shared" ca="1" si="19"/>
        <v>0</v>
      </c>
      <c r="AA37" s="371"/>
      <c r="AB37" s="207" t="str">
        <f t="shared" si="20"/>
        <v>VDE</v>
      </c>
      <c r="AC37" s="37" cm="1">
        <f t="array" aca="1" ref="AC37" ca="1">INDIRECT(ADDRESS($B37,8,,,"mkt data"))</f>
        <v>173.83000200000001</v>
      </c>
      <c r="AD37" s="193">
        <f t="shared" ca="1" si="21"/>
        <v>172.04000000000002</v>
      </c>
      <c r="AE37" s="193">
        <f t="shared" ca="1" si="23"/>
        <v>-1.790001999999987</v>
      </c>
      <c r="AF37" s="204">
        <v>0</v>
      </c>
      <c r="AG37" s="193">
        <f t="shared" ca="1" si="24"/>
        <v>-1.790001999999987</v>
      </c>
      <c r="AH37" s="193">
        <f t="shared" ca="1" si="22"/>
        <v>0</v>
      </c>
      <c r="AI37" s="377"/>
    </row>
    <row r="38" spans="1:35" x14ac:dyDescent="0.25">
      <c r="A38" s="97">
        <f>MATCH(G38,SCALARS!C:C,0)</f>
        <v>74</v>
      </c>
      <c r="B38" s="98">
        <f>MATCH(G38,'MKT DATA'!B:B,0)</f>
        <v>72</v>
      </c>
      <c r="C38" s="97" t="str" cm="1">
        <f t="array" aca="1" ref="C38" ca="1">INDIRECT(ADDRESS($A38,2,,,"scalars"))</f>
        <v>financials</v>
      </c>
      <c r="D38" s="119" cm="1">
        <f t="array" aca="1" ref="D38" ca="1">INDIRECT(ADDRESS($A38,8,,,"SCALARS"))</f>
        <v>111700</v>
      </c>
      <c r="E38" s="120"/>
      <c r="F38" s="99" t="str" cm="1">
        <f t="array" aca="1" ref="F38" ca="1">INDIRECT(ADDRESS($A38,5,,,"scalars"))</f>
        <v>VFH</v>
      </c>
      <c r="G38" s="133" t="s">
        <v>125</v>
      </c>
      <c r="H38" s="123" cm="1">
        <f t="array" aca="1" ref="H38" ca="1">INDIRECT(ADDRESS($B38,5,,,"mkt data"))</f>
        <v>72.28</v>
      </c>
      <c r="I38" s="124" cm="1">
        <f t="array" aca="1" ref="I38" ca="1">INDIRECT(ADDRESS($B38,6,,,"mkt data"))</f>
        <v>81.02</v>
      </c>
      <c r="J38" s="173" cm="1">
        <f t="array" aca="1" ref="J38" ca="1">INDIRECT(ADDRESS($A38,7,,,"SCALARS"))</f>
        <v>0</v>
      </c>
      <c r="K38" s="102">
        <f t="shared" ca="1" si="14"/>
        <v>72.274500000000003</v>
      </c>
      <c r="L38" s="102">
        <f t="shared" ca="1" si="15"/>
        <v>81.025499999999994</v>
      </c>
      <c r="M38" s="134" cm="1">
        <f t="array" aca="1" ref="M38" ca="1">INDIRECT(ADDRESS($A38,6,,,"scalars"))</f>
        <v>1.7174825805012639</v>
      </c>
      <c r="N38" s="125">
        <f t="shared" ca="1" si="16"/>
        <v>124.1301947644386</v>
      </c>
      <c r="O38" s="125">
        <f t="shared" ca="1" si="17"/>
        <v>139.15988482640515</v>
      </c>
      <c r="P38" s="390">
        <f ca="1">N39-O38</f>
        <v>-8.8653848264051476</v>
      </c>
      <c r="Q38" s="394">
        <f t="shared" ref="Q38" ca="1" si="26">LN(N39/O38)</f>
        <v>-6.5826249693097819E-2</v>
      </c>
      <c r="R38" s="304"/>
      <c r="S38" s="266"/>
      <c r="T38" s="390">
        <f ca="1">N38-O39</f>
        <v>-8.5353052355614096</v>
      </c>
      <c r="U38" s="394">
        <f ca="1">LN(N38/O39)</f>
        <v>-6.6499950045186759E-2</v>
      </c>
      <c r="V38" s="304"/>
      <c r="W38" s="104"/>
      <c r="X38" s="121" cm="1">
        <f t="array" aca="1" ref="X38" ca="1">INDIRECT(ADDRESS($B38,9,,,"mkt data"))</f>
        <v>0</v>
      </c>
      <c r="Y38" s="122">
        <f t="shared" ca="1" si="18"/>
        <v>0</v>
      </c>
      <c r="Z38" s="121">
        <f t="shared" ca="1" si="19"/>
        <v>0</v>
      </c>
      <c r="AA38" s="392">
        <f ca="1">SUM(Z38:Z39)</f>
        <v>0</v>
      </c>
      <c r="AB38" s="205" t="str">
        <f t="shared" si="20"/>
        <v>FNCL</v>
      </c>
      <c r="AC38" s="188" cm="1">
        <f t="array" aca="1" ref="AC38" ca="1">INDIRECT(ADDRESS($B38,8,,,"mkt data"))</f>
        <v>76.839995999999999</v>
      </c>
      <c r="AD38" s="198">
        <f t="shared" ca="1" si="21"/>
        <v>76.650000000000006</v>
      </c>
      <c r="AE38" s="198">
        <f t="shared" ca="1" si="23"/>
        <v>-0.18999599999999361</v>
      </c>
      <c r="AF38" s="203">
        <v>0</v>
      </c>
      <c r="AG38" s="198">
        <f t="shared" ca="1" si="24"/>
        <v>-0.18999599999999361</v>
      </c>
      <c r="AH38" s="196">
        <f t="shared" ca="1" si="22"/>
        <v>0</v>
      </c>
      <c r="AI38" s="257">
        <f ca="1">AH38+AH39</f>
        <v>0</v>
      </c>
    </row>
    <row r="39" spans="1:35" ht="15.75" thickBot="1" x14ac:dyDescent="0.3">
      <c r="A39" s="105">
        <f>MATCH(G39,SCALARS!C:C,0)</f>
        <v>75</v>
      </c>
      <c r="B39" s="106">
        <f>MATCH(G39,'MKT DATA'!B:B,0)</f>
        <v>74</v>
      </c>
      <c r="C39" s="105" t="str" cm="1">
        <f t="array" aca="1" ref="C39" ca="1">INDIRECT(ADDRESS($A39,2,,,"scalars"))</f>
        <v>financials</v>
      </c>
      <c r="D39" s="126" cm="1">
        <f t="array" aca="1" ref="D39" ca="1">INDIRECT(ADDRESS($A39,8,,,"SCALARS"))</f>
        <v>545400</v>
      </c>
      <c r="E39" s="127"/>
      <c r="F39" s="107" t="str" cm="1">
        <f t="array" aca="1" ref="F39" ca="1">INDIRECT(ADDRESS($A39,5,,,"scalars"))</f>
        <v>VFH</v>
      </c>
      <c r="G39" s="135" t="s">
        <v>97</v>
      </c>
      <c r="H39" s="130" cm="1">
        <f t="array" aca="1" ref="H39" ca="1">INDIRECT(ADDRESS($B39,5,,,"mkt data"))</f>
        <v>130.30000000000001</v>
      </c>
      <c r="I39" s="131" cm="1">
        <f t="array" aca="1" ref="I39" ca="1">INDIRECT(ADDRESS($B39,6,,,"mkt data"))</f>
        <v>132.66</v>
      </c>
      <c r="J39" s="174" cm="1">
        <f t="array" aca="1" ref="J39" ca="1">INDIRECT(ADDRESS($A39,7,,,"SCALARS"))</f>
        <v>0</v>
      </c>
      <c r="K39" s="110">
        <f t="shared" ca="1" si="14"/>
        <v>130.2945</v>
      </c>
      <c r="L39" s="110">
        <f t="shared" ca="1" si="15"/>
        <v>132.66550000000001</v>
      </c>
      <c r="M39" s="136" cm="1">
        <f t="array" aca="1" ref="M39" ca="1">INDIRECT(ADDRESS($A39,6,,,"scalars"))</f>
        <v>1</v>
      </c>
      <c r="N39" s="132">
        <f t="shared" ca="1" si="16"/>
        <v>130.2945</v>
      </c>
      <c r="O39" s="132">
        <f t="shared" ca="1" si="17"/>
        <v>132.66550000000001</v>
      </c>
      <c r="P39" s="391"/>
      <c r="Q39" s="395"/>
      <c r="R39" s="305"/>
      <c r="S39" s="267"/>
      <c r="T39" s="391"/>
      <c r="U39" s="395"/>
      <c r="V39" s="305"/>
      <c r="W39" s="112"/>
      <c r="X39" s="128" cm="1">
        <f t="array" aca="1" ref="X39" ca="1">INDIRECT(ADDRESS($B39,9,,,"mkt data"))</f>
        <v>0</v>
      </c>
      <c r="Y39" s="129">
        <f t="shared" ca="1" si="18"/>
        <v>0</v>
      </c>
      <c r="Z39" s="128">
        <f t="shared" ca="1" si="19"/>
        <v>0</v>
      </c>
      <c r="AA39" s="393"/>
      <c r="AB39" s="206" t="str">
        <f t="shared" si="20"/>
        <v>VFH</v>
      </c>
      <c r="AC39" s="188" cm="1">
        <f t="array" aca="1" ref="AC39" ca="1">INDIRECT(ADDRESS($B39,8,,,"mkt data"))</f>
        <v>132.11000100000001</v>
      </c>
      <c r="AD39" s="198">
        <f t="shared" ca="1" si="21"/>
        <v>131.48000000000002</v>
      </c>
      <c r="AE39" s="198">
        <f t="shared" ca="1" si="23"/>
        <v>-0.63000099999999293</v>
      </c>
      <c r="AF39" s="203">
        <v>0</v>
      </c>
      <c r="AG39" s="198">
        <f t="shared" ca="1" si="24"/>
        <v>-0.63000099999999293</v>
      </c>
      <c r="AH39" s="196">
        <f t="shared" ca="1" si="22"/>
        <v>0</v>
      </c>
      <c r="AI39" s="258"/>
    </row>
    <row r="40" spans="1:35" x14ac:dyDescent="0.25">
      <c r="A40" s="84">
        <f>MATCH(G40,SCALARS!C:C,0)</f>
        <v>76</v>
      </c>
      <c r="B40" s="85">
        <f>MATCH(G40,'MKT DATA'!B:B,0)</f>
        <v>76</v>
      </c>
      <c r="C40" s="84" t="str" cm="1">
        <f t="array" aca="1" ref="C40" ca="1">INDIRECT(ADDRESS($A40,2,,,"scalars"))</f>
        <v>healthcare</v>
      </c>
      <c r="D40" s="143" cm="1">
        <f t="array" aca="1" ref="D40" ca="1">INDIRECT(ADDRESS($A40,8,,,"SCALARS"))</f>
        <v>235200</v>
      </c>
      <c r="E40" s="145"/>
      <c r="F40" s="14" t="str" cm="1">
        <f t="array" aca="1" ref="F40" ca="1">INDIRECT(ADDRESS($A40,5,,,"scalars"))</f>
        <v>VHT</v>
      </c>
      <c r="G40" s="15" t="s">
        <v>99</v>
      </c>
      <c r="H40" s="33" cm="1">
        <f t="array" aca="1" ref="H40" ca="1">INDIRECT(ADDRESS($B40,5,,,"mkt data"))</f>
        <v>79.8</v>
      </c>
      <c r="I40" s="34" cm="1">
        <f t="array" aca="1" ref="I40" ca="1">INDIRECT(ADDRESS($B40,6,,,"mkt data"))</f>
        <v>85.36</v>
      </c>
      <c r="J40" s="170" cm="1">
        <f t="array" aca="1" ref="J40" ca="1">INDIRECT(ADDRESS($A40,7,,,"SCALARS"))</f>
        <v>0</v>
      </c>
      <c r="K40" s="16">
        <f t="shared" ca="1" si="14"/>
        <v>79.794499999999999</v>
      </c>
      <c r="L40" s="16">
        <f t="shared" ca="1" si="15"/>
        <v>85.365499999999997</v>
      </c>
      <c r="M40" s="44" cm="1">
        <f t="array" aca="1" ref="M40" ca="1">INDIRECT(ADDRESS($A40,6,,,"scalars"))</f>
        <v>3.8686202871095823</v>
      </c>
      <c r="N40" s="17">
        <f t="shared" ca="1" si="16"/>
        <v>308.69462149976556</v>
      </c>
      <c r="O40" s="17">
        <f t="shared" ca="1" si="17"/>
        <v>330.24670511925302</v>
      </c>
      <c r="P40" s="384">
        <f ca="1">N41-O40</f>
        <v>-10.062205119253008</v>
      </c>
      <c r="Q40" s="386">
        <f t="shared" ref="Q40" ca="1" si="27">LN(N41/O40)</f>
        <v>-3.0942574278357955E-2</v>
      </c>
      <c r="R40" s="295">
        <v>1E-3</v>
      </c>
      <c r="S40" s="262">
        <v>0</v>
      </c>
      <c r="T40" s="384">
        <f ca="1">N40-O41</f>
        <v>-13.780878500234451</v>
      </c>
      <c r="U40" s="386">
        <f ca="1">LN(N40/O41)</f>
        <v>-4.3674656066682228E-2</v>
      </c>
      <c r="V40" s="295">
        <v>1E-3</v>
      </c>
      <c r="W40" s="60">
        <v>0</v>
      </c>
      <c r="X40" s="27" cm="1">
        <f t="array" aca="1" ref="X40" ca="1">INDIRECT(ADDRESS($B40,9,,,"mkt data"))</f>
        <v>0</v>
      </c>
      <c r="Y40" s="48">
        <f t="shared" ca="1" si="18"/>
        <v>0</v>
      </c>
      <c r="Z40" s="27">
        <f t="shared" ca="1" si="19"/>
        <v>0</v>
      </c>
      <c r="AA40" s="369">
        <f ca="1">SUM(Z40:Z41)</f>
        <v>0</v>
      </c>
      <c r="AB40" s="199" t="str">
        <f t="shared" si="20"/>
        <v>FHLC</v>
      </c>
      <c r="AC40" s="33" cm="1">
        <f t="array" aca="1" ref="AC40" ca="1">INDIRECT(ADDRESS($B40,8,,,"mkt data"))</f>
        <v>82.919998000000007</v>
      </c>
      <c r="AD40" s="191">
        <f t="shared" ca="1" si="21"/>
        <v>82.58</v>
      </c>
      <c r="AE40" s="191">
        <f t="shared" ca="1" si="23"/>
        <v>-0.33999800000000846</v>
      </c>
      <c r="AF40" s="202">
        <v>0</v>
      </c>
      <c r="AG40" s="191">
        <f t="shared" ca="1" si="24"/>
        <v>-0.33999800000000846</v>
      </c>
      <c r="AH40" s="191">
        <f t="shared" ca="1" si="22"/>
        <v>0</v>
      </c>
      <c r="AI40" s="255">
        <f ca="1">AH40+AH41</f>
        <v>0</v>
      </c>
    </row>
    <row r="41" spans="1:35" ht="15.75" thickBot="1" x14ac:dyDescent="0.3">
      <c r="A41" s="86">
        <f>MATCH(G41,SCALARS!C:C,0)</f>
        <v>77</v>
      </c>
      <c r="B41" s="87">
        <f>MATCH(G41,'MKT DATA'!B:B,0)</f>
        <v>78</v>
      </c>
      <c r="C41" s="86" t="str" cm="1">
        <f t="array" aca="1" ref="C41" ca="1">INDIRECT(ADDRESS($A41,2,,,"scalars"))</f>
        <v>healthcare</v>
      </c>
      <c r="D41" s="144" cm="1">
        <f t="array" aca="1" ref="D41" ca="1">INDIRECT(ADDRESS($A41,8,,,"SCALARS"))</f>
        <v>547100</v>
      </c>
      <c r="E41" s="146"/>
      <c r="F41" s="20" t="str" cm="1">
        <f t="array" aca="1" ref="F41" ca="1">INDIRECT(ADDRESS($A41,5,,,"scalars"))</f>
        <v>VHT</v>
      </c>
      <c r="G41" s="21" t="s">
        <v>101</v>
      </c>
      <c r="H41" s="37" cm="1">
        <f t="array" aca="1" ref="H41" ca="1">INDIRECT(ADDRESS($B41,5,,,"mkt data"))</f>
        <v>320.19</v>
      </c>
      <c r="I41" s="38" cm="1">
        <f t="array" aca="1" ref="I41" ca="1">INDIRECT(ADDRESS($B41,6,,,"mkt data"))</f>
        <v>322.47000000000003</v>
      </c>
      <c r="J41" s="171" cm="1">
        <f t="array" aca="1" ref="J41" ca="1">INDIRECT(ADDRESS($A41,7,,,"SCALARS"))</f>
        <v>0</v>
      </c>
      <c r="K41" s="22">
        <f t="shared" ca="1" si="14"/>
        <v>320.18450000000001</v>
      </c>
      <c r="L41" s="22">
        <f t="shared" ca="1" si="15"/>
        <v>322.47550000000001</v>
      </c>
      <c r="M41" s="45" cm="1">
        <f t="array" aca="1" ref="M41" ca="1">INDIRECT(ADDRESS($A41,6,,,"scalars"))</f>
        <v>1</v>
      </c>
      <c r="N41" s="23">
        <f t="shared" ca="1" si="16"/>
        <v>320.18450000000001</v>
      </c>
      <c r="O41" s="23">
        <f t="shared" ca="1" si="17"/>
        <v>322.47550000000001</v>
      </c>
      <c r="P41" s="385"/>
      <c r="Q41" s="387"/>
      <c r="R41" s="296" t="b">
        <f ca="1">IF(Q40&gt;R40,TRUE,FALSE)</f>
        <v>0</v>
      </c>
      <c r="S41" s="263" t="b">
        <f ca="1">AND(IF(U40&gt;-S40,TRUE,FALSE),IF(X40&gt;0,TRUE,FALSE))</f>
        <v>0</v>
      </c>
      <c r="T41" s="385"/>
      <c r="U41" s="387"/>
      <c r="V41" s="296" t="b">
        <f ca="1">IF(U40&gt;V40,TRUE,FALSE)</f>
        <v>0</v>
      </c>
      <c r="W41" s="61" t="b">
        <f ca="1">AND(IF(Q40&gt;-W40,TRUE,FALSE),IF(X40&lt;0,TRUE,FALSE))</f>
        <v>0</v>
      </c>
      <c r="X41" s="29" cm="1">
        <f t="array" aca="1" ref="X41" ca="1">INDIRECT(ADDRESS($B41,9,,,"mkt data"))</f>
        <v>0</v>
      </c>
      <c r="Y41" s="50">
        <f t="shared" ca="1" si="18"/>
        <v>0</v>
      </c>
      <c r="Z41" s="29">
        <f t="shared" ca="1" si="19"/>
        <v>0</v>
      </c>
      <c r="AA41" s="371"/>
      <c r="AB41" s="207" t="str">
        <f t="shared" si="20"/>
        <v>VHT</v>
      </c>
      <c r="AC41" s="37" cm="1">
        <f t="array" aca="1" ref="AC41" ca="1">INDIRECT(ADDRESS($B41,8,,,"mkt data"))</f>
        <v>320.73998999999998</v>
      </c>
      <c r="AD41" s="193">
        <f t="shared" ca="1" si="21"/>
        <v>321.33000000000004</v>
      </c>
      <c r="AE41" s="193">
        <f t="shared" ca="1" si="23"/>
        <v>0.59001000000006343</v>
      </c>
      <c r="AF41" s="204">
        <v>0</v>
      </c>
      <c r="AG41" s="193">
        <f t="shared" ca="1" si="24"/>
        <v>0.59001000000006343</v>
      </c>
      <c r="AH41" s="193">
        <f t="shared" ca="1" si="22"/>
        <v>0</v>
      </c>
      <c r="AI41" s="256"/>
    </row>
    <row r="42" spans="1:35" x14ac:dyDescent="0.25">
      <c r="A42" s="97">
        <f>MATCH(G42,SCALARS!C:C,0)</f>
        <v>80</v>
      </c>
      <c r="B42" s="98">
        <f>MATCH(G42,'MKT DATA'!B:B,0)</f>
        <v>80</v>
      </c>
      <c r="C42" s="97" t="str" cm="1">
        <f t="array" aca="1" ref="C42" ca="1">INDIRECT(ADDRESS($A42,2,,,"scalars"))</f>
        <v>industrials</v>
      </c>
      <c r="D42" s="119" cm="1">
        <f t="array" aca="1" ref="D42" ca="1">INDIRECT(ADDRESS($A42,8,,,"SCALARS"))</f>
        <v>134100</v>
      </c>
      <c r="E42" s="120"/>
      <c r="F42" s="99" t="str" cm="1">
        <f t="array" aca="1" ref="F42" ca="1">INDIRECT(ADDRESS($A42,5,,,"scalars"))</f>
        <v>VIS</v>
      </c>
      <c r="G42" s="133" t="s">
        <v>103</v>
      </c>
      <c r="H42" s="123" cm="1">
        <f t="array" aca="1" ref="H42" ca="1">INDIRECT(ADDRESS($B42,5,,,"mkt data"))</f>
        <v>85.05</v>
      </c>
      <c r="I42" s="124" cm="1">
        <f t="array" aca="1" ref="I42" ca="1">INDIRECT(ADDRESS($B42,6,,,"mkt data"))</f>
        <v>94.66</v>
      </c>
      <c r="J42" s="173" cm="1">
        <f t="array" aca="1" ref="J42" ca="1">INDIRECT(ADDRESS($A42,7,,,"SCALARS"))</f>
        <v>0</v>
      </c>
      <c r="K42" s="102">
        <f t="shared" ca="1" si="14"/>
        <v>85.044499999999999</v>
      </c>
      <c r="L42" s="102">
        <f t="shared" ca="1" si="15"/>
        <v>94.665499999999994</v>
      </c>
      <c r="M42" s="134" cm="1">
        <f t="array" aca="1" ref="M42" ca="1">INDIRECT(ADDRESS($A42,6,,,"scalars"))</f>
        <v>3.6156820964864536</v>
      </c>
      <c r="N42" s="125">
        <f t="shared" ca="1" si="16"/>
        <v>307.49387605464221</v>
      </c>
      <c r="O42" s="125">
        <f t="shared" ca="1" si="17"/>
        <v>342.28035350493838</v>
      </c>
      <c r="P42" s="390">
        <f ca="1">N43-O42</f>
        <v>-20.285853504938359</v>
      </c>
      <c r="Q42" s="394">
        <f t="shared" ref="Q42" ca="1" si="28">LN(N43/O42)</f>
        <v>-6.109568369073947E-2</v>
      </c>
      <c r="R42" s="304"/>
      <c r="S42" s="266"/>
      <c r="T42" s="390">
        <f ca="1">N42-O43</f>
        <v>-22.481623945357796</v>
      </c>
      <c r="U42" s="394">
        <f ca="1">LN(N42/O43)</f>
        <v>-7.0563237501373596E-2</v>
      </c>
      <c r="V42" s="304"/>
      <c r="W42" s="104"/>
      <c r="X42" s="121" cm="1">
        <f t="array" aca="1" ref="X42" ca="1">INDIRECT(ADDRESS($B42,9,,,"mkt data"))</f>
        <v>0</v>
      </c>
      <c r="Y42" s="122">
        <f t="shared" ca="1" si="18"/>
        <v>0</v>
      </c>
      <c r="Z42" s="121">
        <f t="shared" ca="1" si="19"/>
        <v>0</v>
      </c>
      <c r="AA42" s="392">
        <f ca="1">SUM(Z42:Z43)</f>
        <v>0</v>
      </c>
      <c r="AB42" s="205" t="str">
        <f t="shared" si="20"/>
        <v>FIDU</v>
      </c>
      <c r="AC42" s="188" cm="1">
        <f t="array" aca="1" ref="AC42" ca="1">INDIRECT(ADDRESS($B42,8,,,"mkt data"))</f>
        <v>89.5</v>
      </c>
      <c r="AD42" s="198">
        <f t="shared" ca="1" si="21"/>
        <v>89.85499999999999</v>
      </c>
      <c r="AE42" s="198">
        <f t="shared" ca="1" si="23"/>
        <v>0.35499999999998977</v>
      </c>
      <c r="AF42" s="203">
        <v>0</v>
      </c>
      <c r="AG42" s="198">
        <f t="shared" ca="1" si="24"/>
        <v>0.35499999999998977</v>
      </c>
      <c r="AH42" s="196">
        <f t="shared" ca="1" si="22"/>
        <v>0</v>
      </c>
      <c r="AI42" s="402">
        <f ca="1">AH42+AH43</f>
        <v>0</v>
      </c>
    </row>
    <row r="43" spans="1:35" ht="15.75" thickBot="1" x14ac:dyDescent="0.3">
      <c r="A43" s="105">
        <f>MATCH(G43,SCALARS!C:C,0)</f>
        <v>81</v>
      </c>
      <c r="B43" s="106">
        <f>MATCH(G43,'MKT DATA'!B:B,0)</f>
        <v>82</v>
      </c>
      <c r="C43" s="105" t="str" cm="1">
        <f t="array" aca="1" ref="C43" ca="1">INDIRECT(ADDRESS($A43,2,,,"scalars"))</f>
        <v>industrials</v>
      </c>
      <c r="D43" s="126" cm="1">
        <f t="array" aca="1" ref="D43" ca="1">INDIRECT(ADDRESS($A43,8,,,"SCALARS"))</f>
        <v>274500</v>
      </c>
      <c r="E43" s="127"/>
      <c r="F43" s="107" t="str" cm="1">
        <f t="array" aca="1" ref="F43" ca="1">INDIRECT(ADDRESS($A43,5,,,"scalars"))</f>
        <v>VIS</v>
      </c>
      <c r="G43" s="135" t="s">
        <v>126</v>
      </c>
      <c r="H43" s="130" cm="1">
        <f t="array" aca="1" ref="H43" ca="1">INDIRECT(ADDRESS($B43,5,,,"mkt data"))</f>
        <v>322</v>
      </c>
      <c r="I43" s="131" cm="1">
        <f t="array" aca="1" ref="I43" ca="1">INDIRECT(ADDRESS($B43,6,,,"mkt data"))</f>
        <v>329.97</v>
      </c>
      <c r="J43" s="174" cm="1">
        <f t="array" aca="1" ref="J43" ca="1">INDIRECT(ADDRESS($A43,7,,,"SCALARS"))</f>
        <v>0</v>
      </c>
      <c r="K43" s="110">
        <f t="shared" ca="1" si="14"/>
        <v>321.99450000000002</v>
      </c>
      <c r="L43" s="110">
        <f t="shared" ca="1" si="15"/>
        <v>329.97550000000001</v>
      </c>
      <c r="M43" s="136" cm="1">
        <f t="array" aca="1" ref="M43" ca="1">INDIRECT(ADDRESS($A43,6,,,"scalars"))</f>
        <v>1</v>
      </c>
      <c r="N43" s="132">
        <f t="shared" ca="1" si="16"/>
        <v>321.99450000000002</v>
      </c>
      <c r="O43" s="132">
        <f t="shared" ca="1" si="17"/>
        <v>329.97550000000001</v>
      </c>
      <c r="P43" s="391"/>
      <c r="Q43" s="395"/>
      <c r="R43" s="305"/>
      <c r="S43" s="267"/>
      <c r="T43" s="391"/>
      <c r="U43" s="395"/>
      <c r="V43" s="305"/>
      <c r="W43" s="112"/>
      <c r="X43" s="128" cm="1">
        <f t="array" aca="1" ref="X43" ca="1">INDIRECT(ADDRESS($B43,9,,,"mkt data"))</f>
        <v>0</v>
      </c>
      <c r="Y43" s="129">
        <f t="shared" ca="1" si="18"/>
        <v>0</v>
      </c>
      <c r="Z43" s="128">
        <f t="shared" ca="1" si="19"/>
        <v>0</v>
      </c>
      <c r="AA43" s="393"/>
      <c r="AB43" s="206" t="str">
        <f t="shared" si="20"/>
        <v>VIS</v>
      </c>
      <c r="AC43" s="188" cm="1">
        <f t="array" aca="1" ref="AC43" ca="1">INDIRECT(ADDRESS($B43,8,,,"mkt data"))</f>
        <v>323.80999800000001</v>
      </c>
      <c r="AD43" s="198">
        <f t="shared" ca="1" si="21"/>
        <v>325.98500000000001</v>
      </c>
      <c r="AE43" s="198">
        <f t="shared" ca="1" si="23"/>
        <v>2.1750020000000063</v>
      </c>
      <c r="AF43" s="203">
        <v>0</v>
      </c>
      <c r="AG43" s="198">
        <f t="shared" ca="1" si="24"/>
        <v>2.1750020000000063</v>
      </c>
      <c r="AH43" s="196">
        <f t="shared" ca="1" si="22"/>
        <v>0</v>
      </c>
      <c r="AI43" s="403"/>
    </row>
    <row r="44" spans="1:35" x14ac:dyDescent="0.25">
      <c r="A44" s="84">
        <f>MATCH(G44,SCALARS!C:C,0)</f>
        <v>86</v>
      </c>
      <c r="B44" s="85">
        <f>MATCH(G44,'MKT DATA'!B:B,0)</f>
        <v>84</v>
      </c>
      <c r="C44" s="84" t="str" cm="1">
        <f t="array" aca="1" ref="C44" ca="1">INDIRECT(ADDRESS($A44,2,,,"scalars"))</f>
        <v>real estate</v>
      </c>
      <c r="D44" s="143" cm="1">
        <f t="array" aca="1" ref="D44" ca="1">INDIRECT(ADDRESS($A44,8,,,"SCALARS"))</f>
        <v>294900</v>
      </c>
      <c r="E44" s="145"/>
      <c r="F44" s="14" t="str" cm="1">
        <f t="array" aca="1" ref="F44" ca="1">INDIRECT(ADDRESS($A44,5,,,"scalars"))</f>
        <v>VNQ</v>
      </c>
      <c r="G44" s="15" t="s">
        <v>105</v>
      </c>
      <c r="H44" s="33" cm="1">
        <f t="array" aca="1" ref="H44" ca="1">INDIRECT(ADDRESS($B44,5,,,"mkt data"))</f>
        <v>25.99</v>
      </c>
      <c r="I44" s="34" cm="1">
        <f t="array" aca="1" ref="I44" ca="1">INDIRECT(ADDRESS($B44,6,,,"mkt data"))</f>
        <v>28.8</v>
      </c>
      <c r="J44" s="170" cm="1">
        <f t="array" aca="1" ref="J44" ca="1">INDIRECT(ADDRESS($A44,7,,,"SCALARS"))</f>
        <v>0</v>
      </c>
      <c r="K44" s="16">
        <f t="shared" ca="1" si="14"/>
        <v>25.984499999999997</v>
      </c>
      <c r="L44" s="16">
        <f t="shared" ca="1" si="15"/>
        <v>28.805500000000002</v>
      </c>
      <c r="M44" s="44" cm="1">
        <f t="array" aca="1" ref="M44" ca="1">INDIRECT(ADDRESS($A44,6,,,"scalars"))</f>
        <v>3.2971569058891874</v>
      </c>
      <c r="N44" s="17">
        <f t="shared" ca="1" si="16"/>
        <v>85.674973621077584</v>
      </c>
      <c r="O44" s="17">
        <f t="shared" ca="1" si="17"/>
        <v>94.976253252590993</v>
      </c>
      <c r="P44" s="384">
        <f ca="1">N45-O44</f>
        <v>-4.5917532525909905</v>
      </c>
      <c r="Q44" s="386">
        <f t="shared" ref="Q44" ca="1" si="29">LN(N45/O44)</f>
        <v>-4.955410207152932E-2</v>
      </c>
      <c r="R44" s="295">
        <v>1E-3</v>
      </c>
      <c r="S44" s="262">
        <v>0</v>
      </c>
      <c r="T44" s="384">
        <f ca="1">N44-O45</f>
        <v>-4.8905263789224165</v>
      </c>
      <c r="U44" s="386">
        <f ca="1">LN(N44/O45)</f>
        <v>-5.5512585960821863E-2</v>
      </c>
      <c r="V44" s="295">
        <v>1E-3</v>
      </c>
      <c r="W44" s="60">
        <v>0</v>
      </c>
      <c r="X44" s="27" cm="1">
        <f t="array" aca="1" ref="X44" ca="1">INDIRECT(ADDRESS($B44,9,,,"mkt data"))</f>
        <v>0</v>
      </c>
      <c r="Y44" s="48">
        <f t="shared" ca="1" si="18"/>
        <v>0</v>
      </c>
      <c r="Z44" s="27">
        <f t="shared" ca="1" si="19"/>
        <v>0</v>
      </c>
      <c r="AA44" s="369">
        <f ca="1">SUM(Z44:Z45)</f>
        <v>0</v>
      </c>
      <c r="AB44" s="199" t="str">
        <f t="shared" si="20"/>
        <v>FREL</v>
      </c>
      <c r="AC44" s="33" cm="1">
        <f t="array" aca="1" ref="AC44" ca="1">INDIRECT(ADDRESS($B44,8,,,"mkt data"))</f>
        <v>27.48</v>
      </c>
      <c r="AD44" s="191">
        <f t="shared" ca="1" si="21"/>
        <v>27.395</v>
      </c>
      <c r="AE44" s="191">
        <f t="shared" ca="1" si="23"/>
        <v>-8.5000000000000853E-2</v>
      </c>
      <c r="AF44" s="202">
        <v>0</v>
      </c>
      <c r="AG44" s="191">
        <f t="shared" ca="1" si="24"/>
        <v>-8.5000000000000853E-2</v>
      </c>
      <c r="AH44" s="191">
        <f t="shared" ca="1" si="22"/>
        <v>0</v>
      </c>
      <c r="AI44" s="375">
        <f ca="1">AH44+AH45</f>
        <v>0</v>
      </c>
    </row>
    <row r="45" spans="1:35" ht="15.75" thickBot="1" x14ac:dyDescent="0.3">
      <c r="A45" s="86">
        <f>MATCH(G45,SCALARS!C:C,0)</f>
        <v>87</v>
      </c>
      <c r="B45" s="87">
        <f>MATCH(G45,'MKT DATA'!B:B,0)</f>
        <v>86</v>
      </c>
      <c r="C45" s="86" t="str" cm="1">
        <f t="array" aca="1" ref="C45" ca="1">INDIRECT(ADDRESS($A45,2,,,"scalars"))</f>
        <v>real estate</v>
      </c>
      <c r="D45" s="144" cm="1">
        <f t="array" aca="1" ref="D45" ca="1">INDIRECT(ADDRESS($A45,8,,,"SCALARS"))</f>
        <v>3282100</v>
      </c>
      <c r="E45" s="146"/>
      <c r="F45" s="20" t="str" cm="1">
        <f t="array" aca="1" ref="F45" ca="1">INDIRECT(ADDRESS($A45,5,,,"scalars"))</f>
        <v>VNQ</v>
      </c>
      <c r="G45" s="21" t="s">
        <v>107</v>
      </c>
      <c r="H45" s="37" cm="1">
        <f t="array" aca="1" ref="H45" ca="1">INDIRECT(ADDRESS($B45,5,,,"mkt data"))</f>
        <v>90.39</v>
      </c>
      <c r="I45" s="38" cm="1">
        <f t="array" aca="1" ref="I45" ca="1">INDIRECT(ADDRESS($B45,6,,,"mkt data"))</f>
        <v>90.56</v>
      </c>
      <c r="J45" s="171" cm="1">
        <f t="array" aca="1" ref="J45" ca="1">INDIRECT(ADDRESS($A45,7,,,"SCALARS"))</f>
        <v>0</v>
      </c>
      <c r="K45" s="22">
        <f t="shared" ca="1" si="14"/>
        <v>90.384500000000003</v>
      </c>
      <c r="L45" s="22">
        <f t="shared" ca="1" si="15"/>
        <v>90.5655</v>
      </c>
      <c r="M45" s="45" cm="1">
        <f t="array" aca="1" ref="M45" ca="1">INDIRECT(ADDRESS($A45,6,,,"scalars"))</f>
        <v>1</v>
      </c>
      <c r="N45" s="23">
        <f t="shared" ca="1" si="16"/>
        <v>90.384500000000003</v>
      </c>
      <c r="O45" s="23">
        <f t="shared" ca="1" si="17"/>
        <v>90.5655</v>
      </c>
      <c r="P45" s="385"/>
      <c r="Q45" s="387"/>
      <c r="R45" s="296" t="b">
        <f ca="1">IF(Q44&gt;R44,TRUE,FALSE)</f>
        <v>0</v>
      </c>
      <c r="S45" s="263" t="b">
        <f ca="1">AND(IF(U44&gt;-S44,TRUE,FALSE),IF(X44&gt;0,TRUE,FALSE))</f>
        <v>0</v>
      </c>
      <c r="T45" s="385"/>
      <c r="U45" s="387"/>
      <c r="V45" s="296" t="b">
        <f ca="1">IF(U44&gt;V44,TRUE,FALSE)</f>
        <v>0</v>
      </c>
      <c r="W45" s="61" t="b">
        <f ca="1">AND(IF(Q44&gt;-W44,TRUE,FALSE),IF(X44&lt;0,TRUE,FALSE))</f>
        <v>0</v>
      </c>
      <c r="X45" s="29" cm="1">
        <f t="array" aca="1" ref="X45" ca="1">INDIRECT(ADDRESS($B45,9,,,"mkt data"))</f>
        <v>0</v>
      </c>
      <c r="Y45" s="50">
        <f t="shared" ca="1" si="18"/>
        <v>0</v>
      </c>
      <c r="Z45" s="29">
        <f t="shared" ca="1" si="19"/>
        <v>0</v>
      </c>
      <c r="AA45" s="371"/>
      <c r="AB45" s="207" t="str">
        <f t="shared" si="20"/>
        <v>VNQ</v>
      </c>
      <c r="AC45" s="37" cm="1">
        <f t="array" aca="1" ref="AC45" ca="1">INDIRECT(ADDRESS($B45,8,,,"mkt data"))</f>
        <v>90.589995999999999</v>
      </c>
      <c r="AD45" s="193">
        <f t="shared" ca="1" si="21"/>
        <v>90.474999999999994</v>
      </c>
      <c r="AE45" s="193">
        <f t="shared" ca="1" si="23"/>
        <v>-0.11499600000000498</v>
      </c>
      <c r="AF45" s="204">
        <v>0</v>
      </c>
      <c r="AG45" s="193">
        <f t="shared" ca="1" si="24"/>
        <v>-0.11499600000000498</v>
      </c>
      <c r="AH45" s="193">
        <f t="shared" ca="1" si="22"/>
        <v>0</v>
      </c>
      <c r="AI45" s="377"/>
    </row>
    <row r="46" spans="1:35" x14ac:dyDescent="0.25">
      <c r="A46" s="84">
        <f>MATCH(G46,SCALARS!C:C,0)</f>
        <v>88</v>
      </c>
      <c r="B46" s="85">
        <f>MATCH(G46,'MKT DATA'!B:B,0)</f>
        <v>88</v>
      </c>
      <c r="C46" s="84" t="str" cm="1">
        <f t="array" aca="1" ref="C46" ca="1">INDIRECT(ADDRESS($A46,2,,,"scalars"))</f>
        <v>staples</v>
      </c>
      <c r="D46" s="143" cm="1">
        <f t="array" aca="1" ref="D46" ca="1">INDIRECT(ADDRESS($A46,8,,,"SCALARS"))</f>
        <v>148700</v>
      </c>
      <c r="E46" s="145"/>
      <c r="F46" s="14" t="str" cm="1">
        <f t="array" aca="1" ref="F46" ca="1">INDIRECT(ADDRESS($A46,5,,,"scalars"))</f>
        <v>VDC</v>
      </c>
      <c r="G46" s="15" t="s">
        <v>89</v>
      </c>
      <c r="H46" s="33" cm="1">
        <f t="array" aca="1" ref="H46" ca="1">INDIRECT(ADDRESS($B46,5,,,"mkt data"))</f>
        <v>49.2</v>
      </c>
      <c r="I46" s="34" cm="1">
        <f t="array" aca="1" ref="I46" ca="1">INDIRECT(ADDRESS($B46,6,,,"mkt data"))</f>
        <v>54.12</v>
      </c>
      <c r="J46" s="170" cm="1">
        <f t="array" aca="1" ref="J46" ca="1">INDIRECT(ADDRESS($A46,7,,,"SCALARS"))</f>
        <v>0</v>
      </c>
      <c r="K46" s="16">
        <f t="shared" ca="1" si="14"/>
        <v>49.194500000000005</v>
      </c>
      <c r="L46" s="16">
        <f t="shared" ca="1" si="15"/>
        <v>54.125499999999995</v>
      </c>
      <c r="M46" s="44" cm="1">
        <f t="array" aca="1" ref="M46" ca="1">INDIRECT(ADDRESS($A46,6,,,"scalars"))</f>
        <v>4.2915416033745313</v>
      </c>
      <c r="N46" s="17">
        <f t="shared" ca="1" si="16"/>
        <v>211.12024340720839</v>
      </c>
      <c r="O46" s="17">
        <f t="shared" ca="1" si="17"/>
        <v>232.28183505344816</v>
      </c>
      <c r="P46" s="384">
        <f ca="1">N47-O46</f>
        <v>-13.507335053448173</v>
      </c>
      <c r="Q46" s="386">
        <f t="shared" ref="Q46" ca="1" si="30">LN(N47/O46)</f>
        <v>-5.9909921684891315E-2</v>
      </c>
      <c r="R46" s="295">
        <v>1E-3</v>
      </c>
      <c r="S46" s="262">
        <v>0</v>
      </c>
      <c r="T46" s="384">
        <f ca="1">N46-O47</f>
        <v>-14.63525659279162</v>
      </c>
      <c r="U46" s="386">
        <f ca="1">LN(N46/O47)</f>
        <v>-6.7024710106608806E-2</v>
      </c>
      <c r="V46" s="295">
        <v>1E-3</v>
      </c>
      <c r="W46" s="60">
        <v>0</v>
      </c>
      <c r="X46" s="27" cm="1">
        <f t="array" aca="1" ref="X46" ca="1">INDIRECT(ADDRESS($B46,9,,,"mkt data"))</f>
        <v>0</v>
      </c>
      <c r="Y46" s="48">
        <f t="shared" ca="1" si="18"/>
        <v>0</v>
      </c>
      <c r="Z46" s="27">
        <f t="shared" ca="1" si="19"/>
        <v>0</v>
      </c>
      <c r="AA46" s="369">
        <f ca="1">SUM(Z46:Z47)</f>
        <v>0</v>
      </c>
      <c r="AB46" s="199" t="str">
        <f t="shared" si="20"/>
        <v>FSTA</v>
      </c>
      <c r="AC46" s="33" cm="1">
        <f t="array" aca="1" ref="AC46" ca="1">INDIRECT(ADDRESS($B46,8,,,"mkt data"))</f>
        <v>51.91</v>
      </c>
      <c r="AD46" s="191">
        <f t="shared" ca="1" si="21"/>
        <v>51.66</v>
      </c>
      <c r="AE46" s="191">
        <f t="shared" ca="1" si="23"/>
        <v>-0.25</v>
      </c>
      <c r="AF46" s="202">
        <v>0</v>
      </c>
      <c r="AG46" s="191">
        <f t="shared" ca="1" si="24"/>
        <v>-0.25</v>
      </c>
      <c r="AH46" s="191">
        <f t="shared" ca="1" si="22"/>
        <v>0</v>
      </c>
      <c r="AI46" s="375">
        <f ca="1">AH46+AH47</f>
        <v>0</v>
      </c>
    </row>
    <row r="47" spans="1:35" ht="15.75" thickBot="1" x14ac:dyDescent="0.3">
      <c r="A47" s="86">
        <f>MATCH(G47,SCALARS!C:C,0)</f>
        <v>89</v>
      </c>
      <c r="B47" s="87">
        <f>MATCH(G47,'MKT DATA'!B:B,0)</f>
        <v>90</v>
      </c>
      <c r="C47" s="86" t="str" cm="1">
        <f t="array" aca="1" ref="C47" ca="1">INDIRECT(ADDRESS($A47,2,,,"scalars"))</f>
        <v>staples</v>
      </c>
      <c r="D47" s="144" cm="1">
        <f t="array" aca="1" ref="D47" ca="1">INDIRECT(ADDRESS($A47,8,,,"SCALARS"))</f>
        <v>155500</v>
      </c>
      <c r="E47" s="146"/>
      <c r="F47" s="20" t="str" cm="1">
        <f t="array" aca="1" ref="F47" ca="1">INDIRECT(ADDRESS($A47,5,,,"scalars"))</f>
        <v>VDC</v>
      </c>
      <c r="G47" s="21" t="s">
        <v>90</v>
      </c>
      <c r="H47" s="37" cm="1">
        <f t="array" aca="1" ref="H47" ca="1">INDIRECT(ADDRESS($B47,5,,,"mkt data"))</f>
        <v>218.78</v>
      </c>
      <c r="I47" s="38" cm="1">
        <f t="array" aca="1" ref="I47" ca="1">INDIRECT(ADDRESS($B47,6,,,"mkt data"))</f>
        <v>225.75</v>
      </c>
      <c r="J47" s="171" cm="1">
        <f t="array" aca="1" ref="J47" ca="1">INDIRECT(ADDRESS($A47,7,,,"SCALARS"))</f>
        <v>0</v>
      </c>
      <c r="K47" s="22">
        <f t="shared" ca="1" si="14"/>
        <v>218.77449999999999</v>
      </c>
      <c r="L47" s="22">
        <f t="shared" ca="1" si="15"/>
        <v>225.75550000000001</v>
      </c>
      <c r="M47" s="45" cm="1">
        <f t="array" aca="1" ref="M47" ca="1">INDIRECT(ADDRESS($A47,6,,,"scalars"))</f>
        <v>1</v>
      </c>
      <c r="N47" s="23">
        <f t="shared" ca="1" si="16"/>
        <v>218.77449999999999</v>
      </c>
      <c r="O47" s="23">
        <f t="shared" ca="1" si="17"/>
        <v>225.75550000000001</v>
      </c>
      <c r="P47" s="385"/>
      <c r="Q47" s="387"/>
      <c r="R47" s="296" t="b">
        <f ca="1">IF(Q46&gt;R46,TRUE,FALSE)</f>
        <v>0</v>
      </c>
      <c r="S47" s="263" t="b">
        <f ca="1">AND(IF(U46&gt;-S46,TRUE,FALSE),IF(X46&gt;0,TRUE,FALSE))</f>
        <v>0</v>
      </c>
      <c r="T47" s="385"/>
      <c r="U47" s="387"/>
      <c r="V47" s="296" t="b">
        <f ca="1">IF(U46&gt;V46,TRUE,FALSE)</f>
        <v>0</v>
      </c>
      <c r="W47" s="61" t="b">
        <f ca="1">AND(IF(Q46&gt;-W46,TRUE,FALSE),IF(X46&lt;0,TRUE,FALSE))</f>
        <v>0</v>
      </c>
      <c r="X47" s="29" cm="1">
        <f t="array" aca="1" ref="X47" ca="1">INDIRECT(ADDRESS($B47,9,,,"mkt data"))</f>
        <v>0</v>
      </c>
      <c r="Y47" s="50">
        <f t="shared" ca="1" si="18"/>
        <v>0</v>
      </c>
      <c r="Z47" s="29">
        <f t="shared" ca="1" si="19"/>
        <v>0</v>
      </c>
      <c r="AA47" s="371"/>
      <c r="AB47" s="207" t="str">
        <f t="shared" si="20"/>
        <v>VDC</v>
      </c>
      <c r="AC47" s="37" cm="1">
        <f t="array" aca="1" ref="AC47" ca="1">INDIRECT(ADDRESS($B47,8,,,"mkt data"))</f>
        <v>222.800003</v>
      </c>
      <c r="AD47" s="193">
        <f t="shared" ca="1" si="21"/>
        <v>222.26499999999999</v>
      </c>
      <c r="AE47" s="193">
        <f t="shared" ca="1" si="23"/>
        <v>-0.53500300000001744</v>
      </c>
      <c r="AF47" s="204">
        <v>0</v>
      </c>
      <c r="AG47" s="193">
        <f t="shared" ca="1" si="24"/>
        <v>-0.53500300000001744</v>
      </c>
      <c r="AH47" s="193">
        <f t="shared" ca="1" si="22"/>
        <v>0</v>
      </c>
      <c r="AI47" s="377"/>
    </row>
    <row r="48" spans="1:35" x14ac:dyDescent="0.25">
      <c r="A48" s="84">
        <f>MATCH(G48,SCALARS!C:C,0)</f>
        <v>93</v>
      </c>
      <c r="B48" s="85">
        <f>MATCH(G48,'MKT DATA'!B:B,0)</f>
        <v>94</v>
      </c>
      <c r="C48" s="84" t="str" cm="1">
        <f t="array" aca="1" ref="C48" ca="1">INDIRECT(ADDRESS($A48,2,,,"scalars"))</f>
        <v>technology</v>
      </c>
      <c r="D48" s="143" cm="1">
        <f t="array" aca="1" ref="D48" ca="1">INDIRECT(ADDRESS($A48,8,,,"SCALARS"))</f>
        <v>9901900</v>
      </c>
      <c r="E48" s="145"/>
      <c r="F48" s="14" t="str" cm="1">
        <f t="array" aca="1" ref="F48" ca="1">INDIRECT(ADDRESS($A48,5,,,"scalars"))</f>
        <v>FTEC</v>
      </c>
      <c r="G48" s="93" t="s">
        <v>111</v>
      </c>
      <c r="H48" s="33" cm="1">
        <f t="array" aca="1" ref="H48" ca="1">INDIRECT(ADDRESS($B48,5,,,"mkt data"))</f>
        <v>124.7</v>
      </c>
      <c r="I48" s="34" cm="1">
        <f t="array" aca="1" ref="I48" ca="1">INDIRECT(ADDRESS($B48,6,,,"mkt data"))</f>
        <v>125.24</v>
      </c>
      <c r="J48" s="170" cm="1">
        <f t="array" aca="1" ref="J48" ca="1">INDIRECT(ADDRESS($A48,7,,,"SCALARS"))</f>
        <v>0</v>
      </c>
      <c r="K48" s="16">
        <f t="shared" ca="1" si="14"/>
        <v>124.69450000000001</v>
      </c>
      <c r="L48" s="16">
        <f t="shared" ca="1" si="15"/>
        <v>125.24549999999999</v>
      </c>
      <c r="M48" s="91" cm="1">
        <f t="array" aca="1" ref="M48" ca="1">INDIRECT(ADDRESS($A48,6,,,"scalars"))</f>
        <v>2.3868797535163391</v>
      </c>
      <c r="N48" s="17">
        <f t="shared" ca="1" si="16"/>
        <v>297.63077742484313</v>
      </c>
      <c r="O48" s="17">
        <f t="shared" ca="1" si="17"/>
        <v>298.9459481690306</v>
      </c>
      <c r="P48" s="384">
        <f ca="1">N49-O48</f>
        <v>-1.5614481690305979</v>
      </c>
      <c r="Q48" s="386">
        <f t="shared" ref="Q48" ca="1" si="31">LN(N49/O48)</f>
        <v>-5.236867385706276E-3</v>
      </c>
      <c r="R48" s="295">
        <v>1E-3</v>
      </c>
      <c r="S48" s="262">
        <v>0</v>
      </c>
      <c r="T48" s="384">
        <f ca="1">N48-O49</f>
        <v>-2.6047225751568703</v>
      </c>
      <c r="U48" s="386">
        <f ca="1">LN(N48/O49)</f>
        <v>-8.7134503269929407E-3</v>
      </c>
      <c r="V48" s="295">
        <v>1E-3</v>
      </c>
      <c r="W48" s="60">
        <v>0</v>
      </c>
      <c r="X48" s="27" cm="1">
        <f t="array" aca="1" ref="X48" ca="1">INDIRECT(ADDRESS($B48,9,,,"mkt data"))</f>
        <v>0</v>
      </c>
      <c r="Y48" s="48">
        <f t="shared" ca="1" si="18"/>
        <v>0</v>
      </c>
      <c r="Z48" s="27">
        <f t="shared" ca="1" si="19"/>
        <v>0</v>
      </c>
      <c r="AA48" s="369">
        <f ca="1">SUM(Z48:Z49)</f>
        <v>0</v>
      </c>
      <c r="AB48" s="208" t="str">
        <f t="shared" si="20"/>
        <v>VGT</v>
      </c>
      <c r="AC48" s="33" cm="1">
        <f t="array" aca="1" ref="AC48" ca="1">INDIRECT(ADDRESS($B48,8,,,"mkt data"))</f>
        <v>125.099998</v>
      </c>
      <c r="AD48" s="191">
        <f t="shared" ca="1" si="21"/>
        <v>124.97</v>
      </c>
      <c r="AE48" s="191">
        <f t="shared" ref="AE48:AE51" ca="1" si="32">AD48-AC48</f>
        <v>-0.1299980000000005</v>
      </c>
      <c r="AF48" s="202">
        <v>0</v>
      </c>
      <c r="AG48" s="191">
        <f t="shared" ref="AG48:AG51" ca="1" si="33">AE48+AF48</f>
        <v>-0.1299980000000005</v>
      </c>
      <c r="AH48" s="191">
        <f t="shared" ca="1" si="22"/>
        <v>0</v>
      </c>
      <c r="AI48" s="375">
        <f t="shared" ref="AI48" ca="1" si="34">AH48+AH49</f>
        <v>0</v>
      </c>
    </row>
    <row r="49" spans="1:35" ht="15.75" thickBot="1" x14ac:dyDescent="0.3">
      <c r="A49" s="86">
        <f>MATCH(G49,SCALARS!C:C,0)</f>
        <v>92</v>
      </c>
      <c r="B49" s="87">
        <f>MATCH(G49,'MKT DATA'!B:B,0)</f>
        <v>92</v>
      </c>
      <c r="C49" s="86" t="str" cm="1">
        <f t="array" aca="1" ref="C49" ca="1">INDIRECT(ADDRESS($A49,2,,,"scalars"))</f>
        <v>technology</v>
      </c>
      <c r="D49" s="144" cm="1">
        <f t="array" aca="1" ref="D49" ca="1">INDIRECT(ADDRESS($A49,8,,,"SCALARS"))</f>
        <v>259600</v>
      </c>
      <c r="E49" s="146"/>
      <c r="F49" s="20" t="str" cm="1">
        <f t="array" aca="1" ref="F49" ca="1">INDIRECT(ADDRESS($A49,5,,,"scalars"))</f>
        <v>FTEC</v>
      </c>
      <c r="G49" s="94" t="s">
        <v>109</v>
      </c>
      <c r="H49" s="37" cm="1">
        <f t="array" aca="1" ref="H49" ca="1">INDIRECT(ADDRESS($B49,5,,,"mkt data"))</f>
        <v>297.39</v>
      </c>
      <c r="I49" s="38" cm="1">
        <f t="array" aca="1" ref="I49" ca="1">INDIRECT(ADDRESS($B49,6,,,"mkt data"))</f>
        <v>300.23</v>
      </c>
      <c r="J49" s="171" cm="1">
        <f t="array" aca="1" ref="J49" ca="1">INDIRECT(ADDRESS($A49,7,,,"SCALARS"))</f>
        <v>0</v>
      </c>
      <c r="K49" s="22">
        <f t="shared" ca="1" si="14"/>
        <v>297.3845</v>
      </c>
      <c r="L49" s="22">
        <f t="shared" ca="1" si="15"/>
        <v>300.2355</v>
      </c>
      <c r="M49" s="92" cm="1">
        <f t="array" aca="1" ref="M49" ca="1">INDIRECT(ADDRESS($A49,6,,,"scalars"))</f>
        <v>1</v>
      </c>
      <c r="N49" s="23">
        <f t="shared" ca="1" si="16"/>
        <v>297.3845</v>
      </c>
      <c r="O49" s="23">
        <f t="shared" ca="1" si="17"/>
        <v>300.2355</v>
      </c>
      <c r="P49" s="385"/>
      <c r="Q49" s="387"/>
      <c r="R49" s="296" t="b">
        <f ca="1">IF(Q48&gt;R48,TRUE,FALSE)</f>
        <v>0</v>
      </c>
      <c r="S49" s="263" t="b">
        <f ca="1">AND(IF(U48&gt;-S48,TRUE,FALSE),IF(X48&gt;0,TRUE,FALSE))</f>
        <v>0</v>
      </c>
      <c r="T49" s="385"/>
      <c r="U49" s="387"/>
      <c r="V49" s="296" t="b">
        <f ca="1">IF(U48&gt;V48,TRUE,FALSE)</f>
        <v>0</v>
      </c>
      <c r="W49" s="61" t="b">
        <f ca="1">AND(IF(Q48&gt;-W48,TRUE,FALSE),IF(X48&lt;0,TRUE,FALSE))</f>
        <v>0</v>
      </c>
      <c r="X49" s="29" cm="1">
        <f t="array" aca="1" ref="X49" ca="1">INDIRECT(ADDRESS($B49,9,,,"mkt data"))</f>
        <v>0</v>
      </c>
      <c r="Y49" s="50">
        <f t="shared" ca="1" si="18"/>
        <v>0</v>
      </c>
      <c r="Z49" s="29">
        <f t="shared" ca="1" si="19"/>
        <v>0</v>
      </c>
      <c r="AA49" s="371"/>
      <c r="AB49" s="209" t="str">
        <f t="shared" si="20"/>
        <v>FTEC</v>
      </c>
      <c r="AC49" s="37" cm="1">
        <f t="array" aca="1" ref="AC49" ca="1">INDIRECT(ADDRESS($B49,8,,,"mkt data"))</f>
        <v>298.60000600000001</v>
      </c>
      <c r="AD49" s="193">
        <f t="shared" ca="1" si="21"/>
        <v>298.81</v>
      </c>
      <c r="AE49" s="193">
        <f t="shared" ca="1" si="32"/>
        <v>0.20999399999999468</v>
      </c>
      <c r="AF49" s="204">
        <v>0</v>
      </c>
      <c r="AG49" s="193">
        <f t="shared" ca="1" si="33"/>
        <v>0.20999399999999468</v>
      </c>
      <c r="AH49" s="193">
        <f t="shared" ca="1" si="22"/>
        <v>0</v>
      </c>
      <c r="AI49" s="377"/>
    </row>
    <row r="50" spans="1:35" x14ac:dyDescent="0.25">
      <c r="A50" s="84">
        <f>MATCH(G50,SCALARS!C:C,0)</f>
        <v>98</v>
      </c>
      <c r="B50" s="85">
        <f>MATCH(G50,'MKT DATA'!B:B,0)</f>
        <v>96</v>
      </c>
      <c r="C50" s="84" t="str" cm="1">
        <f t="array" aca="1" ref="C50" ca="1">INDIRECT(ADDRESS($A50,2,,,"scalars"))</f>
        <v>utilities</v>
      </c>
      <c r="D50" s="143" cm="1">
        <f t="array" aca="1" ref="D50" ca="1">INDIRECT(ADDRESS($A50,8,,,"SCALARS"))</f>
        <v>420000</v>
      </c>
      <c r="E50" s="145"/>
      <c r="F50" s="14" t="str" cm="1">
        <f t="array" aca="1" ref="F50" ca="1">INDIRECT(ADDRESS($A50,5,,,"scalars"))</f>
        <v>VPU</v>
      </c>
      <c r="G50" s="15" t="s">
        <v>113</v>
      </c>
      <c r="H50" s="33" cm="1">
        <f t="array" aca="1" ref="H50" ca="1">INDIRECT(ADDRESS($B50,5,,,"mkt data"))</f>
        <v>50</v>
      </c>
      <c r="I50" s="34" cm="1">
        <f t="array" aca="1" ref="I50" ca="1">INDIRECT(ADDRESS($B50,6,,,"mkt data"))</f>
        <v>54.51</v>
      </c>
      <c r="J50" s="170" cm="1">
        <f t="array" aca="1" ref="J50" ca="1">INDIRECT(ADDRESS($A50,7,,,"SCALARS"))</f>
        <v>0</v>
      </c>
      <c r="K50" s="16">
        <f t="shared" ca="1" si="14"/>
        <v>49.994500000000002</v>
      </c>
      <c r="L50" s="16">
        <f t="shared" ca="1" si="15"/>
        <v>54.515499999999996</v>
      </c>
      <c r="M50" s="44" cm="1">
        <f t="array" aca="1" ref="M50" ca="1">INDIRECT(ADDRESS($A50,6,,,"scalars"))</f>
        <v>3.3501781063964833</v>
      </c>
      <c r="N50" s="17">
        <f t="shared" ca="1" si="16"/>
        <v>167.49047934023898</v>
      </c>
      <c r="O50" s="17">
        <f t="shared" ca="1" si="17"/>
        <v>182.63663455925746</v>
      </c>
      <c r="P50" s="384">
        <f ca="1">N51-O50</f>
        <v>-12.552134559257468</v>
      </c>
      <c r="Q50" s="386">
        <f t="shared" ref="Q50" ca="1" si="35">LN(N51/O50)</f>
        <v>-7.1203203035102372E-2</v>
      </c>
      <c r="R50" s="295">
        <v>1E-3</v>
      </c>
      <c r="S50" s="262">
        <v>0</v>
      </c>
      <c r="T50" s="384">
        <f ca="1">N50-O51</f>
        <v>-6.8950206597610304</v>
      </c>
      <c r="U50" s="386">
        <f ca="1">LN(N50/O51)</f>
        <v>-4.0341855926626473E-2</v>
      </c>
      <c r="V50" s="295">
        <v>1E-3</v>
      </c>
      <c r="W50" s="60">
        <v>0</v>
      </c>
      <c r="X50" s="27" cm="1">
        <f t="array" aca="1" ref="X50" ca="1">INDIRECT(ADDRESS($B50,9,,,"mkt data"))</f>
        <v>0</v>
      </c>
      <c r="Y50" s="48">
        <f t="shared" ca="1" si="18"/>
        <v>0</v>
      </c>
      <c r="Z50" s="27">
        <f t="shared" ca="1" si="19"/>
        <v>0</v>
      </c>
      <c r="AA50" s="369">
        <f ca="1">SUM(Z50:Z51)</f>
        <v>0</v>
      </c>
      <c r="AB50" s="199" t="str">
        <f t="shared" si="20"/>
        <v>FUTY</v>
      </c>
      <c r="AC50" s="33" cm="1">
        <f t="array" aca="1" ref="AC50" ca="1">INDIRECT(ADDRESS($B50,8,,,"mkt data"))</f>
        <v>50.82</v>
      </c>
      <c r="AD50" s="191">
        <f t="shared" ca="1" si="21"/>
        <v>52.254999999999995</v>
      </c>
      <c r="AE50" s="191">
        <f t="shared" ca="1" si="32"/>
        <v>1.4349999999999952</v>
      </c>
      <c r="AF50" s="202">
        <v>0</v>
      </c>
      <c r="AG50" s="191">
        <f t="shared" ca="1" si="33"/>
        <v>1.4349999999999952</v>
      </c>
      <c r="AH50" s="191">
        <f t="shared" ca="1" si="22"/>
        <v>0</v>
      </c>
      <c r="AI50" s="375">
        <f t="shared" ref="AI50" ca="1" si="36">AH50+AH51</f>
        <v>0</v>
      </c>
    </row>
    <row r="51" spans="1:35" ht="15.75" thickBot="1" x14ac:dyDescent="0.3">
      <c r="A51" s="86">
        <f>MATCH(G51,SCALARS!C:C,0)</f>
        <v>99</v>
      </c>
      <c r="B51" s="87">
        <f>MATCH(G51,'MKT DATA'!B:B,0)</f>
        <v>98</v>
      </c>
      <c r="C51" s="86" t="str" cm="1">
        <f t="array" aca="1" ref="C51" ca="1">INDIRECT(ADDRESS($A51,2,,,"scalars"))</f>
        <v>utilities</v>
      </c>
      <c r="D51" s="144" cm="1">
        <f t="array" aca="1" ref="D51" ca="1">INDIRECT(ADDRESS($A51,8,,,"SCALARS"))</f>
        <v>298900</v>
      </c>
      <c r="E51" s="146"/>
      <c r="F51" s="20" t="str" cm="1">
        <f t="array" aca="1" ref="F51" ca="1">INDIRECT(ADDRESS($A51,5,,,"scalars"))</f>
        <v>VPU</v>
      </c>
      <c r="G51" s="21" t="s">
        <v>115</v>
      </c>
      <c r="H51" s="37" cm="1">
        <f t="array" aca="1" ref="H51" ca="1">INDIRECT(ADDRESS($B51,5,,,"mkt data"))</f>
        <v>170.09</v>
      </c>
      <c r="I51" s="38" cm="1">
        <f t="array" aca="1" ref="I51" ca="1">INDIRECT(ADDRESS($B51,6,,,"mkt data"))</f>
        <v>174.38</v>
      </c>
      <c r="J51" s="171" cm="1">
        <f t="array" aca="1" ref="J51" ca="1">INDIRECT(ADDRESS($A51,7,,,"SCALARS"))</f>
        <v>0</v>
      </c>
      <c r="K51" s="22">
        <f t="shared" ca="1" si="14"/>
        <v>170.08449999999999</v>
      </c>
      <c r="L51" s="22">
        <f t="shared" ca="1" si="15"/>
        <v>174.38550000000001</v>
      </c>
      <c r="M51" s="45" cm="1">
        <f t="array" aca="1" ref="M51" ca="1">INDIRECT(ADDRESS($A51,6,,,"scalars"))</f>
        <v>1</v>
      </c>
      <c r="N51" s="23">
        <f t="shared" ca="1" si="16"/>
        <v>170.08449999999999</v>
      </c>
      <c r="O51" s="23">
        <f t="shared" ca="1" si="17"/>
        <v>174.38550000000001</v>
      </c>
      <c r="P51" s="385"/>
      <c r="Q51" s="387"/>
      <c r="R51" s="296" t="b">
        <f ca="1">IF(Q50&gt;R50,TRUE,FALSE)</f>
        <v>0</v>
      </c>
      <c r="S51" s="263" t="b">
        <f ca="1">AND(IF(U50&gt;-S50,TRUE,FALSE),IF(X50&gt;0,TRUE,FALSE))</f>
        <v>0</v>
      </c>
      <c r="T51" s="385"/>
      <c r="U51" s="387"/>
      <c r="V51" s="296" t="b">
        <f ca="1">IF(U50&gt;V50,TRUE,FALSE)</f>
        <v>0</v>
      </c>
      <c r="W51" s="61" t="b">
        <f ca="1">AND(IF(Q50&gt;-W50,TRUE,FALSE),IF(X50&lt;0,TRUE,FALSE))</f>
        <v>0</v>
      </c>
      <c r="X51" s="29" cm="1">
        <f t="array" aca="1" ref="X51" ca="1">INDIRECT(ADDRESS($B51,9,,,"mkt data"))</f>
        <v>0</v>
      </c>
      <c r="Y51" s="50">
        <f t="shared" ca="1" si="18"/>
        <v>0</v>
      </c>
      <c r="Z51" s="29">
        <f t="shared" ca="1" si="19"/>
        <v>0</v>
      </c>
      <c r="AA51" s="371"/>
      <c r="AB51" s="207" t="str">
        <f t="shared" si="20"/>
        <v>VPU</v>
      </c>
      <c r="AC51" s="37" cm="1">
        <f t="array" aca="1" ref="AC51" ca="1">INDIRECT(ADDRESS($B51,8,,,"mkt data"))</f>
        <v>170.28999300000001</v>
      </c>
      <c r="AD51" s="193">
        <f t="shared" ca="1" si="21"/>
        <v>172.23500000000001</v>
      </c>
      <c r="AE51" s="193">
        <f t="shared" ca="1" si="32"/>
        <v>1.9450070000000039</v>
      </c>
      <c r="AF51" s="204">
        <v>0</v>
      </c>
      <c r="AG51" s="193">
        <f t="shared" ca="1" si="33"/>
        <v>1.9450070000000039</v>
      </c>
      <c r="AH51" s="193">
        <f t="shared" ca="1" si="22"/>
        <v>0</v>
      </c>
      <c r="AI51" s="377"/>
    </row>
    <row r="61" spans="1:35" x14ac:dyDescent="0.25">
      <c r="C61"/>
      <c r="D61"/>
      <c r="AB61"/>
    </row>
    <row r="62" spans="1:35" x14ac:dyDescent="0.25">
      <c r="C62"/>
      <c r="D62"/>
      <c r="AB62"/>
    </row>
    <row r="63" spans="1:35" x14ac:dyDescent="0.25">
      <c r="C63"/>
      <c r="D63"/>
      <c r="AB63"/>
    </row>
    <row r="64" spans="1:35" ht="15.75" thickBot="1" x14ac:dyDescent="0.3">
      <c r="C64"/>
      <c r="D64"/>
      <c r="AB64"/>
    </row>
    <row r="65" spans="1:28" x14ac:dyDescent="0.25">
      <c r="A65" s="184" t="s">
        <v>196</v>
      </c>
      <c r="B65" s="154" t="s">
        <v>54</v>
      </c>
      <c r="C65" s="154" t="s">
        <v>55</v>
      </c>
      <c r="D65" s="154" t="s">
        <v>197</v>
      </c>
      <c r="E65" s="154" t="s">
        <v>198</v>
      </c>
      <c r="F65" s="155" t="s">
        <v>200</v>
      </c>
      <c r="H65" t="s">
        <v>212</v>
      </c>
      <c r="AB65"/>
    </row>
    <row r="66" spans="1:28" x14ac:dyDescent="0.25">
      <c r="A66" s="185" t="s">
        <v>188</v>
      </c>
      <c r="B66" s="187" t="s">
        <v>189</v>
      </c>
      <c r="C66" s="187" t="s">
        <v>192</v>
      </c>
      <c r="D66" t="s">
        <v>190</v>
      </c>
      <c r="E66" t="s">
        <v>191</v>
      </c>
      <c r="F66" s="156" t="s">
        <v>193</v>
      </c>
      <c r="H66" t="s">
        <v>213</v>
      </c>
      <c r="AB66"/>
    </row>
    <row r="67" spans="1:28" ht="15.75" thickBot="1" x14ac:dyDescent="0.3">
      <c r="A67" s="186" t="s">
        <v>199</v>
      </c>
      <c r="B67" s="157"/>
      <c r="C67" s="157"/>
      <c r="D67" s="157"/>
      <c r="E67" s="157"/>
      <c r="F67" s="158"/>
      <c r="AB67"/>
    </row>
    <row r="68" spans="1:28" x14ac:dyDescent="0.25">
      <c r="C68"/>
      <c r="D68"/>
      <c r="AB68"/>
    </row>
  </sheetData>
  <mergeCells count="142">
    <mergeCell ref="AI42:AI43"/>
    <mergeCell ref="AI44:AI45"/>
    <mergeCell ref="AI46:AI47"/>
    <mergeCell ref="AI48:AI49"/>
    <mergeCell ref="AI50:AI51"/>
    <mergeCell ref="AI5:AI6"/>
    <mergeCell ref="AI11:AI12"/>
    <mergeCell ref="AI15:AI16"/>
    <mergeCell ref="AI7:AI8"/>
    <mergeCell ref="AI13:AI14"/>
    <mergeCell ref="AI9:AI10"/>
    <mergeCell ref="AI17:AI18"/>
    <mergeCell ref="AI19:AI20"/>
    <mergeCell ref="AI21:AI22"/>
    <mergeCell ref="AI34:AI35"/>
    <mergeCell ref="AI36:AI37"/>
    <mergeCell ref="AI24:AI25"/>
    <mergeCell ref="P13:P14"/>
    <mergeCell ref="Q13:Q14"/>
    <mergeCell ref="P17:P18"/>
    <mergeCell ref="Q17:Q18"/>
    <mergeCell ref="AA15:AA16"/>
    <mergeCell ref="T15:T16"/>
    <mergeCell ref="U15:U16"/>
    <mergeCell ref="P15:P16"/>
    <mergeCell ref="Q15:Q16"/>
    <mergeCell ref="P34:P35"/>
    <mergeCell ref="Q34:Q35"/>
    <mergeCell ref="T34:T35"/>
    <mergeCell ref="AA50:AA51"/>
    <mergeCell ref="P50:P51"/>
    <mergeCell ref="Q50:Q51"/>
    <mergeCell ref="T50:T51"/>
    <mergeCell ref="AA44:AA45"/>
    <mergeCell ref="P38:P39"/>
    <mergeCell ref="Q38:Q39"/>
    <mergeCell ref="T38:T39"/>
    <mergeCell ref="U38:U39"/>
    <mergeCell ref="AA48:AA49"/>
    <mergeCell ref="AA38:AA39"/>
    <mergeCell ref="AA42:AA43"/>
    <mergeCell ref="AA40:AA41"/>
    <mergeCell ref="AA34:AA35"/>
    <mergeCell ref="AA46:AA47"/>
    <mergeCell ref="P46:P47"/>
    <mergeCell ref="Q46:Q47"/>
    <mergeCell ref="T46:T47"/>
    <mergeCell ref="U46:U47"/>
    <mergeCell ref="AA36:AA37"/>
    <mergeCell ref="P36:P37"/>
    <mergeCell ref="K1:L2"/>
    <mergeCell ref="U50:U51"/>
    <mergeCell ref="Q42:Q43"/>
    <mergeCell ref="T42:T43"/>
    <mergeCell ref="U42:U43"/>
    <mergeCell ref="P40:P41"/>
    <mergeCell ref="Q40:Q41"/>
    <mergeCell ref="U7:U8"/>
    <mergeCell ref="P7:P8"/>
    <mergeCell ref="Q7:Q8"/>
    <mergeCell ref="P44:P45"/>
    <mergeCell ref="Q44:Q45"/>
    <mergeCell ref="T44:T45"/>
    <mergeCell ref="P48:P49"/>
    <mergeCell ref="Q48:Q49"/>
    <mergeCell ref="T48:T49"/>
    <mergeCell ref="U48:U49"/>
    <mergeCell ref="U44:U45"/>
    <mergeCell ref="P42:P43"/>
    <mergeCell ref="U34:U35"/>
    <mergeCell ref="T13:T14"/>
    <mergeCell ref="U13:U14"/>
    <mergeCell ref="T40:T41"/>
    <mergeCell ref="U40:U41"/>
    <mergeCell ref="A3:B3"/>
    <mergeCell ref="X3:AA3"/>
    <mergeCell ref="H3:I3"/>
    <mergeCell ref="N3:O3"/>
    <mergeCell ref="AA21:AA22"/>
    <mergeCell ref="T21:T22"/>
    <mergeCell ref="U21:U22"/>
    <mergeCell ref="P21:P22"/>
    <mergeCell ref="Q21:Q22"/>
    <mergeCell ref="AA19:AA20"/>
    <mergeCell ref="T19:T20"/>
    <mergeCell ref="U19:U20"/>
    <mergeCell ref="P19:P20"/>
    <mergeCell ref="Q19:Q20"/>
    <mergeCell ref="AA9:AA10"/>
    <mergeCell ref="T9:T10"/>
    <mergeCell ref="AA5:AA6"/>
    <mergeCell ref="P5:P6"/>
    <mergeCell ref="Q5:Q6"/>
    <mergeCell ref="T5:T6"/>
    <mergeCell ref="U5:U6"/>
    <mergeCell ref="K3:L3"/>
    <mergeCell ref="T17:T18"/>
    <mergeCell ref="U17:U18"/>
    <mergeCell ref="Q36:Q37"/>
    <mergeCell ref="T36:T37"/>
    <mergeCell ref="U36:U37"/>
    <mergeCell ref="AG1:AG2"/>
    <mergeCell ref="AH1:AH2"/>
    <mergeCell ref="AI1:AI2"/>
    <mergeCell ref="U9:U10"/>
    <mergeCell ref="AA13:AA14"/>
    <mergeCell ref="AA17:AA18"/>
    <mergeCell ref="P3:S3"/>
    <mergeCell ref="T3:W3"/>
    <mergeCell ref="P9:P10"/>
    <mergeCell ref="Q9:Q10"/>
    <mergeCell ref="AA11:AA12"/>
    <mergeCell ref="T11:T12"/>
    <mergeCell ref="U11:U12"/>
    <mergeCell ref="P11:P12"/>
    <mergeCell ref="Q11:Q12"/>
    <mergeCell ref="AA7:AA8"/>
    <mergeCell ref="X1:AA2"/>
    <mergeCell ref="T7:T8"/>
    <mergeCell ref="AI31:AI32"/>
    <mergeCell ref="P31:P32"/>
    <mergeCell ref="Q31:Q32"/>
    <mergeCell ref="T31:T32"/>
    <mergeCell ref="U31:U32"/>
    <mergeCell ref="AA31:AA32"/>
    <mergeCell ref="AA29:AA30"/>
    <mergeCell ref="AI29:AI30"/>
    <mergeCell ref="P26:P27"/>
    <mergeCell ref="Q26:Q27"/>
    <mergeCell ref="T26:T27"/>
    <mergeCell ref="U26:U27"/>
    <mergeCell ref="AI26:AI27"/>
    <mergeCell ref="P24:P25"/>
    <mergeCell ref="AA24:AA25"/>
    <mergeCell ref="Q24:Q25"/>
    <mergeCell ref="T24:T25"/>
    <mergeCell ref="U24:U25"/>
    <mergeCell ref="P29:P30"/>
    <mergeCell ref="Q29:Q30"/>
    <mergeCell ref="T29:T30"/>
    <mergeCell ref="U29:U30"/>
    <mergeCell ref="AA26:AA27"/>
  </mergeCells>
  <conditionalFormatting sqref="N40:N41">
    <cfRule type="top10" dxfId="157" priority="182" rank="1"/>
  </conditionalFormatting>
  <conditionalFormatting sqref="N48:N49">
    <cfRule type="top10" dxfId="156" priority="238" rank="1"/>
  </conditionalFormatting>
  <conditionalFormatting sqref="N44:N45">
    <cfRule type="top10" dxfId="155" priority="222" rank="1"/>
  </conditionalFormatting>
  <conditionalFormatting sqref="N46:N47">
    <cfRule type="top10" dxfId="154" priority="226" rank="1"/>
  </conditionalFormatting>
  <conditionalFormatting sqref="U5:U60">
    <cfRule type="cellIs" dxfId="153" priority="78" operator="greaterThan">
      <formula>0</formula>
    </cfRule>
  </conditionalFormatting>
  <conditionalFormatting sqref="N19:N20">
    <cfRule type="top10" dxfId="152" priority="155" rank="1"/>
  </conditionalFormatting>
  <conditionalFormatting sqref="N15:N16">
    <cfRule type="top10" dxfId="151" priority="149" rank="1"/>
  </conditionalFormatting>
  <conditionalFormatting sqref="N36:N37">
    <cfRule type="top10" dxfId="150" priority="162" rank="1"/>
  </conditionalFormatting>
  <conditionalFormatting sqref="N42:N43">
    <cfRule type="top10" dxfId="149" priority="209" rank="1"/>
  </conditionalFormatting>
  <conditionalFormatting sqref="N50:N51">
    <cfRule type="top10" dxfId="148" priority="264" rank="1"/>
  </conditionalFormatting>
  <conditionalFormatting sqref="N38:N39">
    <cfRule type="top10" dxfId="147" priority="166" rank="1"/>
  </conditionalFormatting>
  <conditionalFormatting sqref="N17:N18">
    <cfRule type="top10" dxfId="146" priority="153" rank="1"/>
  </conditionalFormatting>
  <conditionalFormatting sqref="O15:O16">
    <cfRule type="top10" dxfId="145" priority="150" bottom="1" rank="1"/>
  </conditionalFormatting>
  <conditionalFormatting sqref="O19:O20">
    <cfRule type="top10" dxfId="144" priority="156" bottom="1" rank="1"/>
  </conditionalFormatting>
  <conditionalFormatting sqref="O17:O18">
    <cfRule type="top10" dxfId="143" priority="154" bottom="1" rank="1"/>
  </conditionalFormatting>
  <conditionalFormatting sqref="O36:O37">
    <cfRule type="top10" dxfId="142" priority="165" bottom="1" rank="1"/>
  </conditionalFormatting>
  <conditionalFormatting sqref="O40:O41">
    <cfRule type="top10" dxfId="141" priority="184" bottom="1" rank="1"/>
  </conditionalFormatting>
  <conditionalFormatting sqref="O44:O45">
    <cfRule type="top10" dxfId="140" priority="224" bottom="1" rank="1"/>
  </conditionalFormatting>
  <conditionalFormatting sqref="O48:O49">
    <cfRule type="top10" dxfId="139" priority="241" bottom="1" rank="1"/>
  </conditionalFormatting>
  <conditionalFormatting sqref="O38:O39">
    <cfRule type="top10" dxfId="138" priority="168" bottom="1" rank="1"/>
  </conditionalFormatting>
  <conditionalFormatting sqref="O42:O43">
    <cfRule type="top10" dxfId="137" priority="215" bottom="1" rank="1"/>
  </conditionalFormatting>
  <conditionalFormatting sqref="O46:O47">
    <cfRule type="top10" dxfId="136" priority="236" bottom="1" rank="1"/>
  </conditionalFormatting>
  <conditionalFormatting sqref="O50:O51">
    <cfRule type="top10" dxfId="135" priority="266" bottom="1" rank="1"/>
  </conditionalFormatting>
  <conditionalFormatting sqref="N34:N35">
    <cfRule type="top10" dxfId="134" priority="159" rank="1"/>
  </conditionalFormatting>
  <conditionalFormatting sqref="O34:O35">
    <cfRule type="top10" dxfId="133" priority="160" bottom="1" rank="1"/>
  </conditionalFormatting>
  <conditionalFormatting sqref="N21:N22">
    <cfRule type="top10" dxfId="132" priority="157" rank="1"/>
  </conditionalFormatting>
  <conditionalFormatting sqref="O21:O22">
    <cfRule type="top10" dxfId="131" priority="158" bottom="1" rank="1"/>
  </conditionalFormatting>
  <conditionalFormatting sqref="N7:N8">
    <cfRule type="top10" dxfId="130" priority="83" rank="1"/>
  </conditionalFormatting>
  <conditionalFormatting sqref="N5:N6">
    <cfRule type="top10" dxfId="129" priority="81" rank="1"/>
  </conditionalFormatting>
  <conditionalFormatting sqref="O7:O8">
    <cfRule type="top10" dxfId="128" priority="84" bottom="1" rank="1"/>
  </conditionalFormatting>
  <conditionalFormatting sqref="O5:O6">
    <cfRule type="top10" dxfId="127" priority="82" bottom="1" rank="1"/>
  </conditionalFormatting>
  <conditionalFormatting sqref="N9:N10">
    <cfRule type="top10" dxfId="126" priority="85" rank="1"/>
  </conditionalFormatting>
  <conditionalFormatting sqref="O9:O10">
    <cfRule type="top10" dxfId="125" priority="86" bottom="1" rank="1"/>
  </conditionalFormatting>
  <conditionalFormatting sqref="N13:N14">
    <cfRule type="top10" dxfId="124" priority="89" rank="1"/>
  </conditionalFormatting>
  <conditionalFormatting sqref="N11:N12">
    <cfRule type="top10" dxfId="123" priority="87" rank="1"/>
  </conditionalFormatting>
  <conditionalFormatting sqref="O13:O14">
    <cfRule type="top10" dxfId="122" priority="90" bottom="1" rank="1"/>
  </conditionalFormatting>
  <conditionalFormatting sqref="O11:O12">
    <cfRule type="top10" dxfId="121" priority="88" bottom="1" rank="1"/>
  </conditionalFormatting>
  <conditionalFormatting sqref="N26:N27">
    <cfRule type="top10" dxfId="120" priority="71" rank="1"/>
  </conditionalFormatting>
  <conditionalFormatting sqref="O26:O27">
    <cfRule type="top10" dxfId="119" priority="72" bottom="1" rank="1"/>
  </conditionalFormatting>
  <conditionalFormatting sqref="N29:N30">
    <cfRule type="top10" dxfId="118" priority="69" rank="1"/>
  </conditionalFormatting>
  <conditionalFormatting sqref="O29:O30">
    <cfRule type="top10" dxfId="117" priority="70" bottom="1" rank="1"/>
  </conditionalFormatting>
  <conditionalFormatting sqref="N31:N32">
    <cfRule type="top10" dxfId="116" priority="67" rank="1"/>
  </conditionalFormatting>
  <conditionalFormatting sqref="O31:O32">
    <cfRule type="top10" dxfId="115" priority="68" bottom="1" rank="1"/>
  </conditionalFormatting>
  <conditionalFormatting sqref="N24:N25">
    <cfRule type="top10" dxfId="114" priority="73" rank="1"/>
  </conditionalFormatting>
  <conditionalFormatting sqref="O24:O25">
    <cfRule type="top10" dxfId="113" priority="74" bottom="1" rank="1"/>
  </conditionalFormatting>
  <conditionalFormatting sqref="Q5:Q60">
    <cfRule type="cellIs" dxfId="112" priority="66" operator="greaterThan">
      <formula>0</formula>
    </cfRule>
  </conditionalFormatting>
  <conditionalFormatting sqref="R5:R51">
    <cfRule type="cellIs" dxfId="111" priority="5" operator="equal">
      <formula>TRUE</formula>
    </cfRule>
  </conditionalFormatting>
  <conditionalFormatting sqref="S5:S51">
    <cfRule type="cellIs" dxfId="110" priority="4" operator="equal">
      <formula>TRUE</formula>
    </cfRule>
  </conditionalFormatting>
  <conditionalFormatting sqref="V5:V51">
    <cfRule type="cellIs" dxfId="109" priority="2" operator="equal">
      <formula>TRUE</formula>
    </cfRule>
  </conditionalFormatting>
  <conditionalFormatting sqref="W5:W51">
    <cfRule type="cellIs" dxfId="108" priority="1" operator="equal">
      <formula>TRUE</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105C2E-4AC9-48EC-9E57-BEB85703E80C}">
  <sheetPr codeName="Sheet8">
    <tabColor theme="6" tint="0.79998168889431442"/>
  </sheetPr>
  <dimension ref="A1:AI38"/>
  <sheetViews>
    <sheetView topLeftCell="G1" zoomScale="85" zoomScaleNormal="85" workbookViewId="0">
      <selection activeCell="R43" sqref="R43"/>
    </sheetView>
  </sheetViews>
  <sheetFormatPr defaultRowHeight="15" x14ac:dyDescent="0.25"/>
  <cols>
    <col min="1" max="1" width="10.28515625" customWidth="1"/>
    <col min="2" max="2" width="10" customWidth="1"/>
    <col min="3" max="3" width="14.5703125" bestFit="1" customWidth="1"/>
    <col min="4" max="4" width="11.5703125" bestFit="1" customWidth="1"/>
    <col min="5" max="5" width="7.7109375" bestFit="1" customWidth="1"/>
    <col min="6" max="6" width="7.5703125" customWidth="1"/>
    <col min="7" max="7" width="7.85546875" bestFit="1" customWidth="1"/>
    <col min="8" max="9" width="12.5703125" bestFit="1" customWidth="1"/>
    <col min="10" max="10" width="8.85546875" bestFit="1" customWidth="1"/>
    <col min="11" max="12" width="13.7109375" bestFit="1" customWidth="1"/>
    <col min="13" max="13" width="11.5703125" bestFit="1" customWidth="1"/>
    <col min="14" max="15" width="13.7109375" bestFit="1" customWidth="1"/>
    <col min="16" max="16" width="12.28515625" bestFit="1" customWidth="1"/>
    <col min="17" max="17" width="8.85546875" bestFit="1" customWidth="1"/>
    <col min="18" max="18" width="12.28515625" bestFit="1" customWidth="1"/>
    <col min="19" max="19" width="8.85546875" customWidth="1"/>
    <col min="20" max="20" width="12.28515625" bestFit="1" customWidth="1"/>
    <col min="21" max="21" width="9.5703125" bestFit="1" customWidth="1"/>
    <col min="22" max="22" width="9.7109375" bestFit="1" customWidth="1"/>
    <col min="23" max="23" width="8.85546875" customWidth="1"/>
    <col min="24" max="24" width="6" bestFit="1" customWidth="1"/>
    <col min="25" max="25" width="6.7109375" bestFit="1" customWidth="1"/>
    <col min="26" max="26" width="6" bestFit="1" customWidth="1"/>
    <col min="27" max="27" width="9.5703125" bestFit="1" customWidth="1"/>
    <col min="28" max="28" width="7.85546875" bestFit="1" customWidth="1"/>
    <col min="29" max="30" width="12.5703125" bestFit="1" customWidth="1"/>
    <col min="31" max="31" width="12.28515625" bestFit="1" customWidth="1"/>
    <col min="32" max="32" width="6.140625" customWidth="1"/>
    <col min="33" max="33" width="12.28515625" bestFit="1" customWidth="1"/>
    <col min="34" max="34" width="11" customWidth="1"/>
    <col min="35" max="35" width="11.42578125" customWidth="1"/>
    <col min="36" max="36" width="6.140625" bestFit="1" customWidth="1"/>
    <col min="37" max="37" width="8.7109375" bestFit="1" customWidth="1"/>
    <col min="38" max="70" width="11.7109375" customWidth="1"/>
  </cols>
  <sheetData>
    <row r="1" spans="1:35" x14ac:dyDescent="0.25">
      <c r="A1" s="154"/>
      <c r="B1" s="154"/>
      <c r="C1" s="154"/>
      <c r="D1" s="154"/>
      <c r="E1" s="154"/>
      <c r="F1" s="154"/>
      <c r="G1" s="154"/>
      <c r="H1" s="254"/>
      <c r="I1" s="154"/>
      <c r="J1" s="154"/>
      <c r="K1" s="342">
        <v>5.4999999999999997E-3</v>
      </c>
      <c r="L1" s="342"/>
      <c r="M1" s="154"/>
      <c r="N1" s="177"/>
      <c r="O1" s="154"/>
      <c r="T1" s="268"/>
      <c r="U1" s="268"/>
      <c r="X1" s="344" t="str">
        <f>'MKT DATA'!J2</f>
        <v>2026-09-29_16-03-12</v>
      </c>
      <c r="Y1" s="344"/>
      <c r="Z1" s="344"/>
      <c r="AA1" s="344"/>
      <c r="AB1" s="178"/>
      <c r="AG1" s="382" t="s">
        <v>207</v>
      </c>
      <c r="AH1" s="378">
        <f ca="1">SUM(AH5:AH51)</f>
        <v>0</v>
      </c>
      <c r="AI1" s="380">
        <f ca="1">SUM(AI5:AI51)</f>
        <v>0</v>
      </c>
    </row>
    <row r="2" spans="1:35" ht="15.75" thickBot="1" x14ac:dyDescent="0.3">
      <c r="K2" s="343"/>
      <c r="L2" s="343"/>
      <c r="T2" s="269"/>
      <c r="U2" s="269"/>
      <c r="X2" s="345"/>
      <c r="Y2" s="345"/>
      <c r="Z2" s="345"/>
      <c r="AA2" s="345"/>
      <c r="AG2" s="383"/>
      <c r="AH2" s="379"/>
      <c r="AI2" s="381"/>
    </row>
    <row r="3" spans="1:35" x14ac:dyDescent="0.25">
      <c r="A3" s="346" t="s">
        <v>64</v>
      </c>
      <c r="B3" s="347"/>
      <c r="C3" s="90"/>
      <c r="D3" s="75"/>
      <c r="E3" s="62"/>
      <c r="F3" s="52"/>
      <c r="G3" s="52"/>
      <c r="H3" s="348" t="s">
        <v>66</v>
      </c>
      <c r="I3" s="349"/>
      <c r="J3" s="95"/>
      <c r="K3" s="350" t="s">
        <v>211</v>
      </c>
      <c r="L3" s="351"/>
      <c r="M3" s="39"/>
      <c r="N3" s="352" t="s">
        <v>69</v>
      </c>
      <c r="O3" s="353"/>
      <c r="P3" s="388" t="s">
        <v>80</v>
      </c>
      <c r="Q3" s="352"/>
      <c r="R3" s="352" t="s">
        <v>78</v>
      </c>
      <c r="S3" s="389" t="s">
        <v>79</v>
      </c>
      <c r="T3" s="388" t="s">
        <v>81</v>
      </c>
      <c r="U3" s="352"/>
      <c r="V3" s="352" t="s">
        <v>78</v>
      </c>
      <c r="W3" s="353" t="s">
        <v>79</v>
      </c>
      <c r="X3" s="356" t="s">
        <v>70</v>
      </c>
      <c r="Y3" s="356"/>
      <c r="Z3" s="356"/>
      <c r="AA3" s="357"/>
      <c r="AB3" s="183"/>
      <c r="AC3" s="41"/>
      <c r="AD3" s="43" t="s">
        <v>206</v>
      </c>
      <c r="AE3" s="43" t="s">
        <v>209</v>
      </c>
      <c r="AF3" s="43"/>
      <c r="AG3" s="43" t="s">
        <v>210</v>
      </c>
      <c r="AH3" s="43"/>
      <c r="AI3" s="42" t="s">
        <v>291</v>
      </c>
    </row>
    <row r="4" spans="1:35" ht="15.75" thickBot="1" x14ac:dyDescent="0.3">
      <c r="A4" s="31" t="s">
        <v>201</v>
      </c>
      <c r="B4" s="32" t="s">
        <v>65</v>
      </c>
      <c r="C4" s="31" t="s">
        <v>117</v>
      </c>
      <c r="D4" s="76" t="s">
        <v>149</v>
      </c>
      <c r="E4" s="63" t="s">
        <v>76</v>
      </c>
      <c r="F4" s="74" t="s">
        <v>88</v>
      </c>
      <c r="G4" s="53" t="s">
        <v>59</v>
      </c>
      <c r="H4" s="54" t="s">
        <v>67</v>
      </c>
      <c r="I4" s="55" t="s">
        <v>68</v>
      </c>
      <c r="J4" s="96" t="s">
        <v>147</v>
      </c>
      <c r="K4" s="214" t="s">
        <v>67</v>
      </c>
      <c r="L4" s="215" t="s">
        <v>68</v>
      </c>
      <c r="M4" s="56" t="s">
        <v>60</v>
      </c>
      <c r="N4" s="57" t="s">
        <v>62</v>
      </c>
      <c r="O4" s="58" t="s">
        <v>63</v>
      </c>
      <c r="P4" s="40" t="s">
        <v>77</v>
      </c>
      <c r="Q4" s="12" t="s">
        <v>32</v>
      </c>
      <c r="R4" s="294" t="s">
        <v>82</v>
      </c>
      <c r="S4" s="261" t="s">
        <v>83</v>
      </c>
      <c r="T4" s="40" t="s">
        <v>77</v>
      </c>
      <c r="U4" s="12" t="s">
        <v>32</v>
      </c>
      <c r="V4" s="294" t="s">
        <v>83</v>
      </c>
      <c r="W4" s="59" t="s">
        <v>82</v>
      </c>
      <c r="X4" s="147" t="s">
        <v>71</v>
      </c>
      <c r="Y4" s="148" t="s">
        <v>85</v>
      </c>
      <c r="Z4" s="149" t="s">
        <v>84</v>
      </c>
      <c r="AA4" s="150" t="s">
        <v>72</v>
      </c>
      <c r="AB4" s="53" t="str">
        <f t="shared" ref="AB4:AB24" si="0">G4</f>
        <v>symbol</v>
      </c>
      <c r="AC4" s="189" t="s">
        <v>202</v>
      </c>
      <c r="AD4" s="190" t="s">
        <v>208</v>
      </c>
      <c r="AE4" s="190" t="s">
        <v>204</v>
      </c>
      <c r="AF4" s="190" t="s">
        <v>203</v>
      </c>
      <c r="AG4" s="190" t="s">
        <v>204</v>
      </c>
      <c r="AH4" s="194" t="s">
        <v>205</v>
      </c>
      <c r="AI4" s="55" t="s">
        <v>205</v>
      </c>
    </row>
    <row r="5" spans="1:35" x14ac:dyDescent="0.25">
      <c r="A5" s="84">
        <f>MATCH(G5,SCALARS!C:C,0)</f>
        <v>61</v>
      </c>
      <c r="B5" s="85">
        <f>MATCH(G5,'MKT DATA'!B:B,0)</f>
        <v>61</v>
      </c>
      <c r="C5" s="84" t="str" cm="1">
        <f t="array" aca="1" ref="C5" ca="1">INDIRECT(ADDRESS($A5,2,,,"scalars"))</f>
        <v>atlanta braves</v>
      </c>
      <c r="D5" s="143" cm="1">
        <f t="array" aca="1" ref="D5" ca="1">INDIRECT(ADDRESS($A5,8,,,"SCALARS"))</f>
        <v>494200</v>
      </c>
      <c r="E5" s="145"/>
      <c r="F5" s="14" t="str" cm="1">
        <f t="array" aca="1" ref="F5" ca="1">INDIRECT(ADDRESS($A5,5,,,"scalars"))</f>
        <v>BATRA</v>
      </c>
      <c r="G5" s="220" t="s">
        <v>258</v>
      </c>
      <c r="H5" s="33" cm="1">
        <f t="array" aca="1" ref="H5" ca="1">INDIRECT(ADDRESS($B5,5,,,"mkt data"))</f>
        <v>52.1</v>
      </c>
      <c r="I5" s="34" cm="1">
        <f t="array" aca="1" ref="I5" ca="1">INDIRECT(ADDRESS($B5,6,,,"mkt data"))</f>
        <v>57</v>
      </c>
      <c r="J5" s="170" cm="1">
        <f t="array" aca="1" ref="J5" ca="1">INDIRECT(ADDRESS($A5,7,,,"SCALARS"))</f>
        <v>0</v>
      </c>
      <c r="K5" s="16">
        <f t="shared" ref="K5:K26" ca="1" si="1">H5+J5-K$1</f>
        <v>52.094500000000004</v>
      </c>
      <c r="L5" s="16">
        <f t="shared" ref="L5:L26" ca="1" si="2">I5+J5+K$1</f>
        <v>57.005499999999998</v>
      </c>
      <c r="M5" s="44" cm="1">
        <f t="array" aca="1" ref="M5" ca="1">INDIRECT(ADDRESS($A5,6,,,"scalars"))</f>
        <v>1.101711315475786</v>
      </c>
      <c r="N5" s="17">
        <f t="shared" ref="N5:N26" ca="1" si="3">K5*M5</f>
        <v>57.39310012405334</v>
      </c>
      <c r="O5" s="17">
        <f t="shared" ref="O5:O26" ca="1" si="4">M5*L5</f>
        <v>62.80360439435492</v>
      </c>
      <c r="P5" s="384">
        <f ca="1">N6-O5</f>
        <v>-7.8091043943549181</v>
      </c>
      <c r="Q5" s="386">
        <f ca="1">LN(N6/O5)</f>
        <v>-0.1327792864095648</v>
      </c>
      <c r="R5" s="295">
        <v>0.01</v>
      </c>
      <c r="S5" s="262">
        <v>2.5000000000000001E-3</v>
      </c>
      <c r="T5" s="384">
        <f ca="1">N5-O6</f>
        <v>-37.232399875946662</v>
      </c>
      <c r="U5" s="386">
        <f ca="1">LN(N5/O6)</f>
        <v>-0.50000290655743751</v>
      </c>
      <c r="V5" s="295">
        <v>1.4999999999999999E-2</v>
      </c>
      <c r="W5" s="60">
        <v>2.5000000000000001E-3</v>
      </c>
      <c r="X5" s="27" cm="1">
        <f t="array" aca="1" ref="X5" ca="1">INDIRECT(ADDRESS($B5,9,,,"mkt data"))</f>
        <v>0</v>
      </c>
      <c r="Y5" s="48">
        <f t="shared" ref="Y5:Y26" ca="1" si="5">X5*AVERAGE(H5:I5)</f>
        <v>0</v>
      </c>
      <c r="Z5" s="27">
        <f t="shared" ref="Z5:Z26" ca="1" si="6">X5/M5</f>
        <v>0</v>
      </c>
      <c r="AA5" s="369">
        <f ca="1">SUM(Z5:Z6)</f>
        <v>0</v>
      </c>
      <c r="AB5" s="199" t="str">
        <f t="shared" ref="AB5:AB12" si="7">G5</f>
        <v>BATRK</v>
      </c>
      <c r="AC5" s="33" cm="1">
        <f t="array" aca="1" ref="AC5" ca="1">INDIRECT(ADDRESS($B5,8,,,"mkt data"))</f>
        <v>54.290000999999997</v>
      </c>
      <c r="AD5" s="191">
        <f t="shared" ref="AD5:AD26" ca="1" si="8">AVERAGE(H5,I5)</f>
        <v>54.55</v>
      </c>
      <c r="AE5" s="191">
        <f t="shared" ref="AE5:AE26" ca="1" si="9">AD5-AC5</f>
        <v>0.25999900000000054</v>
      </c>
      <c r="AF5" s="202">
        <v>0</v>
      </c>
      <c r="AG5" s="191">
        <f t="shared" ref="AG5:AG26" ca="1" si="10">AE5+AF5</f>
        <v>0.25999900000000054</v>
      </c>
      <c r="AH5" s="191">
        <f t="shared" ref="AH5:AH26" ca="1" si="11">AG5*X5</f>
        <v>0</v>
      </c>
      <c r="AI5" s="375">
        <f ca="1">AH5+AH6</f>
        <v>0</v>
      </c>
    </row>
    <row r="6" spans="1:35" ht="15.75" thickBot="1" x14ac:dyDescent="0.3">
      <c r="A6" s="86">
        <f>MATCH(G6,SCALARS!C:C,0)</f>
        <v>60</v>
      </c>
      <c r="B6" s="87">
        <f>MATCH(G6,'MKT DATA'!B:B,0)</f>
        <v>60</v>
      </c>
      <c r="C6" s="86" t="str" cm="1">
        <f t="array" aca="1" ref="C6" ca="1">INDIRECT(ADDRESS($A6,2,,,"scalars"))</f>
        <v>atlanta braves</v>
      </c>
      <c r="D6" s="144" cm="1">
        <f t="array" aca="1" ref="D6" ca="1">INDIRECT(ADDRESS($A6,8,,,"SCALARS"))</f>
        <v>66800</v>
      </c>
      <c r="E6" s="146"/>
      <c r="F6" s="20" t="str" cm="1">
        <f t="array" aca="1" ref="F6" ca="1">INDIRECT(ADDRESS($A6,5,,,"scalars"))</f>
        <v>BATRA</v>
      </c>
      <c r="G6" s="221" t="s">
        <v>257</v>
      </c>
      <c r="H6" s="37" cm="1">
        <f t="array" aca="1" ref="H6" ca="1">INDIRECT(ADDRESS($B6,5,,,"mkt data"))</f>
        <v>55</v>
      </c>
      <c r="I6" s="38" cm="1">
        <f t="array" aca="1" ref="I6" ca="1">INDIRECT(ADDRESS($B6,6,,,"mkt data"))</f>
        <v>94.62</v>
      </c>
      <c r="J6" s="171" cm="1">
        <f t="array" aca="1" ref="J6" ca="1">INDIRECT(ADDRESS($A6,7,,,"SCALARS"))</f>
        <v>0</v>
      </c>
      <c r="K6" s="22">
        <f t="shared" ca="1" si="1"/>
        <v>54.994500000000002</v>
      </c>
      <c r="L6" s="22">
        <f t="shared" ca="1" si="2"/>
        <v>94.625500000000002</v>
      </c>
      <c r="M6" s="45" cm="1">
        <f t="array" aca="1" ref="M6" ca="1">INDIRECT(ADDRESS($A6,6,,,"scalars"))</f>
        <v>1</v>
      </c>
      <c r="N6" s="23">
        <f t="shared" ca="1" si="3"/>
        <v>54.994500000000002</v>
      </c>
      <c r="O6" s="23">
        <f t="shared" ca="1" si="4"/>
        <v>94.625500000000002</v>
      </c>
      <c r="P6" s="385"/>
      <c r="Q6" s="387"/>
      <c r="R6" s="296" t="b">
        <f ca="1">IF(Q5&gt;R5,TRUE,FALSE)</f>
        <v>0</v>
      </c>
      <c r="S6" s="263" t="b">
        <f ca="1">AND(IF(U5&gt;-S5,TRUE,FALSE),IF(X5&gt;0,TRUE,FALSE))</f>
        <v>0</v>
      </c>
      <c r="T6" s="385"/>
      <c r="U6" s="387"/>
      <c r="V6" s="296" t="b">
        <f ca="1">IF(U5&gt;V5,TRUE,FALSE)</f>
        <v>0</v>
      </c>
      <c r="W6" s="61" t="b">
        <f ca="1">AND(IF(Q5&gt;-W5,TRUE,FALSE),IF(X5&lt;0,TRUE,FALSE))</f>
        <v>0</v>
      </c>
      <c r="X6" s="29" cm="1">
        <f t="array" aca="1" ref="X6" ca="1">INDIRECT(ADDRESS($B6,9,,,"mkt data"))</f>
        <v>0</v>
      </c>
      <c r="Y6" s="50">
        <f t="shared" ca="1" si="5"/>
        <v>0</v>
      </c>
      <c r="Z6" s="29">
        <f t="shared" ca="1" si="6"/>
        <v>0</v>
      </c>
      <c r="AA6" s="371"/>
      <c r="AB6" s="207" t="str">
        <f t="shared" si="7"/>
        <v>BATRA</v>
      </c>
      <c r="AC6" s="37" cm="1">
        <f t="array" aca="1" ref="AC6" ca="1">INDIRECT(ADDRESS($B6,8,,,"mkt data"))</f>
        <v>59.610000999999997</v>
      </c>
      <c r="AD6" s="193">
        <f t="shared" ca="1" si="8"/>
        <v>74.81</v>
      </c>
      <c r="AE6" s="193">
        <f t="shared" ca="1" si="9"/>
        <v>15.199999000000005</v>
      </c>
      <c r="AF6" s="204">
        <v>0</v>
      </c>
      <c r="AG6" s="193">
        <f t="shared" ca="1" si="10"/>
        <v>15.199999000000005</v>
      </c>
      <c r="AH6" s="193">
        <f t="shared" ca="1" si="11"/>
        <v>0</v>
      </c>
      <c r="AI6" s="377"/>
    </row>
    <row r="7" spans="1:35" x14ac:dyDescent="0.25">
      <c r="A7" s="84">
        <f>MATCH(G7,SCALARS!C:C,0)</f>
        <v>55</v>
      </c>
      <c r="B7" s="85">
        <f>MATCH(G7,'MKT DATA'!B:B,0)</f>
        <v>55</v>
      </c>
      <c r="C7" s="84" t="str" cm="1">
        <f t="array" aca="1" ref="C7" ca="1">INDIRECT(ADDRESS($A7,2,,,"scalars"))</f>
        <v>brown foreman</v>
      </c>
      <c r="D7" s="143" cm="1">
        <f t="array" aca="1" ref="D7" ca="1">INDIRECT(ADDRESS($A7,8,,,"SCALARS"))</f>
        <v>2368000</v>
      </c>
      <c r="E7" s="145"/>
      <c r="F7" s="14" t="str" cm="1">
        <f t="array" aca="1" ref="F7" ca="1">INDIRECT(ADDRESS($A7,5,,,"scalars"))</f>
        <v>BF A</v>
      </c>
      <c r="G7" s="220" t="s">
        <v>249</v>
      </c>
      <c r="H7" s="33" cm="1">
        <f t="array" aca="1" ref="H7" ca="1">INDIRECT(ADDRESS($B7,5,,,"mkt data"))</f>
        <v>25.75</v>
      </c>
      <c r="I7" s="34" cm="1">
        <f t="array" aca="1" ref="I7" ca="1">INDIRECT(ADDRESS($B7,6,,,"mkt data"))</f>
        <v>26.77</v>
      </c>
      <c r="J7" s="170" cm="1">
        <f t="array" aca="1" ref="J7" ca="1">INDIRECT(ADDRESS($A7,7,,,"SCALARS"))</f>
        <v>0</v>
      </c>
      <c r="K7" s="16">
        <f t="shared" ca="1" si="1"/>
        <v>25.744499999999999</v>
      </c>
      <c r="L7" s="16">
        <f t="shared" ca="1" si="2"/>
        <v>26.775500000000001</v>
      </c>
      <c r="M7" s="44" cm="1">
        <f t="array" aca="1" ref="M7" ca="1">INDIRECT(ADDRESS($A7,6,,,"scalars"))</f>
        <v>1.0179027655763175</v>
      </c>
      <c r="N7" s="17">
        <f t="shared" ca="1" si="3"/>
        <v>26.205397748379504</v>
      </c>
      <c r="O7" s="17">
        <f t="shared" ca="1" si="4"/>
        <v>27.254855499688691</v>
      </c>
      <c r="P7" s="384">
        <f ca="1">N8-O7</f>
        <v>-0.93035549968869447</v>
      </c>
      <c r="Q7" s="386">
        <f ca="1">LN(N8/O7)</f>
        <v>-3.4731624223941174E-2</v>
      </c>
      <c r="R7" s="295">
        <v>0.01</v>
      </c>
      <c r="S7" s="262">
        <v>5.0000000000000001E-3</v>
      </c>
      <c r="T7" s="384">
        <f ca="1">N7-O8</f>
        <v>-1.2001022516204962</v>
      </c>
      <c r="U7" s="386">
        <f ca="1">LN(N7/O8)</f>
        <v>-4.4778312699306551E-2</v>
      </c>
      <c r="V7" s="295">
        <v>1.4999999999999999E-2</v>
      </c>
      <c r="W7" s="60">
        <v>7.4999999999999997E-3</v>
      </c>
      <c r="X7" s="27" cm="1">
        <f t="array" aca="1" ref="X7" ca="1">INDIRECT(ADDRESS($B7,9,,,"mkt data"))</f>
        <v>0</v>
      </c>
      <c r="Y7" s="48">
        <f t="shared" ca="1" si="5"/>
        <v>0</v>
      </c>
      <c r="Z7" s="27">
        <f t="shared" ca="1" si="6"/>
        <v>0</v>
      </c>
      <c r="AA7" s="369">
        <f ca="1">SUM(Z7:Z8)</f>
        <v>0</v>
      </c>
      <c r="AB7" s="199" t="str">
        <f t="shared" si="7"/>
        <v>BF B</v>
      </c>
      <c r="AC7" s="33" cm="1">
        <f t="array" aca="1" ref="AC7" ca="1">INDIRECT(ADDRESS($B7,8,,,"mkt data"))</f>
        <v>26.030000999999999</v>
      </c>
      <c r="AD7" s="191">
        <f t="shared" ca="1" si="8"/>
        <v>26.259999999999998</v>
      </c>
      <c r="AE7" s="191">
        <f t="shared" ca="1" si="9"/>
        <v>0.2299989999999994</v>
      </c>
      <c r="AF7" s="202">
        <v>0</v>
      </c>
      <c r="AG7" s="191">
        <f t="shared" ca="1" si="10"/>
        <v>0.2299989999999994</v>
      </c>
      <c r="AH7" s="191">
        <f t="shared" ca="1" si="11"/>
        <v>0</v>
      </c>
      <c r="AI7" s="375">
        <f ca="1">AH7+AH8</f>
        <v>0</v>
      </c>
    </row>
    <row r="8" spans="1:35" ht="15.75" thickBot="1" x14ac:dyDescent="0.3">
      <c r="A8" s="86">
        <f>MATCH(G8,SCALARS!C:C,0)</f>
        <v>54</v>
      </c>
      <c r="B8" s="87">
        <f>MATCH(G8,'MKT DATA'!B:B,0)</f>
        <v>54</v>
      </c>
      <c r="C8" s="86" t="str" cm="1">
        <f t="array" aca="1" ref="C8" ca="1">INDIRECT(ADDRESS($A8,2,,,"scalars"))</f>
        <v>brown foreman</v>
      </c>
      <c r="D8" s="144" cm="1">
        <f t="array" aca="1" ref="D8" ca="1">INDIRECT(ADDRESS($A8,8,,,"SCALARS"))</f>
        <v>144800</v>
      </c>
      <c r="E8" s="146"/>
      <c r="F8" s="20" t="str" cm="1">
        <f t="array" aca="1" ref="F8" ca="1">INDIRECT(ADDRESS($A8,5,,,"scalars"))</f>
        <v>BF A</v>
      </c>
      <c r="G8" s="221" t="s">
        <v>248</v>
      </c>
      <c r="H8" s="37" cm="1">
        <f t="array" aca="1" ref="H8" ca="1">INDIRECT(ADDRESS($B8,5,,,"mkt data"))</f>
        <v>26.33</v>
      </c>
      <c r="I8" s="38" cm="1">
        <f t="array" aca="1" ref="I8" ca="1">INDIRECT(ADDRESS($B8,6,,,"mkt data"))</f>
        <v>27.4</v>
      </c>
      <c r="J8" s="171" cm="1">
        <f t="array" aca="1" ref="J8" ca="1">INDIRECT(ADDRESS($A8,7,,,"SCALARS"))</f>
        <v>0</v>
      </c>
      <c r="K8" s="22">
        <f t="shared" ca="1" si="1"/>
        <v>26.324499999999997</v>
      </c>
      <c r="L8" s="22">
        <f t="shared" ca="1" si="2"/>
        <v>27.4055</v>
      </c>
      <c r="M8" s="45" cm="1">
        <f t="array" aca="1" ref="M8" ca="1">INDIRECT(ADDRESS($A8,6,,,"scalars"))</f>
        <v>1</v>
      </c>
      <c r="N8" s="23">
        <f t="shared" ca="1" si="3"/>
        <v>26.324499999999997</v>
      </c>
      <c r="O8" s="23">
        <f t="shared" ca="1" si="4"/>
        <v>27.4055</v>
      </c>
      <c r="P8" s="385"/>
      <c r="Q8" s="387"/>
      <c r="R8" s="296" t="b">
        <f ca="1">IF(Q7&gt;R7,TRUE,FALSE)</f>
        <v>0</v>
      </c>
      <c r="S8" s="263" t="b">
        <f ca="1">AND(IF(U7&gt;-S7,TRUE,FALSE),IF(X7&gt;0,TRUE,FALSE))</f>
        <v>0</v>
      </c>
      <c r="T8" s="385"/>
      <c r="U8" s="387"/>
      <c r="V8" s="296" t="b">
        <f ca="1">IF(U7&gt;V7,TRUE,FALSE)</f>
        <v>0</v>
      </c>
      <c r="W8" s="61" t="b">
        <f ca="1">AND(IF(Q7&gt;-W7,TRUE,FALSE),IF(X7&lt;0,TRUE,FALSE))</f>
        <v>0</v>
      </c>
      <c r="X8" s="29" cm="1">
        <f t="array" aca="1" ref="X8" ca="1">INDIRECT(ADDRESS($B8,9,,,"mkt data"))</f>
        <v>0</v>
      </c>
      <c r="Y8" s="50">
        <f t="shared" ca="1" si="5"/>
        <v>0</v>
      </c>
      <c r="Z8" s="29">
        <f t="shared" ca="1" si="6"/>
        <v>0</v>
      </c>
      <c r="AA8" s="371"/>
      <c r="AB8" s="207" t="str">
        <f t="shared" si="7"/>
        <v>BF A</v>
      </c>
      <c r="AC8" s="37" cm="1">
        <f t="array" aca="1" ref="AC8" ca="1">INDIRECT(ADDRESS($B8,8,,,"mkt data"))</f>
        <v>26.57</v>
      </c>
      <c r="AD8" s="193">
        <f t="shared" ca="1" si="8"/>
        <v>26.864999999999998</v>
      </c>
      <c r="AE8" s="193">
        <f t="shared" ca="1" si="9"/>
        <v>0.29499999999999815</v>
      </c>
      <c r="AF8" s="204">
        <v>0</v>
      </c>
      <c r="AG8" s="193">
        <f t="shared" ca="1" si="10"/>
        <v>0.29499999999999815</v>
      </c>
      <c r="AH8" s="193">
        <f t="shared" ca="1" si="11"/>
        <v>0</v>
      </c>
      <c r="AI8" s="377"/>
    </row>
    <row r="9" spans="1:35" x14ac:dyDescent="0.25">
      <c r="A9" s="84">
        <f>MATCH(G9,SCALARS!C:C,0)</f>
        <v>43</v>
      </c>
      <c r="B9" s="85">
        <f>MATCH(G9,'MKT DATA'!B:B,0)</f>
        <v>43</v>
      </c>
      <c r="C9" s="84" t="str" cm="1">
        <f t="array" aca="1" ref="C9" ca="1">INDIRECT(ADDRESS($A9,2,,,"scalars"))</f>
        <v>berkshire</v>
      </c>
      <c r="D9" s="143" cm="1">
        <f t="array" aca="1" ref="D9" ca="1">INDIRECT(ADDRESS($A9,8,,,"SCALARS"))</f>
        <v>10746000</v>
      </c>
      <c r="E9" s="145"/>
      <c r="F9" s="14" t="str" cm="1">
        <f t="array" aca="1" ref="F9" ca="1">INDIRECT(ADDRESS($A9,5,,,"scalars"))</f>
        <v>BRK A</v>
      </c>
      <c r="G9" s="220" t="s">
        <v>183</v>
      </c>
      <c r="H9" s="33" cm="1">
        <f t="array" aca="1" ref="H9" ca="1">INDIRECT(ADDRESS($B9,5,,,"mkt data"))</f>
        <v>502</v>
      </c>
      <c r="I9" s="34" cm="1">
        <f t="array" aca="1" ref="I9" ca="1">INDIRECT(ADDRESS($B9,6,,,"mkt data"))</f>
        <v>502.55</v>
      </c>
      <c r="J9" s="170" cm="1">
        <f t="array" aca="1" ref="J9" ca="1">INDIRECT(ADDRESS($A9,7,,,"SCALARS"))</f>
        <v>0</v>
      </c>
      <c r="K9" s="16">
        <f t="shared" ca="1" si="1"/>
        <v>501.99450000000002</v>
      </c>
      <c r="L9" s="16">
        <f t="shared" ca="1" si="2"/>
        <v>502.55549999999999</v>
      </c>
      <c r="M9" s="44" cm="1">
        <f t="array" aca="1" ref="M9" ca="1">INDIRECT(ADDRESS($A9,6,,,"scalars"))</f>
        <v>1500.2743937719083</v>
      </c>
      <c r="N9" s="17">
        <f t="shared" ca="1" si="3"/>
        <v>753129.49416433228</v>
      </c>
      <c r="O9" s="17">
        <f t="shared" ca="1" si="4"/>
        <v>753971.14809923829</v>
      </c>
      <c r="P9" s="384">
        <f ca="1">N10-O9</f>
        <v>-3593.3535992382094</v>
      </c>
      <c r="Q9" s="386">
        <f ca="1">LN(N10/O9)</f>
        <v>-4.777296452450279E-3</v>
      </c>
      <c r="R9" s="295">
        <v>4.0000000000000001E-3</v>
      </c>
      <c r="S9" s="262">
        <v>1E-3</v>
      </c>
      <c r="T9" s="384">
        <f ca="1">N9-O10</f>
        <v>-1410.2713356676977</v>
      </c>
      <c r="U9" s="386">
        <f ca="1">LN(N9/O10)</f>
        <v>-1.870797242754604E-3</v>
      </c>
      <c r="V9" s="295">
        <v>4.0000000000000001E-3</v>
      </c>
      <c r="W9" s="60">
        <v>1E-3</v>
      </c>
      <c r="X9" s="27" cm="1">
        <f t="array" aca="1" ref="X9" ca="1">INDIRECT(ADDRESS($B9,9,,,"mkt data"))</f>
        <v>0</v>
      </c>
      <c r="Y9" s="48">
        <f t="shared" ca="1" si="5"/>
        <v>0</v>
      </c>
      <c r="Z9" s="27">
        <f t="shared" ca="1" si="6"/>
        <v>0</v>
      </c>
      <c r="AA9" s="369">
        <f ca="1">SUM(Z9:Z10)</f>
        <v>0</v>
      </c>
      <c r="AB9" s="199" t="str">
        <f t="shared" si="7"/>
        <v>BRK B</v>
      </c>
      <c r="AC9" s="33" cm="1">
        <f t="array" aca="1" ref="AC9" ca="1">INDIRECT(ADDRESS($B9,8,,,"mkt data"))</f>
        <v>503.08999599999999</v>
      </c>
      <c r="AD9" s="191">
        <f t="shared" ca="1" si="8"/>
        <v>502.27499999999998</v>
      </c>
      <c r="AE9" s="191">
        <f t="shared" ca="1" si="9"/>
        <v>-0.81499600000000783</v>
      </c>
      <c r="AF9" s="202">
        <v>0</v>
      </c>
      <c r="AG9" s="191">
        <f t="shared" ca="1" si="10"/>
        <v>-0.81499600000000783</v>
      </c>
      <c r="AH9" s="191">
        <f t="shared" ca="1" si="11"/>
        <v>0</v>
      </c>
      <c r="AI9" s="375">
        <f ca="1">AH9+AH10</f>
        <v>0</v>
      </c>
    </row>
    <row r="10" spans="1:35" ht="15.75" thickBot="1" x14ac:dyDescent="0.3">
      <c r="A10" s="86">
        <f>MATCH(G10,SCALARS!C:C,0)</f>
        <v>42</v>
      </c>
      <c r="B10" s="87">
        <f>MATCH(G10,'MKT DATA'!B:B,0)</f>
        <v>42</v>
      </c>
      <c r="C10" s="86" t="str" cm="1">
        <f t="array" aca="1" ref="C10" ca="1">INDIRECT(ADDRESS($A10,2,,,"scalars"))</f>
        <v>berkshire</v>
      </c>
      <c r="D10" s="144" cm="1">
        <f t="array" aca="1" ref="D10" ca="1">INDIRECT(ADDRESS($A10,8,,,"SCALARS"))</f>
        <v>17600</v>
      </c>
      <c r="E10" s="146"/>
      <c r="F10" s="20" t="str" cm="1">
        <f t="array" aca="1" ref="F10" ca="1">INDIRECT(ADDRESS($A10,5,,,"scalars"))</f>
        <v>BRK A</v>
      </c>
      <c r="G10" s="221" t="s">
        <v>182</v>
      </c>
      <c r="H10" s="37" cm="1">
        <f t="array" aca="1" ref="H10" ca="1">INDIRECT(ADDRESS($B10,5,,,"mkt data"))</f>
        <v>750377.8</v>
      </c>
      <c r="I10" s="38" cm="1">
        <f t="array" aca="1" ref="I10" ca="1">INDIRECT(ADDRESS($B10,6,,,"mkt data"))</f>
        <v>754539.76</v>
      </c>
      <c r="J10" s="171" cm="1">
        <f t="array" aca="1" ref="J10" ca="1">INDIRECT(ADDRESS($A10,7,,,"SCALARS"))</f>
        <v>0</v>
      </c>
      <c r="K10" s="22">
        <f t="shared" ca="1" si="1"/>
        <v>750377.79450000008</v>
      </c>
      <c r="L10" s="22">
        <f t="shared" ca="1" si="2"/>
        <v>754539.76549999998</v>
      </c>
      <c r="M10" s="45" cm="1">
        <f t="array" aca="1" ref="M10" ca="1">INDIRECT(ADDRESS($A10,6,,,"scalars"))</f>
        <v>1</v>
      </c>
      <c r="N10" s="23">
        <f t="shared" ca="1" si="3"/>
        <v>750377.79450000008</v>
      </c>
      <c r="O10" s="23">
        <f t="shared" ca="1" si="4"/>
        <v>754539.76549999998</v>
      </c>
      <c r="P10" s="385"/>
      <c r="Q10" s="387"/>
      <c r="R10" s="296" t="b">
        <f ca="1">IF(Q9&gt;R9,TRUE,FALSE)</f>
        <v>0</v>
      </c>
      <c r="S10" s="263" t="b">
        <f ca="1">AND(IF(U9&gt;-S9,TRUE,FALSE),IF(X9&gt;0,TRUE,FALSE))</f>
        <v>0</v>
      </c>
      <c r="T10" s="385"/>
      <c r="U10" s="387"/>
      <c r="V10" s="296" t="b">
        <f ca="1">IF(U9&gt;V9,TRUE,FALSE)</f>
        <v>0</v>
      </c>
      <c r="W10" s="61" t="b">
        <f ca="1">AND(IF(Q9&gt;-W9,TRUE,FALSE),IF(X9&lt;0,TRUE,FALSE))</f>
        <v>0</v>
      </c>
      <c r="X10" s="29" cm="1">
        <f t="array" aca="1" ref="X10" ca="1">INDIRECT(ADDRESS($B10,9,,,"mkt data"))</f>
        <v>0</v>
      </c>
      <c r="Y10" s="50">
        <f t="shared" ca="1" si="5"/>
        <v>0</v>
      </c>
      <c r="Z10" s="29">
        <f t="shared" ca="1" si="6"/>
        <v>0</v>
      </c>
      <c r="AA10" s="371"/>
      <c r="AB10" s="207" t="str">
        <f t="shared" si="7"/>
        <v>BRK A</v>
      </c>
      <c r="AC10" s="37" cm="1">
        <f t="array" aca="1" ref="AC10" ca="1">INDIRECT(ADDRESS($B10,8,,,"mkt data"))</f>
        <v>753875</v>
      </c>
      <c r="AD10" s="193">
        <f t="shared" ca="1" si="8"/>
        <v>752458.78</v>
      </c>
      <c r="AE10" s="193">
        <f t="shared" ca="1" si="9"/>
        <v>-1416.2199999999721</v>
      </c>
      <c r="AF10" s="204">
        <v>0</v>
      </c>
      <c r="AG10" s="193">
        <f t="shared" ca="1" si="10"/>
        <v>-1416.2199999999721</v>
      </c>
      <c r="AH10" s="193">
        <f t="shared" ca="1" si="11"/>
        <v>0</v>
      </c>
      <c r="AI10" s="377"/>
    </row>
    <row r="11" spans="1:35" x14ac:dyDescent="0.25">
      <c r="A11" s="84">
        <f>MATCH(G11,SCALARS!C:C,0)</f>
        <v>44</v>
      </c>
      <c r="B11" s="85">
        <f>MATCH(G11,'MKT DATA'!B:B,0)</f>
        <v>44</v>
      </c>
      <c r="C11" s="84" t="str" cm="1">
        <f t="array" aca="1" ref="C11" ca="1">INDIRECT(ADDRESS($A11,2,,,"scalars"))</f>
        <v>fox corp</v>
      </c>
      <c r="D11" s="143" cm="1">
        <f t="array" aca="1" ref="D11" ca="1">INDIRECT(ADDRESS($A11,8,,,"SCALARS"))</f>
        <v>1209000</v>
      </c>
      <c r="E11" s="145"/>
      <c r="F11" s="14" t="str" cm="1">
        <f t="array" aca="1" ref="F11" ca="1">INDIRECT(ADDRESS($A11,5,,,"scalars"))</f>
        <v>FOXA</v>
      </c>
      <c r="G11" s="220" t="s">
        <v>167</v>
      </c>
      <c r="H11" s="33" cm="1">
        <f t="array" aca="1" ref="H11" ca="1">INDIRECT(ADDRESS($B11,5,,,"mkt data"))</f>
        <v>55</v>
      </c>
      <c r="I11" s="34" cm="1">
        <f t="array" aca="1" ref="I11" ca="1">INDIRECT(ADDRESS($B11,6,,,"mkt data"))</f>
        <v>56.94</v>
      </c>
      <c r="J11" s="170" cm="1">
        <f t="array" aca="1" ref="J11" ca="1">INDIRECT(ADDRESS($A11,7,,,"SCALARS"))</f>
        <v>0</v>
      </c>
      <c r="K11" s="16">
        <f t="shared" ca="1" si="1"/>
        <v>54.994500000000002</v>
      </c>
      <c r="L11" s="16">
        <f t="shared" ca="1" si="2"/>
        <v>56.945499999999996</v>
      </c>
      <c r="M11" s="44" cm="1">
        <f t="array" aca="1" ref="M11" ca="1">INDIRECT(ADDRESS($A11,6,,,"scalars"))</f>
        <v>1.1190659503663023</v>
      </c>
      <c r="N11" s="17">
        <f t="shared" ca="1" si="3"/>
        <v>61.542472407419616</v>
      </c>
      <c r="O11" s="17">
        <f t="shared" ca="1" si="4"/>
        <v>63.725770076584261</v>
      </c>
      <c r="P11" s="384">
        <f ca="1">N12-O11</f>
        <v>-10.781270076584256</v>
      </c>
      <c r="Q11" s="386">
        <f ca="1">LN(N12/O11)</f>
        <v>-0.18534483948539701</v>
      </c>
      <c r="R11" s="295">
        <v>0.01</v>
      </c>
      <c r="S11" s="262">
        <v>2.5000000000000001E-3</v>
      </c>
      <c r="T11" s="384">
        <f ca="1">N11-O12</f>
        <v>-1.5230275925803838</v>
      </c>
      <c r="U11" s="386">
        <f ca="1">LN(N11/O12)</f>
        <v>-2.4446324132587401E-2</v>
      </c>
      <c r="V11" s="295">
        <v>0.01</v>
      </c>
      <c r="W11" s="60">
        <v>2.5000000000000001E-3</v>
      </c>
      <c r="X11" s="27" cm="1">
        <f t="array" aca="1" ref="X11" ca="1">INDIRECT(ADDRESS($B11,9,,,"mkt data"))</f>
        <v>0</v>
      </c>
      <c r="Y11" s="48">
        <f t="shared" ca="1" si="5"/>
        <v>0</v>
      </c>
      <c r="Z11" s="27">
        <f t="shared" ca="1" si="6"/>
        <v>0</v>
      </c>
      <c r="AA11" s="369">
        <f ca="1">SUM(Z11:Z12)</f>
        <v>0</v>
      </c>
      <c r="AB11" s="199" t="str">
        <f t="shared" si="7"/>
        <v>FOX</v>
      </c>
      <c r="AC11" s="33" cm="1">
        <f t="array" aca="1" ref="AC11" ca="1">INDIRECT(ADDRESS($B11,8,,,"mkt data"))</f>
        <v>56.549999</v>
      </c>
      <c r="AD11" s="191">
        <f t="shared" ca="1" si="8"/>
        <v>55.97</v>
      </c>
      <c r="AE11" s="191">
        <f t="shared" ca="1" si="9"/>
        <v>-0.57999900000000082</v>
      </c>
      <c r="AF11" s="202">
        <v>0</v>
      </c>
      <c r="AG11" s="191">
        <f t="shared" ca="1" si="10"/>
        <v>-0.57999900000000082</v>
      </c>
      <c r="AH11" s="191">
        <f t="shared" ca="1" si="11"/>
        <v>0</v>
      </c>
      <c r="AI11" s="375">
        <f ca="1">AH11+AH12</f>
        <v>0</v>
      </c>
    </row>
    <row r="12" spans="1:35" ht="15.75" thickBot="1" x14ac:dyDescent="0.3">
      <c r="A12" s="86">
        <f>MATCH(G12,SCALARS!C:C,0)</f>
        <v>45</v>
      </c>
      <c r="B12" s="87">
        <f>MATCH(G12,'MKT DATA'!B:B,0)</f>
        <v>45</v>
      </c>
      <c r="C12" s="86" t="str" cm="1">
        <f t="array" aca="1" ref="C12" ca="1">INDIRECT(ADDRESS($A12,2,,,"scalars"))</f>
        <v>fox corp</v>
      </c>
      <c r="D12" s="144" cm="1">
        <f t="array" aca="1" ref="D12" ca="1">INDIRECT(ADDRESS($A12,8,,,"SCALARS"))</f>
        <v>5234900</v>
      </c>
      <c r="E12" s="146"/>
      <c r="F12" s="20" t="str" cm="1">
        <f t="array" aca="1" ref="F12" ca="1">INDIRECT(ADDRESS($A12,5,,,"scalars"))</f>
        <v>FOXA</v>
      </c>
      <c r="G12" s="221" t="s">
        <v>168</v>
      </c>
      <c r="H12" s="37" cm="1">
        <f t="array" aca="1" ref="H12" ca="1">INDIRECT(ADDRESS($B12,5,,,"mkt data"))</f>
        <v>52.95</v>
      </c>
      <c r="I12" s="38" cm="1">
        <f t="array" aca="1" ref="I12" ca="1">INDIRECT(ADDRESS($B12,6,,,"mkt data"))</f>
        <v>63.06</v>
      </c>
      <c r="J12" s="171" cm="1">
        <f t="array" aca="1" ref="J12" ca="1">INDIRECT(ADDRESS($A12,7,,,"SCALARS"))</f>
        <v>0</v>
      </c>
      <c r="K12" s="22">
        <f t="shared" ca="1" si="1"/>
        <v>52.944500000000005</v>
      </c>
      <c r="L12" s="22">
        <f t="shared" ca="1" si="2"/>
        <v>63.0655</v>
      </c>
      <c r="M12" s="45" cm="1">
        <f t="array" aca="1" ref="M12" ca="1">INDIRECT(ADDRESS($A12,6,,,"scalars"))</f>
        <v>1</v>
      </c>
      <c r="N12" s="23">
        <f t="shared" ca="1" si="3"/>
        <v>52.944500000000005</v>
      </c>
      <c r="O12" s="23">
        <f t="shared" ca="1" si="4"/>
        <v>63.0655</v>
      </c>
      <c r="P12" s="385"/>
      <c r="Q12" s="387"/>
      <c r="R12" s="296" t="b">
        <f ca="1">IF(Q11&gt;R11,TRUE,FALSE)</f>
        <v>0</v>
      </c>
      <c r="S12" s="263" t="b">
        <f ca="1">AND(IF(U11&gt;-S11,TRUE,FALSE),IF(X11&gt;0,TRUE,FALSE))</f>
        <v>0</v>
      </c>
      <c r="T12" s="385"/>
      <c r="U12" s="387"/>
      <c r="V12" s="296" t="b">
        <f ca="1">IF(U11&gt;V11,TRUE,FALSE)</f>
        <v>0</v>
      </c>
      <c r="W12" s="61" t="b">
        <f ca="1">AND(IF(Q11&gt;-W11,TRUE,FALSE),IF(X11&lt;0,TRUE,FALSE))</f>
        <v>0</v>
      </c>
      <c r="X12" s="29" cm="1">
        <f t="array" aca="1" ref="X12" ca="1">INDIRECT(ADDRESS($B12,9,,,"mkt data"))</f>
        <v>0</v>
      </c>
      <c r="Y12" s="50">
        <f t="shared" ca="1" si="5"/>
        <v>0</v>
      </c>
      <c r="Z12" s="29">
        <f t="shared" ca="1" si="6"/>
        <v>0</v>
      </c>
      <c r="AA12" s="371"/>
      <c r="AB12" s="207" t="str">
        <f t="shared" si="7"/>
        <v>FOXA</v>
      </c>
      <c r="AC12" s="37" cm="1">
        <f t="array" aca="1" ref="AC12" ca="1">INDIRECT(ADDRESS($B12,8,,,"mkt data"))</f>
        <v>63.060001</v>
      </c>
      <c r="AD12" s="193">
        <f t="shared" ca="1" si="8"/>
        <v>58.005000000000003</v>
      </c>
      <c r="AE12" s="193">
        <f t="shared" ca="1" si="9"/>
        <v>-5.0550009999999972</v>
      </c>
      <c r="AF12" s="204">
        <v>0</v>
      </c>
      <c r="AG12" s="193">
        <f t="shared" ca="1" si="10"/>
        <v>-5.0550009999999972</v>
      </c>
      <c r="AH12" s="193">
        <f t="shared" ca="1" si="11"/>
        <v>0</v>
      </c>
      <c r="AI12" s="377"/>
    </row>
    <row r="13" spans="1:35" x14ac:dyDescent="0.25">
      <c r="A13" s="84">
        <f>MATCH(G13,SCALARS!C:C,0)</f>
        <v>46</v>
      </c>
      <c r="B13" s="85">
        <f>MATCH(G13,'MKT DATA'!B:B,0)</f>
        <v>46</v>
      </c>
      <c r="C13" s="84" t="str" cm="1">
        <f t="array" aca="1" ref="C13" ca="1">INDIRECT(ADDRESS($A13,2,,,"scalars"))</f>
        <v>google</v>
      </c>
      <c r="D13" s="143" cm="1">
        <f t="array" aca="1" ref="D13" ca="1">INDIRECT(ADDRESS($A13,8,,,"SCALARS"))</f>
        <v>45084500</v>
      </c>
      <c r="E13" s="145"/>
      <c r="F13" s="14" t="str" cm="1">
        <f t="array" aca="1" ref="F13" ca="1">INDIRECT(ADDRESS($A13,5,,,"scalars"))</f>
        <v>GOOGL</v>
      </c>
      <c r="G13" s="220" t="s">
        <v>165</v>
      </c>
      <c r="H13" s="33" cm="1">
        <f t="array" aca="1" ref="H13" ca="1">INDIRECT(ADDRESS($B13,5,,,"mkt data"))</f>
        <v>337.2</v>
      </c>
      <c r="I13" s="34" cm="1">
        <f t="array" aca="1" ref="I13" ca="1">INDIRECT(ADDRESS($B13,6,,,"mkt data"))</f>
        <v>337.4</v>
      </c>
      <c r="J13" s="170" cm="1">
        <f t="array" aca="1" ref="J13" ca="1">INDIRECT(ADDRESS($A13,7,,,"SCALARS"))</f>
        <v>0</v>
      </c>
      <c r="K13" s="16">
        <f t="shared" ca="1" si="1"/>
        <v>337.19450000000001</v>
      </c>
      <c r="L13" s="16">
        <f t="shared" ca="1" si="2"/>
        <v>337.40549999999996</v>
      </c>
      <c r="M13" s="44" cm="1">
        <f t="array" aca="1" ref="M13" ca="1">INDIRECT(ADDRESS($A13,6,,,"scalars"))</f>
        <v>1.0099220339547419</v>
      </c>
      <c r="N13" s="17">
        <f t="shared" ca="1" si="3"/>
        <v>340.54015527835224</v>
      </c>
      <c r="O13" s="17">
        <f t="shared" ca="1" si="4"/>
        <v>340.75324882751664</v>
      </c>
      <c r="P13" s="384">
        <f ca="1">N14-O13</f>
        <v>1.2511724833643711E-3</v>
      </c>
      <c r="Q13" s="386">
        <f ca="1">LN(N14/O13)</f>
        <v>3.6717777179410762E-6</v>
      </c>
      <c r="R13" s="295">
        <v>4.0000000000000001E-3</v>
      </c>
      <c r="S13" s="262">
        <v>2E-3</v>
      </c>
      <c r="T13" s="384">
        <f ca="1">N13-O14</f>
        <v>-0.3853447216477548</v>
      </c>
      <c r="U13" s="386">
        <f ca="1">LN(N13/O14)</f>
        <v>-1.130929371816154E-3</v>
      </c>
      <c r="V13" s="295">
        <v>5.0000000000000001E-3</v>
      </c>
      <c r="W13" s="60">
        <v>3.0000000000000001E-3</v>
      </c>
      <c r="X13" s="27" cm="1">
        <f t="array" aca="1" ref="X13" ca="1">INDIRECT(ADDRESS($B13,9,,,"mkt data"))</f>
        <v>0</v>
      </c>
      <c r="Y13" s="48">
        <f t="shared" ca="1" si="5"/>
        <v>0</v>
      </c>
      <c r="Z13" s="27">
        <f t="shared" ca="1" si="6"/>
        <v>0</v>
      </c>
      <c r="AA13" s="369">
        <f ca="1">SUM(Z13:Z14)</f>
        <v>0</v>
      </c>
      <c r="AB13" s="199" t="str">
        <f t="shared" si="0"/>
        <v>GOOG</v>
      </c>
      <c r="AC13" s="33" cm="1">
        <f t="array" aca="1" ref="AC13" ca="1">INDIRECT(ADDRESS($B13,8,,,"mkt data"))</f>
        <v>339.16000400000001</v>
      </c>
      <c r="AD13" s="191">
        <f t="shared" ca="1" si="8"/>
        <v>337.29999999999995</v>
      </c>
      <c r="AE13" s="191">
        <f t="shared" ca="1" si="9"/>
        <v>-1.8600040000000604</v>
      </c>
      <c r="AF13" s="202">
        <v>0</v>
      </c>
      <c r="AG13" s="191">
        <f t="shared" ca="1" si="10"/>
        <v>-1.8600040000000604</v>
      </c>
      <c r="AH13" s="191">
        <f t="shared" ca="1" si="11"/>
        <v>0</v>
      </c>
      <c r="AI13" s="375">
        <f ca="1">AH13+AH14</f>
        <v>0</v>
      </c>
    </row>
    <row r="14" spans="1:35" ht="15.75" thickBot="1" x14ac:dyDescent="0.3">
      <c r="A14" s="86">
        <f>MATCH(G14,SCALARS!C:C,0)</f>
        <v>47</v>
      </c>
      <c r="B14" s="87">
        <f>MATCH(G14,'MKT DATA'!B:B,0)</f>
        <v>47</v>
      </c>
      <c r="C14" s="86" t="str" cm="1">
        <f t="array" aca="1" ref="C14" ca="1">INDIRECT(ADDRESS($A14,2,,,"scalars"))</f>
        <v>google</v>
      </c>
      <c r="D14" s="144" cm="1">
        <f t="array" aca="1" ref="D14" ca="1">INDIRECT(ADDRESS($A14,8,,,"SCALARS"))</f>
        <v>67465500</v>
      </c>
      <c r="E14" s="146"/>
      <c r="F14" s="20" t="str" cm="1">
        <f t="array" aca="1" ref="F14" ca="1">INDIRECT(ADDRESS($A14,5,,,"scalars"))</f>
        <v>GOOGL</v>
      </c>
      <c r="G14" s="221" t="s">
        <v>166</v>
      </c>
      <c r="H14" s="37" cm="1">
        <f t="array" aca="1" ref="H14" ca="1">INDIRECT(ADDRESS($B14,5,,,"mkt data"))</f>
        <v>340.76</v>
      </c>
      <c r="I14" s="38" cm="1">
        <f t="array" aca="1" ref="I14" ca="1">INDIRECT(ADDRESS($B14,6,,,"mkt data"))</f>
        <v>340.92</v>
      </c>
      <c r="J14" s="171" cm="1">
        <f t="array" aca="1" ref="J14" ca="1">INDIRECT(ADDRESS($A14,7,,,"SCALARS"))</f>
        <v>0</v>
      </c>
      <c r="K14" s="22">
        <f t="shared" ca="1" si="1"/>
        <v>340.75450000000001</v>
      </c>
      <c r="L14" s="22">
        <f t="shared" ca="1" si="2"/>
        <v>340.9255</v>
      </c>
      <c r="M14" s="45" cm="1">
        <f t="array" aca="1" ref="M14" ca="1">INDIRECT(ADDRESS($A14,6,,,"scalars"))</f>
        <v>1</v>
      </c>
      <c r="N14" s="23">
        <f t="shared" ca="1" si="3"/>
        <v>340.75450000000001</v>
      </c>
      <c r="O14" s="23">
        <f t="shared" ca="1" si="4"/>
        <v>340.9255</v>
      </c>
      <c r="P14" s="385"/>
      <c r="Q14" s="387"/>
      <c r="R14" s="296" t="b">
        <f ca="1">IF(Q13&gt;R13,TRUE,FALSE)</f>
        <v>0</v>
      </c>
      <c r="S14" s="263" t="b">
        <f ca="1">AND(IF(U13&gt;-S13,TRUE,FALSE),IF(X13&gt;0,TRUE,FALSE))</f>
        <v>0</v>
      </c>
      <c r="T14" s="385"/>
      <c r="U14" s="387"/>
      <c r="V14" s="296" t="b">
        <f ca="1">IF(U13&gt;V13,TRUE,FALSE)</f>
        <v>0</v>
      </c>
      <c r="W14" s="61" t="b">
        <f ca="1">AND(IF(Q13&gt;-W13,TRUE,FALSE),IF(X13&lt;0,TRUE,FALSE))</f>
        <v>0</v>
      </c>
      <c r="X14" s="29" cm="1">
        <f t="array" aca="1" ref="X14" ca="1">INDIRECT(ADDRESS($B14,9,,,"mkt data"))</f>
        <v>0</v>
      </c>
      <c r="Y14" s="50">
        <f t="shared" ca="1" si="5"/>
        <v>0</v>
      </c>
      <c r="Z14" s="29">
        <f t="shared" ca="1" si="6"/>
        <v>0</v>
      </c>
      <c r="AA14" s="371"/>
      <c r="AB14" s="207" t="str">
        <f t="shared" si="0"/>
        <v>GOOGL</v>
      </c>
      <c r="AC14" s="37" cm="1">
        <f t="array" aca="1" ref="AC14" ca="1">INDIRECT(ADDRESS($B14,8,,,"mkt data"))</f>
        <v>342.75</v>
      </c>
      <c r="AD14" s="193">
        <f t="shared" ca="1" si="8"/>
        <v>340.84000000000003</v>
      </c>
      <c r="AE14" s="193">
        <f t="shared" ca="1" si="9"/>
        <v>-1.9099999999999682</v>
      </c>
      <c r="AF14" s="204">
        <v>0</v>
      </c>
      <c r="AG14" s="193">
        <f t="shared" ca="1" si="10"/>
        <v>-1.9099999999999682</v>
      </c>
      <c r="AH14" s="193">
        <f t="shared" ca="1" si="11"/>
        <v>0</v>
      </c>
      <c r="AI14" s="377"/>
    </row>
    <row r="15" spans="1:35" x14ac:dyDescent="0.25">
      <c r="A15" s="84">
        <f>MATCH(G15,SCALARS!C:C,0)</f>
        <v>49</v>
      </c>
      <c r="B15" s="85">
        <f>MATCH(G15,'MKT DATA'!B:B,0)</f>
        <v>49</v>
      </c>
      <c r="C15" s="84" t="str" cm="1">
        <f t="array" aca="1" ref="C15" ca="1">INDIRECT(ADDRESS($A15,2,,,"scalars"))</f>
        <v>heico</v>
      </c>
      <c r="D15" s="143" cm="1">
        <f t="array" aca="1" ref="D15" ca="1">INDIRECT(ADDRESS($A15,8,,,"SCALARS"))</f>
        <v>264200</v>
      </c>
      <c r="E15" s="145"/>
      <c r="F15" s="14" t="str" cm="1">
        <f t="array" aca="1" ref="F15" ca="1">INDIRECT(ADDRESS($A15,5,,,"scalars"))</f>
        <v>HEI</v>
      </c>
      <c r="G15" s="220" t="s">
        <v>180</v>
      </c>
      <c r="H15" s="33" cm="1">
        <f t="array" aca="1" ref="H15" ca="1">INDIRECT(ADDRESS($B15,5,,,"mkt data"))</f>
        <v>201.01</v>
      </c>
      <c r="I15" s="34" cm="1">
        <f t="array" aca="1" ref="I15" ca="1">INDIRECT(ADDRESS($B15,6,,,"mkt data"))</f>
        <v>368.33</v>
      </c>
      <c r="J15" s="170" cm="1">
        <f t="array" aca="1" ref="J15" ca="1">INDIRECT(ADDRESS($A15,7,,,"SCALARS"))</f>
        <v>0</v>
      </c>
      <c r="K15" s="16">
        <f t="shared" ca="1" si="1"/>
        <v>201.00449999999998</v>
      </c>
      <c r="L15" s="16">
        <f t="shared" ca="1" si="2"/>
        <v>368.33549999999997</v>
      </c>
      <c r="M15" s="44" cm="1">
        <f t="array" aca="1" ref="M15" ca="1">INDIRECT(ADDRESS($A15,6,,,"scalars"))</f>
        <v>1.342462941083487</v>
      </c>
      <c r="N15" s="17">
        <f t="shared" ca="1" si="3"/>
        <v>269.8410922410157</v>
      </c>
      <c r="O15" s="17">
        <f t="shared" ca="1" si="4"/>
        <v>494.47675863545669</v>
      </c>
      <c r="P15" s="384">
        <f ca="1">N16-O15</f>
        <v>-191.73225863545667</v>
      </c>
      <c r="Q15" s="386">
        <f ca="1">LN(N16/O15)</f>
        <v>-0.49061093476828238</v>
      </c>
      <c r="R15" s="295">
        <v>1.4999999999999999E-2</v>
      </c>
      <c r="S15" s="262">
        <v>5.0000000000000001E-3</v>
      </c>
      <c r="T15" s="384">
        <f ca="1">N15-O16</f>
        <v>-45.164407758984282</v>
      </c>
      <c r="U15" s="386">
        <f ca="1">LN(N15/O16)</f>
        <v>-0.15475686050970755</v>
      </c>
      <c r="V15" s="295">
        <v>1.4999999999999999E-2</v>
      </c>
      <c r="W15" s="60">
        <v>5.0000000000000001E-3</v>
      </c>
      <c r="X15" s="27" cm="1">
        <f t="array" aca="1" ref="X15" ca="1">INDIRECT(ADDRESS($B15,9,,,"mkt data"))</f>
        <v>0</v>
      </c>
      <c r="Y15" s="48">
        <f t="shared" ca="1" si="5"/>
        <v>0</v>
      </c>
      <c r="Z15" s="27">
        <f t="shared" ca="1" si="6"/>
        <v>0</v>
      </c>
      <c r="AA15" s="369">
        <f ca="1">SUM(Z15:Z16)</f>
        <v>0</v>
      </c>
      <c r="AB15" s="199" t="str">
        <f>G15</f>
        <v>HEI A</v>
      </c>
      <c r="AC15" s="33" cm="1">
        <f t="array" aca="1" ref="AC15" ca="1">INDIRECT(ADDRESS($B15,8,,,"mkt data"))</f>
        <v>230.63000500000001</v>
      </c>
      <c r="AD15" s="191">
        <f t="shared" ca="1" si="8"/>
        <v>284.66999999999996</v>
      </c>
      <c r="AE15" s="191">
        <f t="shared" ca="1" si="9"/>
        <v>54.039994999999948</v>
      </c>
      <c r="AF15" s="202">
        <v>0</v>
      </c>
      <c r="AG15" s="191">
        <f t="shared" ca="1" si="10"/>
        <v>54.039994999999948</v>
      </c>
      <c r="AH15" s="191">
        <f t="shared" ca="1" si="11"/>
        <v>0</v>
      </c>
      <c r="AI15" s="375">
        <f ca="1">AH15+AH16</f>
        <v>0</v>
      </c>
    </row>
    <row r="16" spans="1:35" ht="15.75" thickBot="1" x14ac:dyDescent="0.3">
      <c r="A16" s="86">
        <f>MATCH(G16,SCALARS!C:C,0)</f>
        <v>48</v>
      </c>
      <c r="B16" s="87">
        <f>MATCH(G16,'MKT DATA'!B:B,0)</f>
        <v>48</v>
      </c>
      <c r="C16" s="86" t="str" cm="1">
        <f t="array" aca="1" ref="C16" ca="1">INDIRECT(ADDRESS($A16,2,,,"scalars"))</f>
        <v>heico</v>
      </c>
      <c r="D16" s="144" cm="1">
        <f t="array" aca="1" ref="D16" ca="1">INDIRECT(ADDRESS($A16,8,,,"SCALARS"))</f>
        <v>1181400</v>
      </c>
      <c r="E16" s="146"/>
      <c r="F16" s="20" t="str" cm="1">
        <f t="array" aca="1" ref="F16" ca="1">INDIRECT(ADDRESS($A16,5,,,"scalars"))</f>
        <v>HEI</v>
      </c>
      <c r="G16" s="221" t="s">
        <v>171</v>
      </c>
      <c r="H16" s="37" cm="1">
        <f t="array" aca="1" ref="H16" ca="1">INDIRECT(ADDRESS($B16,5,,,"mkt data"))</f>
        <v>302.75</v>
      </c>
      <c r="I16" s="38" cm="1">
        <f t="array" aca="1" ref="I16" ca="1">INDIRECT(ADDRESS($B16,6,,,"mkt data"))</f>
        <v>315</v>
      </c>
      <c r="J16" s="171" cm="1">
        <f t="array" aca="1" ref="J16" ca="1">INDIRECT(ADDRESS($A16,7,,,"SCALARS"))</f>
        <v>0</v>
      </c>
      <c r="K16" s="22">
        <f t="shared" ca="1" si="1"/>
        <v>302.74450000000002</v>
      </c>
      <c r="L16" s="22">
        <f t="shared" ca="1" si="2"/>
        <v>315.00549999999998</v>
      </c>
      <c r="M16" s="45" cm="1">
        <f t="array" aca="1" ref="M16" ca="1">INDIRECT(ADDRESS($A16,6,,,"scalars"))</f>
        <v>1</v>
      </c>
      <c r="N16" s="23">
        <f t="shared" ca="1" si="3"/>
        <v>302.74450000000002</v>
      </c>
      <c r="O16" s="23">
        <f t="shared" ca="1" si="4"/>
        <v>315.00549999999998</v>
      </c>
      <c r="P16" s="385"/>
      <c r="Q16" s="387"/>
      <c r="R16" s="296" t="b">
        <f ca="1">IF(Q15&gt;R15,TRUE,FALSE)</f>
        <v>0</v>
      </c>
      <c r="S16" s="263" t="b">
        <f ca="1">AND(IF(U15&gt;-S15,TRUE,FALSE),IF(X15&gt;0,TRUE,FALSE))</f>
        <v>0</v>
      </c>
      <c r="T16" s="385"/>
      <c r="U16" s="387"/>
      <c r="V16" s="296" t="b">
        <f ca="1">IF(U15&gt;V15,TRUE,FALSE)</f>
        <v>0</v>
      </c>
      <c r="W16" s="61" t="b">
        <f ca="1">AND(IF(Q15&gt;-W15,TRUE,FALSE),IF(X15&lt;0,TRUE,FALSE))</f>
        <v>0</v>
      </c>
      <c r="X16" s="29" cm="1">
        <f t="array" aca="1" ref="X16" ca="1">INDIRECT(ADDRESS($B16,9,,,"mkt data"))</f>
        <v>0</v>
      </c>
      <c r="Y16" s="50">
        <f t="shared" ca="1" si="5"/>
        <v>0</v>
      </c>
      <c r="Z16" s="29">
        <f t="shared" ca="1" si="6"/>
        <v>0</v>
      </c>
      <c r="AA16" s="371"/>
      <c r="AB16" s="207" t="str">
        <f>G16</f>
        <v>HEI</v>
      </c>
      <c r="AC16" s="37" cm="1">
        <f t="array" aca="1" ref="AC16" ca="1">INDIRECT(ADDRESS($B16,8,,,"mkt data"))</f>
        <v>304.60998499999999</v>
      </c>
      <c r="AD16" s="193">
        <f t="shared" ca="1" si="8"/>
        <v>308.875</v>
      </c>
      <c r="AE16" s="193">
        <f t="shared" ca="1" si="9"/>
        <v>4.2650150000000053</v>
      </c>
      <c r="AF16" s="204">
        <v>0</v>
      </c>
      <c r="AG16" s="193">
        <f t="shared" ca="1" si="10"/>
        <v>4.2650150000000053</v>
      </c>
      <c r="AH16" s="193">
        <f t="shared" ca="1" si="11"/>
        <v>0</v>
      </c>
      <c r="AI16" s="377"/>
    </row>
    <row r="17" spans="1:35" x14ac:dyDescent="0.25">
      <c r="A17" s="84">
        <f>MATCH(G17,SCALARS!C:C,0)</f>
        <v>59</v>
      </c>
      <c r="B17" s="85">
        <f>MATCH(G17,'MKT DATA'!B:B,0)</f>
        <v>59</v>
      </c>
      <c r="C17" s="84" t="str" cm="1">
        <f t="array" aca="1" ref="C17" ca="1">INDIRECT(ADDRESS($A17,2,,,"scalars"))</f>
        <v>lenar</v>
      </c>
      <c r="D17" s="143" cm="1">
        <f t="array" aca="1" ref="D17" ca="1">INDIRECT(ADDRESS($A17,8,,,"SCALARS"))</f>
        <v>91100</v>
      </c>
      <c r="E17" s="145"/>
      <c r="F17" s="14" t="str" cm="1">
        <f t="array" aca="1" ref="F17" ca="1">INDIRECT(ADDRESS($A17,5,,,"scalars"))</f>
        <v>LEN</v>
      </c>
      <c r="G17" s="220" t="s">
        <v>255</v>
      </c>
      <c r="H17" s="33" cm="1">
        <f t="array" aca="1" ref="H17" ca="1">INDIRECT(ADDRESS($B17,5,,,"mkt data"))</f>
        <v>79.680000000000007</v>
      </c>
      <c r="I17" s="34" cm="1">
        <f t="array" aca="1" ref="I17" ca="1">INDIRECT(ADDRESS($B17,6,,,"mkt data"))</f>
        <v>82</v>
      </c>
      <c r="J17" s="170" cm="1">
        <f t="array" aca="1" ref="J17" ca="1">INDIRECT(ADDRESS($A17,7,,,"SCALARS"))</f>
        <v>0</v>
      </c>
      <c r="K17" s="16">
        <f t="shared" ca="1" si="1"/>
        <v>79.674500000000009</v>
      </c>
      <c r="L17" s="16">
        <f t="shared" ca="1" si="2"/>
        <v>82.005499999999998</v>
      </c>
      <c r="M17" s="44" cm="1">
        <f t="array" aca="1" ref="M17" ca="1">INDIRECT(ADDRESS($A17,6,,,"scalars"))</f>
        <v>1.0188671639731526</v>
      </c>
      <c r="N17" s="17">
        <f t="shared" ca="1" si="3"/>
        <v>81.177731855978948</v>
      </c>
      <c r="O17" s="17">
        <f t="shared" ca="1" si="4"/>
        <v>83.552711215200361</v>
      </c>
      <c r="P17" s="384">
        <f ca="1">N18-O17</f>
        <v>-0.52821121520035774</v>
      </c>
      <c r="Q17" s="386">
        <f ca="1">LN(N18/O17)</f>
        <v>-6.3419597645282709E-3</v>
      </c>
      <c r="R17" s="295">
        <v>4.0000000000000001E-3</v>
      </c>
      <c r="S17" s="262">
        <v>2E-3</v>
      </c>
      <c r="T17" s="384">
        <f ca="1">N17-O18</f>
        <v>-2.1577681440210483</v>
      </c>
      <c r="U17" s="386">
        <f ca="1">LN(N17/O18)</f>
        <v>-2.6233657525549316E-2</v>
      </c>
      <c r="V17" s="295">
        <v>4.0000000000000001E-3</v>
      </c>
      <c r="W17" s="60">
        <v>2E-3</v>
      </c>
      <c r="X17" s="27" cm="1">
        <f t="array" aca="1" ref="X17" ca="1">INDIRECT(ADDRESS($B17,9,,,"mkt data"))</f>
        <v>0</v>
      </c>
      <c r="Y17" s="48">
        <f t="shared" ca="1" si="5"/>
        <v>0</v>
      </c>
      <c r="Z17" s="27">
        <f t="shared" ca="1" si="6"/>
        <v>0</v>
      </c>
      <c r="AA17" s="369">
        <f ca="1">SUM(Z17:Z18)</f>
        <v>0</v>
      </c>
      <c r="AB17" s="199" t="str">
        <f t="shared" ref="AB17:AB20" si="12">G17</f>
        <v>LEN B</v>
      </c>
      <c r="AC17" s="33" cm="1">
        <f t="array" aca="1" ref="AC17" ca="1">INDIRECT(ADDRESS($B17,8,,,"mkt data"))</f>
        <v>80.559997999999993</v>
      </c>
      <c r="AD17" s="191">
        <f t="shared" ca="1" si="8"/>
        <v>80.84</v>
      </c>
      <c r="AE17" s="191">
        <f t="shared" ca="1" si="9"/>
        <v>0.2800020000000103</v>
      </c>
      <c r="AF17" s="202">
        <v>0</v>
      </c>
      <c r="AG17" s="191">
        <f t="shared" ca="1" si="10"/>
        <v>0.2800020000000103</v>
      </c>
      <c r="AH17" s="191">
        <f t="shared" ca="1" si="11"/>
        <v>0</v>
      </c>
      <c r="AI17" s="375">
        <f ca="1">AH17+AH18</f>
        <v>0</v>
      </c>
    </row>
    <row r="18" spans="1:35" ht="15.75" thickBot="1" x14ac:dyDescent="0.3">
      <c r="A18" s="86">
        <f>MATCH(G18,SCALARS!C:C,0)</f>
        <v>58</v>
      </c>
      <c r="B18" s="87">
        <f>MATCH(G18,'MKT DATA'!B:B,0)</f>
        <v>58</v>
      </c>
      <c r="C18" s="86" t="str" cm="1">
        <f t="array" aca="1" ref="C18" ca="1">INDIRECT(ADDRESS($A18,2,,,"scalars"))</f>
        <v>lenar</v>
      </c>
      <c r="D18" s="144" cm="1">
        <f t="array" aca="1" ref="D18" ca="1">INDIRECT(ADDRESS($A18,8,,,"SCALARS"))</f>
        <v>3152600</v>
      </c>
      <c r="E18" s="146"/>
      <c r="F18" s="20" t="str" cm="1">
        <f t="array" aca="1" ref="F18" ca="1">INDIRECT(ADDRESS($A18,5,,,"scalars"))</f>
        <v>LEN</v>
      </c>
      <c r="G18" s="221" t="s">
        <v>254</v>
      </c>
      <c r="H18" s="37" cm="1">
        <f t="array" aca="1" ref="H18" ca="1">INDIRECT(ADDRESS($B18,5,,,"mkt data"))</f>
        <v>83.03</v>
      </c>
      <c r="I18" s="38" cm="1">
        <f t="array" aca="1" ref="I18" ca="1">INDIRECT(ADDRESS($B18,6,,,"mkt data"))</f>
        <v>83.33</v>
      </c>
      <c r="J18" s="171" cm="1">
        <f t="array" aca="1" ref="J18" ca="1">INDIRECT(ADDRESS($A18,7,,,"SCALARS"))</f>
        <v>0</v>
      </c>
      <c r="K18" s="22">
        <f t="shared" ca="1" si="1"/>
        <v>83.024500000000003</v>
      </c>
      <c r="L18" s="22">
        <f t="shared" ca="1" si="2"/>
        <v>83.335499999999996</v>
      </c>
      <c r="M18" s="45" cm="1">
        <f t="array" aca="1" ref="M18" ca="1">INDIRECT(ADDRESS($A18,6,,,"scalars"))</f>
        <v>1</v>
      </c>
      <c r="N18" s="23">
        <f t="shared" ca="1" si="3"/>
        <v>83.024500000000003</v>
      </c>
      <c r="O18" s="23">
        <f t="shared" ca="1" si="4"/>
        <v>83.335499999999996</v>
      </c>
      <c r="P18" s="385"/>
      <c r="Q18" s="387"/>
      <c r="R18" s="296" t="b">
        <f ca="1">IF(Q17&gt;R17,TRUE,FALSE)</f>
        <v>0</v>
      </c>
      <c r="S18" s="263" t="b">
        <f ca="1">AND(IF(U17&gt;-S17,TRUE,FALSE),IF(X17&gt;0,TRUE,FALSE))</f>
        <v>0</v>
      </c>
      <c r="T18" s="385"/>
      <c r="U18" s="387"/>
      <c r="V18" s="296" t="b">
        <f ca="1">IF(U17&gt;V17,TRUE,FALSE)</f>
        <v>0</v>
      </c>
      <c r="W18" s="61" t="b">
        <f ca="1">AND(IF(Q17&gt;-W17,TRUE,FALSE),IF(X17&lt;0,TRUE,FALSE))</f>
        <v>0</v>
      </c>
      <c r="X18" s="29" cm="1">
        <f t="array" aca="1" ref="X18" ca="1">INDIRECT(ADDRESS($B18,9,,,"mkt data"))</f>
        <v>0</v>
      </c>
      <c r="Y18" s="50">
        <f t="shared" ca="1" si="5"/>
        <v>0</v>
      </c>
      <c r="Z18" s="29">
        <f t="shared" ca="1" si="6"/>
        <v>0</v>
      </c>
      <c r="AA18" s="371"/>
      <c r="AB18" s="207" t="str">
        <f t="shared" si="12"/>
        <v>LEN</v>
      </c>
      <c r="AC18" s="37" cm="1">
        <f t="array" aca="1" ref="AC18" ca="1">INDIRECT(ADDRESS($B18,8,,,"mkt data"))</f>
        <v>82.029999000000004</v>
      </c>
      <c r="AD18" s="193">
        <f t="shared" ca="1" si="8"/>
        <v>83.18</v>
      </c>
      <c r="AE18" s="193">
        <f t="shared" ca="1" si="9"/>
        <v>1.1500010000000032</v>
      </c>
      <c r="AF18" s="204">
        <v>0</v>
      </c>
      <c r="AG18" s="193">
        <f t="shared" ca="1" si="10"/>
        <v>1.1500010000000032</v>
      </c>
      <c r="AH18" s="193">
        <f t="shared" ca="1" si="11"/>
        <v>0</v>
      </c>
      <c r="AI18" s="377"/>
    </row>
    <row r="19" spans="1:35" x14ac:dyDescent="0.25">
      <c r="A19" s="84">
        <f>MATCH(G19,SCALARS!C:C,0)</f>
        <v>56</v>
      </c>
      <c r="B19" s="85">
        <f>MATCH(G19,'MKT DATA'!B:B,0)</f>
        <v>56</v>
      </c>
      <c r="C19" s="84" t="str" cm="1">
        <f t="array" aca="1" ref="C19" ca="1">INDIRECT(ADDRESS($A19,2,,,"scalars"))</f>
        <v>moog</v>
      </c>
      <c r="D19" s="143" cm="1">
        <f t="array" aca="1" ref="D19" ca="1">INDIRECT(ADDRESS($A19,8,,,"SCALARS"))</f>
        <v>682300</v>
      </c>
      <c r="E19" s="145"/>
      <c r="F19" s="14" t="str" cm="1">
        <f t="array" aca="1" ref="F19" ca="1">INDIRECT(ADDRESS($A19,5,,,"scalars"))</f>
        <v>MOG B</v>
      </c>
      <c r="G19" s="220" t="s">
        <v>251</v>
      </c>
      <c r="H19" s="33" cm="1">
        <f t="array" aca="1" ref="H19" ca="1">INDIRECT(ADDRESS($B19,5,,,"mkt data"))</f>
        <v>360</v>
      </c>
      <c r="I19" s="34" cm="1">
        <f t="array" aca="1" ref="I19" ca="1">INDIRECT(ADDRESS($B19,6,,,"mkt data"))</f>
        <v>400</v>
      </c>
      <c r="J19" s="170" cm="1">
        <f t="array" aca="1" ref="J19" ca="1">INDIRECT(ADDRESS($A19,7,,,"SCALARS"))</f>
        <v>0</v>
      </c>
      <c r="K19" s="16">
        <f t="shared" ca="1" si="1"/>
        <v>359.99450000000002</v>
      </c>
      <c r="L19" s="16">
        <f t="shared" ca="1" si="2"/>
        <v>400.00549999999998</v>
      </c>
      <c r="M19" s="44" cm="1">
        <f t="array" aca="1" ref="M19" ca="1">INDIRECT(ADDRESS($A19,6,,,"scalars"))</f>
        <v>1.0138139386124387</v>
      </c>
      <c r="N19" s="17">
        <f t="shared" ca="1" si="3"/>
        <v>364.96744192381561</v>
      </c>
      <c r="O19" s="17">
        <f t="shared" ca="1" si="4"/>
        <v>405.53115142163784</v>
      </c>
      <c r="P19" s="384">
        <f ca="1">N20-O19</f>
        <v>-248.33665142163787</v>
      </c>
      <c r="Q19" s="386">
        <f ca="1">LN(N20/O19)</f>
        <v>-0.94771380074728873</v>
      </c>
      <c r="R19" s="295">
        <v>0.04</v>
      </c>
      <c r="S19" s="262">
        <v>0.01</v>
      </c>
      <c r="T19" s="384">
        <f ca="1">N19-O20</f>
        <v>-263.79805807618436</v>
      </c>
      <c r="U19" s="386">
        <f ca="1">LN(N19/O20)</f>
        <v>-0.54395022380237446</v>
      </c>
      <c r="V19" s="295">
        <v>0.04</v>
      </c>
      <c r="W19" s="60">
        <v>0.01</v>
      </c>
      <c r="X19" s="27" cm="1">
        <f t="array" aca="1" ref="X19" ca="1">INDIRECT(ADDRESS($B19,9,,,"mkt data"))</f>
        <v>0</v>
      </c>
      <c r="Y19" s="48">
        <f t="shared" ca="1" si="5"/>
        <v>0</v>
      </c>
      <c r="Z19" s="27">
        <f t="shared" ca="1" si="6"/>
        <v>0</v>
      </c>
      <c r="AA19" s="369">
        <f ca="1">SUM(Z19:Z20)</f>
        <v>0</v>
      </c>
      <c r="AB19" s="199" t="str">
        <f t="shared" si="12"/>
        <v>MOG A</v>
      </c>
      <c r="AC19" s="33" cm="1">
        <f t="array" aca="1" ref="AC19" ca="1">INDIRECT(ADDRESS($B19,8,,,"mkt data"))</f>
        <v>389.959991</v>
      </c>
      <c r="AD19" s="191">
        <f t="shared" ca="1" si="8"/>
        <v>380</v>
      </c>
      <c r="AE19" s="191">
        <f t="shared" ca="1" si="9"/>
        <v>-9.9599910000000023</v>
      </c>
      <c r="AF19" s="202">
        <v>0</v>
      </c>
      <c r="AG19" s="191">
        <f t="shared" ca="1" si="10"/>
        <v>-9.9599910000000023</v>
      </c>
      <c r="AH19" s="191">
        <f t="shared" ca="1" si="11"/>
        <v>0</v>
      </c>
      <c r="AI19" s="375">
        <f ca="1">AH19+AH20</f>
        <v>0</v>
      </c>
    </row>
    <row r="20" spans="1:35" ht="15.75" thickBot="1" x14ac:dyDescent="0.3">
      <c r="A20" s="86">
        <f>MATCH(G20,SCALARS!C:C,0)</f>
        <v>57</v>
      </c>
      <c r="B20" s="87">
        <f>MATCH(G20,'MKT DATA'!B:B,0)</f>
        <v>57</v>
      </c>
      <c r="C20" s="86" t="str" cm="1">
        <f t="array" aca="1" ref="C20" ca="1">INDIRECT(ADDRESS($A20,2,,,"scalars"))</f>
        <v>moog</v>
      </c>
      <c r="D20" s="144" cm="1">
        <f t="array" aca="1" ref="D20" ca="1">INDIRECT(ADDRESS($A20,8,,,"SCALARS"))</f>
        <v>700</v>
      </c>
      <c r="E20" s="146"/>
      <c r="F20" s="20" t="str" cm="1">
        <f t="array" aca="1" ref="F20" ca="1">INDIRECT(ADDRESS($A20,5,,,"scalars"))</f>
        <v>MOG B</v>
      </c>
      <c r="G20" s="221" t="s">
        <v>252</v>
      </c>
      <c r="H20" s="37" cm="1">
        <f t="array" aca="1" ref="H20" ca="1">INDIRECT(ADDRESS($B20,5,,,"mkt data"))</f>
        <v>157.19999999999999</v>
      </c>
      <c r="I20" s="38" cm="1">
        <f t="array" aca="1" ref="I20" ca="1">INDIRECT(ADDRESS($B20,6,,,"mkt data"))</f>
        <v>628.76</v>
      </c>
      <c r="J20" s="171" cm="1">
        <f t="array" aca="1" ref="J20" ca="1">INDIRECT(ADDRESS($A20,7,,,"SCALARS"))</f>
        <v>0</v>
      </c>
      <c r="K20" s="22">
        <f t="shared" ca="1" si="1"/>
        <v>157.19449999999998</v>
      </c>
      <c r="L20" s="22">
        <f t="shared" ca="1" si="2"/>
        <v>628.76549999999997</v>
      </c>
      <c r="M20" s="45" cm="1">
        <f t="array" aca="1" ref="M20" ca="1">INDIRECT(ADDRESS($A20,6,,,"scalars"))</f>
        <v>1</v>
      </c>
      <c r="N20" s="23">
        <f t="shared" ca="1" si="3"/>
        <v>157.19449999999998</v>
      </c>
      <c r="O20" s="23">
        <f t="shared" ca="1" si="4"/>
        <v>628.76549999999997</v>
      </c>
      <c r="P20" s="385"/>
      <c r="Q20" s="387"/>
      <c r="R20" s="296" t="b">
        <f ca="1">IF(Q19&gt;R19,TRUE,FALSE)</f>
        <v>0</v>
      </c>
      <c r="S20" s="263" t="b">
        <f ca="1">AND(IF(U19&gt;-S19,TRUE,FALSE),IF(X19&gt;0,TRUE,FALSE))</f>
        <v>0</v>
      </c>
      <c r="T20" s="385"/>
      <c r="U20" s="387"/>
      <c r="V20" s="296" t="b">
        <f ca="1">IF(U19&gt;V19,TRUE,FALSE)</f>
        <v>0</v>
      </c>
      <c r="W20" s="61" t="b">
        <f ca="1">AND(IF(Q19&gt;-W19,TRUE,FALSE),IF(X19&lt;0,TRUE,FALSE))</f>
        <v>0</v>
      </c>
      <c r="X20" s="29" cm="1">
        <f t="array" aca="1" ref="X20" ca="1">INDIRECT(ADDRESS($B20,9,,,"mkt data"))</f>
        <v>0</v>
      </c>
      <c r="Y20" s="50">
        <f t="shared" ca="1" si="5"/>
        <v>0</v>
      </c>
      <c r="Z20" s="29">
        <f t="shared" ca="1" si="6"/>
        <v>0</v>
      </c>
      <c r="AA20" s="371"/>
      <c r="AB20" s="207" t="str">
        <f t="shared" si="12"/>
        <v>MOG B</v>
      </c>
      <c r="AC20" s="37" cm="1">
        <f t="array" aca="1" ref="AC20" ca="1">INDIRECT(ADDRESS($B20,8,,,"mkt data"))</f>
        <v>397.39999399999999</v>
      </c>
      <c r="AD20" s="193">
        <f t="shared" ca="1" si="8"/>
        <v>392.98</v>
      </c>
      <c r="AE20" s="193">
        <f t="shared" ca="1" si="9"/>
        <v>-4.4199939999999742</v>
      </c>
      <c r="AF20" s="204">
        <v>0</v>
      </c>
      <c r="AG20" s="193">
        <f t="shared" ca="1" si="10"/>
        <v>-4.4199939999999742</v>
      </c>
      <c r="AH20" s="193">
        <f t="shared" ca="1" si="11"/>
        <v>0</v>
      </c>
      <c r="AI20" s="377"/>
    </row>
    <row r="21" spans="1:35" x14ac:dyDescent="0.25">
      <c r="A21" s="84">
        <f>MATCH(G21,SCALARS!C:C,0)</f>
        <v>51</v>
      </c>
      <c r="B21" s="85">
        <f>MATCH(G21,'MKT DATA'!B:B,0)</f>
        <v>51</v>
      </c>
      <c r="C21" s="84" t="str" cm="1">
        <f t="array" aca="1" ref="C21" ca="1">INDIRECT(ADDRESS($A21,2,,,"scalars"))</f>
        <v>news corp</v>
      </c>
      <c r="D21" s="143" cm="1">
        <f t="array" aca="1" ref="D21" ca="1">INDIRECT(ADDRESS($A21,8,,,"SCALARS"))</f>
        <v>4008400</v>
      </c>
      <c r="E21" s="145"/>
      <c r="F21" s="14" t="str" cm="1">
        <f t="array" aca="1" ref="F21" ca="1">INDIRECT(ADDRESS($A21,5,,,"scalars"))</f>
        <v>NWS</v>
      </c>
      <c r="G21" s="220" t="s">
        <v>170</v>
      </c>
      <c r="H21" s="33" cm="1">
        <f t="array" aca="1" ref="H21" ca="1">INDIRECT(ADDRESS($B21,5,,,"mkt data"))</f>
        <v>28.03</v>
      </c>
      <c r="I21" s="34" cm="1">
        <f t="array" aca="1" ref="I21" ca="1">INDIRECT(ADDRESS($B21,6,,,"mkt data"))</f>
        <v>28.92</v>
      </c>
      <c r="J21" s="170" cm="1">
        <f t="array" aca="1" ref="J21" ca="1">INDIRECT(ADDRESS($A21,7,,,"SCALARS"))</f>
        <v>0</v>
      </c>
      <c r="K21" s="16">
        <f t="shared" ca="1" si="1"/>
        <v>28.0245</v>
      </c>
      <c r="L21" s="16">
        <f t="shared" ca="1" si="2"/>
        <v>28.925500000000003</v>
      </c>
      <c r="M21" s="44" cm="1">
        <f t="array" aca="1" ref="M21" ca="1">INDIRECT(ADDRESS($A21,6,,,"scalars"))</f>
        <v>1.1122074555542789</v>
      </c>
      <c r="N21" s="17">
        <f t="shared" ca="1" si="3"/>
        <v>31.16905783818089</v>
      </c>
      <c r="O21" s="17">
        <f t="shared" ca="1" si="4"/>
        <v>32.171156755635295</v>
      </c>
      <c r="P21" s="384">
        <f ca="1">N22-O21</f>
        <v>-1.3366567556352962</v>
      </c>
      <c r="Q21" s="386">
        <f ca="1">LN(N22/O21)</f>
        <v>-4.2436105221113567E-2</v>
      </c>
      <c r="R21" s="295">
        <v>1.4999999999999999E-2</v>
      </c>
      <c r="S21" s="262">
        <v>0.01</v>
      </c>
      <c r="T21" s="384">
        <f ca="1">N21-O22</f>
        <v>-0.94644216181910679</v>
      </c>
      <c r="U21" s="386">
        <f ca="1">LN(N21/O22)</f>
        <v>-2.9912912873076885E-2</v>
      </c>
      <c r="V21" s="295">
        <v>1.4999999999999999E-2</v>
      </c>
      <c r="W21" s="60">
        <v>0.01</v>
      </c>
      <c r="X21" s="27" cm="1">
        <f t="array" aca="1" ref="X21" ca="1">INDIRECT(ADDRESS($B21,9,,,"mkt data"))</f>
        <v>0</v>
      </c>
      <c r="Y21" s="48">
        <f t="shared" ca="1" si="5"/>
        <v>0</v>
      </c>
      <c r="Z21" s="27">
        <f t="shared" ca="1" si="6"/>
        <v>0</v>
      </c>
      <c r="AA21" s="369">
        <f ca="1">SUM(Z21:Z22)</f>
        <v>0</v>
      </c>
      <c r="AB21" s="199" t="str">
        <f t="shared" si="0"/>
        <v>NWSA</v>
      </c>
      <c r="AC21" s="33" cm="1">
        <f t="array" aca="1" ref="AC21" ca="1">INDIRECT(ADDRESS($B21,8,,,"mkt data"))</f>
        <v>29.1</v>
      </c>
      <c r="AD21" s="191">
        <f t="shared" ca="1" si="8"/>
        <v>28.475000000000001</v>
      </c>
      <c r="AE21" s="191">
        <f t="shared" ca="1" si="9"/>
        <v>-0.625</v>
      </c>
      <c r="AF21" s="202">
        <v>0</v>
      </c>
      <c r="AG21" s="191">
        <f t="shared" ca="1" si="10"/>
        <v>-0.625</v>
      </c>
      <c r="AH21" s="191">
        <f t="shared" ca="1" si="11"/>
        <v>0</v>
      </c>
      <c r="AI21" s="375">
        <f ca="1">AH21+AH22</f>
        <v>0</v>
      </c>
    </row>
    <row r="22" spans="1:35" ht="15.75" thickBot="1" x14ac:dyDescent="0.3">
      <c r="A22" s="86">
        <f>MATCH(G22,SCALARS!C:C,0)</f>
        <v>50</v>
      </c>
      <c r="B22" s="87">
        <f>MATCH(G22,'MKT DATA'!B:B,0)</f>
        <v>50</v>
      </c>
      <c r="C22" s="86" t="str" cm="1">
        <f t="array" aca="1" ref="C22" ca="1">INDIRECT(ADDRESS($A22,2,,,"scalars"))</f>
        <v>news corp</v>
      </c>
      <c r="D22" s="144" cm="1">
        <f t="array" aca="1" ref="D22" ca="1">INDIRECT(ADDRESS($A22,8,,,"SCALARS"))</f>
        <v>1196400</v>
      </c>
      <c r="E22" s="146"/>
      <c r="F22" s="20" t="str" cm="1">
        <f t="array" aca="1" ref="F22" ca="1">INDIRECT(ADDRESS($A22,5,,,"scalars"))</f>
        <v>NWS</v>
      </c>
      <c r="G22" s="221" t="s">
        <v>169</v>
      </c>
      <c r="H22" s="37" cm="1">
        <f t="array" aca="1" ref="H22" ca="1">INDIRECT(ADDRESS($B22,5,,,"mkt data"))</f>
        <v>30.84</v>
      </c>
      <c r="I22" s="38" cm="1">
        <f t="array" aca="1" ref="I22" ca="1">INDIRECT(ADDRESS($B22,6,,,"mkt data"))</f>
        <v>32.11</v>
      </c>
      <c r="J22" s="171" cm="1">
        <f t="array" aca="1" ref="J22" ca="1">INDIRECT(ADDRESS($A22,7,,,"SCALARS"))</f>
        <v>0</v>
      </c>
      <c r="K22" s="22">
        <f t="shared" ca="1" si="1"/>
        <v>30.834499999999998</v>
      </c>
      <c r="L22" s="22">
        <f t="shared" ca="1" si="2"/>
        <v>32.115499999999997</v>
      </c>
      <c r="M22" s="45" cm="1">
        <f t="array" aca="1" ref="M22" ca="1">INDIRECT(ADDRESS($A22,6,,,"scalars"))</f>
        <v>1</v>
      </c>
      <c r="N22" s="23">
        <f t="shared" ca="1" si="3"/>
        <v>30.834499999999998</v>
      </c>
      <c r="O22" s="23">
        <f t="shared" ca="1" si="4"/>
        <v>32.115499999999997</v>
      </c>
      <c r="P22" s="385"/>
      <c r="Q22" s="387"/>
      <c r="R22" s="296" t="b">
        <f ca="1">IF(Q21&gt;R21,TRUE,FALSE)</f>
        <v>0</v>
      </c>
      <c r="S22" s="263" t="b">
        <f ca="1">AND(IF(U21&gt;-S21,TRUE,FALSE),IF(X21&gt;0,TRUE,FALSE))</f>
        <v>0</v>
      </c>
      <c r="T22" s="385"/>
      <c r="U22" s="387"/>
      <c r="V22" s="296" t="b">
        <f ca="1">IF(U21&gt;V21,TRUE,FALSE)</f>
        <v>0</v>
      </c>
      <c r="W22" s="61" t="b">
        <f ca="1">AND(IF(Q21&gt;-W21,TRUE,FALSE),IF(X21&lt;0,TRUE,FALSE))</f>
        <v>0</v>
      </c>
      <c r="X22" s="29" cm="1">
        <f t="array" aca="1" ref="X22" ca="1">INDIRECT(ADDRESS($B22,9,,,"mkt data"))</f>
        <v>0</v>
      </c>
      <c r="Y22" s="50">
        <f t="shared" ca="1" si="5"/>
        <v>0</v>
      </c>
      <c r="Z22" s="29">
        <f t="shared" ca="1" si="6"/>
        <v>0</v>
      </c>
      <c r="AA22" s="371"/>
      <c r="AB22" s="207" t="str">
        <f t="shared" si="0"/>
        <v>NWS</v>
      </c>
      <c r="AC22" s="37" cm="1">
        <f t="array" aca="1" ref="AC22" ca="1">INDIRECT(ADDRESS($B22,8,,,"mkt data"))</f>
        <v>32.240001999999997</v>
      </c>
      <c r="AD22" s="193">
        <f t="shared" ca="1" si="8"/>
        <v>31.475000000000001</v>
      </c>
      <c r="AE22" s="193">
        <f t="shared" ca="1" si="9"/>
        <v>-0.76500199999999552</v>
      </c>
      <c r="AF22" s="204">
        <v>0</v>
      </c>
      <c r="AG22" s="193">
        <f t="shared" ca="1" si="10"/>
        <v>-0.76500199999999552</v>
      </c>
      <c r="AH22" s="193">
        <f t="shared" ca="1" si="11"/>
        <v>0</v>
      </c>
      <c r="AI22" s="377"/>
    </row>
    <row r="23" spans="1:35" x14ac:dyDescent="0.25">
      <c r="A23" s="84">
        <f>MATCH(G23,SCALARS!C:C,0)</f>
        <v>52</v>
      </c>
      <c r="B23" s="85">
        <f>MATCH(G23,'MKT DATA'!B:B,0)</f>
        <v>52</v>
      </c>
      <c r="C23" s="84" t="str" cm="1">
        <f t="array" aca="1" ref="C23" ca="1">INDIRECT(ADDRESS($A23,2,,,"scalars"))</f>
        <v>under armour</v>
      </c>
      <c r="D23" s="143" cm="1">
        <f t="array" aca="1" ref="D23" ca="1">INDIRECT(ADDRESS($A23,8,,,"SCALARS"))</f>
        <v>2627500</v>
      </c>
      <c r="E23" s="145"/>
      <c r="F23" s="14" t="str" cm="1">
        <f t="array" aca="1" ref="F23" ca="1">INDIRECT(ADDRESS($A23,5,,,"scalars"))</f>
        <v>UAA</v>
      </c>
      <c r="G23" s="220" t="s">
        <v>244</v>
      </c>
      <c r="H23" s="33" cm="1">
        <f t="array" aca="1" ref="H23" ca="1">INDIRECT(ADDRESS($B23,5,,,"mkt data"))</f>
        <v>4.22</v>
      </c>
      <c r="I23" s="34" cm="1">
        <f t="array" aca="1" ref="I23" ca="1">INDIRECT(ADDRESS($B23,6,,,"mkt data"))</f>
        <v>4.2699999999999996</v>
      </c>
      <c r="J23" s="170" cm="1">
        <f t="array" aca="1" ref="J23" ca="1">INDIRECT(ADDRESS($A23,7,,,"SCALARS"))</f>
        <v>0</v>
      </c>
      <c r="K23" s="16">
        <f t="shared" ca="1" si="1"/>
        <v>4.2145000000000001</v>
      </c>
      <c r="L23" s="16">
        <f t="shared" ca="1" si="2"/>
        <v>4.2754999999999992</v>
      </c>
      <c r="M23" s="44" cm="1">
        <f t="array" aca="1" ref="M23" ca="1">INDIRECT(ADDRESS($A23,6,,,"scalars"))</f>
        <v>1.0216973463961607</v>
      </c>
      <c r="N23" s="17">
        <f t="shared" ca="1" si="3"/>
        <v>4.3059434663866192</v>
      </c>
      <c r="O23" s="17">
        <f t="shared" ca="1" si="4"/>
        <v>4.3682670045167846</v>
      </c>
      <c r="P23" s="384">
        <f ca="1">N24-O23</f>
        <v>-0.10376700451678467</v>
      </c>
      <c r="Q23" s="386">
        <f ca="1">LN(N24/O23)</f>
        <v>-2.4041423205061793E-2</v>
      </c>
      <c r="R23" s="295">
        <v>5.0000000000000001E-3</v>
      </c>
      <c r="S23" s="262">
        <v>3.0000000000000001E-3</v>
      </c>
      <c r="T23" s="384">
        <f ca="1">N23-O24</f>
        <v>1.0443466386619527E-2</v>
      </c>
      <c r="U23" s="386">
        <f ca="1">LN(N23/O24)</f>
        <v>2.4283067276418021E-3</v>
      </c>
      <c r="V23" s="295">
        <v>5.0000000000000001E-3</v>
      </c>
      <c r="W23" s="60">
        <v>3.0000000000000001E-3</v>
      </c>
      <c r="X23" s="27" cm="1">
        <f t="array" aca="1" ref="X23" ca="1">INDIRECT(ADDRESS($B23,9,,,"mkt data"))</f>
        <v>0</v>
      </c>
      <c r="Y23" s="48">
        <f t="shared" ca="1" si="5"/>
        <v>0</v>
      </c>
      <c r="Z23" s="27">
        <f t="shared" ca="1" si="6"/>
        <v>0</v>
      </c>
      <c r="AA23" s="369">
        <f ca="1">SUM(Z23:Z24)</f>
        <v>0</v>
      </c>
      <c r="AB23" s="199" t="str">
        <f t="shared" si="0"/>
        <v>UA</v>
      </c>
      <c r="AC23" s="33" cm="1">
        <f t="array" aca="1" ref="AC23" ca="1">INDIRECT(ADDRESS($B23,8,,,"mkt data"))</f>
        <v>4.24</v>
      </c>
      <c r="AD23" s="191">
        <f t="shared" ca="1" si="8"/>
        <v>4.2449999999999992</v>
      </c>
      <c r="AE23" s="191">
        <f t="shared" ca="1" si="9"/>
        <v>4.9999999999990052E-3</v>
      </c>
      <c r="AF23" s="202">
        <v>0</v>
      </c>
      <c r="AG23" s="191">
        <f t="shared" ca="1" si="10"/>
        <v>4.9999999999990052E-3</v>
      </c>
      <c r="AH23" s="191">
        <f t="shared" ca="1" si="11"/>
        <v>0</v>
      </c>
      <c r="AI23" s="375">
        <f ca="1">AH23+AH24</f>
        <v>0</v>
      </c>
    </row>
    <row r="24" spans="1:35" ht="15.75" thickBot="1" x14ac:dyDescent="0.3">
      <c r="A24" s="86">
        <f>MATCH(G24,SCALARS!C:C,0)</f>
        <v>53</v>
      </c>
      <c r="B24" s="87">
        <f>MATCH(G24,'MKT DATA'!B:B,0)</f>
        <v>53</v>
      </c>
      <c r="C24" s="86" t="str" cm="1">
        <f t="array" aca="1" ref="C24" ca="1">INDIRECT(ADDRESS($A24,2,,,"scalars"))</f>
        <v>under armour</v>
      </c>
      <c r="D24" s="144" cm="1">
        <f t="array" aca="1" ref="D24" ca="1">INDIRECT(ADDRESS($A24,8,,,"SCALARS"))</f>
        <v>8473100</v>
      </c>
      <c r="E24" s="146"/>
      <c r="F24" s="20" t="str" cm="1">
        <f t="array" aca="1" ref="F24" ca="1">INDIRECT(ADDRESS($A24,5,,,"scalars"))</f>
        <v>UAA</v>
      </c>
      <c r="G24" s="221" t="s">
        <v>245</v>
      </c>
      <c r="H24" s="37" cm="1">
        <f t="array" aca="1" ref="H24" ca="1">INDIRECT(ADDRESS($B24,5,,,"mkt data"))</f>
        <v>4.2699999999999996</v>
      </c>
      <c r="I24" s="38" cm="1">
        <f t="array" aca="1" ref="I24" ca="1">INDIRECT(ADDRESS($B24,6,,,"mkt data"))</f>
        <v>4.29</v>
      </c>
      <c r="J24" s="171" cm="1">
        <f t="array" aca="1" ref="J24" ca="1">INDIRECT(ADDRESS($A24,7,,,"SCALARS"))</f>
        <v>0</v>
      </c>
      <c r="K24" s="22">
        <f t="shared" ca="1" si="1"/>
        <v>4.2645</v>
      </c>
      <c r="L24" s="22">
        <f t="shared" ca="1" si="2"/>
        <v>4.2954999999999997</v>
      </c>
      <c r="M24" s="45" cm="1">
        <f t="array" aca="1" ref="M24" ca="1">INDIRECT(ADDRESS($A24,6,,,"scalars"))</f>
        <v>1</v>
      </c>
      <c r="N24" s="23">
        <f t="shared" ca="1" si="3"/>
        <v>4.2645</v>
      </c>
      <c r="O24" s="23">
        <f t="shared" ca="1" si="4"/>
        <v>4.2954999999999997</v>
      </c>
      <c r="P24" s="385"/>
      <c r="Q24" s="387"/>
      <c r="R24" s="296" t="b">
        <f ca="1">IF(Q23&gt;R23,TRUE,FALSE)</f>
        <v>0</v>
      </c>
      <c r="S24" s="263" t="b">
        <f ca="1">AND(IF(U23&gt;-S23,TRUE,FALSE),IF(X23&gt;0,TRUE,FALSE))</f>
        <v>0</v>
      </c>
      <c r="T24" s="385"/>
      <c r="U24" s="387"/>
      <c r="V24" s="296" t="b">
        <f ca="1">IF(U23&gt;V23,TRUE,FALSE)</f>
        <v>0</v>
      </c>
      <c r="W24" s="61" t="b">
        <f ca="1">AND(IF(Q23&gt;-W23,TRUE,FALSE),IF(X23&lt;0,TRUE,FALSE))</f>
        <v>0</v>
      </c>
      <c r="X24" s="29" cm="1">
        <f t="array" aca="1" ref="X24" ca="1">INDIRECT(ADDRESS($B24,9,,,"mkt data"))</f>
        <v>0</v>
      </c>
      <c r="Y24" s="50">
        <f t="shared" ca="1" si="5"/>
        <v>0</v>
      </c>
      <c r="Z24" s="29">
        <f t="shared" ca="1" si="6"/>
        <v>0</v>
      </c>
      <c r="AA24" s="371"/>
      <c r="AB24" s="207" t="str">
        <f t="shared" si="0"/>
        <v>UAA</v>
      </c>
      <c r="AC24" s="37" cm="1">
        <f t="array" aca="1" ref="AC24" ca="1">INDIRECT(ADDRESS($B24,8,,,"mkt data"))</f>
        <v>4.28</v>
      </c>
      <c r="AD24" s="193">
        <f t="shared" ca="1" si="8"/>
        <v>4.2799999999999994</v>
      </c>
      <c r="AE24" s="193">
        <f t="shared" ca="1" si="9"/>
        <v>0</v>
      </c>
      <c r="AF24" s="204">
        <v>0</v>
      </c>
      <c r="AG24" s="193">
        <f t="shared" ca="1" si="10"/>
        <v>0</v>
      </c>
      <c r="AH24" s="193">
        <f t="shared" ca="1" si="11"/>
        <v>0</v>
      </c>
      <c r="AI24" s="377"/>
    </row>
    <row r="25" spans="1:35" x14ac:dyDescent="0.25">
      <c r="A25" s="84">
        <f>MATCH(G25,SCALARS!C:C,0)</f>
        <v>62</v>
      </c>
      <c r="B25" s="85">
        <f>MATCH(G25,'MKT DATA'!B:B,0)</f>
        <v>62</v>
      </c>
      <c r="C25" s="84" t="str" cm="1">
        <f t="array" aca="1" ref="C25" ca="1">INDIRECT(ADDRESS($A25,2,,,"scalars"))</f>
        <v>zillow</v>
      </c>
      <c r="D25" s="143" cm="1">
        <f t="array" aca="1" ref="D25" ca="1">INDIRECT(ADDRESS($A25,8,,,"SCALARS"))</f>
        <v>3777200</v>
      </c>
      <c r="E25" s="145"/>
      <c r="F25" s="14" t="str" cm="1">
        <f t="array" aca="1" ref="F25" ca="1">INDIRECT(ADDRESS($A25,5,,,"scalars"))</f>
        <v>ZG</v>
      </c>
      <c r="G25" s="220" t="s">
        <v>277</v>
      </c>
      <c r="H25" s="33" cm="1">
        <f t="array" aca="1" ref="H25" ca="1">INDIRECT(ADDRESS($B25,5,,,"mkt data"))</f>
        <v>27.1</v>
      </c>
      <c r="I25" s="34" cm="1">
        <f t="array" aca="1" ref="I25" ca="1">INDIRECT(ADDRESS($B25,6,,,"mkt data"))</f>
        <v>27.93</v>
      </c>
      <c r="J25" s="170" cm="1">
        <f t="array" aca="1" ref="J25" ca="1">INDIRECT(ADDRESS($A25,7,,,"SCALARS"))</f>
        <v>0</v>
      </c>
      <c r="K25" s="16">
        <f t="shared" ca="1" si="1"/>
        <v>27.0945</v>
      </c>
      <c r="L25" s="16">
        <f t="shared" ca="1" si="2"/>
        <v>27.935500000000001</v>
      </c>
      <c r="M25" s="44" cm="1">
        <f t="array" aca="1" ref="M25" ca="1">INDIRECT(ADDRESS($A25,6,,,"scalars"))</f>
        <v>1.0220244199044932</v>
      </c>
      <c r="N25" s="17">
        <f t="shared" ca="1" si="3"/>
        <v>27.69124064510229</v>
      </c>
      <c r="O25" s="17">
        <f t="shared" ca="1" si="4"/>
        <v>28.550763182241973</v>
      </c>
      <c r="P25" s="384">
        <f ca="1">N26-O25</f>
        <v>-0.81626318224197547</v>
      </c>
      <c r="Q25" s="386">
        <f ca="1">LN(N26/O25)</f>
        <v>-2.9006541589839261E-2</v>
      </c>
      <c r="R25" s="295">
        <v>1.2500000000000001E-2</v>
      </c>
      <c r="S25" s="262">
        <v>2.5000000000000001E-3</v>
      </c>
      <c r="T25" s="384">
        <f ca="1">N25-O26</f>
        <v>-0.54425935489771149</v>
      </c>
      <c r="U25" s="386">
        <f ca="1">LN(N25/O26)</f>
        <v>-1.946391049976591E-2</v>
      </c>
      <c r="V25" s="295">
        <v>1.2500000000000001E-2</v>
      </c>
      <c r="W25" s="60">
        <v>5.0000000000000001E-3</v>
      </c>
      <c r="X25" s="27" cm="1">
        <f t="array" aca="1" ref="X25" ca="1">INDIRECT(ADDRESS($B25,9,,,"mkt data"))</f>
        <v>0</v>
      </c>
      <c r="Y25" s="48">
        <f t="shared" ca="1" si="5"/>
        <v>0</v>
      </c>
      <c r="Z25" s="27">
        <f t="shared" ca="1" si="6"/>
        <v>0</v>
      </c>
      <c r="AA25" s="369">
        <f ca="1">SUM(Z25:Z26)</f>
        <v>0</v>
      </c>
      <c r="AB25" s="199" t="str">
        <f t="shared" ref="AB25:AB26" si="13">G25</f>
        <v>Z</v>
      </c>
      <c r="AC25" s="33" cm="1">
        <f t="array" aca="1" ref="AC25" ca="1">INDIRECT(ADDRESS($B25,8,,,"mkt data"))</f>
        <v>27.440000999999999</v>
      </c>
      <c r="AD25" s="191">
        <f t="shared" ca="1" si="8"/>
        <v>27.515000000000001</v>
      </c>
      <c r="AE25" s="191">
        <f t="shared" ca="1" si="9"/>
        <v>7.4999000000001814E-2</v>
      </c>
      <c r="AF25" s="202">
        <v>0</v>
      </c>
      <c r="AG25" s="191">
        <f t="shared" ca="1" si="10"/>
        <v>7.4999000000001814E-2</v>
      </c>
      <c r="AH25" s="191">
        <f t="shared" ca="1" si="11"/>
        <v>0</v>
      </c>
      <c r="AI25" s="375">
        <f ca="1">AH25+AH26</f>
        <v>0</v>
      </c>
    </row>
    <row r="26" spans="1:35" ht="15.75" thickBot="1" x14ac:dyDescent="0.3">
      <c r="A26" s="86">
        <f>MATCH(G26,SCALARS!C:C,0)</f>
        <v>63</v>
      </c>
      <c r="B26" s="87">
        <f>MATCH(G26,'MKT DATA'!B:B,0)</f>
        <v>63</v>
      </c>
      <c r="C26" s="86" t="str" cm="1">
        <f t="array" aca="1" ref="C26" ca="1">INDIRECT(ADDRESS($A26,2,,,"scalars"))</f>
        <v>zillow</v>
      </c>
      <c r="D26" s="144" cm="1">
        <f t="array" aca="1" ref="D26" ca="1">INDIRECT(ADDRESS($A26,8,,,"SCALARS"))</f>
        <v>1119900</v>
      </c>
      <c r="E26" s="146"/>
      <c r="F26" s="20" t="str" cm="1">
        <f t="array" aca="1" ref="F26" ca="1">INDIRECT(ADDRESS($A26,5,,,"scalars"))</f>
        <v>ZG</v>
      </c>
      <c r="G26" s="221" t="s">
        <v>278</v>
      </c>
      <c r="H26" s="37" cm="1">
        <f t="array" aca="1" ref="H26" ca="1">INDIRECT(ADDRESS($B26,5,,,"mkt data"))</f>
        <v>27.74</v>
      </c>
      <c r="I26" s="38" cm="1">
        <f t="array" aca="1" ref="I26" ca="1">INDIRECT(ADDRESS($B26,6,,,"mkt data"))</f>
        <v>28.23</v>
      </c>
      <c r="J26" s="171" cm="1">
        <f t="array" aca="1" ref="J26" ca="1">INDIRECT(ADDRESS($A26,7,,,"SCALARS"))</f>
        <v>0</v>
      </c>
      <c r="K26" s="22">
        <f t="shared" ca="1" si="1"/>
        <v>27.734499999999997</v>
      </c>
      <c r="L26" s="22">
        <f t="shared" ca="1" si="2"/>
        <v>28.235500000000002</v>
      </c>
      <c r="M26" s="45" cm="1">
        <f t="array" aca="1" ref="M26" ca="1">INDIRECT(ADDRESS($A26,6,,,"scalars"))</f>
        <v>1</v>
      </c>
      <c r="N26" s="23">
        <f t="shared" ca="1" si="3"/>
        <v>27.734499999999997</v>
      </c>
      <c r="O26" s="23">
        <f t="shared" ca="1" si="4"/>
        <v>28.235500000000002</v>
      </c>
      <c r="P26" s="385"/>
      <c r="Q26" s="387"/>
      <c r="R26" s="296" t="b">
        <f ca="1">IF(Q25&gt;R25,TRUE,FALSE)</f>
        <v>0</v>
      </c>
      <c r="S26" s="263" t="b">
        <f ca="1">AND(IF(U25&gt;-S25,TRUE,FALSE),IF(X25&gt;0,TRUE,FALSE))</f>
        <v>0</v>
      </c>
      <c r="T26" s="385"/>
      <c r="U26" s="387"/>
      <c r="V26" s="296" t="b">
        <f ca="1">IF(U25&gt;V25,TRUE,FALSE)</f>
        <v>0</v>
      </c>
      <c r="W26" s="61" t="b">
        <f ca="1">AND(IF(Q25&gt;-W25,TRUE,FALSE),IF(X25&lt;0,TRUE,FALSE))</f>
        <v>0</v>
      </c>
      <c r="X26" s="29" cm="1">
        <f t="array" aca="1" ref="X26" ca="1">INDIRECT(ADDRESS($B26,9,,,"mkt data"))</f>
        <v>0</v>
      </c>
      <c r="Y26" s="50">
        <f t="shared" ca="1" si="5"/>
        <v>0</v>
      </c>
      <c r="Z26" s="29">
        <f t="shared" ca="1" si="6"/>
        <v>0</v>
      </c>
      <c r="AA26" s="371"/>
      <c r="AB26" s="207" t="str">
        <f t="shared" si="13"/>
        <v>ZG</v>
      </c>
      <c r="AC26" s="37" cm="1">
        <f t="array" aca="1" ref="AC26" ca="1">INDIRECT(ADDRESS($B26,8,,,"mkt data"))</f>
        <v>28.15</v>
      </c>
      <c r="AD26" s="193">
        <f t="shared" ca="1" si="8"/>
        <v>27.984999999999999</v>
      </c>
      <c r="AE26" s="193">
        <f t="shared" ca="1" si="9"/>
        <v>-0.16499999999999915</v>
      </c>
      <c r="AF26" s="204">
        <v>0</v>
      </c>
      <c r="AG26" s="193">
        <f t="shared" ca="1" si="10"/>
        <v>-0.16499999999999915</v>
      </c>
      <c r="AH26" s="193">
        <f t="shared" ca="1" si="11"/>
        <v>0</v>
      </c>
      <c r="AI26" s="377"/>
    </row>
    <row r="30" spans="1:35" x14ac:dyDescent="0.25">
      <c r="H30" t="s">
        <v>259</v>
      </c>
      <c r="J30" t="s">
        <v>260</v>
      </c>
      <c r="L30" t="s">
        <v>261</v>
      </c>
      <c r="N30" t="s">
        <v>262</v>
      </c>
    </row>
    <row r="31" spans="1:35" x14ac:dyDescent="0.25">
      <c r="H31" t="s">
        <v>265</v>
      </c>
      <c r="J31" t="s">
        <v>266</v>
      </c>
      <c r="L31" t="s">
        <v>263</v>
      </c>
      <c r="N31" t="s">
        <v>267</v>
      </c>
    </row>
    <row r="32" spans="1:35" x14ac:dyDescent="0.25">
      <c r="H32" t="s">
        <v>268</v>
      </c>
      <c r="J32" t="s">
        <v>269</v>
      </c>
      <c r="L32" t="s">
        <v>263</v>
      </c>
      <c r="N32" t="s">
        <v>270</v>
      </c>
    </row>
    <row r="33" spans="8:14" x14ac:dyDescent="0.25">
      <c r="H33" t="s">
        <v>271</v>
      </c>
      <c r="J33" s="187" t="s">
        <v>272</v>
      </c>
      <c r="L33" t="s">
        <v>264</v>
      </c>
      <c r="N33" t="s">
        <v>273</v>
      </c>
    </row>
    <row r="34" spans="8:14" x14ac:dyDescent="0.25">
      <c r="H34" t="s">
        <v>274</v>
      </c>
      <c r="J34" t="s">
        <v>275</v>
      </c>
      <c r="L34" t="s">
        <v>264</v>
      </c>
      <c r="N34" t="s">
        <v>276</v>
      </c>
    </row>
    <row r="36" spans="8:14" x14ac:dyDescent="0.25">
      <c r="H36" s="275" t="s">
        <v>223</v>
      </c>
      <c r="I36" s="275"/>
      <c r="J36" s="275"/>
      <c r="K36" s="276"/>
    </row>
    <row r="37" spans="8:14" x14ac:dyDescent="0.25">
      <c r="H37" s="8"/>
    </row>
    <row r="38" spans="8:14" x14ac:dyDescent="0.25">
      <c r="H38" s="8"/>
    </row>
  </sheetData>
  <mergeCells count="78">
    <mergeCell ref="AH1:AH2"/>
    <mergeCell ref="AI1:AI2"/>
    <mergeCell ref="X3:AA3"/>
    <mergeCell ref="AA15:AA16"/>
    <mergeCell ref="AI15:AI16"/>
    <mergeCell ref="AI13:AI14"/>
    <mergeCell ref="AI11:AI12"/>
    <mergeCell ref="AI9:AI10"/>
    <mergeCell ref="AA5:AA6"/>
    <mergeCell ref="AI5:AI6"/>
    <mergeCell ref="AI7:AI8"/>
    <mergeCell ref="AG1:AG2"/>
    <mergeCell ref="AA7:AA8"/>
    <mergeCell ref="AA11:AA12"/>
    <mergeCell ref="A3:B3"/>
    <mergeCell ref="H3:I3"/>
    <mergeCell ref="K3:L3"/>
    <mergeCell ref="N3:O3"/>
    <mergeCell ref="AA9:AA10"/>
    <mergeCell ref="T9:T10"/>
    <mergeCell ref="U9:U10"/>
    <mergeCell ref="P3:S3"/>
    <mergeCell ref="T3:W3"/>
    <mergeCell ref="P25:P26"/>
    <mergeCell ref="Q25:Q26"/>
    <mergeCell ref="Q5:Q6"/>
    <mergeCell ref="T5:T6"/>
    <mergeCell ref="U5:U6"/>
    <mergeCell ref="Q7:Q8"/>
    <mergeCell ref="T7:T8"/>
    <mergeCell ref="U7:U8"/>
    <mergeCell ref="T17:T18"/>
    <mergeCell ref="U17:U18"/>
    <mergeCell ref="P5:P6"/>
    <mergeCell ref="P7:P8"/>
    <mergeCell ref="P23:P24"/>
    <mergeCell ref="P15:P16"/>
    <mergeCell ref="Q15:Q16"/>
    <mergeCell ref="T15:T16"/>
    <mergeCell ref="K1:L2"/>
    <mergeCell ref="X1:AA2"/>
    <mergeCell ref="P21:P22"/>
    <mergeCell ref="Q21:Q22"/>
    <mergeCell ref="T21:T22"/>
    <mergeCell ref="U21:U22"/>
    <mergeCell ref="P11:P12"/>
    <mergeCell ref="Q11:Q12"/>
    <mergeCell ref="T11:T12"/>
    <mergeCell ref="U11:U12"/>
    <mergeCell ref="P9:P10"/>
    <mergeCell ref="Q9:Q10"/>
    <mergeCell ref="P13:P14"/>
    <mergeCell ref="Q13:Q14"/>
    <mergeCell ref="T13:T14"/>
    <mergeCell ref="U13:U14"/>
    <mergeCell ref="U15:U16"/>
    <mergeCell ref="P19:P20"/>
    <mergeCell ref="Q19:Q20"/>
    <mergeCell ref="T19:T20"/>
    <mergeCell ref="U19:U20"/>
    <mergeCell ref="P17:P18"/>
    <mergeCell ref="Q17:Q18"/>
    <mergeCell ref="AA21:AA22"/>
    <mergeCell ref="AI21:AI22"/>
    <mergeCell ref="AA13:AA14"/>
    <mergeCell ref="AA25:AA26"/>
    <mergeCell ref="Q23:Q24"/>
    <mergeCell ref="T23:T24"/>
    <mergeCell ref="U23:U24"/>
    <mergeCell ref="T25:T26"/>
    <mergeCell ref="U25:U26"/>
    <mergeCell ref="AA17:AA18"/>
    <mergeCell ref="AI25:AI26"/>
    <mergeCell ref="AI17:AI18"/>
    <mergeCell ref="AI19:AI20"/>
    <mergeCell ref="AA23:AA24"/>
    <mergeCell ref="AI23:AI24"/>
    <mergeCell ref="AA19:AA20"/>
  </mergeCells>
  <conditionalFormatting sqref="T33:T1048576 W30:W1048576 T1:T2 W1:W2 L35:L36 N30:N34">
    <cfRule type="cellIs" dxfId="107" priority="81" operator="equal">
      <formula>TRUE</formula>
    </cfRule>
  </conditionalFormatting>
  <conditionalFormatting sqref="R5:R26">
    <cfRule type="cellIs" dxfId="106" priority="39" operator="equal">
      <formula>TRUE</formula>
    </cfRule>
  </conditionalFormatting>
  <conditionalFormatting sqref="S5:S26">
    <cfRule type="cellIs" dxfId="105" priority="38" operator="equal">
      <formula>TRUE</formula>
    </cfRule>
  </conditionalFormatting>
  <conditionalFormatting sqref="V5:V26">
    <cfRule type="cellIs" dxfId="104" priority="37" operator="equal">
      <formula>TRUE</formula>
    </cfRule>
  </conditionalFormatting>
  <conditionalFormatting sqref="W5:W26">
    <cfRule type="cellIs" dxfId="103" priority="36" operator="equal">
      <formula>TRUE</formula>
    </cfRule>
  </conditionalFormatting>
  <conditionalFormatting sqref="N5:N6">
    <cfRule type="top10" dxfId="102" priority="24" rank="1"/>
  </conditionalFormatting>
  <conditionalFormatting sqref="O5:O6">
    <cfRule type="top10" dxfId="101" priority="25" bottom="1" rank="1"/>
  </conditionalFormatting>
  <conditionalFormatting sqref="N9:N10">
    <cfRule type="top10" dxfId="100" priority="22" rank="1"/>
  </conditionalFormatting>
  <conditionalFormatting sqref="O9:O10">
    <cfRule type="top10" dxfId="99" priority="23" bottom="1" rank="1"/>
  </conditionalFormatting>
  <conditionalFormatting sqref="N13:N14">
    <cfRule type="top10" dxfId="98" priority="20" rank="1"/>
  </conditionalFormatting>
  <conditionalFormatting sqref="O13:O14">
    <cfRule type="top10" dxfId="97" priority="21" bottom="1" rank="1"/>
  </conditionalFormatting>
  <conditionalFormatting sqref="N17:N18">
    <cfRule type="top10" dxfId="96" priority="18" rank="1"/>
  </conditionalFormatting>
  <conditionalFormatting sqref="O17:O18">
    <cfRule type="top10" dxfId="95" priority="19" bottom="1" rank="1"/>
  </conditionalFormatting>
  <conditionalFormatting sqref="N21:N22">
    <cfRule type="top10" dxfId="94" priority="16" rank="1"/>
  </conditionalFormatting>
  <conditionalFormatting sqref="O21:O22">
    <cfRule type="top10" dxfId="93" priority="17" bottom="1" rank="1"/>
  </conditionalFormatting>
  <conditionalFormatting sqref="N25:N26">
    <cfRule type="top10" dxfId="92" priority="14" rank="1"/>
  </conditionalFormatting>
  <conditionalFormatting sqref="O25:O26">
    <cfRule type="top10" dxfId="91" priority="15" bottom="1" rank="1"/>
  </conditionalFormatting>
  <conditionalFormatting sqref="N7:N8">
    <cfRule type="top10" dxfId="90" priority="12" rank="1"/>
  </conditionalFormatting>
  <conditionalFormatting sqref="O7:O8">
    <cfRule type="top10" dxfId="89" priority="13" bottom="1" rank="1"/>
  </conditionalFormatting>
  <conditionalFormatting sqref="N11:N12">
    <cfRule type="top10" dxfId="88" priority="10" rank="1"/>
  </conditionalFormatting>
  <conditionalFormatting sqref="O11:O12">
    <cfRule type="top10" dxfId="87" priority="11" bottom="1" rank="1"/>
  </conditionalFormatting>
  <conditionalFormatting sqref="N15:N16">
    <cfRule type="top10" dxfId="86" priority="8" rank="1"/>
  </conditionalFormatting>
  <conditionalFormatting sqref="O15:O16">
    <cfRule type="top10" dxfId="85" priority="9" bottom="1" rank="1"/>
  </conditionalFormatting>
  <conditionalFormatting sqref="N19:N20">
    <cfRule type="top10" dxfId="84" priority="6" rank="1"/>
  </conditionalFormatting>
  <conditionalFormatting sqref="O19:O20">
    <cfRule type="top10" dxfId="83" priority="7" bottom="1" rank="1"/>
  </conditionalFormatting>
  <conditionalFormatting sqref="N23:N24">
    <cfRule type="top10" dxfId="82" priority="4" rank="1"/>
  </conditionalFormatting>
  <conditionalFormatting sqref="O23:O24">
    <cfRule type="top10" dxfId="81" priority="5" bottom="1" rank="1"/>
  </conditionalFormatting>
  <conditionalFormatting sqref="Q5:Q50 U5:U50">
    <cfRule type="cellIs" dxfId="80" priority="3" operator="greaterThan">
      <formula>0</formula>
    </cfRule>
  </conditionalFormatting>
  <conditionalFormatting sqref="R1:R1048576 V1:V1048576">
    <cfRule type="cellIs" dxfId="79" priority="2" operator="equal">
      <formula>TRUE</formula>
    </cfRule>
  </conditionalFormatting>
  <conditionalFormatting sqref="S1:S1048576 W1:W1048576">
    <cfRule type="cellIs" dxfId="78" priority="1" operator="equal">
      <formula>TRUE</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AFD55-7319-401F-9C44-8A6C6F752354}">
  <dimension ref="A1:AI78"/>
  <sheetViews>
    <sheetView zoomScale="85" zoomScaleNormal="85" workbookViewId="0">
      <selection activeCell="G20" sqref="G20:G31"/>
    </sheetView>
  </sheetViews>
  <sheetFormatPr defaultRowHeight="15" x14ac:dyDescent="0.25"/>
  <sheetData>
    <row r="1" spans="1:35" x14ac:dyDescent="0.25">
      <c r="A1" s="10"/>
      <c r="B1" s="10"/>
      <c r="C1" s="10"/>
      <c r="D1" s="10"/>
      <c r="E1" s="10"/>
      <c r="F1" s="10"/>
      <c r="G1" s="10"/>
      <c r="H1" s="10"/>
      <c r="I1" s="192"/>
      <c r="J1" s="216"/>
      <c r="K1" s="342">
        <v>5.4999999999999997E-3</v>
      </c>
      <c r="L1" s="342"/>
      <c r="M1" s="217"/>
      <c r="N1" s="19"/>
      <c r="O1" s="19"/>
      <c r="T1" s="268"/>
      <c r="U1" s="268"/>
      <c r="V1" s="218"/>
      <c r="W1" s="218"/>
      <c r="X1" s="344" t="str">
        <f>'MKT DATA'!J2</f>
        <v>2026-09-29_16-03-12</v>
      </c>
      <c r="Y1" s="344"/>
      <c r="Z1" s="344"/>
      <c r="AA1" s="344"/>
      <c r="AB1" s="219"/>
      <c r="AG1" s="382" t="s">
        <v>207</v>
      </c>
      <c r="AH1" s="378" t="e">
        <f ca="1">SUM(AH5:AH29)</f>
        <v>#N/A</v>
      </c>
      <c r="AI1" s="380" t="e">
        <f ca="1">SUM(AI33:AI46)</f>
        <v>#N/A</v>
      </c>
    </row>
    <row r="2" spans="1:35" ht="15.75" thickBot="1" x14ac:dyDescent="0.3">
      <c r="A2" s="10"/>
      <c r="B2" s="10"/>
      <c r="C2" s="10"/>
      <c r="D2" s="10"/>
      <c r="E2" s="10"/>
      <c r="F2" s="10"/>
      <c r="G2" s="10"/>
      <c r="H2" s="10"/>
      <c r="I2" s="2"/>
      <c r="J2" s="165"/>
      <c r="K2" s="343"/>
      <c r="L2" s="343"/>
      <c r="M2" s="7"/>
      <c r="N2" s="7"/>
      <c r="O2" s="7"/>
      <c r="T2" s="269"/>
      <c r="U2" s="269"/>
      <c r="V2" s="30"/>
      <c r="W2" s="1"/>
      <c r="X2" s="345"/>
      <c r="Y2" s="345"/>
      <c r="Z2" s="345"/>
      <c r="AA2" s="345"/>
      <c r="AB2" s="1"/>
      <c r="AC2" s="69"/>
      <c r="AD2" s="69"/>
      <c r="AE2" s="69"/>
      <c r="AF2" s="69"/>
      <c r="AG2" s="383"/>
      <c r="AH2" s="379"/>
      <c r="AI2" s="381"/>
    </row>
    <row r="3" spans="1:35" x14ac:dyDescent="0.25">
      <c r="A3" s="346" t="s">
        <v>64</v>
      </c>
      <c r="B3" s="347"/>
      <c r="C3" s="90"/>
      <c r="D3" s="75"/>
      <c r="E3" s="62"/>
      <c r="F3" s="52"/>
      <c r="G3" s="52"/>
      <c r="H3" s="348" t="s">
        <v>66</v>
      </c>
      <c r="I3" s="349"/>
      <c r="J3" s="95"/>
      <c r="K3" s="350" t="s">
        <v>211</v>
      </c>
      <c r="L3" s="351"/>
      <c r="M3" s="39"/>
      <c r="N3" s="352" t="s">
        <v>69</v>
      </c>
      <c r="O3" s="353"/>
      <c r="P3" s="388" t="s">
        <v>80</v>
      </c>
      <c r="Q3" s="352"/>
      <c r="R3" s="352"/>
      <c r="S3" s="389"/>
      <c r="T3" s="388" t="s">
        <v>81</v>
      </c>
      <c r="U3" s="352"/>
      <c r="V3" s="352" t="s">
        <v>79</v>
      </c>
      <c r="W3" s="353" t="s">
        <v>78</v>
      </c>
      <c r="X3" s="356" t="s">
        <v>70</v>
      </c>
      <c r="Y3" s="356"/>
      <c r="Z3" s="356"/>
      <c r="AA3" s="357"/>
      <c r="AB3" s="183"/>
      <c r="AC3" s="41"/>
      <c r="AD3" s="43" t="s">
        <v>206</v>
      </c>
      <c r="AE3" s="43" t="s">
        <v>209</v>
      </c>
      <c r="AF3" s="43"/>
      <c r="AG3" s="43" t="s">
        <v>210</v>
      </c>
      <c r="AH3" s="43"/>
      <c r="AI3" s="42" t="s">
        <v>291</v>
      </c>
    </row>
    <row r="4" spans="1:35" ht="15.75" thickBot="1" x14ac:dyDescent="0.3">
      <c r="A4" s="31" t="s">
        <v>201</v>
      </c>
      <c r="B4" s="32" t="s">
        <v>65</v>
      </c>
      <c r="C4" s="31" t="s">
        <v>117</v>
      </c>
      <c r="D4" s="76" t="s">
        <v>149</v>
      </c>
      <c r="E4" s="63" t="s">
        <v>76</v>
      </c>
      <c r="F4" s="74" t="s">
        <v>88</v>
      </c>
      <c r="G4" s="53" t="s">
        <v>59</v>
      </c>
      <c r="H4" s="54" t="s">
        <v>67</v>
      </c>
      <c r="I4" s="55" t="s">
        <v>68</v>
      </c>
      <c r="J4" s="96" t="s">
        <v>147</v>
      </c>
      <c r="K4" s="214" t="s">
        <v>67</v>
      </c>
      <c r="L4" s="215" t="s">
        <v>68</v>
      </c>
      <c r="M4" s="56" t="s">
        <v>60</v>
      </c>
      <c r="N4" s="57" t="s">
        <v>62</v>
      </c>
      <c r="O4" s="58" t="s">
        <v>63</v>
      </c>
      <c r="P4" s="40" t="s">
        <v>77</v>
      </c>
      <c r="Q4" s="12" t="s">
        <v>32</v>
      </c>
      <c r="R4" s="294" t="s">
        <v>82</v>
      </c>
      <c r="S4" s="261" t="s">
        <v>83</v>
      </c>
      <c r="T4" s="40" t="s">
        <v>77</v>
      </c>
      <c r="U4" s="12" t="s">
        <v>32</v>
      </c>
      <c r="V4" s="294" t="s">
        <v>83</v>
      </c>
      <c r="W4" s="59" t="s">
        <v>82</v>
      </c>
      <c r="X4" s="147" t="s">
        <v>71</v>
      </c>
      <c r="Y4" s="148" t="s">
        <v>85</v>
      </c>
      <c r="Z4" s="149" t="s">
        <v>84</v>
      </c>
      <c r="AA4" s="150" t="s">
        <v>72</v>
      </c>
      <c r="AB4" s="53" t="str">
        <f t="shared" ref="AB4" si="0">G4</f>
        <v>symbol</v>
      </c>
      <c r="AC4" s="189" t="s">
        <v>202</v>
      </c>
      <c r="AD4" s="190" t="s">
        <v>208</v>
      </c>
      <c r="AE4" s="190" t="s">
        <v>204</v>
      </c>
      <c r="AF4" s="190" t="s">
        <v>203</v>
      </c>
      <c r="AG4" s="190" t="s">
        <v>204</v>
      </c>
      <c r="AH4" s="194" t="s">
        <v>205</v>
      </c>
      <c r="AI4" s="55" t="s">
        <v>205</v>
      </c>
    </row>
    <row r="5" spans="1:35" x14ac:dyDescent="0.25">
      <c r="A5" s="80" t="e">
        <f>MATCH(G5,SCALARS!C:C,0)</f>
        <v>#N/A</v>
      </c>
      <c r="B5" s="81" t="e">
        <f>MATCH(G5,'MKT DATA'!B:B,0)</f>
        <v>#N/A</v>
      </c>
      <c r="C5" s="309" t="s">
        <v>298</v>
      </c>
      <c r="D5" s="160" t="e" cm="1">
        <f t="array" aca="1" ref="D5" ca="1">INDIRECT(ADDRESS($A5,8,,,"SCALARS"))</f>
        <v>#N/A</v>
      </c>
      <c r="E5" s="145"/>
      <c r="F5" s="80" t="e" cm="1">
        <f t="array" aca="1" ref="F5" ca="1">INDIRECT(ADDRESS($A5,5,,,"scalars"))</f>
        <v>#N/A</v>
      </c>
      <c r="G5" s="220" t="s">
        <v>310</v>
      </c>
      <c r="H5" s="33" t="e" cm="1">
        <f t="array" aca="1" ref="H5" ca="1">INDIRECT(ADDRESS($B5,5,,,"mkt data"))</f>
        <v>#N/A</v>
      </c>
      <c r="I5" s="34" t="e" cm="1">
        <f t="array" aca="1" ref="I5" ca="1">INDIRECT(ADDRESS($B5,6,,,"mkt data"))</f>
        <v>#N/A</v>
      </c>
      <c r="J5" s="170" t="e" cm="1">
        <f t="array" aca="1" ref="J5" ca="1">INDIRECT(ADDRESS($A5,7,,,"SCALARS"))</f>
        <v>#N/A</v>
      </c>
      <c r="K5" s="16" t="e">
        <f t="shared" ref="K5:K18" ca="1" si="1">H5+J5-K$1</f>
        <v>#N/A</v>
      </c>
      <c r="L5" s="16" t="e">
        <f t="shared" ref="L5:L18" ca="1" si="2">I5+J5+K$1</f>
        <v>#N/A</v>
      </c>
      <c r="M5" s="44" t="e" cm="1">
        <f t="array" aca="1" ref="M5" ca="1">INDIRECT(ADDRESS($A5,6,,,"scalars"))</f>
        <v>#N/A</v>
      </c>
      <c r="N5" s="17" t="e">
        <f ca="1">K5*M5</f>
        <v>#N/A</v>
      </c>
      <c r="O5" s="17" t="e">
        <f t="shared" ref="O5:O18" ca="1" si="3">M5*L5</f>
        <v>#N/A</v>
      </c>
      <c r="P5" s="384" t="e">
        <f ca="1">N6-O5</f>
        <v>#N/A</v>
      </c>
      <c r="Q5" s="386" t="e">
        <f ca="1">LN(N6/O5)</f>
        <v>#N/A</v>
      </c>
      <c r="R5" s="295">
        <v>1E-3</v>
      </c>
      <c r="S5" s="262">
        <v>2.0000000000000001E-4</v>
      </c>
      <c r="T5" s="384" t="e">
        <f ca="1">N5-O6</f>
        <v>#N/A</v>
      </c>
      <c r="U5" s="386" t="e">
        <f ca="1">LN(N5/O6)</f>
        <v>#N/A</v>
      </c>
      <c r="V5" s="295">
        <v>1E-3</v>
      </c>
      <c r="W5" s="60">
        <v>2.0000000000000001E-4</v>
      </c>
      <c r="X5" s="27" t="e" cm="1">
        <f t="array" aca="1" ref="X5" ca="1">INDIRECT(ADDRESS($B5,9,,,"mkt data"))</f>
        <v>#N/A</v>
      </c>
      <c r="Y5" s="48" t="e">
        <f t="shared" ref="Y5:Y18" ca="1" si="4">X5*AVERAGE(H5:I5)</f>
        <v>#N/A</v>
      </c>
      <c r="Z5" s="27" t="e">
        <f t="shared" ref="Z5:Z18" ca="1" si="5">X5/M5</f>
        <v>#N/A</v>
      </c>
      <c r="AA5" s="369" t="e">
        <f ca="1">SUM(Z5:Z6)</f>
        <v>#N/A</v>
      </c>
      <c r="AB5" s="199" t="str">
        <f t="shared" ref="AB5:AB18" si="6">G5</f>
        <v>BSJQ</v>
      </c>
      <c r="AC5" s="33" t="e" cm="1">
        <f t="array" aca="1" ref="AC5" ca="1">INDIRECT(ADDRESS($B5,8,,,"mkt data"))</f>
        <v>#N/A</v>
      </c>
      <c r="AD5" s="191" t="e">
        <f t="shared" ref="AD5:AD18" ca="1" si="7">AVERAGE(H5,I5)</f>
        <v>#N/A</v>
      </c>
      <c r="AE5" s="191" t="e">
        <f t="shared" ref="AE5:AE18" ca="1" si="8">AD5-AC5</f>
        <v>#N/A</v>
      </c>
      <c r="AF5" s="202">
        <v>0</v>
      </c>
      <c r="AG5" s="191" t="e">
        <f t="shared" ref="AG5:AG18" ca="1" si="9">AE5+AF5</f>
        <v>#N/A</v>
      </c>
      <c r="AH5" s="191" t="e">
        <f t="shared" ref="AH5:AH18" ca="1" si="10">AG5*X5</f>
        <v>#N/A</v>
      </c>
      <c r="AI5" s="375" t="e">
        <f ca="1">AH5+AH6</f>
        <v>#N/A</v>
      </c>
    </row>
    <row r="6" spans="1:35" ht="15.75" thickBot="1" x14ac:dyDescent="0.3">
      <c r="A6" s="82" t="e">
        <f>MATCH(G6,SCALARS!C:C,0)</f>
        <v>#N/A</v>
      </c>
      <c r="B6" s="83" t="e">
        <f>MATCH(G6,'MKT DATA'!B:B,0)</f>
        <v>#N/A</v>
      </c>
      <c r="C6" s="310" t="str">
        <f>C5</f>
        <v>2026 tgt</v>
      </c>
      <c r="D6" s="161" t="e" cm="1">
        <f t="array" aca="1" ref="D6" ca="1">INDIRECT(ADDRESS($A6,8,,,"SCALARS"))</f>
        <v>#N/A</v>
      </c>
      <c r="E6" s="146"/>
      <c r="F6" s="82" t="e" cm="1">
        <f t="array" aca="1" ref="F6" ca="1">INDIRECT(ADDRESS($A6,5,,,"scalars"))</f>
        <v>#N/A</v>
      </c>
      <c r="G6" s="221" t="s">
        <v>311</v>
      </c>
      <c r="H6" s="37" t="e" cm="1">
        <f t="array" aca="1" ref="H6" ca="1">INDIRECT(ADDRESS($B6,5,,,"mkt data"))</f>
        <v>#N/A</v>
      </c>
      <c r="I6" s="38" t="e" cm="1">
        <f t="array" aca="1" ref="I6" ca="1">INDIRECT(ADDRESS($B6,6,,,"mkt data"))</f>
        <v>#N/A</v>
      </c>
      <c r="J6" s="171" t="e" cm="1">
        <f t="array" aca="1" ref="J6" ca="1">INDIRECT(ADDRESS($A6,7,,,"SCALARS"))</f>
        <v>#N/A</v>
      </c>
      <c r="K6" s="22" t="e">
        <f t="shared" ca="1" si="1"/>
        <v>#N/A</v>
      </c>
      <c r="L6" s="22" t="e">
        <f t="shared" ca="1" si="2"/>
        <v>#N/A</v>
      </c>
      <c r="M6" s="45" t="e" cm="1">
        <f t="array" aca="1" ref="M6" ca="1">INDIRECT(ADDRESS($A6,6,,,"scalars"))</f>
        <v>#N/A</v>
      </c>
      <c r="N6" s="23" t="e">
        <f t="shared" ref="N6:N8" ca="1" si="11">K6*M6</f>
        <v>#N/A</v>
      </c>
      <c r="O6" s="23" t="e">
        <f t="shared" ca="1" si="3"/>
        <v>#N/A</v>
      </c>
      <c r="P6" s="385"/>
      <c r="Q6" s="387"/>
      <c r="R6" s="296" t="e">
        <f ca="1">IF(Q5&gt;R5,TRUE,FALSE)</f>
        <v>#N/A</v>
      </c>
      <c r="S6" s="263" t="e">
        <f ca="1">AND(IF(U5&gt;-S5,TRUE,FALSE),IF(X5&gt;0,TRUE,FALSE))</f>
        <v>#N/A</v>
      </c>
      <c r="T6" s="385"/>
      <c r="U6" s="387"/>
      <c r="V6" s="296" t="e">
        <f ca="1">IF(U5&gt;V5,TRUE,FALSE)</f>
        <v>#N/A</v>
      </c>
      <c r="W6" s="61" t="e">
        <f ca="1">AND(IF(Q5&gt;-W5,TRUE,FALSE),IF(X5&lt;0,TRUE,FALSE))</f>
        <v>#N/A</v>
      </c>
      <c r="X6" s="29" t="e" cm="1">
        <f t="array" aca="1" ref="X6" ca="1">INDIRECT(ADDRESS($B6,9,,,"mkt data"))</f>
        <v>#N/A</v>
      </c>
      <c r="Y6" s="50" t="e">
        <f t="shared" ca="1" si="4"/>
        <v>#N/A</v>
      </c>
      <c r="Z6" s="29" t="e">
        <f t="shared" ca="1" si="5"/>
        <v>#N/A</v>
      </c>
      <c r="AA6" s="371"/>
      <c r="AB6" s="207" t="str">
        <f t="shared" si="6"/>
        <v>IBHF</v>
      </c>
      <c r="AC6" s="37" t="e" cm="1">
        <f t="array" aca="1" ref="AC6" ca="1">INDIRECT(ADDRESS($B6,8,,,"mkt data"))</f>
        <v>#N/A</v>
      </c>
      <c r="AD6" s="193" t="e">
        <f t="shared" ca="1" si="7"/>
        <v>#N/A</v>
      </c>
      <c r="AE6" s="193" t="e">
        <f t="shared" ca="1" si="8"/>
        <v>#N/A</v>
      </c>
      <c r="AF6" s="204">
        <v>0</v>
      </c>
      <c r="AG6" s="193" t="e">
        <f t="shared" ca="1" si="9"/>
        <v>#N/A</v>
      </c>
      <c r="AH6" s="193" t="e">
        <f t="shared" ca="1" si="10"/>
        <v>#N/A</v>
      </c>
      <c r="AI6" s="377"/>
    </row>
    <row r="7" spans="1:35" x14ac:dyDescent="0.25">
      <c r="A7" s="80" t="e">
        <f>MATCH(G7,SCALARS!C:C,0)</f>
        <v>#N/A</v>
      </c>
      <c r="B7" s="81" t="e">
        <f>MATCH(G7,'MKT DATA'!B:B,0)</f>
        <v>#N/A</v>
      </c>
      <c r="C7" s="309" t="s">
        <v>299</v>
      </c>
      <c r="D7" s="160" t="e" cm="1">
        <f t="array" aca="1" ref="D7" ca="1">INDIRECT(ADDRESS($A7,8,,,"SCALARS"))</f>
        <v>#N/A</v>
      </c>
      <c r="E7" s="145"/>
      <c r="F7" s="80" t="e" cm="1">
        <f t="array" aca="1" ref="F7" ca="1">INDIRECT(ADDRESS($A7,5,,,"scalars"))</f>
        <v>#N/A</v>
      </c>
      <c r="G7" s="220" t="s">
        <v>312</v>
      </c>
      <c r="H7" s="33" t="e" cm="1">
        <f t="array" aca="1" ref="H7" ca="1">INDIRECT(ADDRESS($B7,5,,,"mkt data"))</f>
        <v>#N/A</v>
      </c>
      <c r="I7" s="34" t="e" cm="1">
        <f t="array" aca="1" ref="I7" ca="1">INDIRECT(ADDRESS($B7,6,,,"mkt data"))</f>
        <v>#N/A</v>
      </c>
      <c r="J7" s="170" t="e" cm="1">
        <f t="array" aca="1" ref="J7" ca="1">INDIRECT(ADDRESS($A7,7,,,"SCALARS"))</f>
        <v>#N/A</v>
      </c>
      <c r="K7" s="16" t="e">
        <f t="shared" ca="1" si="1"/>
        <v>#N/A</v>
      </c>
      <c r="L7" s="16" t="e">
        <f t="shared" ca="1" si="2"/>
        <v>#N/A</v>
      </c>
      <c r="M7" s="44" t="e" cm="1">
        <f t="array" aca="1" ref="M7" ca="1">INDIRECT(ADDRESS($A7,6,,,"scalars"))</f>
        <v>#N/A</v>
      </c>
      <c r="N7" s="17" t="e">
        <f t="shared" ca="1" si="11"/>
        <v>#N/A</v>
      </c>
      <c r="O7" s="17" t="e">
        <f t="shared" ca="1" si="3"/>
        <v>#N/A</v>
      </c>
      <c r="P7" s="384" t="e">
        <f ca="1">N8-O7</f>
        <v>#N/A</v>
      </c>
      <c r="Q7" s="386" t="e">
        <f ca="1">LN(N8/O7)</f>
        <v>#N/A</v>
      </c>
      <c r="R7" s="295">
        <v>1E-3</v>
      </c>
      <c r="S7" s="262">
        <v>2.0000000000000001E-4</v>
      </c>
      <c r="T7" s="384" t="e">
        <f ca="1">N7-O8</f>
        <v>#N/A</v>
      </c>
      <c r="U7" s="386" t="e">
        <f ca="1">LN(N7/O8)</f>
        <v>#N/A</v>
      </c>
      <c r="V7" s="295">
        <v>1E-3</v>
      </c>
      <c r="W7" s="60">
        <v>2.0000000000000001E-4</v>
      </c>
      <c r="X7" s="27" t="e" cm="1">
        <f t="array" aca="1" ref="X7" ca="1">INDIRECT(ADDRESS($B7,9,,,"mkt data"))</f>
        <v>#N/A</v>
      </c>
      <c r="Y7" s="48" t="e">
        <f t="shared" ca="1" si="4"/>
        <v>#N/A</v>
      </c>
      <c r="Z7" s="27" t="e">
        <f t="shared" ca="1" si="5"/>
        <v>#N/A</v>
      </c>
      <c r="AA7" s="372" t="e">
        <f ca="1">SUM(Z7:Z8)</f>
        <v>#N/A</v>
      </c>
      <c r="AB7" s="199" t="str">
        <f t="shared" si="6"/>
        <v>BSJR</v>
      </c>
      <c r="AC7" s="33" t="e" cm="1">
        <f t="array" aca="1" ref="AC7" ca="1">INDIRECT(ADDRESS($B7,8,,,"mkt data"))</f>
        <v>#N/A</v>
      </c>
      <c r="AD7" s="191" t="e">
        <f t="shared" ca="1" si="7"/>
        <v>#N/A</v>
      </c>
      <c r="AE7" s="191" t="e">
        <f t="shared" ca="1" si="8"/>
        <v>#N/A</v>
      </c>
      <c r="AF7" s="202">
        <v>0</v>
      </c>
      <c r="AG7" s="191" t="e">
        <f t="shared" ca="1" si="9"/>
        <v>#N/A</v>
      </c>
      <c r="AH7" s="191" t="e">
        <f t="shared" ca="1" si="10"/>
        <v>#N/A</v>
      </c>
      <c r="AI7" s="375" t="e">
        <f ca="1">AH7+AH8</f>
        <v>#N/A</v>
      </c>
    </row>
    <row r="8" spans="1:35" ht="15.75" thickBot="1" x14ac:dyDescent="0.3">
      <c r="A8" s="82" t="e">
        <f>MATCH(G8,SCALARS!C:C,0)</f>
        <v>#N/A</v>
      </c>
      <c r="B8" s="83" t="e">
        <f>MATCH(G8,'MKT DATA'!B:B,0)</f>
        <v>#N/A</v>
      </c>
      <c r="C8" s="310" t="str">
        <f>C7</f>
        <v>2027 tgt</v>
      </c>
      <c r="D8" s="161" t="e" cm="1">
        <f t="array" aca="1" ref="D8" ca="1">INDIRECT(ADDRESS($A8,8,,,"SCALARS"))</f>
        <v>#N/A</v>
      </c>
      <c r="E8" s="146"/>
      <c r="F8" s="82" t="e" cm="1">
        <f t="array" aca="1" ref="F8" ca="1">INDIRECT(ADDRESS($A8,5,,,"scalars"))</f>
        <v>#N/A</v>
      </c>
      <c r="G8" s="221" t="s">
        <v>313</v>
      </c>
      <c r="H8" s="37" t="e" cm="1">
        <f t="array" aca="1" ref="H8" ca="1">INDIRECT(ADDRESS($B8,5,,,"mkt data"))</f>
        <v>#N/A</v>
      </c>
      <c r="I8" s="38" t="e" cm="1">
        <f t="array" aca="1" ref="I8" ca="1">INDIRECT(ADDRESS($B8,6,,,"mkt data"))</f>
        <v>#N/A</v>
      </c>
      <c r="J8" s="171" t="e" cm="1">
        <f t="array" aca="1" ref="J8" ca="1">INDIRECT(ADDRESS($A8,7,,,"SCALARS"))</f>
        <v>#N/A</v>
      </c>
      <c r="K8" s="22" t="e">
        <f t="shared" ca="1" si="1"/>
        <v>#N/A</v>
      </c>
      <c r="L8" s="22" t="e">
        <f t="shared" ca="1" si="2"/>
        <v>#N/A</v>
      </c>
      <c r="M8" s="45" t="e" cm="1">
        <f t="array" aca="1" ref="M8" ca="1">INDIRECT(ADDRESS($A8,6,,,"scalars"))</f>
        <v>#N/A</v>
      </c>
      <c r="N8" s="23" t="e">
        <f t="shared" ca="1" si="11"/>
        <v>#N/A</v>
      </c>
      <c r="O8" s="23" t="e">
        <f t="shared" ca="1" si="3"/>
        <v>#N/A</v>
      </c>
      <c r="P8" s="385"/>
      <c r="Q8" s="387"/>
      <c r="R8" s="296" t="e">
        <f ca="1">IF(Q7&gt;R7,TRUE,FALSE)</f>
        <v>#N/A</v>
      </c>
      <c r="S8" s="263" t="e">
        <f ca="1">AND(IF(U7&gt;-S7,TRUE,FALSE),IF(X7&gt;0,TRUE,FALSE))</f>
        <v>#N/A</v>
      </c>
      <c r="T8" s="385"/>
      <c r="U8" s="387"/>
      <c r="V8" s="296" t="e">
        <f ca="1">IF(U7&gt;V7,TRUE,FALSE)</f>
        <v>#N/A</v>
      </c>
      <c r="W8" s="61" t="e">
        <f ca="1">AND(IF(Q7&gt;-W7,TRUE,FALSE),IF(X7&lt;0,TRUE,FALSE))</f>
        <v>#N/A</v>
      </c>
      <c r="X8" s="29" t="e" cm="1">
        <f t="array" aca="1" ref="X8" ca="1">INDIRECT(ADDRESS($B8,9,,,"mkt data"))</f>
        <v>#N/A</v>
      </c>
      <c r="Y8" s="50" t="e">
        <f t="shared" ca="1" si="4"/>
        <v>#N/A</v>
      </c>
      <c r="Z8" s="29" t="e">
        <f t="shared" ca="1" si="5"/>
        <v>#N/A</v>
      </c>
      <c r="AA8" s="374"/>
      <c r="AB8" s="207" t="str">
        <f t="shared" si="6"/>
        <v>IBHG</v>
      </c>
      <c r="AC8" s="37" t="e" cm="1">
        <f t="array" aca="1" ref="AC8" ca="1">INDIRECT(ADDRESS($B8,8,,,"mkt data"))</f>
        <v>#N/A</v>
      </c>
      <c r="AD8" s="193" t="e">
        <f t="shared" ca="1" si="7"/>
        <v>#N/A</v>
      </c>
      <c r="AE8" s="193" t="e">
        <f t="shared" ca="1" si="8"/>
        <v>#N/A</v>
      </c>
      <c r="AF8" s="204">
        <v>0</v>
      </c>
      <c r="AG8" s="193" t="e">
        <f t="shared" ca="1" si="9"/>
        <v>#N/A</v>
      </c>
      <c r="AH8" s="193" t="e">
        <f t="shared" ca="1" si="10"/>
        <v>#N/A</v>
      </c>
      <c r="AI8" s="377"/>
    </row>
    <row r="9" spans="1:35" x14ac:dyDescent="0.25">
      <c r="A9" s="80" t="e">
        <f>MATCH(G9,SCALARS!C:C,0)</f>
        <v>#N/A</v>
      </c>
      <c r="B9" s="81" t="e">
        <f>MATCH(G9,'MKT DATA'!B:B,0)</f>
        <v>#N/A</v>
      </c>
      <c r="C9" s="309" t="s">
        <v>300</v>
      </c>
      <c r="D9" s="160" t="e" cm="1">
        <f t="array" aca="1" ref="D9" ca="1">INDIRECT(ADDRESS($A9,8,,,"SCALARS"))</f>
        <v>#N/A</v>
      </c>
      <c r="E9" s="145"/>
      <c r="F9" s="80" t="e" cm="1">
        <f t="array" aca="1" ref="F9" ca="1">INDIRECT(ADDRESS($A9,5,,,"scalars"))</f>
        <v>#N/A</v>
      </c>
      <c r="G9" s="220" t="s">
        <v>314</v>
      </c>
      <c r="H9" s="33" t="e" cm="1">
        <f t="array" aca="1" ref="H9" ca="1">INDIRECT(ADDRESS($B9,5,,,"mkt data"))</f>
        <v>#N/A</v>
      </c>
      <c r="I9" s="34" t="e" cm="1">
        <f t="array" aca="1" ref="I9" ca="1">INDIRECT(ADDRESS($B9,6,,,"mkt data"))</f>
        <v>#N/A</v>
      </c>
      <c r="J9" s="170" t="e" cm="1">
        <f t="array" aca="1" ref="J9" ca="1">INDIRECT(ADDRESS($A9,7,,,"SCALARS"))</f>
        <v>#N/A</v>
      </c>
      <c r="K9" s="16" t="e">
        <f t="shared" ca="1" si="1"/>
        <v>#N/A</v>
      </c>
      <c r="L9" s="16" t="e">
        <f t="shared" ca="1" si="2"/>
        <v>#N/A</v>
      </c>
      <c r="M9" s="44" t="e" cm="1">
        <f t="array" aca="1" ref="M9" ca="1">INDIRECT(ADDRESS($A9,6,,,"scalars"))</f>
        <v>#N/A</v>
      </c>
      <c r="N9" s="17" t="e">
        <f ca="1">K9*M9</f>
        <v>#N/A</v>
      </c>
      <c r="O9" s="17" t="e">
        <f t="shared" ca="1" si="3"/>
        <v>#N/A</v>
      </c>
      <c r="P9" s="384" t="e">
        <f ca="1">N10-O9</f>
        <v>#N/A</v>
      </c>
      <c r="Q9" s="386" t="e">
        <f ca="1">LN(N10/O9)</f>
        <v>#N/A</v>
      </c>
      <c r="R9" s="295">
        <v>1E-3</v>
      </c>
      <c r="S9" s="262">
        <v>2.0000000000000001E-4</v>
      </c>
      <c r="T9" s="384" t="e">
        <f ca="1">N9-O10</f>
        <v>#N/A</v>
      </c>
      <c r="U9" s="386" t="e">
        <f ca="1">LN(N9/O10)</f>
        <v>#N/A</v>
      </c>
      <c r="V9" s="295">
        <v>1E-3</v>
      </c>
      <c r="W9" s="60">
        <v>2.0000000000000001E-4</v>
      </c>
      <c r="X9" s="27" t="e" cm="1">
        <f t="array" aca="1" ref="X9" ca="1">INDIRECT(ADDRESS($B9,9,,,"mkt data"))</f>
        <v>#N/A</v>
      </c>
      <c r="Y9" s="48" t="e">
        <f t="shared" ca="1" si="4"/>
        <v>#N/A</v>
      </c>
      <c r="Z9" s="27" t="e">
        <f t="shared" ca="1" si="5"/>
        <v>#N/A</v>
      </c>
      <c r="AA9" s="372" t="e">
        <f ca="1">SUM(Z9:Z10)</f>
        <v>#N/A</v>
      </c>
      <c r="AB9" s="199" t="str">
        <f t="shared" si="6"/>
        <v>BSJS</v>
      </c>
      <c r="AC9" s="33" t="e" cm="1">
        <f t="array" aca="1" ref="AC9" ca="1">INDIRECT(ADDRESS($B9,8,,,"mkt data"))</f>
        <v>#N/A</v>
      </c>
      <c r="AD9" s="191" t="e">
        <f t="shared" ca="1" si="7"/>
        <v>#N/A</v>
      </c>
      <c r="AE9" s="191" t="e">
        <f t="shared" ca="1" si="8"/>
        <v>#N/A</v>
      </c>
      <c r="AF9" s="202">
        <v>0</v>
      </c>
      <c r="AG9" s="191" t="e">
        <f t="shared" ca="1" si="9"/>
        <v>#N/A</v>
      </c>
      <c r="AH9" s="191" t="e">
        <f t="shared" ca="1" si="10"/>
        <v>#N/A</v>
      </c>
      <c r="AI9" s="375" t="e">
        <f ca="1">AH9+AH10</f>
        <v>#N/A</v>
      </c>
    </row>
    <row r="10" spans="1:35" ht="15.75" thickBot="1" x14ac:dyDescent="0.3">
      <c r="A10" s="82" t="e">
        <f>MATCH(G10,SCALARS!C:C,0)</f>
        <v>#N/A</v>
      </c>
      <c r="B10" s="83" t="e">
        <f>MATCH(G10,'MKT DATA'!B:B,0)</f>
        <v>#N/A</v>
      </c>
      <c r="C10" s="310" t="str">
        <f>C9</f>
        <v>2028 tgt</v>
      </c>
      <c r="D10" s="161" t="e" cm="1">
        <f t="array" aca="1" ref="D10" ca="1">INDIRECT(ADDRESS($A10,8,,,"SCALARS"))</f>
        <v>#N/A</v>
      </c>
      <c r="E10" s="146"/>
      <c r="F10" s="82" t="e" cm="1">
        <f t="array" aca="1" ref="F10" ca="1">INDIRECT(ADDRESS($A10,5,,,"scalars"))</f>
        <v>#N/A</v>
      </c>
      <c r="G10" s="221" t="s">
        <v>315</v>
      </c>
      <c r="H10" s="37" t="e" cm="1">
        <f t="array" aca="1" ref="H10" ca="1">INDIRECT(ADDRESS($B10,5,,,"mkt data"))</f>
        <v>#N/A</v>
      </c>
      <c r="I10" s="38" t="e" cm="1">
        <f t="array" aca="1" ref="I10" ca="1">INDIRECT(ADDRESS($B10,6,,,"mkt data"))</f>
        <v>#N/A</v>
      </c>
      <c r="J10" s="171" t="e" cm="1">
        <f t="array" aca="1" ref="J10" ca="1">INDIRECT(ADDRESS($A10,7,,,"SCALARS"))</f>
        <v>#N/A</v>
      </c>
      <c r="K10" s="22" t="e">
        <f t="shared" ca="1" si="1"/>
        <v>#N/A</v>
      </c>
      <c r="L10" s="22" t="e">
        <f t="shared" ca="1" si="2"/>
        <v>#N/A</v>
      </c>
      <c r="M10" s="45" t="e" cm="1">
        <f t="array" aca="1" ref="M10" ca="1">INDIRECT(ADDRESS($A10,6,,,"scalars"))</f>
        <v>#N/A</v>
      </c>
      <c r="N10" s="23" t="e">
        <f t="shared" ref="N10:N11" ca="1" si="12">K10*M10</f>
        <v>#N/A</v>
      </c>
      <c r="O10" s="23" t="e">
        <f t="shared" ca="1" si="3"/>
        <v>#N/A</v>
      </c>
      <c r="P10" s="385"/>
      <c r="Q10" s="387"/>
      <c r="R10" s="296" t="e">
        <f ca="1">IF(Q9&gt;R9,TRUE,FALSE)</f>
        <v>#N/A</v>
      </c>
      <c r="S10" s="263" t="e">
        <f ca="1">AND(IF(U9&gt;-S9,TRUE,FALSE),IF(X9&gt;0,TRUE,FALSE))</f>
        <v>#N/A</v>
      </c>
      <c r="T10" s="385"/>
      <c r="U10" s="387"/>
      <c r="V10" s="296" t="e">
        <f ca="1">IF(U9&gt;V9,TRUE,FALSE)</f>
        <v>#N/A</v>
      </c>
      <c r="W10" s="61" t="e">
        <f ca="1">AND(IF(Q9&gt;-W9,TRUE,FALSE),IF(X9&lt;0,TRUE,FALSE))</f>
        <v>#N/A</v>
      </c>
      <c r="X10" s="29" t="e" cm="1">
        <f t="array" aca="1" ref="X10" ca="1">INDIRECT(ADDRESS($B10,9,,,"mkt data"))</f>
        <v>#N/A</v>
      </c>
      <c r="Y10" s="50" t="e">
        <f t="shared" ca="1" si="4"/>
        <v>#N/A</v>
      </c>
      <c r="Z10" s="29" t="e">
        <f t="shared" ca="1" si="5"/>
        <v>#N/A</v>
      </c>
      <c r="AA10" s="374"/>
      <c r="AB10" s="207" t="str">
        <f t="shared" si="6"/>
        <v>IBHH</v>
      </c>
      <c r="AC10" s="37" t="e" cm="1">
        <f t="array" aca="1" ref="AC10" ca="1">INDIRECT(ADDRESS($B10,8,,,"mkt data"))</f>
        <v>#N/A</v>
      </c>
      <c r="AD10" s="193" t="e">
        <f t="shared" ca="1" si="7"/>
        <v>#N/A</v>
      </c>
      <c r="AE10" s="193" t="e">
        <f t="shared" ca="1" si="8"/>
        <v>#N/A</v>
      </c>
      <c r="AF10" s="204">
        <v>0</v>
      </c>
      <c r="AG10" s="193" t="e">
        <f t="shared" ca="1" si="9"/>
        <v>#N/A</v>
      </c>
      <c r="AH10" s="193" t="e">
        <f t="shared" ca="1" si="10"/>
        <v>#N/A</v>
      </c>
      <c r="AI10" s="377"/>
    </row>
    <row r="11" spans="1:35" x14ac:dyDescent="0.25">
      <c r="A11" s="80" t="e">
        <f>MATCH(G11,SCALARS!C:C,0)</f>
        <v>#N/A</v>
      </c>
      <c r="B11" s="81" t="e">
        <f>MATCH(G11,'MKT DATA'!B:B,0)</f>
        <v>#N/A</v>
      </c>
      <c r="C11" s="309" t="s">
        <v>301</v>
      </c>
      <c r="D11" s="160" t="e" cm="1">
        <f t="array" aca="1" ref="D11" ca="1">INDIRECT(ADDRESS($A11,8,,,"SCALARS"))</f>
        <v>#N/A</v>
      </c>
      <c r="E11" s="145"/>
      <c r="F11" s="80" t="e" cm="1">
        <f t="array" aca="1" ref="F11" ca="1">INDIRECT(ADDRESS($A11,5,,,"scalars"))</f>
        <v>#N/A</v>
      </c>
      <c r="G11" s="220" t="s">
        <v>316</v>
      </c>
      <c r="H11" s="33" t="e" cm="1">
        <f t="array" aca="1" ref="H11" ca="1">INDIRECT(ADDRESS($B11,5,,,"mkt data"))</f>
        <v>#N/A</v>
      </c>
      <c r="I11" s="34" t="e" cm="1">
        <f t="array" aca="1" ref="I11" ca="1">INDIRECT(ADDRESS($B11,6,,,"mkt data"))</f>
        <v>#N/A</v>
      </c>
      <c r="J11" s="170" t="e" cm="1">
        <f t="array" aca="1" ref="J11" ca="1">INDIRECT(ADDRESS($A11,7,,,"SCALARS"))</f>
        <v>#N/A</v>
      </c>
      <c r="K11" s="16" t="e">
        <f t="shared" ca="1" si="1"/>
        <v>#N/A</v>
      </c>
      <c r="L11" s="16" t="e">
        <f t="shared" ca="1" si="2"/>
        <v>#N/A</v>
      </c>
      <c r="M11" s="44" t="e" cm="1">
        <f t="array" aca="1" ref="M11" ca="1">INDIRECT(ADDRESS($A11,6,,,"scalars"))</f>
        <v>#N/A</v>
      </c>
      <c r="N11" s="17" t="e">
        <f t="shared" ca="1" si="12"/>
        <v>#N/A</v>
      </c>
      <c r="O11" s="17" t="e">
        <f t="shared" ca="1" si="3"/>
        <v>#N/A</v>
      </c>
      <c r="P11" s="384" t="e">
        <f ca="1">N12-O11</f>
        <v>#N/A</v>
      </c>
      <c r="Q11" s="386" t="e">
        <f ca="1">LN(N12/O11)</f>
        <v>#N/A</v>
      </c>
      <c r="R11" s="295">
        <v>1E-3</v>
      </c>
      <c r="S11" s="262">
        <v>2.0000000000000001E-4</v>
      </c>
      <c r="T11" s="384" t="e">
        <f ca="1">N11-O12</f>
        <v>#N/A</v>
      </c>
      <c r="U11" s="386" t="e">
        <f ca="1">LN(N11/O12)</f>
        <v>#N/A</v>
      </c>
      <c r="V11" s="295">
        <v>1E-3</v>
      </c>
      <c r="W11" s="60">
        <v>2.0000000000000001E-4</v>
      </c>
      <c r="X11" s="27" t="e" cm="1">
        <f t="array" aca="1" ref="X11" ca="1">INDIRECT(ADDRESS($B11,9,,,"mkt data"))</f>
        <v>#N/A</v>
      </c>
      <c r="Y11" s="48" t="e">
        <f t="shared" ca="1" si="4"/>
        <v>#N/A</v>
      </c>
      <c r="Z11" s="27" t="e">
        <f t="shared" ca="1" si="5"/>
        <v>#N/A</v>
      </c>
      <c r="AA11" s="339" t="e">
        <f ca="1">SUM(Z11:Z12)</f>
        <v>#N/A</v>
      </c>
      <c r="AB11" s="199" t="str">
        <f t="shared" si="6"/>
        <v>BSJT</v>
      </c>
      <c r="AC11" s="33" t="e" cm="1">
        <f t="array" aca="1" ref="AC11" ca="1">INDIRECT(ADDRESS($B11,8,,,"mkt data"))</f>
        <v>#N/A</v>
      </c>
      <c r="AD11" s="191" t="e">
        <f t="shared" ca="1" si="7"/>
        <v>#N/A</v>
      </c>
      <c r="AE11" s="191" t="e">
        <f t="shared" ca="1" si="8"/>
        <v>#N/A</v>
      </c>
      <c r="AF11" s="202">
        <v>0</v>
      </c>
      <c r="AG11" s="191" t="e">
        <f t="shared" ca="1" si="9"/>
        <v>#N/A</v>
      </c>
      <c r="AH11" s="191" t="e">
        <f t="shared" ca="1" si="10"/>
        <v>#N/A</v>
      </c>
      <c r="AI11" s="375" t="e">
        <f ca="1">AH11+AH12</f>
        <v>#N/A</v>
      </c>
    </row>
    <row r="12" spans="1:35" ht="15.75" thickBot="1" x14ac:dyDescent="0.3">
      <c r="A12" s="82" t="e">
        <f>MATCH(G12,SCALARS!C:C,0)</f>
        <v>#N/A</v>
      </c>
      <c r="B12" s="83" t="e">
        <f>MATCH(G12,'MKT DATA'!B:B,0)</f>
        <v>#N/A</v>
      </c>
      <c r="C12" s="310" t="str">
        <f>C11</f>
        <v>2029 tgt</v>
      </c>
      <c r="D12" s="161" t="e" cm="1">
        <f t="array" aca="1" ref="D12" ca="1">INDIRECT(ADDRESS($A12,8,,,"SCALARS"))</f>
        <v>#N/A</v>
      </c>
      <c r="E12" s="146"/>
      <c r="F12" s="82" t="e" cm="1">
        <f t="array" aca="1" ref="F12" ca="1">INDIRECT(ADDRESS($A12,5,,,"scalars"))</f>
        <v>#N/A</v>
      </c>
      <c r="G12" s="221" t="s">
        <v>317</v>
      </c>
      <c r="H12" s="37" t="e" cm="1">
        <f t="array" aca="1" ref="H12" ca="1">INDIRECT(ADDRESS($B12,5,,,"mkt data"))</f>
        <v>#N/A</v>
      </c>
      <c r="I12" s="38" t="e" cm="1">
        <f t="array" aca="1" ref="I12" ca="1">INDIRECT(ADDRESS($B12,6,,,"mkt data"))</f>
        <v>#N/A</v>
      </c>
      <c r="J12" s="171" t="e" cm="1">
        <f t="array" aca="1" ref="J12" ca="1">INDIRECT(ADDRESS($A12,7,,,"SCALARS"))</f>
        <v>#N/A</v>
      </c>
      <c r="K12" s="22" t="e">
        <f t="shared" ca="1" si="1"/>
        <v>#N/A</v>
      </c>
      <c r="L12" s="22" t="e">
        <f t="shared" ca="1" si="2"/>
        <v>#N/A</v>
      </c>
      <c r="M12" s="45" t="e" cm="1">
        <f t="array" aca="1" ref="M12" ca="1">INDIRECT(ADDRESS($A12,6,,,"scalars"))</f>
        <v>#N/A</v>
      </c>
      <c r="N12" s="23" t="e">
        <f ca="1">K12*M12</f>
        <v>#N/A</v>
      </c>
      <c r="O12" s="23" t="e">
        <f t="shared" ca="1" si="3"/>
        <v>#N/A</v>
      </c>
      <c r="P12" s="385"/>
      <c r="Q12" s="387"/>
      <c r="R12" s="296" t="e">
        <f ca="1">IF(Q11&gt;R11,TRUE,FALSE)</f>
        <v>#N/A</v>
      </c>
      <c r="S12" s="263" t="e">
        <f ca="1">AND(IF(U11&gt;-S11,TRUE,FALSE),IF(X11&gt;0,TRUE,FALSE))</f>
        <v>#N/A</v>
      </c>
      <c r="T12" s="385"/>
      <c r="U12" s="387"/>
      <c r="V12" s="296" t="e">
        <f ca="1">IF(U11&gt;V11,TRUE,FALSE)</f>
        <v>#N/A</v>
      </c>
      <c r="W12" s="61" t="e">
        <f ca="1">AND(IF(Q11&gt;-W11,TRUE,FALSE),IF(X11&lt;0,TRUE,FALSE))</f>
        <v>#N/A</v>
      </c>
      <c r="X12" s="29" t="e" cm="1">
        <f t="array" aca="1" ref="X12" ca="1">INDIRECT(ADDRESS($B12,9,,,"mkt data"))</f>
        <v>#N/A</v>
      </c>
      <c r="Y12" s="50" t="e">
        <f t="shared" ca="1" si="4"/>
        <v>#N/A</v>
      </c>
      <c r="Z12" s="29" t="e">
        <f t="shared" ca="1" si="5"/>
        <v>#N/A</v>
      </c>
      <c r="AA12" s="341"/>
      <c r="AB12" s="207" t="str">
        <f t="shared" si="6"/>
        <v>IBHI</v>
      </c>
      <c r="AC12" s="37" t="e" cm="1">
        <f t="array" aca="1" ref="AC12" ca="1">INDIRECT(ADDRESS($B12,8,,,"mkt data"))</f>
        <v>#N/A</v>
      </c>
      <c r="AD12" s="193" t="e">
        <f t="shared" ca="1" si="7"/>
        <v>#N/A</v>
      </c>
      <c r="AE12" s="193" t="e">
        <f t="shared" ca="1" si="8"/>
        <v>#N/A</v>
      </c>
      <c r="AF12" s="204">
        <v>0</v>
      </c>
      <c r="AG12" s="193" t="e">
        <f t="shared" ca="1" si="9"/>
        <v>#N/A</v>
      </c>
      <c r="AH12" s="193" t="e">
        <f t="shared" ca="1" si="10"/>
        <v>#N/A</v>
      </c>
      <c r="AI12" s="377"/>
    </row>
    <row r="13" spans="1:35" x14ac:dyDescent="0.25">
      <c r="A13" s="80" t="e">
        <f>MATCH(G13,SCALARS!C:C,0)</f>
        <v>#N/A</v>
      </c>
      <c r="B13" s="81" t="e">
        <f>MATCH(G13,'MKT DATA'!B:B,0)</f>
        <v>#N/A</v>
      </c>
      <c r="C13" s="309" t="s">
        <v>302</v>
      </c>
      <c r="D13" s="160" t="e" cm="1">
        <f t="array" aca="1" ref="D13" ca="1">INDIRECT(ADDRESS($A13,8,,,"SCALARS"))</f>
        <v>#N/A</v>
      </c>
      <c r="E13" s="145"/>
      <c r="F13" s="80" t="e" cm="1">
        <f t="array" aca="1" ref="F13" ca="1">INDIRECT(ADDRESS($A13,5,,,"scalars"))</f>
        <v>#N/A</v>
      </c>
      <c r="G13" s="220" t="s">
        <v>318</v>
      </c>
      <c r="H13" s="33" t="e" cm="1">
        <f t="array" aca="1" ref="H13" ca="1">INDIRECT(ADDRESS($B13,5,,,"mkt data"))</f>
        <v>#N/A</v>
      </c>
      <c r="I13" s="34" t="e" cm="1">
        <f t="array" aca="1" ref="I13" ca="1">INDIRECT(ADDRESS($B13,6,,,"mkt data"))</f>
        <v>#N/A</v>
      </c>
      <c r="J13" s="170" t="e" cm="1">
        <f t="array" aca="1" ref="J13" ca="1">INDIRECT(ADDRESS($A13,7,,,"SCALARS"))</f>
        <v>#N/A</v>
      </c>
      <c r="K13" s="16" t="e">
        <f t="shared" ca="1" si="1"/>
        <v>#N/A</v>
      </c>
      <c r="L13" s="16" t="e">
        <f t="shared" ca="1" si="2"/>
        <v>#N/A</v>
      </c>
      <c r="M13" s="44" t="e" cm="1">
        <f t="array" aca="1" ref="M13" ca="1">INDIRECT(ADDRESS($A13,6,,,"scalars"))</f>
        <v>#N/A</v>
      </c>
      <c r="N13" s="17" t="e">
        <f ca="1">K13*M13</f>
        <v>#N/A</v>
      </c>
      <c r="O13" s="17" t="e">
        <f t="shared" ca="1" si="3"/>
        <v>#N/A</v>
      </c>
      <c r="P13" s="384" t="e">
        <f ca="1">N14-O13</f>
        <v>#N/A</v>
      </c>
      <c r="Q13" s="386" t="e">
        <f t="shared" ref="Q13" ca="1" si="13">LN(N14/O13)</f>
        <v>#N/A</v>
      </c>
      <c r="R13" s="295">
        <v>1E-3</v>
      </c>
      <c r="S13" s="262">
        <v>2.0000000000000001E-4</v>
      </c>
      <c r="T13" s="384" t="e">
        <f ca="1">N13-O14</f>
        <v>#N/A</v>
      </c>
      <c r="U13" s="386" t="e">
        <f t="shared" ref="U13" ca="1" si="14">LN(N13/O14)</f>
        <v>#N/A</v>
      </c>
      <c r="V13" s="295">
        <v>1E-3</v>
      </c>
      <c r="W13" s="60">
        <v>2.0000000000000001E-4</v>
      </c>
      <c r="X13" s="27" t="e" cm="1">
        <f t="array" aca="1" ref="X13" ca="1">INDIRECT(ADDRESS($B13,9,,,"mkt data"))</f>
        <v>#N/A</v>
      </c>
      <c r="Y13" s="48" t="e">
        <f t="shared" ca="1" si="4"/>
        <v>#N/A</v>
      </c>
      <c r="Z13" s="27" t="e">
        <f t="shared" ca="1" si="5"/>
        <v>#N/A</v>
      </c>
      <c r="AA13" s="372" t="e">
        <f ca="1">SUM(Z13:Z14)</f>
        <v>#N/A</v>
      </c>
      <c r="AB13" s="199" t="str">
        <f t="shared" si="6"/>
        <v>BSJU</v>
      </c>
      <c r="AC13" s="33" t="e" cm="1">
        <f t="array" aca="1" ref="AC13" ca="1">INDIRECT(ADDRESS($B13,8,,,"mkt data"))</f>
        <v>#N/A</v>
      </c>
      <c r="AD13" s="191" t="e">
        <f t="shared" ca="1" si="7"/>
        <v>#N/A</v>
      </c>
      <c r="AE13" s="191" t="e">
        <f t="shared" ca="1" si="8"/>
        <v>#N/A</v>
      </c>
      <c r="AF13" s="202">
        <v>0</v>
      </c>
      <c r="AG13" s="191" t="e">
        <f t="shared" ca="1" si="9"/>
        <v>#N/A</v>
      </c>
      <c r="AH13" s="191" t="e">
        <f t="shared" ca="1" si="10"/>
        <v>#N/A</v>
      </c>
      <c r="AI13" s="375" t="e">
        <f ca="1">AH13+AH14</f>
        <v>#N/A</v>
      </c>
    </row>
    <row r="14" spans="1:35" ht="15.75" thickBot="1" x14ac:dyDescent="0.3">
      <c r="A14" s="82" t="e">
        <f>MATCH(G14,SCALARS!C:C,0)</f>
        <v>#N/A</v>
      </c>
      <c r="B14" s="83" t="e">
        <f>MATCH(G14,'MKT DATA'!B:B,0)</f>
        <v>#N/A</v>
      </c>
      <c r="C14" s="310" t="str">
        <f>C13</f>
        <v>2030 tgt</v>
      </c>
      <c r="D14" s="161" t="e" cm="1">
        <f t="array" aca="1" ref="D14" ca="1">INDIRECT(ADDRESS($A14,8,,,"SCALARS"))</f>
        <v>#N/A</v>
      </c>
      <c r="E14" s="146"/>
      <c r="F14" s="82" t="e" cm="1">
        <f t="array" aca="1" ref="F14" ca="1">INDIRECT(ADDRESS($A14,5,,,"scalars"))</f>
        <v>#N/A</v>
      </c>
      <c r="G14" s="221" t="s">
        <v>319</v>
      </c>
      <c r="H14" s="37" t="e" cm="1">
        <f t="array" aca="1" ref="H14" ca="1">INDIRECT(ADDRESS($B14,5,,,"mkt data"))</f>
        <v>#N/A</v>
      </c>
      <c r="I14" s="38" t="e" cm="1">
        <f t="array" aca="1" ref="I14" ca="1">INDIRECT(ADDRESS($B14,6,,,"mkt data"))</f>
        <v>#N/A</v>
      </c>
      <c r="J14" s="171" t="e" cm="1">
        <f t="array" aca="1" ref="J14" ca="1">INDIRECT(ADDRESS($A14,7,,,"SCALARS"))</f>
        <v>#N/A</v>
      </c>
      <c r="K14" s="22" t="e">
        <f t="shared" ca="1" si="1"/>
        <v>#N/A</v>
      </c>
      <c r="L14" s="22" t="e">
        <f t="shared" ca="1" si="2"/>
        <v>#N/A</v>
      </c>
      <c r="M14" s="45" t="e" cm="1">
        <f t="array" aca="1" ref="M14" ca="1">INDIRECT(ADDRESS($A14,6,,,"scalars"))</f>
        <v>#N/A</v>
      </c>
      <c r="N14" s="23" t="e">
        <f ca="1">K14*M14</f>
        <v>#N/A</v>
      </c>
      <c r="O14" s="23" t="e">
        <f t="shared" ca="1" si="3"/>
        <v>#N/A</v>
      </c>
      <c r="P14" s="385"/>
      <c r="Q14" s="387"/>
      <c r="R14" s="296" t="e">
        <f ca="1">IF(Q13&gt;R13,TRUE,FALSE)</f>
        <v>#N/A</v>
      </c>
      <c r="S14" s="263" t="e">
        <f ca="1">AND(IF(U13&gt;-S13,TRUE,FALSE),IF(X13&gt;0,TRUE,FALSE))</f>
        <v>#N/A</v>
      </c>
      <c r="T14" s="385"/>
      <c r="U14" s="387"/>
      <c r="V14" s="296" t="e">
        <f ca="1">IF(U13&gt;V13,TRUE,FALSE)</f>
        <v>#N/A</v>
      </c>
      <c r="W14" s="61" t="e">
        <f ca="1">AND(IF(Q13&gt;-W13,TRUE,FALSE),IF(X13&lt;0,TRUE,FALSE))</f>
        <v>#N/A</v>
      </c>
      <c r="X14" s="29" t="e" cm="1">
        <f t="array" aca="1" ref="X14" ca="1">INDIRECT(ADDRESS($B14,9,,,"mkt data"))</f>
        <v>#N/A</v>
      </c>
      <c r="Y14" s="50" t="e">
        <f t="shared" ca="1" si="4"/>
        <v>#N/A</v>
      </c>
      <c r="Z14" s="29" t="e">
        <f t="shared" ca="1" si="5"/>
        <v>#N/A</v>
      </c>
      <c r="AA14" s="374"/>
      <c r="AB14" s="207" t="str">
        <f t="shared" si="6"/>
        <v>IBHJ</v>
      </c>
      <c r="AC14" s="37" t="e" cm="1">
        <f t="array" aca="1" ref="AC14" ca="1">INDIRECT(ADDRESS($B14,8,,,"mkt data"))</f>
        <v>#N/A</v>
      </c>
      <c r="AD14" s="193" t="e">
        <f t="shared" ca="1" si="7"/>
        <v>#N/A</v>
      </c>
      <c r="AE14" s="193" t="e">
        <f t="shared" ca="1" si="8"/>
        <v>#N/A</v>
      </c>
      <c r="AF14" s="204">
        <v>0</v>
      </c>
      <c r="AG14" s="193" t="e">
        <f t="shared" ca="1" si="9"/>
        <v>#N/A</v>
      </c>
      <c r="AH14" s="193" t="e">
        <f t="shared" ca="1" si="10"/>
        <v>#N/A</v>
      </c>
      <c r="AI14" s="377"/>
    </row>
    <row r="15" spans="1:35" x14ac:dyDescent="0.25">
      <c r="A15" s="80" t="e">
        <f>MATCH(G15,SCALARS!C:C,0)</f>
        <v>#N/A</v>
      </c>
      <c r="B15" s="81" t="e">
        <f>MATCH(G15,'MKT DATA'!B:B,0)</f>
        <v>#N/A</v>
      </c>
      <c r="C15" s="309" t="s">
        <v>303</v>
      </c>
      <c r="D15" s="160" t="e" cm="1">
        <f t="array" aca="1" ref="D15" ca="1">INDIRECT(ADDRESS($A15,8,,,"SCALARS"))</f>
        <v>#N/A</v>
      </c>
      <c r="E15" s="145"/>
      <c r="F15" s="80" t="e" cm="1">
        <f t="array" aca="1" ref="F15" ca="1">INDIRECT(ADDRESS($A15,5,,,"scalars"))</f>
        <v>#N/A</v>
      </c>
      <c r="G15" s="220" t="s">
        <v>320</v>
      </c>
      <c r="H15" s="33" t="e" cm="1">
        <f t="array" aca="1" ref="H15" ca="1">INDIRECT(ADDRESS($B15,5,,,"mkt data"))</f>
        <v>#N/A</v>
      </c>
      <c r="I15" s="34" t="e" cm="1">
        <f t="array" aca="1" ref="I15" ca="1">INDIRECT(ADDRESS($B15,6,,,"mkt data"))</f>
        <v>#N/A</v>
      </c>
      <c r="J15" s="170" t="e" cm="1">
        <f t="array" aca="1" ref="J15" ca="1">INDIRECT(ADDRESS($A15,7,,,"SCALARS"))</f>
        <v>#N/A</v>
      </c>
      <c r="K15" s="16" t="e">
        <f t="shared" ca="1" si="1"/>
        <v>#N/A</v>
      </c>
      <c r="L15" s="16" t="e">
        <f t="shared" ca="1" si="2"/>
        <v>#N/A</v>
      </c>
      <c r="M15" s="44" t="e" cm="1">
        <f t="array" aca="1" ref="M15" ca="1">INDIRECT(ADDRESS($A15,6,,,"scalars"))</f>
        <v>#N/A</v>
      </c>
      <c r="N15" s="17" t="e">
        <f ca="1">K15*M15</f>
        <v>#N/A</v>
      </c>
      <c r="O15" s="17" t="e">
        <f t="shared" ca="1" si="3"/>
        <v>#N/A</v>
      </c>
      <c r="P15" s="384" t="e">
        <f ca="1">N16-O15</f>
        <v>#N/A</v>
      </c>
      <c r="Q15" s="386" t="e">
        <f ca="1">LN(N16/O15)</f>
        <v>#N/A</v>
      </c>
      <c r="R15" s="295">
        <v>1E-3</v>
      </c>
      <c r="S15" s="262">
        <v>2.0000000000000001E-4</v>
      </c>
      <c r="T15" s="384" t="e">
        <f ca="1">N15-O16</f>
        <v>#N/A</v>
      </c>
      <c r="U15" s="386" t="e">
        <f ca="1">LN(N15/O16)</f>
        <v>#N/A</v>
      </c>
      <c r="V15" s="295">
        <v>1E-3</v>
      </c>
      <c r="W15" s="60">
        <v>2.0000000000000001E-4</v>
      </c>
      <c r="X15" s="27" t="e" cm="1">
        <f t="array" aca="1" ref="X15" ca="1">INDIRECT(ADDRESS($B15,9,,,"mkt data"))</f>
        <v>#N/A</v>
      </c>
      <c r="Y15" s="48" t="e">
        <f t="shared" ca="1" si="4"/>
        <v>#N/A</v>
      </c>
      <c r="Z15" s="27" t="e">
        <f t="shared" ca="1" si="5"/>
        <v>#N/A</v>
      </c>
      <c r="AA15" s="369" t="e">
        <f ca="1">SUM(Z15:Z16)</f>
        <v>#N/A</v>
      </c>
      <c r="AB15" s="199" t="str">
        <f t="shared" si="6"/>
        <v>BSJV</v>
      </c>
      <c r="AC15" s="33" t="e" cm="1">
        <f t="array" aca="1" ref="AC15" ca="1">INDIRECT(ADDRESS($B15,8,,,"mkt data"))</f>
        <v>#N/A</v>
      </c>
      <c r="AD15" s="191" t="e">
        <f t="shared" ca="1" si="7"/>
        <v>#N/A</v>
      </c>
      <c r="AE15" s="191" t="e">
        <f t="shared" ca="1" si="8"/>
        <v>#N/A</v>
      </c>
      <c r="AF15" s="202">
        <v>0</v>
      </c>
      <c r="AG15" s="191" t="e">
        <f t="shared" ca="1" si="9"/>
        <v>#N/A</v>
      </c>
      <c r="AH15" s="191" t="e">
        <f t="shared" ca="1" si="10"/>
        <v>#N/A</v>
      </c>
      <c r="AI15" s="375" t="e">
        <f ca="1">AH15+AH16</f>
        <v>#N/A</v>
      </c>
    </row>
    <row r="16" spans="1:35" ht="15.75" thickBot="1" x14ac:dyDescent="0.3">
      <c r="A16" s="82" t="e">
        <f>MATCH(G16,SCALARS!C:C,0)</f>
        <v>#N/A</v>
      </c>
      <c r="B16" s="83" t="e">
        <f>MATCH(G16,'MKT DATA'!B:B,0)</f>
        <v>#N/A</v>
      </c>
      <c r="C16" s="310" t="str">
        <f>C15</f>
        <v>2031 tgt</v>
      </c>
      <c r="D16" s="161" t="e" cm="1">
        <f t="array" aca="1" ref="D16" ca="1">INDIRECT(ADDRESS($A16,8,,,"SCALARS"))</f>
        <v>#N/A</v>
      </c>
      <c r="E16" s="146"/>
      <c r="F16" s="82" t="e" cm="1">
        <f t="array" aca="1" ref="F16" ca="1">INDIRECT(ADDRESS($A16,5,,,"scalars"))</f>
        <v>#N/A</v>
      </c>
      <c r="G16" s="221" t="s">
        <v>321</v>
      </c>
      <c r="H16" s="37" t="e" cm="1">
        <f t="array" aca="1" ref="H16" ca="1">INDIRECT(ADDRESS($B16,5,,,"mkt data"))</f>
        <v>#N/A</v>
      </c>
      <c r="I16" s="38" t="e" cm="1">
        <f t="array" aca="1" ref="I16" ca="1">INDIRECT(ADDRESS($B16,6,,,"mkt data"))</f>
        <v>#N/A</v>
      </c>
      <c r="J16" s="171" t="e" cm="1">
        <f t="array" aca="1" ref="J16" ca="1">INDIRECT(ADDRESS($A16,7,,,"SCALARS"))</f>
        <v>#N/A</v>
      </c>
      <c r="K16" s="22" t="e">
        <f t="shared" ca="1" si="1"/>
        <v>#N/A</v>
      </c>
      <c r="L16" s="22" t="e">
        <f t="shared" ca="1" si="2"/>
        <v>#N/A</v>
      </c>
      <c r="M16" s="45" t="e" cm="1">
        <f t="array" aca="1" ref="M16" ca="1">INDIRECT(ADDRESS($A16,6,,,"scalars"))</f>
        <v>#N/A</v>
      </c>
      <c r="N16" s="23" t="e">
        <f t="shared" ref="N16:N18" ca="1" si="15">K16*M16</f>
        <v>#N/A</v>
      </c>
      <c r="O16" s="23" t="e">
        <f t="shared" ca="1" si="3"/>
        <v>#N/A</v>
      </c>
      <c r="P16" s="385"/>
      <c r="Q16" s="387"/>
      <c r="R16" s="296" t="e">
        <f ca="1">IF(Q15&gt;R15,TRUE,FALSE)</f>
        <v>#N/A</v>
      </c>
      <c r="S16" s="263" t="e">
        <f ca="1">AND(IF(U15&gt;-S15,TRUE,FALSE),IF(X15&gt;0,TRUE,FALSE))</f>
        <v>#N/A</v>
      </c>
      <c r="T16" s="385"/>
      <c r="U16" s="387"/>
      <c r="V16" s="296" t="e">
        <f ca="1">IF(U15&gt;V15,TRUE,FALSE)</f>
        <v>#N/A</v>
      </c>
      <c r="W16" s="61" t="e">
        <f ca="1">AND(IF(Q15&gt;-W15,TRUE,FALSE),IF(X15&lt;0,TRUE,FALSE))</f>
        <v>#N/A</v>
      </c>
      <c r="X16" s="29" t="e" cm="1">
        <f t="array" aca="1" ref="X16" ca="1">INDIRECT(ADDRESS($B16,9,,,"mkt data"))</f>
        <v>#N/A</v>
      </c>
      <c r="Y16" s="50" t="e">
        <f t="shared" ca="1" si="4"/>
        <v>#N/A</v>
      </c>
      <c r="Z16" s="29" t="e">
        <f t="shared" ca="1" si="5"/>
        <v>#N/A</v>
      </c>
      <c r="AA16" s="371"/>
      <c r="AB16" s="207" t="str">
        <f t="shared" si="6"/>
        <v>IBHK</v>
      </c>
      <c r="AC16" s="37" t="e" cm="1">
        <f t="array" aca="1" ref="AC16" ca="1">INDIRECT(ADDRESS($B16,8,,,"mkt data"))</f>
        <v>#N/A</v>
      </c>
      <c r="AD16" s="193" t="e">
        <f t="shared" ca="1" si="7"/>
        <v>#N/A</v>
      </c>
      <c r="AE16" s="193" t="e">
        <f t="shared" ca="1" si="8"/>
        <v>#N/A</v>
      </c>
      <c r="AF16" s="204">
        <v>0</v>
      </c>
      <c r="AG16" s="193" t="e">
        <f t="shared" ca="1" si="9"/>
        <v>#N/A</v>
      </c>
      <c r="AH16" s="193" t="e">
        <f t="shared" ca="1" si="10"/>
        <v>#N/A</v>
      </c>
      <c r="AI16" s="377"/>
    </row>
    <row r="17" spans="1:35" x14ac:dyDescent="0.25">
      <c r="A17" s="80" t="e">
        <f>MATCH(G17,SCALARS!C:C,0)</f>
        <v>#N/A</v>
      </c>
      <c r="B17" s="81" t="e">
        <f>MATCH(G17,'MKT DATA'!B:B,0)</f>
        <v>#N/A</v>
      </c>
      <c r="C17" s="309" t="s">
        <v>304</v>
      </c>
      <c r="D17" s="160" t="e" cm="1">
        <f t="array" aca="1" ref="D17" ca="1">INDIRECT(ADDRESS($A17,8,,,"SCALARS"))</f>
        <v>#N/A</v>
      </c>
      <c r="E17" s="145"/>
      <c r="F17" s="80" t="e" cm="1">
        <f t="array" aca="1" ref="F17" ca="1">INDIRECT(ADDRESS($A17,5,,,"scalars"))</f>
        <v>#N/A</v>
      </c>
      <c r="G17" s="220" t="s">
        <v>322</v>
      </c>
      <c r="H17" s="33" t="e" cm="1">
        <f t="array" aca="1" ref="H17" ca="1">INDIRECT(ADDRESS($B17,5,,,"mkt data"))</f>
        <v>#N/A</v>
      </c>
      <c r="I17" s="34" t="e" cm="1">
        <f t="array" aca="1" ref="I17" ca="1">INDIRECT(ADDRESS($B17,6,,,"mkt data"))</f>
        <v>#N/A</v>
      </c>
      <c r="J17" s="170" t="e" cm="1">
        <f t="array" aca="1" ref="J17" ca="1">INDIRECT(ADDRESS($A17,7,,,"SCALARS"))</f>
        <v>#N/A</v>
      </c>
      <c r="K17" s="16" t="e">
        <f t="shared" ca="1" si="1"/>
        <v>#N/A</v>
      </c>
      <c r="L17" s="16" t="e">
        <f t="shared" ca="1" si="2"/>
        <v>#N/A</v>
      </c>
      <c r="M17" s="44" t="e" cm="1">
        <f t="array" aca="1" ref="M17" ca="1">INDIRECT(ADDRESS($A17,6,,,"scalars"))</f>
        <v>#N/A</v>
      </c>
      <c r="N17" s="17" t="e">
        <f t="shared" ca="1" si="15"/>
        <v>#N/A</v>
      </c>
      <c r="O17" s="17" t="e">
        <f t="shared" ca="1" si="3"/>
        <v>#N/A</v>
      </c>
      <c r="P17" s="384" t="e">
        <f ca="1">N18-O17</f>
        <v>#N/A</v>
      </c>
      <c r="Q17" s="386" t="e">
        <f ca="1">LN(N18/O17)</f>
        <v>#N/A</v>
      </c>
      <c r="R17" s="295">
        <v>1E-3</v>
      </c>
      <c r="S17" s="262">
        <v>2.0000000000000001E-4</v>
      </c>
      <c r="T17" s="384" t="e">
        <f ca="1">N17-O18</f>
        <v>#N/A</v>
      </c>
      <c r="U17" s="386" t="e">
        <f ca="1">LN(N17/O18)</f>
        <v>#N/A</v>
      </c>
      <c r="V17" s="295">
        <v>1E-3</v>
      </c>
      <c r="W17" s="60">
        <v>2.0000000000000001E-4</v>
      </c>
      <c r="X17" s="27" t="e" cm="1">
        <f t="array" aca="1" ref="X17" ca="1">INDIRECT(ADDRESS($B17,9,,,"mkt data"))</f>
        <v>#N/A</v>
      </c>
      <c r="Y17" s="48" t="e">
        <f t="shared" ca="1" si="4"/>
        <v>#N/A</v>
      </c>
      <c r="Z17" s="27" t="e">
        <f t="shared" ca="1" si="5"/>
        <v>#N/A</v>
      </c>
      <c r="AA17" s="372" t="e">
        <f ca="1">SUM(Z17:Z18)</f>
        <v>#N/A</v>
      </c>
      <c r="AB17" s="199" t="str">
        <f t="shared" si="6"/>
        <v>BSJW</v>
      </c>
      <c r="AC17" s="33" t="e" cm="1">
        <f t="array" aca="1" ref="AC17" ca="1">INDIRECT(ADDRESS($B17,8,,,"mkt data"))</f>
        <v>#N/A</v>
      </c>
      <c r="AD17" s="191" t="e">
        <f t="shared" ca="1" si="7"/>
        <v>#N/A</v>
      </c>
      <c r="AE17" s="191" t="e">
        <f t="shared" ca="1" si="8"/>
        <v>#N/A</v>
      </c>
      <c r="AF17" s="202">
        <v>0</v>
      </c>
      <c r="AG17" s="191" t="e">
        <f t="shared" ca="1" si="9"/>
        <v>#N/A</v>
      </c>
      <c r="AH17" s="191" t="e">
        <f t="shared" ca="1" si="10"/>
        <v>#N/A</v>
      </c>
      <c r="AI17" s="375" t="e">
        <f ca="1">AH17+AH18</f>
        <v>#N/A</v>
      </c>
    </row>
    <row r="18" spans="1:35" ht="15.75" thickBot="1" x14ac:dyDescent="0.3">
      <c r="A18" s="82" t="e">
        <f>MATCH(G18,SCALARS!C:C,0)</f>
        <v>#N/A</v>
      </c>
      <c r="B18" s="83" t="e">
        <f>MATCH(G18,'MKT DATA'!B:B,0)</f>
        <v>#N/A</v>
      </c>
      <c r="C18" s="310" t="str">
        <f>C17</f>
        <v>2032 tgt</v>
      </c>
      <c r="D18" s="161" t="e" cm="1">
        <f t="array" aca="1" ref="D18" ca="1">INDIRECT(ADDRESS($A18,8,,,"SCALARS"))</f>
        <v>#N/A</v>
      </c>
      <c r="E18" s="146"/>
      <c r="F18" s="82" t="e" cm="1">
        <f t="array" aca="1" ref="F18" ca="1">INDIRECT(ADDRESS($A18,5,,,"scalars"))</f>
        <v>#N/A</v>
      </c>
      <c r="G18" s="221" t="s">
        <v>323</v>
      </c>
      <c r="H18" s="37" t="e" cm="1">
        <f t="array" aca="1" ref="H18" ca="1">INDIRECT(ADDRESS($B18,5,,,"mkt data"))</f>
        <v>#N/A</v>
      </c>
      <c r="I18" s="38" t="e" cm="1">
        <f t="array" aca="1" ref="I18" ca="1">INDIRECT(ADDRESS($B18,6,,,"mkt data"))</f>
        <v>#N/A</v>
      </c>
      <c r="J18" s="171" t="e" cm="1">
        <f t="array" aca="1" ref="J18" ca="1">INDIRECT(ADDRESS($A18,7,,,"SCALARS"))</f>
        <v>#N/A</v>
      </c>
      <c r="K18" s="22" t="e">
        <f t="shared" ca="1" si="1"/>
        <v>#N/A</v>
      </c>
      <c r="L18" s="22" t="e">
        <f t="shared" ca="1" si="2"/>
        <v>#N/A</v>
      </c>
      <c r="M18" s="45" t="e" cm="1">
        <f t="array" aca="1" ref="M18" ca="1">INDIRECT(ADDRESS($A18,6,,,"scalars"))</f>
        <v>#N/A</v>
      </c>
      <c r="N18" s="23" t="e">
        <f t="shared" ca="1" si="15"/>
        <v>#N/A</v>
      </c>
      <c r="O18" s="23" t="e">
        <f t="shared" ca="1" si="3"/>
        <v>#N/A</v>
      </c>
      <c r="P18" s="385"/>
      <c r="Q18" s="387"/>
      <c r="R18" s="296" t="e">
        <f ca="1">IF(Q17&gt;R17,TRUE,FALSE)</f>
        <v>#N/A</v>
      </c>
      <c r="S18" s="263" t="e">
        <f ca="1">AND(IF(U17&gt;-S17,TRUE,FALSE),IF(X17&gt;0,TRUE,FALSE))</f>
        <v>#N/A</v>
      </c>
      <c r="T18" s="385"/>
      <c r="U18" s="387"/>
      <c r="V18" s="296" t="e">
        <f ca="1">IF(U17&gt;V17,TRUE,FALSE)</f>
        <v>#N/A</v>
      </c>
      <c r="W18" s="61" t="e">
        <f ca="1">AND(IF(Q17&gt;-W17,TRUE,FALSE),IF(X17&lt;0,TRUE,FALSE))</f>
        <v>#N/A</v>
      </c>
      <c r="X18" s="29" t="e" cm="1">
        <f t="array" aca="1" ref="X18" ca="1">INDIRECT(ADDRESS($B18,9,,,"mkt data"))</f>
        <v>#N/A</v>
      </c>
      <c r="Y18" s="50" t="e">
        <f t="shared" ca="1" si="4"/>
        <v>#N/A</v>
      </c>
      <c r="Z18" s="29" t="e">
        <f t="shared" ca="1" si="5"/>
        <v>#N/A</v>
      </c>
      <c r="AA18" s="374"/>
      <c r="AB18" s="207" t="str">
        <f t="shared" si="6"/>
        <v>IBHL</v>
      </c>
      <c r="AC18" s="37" t="e" cm="1">
        <f t="array" aca="1" ref="AC18" ca="1">INDIRECT(ADDRESS($B18,8,,,"mkt data"))</f>
        <v>#N/A</v>
      </c>
      <c r="AD18" s="193" t="e">
        <f t="shared" ca="1" si="7"/>
        <v>#N/A</v>
      </c>
      <c r="AE18" s="193" t="e">
        <f t="shared" ca="1" si="8"/>
        <v>#N/A</v>
      </c>
      <c r="AF18" s="204">
        <v>0</v>
      </c>
      <c r="AG18" s="193" t="e">
        <f t="shared" ca="1" si="9"/>
        <v>#N/A</v>
      </c>
      <c r="AH18" s="193" t="e">
        <f t="shared" ca="1" si="10"/>
        <v>#N/A</v>
      </c>
      <c r="AI18" s="377"/>
    </row>
    <row r="19" spans="1:35" ht="9.9499999999999993" customHeight="1" thickBot="1" x14ac:dyDescent="0.3">
      <c r="A19" s="234"/>
      <c r="B19" s="234"/>
      <c r="C19" s="234"/>
      <c r="D19" s="235"/>
      <c r="E19" s="236"/>
      <c r="F19" s="237"/>
      <c r="G19" s="238"/>
      <c r="H19" s="239"/>
      <c r="I19" s="239"/>
      <c r="J19" s="240"/>
      <c r="K19" s="241"/>
      <c r="L19" s="241"/>
      <c r="M19" s="242"/>
      <c r="N19" s="243"/>
      <c r="O19" s="243"/>
      <c r="P19" s="244"/>
      <c r="Q19" s="245"/>
      <c r="R19" s="247"/>
      <c r="S19" s="264"/>
      <c r="T19" s="246"/>
      <c r="U19" s="245"/>
      <c r="V19" s="247"/>
      <c r="W19" s="265"/>
      <c r="X19" s="248"/>
      <c r="Y19" s="249"/>
      <c r="Z19" s="248"/>
      <c r="AA19" s="250"/>
      <c r="AB19" s="251"/>
      <c r="AC19" s="239"/>
      <c r="AD19" s="239"/>
      <c r="AE19" s="239"/>
      <c r="AF19" s="239"/>
      <c r="AG19" s="252"/>
      <c r="AH19" s="252"/>
      <c r="AI19" s="253"/>
    </row>
    <row r="20" spans="1:35" x14ac:dyDescent="0.25">
      <c r="A20" s="80" t="e">
        <f>MATCH(G20,SCALARS!C:C,0)</f>
        <v>#N/A</v>
      </c>
      <c r="B20" s="81" t="e">
        <f>MATCH(G20,'MKT DATA'!B:B,0)</f>
        <v>#N/A</v>
      </c>
      <c r="C20" s="309" t="s">
        <v>298</v>
      </c>
      <c r="D20" s="160" t="e" cm="1">
        <f t="array" aca="1" ref="D20" ca="1">INDIRECT(ADDRESS($A20,8,,,"SCALARS"))</f>
        <v>#N/A</v>
      </c>
      <c r="E20" s="145"/>
      <c r="F20" s="80" t="e" cm="1">
        <f t="array" aca="1" ref="F20" ca="1">INDIRECT(ADDRESS($A20,5,,,"scalars"))</f>
        <v>#N/A</v>
      </c>
      <c r="G20" s="220" t="s">
        <v>324</v>
      </c>
      <c r="H20" s="33" t="e" cm="1">
        <f t="array" aca="1" ref="H20" ca="1">INDIRECT(ADDRESS($B20,5,,,"mkt data"))</f>
        <v>#N/A</v>
      </c>
      <c r="I20" s="34" t="e" cm="1">
        <f t="array" aca="1" ref="I20" ca="1">INDIRECT(ADDRESS($B20,6,,,"mkt data"))</f>
        <v>#N/A</v>
      </c>
      <c r="J20" s="170" t="e" cm="1">
        <f t="array" aca="1" ref="J20" ca="1">INDIRECT(ADDRESS($A20,7,,,"SCALARS"))</f>
        <v>#N/A</v>
      </c>
      <c r="K20" s="16" t="e">
        <f t="shared" ref="K20:K31" ca="1" si="16">H20+J20-K$1</f>
        <v>#N/A</v>
      </c>
      <c r="L20" s="16" t="e">
        <f t="shared" ref="L20:L31" ca="1" si="17">I20+J20+K$1</f>
        <v>#N/A</v>
      </c>
      <c r="M20" s="44" t="e" cm="1">
        <f t="array" aca="1" ref="M20" ca="1">INDIRECT(ADDRESS($A20,6,,,"scalars"))</f>
        <v>#N/A</v>
      </c>
      <c r="N20" s="17" t="e">
        <f ca="1">K20*M20</f>
        <v>#N/A</v>
      </c>
      <c r="O20" s="17" t="e">
        <f t="shared" ref="O20:O31" ca="1" si="18">M20*L20</f>
        <v>#N/A</v>
      </c>
      <c r="P20" s="384" t="e">
        <f ca="1">N21-O20</f>
        <v>#N/A</v>
      </c>
      <c r="Q20" s="386" t="e">
        <f ca="1">LN(N21/O20)</f>
        <v>#N/A</v>
      </c>
      <c r="R20" s="295">
        <v>1E-3</v>
      </c>
      <c r="S20" s="262">
        <v>2.0000000000000001E-4</v>
      </c>
      <c r="T20" s="384" t="e">
        <f ca="1">N20-O21</f>
        <v>#N/A</v>
      </c>
      <c r="U20" s="386" t="e">
        <f ca="1">LN(N20/O21)</f>
        <v>#N/A</v>
      </c>
      <c r="V20" s="295">
        <v>1E-3</v>
      </c>
      <c r="W20" s="60">
        <v>2.0000000000000001E-4</v>
      </c>
      <c r="X20" s="27" t="e" cm="1">
        <f t="array" aca="1" ref="X20" ca="1">INDIRECT(ADDRESS($B20,9,,,"mkt data"))</f>
        <v>#N/A</v>
      </c>
      <c r="Y20" s="48" t="e">
        <f t="shared" ref="Y20:Y31" ca="1" si="19">X20*AVERAGE(H20:I20)</f>
        <v>#N/A</v>
      </c>
      <c r="Z20" s="27" t="e">
        <f t="shared" ref="Z20:Z31" ca="1" si="20">X20/M20</f>
        <v>#N/A</v>
      </c>
      <c r="AA20" s="369" t="e">
        <f ca="1">SUM(Z20:Z21)</f>
        <v>#N/A</v>
      </c>
      <c r="AB20" s="199" t="str">
        <f t="shared" ref="AB20:AB31" si="21">G20</f>
        <v>BSMQ</v>
      </c>
      <c r="AC20" s="33" t="e" cm="1">
        <f t="array" aca="1" ref="AC20" ca="1">INDIRECT(ADDRESS($B20,8,,,"mkt data"))</f>
        <v>#N/A</v>
      </c>
      <c r="AD20" s="191" t="e">
        <f t="shared" ref="AD20:AD31" ca="1" si="22">AVERAGE(H20,I20)</f>
        <v>#N/A</v>
      </c>
      <c r="AE20" s="191" t="e">
        <f t="shared" ref="AE20:AE31" ca="1" si="23">AD20-AC20</f>
        <v>#N/A</v>
      </c>
      <c r="AF20" s="202">
        <v>0</v>
      </c>
      <c r="AG20" s="191" t="e">
        <f t="shared" ref="AG20:AG31" ca="1" si="24">AE20+AF20</f>
        <v>#N/A</v>
      </c>
      <c r="AH20" s="191" t="e">
        <f t="shared" ref="AH20:AH31" ca="1" si="25">AG20*X20</f>
        <v>#N/A</v>
      </c>
      <c r="AI20" s="375" t="e">
        <f ca="1">AH20+AH21</f>
        <v>#N/A</v>
      </c>
    </row>
    <row r="21" spans="1:35" ht="15.75" thickBot="1" x14ac:dyDescent="0.3">
      <c r="A21" s="82" t="e">
        <f>MATCH(G21,SCALARS!C:C,0)</f>
        <v>#N/A</v>
      </c>
      <c r="B21" s="83" t="e">
        <f>MATCH(G21,'MKT DATA'!B:B,0)</f>
        <v>#N/A</v>
      </c>
      <c r="C21" s="310" t="str">
        <f>C20</f>
        <v>2026 tgt</v>
      </c>
      <c r="D21" s="161" t="e" cm="1">
        <f t="array" aca="1" ref="D21" ca="1">INDIRECT(ADDRESS($A21,8,,,"SCALARS"))</f>
        <v>#N/A</v>
      </c>
      <c r="E21" s="146"/>
      <c r="F21" s="82" t="e" cm="1">
        <f t="array" aca="1" ref="F21" ca="1">INDIRECT(ADDRESS($A21,5,,,"scalars"))</f>
        <v>#N/A</v>
      </c>
      <c r="G21" s="221" t="s">
        <v>325</v>
      </c>
      <c r="H21" s="37" t="e" cm="1">
        <f t="array" aca="1" ref="H21" ca="1">INDIRECT(ADDRESS($B21,5,,,"mkt data"))</f>
        <v>#N/A</v>
      </c>
      <c r="I21" s="38" t="e" cm="1">
        <f t="array" aca="1" ref="I21" ca="1">INDIRECT(ADDRESS($B21,6,,,"mkt data"))</f>
        <v>#N/A</v>
      </c>
      <c r="J21" s="171" t="e" cm="1">
        <f t="array" aca="1" ref="J21" ca="1">INDIRECT(ADDRESS($A21,7,,,"SCALARS"))</f>
        <v>#N/A</v>
      </c>
      <c r="K21" s="22" t="e">
        <f t="shared" ca="1" si="16"/>
        <v>#N/A</v>
      </c>
      <c r="L21" s="22" t="e">
        <f t="shared" ca="1" si="17"/>
        <v>#N/A</v>
      </c>
      <c r="M21" s="45" t="e" cm="1">
        <f t="array" aca="1" ref="M21" ca="1">INDIRECT(ADDRESS($A21,6,,,"scalars"))</f>
        <v>#N/A</v>
      </c>
      <c r="N21" s="23" t="e">
        <f t="shared" ref="N21:N23" ca="1" si="26">K21*M21</f>
        <v>#N/A</v>
      </c>
      <c r="O21" s="23" t="e">
        <f t="shared" ca="1" si="18"/>
        <v>#N/A</v>
      </c>
      <c r="P21" s="385"/>
      <c r="Q21" s="387"/>
      <c r="R21" s="296" t="e">
        <f ca="1">IF(Q20&gt;R20,TRUE,FALSE)</f>
        <v>#N/A</v>
      </c>
      <c r="S21" s="263" t="e">
        <f ca="1">AND(IF(U20&gt;-S20,TRUE,FALSE),IF(X20&gt;0,TRUE,FALSE))</f>
        <v>#N/A</v>
      </c>
      <c r="T21" s="385"/>
      <c r="U21" s="387"/>
      <c r="V21" s="296" t="e">
        <f ca="1">IF(U20&gt;V20,TRUE,FALSE)</f>
        <v>#N/A</v>
      </c>
      <c r="W21" s="61" t="e">
        <f ca="1">AND(IF(Q20&gt;-W20,TRUE,FALSE),IF(X20&lt;0,TRUE,FALSE))</f>
        <v>#N/A</v>
      </c>
      <c r="X21" s="29" t="e" cm="1">
        <f t="array" aca="1" ref="X21" ca="1">INDIRECT(ADDRESS($B21,9,,,"mkt data"))</f>
        <v>#N/A</v>
      </c>
      <c r="Y21" s="50" t="e">
        <f t="shared" ca="1" si="19"/>
        <v>#N/A</v>
      </c>
      <c r="Z21" s="29" t="e">
        <f t="shared" ca="1" si="20"/>
        <v>#N/A</v>
      </c>
      <c r="AA21" s="371"/>
      <c r="AB21" s="207" t="str">
        <f t="shared" si="21"/>
        <v>IBMO</v>
      </c>
      <c r="AC21" s="37" t="e" cm="1">
        <f t="array" aca="1" ref="AC21" ca="1">INDIRECT(ADDRESS($B21,8,,,"mkt data"))</f>
        <v>#N/A</v>
      </c>
      <c r="AD21" s="193" t="e">
        <f t="shared" ca="1" si="22"/>
        <v>#N/A</v>
      </c>
      <c r="AE21" s="193" t="e">
        <f t="shared" ca="1" si="23"/>
        <v>#N/A</v>
      </c>
      <c r="AF21" s="204">
        <v>0</v>
      </c>
      <c r="AG21" s="193" t="e">
        <f t="shared" ca="1" si="24"/>
        <v>#N/A</v>
      </c>
      <c r="AH21" s="193" t="e">
        <f t="shared" ca="1" si="25"/>
        <v>#N/A</v>
      </c>
      <c r="AI21" s="377"/>
    </row>
    <row r="22" spans="1:35" x14ac:dyDescent="0.25">
      <c r="A22" s="80" t="e">
        <f>MATCH(G22,SCALARS!C:C,0)</f>
        <v>#N/A</v>
      </c>
      <c r="B22" s="81" t="e">
        <f>MATCH(G22,'MKT DATA'!B:B,0)</f>
        <v>#N/A</v>
      </c>
      <c r="C22" s="309" t="s">
        <v>299</v>
      </c>
      <c r="D22" s="160" t="e" cm="1">
        <f t="array" aca="1" ref="D22" ca="1">INDIRECT(ADDRESS($A22,8,,,"SCALARS"))</f>
        <v>#N/A</v>
      </c>
      <c r="E22" s="145"/>
      <c r="F22" s="80" t="e" cm="1">
        <f t="array" aca="1" ref="F22" ca="1">INDIRECT(ADDRESS($A22,5,,,"scalars"))</f>
        <v>#N/A</v>
      </c>
      <c r="G22" s="220" t="s">
        <v>326</v>
      </c>
      <c r="H22" s="33" t="e" cm="1">
        <f t="array" aca="1" ref="H22" ca="1">INDIRECT(ADDRESS($B22,5,,,"mkt data"))</f>
        <v>#N/A</v>
      </c>
      <c r="I22" s="34" t="e" cm="1">
        <f t="array" aca="1" ref="I22" ca="1">INDIRECT(ADDRESS($B22,6,,,"mkt data"))</f>
        <v>#N/A</v>
      </c>
      <c r="J22" s="170" t="e" cm="1">
        <f t="array" aca="1" ref="J22" ca="1">INDIRECT(ADDRESS($A22,7,,,"SCALARS"))</f>
        <v>#N/A</v>
      </c>
      <c r="K22" s="16" t="e">
        <f t="shared" ca="1" si="16"/>
        <v>#N/A</v>
      </c>
      <c r="L22" s="16" t="e">
        <f t="shared" ca="1" si="17"/>
        <v>#N/A</v>
      </c>
      <c r="M22" s="44" t="e" cm="1">
        <f t="array" aca="1" ref="M22" ca="1">INDIRECT(ADDRESS($A22,6,,,"scalars"))</f>
        <v>#N/A</v>
      </c>
      <c r="N22" s="17" t="e">
        <f t="shared" ca="1" si="26"/>
        <v>#N/A</v>
      </c>
      <c r="O22" s="17" t="e">
        <f t="shared" ca="1" si="18"/>
        <v>#N/A</v>
      </c>
      <c r="P22" s="384" t="e">
        <f ca="1">N23-O22</f>
        <v>#N/A</v>
      </c>
      <c r="Q22" s="386" t="e">
        <f ca="1">LN(N23/O22)</f>
        <v>#N/A</v>
      </c>
      <c r="R22" s="295">
        <v>1E-3</v>
      </c>
      <c r="S22" s="262">
        <v>2.0000000000000001E-4</v>
      </c>
      <c r="T22" s="384" t="e">
        <f ca="1">N22-O23</f>
        <v>#N/A</v>
      </c>
      <c r="U22" s="386" t="e">
        <f ca="1">LN(N22/O23)</f>
        <v>#N/A</v>
      </c>
      <c r="V22" s="295">
        <v>1E-3</v>
      </c>
      <c r="W22" s="60">
        <v>2.0000000000000001E-4</v>
      </c>
      <c r="X22" s="27" t="e" cm="1">
        <f t="array" aca="1" ref="X22" ca="1">INDIRECT(ADDRESS($B22,9,,,"mkt data"))</f>
        <v>#N/A</v>
      </c>
      <c r="Y22" s="48" t="e">
        <f t="shared" ca="1" si="19"/>
        <v>#N/A</v>
      </c>
      <c r="Z22" s="27" t="e">
        <f t="shared" ca="1" si="20"/>
        <v>#N/A</v>
      </c>
      <c r="AA22" s="372" t="e">
        <f ca="1">SUM(Z22:Z23)</f>
        <v>#N/A</v>
      </c>
      <c r="AB22" s="199" t="str">
        <f t="shared" si="21"/>
        <v>BSMR</v>
      </c>
      <c r="AC22" s="33" t="e" cm="1">
        <f t="array" aca="1" ref="AC22" ca="1">INDIRECT(ADDRESS($B22,8,,,"mkt data"))</f>
        <v>#N/A</v>
      </c>
      <c r="AD22" s="191" t="e">
        <f t="shared" ca="1" si="22"/>
        <v>#N/A</v>
      </c>
      <c r="AE22" s="191" t="e">
        <f t="shared" ca="1" si="23"/>
        <v>#N/A</v>
      </c>
      <c r="AF22" s="202">
        <v>0</v>
      </c>
      <c r="AG22" s="191" t="e">
        <f t="shared" ca="1" si="24"/>
        <v>#N/A</v>
      </c>
      <c r="AH22" s="191" t="e">
        <f t="shared" ca="1" si="25"/>
        <v>#N/A</v>
      </c>
      <c r="AI22" s="375" t="e">
        <f ca="1">AH22+AH23</f>
        <v>#N/A</v>
      </c>
    </row>
    <row r="23" spans="1:35" ht="15.75" thickBot="1" x14ac:dyDescent="0.3">
      <c r="A23" s="82" t="e">
        <f>MATCH(G23,SCALARS!C:C,0)</f>
        <v>#N/A</v>
      </c>
      <c r="B23" s="83" t="e">
        <f>MATCH(G23,'MKT DATA'!B:B,0)</f>
        <v>#N/A</v>
      </c>
      <c r="C23" s="310" t="str">
        <f>C22</f>
        <v>2027 tgt</v>
      </c>
      <c r="D23" s="161" t="e" cm="1">
        <f t="array" aca="1" ref="D23" ca="1">INDIRECT(ADDRESS($A23,8,,,"SCALARS"))</f>
        <v>#N/A</v>
      </c>
      <c r="E23" s="146"/>
      <c r="F23" s="82" t="e" cm="1">
        <f t="array" aca="1" ref="F23" ca="1">INDIRECT(ADDRESS($A23,5,,,"scalars"))</f>
        <v>#N/A</v>
      </c>
      <c r="G23" s="221" t="s">
        <v>327</v>
      </c>
      <c r="H23" s="37" t="e" cm="1">
        <f t="array" aca="1" ref="H23" ca="1">INDIRECT(ADDRESS($B23,5,,,"mkt data"))</f>
        <v>#N/A</v>
      </c>
      <c r="I23" s="38" t="e" cm="1">
        <f t="array" aca="1" ref="I23" ca="1">INDIRECT(ADDRESS($B23,6,,,"mkt data"))</f>
        <v>#N/A</v>
      </c>
      <c r="J23" s="171" t="e" cm="1">
        <f t="array" aca="1" ref="J23" ca="1">INDIRECT(ADDRESS($A23,7,,,"SCALARS"))</f>
        <v>#N/A</v>
      </c>
      <c r="K23" s="22" t="e">
        <f t="shared" ca="1" si="16"/>
        <v>#N/A</v>
      </c>
      <c r="L23" s="22" t="e">
        <f t="shared" ca="1" si="17"/>
        <v>#N/A</v>
      </c>
      <c r="M23" s="45" t="e" cm="1">
        <f t="array" aca="1" ref="M23" ca="1">INDIRECT(ADDRESS($A23,6,,,"scalars"))</f>
        <v>#N/A</v>
      </c>
      <c r="N23" s="23" t="e">
        <f t="shared" ca="1" si="26"/>
        <v>#N/A</v>
      </c>
      <c r="O23" s="23" t="e">
        <f t="shared" ca="1" si="18"/>
        <v>#N/A</v>
      </c>
      <c r="P23" s="385"/>
      <c r="Q23" s="387"/>
      <c r="R23" s="296" t="e">
        <f ca="1">IF(Q22&gt;R22,TRUE,FALSE)</f>
        <v>#N/A</v>
      </c>
      <c r="S23" s="263" t="e">
        <f ca="1">AND(IF(U22&gt;-S22,TRUE,FALSE),IF(X22&gt;0,TRUE,FALSE))</f>
        <v>#N/A</v>
      </c>
      <c r="T23" s="385"/>
      <c r="U23" s="387"/>
      <c r="V23" s="296" t="e">
        <f ca="1">IF(U22&gt;V22,TRUE,FALSE)</f>
        <v>#N/A</v>
      </c>
      <c r="W23" s="61" t="e">
        <f ca="1">AND(IF(Q22&gt;-W22,TRUE,FALSE),IF(X22&lt;0,TRUE,FALSE))</f>
        <v>#N/A</v>
      </c>
      <c r="X23" s="29" t="e" cm="1">
        <f t="array" aca="1" ref="X23" ca="1">INDIRECT(ADDRESS($B23,9,,,"mkt data"))</f>
        <v>#N/A</v>
      </c>
      <c r="Y23" s="50" t="e">
        <f t="shared" ca="1" si="19"/>
        <v>#N/A</v>
      </c>
      <c r="Z23" s="29" t="e">
        <f t="shared" ca="1" si="20"/>
        <v>#N/A</v>
      </c>
      <c r="AA23" s="374"/>
      <c r="AB23" s="207" t="str">
        <f t="shared" si="21"/>
        <v>IBMP</v>
      </c>
      <c r="AC23" s="37" t="e" cm="1">
        <f t="array" aca="1" ref="AC23" ca="1">INDIRECT(ADDRESS($B23,8,,,"mkt data"))</f>
        <v>#N/A</v>
      </c>
      <c r="AD23" s="193" t="e">
        <f t="shared" ca="1" si="22"/>
        <v>#N/A</v>
      </c>
      <c r="AE23" s="193" t="e">
        <f t="shared" ca="1" si="23"/>
        <v>#N/A</v>
      </c>
      <c r="AF23" s="204">
        <v>0</v>
      </c>
      <c r="AG23" s="193" t="e">
        <f t="shared" ca="1" si="24"/>
        <v>#N/A</v>
      </c>
      <c r="AH23" s="193" t="e">
        <f t="shared" ca="1" si="25"/>
        <v>#N/A</v>
      </c>
      <c r="AI23" s="377"/>
    </row>
    <row r="24" spans="1:35" x14ac:dyDescent="0.25">
      <c r="A24" s="80" t="e">
        <f>MATCH(G24,SCALARS!C:C,0)</f>
        <v>#N/A</v>
      </c>
      <c r="B24" s="81" t="e">
        <f>MATCH(G24,'MKT DATA'!B:B,0)</f>
        <v>#N/A</v>
      </c>
      <c r="C24" s="309" t="s">
        <v>300</v>
      </c>
      <c r="D24" s="160" t="e" cm="1">
        <f t="array" aca="1" ref="D24" ca="1">INDIRECT(ADDRESS($A24,8,,,"SCALARS"))</f>
        <v>#N/A</v>
      </c>
      <c r="E24" s="145"/>
      <c r="F24" s="80" t="e" cm="1">
        <f t="array" aca="1" ref="F24" ca="1">INDIRECT(ADDRESS($A24,5,,,"scalars"))</f>
        <v>#N/A</v>
      </c>
      <c r="G24" s="220" t="s">
        <v>328</v>
      </c>
      <c r="H24" s="33" t="e" cm="1">
        <f t="array" aca="1" ref="H24" ca="1">INDIRECT(ADDRESS($B24,5,,,"mkt data"))</f>
        <v>#N/A</v>
      </c>
      <c r="I24" s="34" t="e" cm="1">
        <f t="array" aca="1" ref="I24" ca="1">INDIRECT(ADDRESS($B24,6,,,"mkt data"))</f>
        <v>#N/A</v>
      </c>
      <c r="J24" s="170" t="e" cm="1">
        <f t="array" aca="1" ref="J24" ca="1">INDIRECT(ADDRESS($A24,7,,,"SCALARS"))</f>
        <v>#N/A</v>
      </c>
      <c r="K24" s="16" t="e">
        <f t="shared" ca="1" si="16"/>
        <v>#N/A</v>
      </c>
      <c r="L24" s="16" t="e">
        <f t="shared" ca="1" si="17"/>
        <v>#N/A</v>
      </c>
      <c r="M24" s="44" t="e" cm="1">
        <f t="array" aca="1" ref="M24" ca="1">INDIRECT(ADDRESS($A24,6,,,"scalars"))</f>
        <v>#N/A</v>
      </c>
      <c r="N24" s="17" t="e">
        <f ca="1">K24*M24</f>
        <v>#N/A</v>
      </c>
      <c r="O24" s="17" t="e">
        <f t="shared" ca="1" si="18"/>
        <v>#N/A</v>
      </c>
      <c r="P24" s="384" t="e">
        <f ca="1">N25-O24</f>
        <v>#N/A</v>
      </c>
      <c r="Q24" s="386" t="e">
        <f ca="1">LN(N25/O24)</f>
        <v>#N/A</v>
      </c>
      <c r="R24" s="295">
        <v>1E-3</v>
      </c>
      <c r="S24" s="262">
        <v>2.0000000000000001E-4</v>
      </c>
      <c r="T24" s="384" t="e">
        <f ca="1">N24-O25</f>
        <v>#N/A</v>
      </c>
      <c r="U24" s="386" t="e">
        <f ca="1">LN(N24/O25)</f>
        <v>#N/A</v>
      </c>
      <c r="V24" s="295">
        <v>1E-3</v>
      </c>
      <c r="W24" s="60">
        <v>2.0000000000000001E-4</v>
      </c>
      <c r="X24" s="27" t="e" cm="1">
        <f t="array" aca="1" ref="X24" ca="1">INDIRECT(ADDRESS($B24,9,,,"mkt data"))</f>
        <v>#N/A</v>
      </c>
      <c r="Y24" s="48" t="e">
        <f t="shared" ca="1" si="19"/>
        <v>#N/A</v>
      </c>
      <c r="Z24" s="27" t="e">
        <f t="shared" ca="1" si="20"/>
        <v>#N/A</v>
      </c>
      <c r="AA24" s="372" t="e">
        <f ca="1">SUM(Z24:Z25)</f>
        <v>#N/A</v>
      </c>
      <c r="AB24" s="199" t="str">
        <f t="shared" si="21"/>
        <v>BSMS</v>
      </c>
      <c r="AC24" s="33" t="e" cm="1">
        <f t="array" aca="1" ref="AC24" ca="1">INDIRECT(ADDRESS($B24,8,,,"mkt data"))</f>
        <v>#N/A</v>
      </c>
      <c r="AD24" s="191" t="e">
        <f t="shared" ca="1" si="22"/>
        <v>#N/A</v>
      </c>
      <c r="AE24" s="191" t="e">
        <f t="shared" ca="1" si="23"/>
        <v>#N/A</v>
      </c>
      <c r="AF24" s="202">
        <v>0</v>
      </c>
      <c r="AG24" s="191" t="e">
        <f t="shared" ca="1" si="24"/>
        <v>#N/A</v>
      </c>
      <c r="AH24" s="191" t="e">
        <f t="shared" ca="1" si="25"/>
        <v>#N/A</v>
      </c>
      <c r="AI24" s="375" t="e">
        <f ca="1">AH24+AH25</f>
        <v>#N/A</v>
      </c>
    </row>
    <row r="25" spans="1:35" ht="15.75" thickBot="1" x14ac:dyDescent="0.3">
      <c r="A25" s="82" t="e">
        <f>MATCH(G25,SCALARS!C:C,0)</f>
        <v>#N/A</v>
      </c>
      <c r="B25" s="83" t="e">
        <f>MATCH(G25,'MKT DATA'!B:B,0)</f>
        <v>#N/A</v>
      </c>
      <c r="C25" s="310" t="str">
        <f>C24</f>
        <v>2028 tgt</v>
      </c>
      <c r="D25" s="161" t="e" cm="1">
        <f t="array" aca="1" ref="D25" ca="1">INDIRECT(ADDRESS($A25,8,,,"SCALARS"))</f>
        <v>#N/A</v>
      </c>
      <c r="E25" s="146"/>
      <c r="F25" s="82" t="e" cm="1">
        <f t="array" aca="1" ref="F25" ca="1">INDIRECT(ADDRESS($A25,5,,,"scalars"))</f>
        <v>#N/A</v>
      </c>
      <c r="G25" s="221" t="s">
        <v>329</v>
      </c>
      <c r="H25" s="37" t="e" cm="1">
        <f t="array" aca="1" ref="H25" ca="1">INDIRECT(ADDRESS($B25,5,,,"mkt data"))</f>
        <v>#N/A</v>
      </c>
      <c r="I25" s="38" t="e" cm="1">
        <f t="array" aca="1" ref="I25" ca="1">INDIRECT(ADDRESS($B25,6,,,"mkt data"))</f>
        <v>#N/A</v>
      </c>
      <c r="J25" s="171" t="e" cm="1">
        <f t="array" aca="1" ref="J25" ca="1">INDIRECT(ADDRESS($A25,7,,,"SCALARS"))</f>
        <v>#N/A</v>
      </c>
      <c r="K25" s="22" t="e">
        <f t="shared" ca="1" si="16"/>
        <v>#N/A</v>
      </c>
      <c r="L25" s="22" t="e">
        <f t="shared" ca="1" si="17"/>
        <v>#N/A</v>
      </c>
      <c r="M25" s="45" t="e" cm="1">
        <f t="array" aca="1" ref="M25" ca="1">INDIRECT(ADDRESS($A25,6,,,"scalars"))</f>
        <v>#N/A</v>
      </c>
      <c r="N25" s="23" t="e">
        <f t="shared" ref="N25:N26" ca="1" si="27">K25*M25</f>
        <v>#N/A</v>
      </c>
      <c r="O25" s="23" t="e">
        <f t="shared" ca="1" si="18"/>
        <v>#N/A</v>
      </c>
      <c r="P25" s="385"/>
      <c r="Q25" s="387"/>
      <c r="R25" s="296" t="e">
        <f ca="1">IF(Q24&gt;R24,TRUE,FALSE)</f>
        <v>#N/A</v>
      </c>
      <c r="S25" s="263" t="e">
        <f ca="1">AND(IF(U24&gt;-S24,TRUE,FALSE),IF(X24&gt;0,TRUE,FALSE))</f>
        <v>#N/A</v>
      </c>
      <c r="T25" s="385"/>
      <c r="U25" s="387"/>
      <c r="V25" s="296" t="e">
        <f ca="1">IF(U24&gt;V24,TRUE,FALSE)</f>
        <v>#N/A</v>
      </c>
      <c r="W25" s="61" t="e">
        <f ca="1">AND(IF(Q24&gt;-W24,TRUE,FALSE),IF(X24&lt;0,TRUE,FALSE))</f>
        <v>#N/A</v>
      </c>
      <c r="X25" s="29" t="e" cm="1">
        <f t="array" aca="1" ref="X25" ca="1">INDIRECT(ADDRESS($B25,9,,,"mkt data"))</f>
        <v>#N/A</v>
      </c>
      <c r="Y25" s="50" t="e">
        <f t="shared" ca="1" si="19"/>
        <v>#N/A</v>
      </c>
      <c r="Z25" s="29" t="e">
        <f t="shared" ca="1" si="20"/>
        <v>#N/A</v>
      </c>
      <c r="AA25" s="374"/>
      <c r="AB25" s="207" t="str">
        <f t="shared" si="21"/>
        <v>IBMQ</v>
      </c>
      <c r="AC25" s="37" t="e" cm="1">
        <f t="array" aca="1" ref="AC25" ca="1">INDIRECT(ADDRESS($B25,8,,,"mkt data"))</f>
        <v>#N/A</v>
      </c>
      <c r="AD25" s="193" t="e">
        <f t="shared" ca="1" si="22"/>
        <v>#N/A</v>
      </c>
      <c r="AE25" s="193" t="e">
        <f t="shared" ca="1" si="23"/>
        <v>#N/A</v>
      </c>
      <c r="AF25" s="204">
        <v>0</v>
      </c>
      <c r="AG25" s="193" t="e">
        <f t="shared" ca="1" si="24"/>
        <v>#N/A</v>
      </c>
      <c r="AH25" s="193" t="e">
        <f t="shared" ca="1" si="25"/>
        <v>#N/A</v>
      </c>
      <c r="AI25" s="377"/>
    </row>
    <row r="26" spans="1:35" x14ac:dyDescent="0.25">
      <c r="A26" s="80" t="e">
        <f>MATCH(G26,SCALARS!C:C,0)</f>
        <v>#N/A</v>
      </c>
      <c r="B26" s="81" t="e">
        <f>MATCH(G26,'MKT DATA'!B:B,0)</f>
        <v>#N/A</v>
      </c>
      <c r="C26" s="309" t="s">
        <v>301</v>
      </c>
      <c r="D26" s="160" t="e" cm="1">
        <f t="array" aca="1" ref="D26" ca="1">INDIRECT(ADDRESS($A26,8,,,"SCALARS"))</f>
        <v>#N/A</v>
      </c>
      <c r="E26" s="145"/>
      <c r="F26" s="80" t="e" cm="1">
        <f t="array" aca="1" ref="F26" ca="1">INDIRECT(ADDRESS($A26,5,,,"scalars"))</f>
        <v>#N/A</v>
      </c>
      <c r="G26" s="220" t="s">
        <v>330</v>
      </c>
      <c r="H26" s="33" t="e" cm="1">
        <f t="array" aca="1" ref="H26" ca="1">INDIRECT(ADDRESS($B26,5,,,"mkt data"))</f>
        <v>#N/A</v>
      </c>
      <c r="I26" s="34" t="e" cm="1">
        <f t="array" aca="1" ref="I26" ca="1">INDIRECT(ADDRESS($B26,6,,,"mkt data"))</f>
        <v>#N/A</v>
      </c>
      <c r="J26" s="170" t="e" cm="1">
        <f t="array" aca="1" ref="J26" ca="1">INDIRECT(ADDRESS($A26,7,,,"SCALARS"))</f>
        <v>#N/A</v>
      </c>
      <c r="K26" s="16" t="e">
        <f t="shared" ca="1" si="16"/>
        <v>#N/A</v>
      </c>
      <c r="L26" s="16" t="e">
        <f t="shared" ca="1" si="17"/>
        <v>#N/A</v>
      </c>
      <c r="M26" s="44" t="e" cm="1">
        <f t="array" aca="1" ref="M26" ca="1">INDIRECT(ADDRESS($A26,6,,,"scalars"))</f>
        <v>#N/A</v>
      </c>
      <c r="N26" s="17" t="e">
        <f t="shared" ca="1" si="27"/>
        <v>#N/A</v>
      </c>
      <c r="O26" s="17" t="e">
        <f t="shared" ca="1" si="18"/>
        <v>#N/A</v>
      </c>
      <c r="P26" s="384" t="e">
        <f ca="1">N27-O26</f>
        <v>#N/A</v>
      </c>
      <c r="Q26" s="386" t="e">
        <f ca="1">LN(N27/O26)</f>
        <v>#N/A</v>
      </c>
      <c r="R26" s="295">
        <v>1E-3</v>
      </c>
      <c r="S26" s="262">
        <v>2.0000000000000001E-4</v>
      </c>
      <c r="T26" s="384" t="e">
        <f ca="1">N26-O27</f>
        <v>#N/A</v>
      </c>
      <c r="U26" s="386" t="e">
        <f ca="1">LN(N26/O27)</f>
        <v>#N/A</v>
      </c>
      <c r="V26" s="295">
        <v>1E-3</v>
      </c>
      <c r="W26" s="60">
        <v>2.0000000000000001E-4</v>
      </c>
      <c r="X26" s="27" t="e" cm="1">
        <f t="array" aca="1" ref="X26" ca="1">INDIRECT(ADDRESS($B26,9,,,"mkt data"))</f>
        <v>#N/A</v>
      </c>
      <c r="Y26" s="48" t="e">
        <f t="shared" ca="1" si="19"/>
        <v>#N/A</v>
      </c>
      <c r="Z26" s="27" t="e">
        <f t="shared" ca="1" si="20"/>
        <v>#N/A</v>
      </c>
      <c r="AA26" s="339" t="e">
        <f ca="1">SUM(Z26:Z27)</f>
        <v>#N/A</v>
      </c>
      <c r="AB26" s="199" t="str">
        <f t="shared" si="21"/>
        <v>BSMT</v>
      </c>
      <c r="AC26" s="33" t="e" cm="1">
        <f t="array" aca="1" ref="AC26" ca="1">INDIRECT(ADDRESS($B26,8,,,"mkt data"))</f>
        <v>#N/A</v>
      </c>
      <c r="AD26" s="191" t="e">
        <f t="shared" ca="1" si="22"/>
        <v>#N/A</v>
      </c>
      <c r="AE26" s="191" t="e">
        <f t="shared" ca="1" si="23"/>
        <v>#N/A</v>
      </c>
      <c r="AF26" s="202">
        <v>0</v>
      </c>
      <c r="AG26" s="191" t="e">
        <f t="shared" ca="1" si="24"/>
        <v>#N/A</v>
      </c>
      <c r="AH26" s="191" t="e">
        <f t="shared" ca="1" si="25"/>
        <v>#N/A</v>
      </c>
      <c r="AI26" s="375" t="e">
        <f ca="1">AH26+AH27</f>
        <v>#N/A</v>
      </c>
    </row>
    <row r="27" spans="1:35" ht="15.75" thickBot="1" x14ac:dyDescent="0.3">
      <c r="A27" s="82" t="e">
        <f>MATCH(G27,SCALARS!C:C,0)</f>
        <v>#N/A</v>
      </c>
      <c r="B27" s="83" t="e">
        <f>MATCH(G27,'MKT DATA'!B:B,0)</f>
        <v>#N/A</v>
      </c>
      <c r="C27" s="310" t="str">
        <f>C26</f>
        <v>2029 tgt</v>
      </c>
      <c r="D27" s="161" t="e" cm="1">
        <f t="array" aca="1" ref="D27" ca="1">INDIRECT(ADDRESS($A27,8,,,"SCALARS"))</f>
        <v>#N/A</v>
      </c>
      <c r="E27" s="146"/>
      <c r="F27" s="82" t="e" cm="1">
        <f t="array" aca="1" ref="F27" ca="1">INDIRECT(ADDRESS($A27,5,,,"scalars"))</f>
        <v>#N/A</v>
      </c>
      <c r="G27" s="221" t="s">
        <v>331</v>
      </c>
      <c r="H27" s="37" t="e" cm="1">
        <f t="array" aca="1" ref="H27" ca="1">INDIRECT(ADDRESS($B27,5,,,"mkt data"))</f>
        <v>#N/A</v>
      </c>
      <c r="I27" s="38" t="e" cm="1">
        <f t="array" aca="1" ref="I27" ca="1">INDIRECT(ADDRESS($B27,6,,,"mkt data"))</f>
        <v>#N/A</v>
      </c>
      <c r="J27" s="171" t="e" cm="1">
        <f t="array" aca="1" ref="J27" ca="1">INDIRECT(ADDRESS($A27,7,,,"SCALARS"))</f>
        <v>#N/A</v>
      </c>
      <c r="K27" s="22" t="e">
        <f t="shared" ca="1" si="16"/>
        <v>#N/A</v>
      </c>
      <c r="L27" s="22" t="e">
        <f t="shared" ca="1" si="17"/>
        <v>#N/A</v>
      </c>
      <c r="M27" s="45" t="e" cm="1">
        <f t="array" aca="1" ref="M27" ca="1">INDIRECT(ADDRESS($A27,6,,,"scalars"))</f>
        <v>#N/A</v>
      </c>
      <c r="N27" s="23" t="e">
        <f ca="1">K27*M27</f>
        <v>#N/A</v>
      </c>
      <c r="O27" s="23" t="e">
        <f t="shared" ca="1" si="18"/>
        <v>#N/A</v>
      </c>
      <c r="P27" s="385"/>
      <c r="Q27" s="387"/>
      <c r="R27" s="296" t="e">
        <f ca="1">IF(Q26&gt;R26,TRUE,FALSE)</f>
        <v>#N/A</v>
      </c>
      <c r="S27" s="263" t="e">
        <f ca="1">AND(IF(U26&gt;-S26,TRUE,FALSE),IF(X26&gt;0,TRUE,FALSE))</f>
        <v>#N/A</v>
      </c>
      <c r="T27" s="385"/>
      <c r="U27" s="387"/>
      <c r="V27" s="296" t="e">
        <f ca="1">IF(U26&gt;V26,TRUE,FALSE)</f>
        <v>#N/A</v>
      </c>
      <c r="W27" s="61" t="e">
        <f ca="1">AND(IF(Q26&gt;-W26,TRUE,FALSE),IF(X26&lt;0,TRUE,FALSE))</f>
        <v>#N/A</v>
      </c>
      <c r="X27" s="29" t="e" cm="1">
        <f t="array" aca="1" ref="X27" ca="1">INDIRECT(ADDRESS($B27,9,,,"mkt data"))</f>
        <v>#N/A</v>
      </c>
      <c r="Y27" s="50" t="e">
        <f t="shared" ca="1" si="19"/>
        <v>#N/A</v>
      </c>
      <c r="Z27" s="29" t="e">
        <f t="shared" ca="1" si="20"/>
        <v>#N/A</v>
      </c>
      <c r="AA27" s="341"/>
      <c r="AB27" s="207" t="str">
        <f t="shared" si="21"/>
        <v>IBMR</v>
      </c>
      <c r="AC27" s="37" t="e" cm="1">
        <f t="array" aca="1" ref="AC27" ca="1">INDIRECT(ADDRESS($B27,8,,,"mkt data"))</f>
        <v>#N/A</v>
      </c>
      <c r="AD27" s="193" t="e">
        <f t="shared" ca="1" si="22"/>
        <v>#N/A</v>
      </c>
      <c r="AE27" s="193" t="e">
        <f t="shared" ca="1" si="23"/>
        <v>#N/A</v>
      </c>
      <c r="AF27" s="204">
        <v>0</v>
      </c>
      <c r="AG27" s="193" t="e">
        <f t="shared" ca="1" si="24"/>
        <v>#N/A</v>
      </c>
      <c r="AH27" s="193" t="e">
        <f t="shared" ca="1" si="25"/>
        <v>#N/A</v>
      </c>
      <c r="AI27" s="377"/>
    </row>
    <row r="28" spans="1:35" x14ac:dyDescent="0.25">
      <c r="A28" s="80" t="e">
        <f>MATCH(G28,SCALARS!C:C,0)</f>
        <v>#N/A</v>
      </c>
      <c r="B28" s="81" t="e">
        <f>MATCH(G28,'MKT DATA'!B:B,0)</f>
        <v>#N/A</v>
      </c>
      <c r="C28" s="309" t="s">
        <v>302</v>
      </c>
      <c r="D28" s="160" t="e" cm="1">
        <f t="array" aca="1" ref="D28" ca="1">INDIRECT(ADDRESS($A28,8,,,"SCALARS"))</f>
        <v>#N/A</v>
      </c>
      <c r="E28" s="145"/>
      <c r="F28" s="80" t="e" cm="1">
        <f t="array" aca="1" ref="F28" ca="1">INDIRECT(ADDRESS($A28,5,,,"scalars"))</f>
        <v>#N/A</v>
      </c>
      <c r="G28" s="220" t="s">
        <v>332</v>
      </c>
      <c r="H28" s="33" t="e" cm="1">
        <f t="array" aca="1" ref="H28" ca="1">INDIRECT(ADDRESS($B28,5,,,"mkt data"))</f>
        <v>#N/A</v>
      </c>
      <c r="I28" s="34" t="e" cm="1">
        <f t="array" aca="1" ref="I28" ca="1">INDIRECT(ADDRESS($B28,6,,,"mkt data"))</f>
        <v>#N/A</v>
      </c>
      <c r="J28" s="170" t="e" cm="1">
        <f t="array" aca="1" ref="J28" ca="1">INDIRECT(ADDRESS($A28,7,,,"SCALARS"))</f>
        <v>#N/A</v>
      </c>
      <c r="K28" s="16" t="e">
        <f t="shared" ca="1" si="16"/>
        <v>#N/A</v>
      </c>
      <c r="L28" s="16" t="e">
        <f t="shared" ca="1" si="17"/>
        <v>#N/A</v>
      </c>
      <c r="M28" s="44" t="e" cm="1">
        <f t="array" aca="1" ref="M28" ca="1">INDIRECT(ADDRESS($A28,6,,,"scalars"))</f>
        <v>#N/A</v>
      </c>
      <c r="N28" s="17" t="e">
        <f ca="1">K28*M28</f>
        <v>#N/A</v>
      </c>
      <c r="O28" s="17" t="e">
        <f t="shared" ca="1" si="18"/>
        <v>#N/A</v>
      </c>
      <c r="P28" s="384" t="e">
        <f ca="1">N29-O28</f>
        <v>#N/A</v>
      </c>
      <c r="Q28" s="386" t="e">
        <f t="shared" ref="Q28" ca="1" si="28">LN(N29/O28)</f>
        <v>#N/A</v>
      </c>
      <c r="R28" s="295">
        <v>1E-3</v>
      </c>
      <c r="S28" s="262">
        <v>2.0000000000000001E-4</v>
      </c>
      <c r="T28" s="384" t="e">
        <f ca="1">N28-O29</f>
        <v>#N/A</v>
      </c>
      <c r="U28" s="386" t="e">
        <f t="shared" ref="U28" ca="1" si="29">LN(N28/O29)</f>
        <v>#N/A</v>
      </c>
      <c r="V28" s="295">
        <v>1E-3</v>
      </c>
      <c r="W28" s="60">
        <v>2.0000000000000001E-4</v>
      </c>
      <c r="X28" s="27" t="e" cm="1">
        <f t="array" aca="1" ref="X28" ca="1">INDIRECT(ADDRESS($B28,9,,,"mkt data"))</f>
        <v>#N/A</v>
      </c>
      <c r="Y28" s="48" t="e">
        <f t="shared" ca="1" si="19"/>
        <v>#N/A</v>
      </c>
      <c r="Z28" s="27" t="e">
        <f t="shared" ca="1" si="20"/>
        <v>#N/A</v>
      </c>
      <c r="AA28" s="372" t="e">
        <f ca="1">SUM(Z28:Z29)</f>
        <v>#N/A</v>
      </c>
      <c r="AB28" s="199" t="str">
        <f t="shared" si="21"/>
        <v>BSMU</v>
      </c>
      <c r="AC28" s="33" t="e" cm="1">
        <f t="array" aca="1" ref="AC28" ca="1">INDIRECT(ADDRESS($B28,8,,,"mkt data"))</f>
        <v>#N/A</v>
      </c>
      <c r="AD28" s="191" t="e">
        <f t="shared" ca="1" si="22"/>
        <v>#N/A</v>
      </c>
      <c r="AE28" s="191" t="e">
        <f t="shared" ca="1" si="23"/>
        <v>#N/A</v>
      </c>
      <c r="AF28" s="202">
        <v>0</v>
      </c>
      <c r="AG28" s="191" t="e">
        <f t="shared" ca="1" si="24"/>
        <v>#N/A</v>
      </c>
      <c r="AH28" s="191" t="e">
        <f t="shared" ca="1" si="25"/>
        <v>#N/A</v>
      </c>
      <c r="AI28" s="375" t="e">
        <f ca="1">AH28+AH29</f>
        <v>#N/A</v>
      </c>
    </row>
    <row r="29" spans="1:35" ht="15.75" thickBot="1" x14ac:dyDescent="0.3">
      <c r="A29" s="82" t="e">
        <f>MATCH(G29,SCALARS!C:C,0)</f>
        <v>#N/A</v>
      </c>
      <c r="B29" s="83" t="e">
        <f>MATCH(G29,'MKT DATA'!B:B,0)</f>
        <v>#N/A</v>
      </c>
      <c r="C29" s="310" t="str">
        <f>C28</f>
        <v>2030 tgt</v>
      </c>
      <c r="D29" s="161" t="e" cm="1">
        <f t="array" aca="1" ref="D29" ca="1">INDIRECT(ADDRESS($A29,8,,,"SCALARS"))</f>
        <v>#N/A</v>
      </c>
      <c r="E29" s="146"/>
      <c r="F29" s="82" t="e" cm="1">
        <f t="array" aca="1" ref="F29" ca="1">INDIRECT(ADDRESS($A29,5,,,"scalars"))</f>
        <v>#N/A</v>
      </c>
      <c r="G29" s="221" t="s">
        <v>333</v>
      </c>
      <c r="H29" s="37" t="e" cm="1">
        <f t="array" aca="1" ref="H29" ca="1">INDIRECT(ADDRESS($B29,5,,,"mkt data"))</f>
        <v>#N/A</v>
      </c>
      <c r="I29" s="38" t="e" cm="1">
        <f t="array" aca="1" ref="I29" ca="1">INDIRECT(ADDRESS($B29,6,,,"mkt data"))</f>
        <v>#N/A</v>
      </c>
      <c r="J29" s="171" t="e" cm="1">
        <f t="array" aca="1" ref="J29" ca="1">INDIRECT(ADDRESS($A29,7,,,"SCALARS"))</f>
        <v>#N/A</v>
      </c>
      <c r="K29" s="22" t="e">
        <f t="shared" ca="1" si="16"/>
        <v>#N/A</v>
      </c>
      <c r="L29" s="22" t="e">
        <f t="shared" ca="1" si="17"/>
        <v>#N/A</v>
      </c>
      <c r="M29" s="45" t="e" cm="1">
        <f t="array" aca="1" ref="M29" ca="1">INDIRECT(ADDRESS($A29,6,,,"scalars"))</f>
        <v>#N/A</v>
      </c>
      <c r="N29" s="23" t="e">
        <f ca="1">K29*M29</f>
        <v>#N/A</v>
      </c>
      <c r="O29" s="23" t="e">
        <f t="shared" ca="1" si="18"/>
        <v>#N/A</v>
      </c>
      <c r="P29" s="385"/>
      <c r="Q29" s="387"/>
      <c r="R29" s="296" t="e">
        <f ca="1">IF(Q28&gt;R28,TRUE,FALSE)</f>
        <v>#N/A</v>
      </c>
      <c r="S29" s="263" t="e">
        <f ca="1">AND(IF(U28&gt;-S28,TRUE,FALSE),IF(X28&gt;0,TRUE,FALSE))</f>
        <v>#N/A</v>
      </c>
      <c r="T29" s="385"/>
      <c r="U29" s="387"/>
      <c r="V29" s="296" t="e">
        <f ca="1">IF(U28&gt;V28,TRUE,FALSE)</f>
        <v>#N/A</v>
      </c>
      <c r="W29" s="61" t="e">
        <f ca="1">AND(IF(Q28&gt;-W28,TRUE,FALSE),IF(X28&lt;0,TRUE,FALSE))</f>
        <v>#N/A</v>
      </c>
      <c r="X29" s="29" t="e" cm="1">
        <f t="array" aca="1" ref="X29" ca="1">INDIRECT(ADDRESS($B29,9,,,"mkt data"))</f>
        <v>#N/A</v>
      </c>
      <c r="Y29" s="50" t="e">
        <f t="shared" ca="1" si="19"/>
        <v>#N/A</v>
      </c>
      <c r="Z29" s="29" t="e">
        <f t="shared" ca="1" si="20"/>
        <v>#N/A</v>
      </c>
      <c r="AA29" s="374"/>
      <c r="AB29" s="207" t="str">
        <f t="shared" si="21"/>
        <v>IBMS</v>
      </c>
      <c r="AC29" s="37" t="e" cm="1">
        <f t="array" aca="1" ref="AC29" ca="1">INDIRECT(ADDRESS($B29,8,,,"mkt data"))</f>
        <v>#N/A</v>
      </c>
      <c r="AD29" s="193" t="e">
        <f t="shared" ca="1" si="22"/>
        <v>#N/A</v>
      </c>
      <c r="AE29" s="193" t="e">
        <f t="shared" ca="1" si="23"/>
        <v>#N/A</v>
      </c>
      <c r="AF29" s="204">
        <v>0</v>
      </c>
      <c r="AG29" s="193" t="e">
        <f t="shared" ca="1" si="24"/>
        <v>#N/A</v>
      </c>
      <c r="AH29" s="193" t="e">
        <f t="shared" ca="1" si="25"/>
        <v>#N/A</v>
      </c>
      <c r="AI29" s="377"/>
    </row>
    <row r="30" spans="1:35" x14ac:dyDescent="0.25">
      <c r="A30" s="80" t="e">
        <f>MATCH(G30,SCALARS!C:C,0)</f>
        <v>#N/A</v>
      </c>
      <c r="B30" s="81" t="e">
        <f>MATCH(G30,'MKT DATA'!B:B,0)</f>
        <v>#N/A</v>
      </c>
      <c r="C30" s="309" t="s">
        <v>303</v>
      </c>
      <c r="D30" s="160" t="e" cm="1">
        <f t="array" aca="1" ref="D30" ca="1">INDIRECT(ADDRESS($A30,8,,,"SCALARS"))</f>
        <v>#N/A</v>
      </c>
      <c r="E30" s="145"/>
      <c r="F30" s="80" t="e" cm="1">
        <f t="array" aca="1" ref="F30" ca="1">INDIRECT(ADDRESS($A30,5,,,"scalars"))</f>
        <v>#N/A</v>
      </c>
      <c r="G30" s="220" t="s">
        <v>334</v>
      </c>
      <c r="H30" s="33" t="e" cm="1">
        <f t="array" aca="1" ref="H30" ca="1">INDIRECT(ADDRESS($B30,5,,,"mkt data"))</f>
        <v>#N/A</v>
      </c>
      <c r="I30" s="34" t="e" cm="1">
        <f t="array" aca="1" ref="I30" ca="1">INDIRECT(ADDRESS($B30,6,,,"mkt data"))</f>
        <v>#N/A</v>
      </c>
      <c r="J30" s="170" t="e" cm="1">
        <f t="array" aca="1" ref="J30" ca="1">INDIRECT(ADDRESS($A30,7,,,"SCALARS"))</f>
        <v>#N/A</v>
      </c>
      <c r="K30" s="16" t="e">
        <f t="shared" ca="1" si="16"/>
        <v>#N/A</v>
      </c>
      <c r="L30" s="16" t="e">
        <f t="shared" ca="1" si="17"/>
        <v>#N/A</v>
      </c>
      <c r="M30" s="44" t="e" cm="1">
        <f t="array" aca="1" ref="M30" ca="1">INDIRECT(ADDRESS($A30,6,,,"scalars"))</f>
        <v>#N/A</v>
      </c>
      <c r="N30" s="17" t="e">
        <f ca="1">K30*M30</f>
        <v>#N/A</v>
      </c>
      <c r="O30" s="17" t="e">
        <f t="shared" ca="1" si="18"/>
        <v>#N/A</v>
      </c>
      <c r="P30" s="384" t="e">
        <f ca="1">N31-O30</f>
        <v>#N/A</v>
      </c>
      <c r="Q30" s="386" t="e">
        <f ca="1">LN(N31/O30)</f>
        <v>#N/A</v>
      </c>
      <c r="R30" s="295">
        <v>1E-3</v>
      </c>
      <c r="S30" s="262">
        <v>2.0000000000000001E-4</v>
      </c>
      <c r="T30" s="384" t="e">
        <f ca="1">N30-O31</f>
        <v>#N/A</v>
      </c>
      <c r="U30" s="386" t="e">
        <f ca="1">LN(N30/O31)</f>
        <v>#N/A</v>
      </c>
      <c r="V30" s="295">
        <v>1E-3</v>
      </c>
      <c r="W30" s="60">
        <v>2.0000000000000001E-4</v>
      </c>
      <c r="X30" s="27" t="e" cm="1">
        <f t="array" aca="1" ref="X30" ca="1">INDIRECT(ADDRESS($B30,9,,,"mkt data"))</f>
        <v>#N/A</v>
      </c>
      <c r="Y30" s="48" t="e">
        <f t="shared" ca="1" si="19"/>
        <v>#N/A</v>
      </c>
      <c r="Z30" s="27" t="e">
        <f t="shared" ca="1" si="20"/>
        <v>#N/A</v>
      </c>
      <c r="AA30" s="369" t="e">
        <f ca="1">SUM(Z30:Z31)</f>
        <v>#N/A</v>
      </c>
      <c r="AB30" s="199" t="str">
        <f t="shared" si="21"/>
        <v>BSMV</v>
      </c>
      <c r="AC30" s="33" t="e" cm="1">
        <f t="array" aca="1" ref="AC30" ca="1">INDIRECT(ADDRESS($B30,8,,,"mkt data"))</f>
        <v>#N/A</v>
      </c>
      <c r="AD30" s="191" t="e">
        <f t="shared" ca="1" si="22"/>
        <v>#N/A</v>
      </c>
      <c r="AE30" s="191" t="e">
        <f t="shared" ca="1" si="23"/>
        <v>#N/A</v>
      </c>
      <c r="AF30" s="202">
        <v>0</v>
      </c>
      <c r="AG30" s="191" t="e">
        <f t="shared" ca="1" si="24"/>
        <v>#N/A</v>
      </c>
      <c r="AH30" s="191" t="e">
        <f t="shared" ca="1" si="25"/>
        <v>#N/A</v>
      </c>
      <c r="AI30" s="375" t="e">
        <f ca="1">AH30+AH31</f>
        <v>#N/A</v>
      </c>
    </row>
    <row r="31" spans="1:35" ht="15.75" thickBot="1" x14ac:dyDescent="0.3">
      <c r="A31" s="82" t="e">
        <f>MATCH(G31,SCALARS!C:C,0)</f>
        <v>#N/A</v>
      </c>
      <c r="B31" s="83" t="e">
        <f>MATCH(G31,'MKT DATA'!B:B,0)</f>
        <v>#N/A</v>
      </c>
      <c r="C31" s="310" t="str">
        <f>C30</f>
        <v>2031 tgt</v>
      </c>
      <c r="D31" s="161" t="e" cm="1">
        <f t="array" aca="1" ref="D31" ca="1">INDIRECT(ADDRESS($A31,8,,,"SCALARS"))</f>
        <v>#N/A</v>
      </c>
      <c r="E31" s="146"/>
      <c r="F31" s="82" t="e" cm="1">
        <f t="array" aca="1" ref="F31" ca="1">INDIRECT(ADDRESS($A31,5,,,"scalars"))</f>
        <v>#N/A</v>
      </c>
      <c r="G31" s="221" t="s">
        <v>335</v>
      </c>
      <c r="H31" s="37" t="e" cm="1">
        <f t="array" aca="1" ref="H31" ca="1">INDIRECT(ADDRESS($B31,5,,,"mkt data"))</f>
        <v>#N/A</v>
      </c>
      <c r="I31" s="38" t="e" cm="1">
        <f t="array" aca="1" ref="I31" ca="1">INDIRECT(ADDRESS($B31,6,,,"mkt data"))</f>
        <v>#N/A</v>
      </c>
      <c r="J31" s="171" t="e" cm="1">
        <f t="array" aca="1" ref="J31" ca="1">INDIRECT(ADDRESS($A31,7,,,"SCALARS"))</f>
        <v>#N/A</v>
      </c>
      <c r="K31" s="22" t="e">
        <f t="shared" ca="1" si="16"/>
        <v>#N/A</v>
      </c>
      <c r="L31" s="22" t="e">
        <f t="shared" ca="1" si="17"/>
        <v>#N/A</v>
      </c>
      <c r="M31" s="45" t="e" cm="1">
        <f t="array" aca="1" ref="M31" ca="1">INDIRECT(ADDRESS($A31,6,,,"scalars"))</f>
        <v>#N/A</v>
      </c>
      <c r="N31" s="23" t="e">
        <f t="shared" ref="N31" ca="1" si="30">K31*M31</f>
        <v>#N/A</v>
      </c>
      <c r="O31" s="23" t="e">
        <f t="shared" ca="1" si="18"/>
        <v>#N/A</v>
      </c>
      <c r="P31" s="385"/>
      <c r="Q31" s="387"/>
      <c r="R31" s="296" t="e">
        <f ca="1">IF(Q30&gt;R30,TRUE,FALSE)</f>
        <v>#N/A</v>
      </c>
      <c r="S31" s="263" t="e">
        <f ca="1">AND(IF(U30&gt;-S30,TRUE,FALSE),IF(X30&gt;0,TRUE,FALSE))</f>
        <v>#N/A</v>
      </c>
      <c r="T31" s="385"/>
      <c r="U31" s="387"/>
      <c r="V31" s="296" t="e">
        <f ca="1">IF(U30&gt;V30,TRUE,FALSE)</f>
        <v>#N/A</v>
      </c>
      <c r="W31" s="61" t="e">
        <f ca="1">AND(IF(Q30&gt;-W30,TRUE,FALSE),IF(X30&lt;0,TRUE,FALSE))</f>
        <v>#N/A</v>
      </c>
      <c r="X31" s="29" t="e" cm="1">
        <f t="array" aca="1" ref="X31" ca="1">INDIRECT(ADDRESS($B31,9,,,"mkt data"))</f>
        <v>#N/A</v>
      </c>
      <c r="Y31" s="50" t="e">
        <f t="shared" ca="1" si="19"/>
        <v>#N/A</v>
      </c>
      <c r="Z31" s="29" t="e">
        <f t="shared" ca="1" si="20"/>
        <v>#N/A</v>
      </c>
      <c r="AA31" s="371"/>
      <c r="AB31" s="207" t="str">
        <f t="shared" si="21"/>
        <v>IBMT</v>
      </c>
      <c r="AC31" s="37" t="e" cm="1">
        <f t="array" aca="1" ref="AC31" ca="1">INDIRECT(ADDRESS($B31,8,,,"mkt data"))</f>
        <v>#N/A</v>
      </c>
      <c r="AD31" s="193" t="e">
        <f t="shared" ca="1" si="22"/>
        <v>#N/A</v>
      </c>
      <c r="AE31" s="193" t="e">
        <f t="shared" ca="1" si="23"/>
        <v>#N/A</v>
      </c>
      <c r="AF31" s="204">
        <v>0</v>
      </c>
      <c r="AG31" s="193" t="e">
        <f t="shared" ca="1" si="24"/>
        <v>#N/A</v>
      </c>
      <c r="AH31" s="193" t="e">
        <f t="shared" ca="1" si="25"/>
        <v>#N/A</v>
      </c>
      <c r="AI31" s="377"/>
    </row>
    <row r="32" spans="1:35" ht="9.9499999999999993" customHeight="1" thickBot="1" x14ac:dyDescent="0.3">
      <c r="A32" s="234"/>
      <c r="B32" s="234"/>
      <c r="C32" s="234"/>
      <c r="D32" s="235"/>
      <c r="E32" s="236"/>
      <c r="F32" s="237"/>
      <c r="G32" s="238"/>
      <c r="H32" s="239"/>
      <c r="I32" s="239"/>
      <c r="J32" s="240"/>
      <c r="K32" s="241"/>
      <c r="L32" s="241"/>
      <c r="M32" s="242"/>
      <c r="N32" s="243"/>
      <c r="O32" s="243"/>
      <c r="P32" s="244"/>
      <c r="Q32" s="245"/>
      <c r="R32" s="247"/>
      <c r="S32" s="264"/>
      <c r="T32" s="246"/>
      <c r="U32" s="245"/>
      <c r="V32" s="247"/>
      <c r="W32" s="265"/>
      <c r="X32" s="248"/>
      <c r="Y32" s="249"/>
      <c r="Z32" s="248"/>
      <c r="AA32" s="250"/>
      <c r="AB32" s="251"/>
      <c r="AC32" s="239"/>
      <c r="AD32" s="239"/>
      <c r="AE32" s="239"/>
      <c r="AF32" s="239"/>
      <c r="AG32" s="252"/>
      <c r="AH32" s="252"/>
      <c r="AI32" s="253"/>
    </row>
    <row r="33" spans="1:35" x14ac:dyDescent="0.25">
      <c r="A33" s="80" t="e">
        <f>MATCH(G33,SCALARS!C:C,0)</f>
        <v>#N/A</v>
      </c>
      <c r="B33" s="81" t="e">
        <f>MATCH(G33,'MKT DATA'!B:B,0)</f>
        <v>#N/A</v>
      </c>
      <c r="C33" s="309" t="s">
        <v>298</v>
      </c>
      <c r="D33" s="160" t="e" cm="1">
        <f t="array" aca="1" ref="D33" ca="1">INDIRECT(ADDRESS($A33,8,,,"SCALARS"))</f>
        <v>#N/A</v>
      </c>
      <c r="E33" s="145"/>
      <c r="F33" s="80" t="e" cm="1">
        <f t="array" aca="1" ref="F33" ca="1">INDIRECT(ADDRESS($A33,5,,,"scalars"))</f>
        <v>#N/A</v>
      </c>
      <c r="G33" s="220" t="s">
        <v>225</v>
      </c>
      <c r="H33" s="33" t="e" cm="1">
        <f t="array" aca="1" ref="H33" ca="1">INDIRECT(ADDRESS($B33,5,,,"mkt data"))</f>
        <v>#N/A</v>
      </c>
      <c r="I33" s="34" t="e" cm="1">
        <f t="array" aca="1" ref="I33" ca="1">INDIRECT(ADDRESS($B33,6,,,"mkt data"))</f>
        <v>#N/A</v>
      </c>
      <c r="J33" s="170" t="e" cm="1">
        <f t="array" aca="1" ref="J33" ca="1">INDIRECT(ADDRESS($A33,7,,,"SCALARS"))</f>
        <v>#N/A</v>
      </c>
      <c r="K33" s="16" t="e">
        <f t="shared" ref="K33:K52" ca="1" si="31">H33+J33-K$1</f>
        <v>#N/A</v>
      </c>
      <c r="L33" s="16" t="e">
        <f t="shared" ref="L33:L52" ca="1" si="32">I33+J33+K$1</f>
        <v>#N/A</v>
      </c>
      <c r="M33" s="44" t="e" cm="1">
        <f t="array" aca="1" ref="M33" ca="1">INDIRECT(ADDRESS($A33,6,,,"scalars"))</f>
        <v>#N/A</v>
      </c>
      <c r="N33" s="17" t="e">
        <f ca="1">K33*M33</f>
        <v>#N/A</v>
      </c>
      <c r="O33" s="17" t="e">
        <f t="shared" ref="O33:O52" ca="1" si="33">M33*L33</f>
        <v>#N/A</v>
      </c>
      <c r="P33" s="384" t="e">
        <f ca="1">N34-O33</f>
        <v>#N/A</v>
      </c>
      <c r="Q33" s="386" t="e">
        <f ca="1">LN(N34/O33)</f>
        <v>#N/A</v>
      </c>
      <c r="R33" s="295">
        <v>1E-3</v>
      </c>
      <c r="S33" s="262">
        <v>2.0000000000000001E-4</v>
      </c>
      <c r="T33" s="384" t="e">
        <f ca="1">N33-O34</f>
        <v>#N/A</v>
      </c>
      <c r="U33" s="386" t="e">
        <f ca="1">LN(N33/O34)</f>
        <v>#N/A</v>
      </c>
      <c r="V33" s="295">
        <v>1E-3</v>
      </c>
      <c r="W33" s="60">
        <v>2.0000000000000001E-4</v>
      </c>
      <c r="X33" s="27" t="e" cm="1">
        <f t="array" aca="1" ref="X33" ca="1">INDIRECT(ADDRESS($B33,9,,,"mkt data"))</f>
        <v>#N/A</v>
      </c>
      <c r="Y33" s="48" t="e">
        <f t="shared" ref="Y33:Y52" ca="1" si="34">X33*AVERAGE(H33:I33)</f>
        <v>#N/A</v>
      </c>
      <c r="Z33" s="27" t="e">
        <f t="shared" ref="Z33:Z52" ca="1" si="35">X33/M33</f>
        <v>#N/A</v>
      </c>
      <c r="AA33" s="369" t="e">
        <f ca="1">SUM(Z33:Z34)</f>
        <v>#N/A</v>
      </c>
      <c r="AB33" s="199" t="str">
        <f t="shared" ref="AB33:AB52" si="36">G33</f>
        <v>BSCQ</v>
      </c>
      <c r="AC33" s="33" t="e" cm="1">
        <f t="array" aca="1" ref="AC33" ca="1">INDIRECT(ADDRESS($B33,8,,,"mkt data"))</f>
        <v>#N/A</v>
      </c>
      <c r="AD33" s="191" t="e">
        <f t="shared" ref="AD33:AD52" ca="1" si="37">AVERAGE(H33,I33)</f>
        <v>#N/A</v>
      </c>
      <c r="AE33" s="191" t="e">
        <f t="shared" ref="AE33:AE52" ca="1" si="38">AD33-AC33</f>
        <v>#N/A</v>
      </c>
      <c r="AF33" s="202">
        <v>0</v>
      </c>
      <c r="AG33" s="191" t="e">
        <f t="shared" ref="AG33:AG52" ca="1" si="39">AE33+AF33</f>
        <v>#N/A</v>
      </c>
      <c r="AH33" s="191" t="e">
        <f t="shared" ref="AH33:AH52" ca="1" si="40">AG33*X33</f>
        <v>#N/A</v>
      </c>
      <c r="AI33" s="375" t="e">
        <f ca="1">AH33+AH34</f>
        <v>#N/A</v>
      </c>
    </row>
    <row r="34" spans="1:35" ht="15.75" thickBot="1" x14ac:dyDescent="0.3">
      <c r="A34" s="82" t="e">
        <f>MATCH(G34,SCALARS!C:C,0)</f>
        <v>#N/A</v>
      </c>
      <c r="B34" s="83" t="e">
        <f>MATCH(G34,'MKT DATA'!B:B,0)</f>
        <v>#N/A</v>
      </c>
      <c r="C34" s="310" t="str">
        <f>C33</f>
        <v>2026 tgt</v>
      </c>
      <c r="D34" s="161" t="e" cm="1">
        <f t="array" aca="1" ref="D34" ca="1">INDIRECT(ADDRESS($A34,8,,,"SCALARS"))</f>
        <v>#N/A</v>
      </c>
      <c r="E34" s="146"/>
      <c r="F34" s="82" t="e" cm="1">
        <f t="array" aca="1" ref="F34" ca="1">INDIRECT(ADDRESS($A34,5,,,"scalars"))</f>
        <v>#N/A</v>
      </c>
      <c r="G34" s="221" t="s">
        <v>224</v>
      </c>
      <c r="H34" s="37" t="e" cm="1">
        <f t="array" aca="1" ref="H34" ca="1">INDIRECT(ADDRESS($B34,5,,,"mkt data"))</f>
        <v>#N/A</v>
      </c>
      <c r="I34" s="38" t="e" cm="1">
        <f t="array" aca="1" ref="I34" ca="1">INDIRECT(ADDRESS($B34,6,,,"mkt data"))</f>
        <v>#N/A</v>
      </c>
      <c r="J34" s="171" t="e" cm="1">
        <f t="array" aca="1" ref="J34" ca="1">INDIRECT(ADDRESS($A34,7,,,"SCALARS"))</f>
        <v>#N/A</v>
      </c>
      <c r="K34" s="22" t="e">
        <f t="shared" ca="1" si="31"/>
        <v>#N/A</v>
      </c>
      <c r="L34" s="22" t="e">
        <f t="shared" ca="1" si="32"/>
        <v>#N/A</v>
      </c>
      <c r="M34" s="45" t="e" cm="1">
        <f t="array" aca="1" ref="M34" ca="1">INDIRECT(ADDRESS($A34,6,,,"scalars"))</f>
        <v>#N/A</v>
      </c>
      <c r="N34" s="23" t="e">
        <f t="shared" ref="N34:N36" ca="1" si="41">K34*M34</f>
        <v>#N/A</v>
      </c>
      <c r="O34" s="23" t="e">
        <f t="shared" ca="1" si="33"/>
        <v>#N/A</v>
      </c>
      <c r="P34" s="385"/>
      <c r="Q34" s="387"/>
      <c r="R34" s="296" t="e">
        <f ca="1">IF(Q33&gt;R33,TRUE,FALSE)</f>
        <v>#N/A</v>
      </c>
      <c r="S34" s="263" t="e">
        <f ca="1">AND(IF(U33&gt;-S33,TRUE,FALSE),IF(X33&gt;0,TRUE,FALSE))</f>
        <v>#N/A</v>
      </c>
      <c r="T34" s="385"/>
      <c r="U34" s="387"/>
      <c r="V34" s="296" t="e">
        <f ca="1">IF(U33&gt;V33,TRUE,FALSE)</f>
        <v>#N/A</v>
      </c>
      <c r="W34" s="61" t="e">
        <f ca="1">AND(IF(Q33&gt;-W33,TRUE,FALSE),IF(X33&lt;0,TRUE,FALSE))</f>
        <v>#N/A</v>
      </c>
      <c r="X34" s="29" t="e" cm="1">
        <f t="array" aca="1" ref="X34" ca="1">INDIRECT(ADDRESS($B34,9,,,"mkt data"))</f>
        <v>#N/A</v>
      </c>
      <c r="Y34" s="50" t="e">
        <f t="shared" ca="1" si="34"/>
        <v>#N/A</v>
      </c>
      <c r="Z34" s="29" t="e">
        <f t="shared" ca="1" si="35"/>
        <v>#N/A</v>
      </c>
      <c r="AA34" s="371"/>
      <c r="AB34" s="207" t="str">
        <f t="shared" si="36"/>
        <v>IBDR</v>
      </c>
      <c r="AC34" s="37" t="e" cm="1">
        <f t="array" aca="1" ref="AC34" ca="1">INDIRECT(ADDRESS($B34,8,,,"mkt data"))</f>
        <v>#N/A</v>
      </c>
      <c r="AD34" s="193" t="e">
        <f t="shared" ca="1" si="37"/>
        <v>#N/A</v>
      </c>
      <c r="AE34" s="193" t="e">
        <f t="shared" ca="1" si="38"/>
        <v>#N/A</v>
      </c>
      <c r="AF34" s="204">
        <v>0</v>
      </c>
      <c r="AG34" s="193" t="e">
        <f t="shared" ca="1" si="39"/>
        <v>#N/A</v>
      </c>
      <c r="AH34" s="193" t="e">
        <f t="shared" ca="1" si="40"/>
        <v>#N/A</v>
      </c>
      <c r="AI34" s="377"/>
    </row>
    <row r="35" spans="1:35" x14ac:dyDescent="0.25">
      <c r="A35" s="80" t="e">
        <f>MATCH(G35,SCALARS!C:C,0)</f>
        <v>#N/A</v>
      </c>
      <c r="B35" s="81" t="e">
        <f>MATCH(G35,'MKT DATA'!B:B,0)</f>
        <v>#N/A</v>
      </c>
      <c r="C35" s="309" t="s">
        <v>299</v>
      </c>
      <c r="D35" s="160" t="e" cm="1">
        <f t="array" aca="1" ref="D35" ca="1">INDIRECT(ADDRESS($A35,8,,,"SCALARS"))</f>
        <v>#N/A</v>
      </c>
      <c r="E35" s="145"/>
      <c r="F35" s="80" t="e" cm="1">
        <f t="array" aca="1" ref="F35" ca="1">INDIRECT(ADDRESS($A35,5,,,"scalars"))</f>
        <v>#N/A</v>
      </c>
      <c r="G35" s="220" t="s">
        <v>227</v>
      </c>
      <c r="H35" s="33" t="e" cm="1">
        <f t="array" aca="1" ref="H35" ca="1">INDIRECT(ADDRESS($B35,5,,,"mkt data"))</f>
        <v>#N/A</v>
      </c>
      <c r="I35" s="34" t="e" cm="1">
        <f t="array" aca="1" ref="I35" ca="1">INDIRECT(ADDRESS($B35,6,,,"mkt data"))</f>
        <v>#N/A</v>
      </c>
      <c r="J35" s="170" t="e" cm="1">
        <f t="array" aca="1" ref="J35" ca="1">INDIRECT(ADDRESS($A35,7,,,"SCALARS"))</f>
        <v>#N/A</v>
      </c>
      <c r="K35" s="16" t="e">
        <f t="shared" ca="1" si="31"/>
        <v>#N/A</v>
      </c>
      <c r="L35" s="16" t="e">
        <f t="shared" ca="1" si="32"/>
        <v>#N/A</v>
      </c>
      <c r="M35" s="44" t="e" cm="1">
        <f t="array" aca="1" ref="M35" ca="1">INDIRECT(ADDRESS($A35,6,,,"scalars"))</f>
        <v>#N/A</v>
      </c>
      <c r="N35" s="17" t="e">
        <f t="shared" ca="1" si="41"/>
        <v>#N/A</v>
      </c>
      <c r="O35" s="17" t="e">
        <f t="shared" ca="1" si="33"/>
        <v>#N/A</v>
      </c>
      <c r="P35" s="384" t="e">
        <f ca="1">N36-O35</f>
        <v>#N/A</v>
      </c>
      <c r="Q35" s="386" t="e">
        <f ca="1">LN(N36/O35)</f>
        <v>#N/A</v>
      </c>
      <c r="R35" s="295">
        <v>1E-3</v>
      </c>
      <c r="S35" s="262">
        <v>2.0000000000000001E-4</v>
      </c>
      <c r="T35" s="384" t="e">
        <f ca="1">N35-O36</f>
        <v>#N/A</v>
      </c>
      <c r="U35" s="386" t="e">
        <f ca="1">LN(N35/O36)</f>
        <v>#N/A</v>
      </c>
      <c r="V35" s="295">
        <v>1E-3</v>
      </c>
      <c r="W35" s="60">
        <v>2.0000000000000001E-4</v>
      </c>
      <c r="X35" s="27" t="e" cm="1">
        <f t="array" aca="1" ref="X35" ca="1">INDIRECT(ADDRESS($B35,9,,,"mkt data"))</f>
        <v>#N/A</v>
      </c>
      <c r="Y35" s="48" t="e">
        <f t="shared" ca="1" si="34"/>
        <v>#N/A</v>
      </c>
      <c r="Z35" s="27" t="e">
        <f t="shared" ca="1" si="35"/>
        <v>#N/A</v>
      </c>
      <c r="AA35" s="372" t="e">
        <f ca="1">SUM(Z35:Z36)</f>
        <v>#N/A</v>
      </c>
      <c r="AB35" s="199" t="str">
        <f t="shared" si="36"/>
        <v>BSCR</v>
      </c>
      <c r="AC35" s="33" t="e" cm="1">
        <f t="array" aca="1" ref="AC35" ca="1">INDIRECT(ADDRESS($B35,8,,,"mkt data"))</f>
        <v>#N/A</v>
      </c>
      <c r="AD35" s="191" t="e">
        <f t="shared" ca="1" si="37"/>
        <v>#N/A</v>
      </c>
      <c r="AE35" s="191" t="e">
        <f t="shared" ca="1" si="38"/>
        <v>#N/A</v>
      </c>
      <c r="AF35" s="202">
        <v>0</v>
      </c>
      <c r="AG35" s="191" t="e">
        <f t="shared" ca="1" si="39"/>
        <v>#N/A</v>
      </c>
      <c r="AH35" s="191" t="e">
        <f t="shared" ca="1" si="40"/>
        <v>#N/A</v>
      </c>
      <c r="AI35" s="375" t="e">
        <f ca="1">AH35+AH36</f>
        <v>#N/A</v>
      </c>
    </row>
    <row r="36" spans="1:35" ht="15.75" thickBot="1" x14ac:dyDescent="0.3">
      <c r="A36" s="82" t="e">
        <f>MATCH(G36,SCALARS!C:C,0)</f>
        <v>#N/A</v>
      </c>
      <c r="B36" s="83" t="e">
        <f>MATCH(G36,'MKT DATA'!B:B,0)</f>
        <v>#N/A</v>
      </c>
      <c r="C36" s="310" t="str">
        <f>C35</f>
        <v>2027 tgt</v>
      </c>
      <c r="D36" s="161" t="e" cm="1">
        <f t="array" aca="1" ref="D36" ca="1">INDIRECT(ADDRESS($A36,8,,,"SCALARS"))</f>
        <v>#N/A</v>
      </c>
      <c r="E36" s="146"/>
      <c r="F36" s="82" t="e" cm="1">
        <f t="array" aca="1" ref="F36" ca="1">INDIRECT(ADDRESS($A36,5,,,"scalars"))</f>
        <v>#N/A</v>
      </c>
      <c r="G36" s="221" t="s">
        <v>226</v>
      </c>
      <c r="H36" s="37" t="e" cm="1">
        <f t="array" aca="1" ref="H36" ca="1">INDIRECT(ADDRESS($B36,5,,,"mkt data"))</f>
        <v>#N/A</v>
      </c>
      <c r="I36" s="38" t="e" cm="1">
        <f t="array" aca="1" ref="I36" ca="1">INDIRECT(ADDRESS($B36,6,,,"mkt data"))</f>
        <v>#N/A</v>
      </c>
      <c r="J36" s="171" t="e" cm="1">
        <f t="array" aca="1" ref="J36" ca="1">INDIRECT(ADDRESS($A36,7,,,"SCALARS"))</f>
        <v>#N/A</v>
      </c>
      <c r="K36" s="22" t="e">
        <f t="shared" ca="1" si="31"/>
        <v>#N/A</v>
      </c>
      <c r="L36" s="22" t="e">
        <f t="shared" ca="1" si="32"/>
        <v>#N/A</v>
      </c>
      <c r="M36" s="45" t="e" cm="1">
        <f t="array" aca="1" ref="M36" ca="1">INDIRECT(ADDRESS($A36,6,,,"scalars"))</f>
        <v>#N/A</v>
      </c>
      <c r="N36" s="23" t="e">
        <f t="shared" ca="1" si="41"/>
        <v>#N/A</v>
      </c>
      <c r="O36" s="23" t="e">
        <f t="shared" ca="1" si="33"/>
        <v>#N/A</v>
      </c>
      <c r="P36" s="385"/>
      <c r="Q36" s="387"/>
      <c r="R36" s="296" t="e">
        <f ca="1">IF(Q35&gt;R35,TRUE,FALSE)</f>
        <v>#N/A</v>
      </c>
      <c r="S36" s="263" t="e">
        <f ca="1">AND(IF(U35&gt;-S35,TRUE,FALSE),IF(X35&gt;0,TRUE,FALSE))</f>
        <v>#N/A</v>
      </c>
      <c r="T36" s="385"/>
      <c r="U36" s="387"/>
      <c r="V36" s="296" t="e">
        <f ca="1">IF(U35&gt;V35,TRUE,FALSE)</f>
        <v>#N/A</v>
      </c>
      <c r="W36" s="61" t="e">
        <f ca="1">AND(IF(Q35&gt;-W35,TRUE,FALSE),IF(X35&lt;0,TRUE,FALSE))</f>
        <v>#N/A</v>
      </c>
      <c r="X36" s="29" t="e" cm="1">
        <f t="array" aca="1" ref="X36" ca="1">INDIRECT(ADDRESS($B36,9,,,"mkt data"))</f>
        <v>#N/A</v>
      </c>
      <c r="Y36" s="50" t="e">
        <f t="shared" ca="1" si="34"/>
        <v>#N/A</v>
      </c>
      <c r="Z36" s="29" t="e">
        <f t="shared" ca="1" si="35"/>
        <v>#N/A</v>
      </c>
      <c r="AA36" s="374"/>
      <c r="AB36" s="207" t="str">
        <f t="shared" si="36"/>
        <v>IBDS</v>
      </c>
      <c r="AC36" s="37" t="e" cm="1">
        <f t="array" aca="1" ref="AC36" ca="1">INDIRECT(ADDRESS($B36,8,,,"mkt data"))</f>
        <v>#N/A</v>
      </c>
      <c r="AD36" s="193" t="e">
        <f t="shared" ca="1" si="37"/>
        <v>#N/A</v>
      </c>
      <c r="AE36" s="193" t="e">
        <f t="shared" ca="1" si="38"/>
        <v>#N/A</v>
      </c>
      <c r="AF36" s="204">
        <v>0</v>
      </c>
      <c r="AG36" s="193" t="e">
        <f t="shared" ca="1" si="39"/>
        <v>#N/A</v>
      </c>
      <c r="AH36" s="193" t="e">
        <f t="shared" ca="1" si="40"/>
        <v>#N/A</v>
      </c>
      <c r="AI36" s="377"/>
    </row>
    <row r="37" spans="1:35" x14ac:dyDescent="0.25">
      <c r="A37" s="80" t="e">
        <f>MATCH(G37,SCALARS!C:C,0)</f>
        <v>#N/A</v>
      </c>
      <c r="B37" s="81" t="e">
        <f>MATCH(G37,'MKT DATA'!B:B,0)</f>
        <v>#N/A</v>
      </c>
      <c r="C37" s="309" t="s">
        <v>300</v>
      </c>
      <c r="D37" s="160" t="e" cm="1">
        <f t="array" aca="1" ref="D37" ca="1">INDIRECT(ADDRESS($A37,8,,,"SCALARS"))</f>
        <v>#N/A</v>
      </c>
      <c r="E37" s="145"/>
      <c r="F37" s="80" t="e" cm="1">
        <f t="array" aca="1" ref="F37" ca="1">INDIRECT(ADDRESS($A37,5,,,"scalars"))</f>
        <v>#N/A</v>
      </c>
      <c r="G37" s="220" t="s">
        <v>229</v>
      </c>
      <c r="H37" s="33" t="e" cm="1">
        <f t="array" aca="1" ref="H37" ca="1">INDIRECT(ADDRESS($B37,5,,,"mkt data"))</f>
        <v>#N/A</v>
      </c>
      <c r="I37" s="34" t="e" cm="1">
        <f t="array" aca="1" ref="I37" ca="1">INDIRECT(ADDRESS($B37,6,,,"mkt data"))</f>
        <v>#N/A</v>
      </c>
      <c r="J37" s="170" t="e" cm="1">
        <f t="array" aca="1" ref="J37" ca="1">INDIRECT(ADDRESS($A37,7,,,"SCALARS"))</f>
        <v>#N/A</v>
      </c>
      <c r="K37" s="16" t="e">
        <f t="shared" ca="1" si="31"/>
        <v>#N/A</v>
      </c>
      <c r="L37" s="16" t="e">
        <f t="shared" ca="1" si="32"/>
        <v>#N/A</v>
      </c>
      <c r="M37" s="44" t="e" cm="1">
        <f t="array" aca="1" ref="M37" ca="1">INDIRECT(ADDRESS($A37,6,,,"scalars"))</f>
        <v>#N/A</v>
      </c>
      <c r="N37" s="17" t="e">
        <f ca="1">K37*M37</f>
        <v>#N/A</v>
      </c>
      <c r="O37" s="17" t="e">
        <f t="shared" ca="1" si="33"/>
        <v>#N/A</v>
      </c>
      <c r="P37" s="384" t="e">
        <f ca="1">N38-O37</f>
        <v>#N/A</v>
      </c>
      <c r="Q37" s="386" t="e">
        <f ca="1">LN(N38/O37)</f>
        <v>#N/A</v>
      </c>
      <c r="R37" s="295">
        <v>1E-3</v>
      </c>
      <c r="S37" s="262">
        <v>2.0000000000000001E-4</v>
      </c>
      <c r="T37" s="384" t="e">
        <f ca="1">N37-O38</f>
        <v>#N/A</v>
      </c>
      <c r="U37" s="386" t="e">
        <f ca="1">LN(N37/O38)</f>
        <v>#N/A</v>
      </c>
      <c r="V37" s="295">
        <v>1E-3</v>
      </c>
      <c r="W37" s="60">
        <v>2.0000000000000001E-4</v>
      </c>
      <c r="X37" s="27" t="e" cm="1">
        <f t="array" aca="1" ref="X37" ca="1">INDIRECT(ADDRESS($B37,9,,,"mkt data"))</f>
        <v>#N/A</v>
      </c>
      <c r="Y37" s="48" t="e">
        <f t="shared" ca="1" si="34"/>
        <v>#N/A</v>
      </c>
      <c r="Z37" s="27" t="e">
        <f t="shared" ca="1" si="35"/>
        <v>#N/A</v>
      </c>
      <c r="AA37" s="372" t="e">
        <f ca="1">SUM(Z37:Z38)</f>
        <v>#N/A</v>
      </c>
      <c r="AB37" s="199" t="str">
        <f t="shared" si="36"/>
        <v>BSCS</v>
      </c>
      <c r="AC37" s="33" t="e" cm="1">
        <f t="array" aca="1" ref="AC37" ca="1">INDIRECT(ADDRESS($B37,8,,,"mkt data"))</f>
        <v>#N/A</v>
      </c>
      <c r="AD37" s="191" t="e">
        <f t="shared" ca="1" si="37"/>
        <v>#N/A</v>
      </c>
      <c r="AE37" s="191" t="e">
        <f t="shared" ca="1" si="38"/>
        <v>#N/A</v>
      </c>
      <c r="AF37" s="202">
        <v>0</v>
      </c>
      <c r="AG37" s="191" t="e">
        <f t="shared" ca="1" si="39"/>
        <v>#N/A</v>
      </c>
      <c r="AH37" s="191" t="e">
        <f t="shared" ca="1" si="40"/>
        <v>#N/A</v>
      </c>
      <c r="AI37" s="375" t="e">
        <f ca="1">AH37+AH38</f>
        <v>#N/A</v>
      </c>
    </row>
    <row r="38" spans="1:35" ht="15.75" thickBot="1" x14ac:dyDescent="0.3">
      <c r="A38" s="82" t="e">
        <f>MATCH(G38,SCALARS!C:C,0)</f>
        <v>#N/A</v>
      </c>
      <c r="B38" s="83" t="e">
        <f>MATCH(G38,'MKT DATA'!B:B,0)</f>
        <v>#N/A</v>
      </c>
      <c r="C38" s="310" t="str">
        <f>C37</f>
        <v>2028 tgt</v>
      </c>
      <c r="D38" s="161" t="e" cm="1">
        <f t="array" aca="1" ref="D38" ca="1">INDIRECT(ADDRESS($A38,8,,,"SCALARS"))</f>
        <v>#N/A</v>
      </c>
      <c r="E38" s="146"/>
      <c r="F38" s="82" t="e" cm="1">
        <f t="array" aca="1" ref="F38" ca="1">INDIRECT(ADDRESS($A38,5,,,"scalars"))</f>
        <v>#N/A</v>
      </c>
      <c r="G38" s="221" t="s">
        <v>228</v>
      </c>
      <c r="H38" s="37" t="e" cm="1">
        <f t="array" aca="1" ref="H38" ca="1">INDIRECT(ADDRESS($B38,5,,,"mkt data"))</f>
        <v>#N/A</v>
      </c>
      <c r="I38" s="38" t="e" cm="1">
        <f t="array" aca="1" ref="I38" ca="1">INDIRECT(ADDRESS($B38,6,,,"mkt data"))</f>
        <v>#N/A</v>
      </c>
      <c r="J38" s="171" t="e" cm="1">
        <f t="array" aca="1" ref="J38" ca="1">INDIRECT(ADDRESS($A38,7,,,"SCALARS"))</f>
        <v>#N/A</v>
      </c>
      <c r="K38" s="22" t="e">
        <f t="shared" ca="1" si="31"/>
        <v>#N/A</v>
      </c>
      <c r="L38" s="22" t="e">
        <f t="shared" ca="1" si="32"/>
        <v>#N/A</v>
      </c>
      <c r="M38" s="45" t="e" cm="1">
        <f t="array" aca="1" ref="M38" ca="1">INDIRECT(ADDRESS($A38,6,,,"scalars"))</f>
        <v>#N/A</v>
      </c>
      <c r="N38" s="23" t="e">
        <f t="shared" ref="N38:N39" ca="1" si="42">K38*M38</f>
        <v>#N/A</v>
      </c>
      <c r="O38" s="23" t="e">
        <f t="shared" ca="1" si="33"/>
        <v>#N/A</v>
      </c>
      <c r="P38" s="385"/>
      <c r="Q38" s="387"/>
      <c r="R38" s="296" t="e">
        <f ca="1">IF(Q37&gt;R37,TRUE,FALSE)</f>
        <v>#N/A</v>
      </c>
      <c r="S38" s="263" t="e">
        <f ca="1">AND(IF(U37&gt;-S37,TRUE,FALSE),IF(X37&gt;0,TRUE,FALSE))</f>
        <v>#N/A</v>
      </c>
      <c r="T38" s="385"/>
      <c r="U38" s="387"/>
      <c r="V38" s="296" t="e">
        <f ca="1">IF(U37&gt;V37,TRUE,FALSE)</f>
        <v>#N/A</v>
      </c>
      <c r="W38" s="61" t="e">
        <f ca="1">AND(IF(Q37&gt;-W37,TRUE,FALSE),IF(X37&lt;0,TRUE,FALSE))</f>
        <v>#N/A</v>
      </c>
      <c r="X38" s="29" t="e" cm="1">
        <f t="array" aca="1" ref="X38" ca="1">INDIRECT(ADDRESS($B38,9,,,"mkt data"))</f>
        <v>#N/A</v>
      </c>
      <c r="Y38" s="50" t="e">
        <f t="shared" ca="1" si="34"/>
        <v>#N/A</v>
      </c>
      <c r="Z38" s="29" t="e">
        <f t="shared" ca="1" si="35"/>
        <v>#N/A</v>
      </c>
      <c r="AA38" s="374"/>
      <c r="AB38" s="207" t="str">
        <f t="shared" si="36"/>
        <v>IBDT</v>
      </c>
      <c r="AC38" s="37" t="e" cm="1">
        <f t="array" aca="1" ref="AC38" ca="1">INDIRECT(ADDRESS($B38,8,,,"mkt data"))</f>
        <v>#N/A</v>
      </c>
      <c r="AD38" s="193" t="e">
        <f t="shared" ca="1" si="37"/>
        <v>#N/A</v>
      </c>
      <c r="AE38" s="193" t="e">
        <f t="shared" ca="1" si="38"/>
        <v>#N/A</v>
      </c>
      <c r="AF38" s="204">
        <v>0</v>
      </c>
      <c r="AG38" s="193" t="e">
        <f t="shared" ca="1" si="39"/>
        <v>#N/A</v>
      </c>
      <c r="AH38" s="193" t="e">
        <f t="shared" ca="1" si="40"/>
        <v>#N/A</v>
      </c>
      <c r="AI38" s="377"/>
    </row>
    <row r="39" spans="1:35" x14ac:dyDescent="0.25">
      <c r="A39" s="80" t="e">
        <f>MATCH(G39,SCALARS!C:C,0)</f>
        <v>#N/A</v>
      </c>
      <c r="B39" s="81" t="e">
        <f>MATCH(G39,'MKT DATA'!B:B,0)</f>
        <v>#N/A</v>
      </c>
      <c r="C39" s="309" t="s">
        <v>301</v>
      </c>
      <c r="D39" s="160" t="e" cm="1">
        <f t="array" aca="1" ref="D39" ca="1">INDIRECT(ADDRESS($A39,8,,,"SCALARS"))</f>
        <v>#N/A</v>
      </c>
      <c r="E39" s="145"/>
      <c r="F39" s="80" t="e" cm="1">
        <f t="array" aca="1" ref="F39" ca="1">INDIRECT(ADDRESS($A39,5,,,"scalars"))</f>
        <v>#N/A</v>
      </c>
      <c r="G39" s="220" t="s">
        <v>231</v>
      </c>
      <c r="H39" s="33" t="e" cm="1">
        <f t="array" aca="1" ref="H39" ca="1">INDIRECT(ADDRESS($B39,5,,,"mkt data"))</f>
        <v>#N/A</v>
      </c>
      <c r="I39" s="34" t="e" cm="1">
        <f t="array" aca="1" ref="I39" ca="1">INDIRECT(ADDRESS($B39,6,,,"mkt data"))</f>
        <v>#N/A</v>
      </c>
      <c r="J39" s="170" t="e" cm="1">
        <f t="array" aca="1" ref="J39" ca="1">INDIRECT(ADDRESS($A39,7,,,"SCALARS"))</f>
        <v>#N/A</v>
      </c>
      <c r="K39" s="16" t="e">
        <f t="shared" ca="1" si="31"/>
        <v>#N/A</v>
      </c>
      <c r="L39" s="16" t="e">
        <f t="shared" ca="1" si="32"/>
        <v>#N/A</v>
      </c>
      <c r="M39" s="44" t="e" cm="1">
        <f t="array" aca="1" ref="M39" ca="1">INDIRECT(ADDRESS($A39,6,,,"scalars"))</f>
        <v>#N/A</v>
      </c>
      <c r="N39" s="17" t="e">
        <f t="shared" ca="1" si="42"/>
        <v>#N/A</v>
      </c>
      <c r="O39" s="17" t="e">
        <f t="shared" ca="1" si="33"/>
        <v>#N/A</v>
      </c>
      <c r="P39" s="384" t="e">
        <f ca="1">N40-O39</f>
        <v>#N/A</v>
      </c>
      <c r="Q39" s="386" t="e">
        <f ca="1">LN(N40/O39)</f>
        <v>#N/A</v>
      </c>
      <c r="R39" s="295">
        <v>1E-3</v>
      </c>
      <c r="S39" s="262">
        <v>2.0000000000000001E-4</v>
      </c>
      <c r="T39" s="384" t="e">
        <f ca="1">N39-O40</f>
        <v>#N/A</v>
      </c>
      <c r="U39" s="386" t="e">
        <f ca="1">LN(N39/O40)</f>
        <v>#N/A</v>
      </c>
      <c r="V39" s="295">
        <v>1E-3</v>
      </c>
      <c r="W39" s="60">
        <v>2.0000000000000001E-4</v>
      </c>
      <c r="X39" s="27" t="e" cm="1">
        <f t="array" aca="1" ref="X39" ca="1">INDIRECT(ADDRESS($B39,9,,,"mkt data"))</f>
        <v>#N/A</v>
      </c>
      <c r="Y39" s="48" t="e">
        <f t="shared" ca="1" si="34"/>
        <v>#N/A</v>
      </c>
      <c r="Z39" s="27" t="e">
        <f t="shared" ca="1" si="35"/>
        <v>#N/A</v>
      </c>
      <c r="AA39" s="339" t="e">
        <f ca="1">SUM(Z39:Z40)</f>
        <v>#N/A</v>
      </c>
      <c r="AB39" s="199" t="str">
        <f t="shared" si="36"/>
        <v>BSCT</v>
      </c>
      <c r="AC39" s="33" t="e" cm="1">
        <f t="array" aca="1" ref="AC39" ca="1">INDIRECT(ADDRESS($B39,8,,,"mkt data"))</f>
        <v>#N/A</v>
      </c>
      <c r="AD39" s="191" t="e">
        <f t="shared" ca="1" si="37"/>
        <v>#N/A</v>
      </c>
      <c r="AE39" s="191" t="e">
        <f t="shared" ca="1" si="38"/>
        <v>#N/A</v>
      </c>
      <c r="AF39" s="202">
        <v>0</v>
      </c>
      <c r="AG39" s="191" t="e">
        <f t="shared" ca="1" si="39"/>
        <v>#N/A</v>
      </c>
      <c r="AH39" s="191" t="e">
        <f t="shared" ca="1" si="40"/>
        <v>#N/A</v>
      </c>
      <c r="AI39" s="375" t="e">
        <f ca="1">AH39+AH40</f>
        <v>#N/A</v>
      </c>
    </row>
    <row r="40" spans="1:35" ht="15.75" thickBot="1" x14ac:dyDescent="0.3">
      <c r="A40" s="82" t="e">
        <f>MATCH(G40,SCALARS!C:C,0)</f>
        <v>#N/A</v>
      </c>
      <c r="B40" s="83" t="e">
        <f>MATCH(G40,'MKT DATA'!B:B,0)</f>
        <v>#N/A</v>
      </c>
      <c r="C40" s="310" t="str">
        <f>C39</f>
        <v>2029 tgt</v>
      </c>
      <c r="D40" s="161" t="e" cm="1">
        <f t="array" aca="1" ref="D40" ca="1">INDIRECT(ADDRESS($A40,8,,,"SCALARS"))</f>
        <v>#N/A</v>
      </c>
      <c r="E40" s="146"/>
      <c r="F40" s="82" t="e" cm="1">
        <f t="array" aca="1" ref="F40" ca="1">INDIRECT(ADDRESS($A40,5,,,"scalars"))</f>
        <v>#N/A</v>
      </c>
      <c r="G40" s="221" t="s">
        <v>230</v>
      </c>
      <c r="H40" s="37" t="e" cm="1">
        <f t="array" aca="1" ref="H40" ca="1">INDIRECT(ADDRESS($B40,5,,,"mkt data"))</f>
        <v>#N/A</v>
      </c>
      <c r="I40" s="38" t="e" cm="1">
        <f t="array" aca="1" ref="I40" ca="1">INDIRECT(ADDRESS($B40,6,,,"mkt data"))</f>
        <v>#N/A</v>
      </c>
      <c r="J40" s="171" t="e" cm="1">
        <f t="array" aca="1" ref="J40" ca="1">INDIRECT(ADDRESS($A40,7,,,"SCALARS"))</f>
        <v>#N/A</v>
      </c>
      <c r="K40" s="22" t="e">
        <f t="shared" ca="1" si="31"/>
        <v>#N/A</v>
      </c>
      <c r="L40" s="22" t="e">
        <f t="shared" ca="1" si="32"/>
        <v>#N/A</v>
      </c>
      <c r="M40" s="45" t="e" cm="1">
        <f t="array" aca="1" ref="M40" ca="1">INDIRECT(ADDRESS($A40,6,,,"scalars"))</f>
        <v>#N/A</v>
      </c>
      <c r="N40" s="23" t="e">
        <f ca="1">K40*M40</f>
        <v>#N/A</v>
      </c>
      <c r="O40" s="23" t="e">
        <f t="shared" ca="1" si="33"/>
        <v>#N/A</v>
      </c>
      <c r="P40" s="385"/>
      <c r="Q40" s="387"/>
      <c r="R40" s="296" t="e">
        <f ca="1">IF(Q39&gt;R39,TRUE,FALSE)</f>
        <v>#N/A</v>
      </c>
      <c r="S40" s="263" t="e">
        <f ca="1">AND(IF(U39&gt;-S39,TRUE,FALSE),IF(X39&gt;0,TRUE,FALSE))</f>
        <v>#N/A</v>
      </c>
      <c r="T40" s="385"/>
      <c r="U40" s="387"/>
      <c r="V40" s="296" t="e">
        <f ca="1">IF(U39&gt;V39,TRUE,FALSE)</f>
        <v>#N/A</v>
      </c>
      <c r="W40" s="61" t="e">
        <f ca="1">AND(IF(Q39&gt;-W39,TRUE,FALSE),IF(X39&lt;0,TRUE,FALSE))</f>
        <v>#N/A</v>
      </c>
      <c r="X40" s="29" t="e" cm="1">
        <f t="array" aca="1" ref="X40" ca="1">INDIRECT(ADDRESS($B40,9,,,"mkt data"))</f>
        <v>#N/A</v>
      </c>
      <c r="Y40" s="50" t="e">
        <f t="shared" ca="1" si="34"/>
        <v>#N/A</v>
      </c>
      <c r="Z40" s="29" t="e">
        <f t="shared" ca="1" si="35"/>
        <v>#N/A</v>
      </c>
      <c r="AA40" s="341"/>
      <c r="AB40" s="207" t="str">
        <f t="shared" si="36"/>
        <v>IBDU</v>
      </c>
      <c r="AC40" s="37" t="e" cm="1">
        <f t="array" aca="1" ref="AC40" ca="1">INDIRECT(ADDRESS($B40,8,,,"mkt data"))</f>
        <v>#N/A</v>
      </c>
      <c r="AD40" s="193" t="e">
        <f t="shared" ca="1" si="37"/>
        <v>#N/A</v>
      </c>
      <c r="AE40" s="193" t="e">
        <f t="shared" ca="1" si="38"/>
        <v>#N/A</v>
      </c>
      <c r="AF40" s="204">
        <v>0</v>
      </c>
      <c r="AG40" s="193" t="e">
        <f t="shared" ca="1" si="39"/>
        <v>#N/A</v>
      </c>
      <c r="AH40" s="193" t="e">
        <f t="shared" ca="1" si="40"/>
        <v>#N/A</v>
      </c>
      <c r="AI40" s="377"/>
    </row>
    <row r="41" spans="1:35" x14ac:dyDescent="0.25">
      <c r="A41" s="80" t="e">
        <f>MATCH(G41,SCALARS!C:C,0)</f>
        <v>#N/A</v>
      </c>
      <c r="B41" s="81" t="e">
        <f>MATCH(G41,'MKT DATA'!B:B,0)</f>
        <v>#N/A</v>
      </c>
      <c r="C41" s="309" t="s">
        <v>302</v>
      </c>
      <c r="D41" s="160" t="e" cm="1">
        <f t="array" aca="1" ref="D41" ca="1">INDIRECT(ADDRESS($A41,8,,,"SCALARS"))</f>
        <v>#N/A</v>
      </c>
      <c r="E41" s="145"/>
      <c r="F41" s="80" t="e" cm="1">
        <f t="array" aca="1" ref="F41" ca="1">INDIRECT(ADDRESS($A41,5,,,"scalars"))</f>
        <v>#N/A</v>
      </c>
      <c r="G41" s="220" t="s">
        <v>233</v>
      </c>
      <c r="H41" s="33" t="e" cm="1">
        <f t="array" aca="1" ref="H41" ca="1">INDIRECT(ADDRESS($B41,5,,,"mkt data"))</f>
        <v>#N/A</v>
      </c>
      <c r="I41" s="34" t="e" cm="1">
        <f t="array" aca="1" ref="I41" ca="1">INDIRECT(ADDRESS($B41,6,,,"mkt data"))</f>
        <v>#N/A</v>
      </c>
      <c r="J41" s="170" t="e" cm="1">
        <f t="array" aca="1" ref="J41" ca="1">INDIRECT(ADDRESS($A41,7,,,"SCALARS"))</f>
        <v>#N/A</v>
      </c>
      <c r="K41" s="16" t="e">
        <f t="shared" ca="1" si="31"/>
        <v>#N/A</v>
      </c>
      <c r="L41" s="16" t="e">
        <f t="shared" ca="1" si="32"/>
        <v>#N/A</v>
      </c>
      <c r="M41" s="44" t="e" cm="1">
        <f t="array" aca="1" ref="M41" ca="1">INDIRECT(ADDRESS($A41,6,,,"scalars"))</f>
        <v>#N/A</v>
      </c>
      <c r="N41" s="17" t="e">
        <f ca="1">K41*M41</f>
        <v>#N/A</v>
      </c>
      <c r="O41" s="17" t="e">
        <f t="shared" ca="1" si="33"/>
        <v>#N/A</v>
      </c>
      <c r="P41" s="384" t="e">
        <f ca="1">N42-O41</f>
        <v>#N/A</v>
      </c>
      <c r="Q41" s="386" t="e">
        <f t="shared" ref="Q41" ca="1" si="43">LN(N42/O41)</f>
        <v>#N/A</v>
      </c>
      <c r="R41" s="295">
        <v>1E-3</v>
      </c>
      <c r="S41" s="262">
        <v>2.0000000000000001E-4</v>
      </c>
      <c r="T41" s="384" t="e">
        <f ca="1">N41-O42</f>
        <v>#N/A</v>
      </c>
      <c r="U41" s="386" t="e">
        <f t="shared" ref="U41" ca="1" si="44">LN(N41/O42)</f>
        <v>#N/A</v>
      </c>
      <c r="V41" s="295">
        <v>1E-3</v>
      </c>
      <c r="W41" s="60">
        <v>2.0000000000000001E-4</v>
      </c>
      <c r="X41" s="27" t="e" cm="1">
        <f t="array" aca="1" ref="X41" ca="1">INDIRECT(ADDRESS($B41,9,,,"mkt data"))</f>
        <v>#N/A</v>
      </c>
      <c r="Y41" s="48" t="e">
        <f t="shared" ca="1" si="34"/>
        <v>#N/A</v>
      </c>
      <c r="Z41" s="27" t="e">
        <f t="shared" ca="1" si="35"/>
        <v>#N/A</v>
      </c>
      <c r="AA41" s="372" t="e">
        <f ca="1">SUM(Z41:Z42)</f>
        <v>#N/A</v>
      </c>
      <c r="AB41" s="199" t="str">
        <f t="shared" si="36"/>
        <v>BSCU</v>
      </c>
      <c r="AC41" s="33" t="e" cm="1">
        <f t="array" aca="1" ref="AC41" ca="1">INDIRECT(ADDRESS($B41,8,,,"mkt data"))</f>
        <v>#N/A</v>
      </c>
      <c r="AD41" s="191" t="e">
        <f t="shared" ca="1" si="37"/>
        <v>#N/A</v>
      </c>
      <c r="AE41" s="191" t="e">
        <f t="shared" ca="1" si="38"/>
        <v>#N/A</v>
      </c>
      <c r="AF41" s="202">
        <v>0</v>
      </c>
      <c r="AG41" s="191" t="e">
        <f t="shared" ca="1" si="39"/>
        <v>#N/A</v>
      </c>
      <c r="AH41" s="191" t="e">
        <f t="shared" ca="1" si="40"/>
        <v>#N/A</v>
      </c>
      <c r="AI41" s="375" t="e">
        <f ca="1">AH41+AH42</f>
        <v>#N/A</v>
      </c>
    </row>
    <row r="42" spans="1:35" ht="15.75" thickBot="1" x14ac:dyDescent="0.3">
      <c r="A42" s="82" t="e">
        <f>MATCH(G42,SCALARS!C:C,0)</f>
        <v>#N/A</v>
      </c>
      <c r="B42" s="83" t="e">
        <f>MATCH(G42,'MKT DATA'!B:B,0)</f>
        <v>#N/A</v>
      </c>
      <c r="C42" s="310" t="str">
        <f>C41</f>
        <v>2030 tgt</v>
      </c>
      <c r="D42" s="161" t="e" cm="1">
        <f t="array" aca="1" ref="D42" ca="1">INDIRECT(ADDRESS($A42,8,,,"SCALARS"))</f>
        <v>#N/A</v>
      </c>
      <c r="E42" s="146"/>
      <c r="F42" s="82" t="e" cm="1">
        <f t="array" aca="1" ref="F42" ca="1">INDIRECT(ADDRESS($A42,5,,,"scalars"))</f>
        <v>#N/A</v>
      </c>
      <c r="G42" s="221" t="s">
        <v>232</v>
      </c>
      <c r="H42" s="37" t="e" cm="1">
        <f t="array" aca="1" ref="H42" ca="1">INDIRECT(ADDRESS($B42,5,,,"mkt data"))</f>
        <v>#N/A</v>
      </c>
      <c r="I42" s="38" t="e" cm="1">
        <f t="array" aca="1" ref="I42" ca="1">INDIRECT(ADDRESS($B42,6,,,"mkt data"))</f>
        <v>#N/A</v>
      </c>
      <c r="J42" s="171" t="e" cm="1">
        <f t="array" aca="1" ref="J42" ca="1">INDIRECT(ADDRESS($A42,7,,,"SCALARS"))</f>
        <v>#N/A</v>
      </c>
      <c r="K42" s="22" t="e">
        <f t="shared" ca="1" si="31"/>
        <v>#N/A</v>
      </c>
      <c r="L42" s="22" t="e">
        <f t="shared" ca="1" si="32"/>
        <v>#N/A</v>
      </c>
      <c r="M42" s="45" t="e" cm="1">
        <f t="array" aca="1" ref="M42" ca="1">INDIRECT(ADDRESS($A42,6,,,"scalars"))</f>
        <v>#N/A</v>
      </c>
      <c r="N42" s="23" t="e">
        <f ca="1">K42*M42</f>
        <v>#N/A</v>
      </c>
      <c r="O42" s="23" t="e">
        <f t="shared" ca="1" si="33"/>
        <v>#N/A</v>
      </c>
      <c r="P42" s="385"/>
      <c r="Q42" s="387"/>
      <c r="R42" s="296" t="e">
        <f ca="1">IF(Q41&gt;R41,TRUE,FALSE)</f>
        <v>#N/A</v>
      </c>
      <c r="S42" s="263" t="e">
        <f ca="1">AND(IF(U41&gt;-S41,TRUE,FALSE),IF(X41&gt;0,TRUE,FALSE))</f>
        <v>#N/A</v>
      </c>
      <c r="T42" s="385"/>
      <c r="U42" s="387"/>
      <c r="V42" s="296" t="e">
        <f ca="1">IF(U41&gt;V41,TRUE,FALSE)</f>
        <v>#N/A</v>
      </c>
      <c r="W42" s="61" t="e">
        <f ca="1">AND(IF(Q41&gt;-W41,TRUE,FALSE),IF(X41&lt;0,TRUE,FALSE))</f>
        <v>#N/A</v>
      </c>
      <c r="X42" s="29" t="e" cm="1">
        <f t="array" aca="1" ref="X42" ca="1">INDIRECT(ADDRESS($B42,9,,,"mkt data"))</f>
        <v>#N/A</v>
      </c>
      <c r="Y42" s="50" t="e">
        <f t="shared" ca="1" si="34"/>
        <v>#N/A</v>
      </c>
      <c r="Z42" s="29" t="e">
        <f t="shared" ca="1" si="35"/>
        <v>#N/A</v>
      </c>
      <c r="AA42" s="374"/>
      <c r="AB42" s="207" t="str">
        <f t="shared" si="36"/>
        <v>IBDV</v>
      </c>
      <c r="AC42" s="37" t="e" cm="1">
        <f t="array" aca="1" ref="AC42" ca="1">INDIRECT(ADDRESS($B42,8,,,"mkt data"))</f>
        <v>#N/A</v>
      </c>
      <c r="AD42" s="193" t="e">
        <f t="shared" ca="1" si="37"/>
        <v>#N/A</v>
      </c>
      <c r="AE42" s="193" t="e">
        <f t="shared" ca="1" si="38"/>
        <v>#N/A</v>
      </c>
      <c r="AF42" s="204">
        <v>0</v>
      </c>
      <c r="AG42" s="193" t="e">
        <f t="shared" ca="1" si="39"/>
        <v>#N/A</v>
      </c>
      <c r="AH42" s="193" t="e">
        <f t="shared" ca="1" si="40"/>
        <v>#N/A</v>
      </c>
      <c r="AI42" s="377"/>
    </row>
    <row r="43" spans="1:35" x14ac:dyDescent="0.25">
      <c r="A43" s="80" t="e">
        <f>MATCH(G43,SCALARS!C:C,0)</f>
        <v>#N/A</v>
      </c>
      <c r="B43" s="81" t="e">
        <f>MATCH(G43,'MKT DATA'!B:B,0)</f>
        <v>#N/A</v>
      </c>
      <c r="C43" s="309" t="s">
        <v>303</v>
      </c>
      <c r="D43" s="160" t="e" cm="1">
        <f t="array" aca="1" ref="D43" ca="1">INDIRECT(ADDRESS($A43,8,,,"SCALARS"))</f>
        <v>#N/A</v>
      </c>
      <c r="E43" s="145"/>
      <c r="F43" s="80" t="e" cm="1">
        <f t="array" aca="1" ref="F43" ca="1">INDIRECT(ADDRESS($A43,5,,,"scalars"))</f>
        <v>#N/A</v>
      </c>
      <c r="G43" s="220" t="s">
        <v>235</v>
      </c>
      <c r="H43" s="33" t="e" cm="1">
        <f t="array" aca="1" ref="H43" ca="1">INDIRECT(ADDRESS($B43,5,,,"mkt data"))</f>
        <v>#N/A</v>
      </c>
      <c r="I43" s="34" t="e" cm="1">
        <f t="array" aca="1" ref="I43" ca="1">INDIRECT(ADDRESS($B43,6,,,"mkt data"))</f>
        <v>#N/A</v>
      </c>
      <c r="J43" s="170" t="e" cm="1">
        <f t="array" aca="1" ref="J43" ca="1">INDIRECT(ADDRESS($A43,7,,,"SCALARS"))</f>
        <v>#N/A</v>
      </c>
      <c r="K43" s="16" t="e">
        <f t="shared" ca="1" si="31"/>
        <v>#N/A</v>
      </c>
      <c r="L43" s="16" t="e">
        <f t="shared" ca="1" si="32"/>
        <v>#N/A</v>
      </c>
      <c r="M43" s="44" t="e" cm="1">
        <f t="array" aca="1" ref="M43" ca="1">INDIRECT(ADDRESS($A43,6,,,"scalars"))</f>
        <v>#N/A</v>
      </c>
      <c r="N43" s="17" t="e">
        <f ca="1">K43*M43</f>
        <v>#N/A</v>
      </c>
      <c r="O43" s="17" t="e">
        <f t="shared" ca="1" si="33"/>
        <v>#N/A</v>
      </c>
      <c r="P43" s="384" t="e">
        <f ca="1">N44-O43</f>
        <v>#N/A</v>
      </c>
      <c r="Q43" s="386" t="e">
        <f ca="1">LN(N44/O43)</f>
        <v>#N/A</v>
      </c>
      <c r="R43" s="295">
        <v>1E-3</v>
      </c>
      <c r="S43" s="262">
        <v>2.0000000000000001E-4</v>
      </c>
      <c r="T43" s="384" t="e">
        <f ca="1">N43-O44</f>
        <v>#N/A</v>
      </c>
      <c r="U43" s="386" t="e">
        <f ca="1">LN(N43/O44)</f>
        <v>#N/A</v>
      </c>
      <c r="V43" s="295">
        <v>1E-3</v>
      </c>
      <c r="W43" s="60">
        <v>2.0000000000000001E-4</v>
      </c>
      <c r="X43" s="27" t="e" cm="1">
        <f t="array" aca="1" ref="X43" ca="1">INDIRECT(ADDRESS($B43,9,,,"mkt data"))</f>
        <v>#N/A</v>
      </c>
      <c r="Y43" s="48" t="e">
        <f t="shared" ca="1" si="34"/>
        <v>#N/A</v>
      </c>
      <c r="Z43" s="27" t="e">
        <f t="shared" ca="1" si="35"/>
        <v>#N/A</v>
      </c>
      <c r="AA43" s="369" t="e">
        <f ca="1">SUM(Z43:Z44)</f>
        <v>#N/A</v>
      </c>
      <c r="AB43" s="199" t="str">
        <f t="shared" si="36"/>
        <v>BSCV</v>
      </c>
      <c r="AC43" s="33" t="e" cm="1">
        <f t="array" aca="1" ref="AC43" ca="1">INDIRECT(ADDRESS($B43,8,,,"mkt data"))</f>
        <v>#N/A</v>
      </c>
      <c r="AD43" s="191" t="e">
        <f t="shared" ca="1" si="37"/>
        <v>#N/A</v>
      </c>
      <c r="AE43" s="191" t="e">
        <f t="shared" ca="1" si="38"/>
        <v>#N/A</v>
      </c>
      <c r="AF43" s="202">
        <v>0</v>
      </c>
      <c r="AG43" s="191" t="e">
        <f t="shared" ca="1" si="39"/>
        <v>#N/A</v>
      </c>
      <c r="AH43" s="191" t="e">
        <f t="shared" ca="1" si="40"/>
        <v>#N/A</v>
      </c>
      <c r="AI43" s="375" t="e">
        <f ca="1">AH43+AH44</f>
        <v>#N/A</v>
      </c>
    </row>
    <row r="44" spans="1:35" ht="15.75" thickBot="1" x14ac:dyDescent="0.3">
      <c r="A44" s="82" t="e">
        <f>MATCH(G44,SCALARS!C:C,0)</f>
        <v>#N/A</v>
      </c>
      <c r="B44" s="83" t="e">
        <f>MATCH(G44,'MKT DATA'!B:B,0)</f>
        <v>#N/A</v>
      </c>
      <c r="C44" s="310" t="str">
        <f>C43</f>
        <v>2031 tgt</v>
      </c>
      <c r="D44" s="161" t="e" cm="1">
        <f t="array" aca="1" ref="D44" ca="1">INDIRECT(ADDRESS($A44,8,,,"SCALARS"))</f>
        <v>#N/A</v>
      </c>
      <c r="E44" s="146"/>
      <c r="F44" s="82" t="e" cm="1">
        <f t="array" aca="1" ref="F44" ca="1">INDIRECT(ADDRESS($A44,5,,,"scalars"))</f>
        <v>#N/A</v>
      </c>
      <c r="G44" s="221" t="s">
        <v>234</v>
      </c>
      <c r="H44" s="37" t="e" cm="1">
        <f t="array" aca="1" ref="H44" ca="1">INDIRECT(ADDRESS($B44,5,,,"mkt data"))</f>
        <v>#N/A</v>
      </c>
      <c r="I44" s="38" t="e" cm="1">
        <f t="array" aca="1" ref="I44" ca="1">INDIRECT(ADDRESS($B44,6,,,"mkt data"))</f>
        <v>#N/A</v>
      </c>
      <c r="J44" s="171" t="e" cm="1">
        <f t="array" aca="1" ref="J44" ca="1">INDIRECT(ADDRESS($A44,7,,,"SCALARS"))</f>
        <v>#N/A</v>
      </c>
      <c r="K44" s="22" t="e">
        <f t="shared" ca="1" si="31"/>
        <v>#N/A</v>
      </c>
      <c r="L44" s="22" t="e">
        <f t="shared" ca="1" si="32"/>
        <v>#N/A</v>
      </c>
      <c r="M44" s="45" t="e" cm="1">
        <f t="array" aca="1" ref="M44" ca="1">INDIRECT(ADDRESS($A44,6,,,"scalars"))</f>
        <v>#N/A</v>
      </c>
      <c r="N44" s="23" t="e">
        <f t="shared" ref="N44:N46" ca="1" si="45">K44*M44</f>
        <v>#N/A</v>
      </c>
      <c r="O44" s="23" t="e">
        <f t="shared" ca="1" si="33"/>
        <v>#N/A</v>
      </c>
      <c r="P44" s="385"/>
      <c r="Q44" s="387"/>
      <c r="R44" s="296" t="e">
        <f ca="1">IF(Q43&gt;R43,TRUE,FALSE)</f>
        <v>#N/A</v>
      </c>
      <c r="S44" s="263" t="e">
        <f ca="1">AND(IF(U43&gt;-S43,TRUE,FALSE),IF(X43&gt;0,TRUE,FALSE))</f>
        <v>#N/A</v>
      </c>
      <c r="T44" s="385"/>
      <c r="U44" s="387"/>
      <c r="V44" s="296" t="e">
        <f ca="1">IF(U43&gt;V43,TRUE,FALSE)</f>
        <v>#N/A</v>
      </c>
      <c r="W44" s="61" t="e">
        <f ca="1">AND(IF(Q43&gt;-W43,TRUE,FALSE),IF(X43&lt;0,TRUE,FALSE))</f>
        <v>#N/A</v>
      </c>
      <c r="X44" s="29" t="e" cm="1">
        <f t="array" aca="1" ref="X44" ca="1">INDIRECT(ADDRESS($B44,9,,,"mkt data"))</f>
        <v>#N/A</v>
      </c>
      <c r="Y44" s="50" t="e">
        <f t="shared" ca="1" si="34"/>
        <v>#N/A</v>
      </c>
      <c r="Z44" s="29" t="e">
        <f t="shared" ca="1" si="35"/>
        <v>#N/A</v>
      </c>
      <c r="AA44" s="371"/>
      <c r="AB44" s="207" t="str">
        <f t="shared" si="36"/>
        <v>IBDW</v>
      </c>
      <c r="AC44" s="37" t="e" cm="1">
        <f t="array" aca="1" ref="AC44" ca="1">INDIRECT(ADDRESS($B44,8,,,"mkt data"))</f>
        <v>#N/A</v>
      </c>
      <c r="AD44" s="193" t="e">
        <f t="shared" ca="1" si="37"/>
        <v>#N/A</v>
      </c>
      <c r="AE44" s="193" t="e">
        <f t="shared" ca="1" si="38"/>
        <v>#N/A</v>
      </c>
      <c r="AF44" s="204">
        <v>0</v>
      </c>
      <c r="AG44" s="193" t="e">
        <f t="shared" ca="1" si="39"/>
        <v>#N/A</v>
      </c>
      <c r="AH44" s="193" t="e">
        <f t="shared" ca="1" si="40"/>
        <v>#N/A</v>
      </c>
      <c r="AI44" s="377"/>
    </row>
    <row r="45" spans="1:35" x14ac:dyDescent="0.25">
      <c r="A45" s="80" t="e">
        <f>MATCH(G45,SCALARS!C:C,0)</f>
        <v>#N/A</v>
      </c>
      <c r="B45" s="81" t="e">
        <f>MATCH(G45,'MKT DATA'!B:B,0)</f>
        <v>#N/A</v>
      </c>
      <c r="C45" s="309" t="s">
        <v>304</v>
      </c>
      <c r="D45" s="160" t="e" cm="1">
        <f t="array" aca="1" ref="D45" ca="1">INDIRECT(ADDRESS($A45,8,,,"SCALARS"))</f>
        <v>#N/A</v>
      </c>
      <c r="E45" s="145"/>
      <c r="F45" s="80" t="e" cm="1">
        <f t="array" aca="1" ref="F45" ca="1">INDIRECT(ADDRESS($A45,5,,,"scalars"))</f>
        <v>#N/A</v>
      </c>
      <c r="G45" s="220" t="s">
        <v>237</v>
      </c>
      <c r="H45" s="33" t="e" cm="1">
        <f t="array" aca="1" ref="H45" ca="1">INDIRECT(ADDRESS($B45,5,,,"mkt data"))</f>
        <v>#N/A</v>
      </c>
      <c r="I45" s="34" t="e" cm="1">
        <f t="array" aca="1" ref="I45" ca="1">INDIRECT(ADDRESS($B45,6,,,"mkt data"))</f>
        <v>#N/A</v>
      </c>
      <c r="J45" s="170" t="e" cm="1">
        <f t="array" aca="1" ref="J45" ca="1">INDIRECT(ADDRESS($A45,7,,,"SCALARS"))</f>
        <v>#N/A</v>
      </c>
      <c r="K45" s="16" t="e">
        <f t="shared" ca="1" si="31"/>
        <v>#N/A</v>
      </c>
      <c r="L45" s="16" t="e">
        <f t="shared" ca="1" si="32"/>
        <v>#N/A</v>
      </c>
      <c r="M45" s="44" t="e" cm="1">
        <f t="array" aca="1" ref="M45" ca="1">INDIRECT(ADDRESS($A45,6,,,"scalars"))</f>
        <v>#N/A</v>
      </c>
      <c r="N45" s="17" t="e">
        <f t="shared" ca="1" si="45"/>
        <v>#N/A</v>
      </c>
      <c r="O45" s="17" t="e">
        <f t="shared" ca="1" si="33"/>
        <v>#N/A</v>
      </c>
      <c r="P45" s="384" t="e">
        <f ca="1">N46-O45</f>
        <v>#N/A</v>
      </c>
      <c r="Q45" s="386" t="e">
        <f ca="1">LN(N46/O45)</f>
        <v>#N/A</v>
      </c>
      <c r="R45" s="295">
        <v>1E-3</v>
      </c>
      <c r="S45" s="262">
        <v>2.0000000000000001E-4</v>
      </c>
      <c r="T45" s="384" t="e">
        <f ca="1">N45-O46</f>
        <v>#N/A</v>
      </c>
      <c r="U45" s="386" t="e">
        <f ca="1">LN(N45/O46)</f>
        <v>#N/A</v>
      </c>
      <c r="V45" s="295">
        <v>1E-3</v>
      </c>
      <c r="W45" s="60">
        <v>2.0000000000000001E-4</v>
      </c>
      <c r="X45" s="27" t="e" cm="1">
        <f t="array" aca="1" ref="X45" ca="1">INDIRECT(ADDRESS($B45,9,,,"mkt data"))</f>
        <v>#N/A</v>
      </c>
      <c r="Y45" s="48" t="e">
        <f t="shared" ca="1" si="34"/>
        <v>#N/A</v>
      </c>
      <c r="Z45" s="27" t="e">
        <f t="shared" ca="1" si="35"/>
        <v>#N/A</v>
      </c>
      <c r="AA45" s="372" t="e">
        <f ca="1">SUM(Z45:Z46)</f>
        <v>#N/A</v>
      </c>
      <c r="AB45" s="199" t="str">
        <f t="shared" si="36"/>
        <v>BSCW</v>
      </c>
      <c r="AC45" s="33" t="e" cm="1">
        <f t="array" aca="1" ref="AC45" ca="1">INDIRECT(ADDRESS($B45,8,,,"mkt data"))</f>
        <v>#N/A</v>
      </c>
      <c r="AD45" s="191" t="e">
        <f t="shared" ca="1" si="37"/>
        <v>#N/A</v>
      </c>
      <c r="AE45" s="191" t="e">
        <f t="shared" ca="1" si="38"/>
        <v>#N/A</v>
      </c>
      <c r="AF45" s="202">
        <v>0</v>
      </c>
      <c r="AG45" s="191" t="e">
        <f t="shared" ca="1" si="39"/>
        <v>#N/A</v>
      </c>
      <c r="AH45" s="191" t="e">
        <f t="shared" ca="1" si="40"/>
        <v>#N/A</v>
      </c>
      <c r="AI45" s="375" t="e">
        <f ca="1">AH45+AH46</f>
        <v>#N/A</v>
      </c>
    </row>
    <row r="46" spans="1:35" ht="15.75" thickBot="1" x14ac:dyDescent="0.3">
      <c r="A46" s="82" t="e">
        <f>MATCH(G46,SCALARS!C:C,0)</f>
        <v>#N/A</v>
      </c>
      <c r="B46" s="83" t="e">
        <f>MATCH(G46,'MKT DATA'!B:B,0)</f>
        <v>#N/A</v>
      </c>
      <c r="C46" s="310" t="str">
        <f>C45</f>
        <v>2032 tgt</v>
      </c>
      <c r="D46" s="161" t="e" cm="1">
        <f t="array" aca="1" ref="D46" ca="1">INDIRECT(ADDRESS($A46,8,,,"SCALARS"))</f>
        <v>#N/A</v>
      </c>
      <c r="E46" s="146"/>
      <c r="F46" s="82" t="e" cm="1">
        <f t="array" aca="1" ref="F46" ca="1">INDIRECT(ADDRESS($A46,5,,,"scalars"))</f>
        <v>#N/A</v>
      </c>
      <c r="G46" s="221" t="s">
        <v>236</v>
      </c>
      <c r="H46" s="37" t="e" cm="1">
        <f t="array" aca="1" ref="H46" ca="1">INDIRECT(ADDRESS($B46,5,,,"mkt data"))</f>
        <v>#N/A</v>
      </c>
      <c r="I46" s="38" t="e" cm="1">
        <f t="array" aca="1" ref="I46" ca="1">INDIRECT(ADDRESS($B46,6,,,"mkt data"))</f>
        <v>#N/A</v>
      </c>
      <c r="J46" s="171" t="e" cm="1">
        <f t="array" aca="1" ref="J46" ca="1">INDIRECT(ADDRESS($A46,7,,,"SCALARS"))</f>
        <v>#N/A</v>
      </c>
      <c r="K46" s="22" t="e">
        <f t="shared" ca="1" si="31"/>
        <v>#N/A</v>
      </c>
      <c r="L46" s="22" t="e">
        <f t="shared" ca="1" si="32"/>
        <v>#N/A</v>
      </c>
      <c r="M46" s="45" t="e" cm="1">
        <f t="array" aca="1" ref="M46" ca="1">INDIRECT(ADDRESS($A46,6,,,"scalars"))</f>
        <v>#N/A</v>
      </c>
      <c r="N46" s="23" t="e">
        <f t="shared" ca="1" si="45"/>
        <v>#N/A</v>
      </c>
      <c r="O46" s="23" t="e">
        <f t="shared" ca="1" si="33"/>
        <v>#N/A</v>
      </c>
      <c r="P46" s="385"/>
      <c r="Q46" s="387"/>
      <c r="R46" s="296" t="e">
        <f ca="1">IF(Q45&gt;R45,TRUE,FALSE)</f>
        <v>#N/A</v>
      </c>
      <c r="S46" s="263" t="e">
        <f ca="1">AND(IF(U45&gt;-S45,TRUE,FALSE),IF(X45&gt;0,TRUE,FALSE))</f>
        <v>#N/A</v>
      </c>
      <c r="T46" s="385"/>
      <c r="U46" s="387"/>
      <c r="V46" s="296" t="e">
        <f ca="1">IF(U45&gt;V45,TRUE,FALSE)</f>
        <v>#N/A</v>
      </c>
      <c r="W46" s="61" t="e">
        <f ca="1">AND(IF(Q45&gt;-W45,TRUE,FALSE),IF(X45&lt;0,TRUE,FALSE))</f>
        <v>#N/A</v>
      </c>
      <c r="X46" s="29" t="e" cm="1">
        <f t="array" aca="1" ref="X46" ca="1">INDIRECT(ADDRESS($B46,9,,,"mkt data"))</f>
        <v>#N/A</v>
      </c>
      <c r="Y46" s="50" t="e">
        <f t="shared" ca="1" si="34"/>
        <v>#N/A</v>
      </c>
      <c r="Z46" s="29" t="e">
        <f t="shared" ca="1" si="35"/>
        <v>#N/A</v>
      </c>
      <c r="AA46" s="374"/>
      <c r="AB46" s="207" t="str">
        <f t="shared" si="36"/>
        <v>IBDX</v>
      </c>
      <c r="AC46" s="37" t="e" cm="1">
        <f t="array" aca="1" ref="AC46" ca="1">INDIRECT(ADDRESS($B46,8,,,"mkt data"))</f>
        <v>#N/A</v>
      </c>
      <c r="AD46" s="193" t="e">
        <f t="shared" ca="1" si="37"/>
        <v>#N/A</v>
      </c>
      <c r="AE46" s="193" t="e">
        <f t="shared" ca="1" si="38"/>
        <v>#N/A</v>
      </c>
      <c r="AF46" s="204">
        <v>0</v>
      </c>
      <c r="AG46" s="193" t="e">
        <f t="shared" ca="1" si="39"/>
        <v>#N/A</v>
      </c>
      <c r="AH46" s="193" t="e">
        <f t="shared" ca="1" si="40"/>
        <v>#N/A</v>
      </c>
      <c r="AI46" s="377"/>
    </row>
    <row r="47" spans="1:35" x14ac:dyDescent="0.25">
      <c r="A47" s="80" t="e">
        <f>MATCH(G47,SCALARS!C:C,0)</f>
        <v>#N/A</v>
      </c>
      <c r="B47" s="81" t="e">
        <f>MATCH(G47,'MKT DATA'!B:B,0)</f>
        <v>#N/A</v>
      </c>
      <c r="C47" s="309" t="s">
        <v>305</v>
      </c>
      <c r="D47" s="160" t="e" cm="1">
        <f t="array" aca="1" ref="D47" ca="1">INDIRECT(ADDRESS($A47,8,,,"SCALARS"))</f>
        <v>#N/A</v>
      </c>
      <c r="E47" s="145"/>
      <c r="F47" s="80" t="e" cm="1">
        <f t="array" aca="1" ref="F47" ca="1">INDIRECT(ADDRESS($A47,5,,,"scalars"))</f>
        <v>#N/A</v>
      </c>
      <c r="G47" s="220" t="s">
        <v>239</v>
      </c>
      <c r="H47" s="33" t="e" cm="1">
        <f t="array" aca="1" ref="H47" ca="1">INDIRECT(ADDRESS($B47,5,,,"mkt data"))</f>
        <v>#N/A</v>
      </c>
      <c r="I47" s="34" t="e" cm="1">
        <f t="array" aca="1" ref="I47" ca="1">INDIRECT(ADDRESS($B47,6,,,"mkt data"))</f>
        <v>#N/A</v>
      </c>
      <c r="J47" s="170" t="e" cm="1">
        <f t="array" aca="1" ref="J47" ca="1">INDIRECT(ADDRESS($A47,7,,,"SCALARS"))</f>
        <v>#N/A</v>
      </c>
      <c r="K47" s="16" t="e">
        <f t="shared" ca="1" si="31"/>
        <v>#N/A</v>
      </c>
      <c r="L47" s="16" t="e">
        <f t="shared" ca="1" si="32"/>
        <v>#N/A</v>
      </c>
      <c r="M47" s="44" t="e" cm="1">
        <f t="array" aca="1" ref="M47" ca="1">INDIRECT(ADDRESS($A47,6,,,"scalars"))</f>
        <v>#N/A</v>
      </c>
      <c r="N47" s="17" t="e">
        <f ca="1">K47*M47</f>
        <v>#N/A</v>
      </c>
      <c r="O47" s="17" t="e">
        <f t="shared" ca="1" si="33"/>
        <v>#N/A</v>
      </c>
      <c r="P47" s="384" t="e">
        <f ca="1">N48-O47</f>
        <v>#N/A</v>
      </c>
      <c r="Q47" s="386" t="e">
        <f ca="1">LN(N48/O47)</f>
        <v>#N/A</v>
      </c>
      <c r="R47" s="295">
        <v>1E-3</v>
      </c>
      <c r="S47" s="262">
        <v>2.0000000000000001E-4</v>
      </c>
      <c r="T47" s="384" t="e">
        <f ca="1">N47-O48</f>
        <v>#N/A</v>
      </c>
      <c r="U47" s="386" t="e">
        <f ca="1">LN(N47/O48)</f>
        <v>#N/A</v>
      </c>
      <c r="V47" s="295">
        <v>1E-3</v>
      </c>
      <c r="W47" s="60">
        <v>2.0000000000000001E-4</v>
      </c>
      <c r="X47" s="27" t="e" cm="1">
        <f t="array" aca="1" ref="X47" ca="1">INDIRECT(ADDRESS($B47,9,,,"mkt data"))</f>
        <v>#N/A</v>
      </c>
      <c r="Y47" s="48" t="e">
        <f t="shared" ca="1" si="34"/>
        <v>#N/A</v>
      </c>
      <c r="Z47" s="27" t="e">
        <f t="shared" ca="1" si="35"/>
        <v>#N/A</v>
      </c>
      <c r="AA47" s="372" t="e">
        <f ca="1">SUM(Z47:Z48)</f>
        <v>#N/A</v>
      </c>
      <c r="AB47" s="199" t="str">
        <f t="shared" si="36"/>
        <v>BSCX</v>
      </c>
      <c r="AC47" s="33" t="e" cm="1">
        <f t="array" aca="1" ref="AC47" ca="1">INDIRECT(ADDRESS($B47,8,,,"mkt data"))</f>
        <v>#N/A</v>
      </c>
      <c r="AD47" s="191" t="e">
        <f t="shared" ca="1" si="37"/>
        <v>#N/A</v>
      </c>
      <c r="AE47" s="191" t="e">
        <f t="shared" ca="1" si="38"/>
        <v>#N/A</v>
      </c>
      <c r="AF47" s="202">
        <v>0</v>
      </c>
      <c r="AG47" s="191" t="e">
        <f t="shared" ca="1" si="39"/>
        <v>#N/A</v>
      </c>
      <c r="AH47" s="191" t="e">
        <f t="shared" ca="1" si="40"/>
        <v>#N/A</v>
      </c>
      <c r="AI47" s="375" t="e">
        <f ca="1">AH47+AH48</f>
        <v>#N/A</v>
      </c>
    </row>
    <row r="48" spans="1:35" ht="15.75" thickBot="1" x14ac:dyDescent="0.3">
      <c r="A48" s="82" t="e">
        <f>MATCH(G48,SCALARS!C:C,0)</f>
        <v>#N/A</v>
      </c>
      <c r="B48" s="83" t="e">
        <f>MATCH(G48,'MKT DATA'!B:B,0)</f>
        <v>#N/A</v>
      </c>
      <c r="C48" s="310" t="str">
        <f>C47</f>
        <v>2033 tgt</v>
      </c>
      <c r="D48" s="161" t="e" cm="1">
        <f t="array" aca="1" ref="D48" ca="1">INDIRECT(ADDRESS($A48,8,,,"SCALARS"))</f>
        <v>#N/A</v>
      </c>
      <c r="E48" s="146"/>
      <c r="F48" s="82" t="e" cm="1">
        <f t="array" aca="1" ref="F48" ca="1">INDIRECT(ADDRESS($A48,5,,,"scalars"))</f>
        <v>#N/A</v>
      </c>
      <c r="G48" s="221" t="s">
        <v>238</v>
      </c>
      <c r="H48" s="37" t="e" cm="1">
        <f t="array" aca="1" ref="H48" ca="1">INDIRECT(ADDRESS($B48,5,,,"mkt data"))</f>
        <v>#N/A</v>
      </c>
      <c r="I48" s="38" t="e" cm="1">
        <f t="array" aca="1" ref="I48" ca="1">INDIRECT(ADDRESS($B48,6,,,"mkt data"))</f>
        <v>#N/A</v>
      </c>
      <c r="J48" s="171" t="e" cm="1">
        <f t="array" aca="1" ref="J48" ca="1">INDIRECT(ADDRESS($A48,7,,,"SCALARS"))</f>
        <v>#N/A</v>
      </c>
      <c r="K48" s="22" t="e">
        <f t="shared" ca="1" si="31"/>
        <v>#N/A</v>
      </c>
      <c r="L48" s="22" t="e">
        <f t="shared" ca="1" si="32"/>
        <v>#N/A</v>
      </c>
      <c r="M48" s="45" t="e" cm="1">
        <f t="array" aca="1" ref="M48" ca="1">INDIRECT(ADDRESS($A48,6,,,"scalars"))</f>
        <v>#N/A</v>
      </c>
      <c r="N48" s="23" t="e">
        <f t="shared" ref="N48:N49" ca="1" si="46">K48*M48</f>
        <v>#N/A</v>
      </c>
      <c r="O48" s="23" t="e">
        <f t="shared" ca="1" si="33"/>
        <v>#N/A</v>
      </c>
      <c r="P48" s="385"/>
      <c r="Q48" s="387"/>
      <c r="R48" s="296" t="e">
        <f ca="1">IF(Q47&gt;R47,TRUE,FALSE)</f>
        <v>#N/A</v>
      </c>
      <c r="S48" s="263" t="e">
        <f ca="1">AND(IF(U47&gt;-S47,TRUE,FALSE),IF(X47&gt;0,TRUE,FALSE))</f>
        <v>#N/A</v>
      </c>
      <c r="T48" s="385"/>
      <c r="U48" s="387"/>
      <c r="V48" s="296" t="e">
        <f ca="1">IF(U47&gt;V47,TRUE,FALSE)</f>
        <v>#N/A</v>
      </c>
      <c r="W48" s="61" t="e">
        <f ca="1">AND(IF(Q47&gt;-W47,TRUE,FALSE),IF(X47&lt;0,TRUE,FALSE))</f>
        <v>#N/A</v>
      </c>
      <c r="X48" s="29" t="e" cm="1">
        <f t="array" aca="1" ref="X48" ca="1">INDIRECT(ADDRESS($B48,9,,,"mkt data"))</f>
        <v>#N/A</v>
      </c>
      <c r="Y48" s="50" t="e">
        <f t="shared" ca="1" si="34"/>
        <v>#N/A</v>
      </c>
      <c r="Z48" s="29" t="e">
        <f t="shared" ca="1" si="35"/>
        <v>#N/A</v>
      </c>
      <c r="AA48" s="374"/>
      <c r="AB48" s="207" t="str">
        <f t="shared" si="36"/>
        <v>IBDY</v>
      </c>
      <c r="AC48" s="37" t="e" cm="1">
        <f t="array" aca="1" ref="AC48" ca="1">INDIRECT(ADDRESS($B48,8,,,"mkt data"))</f>
        <v>#N/A</v>
      </c>
      <c r="AD48" s="193" t="e">
        <f t="shared" ca="1" si="37"/>
        <v>#N/A</v>
      </c>
      <c r="AE48" s="193" t="e">
        <f t="shared" ca="1" si="38"/>
        <v>#N/A</v>
      </c>
      <c r="AF48" s="204">
        <v>0</v>
      </c>
      <c r="AG48" s="193" t="e">
        <f t="shared" ca="1" si="39"/>
        <v>#N/A</v>
      </c>
      <c r="AH48" s="193" t="e">
        <f t="shared" ca="1" si="40"/>
        <v>#N/A</v>
      </c>
      <c r="AI48" s="377"/>
    </row>
    <row r="49" spans="1:35" x14ac:dyDescent="0.25">
      <c r="A49" s="80" t="e">
        <f>MATCH(G49,SCALARS!C:C,0)</f>
        <v>#N/A</v>
      </c>
      <c r="B49" s="81" t="e">
        <f>MATCH(G49,'MKT DATA'!B:B,0)</f>
        <v>#N/A</v>
      </c>
      <c r="C49" s="309" t="s">
        <v>306</v>
      </c>
      <c r="D49" s="160" t="e" cm="1">
        <f t="array" aca="1" ref="D49" ca="1">INDIRECT(ADDRESS($A49,8,,,"SCALARS"))</f>
        <v>#N/A</v>
      </c>
      <c r="E49" s="145"/>
      <c r="F49" s="80" t="e" cm="1">
        <f t="array" aca="1" ref="F49" ca="1">INDIRECT(ADDRESS($A49,5,,,"scalars"))</f>
        <v>#N/A</v>
      </c>
      <c r="G49" s="220" t="s">
        <v>241</v>
      </c>
      <c r="H49" s="33" t="e" cm="1">
        <f t="array" aca="1" ref="H49" ca="1">INDIRECT(ADDRESS($B49,5,,,"mkt data"))</f>
        <v>#N/A</v>
      </c>
      <c r="I49" s="34" t="e" cm="1">
        <f t="array" aca="1" ref="I49" ca="1">INDIRECT(ADDRESS($B49,6,,,"mkt data"))</f>
        <v>#N/A</v>
      </c>
      <c r="J49" s="170" t="e" cm="1">
        <f t="array" aca="1" ref="J49" ca="1">INDIRECT(ADDRESS($A49,7,,,"SCALARS"))</f>
        <v>#N/A</v>
      </c>
      <c r="K49" s="16" t="e">
        <f t="shared" ca="1" si="31"/>
        <v>#N/A</v>
      </c>
      <c r="L49" s="16" t="e">
        <f t="shared" ca="1" si="32"/>
        <v>#N/A</v>
      </c>
      <c r="M49" s="44" t="e" cm="1">
        <f t="array" aca="1" ref="M49" ca="1">INDIRECT(ADDRESS($A49,6,,,"scalars"))</f>
        <v>#N/A</v>
      </c>
      <c r="N49" s="17" t="e">
        <f t="shared" ca="1" si="46"/>
        <v>#N/A</v>
      </c>
      <c r="O49" s="17" t="e">
        <f t="shared" ca="1" si="33"/>
        <v>#N/A</v>
      </c>
      <c r="P49" s="384" t="e">
        <f ca="1">N50-O49</f>
        <v>#N/A</v>
      </c>
      <c r="Q49" s="386" t="e">
        <f ca="1">LN(N50/O49)</f>
        <v>#N/A</v>
      </c>
      <c r="R49" s="295">
        <v>1E-3</v>
      </c>
      <c r="S49" s="262">
        <v>2.0000000000000001E-4</v>
      </c>
      <c r="T49" s="384" t="e">
        <f ca="1">N49-O50</f>
        <v>#N/A</v>
      </c>
      <c r="U49" s="386" t="e">
        <f ca="1">LN(N49/O50)</f>
        <v>#N/A</v>
      </c>
      <c r="V49" s="295">
        <v>1E-3</v>
      </c>
      <c r="W49" s="60">
        <v>2.0000000000000001E-4</v>
      </c>
      <c r="X49" s="27" t="e" cm="1">
        <f t="array" aca="1" ref="X49" ca="1">INDIRECT(ADDRESS($B49,9,,,"mkt data"))</f>
        <v>#N/A</v>
      </c>
      <c r="Y49" s="48" t="e">
        <f t="shared" ca="1" si="34"/>
        <v>#N/A</v>
      </c>
      <c r="Z49" s="27" t="e">
        <f t="shared" ca="1" si="35"/>
        <v>#N/A</v>
      </c>
      <c r="AA49" s="339" t="e">
        <f ca="1">SUM(Z49:Z50)</f>
        <v>#N/A</v>
      </c>
      <c r="AB49" s="199" t="str">
        <f t="shared" si="36"/>
        <v>BSCY</v>
      </c>
      <c r="AC49" s="33" t="e" cm="1">
        <f t="array" aca="1" ref="AC49" ca="1">INDIRECT(ADDRESS($B49,8,,,"mkt data"))</f>
        <v>#N/A</v>
      </c>
      <c r="AD49" s="191" t="e">
        <f t="shared" ca="1" si="37"/>
        <v>#N/A</v>
      </c>
      <c r="AE49" s="191" t="e">
        <f t="shared" ca="1" si="38"/>
        <v>#N/A</v>
      </c>
      <c r="AF49" s="202">
        <v>0</v>
      </c>
      <c r="AG49" s="191" t="e">
        <f t="shared" ca="1" si="39"/>
        <v>#N/A</v>
      </c>
      <c r="AH49" s="191" t="e">
        <f t="shared" ca="1" si="40"/>
        <v>#N/A</v>
      </c>
      <c r="AI49" s="375" t="e">
        <f ca="1">AH49+AH50</f>
        <v>#N/A</v>
      </c>
    </row>
    <row r="50" spans="1:35" ht="15.75" thickBot="1" x14ac:dyDescent="0.3">
      <c r="A50" s="82" t="e">
        <f>MATCH(G50,SCALARS!C:C,0)</f>
        <v>#N/A</v>
      </c>
      <c r="B50" s="83" t="e">
        <f>MATCH(G50,'MKT DATA'!B:B,0)</f>
        <v>#N/A</v>
      </c>
      <c r="C50" s="310" t="str">
        <f>C49</f>
        <v>2034 tgt</v>
      </c>
      <c r="D50" s="161" t="e" cm="1">
        <f t="array" aca="1" ref="D50" ca="1">INDIRECT(ADDRESS($A50,8,,,"SCALARS"))</f>
        <v>#N/A</v>
      </c>
      <c r="E50" s="146"/>
      <c r="F50" s="82" t="e" cm="1">
        <f t="array" aca="1" ref="F50" ca="1">INDIRECT(ADDRESS($A50,5,,,"scalars"))</f>
        <v>#N/A</v>
      </c>
      <c r="G50" s="221" t="s">
        <v>240</v>
      </c>
      <c r="H50" s="37" t="e" cm="1">
        <f t="array" aca="1" ref="H50" ca="1">INDIRECT(ADDRESS($B50,5,,,"mkt data"))</f>
        <v>#N/A</v>
      </c>
      <c r="I50" s="38" t="e" cm="1">
        <f t="array" aca="1" ref="I50" ca="1">INDIRECT(ADDRESS($B50,6,,,"mkt data"))</f>
        <v>#N/A</v>
      </c>
      <c r="J50" s="171" t="e" cm="1">
        <f t="array" aca="1" ref="J50" ca="1">INDIRECT(ADDRESS($A50,7,,,"SCALARS"))</f>
        <v>#N/A</v>
      </c>
      <c r="K50" s="22" t="e">
        <f t="shared" ca="1" si="31"/>
        <v>#N/A</v>
      </c>
      <c r="L50" s="22" t="e">
        <f t="shared" ca="1" si="32"/>
        <v>#N/A</v>
      </c>
      <c r="M50" s="45" t="e" cm="1">
        <f t="array" aca="1" ref="M50" ca="1">INDIRECT(ADDRESS($A50,6,,,"scalars"))</f>
        <v>#N/A</v>
      </c>
      <c r="N50" s="23" t="e">
        <f ca="1">K50*M50</f>
        <v>#N/A</v>
      </c>
      <c r="O50" s="23" t="e">
        <f t="shared" ca="1" si="33"/>
        <v>#N/A</v>
      </c>
      <c r="P50" s="385"/>
      <c r="Q50" s="387"/>
      <c r="R50" s="296" t="e">
        <f ca="1">IF(Q49&gt;R49,TRUE,FALSE)</f>
        <v>#N/A</v>
      </c>
      <c r="S50" s="263" t="e">
        <f ca="1">AND(IF(U49&gt;-S49,TRUE,FALSE),IF(X49&gt;0,TRUE,FALSE))</f>
        <v>#N/A</v>
      </c>
      <c r="T50" s="385"/>
      <c r="U50" s="387"/>
      <c r="V50" s="296" t="e">
        <f ca="1">IF(U49&gt;V49,TRUE,FALSE)</f>
        <v>#N/A</v>
      </c>
      <c r="W50" s="61" t="e">
        <f ca="1">AND(IF(Q49&gt;-W49,TRUE,FALSE),IF(X49&lt;0,TRUE,FALSE))</f>
        <v>#N/A</v>
      </c>
      <c r="X50" s="29" t="e" cm="1">
        <f t="array" aca="1" ref="X50" ca="1">INDIRECT(ADDRESS($B50,9,,,"mkt data"))</f>
        <v>#N/A</v>
      </c>
      <c r="Y50" s="50" t="e">
        <f t="shared" ca="1" si="34"/>
        <v>#N/A</v>
      </c>
      <c r="Z50" s="29" t="e">
        <f t="shared" ca="1" si="35"/>
        <v>#N/A</v>
      </c>
      <c r="AA50" s="341"/>
      <c r="AB50" s="207" t="str">
        <f t="shared" si="36"/>
        <v>IBDZ</v>
      </c>
      <c r="AC50" s="37" t="e" cm="1">
        <f t="array" aca="1" ref="AC50" ca="1">INDIRECT(ADDRESS($B50,8,,,"mkt data"))</f>
        <v>#N/A</v>
      </c>
      <c r="AD50" s="193" t="e">
        <f t="shared" ca="1" si="37"/>
        <v>#N/A</v>
      </c>
      <c r="AE50" s="193" t="e">
        <f t="shared" ca="1" si="38"/>
        <v>#N/A</v>
      </c>
      <c r="AF50" s="204">
        <v>0</v>
      </c>
      <c r="AG50" s="193" t="e">
        <f t="shared" ca="1" si="39"/>
        <v>#N/A</v>
      </c>
      <c r="AH50" s="193" t="e">
        <f t="shared" ca="1" si="40"/>
        <v>#N/A</v>
      </c>
      <c r="AI50" s="377"/>
    </row>
    <row r="51" spans="1:35" x14ac:dyDescent="0.25">
      <c r="A51" s="80" t="e">
        <f>MATCH(G51,SCALARS!C:C,0)</f>
        <v>#N/A</v>
      </c>
      <c r="B51" s="81" t="e">
        <f>MATCH(G51,'MKT DATA'!B:B,0)</f>
        <v>#N/A</v>
      </c>
      <c r="C51" s="309" t="s">
        <v>307</v>
      </c>
      <c r="D51" s="160" t="e" cm="1">
        <f t="array" aca="1" ref="D51" ca="1">INDIRECT(ADDRESS($A51,8,,,"SCALARS"))</f>
        <v>#N/A</v>
      </c>
      <c r="E51" s="145"/>
      <c r="F51" s="80" t="e" cm="1">
        <f t="array" aca="1" ref="F51" ca="1">INDIRECT(ADDRESS($A51,5,,,"scalars"))</f>
        <v>#N/A</v>
      </c>
      <c r="G51" s="220" t="s">
        <v>243</v>
      </c>
      <c r="H51" s="33" t="e" cm="1">
        <f t="array" aca="1" ref="H51" ca="1">INDIRECT(ADDRESS($B51,5,,,"mkt data"))</f>
        <v>#N/A</v>
      </c>
      <c r="I51" s="34" t="e" cm="1">
        <f t="array" aca="1" ref="I51" ca="1">INDIRECT(ADDRESS($B51,6,,,"mkt data"))</f>
        <v>#N/A</v>
      </c>
      <c r="J51" s="170" t="e" cm="1">
        <f t="array" aca="1" ref="J51" ca="1">INDIRECT(ADDRESS($A51,7,,,"SCALARS"))</f>
        <v>#N/A</v>
      </c>
      <c r="K51" s="16" t="e">
        <f t="shared" ca="1" si="31"/>
        <v>#N/A</v>
      </c>
      <c r="L51" s="16" t="e">
        <f t="shared" ca="1" si="32"/>
        <v>#N/A</v>
      </c>
      <c r="M51" s="44" t="e" cm="1">
        <f t="array" aca="1" ref="M51" ca="1">INDIRECT(ADDRESS($A51,6,,,"scalars"))</f>
        <v>#N/A</v>
      </c>
      <c r="N51" s="17" t="e">
        <f ca="1">K51*M51</f>
        <v>#N/A</v>
      </c>
      <c r="O51" s="17" t="e">
        <f t="shared" ca="1" si="33"/>
        <v>#N/A</v>
      </c>
      <c r="P51" s="384" t="e">
        <f ca="1">N52-O51</f>
        <v>#N/A</v>
      </c>
      <c r="Q51" s="386" t="e">
        <f t="shared" ref="Q51" ca="1" si="47">LN(N52/O51)</f>
        <v>#N/A</v>
      </c>
      <c r="R51" s="295">
        <v>1E-3</v>
      </c>
      <c r="S51" s="262">
        <v>2.0000000000000001E-4</v>
      </c>
      <c r="T51" s="384" t="e">
        <f ca="1">N51-O52</f>
        <v>#N/A</v>
      </c>
      <c r="U51" s="386" t="e">
        <f t="shared" ref="U51" ca="1" si="48">LN(N51/O52)</f>
        <v>#N/A</v>
      </c>
      <c r="V51" s="295">
        <v>1E-3</v>
      </c>
      <c r="W51" s="60">
        <v>2.0000000000000001E-4</v>
      </c>
      <c r="X51" s="27" t="e" cm="1">
        <f t="array" aca="1" ref="X51" ca="1">INDIRECT(ADDRESS($B51,9,,,"mkt data"))</f>
        <v>#N/A</v>
      </c>
      <c r="Y51" s="48" t="e">
        <f t="shared" ca="1" si="34"/>
        <v>#N/A</v>
      </c>
      <c r="Z51" s="27" t="e">
        <f t="shared" ca="1" si="35"/>
        <v>#N/A</v>
      </c>
      <c r="AA51" s="372" t="e">
        <f ca="1">SUM(Z51:Z52)</f>
        <v>#N/A</v>
      </c>
      <c r="AB51" s="199" t="str">
        <f t="shared" si="36"/>
        <v>BSCZ</v>
      </c>
      <c r="AC51" s="33" t="e" cm="1">
        <f t="array" aca="1" ref="AC51" ca="1">INDIRECT(ADDRESS($B51,8,,,"mkt data"))</f>
        <v>#N/A</v>
      </c>
      <c r="AD51" s="191" t="e">
        <f t="shared" ca="1" si="37"/>
        <v>#N/A</v>
      </c>
      <c r="AE51" s="191" t="e">
        <f t="shared" ca="1" si="38"/>
        <v>#N/A</v>
      </c>
      <c r="AF51" s="202">
        <v>0</v>
      </c>
      <c r="AG51" s="191" t="e">
        <f t="shared" ca="1" si="39"/>
        <v>#N/A</v>
      </c>
      <c r="AH51" s="191" t="e">
        <f t="shared" ca="1" si="40"/>
        <v>#N/A</v>
      </c>
      <c r="AI51" s="375" t="e">
        <f ca="1">AH51+AH52</f>
        <v>#N/A</v>
      </c>
    </row>
    <row r="52" spans="1:35" ht="15.75" thickBot="1" x14ac:dyDescent="0.3">
      <c r="A52" s="82" t="e">
        <f>MATCH(G52,SCALARS!C:C,0)</f>
        <v>#N/A</v>
      </c>
      <c r="B52" s="83" t="e">
        <f>MATCH(G52,'MKT DATA'!B:B,0)</f>
        <v>#N/A</v>
      </c>
      <c r="C52" s="310" t="str">
        <f>C51</f>
        <v>2035 tgt</v>
      </c>
      <c r="D52" s="161" t="e" cm="1">
        <f t="array" aca="1" ref="D52" ca="1">INDIRECT(ADDRESS($A52,8,,,"SCALARS"))</f>
        <v>#N/A</v>
      </c>
      <c r="E52" s="146"/>
      <c r="F52" s="82" t="e" cm="1">
        <f t="array" aca="1" ref="F52" ca="1">INDIRECT(ADDRESS($A52,5,,,"scalars"))</f>
        <v>#N/A</v>
      </c>
      <c r="G52" s="221" t="s">
        <v>242</v>
      </c>
      <c r="H52" s="37" t="e" cm="1">
        <f t="array" aca="1" ref="H52" ca="1">INDIRECT(ADDRESS($B52,5,,,"mkt data"))</f>
        <v>#N/A</v>
      </c>
      <c r="I52" s="38" t="e" cm="1">
        <f t="array" aca="1" ref="I52" ca="1">INDIRECT(ADDRESS($B52,6,,,"mkt data"))</f>
        <v>#N/A</v>
      </c>
      <c r="J52" s="171" t="e" cm="1">
        <f t="array" aca="1" ref="J52" ca="1">INDIRECT(ADDRESS($A52,7,,,"SCALARS"))</f>
        <v>#N/A</v>
      </c>
      <c r="K52" s="22" t="e">
        <f t="shared" ca="1" si="31"/>
        <v>#N/A</v>
      </c>
      <c r="L52" s="22" t="e">
        <f t="shared" ca="1" si="32"/>
        <v>#N/A</v>
      </c>
      <c r="M52" s="45" t="e" cm="1">
        <f t="array" aca="1" ref="M52" ca="1">INDIRECT(ADDRESS($A52,6,,,"scalars"))</f>
        <v>#N/A</v>
      </c>
      <c r="N52" s="23" t="e">
        <f ca="1">K52*M52</f>
        <v>#N/A</v>
      </c>
      <c r="O52" s="23" t="e">
        <f t="shared" ca="1" si="33"/>
        <v>#N/A</v>
      </c>
      <c r="P52" s="385"/>
      <c r="Q52" s="387"/>
      <c r="R52" s="296" t="e">
        <f ca="1">IF(Q51&gt;R51,TRUE,FALSE)</f>
        <v>#N/A</v>
      </c>
      <c r="S52" s="263" t="e">
        <f ca="1">AND(IF(U51&gt;-S51,TRUE,FALSE),IF(X51&gt;0,TRUE,FALSE))</f>
        <v>#N/A</v>
      </c>
      <c r="T52" s="385"/>
      <c r="U52" s="387"/>
      <c r="V52" s="296" t="e">
        <f ca="1">IF(U51&gt;V51,TRUE,FALSE)</f>
        <v>#N/A</v>
      </c>
      <c r="W52" s="61" t="e">
        <f ca="1">AND(IF(Q51&gt;-W51,TRUE,FALSE),IF(X51&lt;0,TRUE,FALSE))</f>
        <v>#N/A</v>
      </c>
      <c r="X52" s="29" t="e" cm="1">
        <f t="array" aca="1" ref="X52" ca="1">INDIRECT(ADDRESS($B52,9,,,"mkt data"))</f>
        <v>#N/A</v>
      </c>
      <c r="Y52" s="50" t="e">
        <f t="shared" ca="1" si="34"/>
        <v>#N/A</v>
      </c>
      <c r="Z52" s="29" t="e">
        <f t="shared" ca="1" si="35"/>
        <v>#N/A</v>
      </c>
      <c r="AA52" s="374"/>
      <c r="AB52" s="207" t="str">
        <f t="shared" si="36"/>
        <v>IBCA</v>
      </c>
      <c r="AC52" s="37" t="e" cm="1">
        <f t="array" aca="1" ref="AC52" ca="1">INDIRECT(ADDRESS($B52,8,,,"mkt data"))</f>
        <v>#N/A</v>
      </c>
      <c r="AD52" s="193" t="e">
        <f t="shared" ca="1" si="37"/>
        <v>#N/A</v>
      </c>
      <c r="AE52" s="193" t="e">
        <f t="shared" ca="1" si="38"/>
        <v>#N/A</v>
      </c>
      <c r="AF52" s="204">
        <v>0</v>
      </c>
      <c r="AG52" s="193" t="e">
        <f t="shared" ca="1" si="39"/>
        <v>#N/A</v>
      </c>
      <c r="AH52" s="193" t="e">
        <f t="shared" ca="1" si="40"/>
        <v>#N/A</v>
      </c>
      <c r="AI52" s="377"/>
    </row>
    <row r="53" spans="1:35" ht="9.9499999999999993" customHeight="1" thickBot="1" x14ac:dyDescent="0.3">
      <c r="A53" s="234"/>
      <c r="B53" s="234"/>
      <c r="C53" s="234"/>
      <c r="D53" s="235"/>
      <c r="E53" s="236"/>
      <c r="F53" s="237"/>
      <c r="G53" s="238"/>
      <c r="H53" s="239"/>
      <c r="I53" s="239"/>
      <c r="J53" s="240"/>
      <c r="K53" s="241"/>
      <c r="L53" s="241"/>
      <c r="M53" s="242"/>
      <c r="N53" s="243"/>
      <c r="O53" s="243"/>
      <c r="P53" s="244"/>
      <c r="Q53" s="245"/>
      <c r="R53" s="247"/>
      <c r="S53" s="264"/>
      <c r="T53" s="246"/>
      <c r="U53" s="245"/>
      <c r="V53" s="247"/>
      <c r="W53" s="265"/>
      <c r="X53" s="248"/>
      <c r="Y53" s="249"/>
      <c r="Z53" s="248"/>
      <c r="AA53" s="250"/>
      <c r="AB53" s="251"/>
      <c r="AC53" s="239"/>
      <c r="AD53" s="239"/>
      <c r="AE53" s="239"/>
      <c r="AF53" s="239"/>
      <c r="AG53" s="252"/>
      <c r="AH53" s="252"/>
      <c r="AI53" s="253"/>
    </row>
    <row r="54" spans="1:35" s="10" customFormat="1" x14ac:dyDescent="0.25">
      <c r="A54" s="80" t="e">
        <f>MATCH(G54,SCALARS!C:C,0)</f>
        <v>#N/A</v>
      </c>
      <c r="B54" s="81" t="e">
        <f>MATCH(G54,'MKT DATA'!B:B,0)</f>
        <v>#N/A</v>
      </c>
      <c r="C54" s="307" t="s">
        <v>299</v>
      </c>
      <c r="D54" s="160" t="e" cm="1">
        <f t="array" aca="1" ref="D54" ca="1">INDIRECT(ADDRESS($A54,8,,,"SCALARS"))</f>
        <v>#N/A</v>
      </c>
      <c r="E54" s="311"/>
      <c r="F54" s="80" t="e" cm="1">
        <f t="array" aca="1" ref="F54" ca="1">INDIRECT(ADDRESS($A54,5,,,"scalars"))</f>
        <v>#N/A</v>
      </c>
      <c r="G54" s="312" t="s">
        <v>336</v>
      </c>
      <c r="H54" s="313" t="e" cm="1">
        <f t="array" aca="1" ref="H54" ca="1">INDIRECT(ADDRESS($B54,5,,,"mkt data"))</f>
        <v>#N/A</v>
      </c>
      <c r="I54" s="314" t="e" cm="1">
        <f t="array" aca="1" ref="I54" ca="1">INDIRECT(ADDRESS($B54,6,,,"mkt data"))</f>
        <v>#N/A</v>
      </c>
      <c r="J54" s="315" t="e" cm="1">
        <f t="array" aca="1" ref="J54" ca="1">INDIRECT(ADDRESS($A54,7,,,"SCALARS"))</f>
        <v>#N/A</v>
      </c>
      <c r="K54" s="16" t="e">
        <f t="shared" ref="K54:K63" ca="1" si="49">H54+J54-K$1</f>
        <v>#N/A</v>
      </c>
      <c r="L54" s="16" t="e">
        <f t="shared" ref="L54:L63" ca="1" si="50">I54+J54+K$1</f>
        <v>#N/A</v>
      </c>
      <c r="M54" s="316" t="e" cm="1">
        <f t="array" aca="1" ref="M54" ca="1">INDIRECT(ADDRESS($A54,6,,,"scalars"))</f>
        <v>#N/A</v>
      </c>
      <c r="N54" s="16" t="e">
        <f t="shared" ref="N54:N55" ca="1" si="51">K54*M54</f>
        <v>#N/A</v>
      </c>
      <c r="O54" s="16" t="e">
        <f t="shared" ref="O54:O63" ca="1" si="52">M54*L54</f>
        <v>#N/A</v>
      </c>
      <c r="P54" s="406" t="e">
        <f ca="1">N55-O54</f>
        <v>#N/A</v>
      </c>
      <c r="Q54" s="408" t="e">
        <f ca="1">LN(N55/O54)</f>
        <v>#N/A</v>
      </c>
      <c r="R54" s="317">
        <v>1E-3</v>
      </c>
      <c r="S54" s="318">
        <v>2.0000000000000001E-4</v>
      </c>
      <c r="T54" s="406" t="e">
        <f ca="1">N54-O55</f>
        <v>#N/A</v>
      </c>
      <c r="U54" s="408" t="e">
        <f ca="1">LN(N54/O55)</f>
        <v>#N/A</v>
      </c>
      <c r="V54" s="317">
        <v>1E-3</v>
      </c>
      <c r="W54" s="319">
        <v>2.0000000000000001E-4</v>
      </c>
      <c r="X54" s="320" t="e" cm="1">
        <f t="array" aca="1" ref="X54" ca="1">INDIRECT(ADDRESS($B54,9,,,"mkt data"))</f>
        <v>#N/A</v>
      </c>
      <c r="Y54" s="321" t="e">
        <f t="shared" ref="Y54:Y63" ca="1" si="53">X54*AVERAGE(H54:I54)</f>
        <v>#N/A</v>
      </c>
      <c r="Z54" s="320" t="e">
        <f t="shared" ref="Z54:Z63" ca="1" si="54">X54/M54</f>
        <v>#N/A</v>
      </c>
      <c r="AA54" s="412" t="e">
        <f ca="1">SUM(Z54:Z55)</f>
        <v>#N/A</v>
      </c>
      <c r="AB54" s="322" t="str">
        <f t="shared" ref="AB54:AB63" si="55">G54</f>
        <v>BSGR</v>
      </c>
      <c r="AC54" s="313" t="e" cm="1">
        <f t="array" aca="1" ref="AC54" ca="1">INDIRECT(ADDRESS($B54,8,,,"mkt data"))</f>
        <v>#N/A</v>
      </c>
      <c r="AD54" s="323" t="e">
        <f t="shared" ref="AD54:AD63" ca="1" si="56">AVERAGE(H54,I54)</f>
        <v>#N/A</v>
      </c>
      <c r="AE54" s="323" t="e">
        <f t="shared" ref="AE54:AE63" ca="1" si="57">AD54-AC54</f>
        <v>#N/A</v>
      </c>
      <c r="AF54" s="324">
        <v>0</v>
      </c>
      <c r="AG54" s="323" t="e">
        <f t="shared" ref="AG54:AG63" ca="1" si="58">AE54+AF54</f>
        <v>#N/A</v>
      </c>
      <c r="AH54" s="323" t="e">
        <f t="shared" ref="AH54:AH63" ca="1" si="59">AG54*X54</f>
        <v>#N/A</v>
      </c>
      <c r="AI54" s="404" t="e">
        <f ca="1">AH54+AH55</f>
        <v>#N/A</v>
      </c>
    </row>
    <row r="55" spans="1:35" s="10" customFormat="1" ht="15.75" thickBot="1" x14ac:dyDescent="0.3">
      <c r="A55" s="82" t="e">
        <f>MATCH(G55,SCALARS!C:C,0)</f>
        <v>#N/A</v>
      </c>
      <c r="B55" s="83" t="e">
        <f>MATCH(G55,'MKT DATA'!B:B,0)</f>
        <v>#N/A</v>
      </c>
      <c r="C55" s="308" t="str">
        <f>C54</f>
        <v>2027 tgt</v>
      </c>
      <c r="D55" s="161" t="e" cm="1">
        <f t="array" aca="1" ref="D55" ca="1">INDIRECT(ADDRESS($A55,8,,,"SCALARS"))</f>
        <v>#N/A</v>
      </c>
      <c r="E55" s="325"/>
      <c r="F55" s="82" t="e" cm="1">
        <f t="array" aca="1" ref="F55" ca="1">INDIRECT(ADDRESS($A55,5,,,"scalars"))</f>
        <v>#N/A</v>
      </c>
      <c r="G55" s="326" t="s">
        <v>337</v>
      </c>
      <c r="H55" s="327" t="e" cm="1">
        <f t="array" aca="1" ref="H55" ca="1">INDIRECT(ADDRESS($B55,5,,,"mkt data"))</f>
        <v>#N/A</v>
      </c>
      <c r="I55" s="328" t="e" cm="1">
        <f t="array" aca="1" ref="I55" ca="1">INDIRECT(ADDRESS($B55,6,,,"mkt data"))</f>
        <v>#N/A</v>
      </c>
      <c r="J55" s="329" t="e" cm="1">
        <f t="array" aca="1" ref="J55" ca="1">INDIRECT(ADDRESS($A55,7,,,"SCALARS"))</f>
        <v>#N/A</v>
      </c>
      <c r="K55" s="22" t="e">
        <f t="shared" ca="1" si="49"/>
        <v>#N/A</v>
      </c>
      <c r="L55" s="22" t="e">
        <f t="shared" ca="1" si="50"/>
        <v>#N/A</v>
      </c>
      <c r="M55" s="330" t="e" cm="1">
        <f t="array" aca="1" ref="M55" ca="1">INDIRECT(ADDRESS($A55,6,,,"scalars"))</f>
        <v>#N/A</v>
      </c>
      <c r="N55" s="22" t="e">
        <f t="shared" ca="1" si="51"/>
        <v>#N/A</v>
      </c>
      <c r="O55" s="22" t="e">
        <f t="shared" ca="1" si="52"/>
        <v>#N/A</v>
      </c>
      <c r="P55" s="407"/>
      <c r="Q55" s="409"/>
      <c r="R55" s="331" t="e">
        <f ca="1">IF(Q54&gt;R54,TRUE,FALSE)</f>
        <v>#N/A</v>
      </c>
      <c r="S55" s="332" t="e">
        <f ca="1">AND(IF(U54&gt;-S54,TRUE,FALSE),IF(X54&gt;0,TRUE,FALSE))</f>
        <v>#N/A</v>
      </c>
      <c r="T55" s="407"/>
      <c r="U55" s="409"/>
      <c r="V55" s="331" t="e">
        <f ca="1">IF(U54&gt;V54,TRUE,FALSE)</f>
        <v>#N/A</v>
      </c>
      <c r="W55" s="333" t="e">
        <f ca="1">AND(IF(Q54&gt;-W54,TRUE,FALSE),IF(X54&lt;0,TRUE,FALSE))</f>
        <v>#N/A</v>
      </c>
      <c r="X55" s="334" t="e" cm="1">
        <f t="array" aca="1" ref="X55" ca="1">INDIRECT(ADDRESS($B55,9,,,"mkt data"))</f>
        <v>#N/A</v>
      </c>
      <c r="Y55" s="335" t="e">
        <f t="shared" ca="1" si="53"/>
        <v>#N/A</v>
      </c>
      <c r="Z55" s="334" t="e">
        <f t="shared" ca="1" si="54"/>
        <v>#N/A</v>
      </c>
      <c r="AA55" s="413"/>
      <c r="AB55" s="336" t="str">
        <f t="shared" si="55"/>
        <v>IBTH</v>
      </c>
      <c r="AC55" s="327" t="e" cm="1">
        <f t="array" aca="1" ref="AC55" ca="1">INDIRECT(ADDRESS($B55,8,,,"mkt data"))</f>
        <v>#N/A</v>
      </c>
      <c r="AD55" s="337" t="e">
        <f t="shared" ca="1" si="56"/>
        <v>#N/A</v>
      </c>
      <c r="AE55" s="337" t="e">
        <f t="shared" ca="1" si="57"/>
        <v>#N/A</v>
      </c>
      <c r="AF55" s="338">
        <v>0</v>
      </c>
      <c r="AG55" s="337" t="e">
        <f t="shared" ca="1" si="58"/>
        <v>#N/A</v>
      </c>
      <c r="AH55" s="337" t="e">
        <f t="shared" ca="1" si="59"/>
        <v>#N/A</v>
      </c>
      <c r="AI55" s="405"/>
    </row>
    <row r="56" spans="1:35" s="10" customFormat="1" x14ac:dyDescent="0.25">
      <c r="A56" s="80" t="e">
        <f>MATCH(G56,SCALARS!C:C,0)</f>
        <v>#N/A</v>
      </c>
      <c r="B56" s="81" t="e">
        <f>MATCH(G56,'MKT DATA'!B:B,0)</f>
        <v>#N/A</v>
      </c>
      <c r="C56" s="307" t="s">
        <v>300</v>
      </c>
      <c r="D56" s="160" t="e" cm="1">
        <f t="array" aca="1" ref="D56" ca="1">INDIRECT(ADDRESS($A56,8,,,"SCALARS"))</f>
        <v>#N/A</v>
      </c>
      <c r="E56" s="311"/>
      <c r="F56" s="80" t="e" cm="1">
        <f t="array" aca="1" ref="F56" ca="1">INDIRECT(ADDRESS($A56,5,,,"scalars"))</f>
        <v>#N/A</v>
      </c>
      <c r="G56" s="312" t="s">
        <v>338</v>
      </c>
      <c r="H56" s="313" t="e" cm="1">
        <f t="array" aca="1" ref="H56" ca="1">INDIRECT(ADDRESS($B56,5,,,"mkt data"))</f>
        <v>#N/A</v>
      </c>
      <c r="I56" s="314" t="e" cm="1">
        <f t="array" aca="1" ref="I56" ca="1">INDIRECT(ADDRESS($B56,6,,,"mkt data"))</f>
        <v>#N/A</v>
      </c>
      <c r="J56" s="315" t="e" cm="1">
        <f t="array" aca="1" ref="J56" ca="1">INDIRECT(ADDRESS($A56,7,,,"SCALARS"))</f>
        <v>#N/A</v>
      </c>
      <c r="K56" s="16" t="e">
        <f t="shared" ca="1" si="49"/>
        <v>#N/A</v>
      </c>
      <c r="L56" s="16" t="e">
        <f t="shared" ca="1" si="50"/>
        <v>#N/A</v>
      </c>
      <c r="M56" s="316" t="e" cm="1">
        <f t="array" aca="1" ref="M56" ca="1">INDIRECT(ADDRESS($A56,6,,,"scalars"))</f>
        <v>#N/A</v>
      </c>
      <c r="N56" s="16" t="e">
        <f ca="1">K56*M56</f>
        <v>#N/A</v>
      </c>
      <c r="O56" s="16" t="e">
        <f t="shared" ca="1" si="52"/>
        <v>#N/A</v>
      </c>
      <c r="P56" s="406" t="e">
        <f ca="1">N57-O56</f>
        <v>#N/A</v>
      </c>
      <c r="Q56" s="408" t="e">
        <f ca="1">LN(N57/O56)</f>
        <v>#N/A</v>
      </c>
      <c r="R56" s="317">
        <v>1E-3</v>
      </c>
      <c r="S56" s="318">
        <v>2.0000000000000001E-4</v>
      </c>
      <c r="T56" s="406" t="e">
        <f ca="1">N56-O57</f>
        <v>#N/A</v>
      </c>
      <c r="U56" s="408" t="e">
        <f ca="1">LN(N56/O57)</f>
        <v>#N/A</v>
      </c>
      <c r="V56" s="317">
        <v>1E-3</v>
      </c>
      <c r="W56" s="319">
        <v>2.0000000000000001E-4</v>
      </c>
      <c r="X56" s="320" t="e" cm="1">
        <f t="array" aca="1" ref="X56" ca="1">INDIRECT(ADDRESS($B56,9,,,"mkt data"))</f>
        <v>#N/A</v>
      </c>
      <c r="Y56" s="321" t="e">
        <f t="shared" ca="1" si="53"/>
        <v>#N/A</v>
      </c>
      <c r="Z56" s="320" t="e">
        <f t="shared" ca="1" si="54"/>
        <v>#N/A</v>
      </c>
      <c r="AA56" s="412" t="e">
        <f ca="1">SUM(Z56:Z57)</f>
        <v>#N/A</v>
      </c>
      <c r="AB56" s="322" t="str">
        <f t="shared" si="55"/>
        <v>BSTS</v>
      </c>
      <c r="AC56" s="313" t="e" cm="1">
        <f t="array" aca="1" ref="AC56" ca="1">INDIRECT(ADDRESS($B56,8,,,"mkt data"))</f>
        <v>#N/A</v>
      </c>
      <c r="AD56" s="323" t="e">
        <f t="shared" ca="1" si="56"/>
        <v>#N/A</v>
      </c>
      <c r="AE56" s="323" t="e">
        <f t="shared" ca="1" si="57"/>
        <v>#N/A</v>
      </c>
      <c r="AF56" s="324">
        <v>0</v>
      </c>
      <c r="AG56" s="323" t="e">
        <f t="shared" ca="1" si="58"/>
        <v>#N/A</v>
      </c>
      <c r="AH56" s="323" t="e">
        <f t="shared" ca="1" si="59"/>
        <v>#N/A</v>
      </c>
      <c r="AI56" s="404" t="e">
        <f ca="1">AH56+AH57</f>
        <v>#N/A</v>
      </c>
    </row>
    <row r="57" spans="1:35" s="10" customFormat="1" ht="15.75" thickBot="1" x14ac:dyDescent="0.3">
      <c r="A57" s="82" t="e">
        <f>MATCH(G57,SCALARS!C:C,0)</f>
        <v>#N/A</v>
      </c>
      <c r="B57" s="83" t="e">
        <f>MATCH(G57,'MKT DATA'!B:B,0)</f>
        <v>#N/A</v>
      </c>
      <c r="C57" s="308" t="str">
        <f>C56</f>
        <v>2028 tgt</v>
      </c>
      <c r="D57" s="161" t="e" cm="1">
        <f t="array" aca="1" ref="D57" ca="1">INDIRECT(ADDRESS($A57,8,,,"SCALARS"))</f>
        <v>#N/A</v>
      </c>
      <c r="E57" s="325"/>
      <c r="F57" s="82" t="e" cm="1">
        <f t="array" aca="1" ref="F57" ca="1">INDIRECT(ADDRESS($A57,5,,,"scalars"))</f>
        <v>#N/A</v>
      </c>
      <c r="G57" s="326" t="s">
        <v>339</v>
      </c>
      <c r="H57" s="327" t="e" cm="1">
        <f t="array" aca="1" ref="H57" ca="1">INDIRECT(ADDRESS($B57,5,,,"mkt data"))</f>
        <v>#N/A</v>
      </c>
      <c r="I57" s="328" t="e" cm="1">
        <f t="array" aca="1" ref="I57" ca="1">INDIRECT(ADDRESS($B57,6,,,"mkt data"))</f>
        <v>#N/A</v>
      </c>
      <c r="J57" s="329" t="e" cm="1">
        <f t="array" aca="1" ref="J57" ca="1">INDIRECT(ADDRESS($A57,7,,,"SCALARS"))</f>
        <v>#N/A</v>
      </c>
      <c r="K57" s="22" t="e">
        <f t="shared" ca="1" si="49"/>
        <v>#N/A</v>
      </c>
      <c r="L57" s="22" t="e">
        <f t="shared" ca="1" si="50"/>
        <v>#N/A</v>
      </c>
      <c r="M57" s="330" t="e" cm="1">
        <f t="array" aca="1" ref="M57" ca="1">INDIRECT(ADDRESS($A57,6,,,"scalars"))</f>
        <v>#N/A</v>
      </c>
      <c r="N57" s="22" t="e">
        <f t="shared" ref="N57:N58" ca="1" si="60">K57*M57</f>
        <v>#N/A</v>
      </c>
      <c r="O57" s="22" t="e">
        <f t="shared" ca="1" si="52"/>
        <v>#N/A</v>
      </c>
      <c r="P57" s="407"/>
      <c r="Q57" s="409"/>
      <c r="R57" s="331" t="e">
        <f ca="1">IF(Q56&gt;R56,TRUE,FALSE)</f>
        <v>#N/A</v>
      </c>
      <c r="S57" s="332" t="e">
        <f ca="1">AND(IF(U56&gt;-S56,TRUE,FALSE),IF(X56&gt;0,TRUE,FALSE))</f>
        <v>#N/A</v>
      </c>
      <c r="T57" s="407"/>
      <c r="U57" s="409"/>
      <c r="V57" s="331" t="e">
        <f ca="1">IF(U56&gt;V56,TRUE,FALSE)</f>
        <v>#N/A</v>
      </c>
      <c r="W57" s="333" t="e">
        <f ca="1">AND(IF(Q56&gt;-W56,TRUE,FALSE),IF(X56&lt;0,TRUE,FALSE))</f>
        <v>#N/A</v>
      </c>
      <c r="X57" s="334" t="e" cm="1">
        <f t="array" aca="1" ref="X57" ca="1">INDIRECT(ADDRESS($B57,9,,,"mkt data"))</f>
        <v>#N/A</v>
      </c>
      <c r="Y57" s="335" t="e">
        <f t="shared" ca="1" si="53"/>
        <v>#N/A</v>
      </c>
      <c r="Z57" s="334" t="e">
        <f t="shared" ca="1" si="54"/>
        <v>#N/A</v>
      </c>
      <c r="AA57" s="413"/>
      <c r="AB57" s="336" t="str">
        <f t="shared" si="55"/>
        <v>IBTI</v>
      </c>
      <c r="AC57" s="327" t="e" cm="1">
        <f t="array" aca="1" ref="AC57" ca="1">INDIRECT(ADDRESS($B57,8,,,"mkt data"))</f>
        <v>#N/A</v>
      </c>
      <c r="AD57" s="337" t="e">
        <f t="shared" ca="1" si="56"/>
        <v>#N/A</v>
      </c>
      <c r="AE57" s="337" t="e">
        <f t="shared" ca="1" si="57"/>
        <v>#N/A</v>
      </c>
      <c r="AF57" s="338">
        <v>0</v>
      </c>
      <c r="AG57" s="337" t="e">
        <f t="shared" ca="1" si="58"/>
        <v>#N/A</v>
      </c>
      <c r="AH57" s="337" t="e">
        <f t="shared" ca="1" si="59"/>
        <v>#N/A</v>
      </c>
      <c r="AI57" s="405"/>
    </row>
    <row r="58" spans="1:35" s="10" customFormat="1" x14ac:dyDescent="0.25">
      <c r="A58" s="80" t="e">
        <f>MATCH(G58,SCALARS!C:C,0)</f>
        <v>#N/A</v>
      </c>
      <c r="B58" s="81" t="e">
        <f>MATCH(G58,'MKT DATA'!B:B,0)</f>
        <v>#N/A</v>
      </c>
      <c r="C58" s="307" t="s">
        <v>301</v>
      </c>
      <c r="D58" s="160" t="e" cm="1">
        <f t="array" aca="1" ref="D58" ca="1">INDIRECT(ADDRESS($A58,8,,,"SCALARS"))</f>
        <v>#N/A</v>
      </c>
      <c r="E58" s="311"/>
      <c r="F58" s="80" t="e" cm="1">
        <f t="array" aca="1" ref="F58" ca="1">INDIRECT(ADDRESS($A58,5,,,"scalars"))</f>
        <v>#N/A</v>
      </c>
      <c r="G58" s="312" t="s">
        <v>340</v>
      </c>
      <c r="H58" s="313" t="e" cm="1">
        <f t="array" aca="1" ref="H58" ca="1">INDIRECT(ADDRESS($B58,5,,,"mkt data"))</f>
        <v>#N/A</v>
      </c>
      <c r="I58" s="314" t="e" cm="1">
        <f t="array" aca="1" ref="I58" ca="1">INDIRECT(ADDRESS($B58,6,,,"mkt data"))</f>
        <v>#N/A</v>
      </c>
      <c r="J58" s="315" t="e" cm="1">
        <f t="array" aca="1" ref="J58" ca="1">INDIRECT(ADDRESS($A58,7,,,"SCALARS"))</f>
        <v>#N/A</v>
      </c>
      <c r="K58" s="16" t="e">
        <f t="shared" ca="1" si="49"/>
        <v>#N/A</v>
      </c>
      <c r="L58" s="16" t="e">
        <f t="shared" ca="1" si="50"/>
        <v>#N/A</v>
      </c>
      <c r="M58" s="316" t="e" cm="1">
        <f t="array" aca="1" ref="M58" ca="1">INDIRECT(ADDRESS($A58,6,,,"scalars"))</f>
        <v>#N/A</v>
      </c>
      <c r="N58" s="16" t="e">
        <f t="shared" ca="1" si="60"/>
        <v>#N/A</v>
      </c>
      <c r="O58" s="16" t="e">
        <f t="shared" ca="1" si="52"/>
        <v>#N/A</v>
      </c>
      <c r="P58" s="406" t="e">
        <f ca="1">N59-O58</f>
        <v>#N/A</v>
      </c>
      <c r="Q58" s="408" t="e">
        <f ca="1">LN(N59/O58)</f>
        <v>#N/A</v>
      </c>
      <c r="R58" s="317">
        <v>1E-3</v>
      </c>
      <c r="S58" s="318">
        <v>2.0000000000000001E-4</v>
      </c>
      <c r="T58" s="406" t="e">
        <f ca="1">N58-O59</f>
        <v>#N/A</v>
      </c>
      <c r="U58" s="408" t="e">
        <f ca="1">LN(N58/O59)</f>
        <v>#N/A</v>
      </c>
      <c r="V58" s="317">
        <v>1E-3</v>
      </c>
      <c r="W58" s="319">
        <v>2.0000000000000001E-4</v>
      </c>
      <c r="X58" s="320" t="e" cm="1">
        <f t="array" aca="1" ref="X58" ca="1">INDIRECT(ADDRESS($B58,9,,,"mkt data"))</f>
        <v>#N/A</v>
      </c>
      <c r="Y58" s="321" t="e">
        <f t="shared" ca="1" si="53"/>
        <v>#N/A</v>
      </c>
      <c r="Z58" s="320" t="e">
        <f t="shared" ca="1" si="54"/>
        <v>#N/A</v>
      </c>
      <c r="AA58" s="414" t="e">
        <f ca="1">SUM(Z58:Z59)</f>
        <v>#N/A</v>
      </c>
      <c r="AB58" s="322" t="str">
        <f t="shared" si="55"/>
        <v>BSGT</v>
      </c>
      <c r="AC58" s="313" t="e" cm="1">
        <f t="array" aca="1" ref="AC58" ca="1">INDIRECT(ADDRESS($B58,8,,,"mkt data"))</f>
        <v>#N/A</v>
      </c>
      <c r="AD58" s="323" t="e">
        <f t="shared" ca="1" si="56"/>
        <v>#N/A</v>
      </c>
      <c r="AE58" s="323" t="e">
        <f t="shared" ca="1" si="57"/>
        <v>#N/A</v>
      </c>
      <c r="AF58" s="324">
        <v>0</v>
      </c>
      <c r="AG58" s="323" t="e">
        <f t="shared" ca="1" si="58"/>
        <v>#N/A</v>
      </c>
      <c r="AH58" s="323" t="e">
        <f t="shared" ca="1" si="59"/>
        <v>#N/A</v>
      </c>
      <c r="AI58" s="404" t="e">
        <f ca="1">AH58+AH59</f>
        <v>#N/A</v>
      </c>
    </row>
    <row r="59" spans="1:35" s="10" customFormat="1" ht="15.75" thickBot="1" x14ac:dyDescent="0.3">
      <c r="A59" s="82" t="e">
        <f>MATCH(G59,SCALARS!C:C,0)</f>
        <v>#N/A</v>
      </c>
      <c r="B59" s="83" t="e">
        <f>MATCH(G59,'MKT DATA'!B:B,0)</f>
        <v>#N/A</v>
      </c>
      <c r="C59" s="308" t="str">
        <f>C58</f>
        <v>2029 tgt</v>
      </c>
      <c r="D59" s="161" t="e" cm="1">
        <f t="array" aca="1" ref="D59" ca="1">INDIRECT(ADDRESS($A59,8,,,"SCALARS"))</f>
        <v>#N/A</v>
      </c>
      <c r="E59" s="325"/>
      <c r="F59" s="82" t="e" cm="1">
        <f t="array" aca="1" ref="F59" ca="1">INDIRECT(ADDRESS($A59,5,,,"scalars"))</f>
        <v>#N/A</v>
      </c>
      <c r="G59" s="326" t="s">
        <v>341</v>
      </c>
      <c r="H59" s="327" t="e" cm="1">
        <f t="array" aca="1" ref="H59" ca="1">INDIRECT(ADDRESS($B59,5,,,"mkt data"))</f>
        <v>#N/A</v>
      </c>
      <c r="I59" s="328" t="e" cm="1">
        <f t="array" aca="1" ref="I59" ca="1">INDIRECT(ADDRESS($B59,6,,,"mkt data"))</f>
        <v>#N/A</v>
      </c>
      <c r="J59" s="329" t="e" cm="1">
        <f t="array" aca="1" ref="J59" ca="1">INDIRECT(ADDRESS($A59,7,,,"SCALARS"))</f>
        <v>#N/A</v>
      </c>
      <c r="K59" s="22" t="e">
        <f t="shared" ca="1" si="49"/>
        <v>#N/A</v>
      </c>
      <c r="L59" s="22" t="e">
        <f t="shared" ca="1" si="50"/>
        <v>#N/A</v>
      </c>
      <c r="M59" s="330" t="e" cm="1">
        <f t="array" aca="1" ref="M59" ca="1">INDIRECT(ADDRESS($A59,6,,,"scalars"))</f>
        <v>#N/A</v>
      </c>
      <c r="N59" s="22" t="e">
        <f ca="1">K59*M59</f>
        <v>#N/A</v>
      </c>
      <c r="O59" s="22" t="e">
        <f t="shared" ca="1" si="52"/>
        <v>#N/A</v>
      </c>
      <c r="P59" s="407"/>
      <c r="Q59" s="409"/>
      <c r="R59" s="331" t="e">
        <f ca="1">IF(Q58&gt;R58,TRUE,FALSE)</f>
        <v>#N/A</v>
      </c>
      <c r="S59" s="332" t="e">
        <f ca="1">AND(IF(U58&gt;-S58,TRUE,FALSE),IF(X58&gt;0,TRUE,FALSE))</f>
        <v>#N/A</v>
      </c>
      <c r="T59" s="407"/>
      <c r="U59" s="409"/>
      <c r="V59" s="331" t="e">
        <f ca="1">IF(U58&gt;V58,TRUE,FALSE)</f>
        <v>#N/A</v>
      </c>
      <c r="W59" s="333" t="e">
        <f ca="1">AND(IF(Q58&gt;-W58,TRUE,FALSE),IF(X58&lt;0,TRUE,FALSE))</f>
        <v>#N/A</v>
      </c>
      <c r="X59" s="334" t="e" cm="1">
        <f t="array" aca="1" ref="X59" ca="1">INDIRECT(ADDRESS($B59,9,,,"mkt data"))</f>
        <v>#N/A</v>
      </c>
      <c r="Y59" s="335" t="e">
        <f t="shared" ca="1" si="53"/>
        <v>#N/A</v>
      </c>
      <c r="Z59" s="334" t="e">
        <f t="shared" ca="1" si="54"/>
        <v>#N/A</v>
      </c>
      <c r="AA59" s="415"/>
      <c r="AB59" s="336" t="str">
        <f t="shared" si="55"/>
        <v>IBTJ</v>
      </c>
      <c r="AC59" s="327" t="e" cm="1">
        <f t="array" aca="1" ref="AC59" ca="1">INDIRECT(ADDRESS($B59,8,,,"mkt data"))</f>
        <v>#N/A</v>
      </c>
      <c r="AD59" s="337" t="e">
        <f t="shared" ca="1" si="56"/>
        <v>#N/A</v>
      </c>
      <c r="AE59" s="337" t="e">
        <f t="shared" ca="1" si="57"/>
        <v>#N/A</v>
      </c>
      <c r="AF59" s="338">
        <v>0</v>
      </c>
      <c r="AG59" s="337" t="e">
        <f t="shared" ca="1" si="58"/>
        <v>#N/A</v>
      </c>
      <c r="AH59" s="337" t="e">
        <f t="shared" ca="1" si="59"/>
        <v>#N/A</v>
      </c>
      <c r="AI59" s="405"/>
    </row>
    <row r="60" spans="1:35" s="10" customFormat="1" x14ac:dyDescent="0.25">
      <c r="A60" s="80" t="e">
        <f>MATCH(G60,SCALARS!C:C,0)</f>
        <v>#N/A</v>
      </c>
      <c r="B60" s="81" t="e">
        <f>MATCH(G60,'MKT DATA'!B:B,0)</f>
        <v>#N/A</v>
      </c>
      <c r="C60" s="307" t="s">
        <v>302</v>
      </c>
      <c r="D60" s="160" t="e" cm="1">
        <f t="array" aca="1" ref="D60" ca="1">INDIRECT(ADDRESS($A60,8,,,"SCALARS"))</f>
        <v>#N/A</v>
      </c>
      <c r="E60" s="311"/>
      <c r="F60" s="80" t="e" cm="1">
        <f t="array" aca="1" ref="F60" ca="1">INDIRECT(ADDRESS($A60,5,,,"scalars"))</f>
        <v>#N/A</v>
      </c>
      <c r="G60" s="312" t="s">
        <v>342</v>
      </c>
      <c r="H60" s="313" t="e" cm="1">
        <f t="array" aca="1" ref="H60" ca="1">INDIRECT(ADDRESS($B60,5,,,"mkt data"))</f>
        <v>#N/A</v>
      </c>
      <c r="I60" s="314" t="e" cm="1">
        <f t="array" aca="1" ref="I60" ca="1">INDIRECT(ADDRESS($B60,6,,,"mkt data"))</f>
        <v>#N/A</v>
      </c>
      <c r="J60" s="315" t="e" cm="1">
        <f t="array" aca="1" ref="J60" ca="1">INDIRECT(ADDRESS($A60,7,,,"SCALARS"))</f>
        <v>#N/A</v>
      </c>
      <c r="K60" s="16" t="e">
        <f t="shared" ca="1" si="49"/>
        <v>#N/A</v>
      </c>
      <c r="L60" s="16" t="e">
        <f t="shared" ca="1" si="50"/>
        <v>#N/A</v>
      </c>
      <c r="M60" s="316" t="e" cm="1">
        <f t="array" aca="1" ref="M60" ca="1">INDIRECT(ADDRESS($A60,6,,,"scalars"))</f>
        <v>#N/A</v>
      </c>
      <c r="N60" s="16" t="e">
        <f ca="1">K60*M60</f>
        <v>#N/A</v>
      </c>
      <c r="O60" s="16" t="e">
        <f t="shared" ca="1" si="52"/>
        <v>#N/A</v>
      </c>
      <c r="P60" s="406" t="e">
        <f ca="1">N61-O60</f>
        <v>#N/A</v>
      </c>
      <c r="Q60" s="408" t="e">
        <f t="shared" ref="Q60" ca="1" si="61">LN(N61/O60)</f>
        <v>#N/A</v>
      </c>
      <c r="R60" s="317">
        <v>1E-3</v>
      </c>
      <c r="S60" s="318">
        <v>2.0000000000000001E-4</v>
      </c>
      <c r="T60" s="406" t="e">
        <f ca="1">N60-O61</f>
        <v>#N/A</v>
      </c>
      <c r="U60" s="408" t="e">
        <f t="shared" ref="U60" ca="1" si="62">LN(N60/O61)</f>
        <v>#N/A</v>
      </c>
      <c r="V60" s="317">
        <v>1E-3</v>
      </c>
      <c r="W60" s="319">
        <v>2.0000000000000001E-4</v>
      </c>
      <c r="X60" s="320" t="e" cm="1">
        <f t="array" aca="1" ref="X60" ca="1">INDIRECT(ADDRESS($B60,9,,,"mkt data"))</f>
        <v>#N/A</v>
      </c>
      <c r="Y60" s="321" t="e">
        <f t="shared" ca="1" si="53"/>
        <v>#N/A</v>
      </c>
      <c r="Z60" s="320" t="e">
        <f t="shared" ca="1" si="54"/>
        <v>#N/A</v>
      </c>
      <c r="AA60" s="412" t="e">
        <f ca="1">SUM(Z60:Z61)</f>
        <v>#N/A</v>
      </c>
      <c r="AB60" s="322" t="str">
        <f t="shared" si="55"/>
        <v>BSTU</v>
      </c>
      <c r="AC60" s="313" t="e" cm="1">
        <f t="array" aca="1" ref="AC60" ca="1">INDIRECT(ADDRESS($B60,8,,,"mkt data"))</f>
        <v>#N/A</v>
      </c>
      <c r="AD60" s="323" t="e">
        <f t="shared" ca="1" si="56"/>
        <v>#N/A</v>
      </c>
      <c r="AE60" s="323" t="e">
        <f t="shared" ca="1" si="57"/>
        <v>#N/A</v>
      </c>
      <c r="AF60" s="324">
        <v>0</v>
      </c>
      <c r="AG60" s="323" t="e">
        <f t="shared" ca="1" si="58"/>
        <v>#N/A</v>
      </c>
      <c r="AH60" s="323" t="e">
        <f t="shared" ca="1" si="59"/>
        <v>#N/A</v>
      </c>
      <c r="AI60" s="404" t="e">
        <f ca="1">AH60+AH61</f>
        <v>#N/A</v>
      </c>
    </row>
    <row r="61" spans="1:35" s="10" customFormat="1" ht="15.75" thickBot="1" x14ac:dyDescent="0.3">
      <c r="A61" s="82" t="e">
        <f>MATCH(G61,SCALARS!C:C,0)</f>
        <v>#N/A</v>
      </c>
      <c r="B61" s="83" t="e">
        <f>MATCH(G61,'MKT DATA'!B:B,0)</f>
        <v>#N/A</v>
      </c>
      <c r="C61" s="308" t="str">
        <f>C60</f>
        <v>2030 tgt</v>
      </c>
      <c r="D61" s="161" t="e" cm="1">
        <f t="array" aca="1" ref="D61" ca="1">INDIRECT(ADDRESS($A61,8,,,"SCALARS"))</f>
        <v>#N/A</v>
      </c>
      <c r="E61" s="325"/>
      <c r="F61" s="82" t="e" cm="1">
        <f t="array" aca="1" ref="F61" ca="1">INDIRECT(ADDRESS($A61,5,,,"scalars"))</f>
        <v>#N/A</v>
      </c>
      <c r="G61" s="326" t="s">
        <v>343</v>
      </c>
      <c r="H61" s="327" t="e" cm="1">
        <f t="array" aca="1" ref="H61" ca="1">INDIRECT(ADDRESS($B61,5,,,"mkt data"))</f>
        <v>#N/A</v>
      </c>
      <c r="I61" s="328" t="e" cm="1">
        <f t="array" aca="1" ref="I61" ca="1">INDIRECT(ADDRESS($B61,6,,,"mkt data"))</f>
        <v>#N/A</v>
      </c>
      <c r="J61" s="329" t="e" cm="1">
        <f t="array" aca="1" ref="J61" ca="1">INDIRECT(ADDRESS($A61,7,,,"SCALARS"))</f>
        <v>#N/A</v>
      </c>
      <c r="K61" s="22" t="e">
        <f t="shared" ca="1" si="49"/>
        <v>#N/A</v>
      </c>
      <c r="L61" s="22" t="e">
        <f t="shared" ca="1" si="50"/>
        <v>#N/A</v>
      </c>
      <c r="M61" s="330" t="e" cm="1">
        <f t="array" aca="1" ref="M61" ca="1">INDIRECT(ADDRESS($A61,6,,,"scalars"))</f>
        <v>#N/A</v>
      </c>
      <c r="N61" s="22" t="e">
        <f ca="1">K61*M61</f>
        <v>#N/A</v>
      </c>
      <c r="O61" s="22" t="e">
        <f t="shared" ca="1" si="52"/>
        <v>#N/A</v>
      </c>
      <c r="P61" s="407"/>
      <c r="Q61" s="409"/>
      <c r="R61" s="331" t="e">
        <f ca="1">IF(Q60&gt;R60,TRUE,FALSE)</f>
        <v>#N/A</v>
      </c>
      <c r="S61" s="332" t="e">
        <f ca="1">AND(IF(U60&gt;-S60,TRUE,FALSE),IF(X60&gt;0,TRUE,FALSE))</f>
        <v>#N/A</v>
      </c>
      <c r="T61" s="407"/>
      <c r="U61" s="409"/>
      <c r="V61" s="331" t="e">
        <f ca="1">IF(U60&gt;V60,TRUE,FALSE)</f>
        <v>#N/A</v>
      </c>
      <c r="W61" s="333" t="e">
        <f ca="1">AND(IF(Q60&gt;-W60,TRUE,FALSE),IF(X60&lt;0,TRUE,FALSE))</f>
        <v>#N/A</v>
      </c>
      <c r="X61" s="334" t="e" cm="1">
        <f t="array" aca="1" ref="X61" ca="1">INDIRECT(ADDRESS($B61,9,,,"mkt data"))</f>
        <v>#N/A</v>
      </c>
      <c r="Y61" s="335" t="e">
        <f t="shared" ca="1" si="53"/>
        <v>#N/A</v>
      </c>
      <c r="Z61" s="334" t="e">
        <f t="shared" ca="1" si="54"/>
        <v>#N/A</v>
      </c>
      <c r="AA61" s="413"/>
      <c r="AB61" s="336" t="str">
        <f t="shared" si="55"/>
        <v>IBTK</v>
      </c>
      <c r="AC61" s="327" t="e" cm="1">
        <f t="array" aca="1" ref="AC61" ca="1">INDIRECT(ADDRESS($B61,8,,,"mkt data"))</f>
        <v>#N/A</v>
      </c>
      <c r="AD61" s="337" t="e">
        <f t="shared" ca="1" si="56"/>
        <v>#N/A</v>
      </c>
      <c r="AE61" s="337" t="e">
        <f t="shared" ca="1" si="57"/>
        <v>#N/A</v>
      </c>
      <c r="AF61" s="338">
        <v>0</v>
      </c>
      <c r="AG61" s="337" t="e">
        <f t="shared" ca="1" si="58"/>
        <v>#N/A</v>
      </c>
      <c r="AH61" s="337" t="e">
        <f t="shared" ca="1" si="59"/>
        <v>#N/A</v>
      </c>
      <c r="AI61" s="405"/>
    </row>
    <row r="62" spans="1:35" s="10" customFormat="1" x14ac:dyDescent="0.25">
      <c r="A62" s="80" t="e">
        <f>MATCH(G62,SCALARS!C:C,0)</f>
        <v>#N/A</v>
      </c>
      <c r="B62" s="81" t="e">
        <f>MATCH(G62,'MKT DATA'!B:B,0)</f>
        <v>#N/A</v>
      </c>
      <c r="C62" s="307" t="s">
        <v>303</v>
      </c>
      <c r="D62" s="160" t="e" cm="1">
        <f t="array" aca="1" ref="D62" ca="1">INDIRECT(ADDRESS($A62,8,,,"SCALARS"))</f>
        <v>#N/A</v>
      </c>
      <c r="E62" s="311"/>
      <c r="F62" s="80" t="e" cm="1">
        <f t="array" aca="1" ref="F62" ca="1">INDIRECT(ADDRESS($A62,5,,,"scalars"))</f>
        <v>#N/A</v>
      </c>
      <c r="G62" s="312" t="s">
        <v>344</v>
      </c>
      <c r="H62" s="313" t="e" cm="1">
        <f t="array" aca="1" ref="H62" ca="1">INDIRECT(ADDRESS($B62,5,,,"mkt data"))</f>
        <v>#N/A</v>
      </c>
      <c r="I62" s="314" t="e" cm="1">
        <f t="array" aca="1" ref="I62" ca="1">INDIRECT(ADDRESS($B62,6,,,"mkt data"))</f>
        <v>#N/A</v>
      </c>
      <c r="J62" s="315" t="e" cm="1">
        <f t="array" aca="1" ref="J62" ca="1">INDIRECT(ADDRESS($A62,7,,,"SCALARS"))</f>
        <v>#N/A</v>
      </c>
      <c r="K62" s="16" t="e">
        <f t="shared" ca="1" si="49"/>
        <v>#N/A</v>
      </c>
      <c r="L62" s="16" t="e">
        <f t="shared" ca="1" si="50"/>
        <v>#N/A</v>
      </c>
      <c r="M62" s="316" t="e" cm="1">
        <f t="array" aca="1" ref="M62" ca="1">INDIRECT(ADDRESS($A62,6,,,"scalars"))</f>
        <v>#N/A</v>
      </c>
      <c r="N62" s="16" t="e">
        <f ca="1">K62*M62</f>
        <v>#N/A</v>
      </c>
      <c r="O62" s="16" t="e">
        <f t="shared" ca="1" si="52"/>
        <v>#N/A</v>
      </c>
      <c r="P62" s="406" t="e">
        <f ca="1">N63-O62</f>
        <v>#N/A</v>
      </c>
      <c r="Q62" s="408" t="e">
        <f ca="1">LN(N63/O62)</f>
        <v>#N/A</v>
      </c>
      <c r="R62" s="317">
        <v>1E-3</v>
      </c>
      <c r="S62" s="318">
        <v>2.0000000000000001E-4</v>
      </c>
      <c r="T62" s="406" t="e">
        <f ca="1">N62-O63</f>
        <v>#N/A</v>
      </c>
      <c r="U62" s="408" t="e">
        <f ca="1">LN(N62/O63)</f>
        <v>#N/A</v>
      </c>
      <c r="V62" s="317">
        <v>1E-3</v>
      </c>
      <c r="W62" s="319">
        <v>2.0000000000000001E-4</v>
      </c>
      <c r="X62" s="320" t="e" cm="1">
        <f t="array" aca="1" ref="X62" ca="1">INDIRECT(ADDRESS($B62,9,,,"mkt data"))</f>
        <v>#N/A</v>
      </c>
      <c r="Y62" s="321" t="e">
        <f t="shared" ca="1" si="53"/>
        <v>#N/A</v>
      </c>
      <c r="Z62" s="320" t="e">
        <f t="shared" ca="1" si="54"/>
        <v>#N/A</v>
      </c>
      <c r="AA62" s="410" t="e">
        <f ca="1">SUM(Z62:Z63)</f>
        <v>#N/A</v>
      </c>
      <c r="AB62" s="322" t="str">
        <f t="shared" si="55"/>
        <v>BSTV</v>
      </c>
      <c r="AC62" s="313" t="e" cm="1">
        <f t="array" aca="1" ref="AC62" ca="1">INDIRECT(ADDRESS($B62,8,,,"mkt data"))</f>
        <v>#N/A</v>
      </c>
      <c r="AD62" s="323" t="e">
        <f t="shared" ca="1" si="56"/>
        <v>#N/A</v>
      </c>
      <c r="AE62" s="323" t="e">
        <f t="shared" ca="1" si="57"/>
        <v>#N/A</v>
      </c>
      <c r="AF62" s="324">
        <v>0</v>
      </c>
      <c r="AG62" s="323" t="e">
        <f t="shared" ca="1" si="58"/>
        <v>#N/A</v>
      </c>
      <c r="AH62" s="323" t="e">
        <f t="shared" ca="1" si="59"/>
        <v>#N/A</v>
      </c>
      <c r="AI62" s="404" t="e">
        <f ca="1">AH62+AH63</f>
        <v>#N/A</v>
      </c>
    </row>
    <row r="63" spans="1:35" s="10" customFormat="1" ht="15.75" thickBot="1" x14ac:dyDescent="0.3">
      <c r="A63" s="82" t="e">
        <f>MATCH(G63,SCALARS!C:C,0)</f>
        <v>#N/A</v>
      </c>
      <c r="B63" s="83" t="e">
        <f>MATCH(G63,'MKT DATA'!B:B,0)</f>
        <v>#N/A</v>
      </c>
      <c r="C63" s="308" t="str">
        <f>C62</f>
        <v>2031 tgt</v>
      </c>
      <c r="D63" s="161" t="e" cm="1">
        <f t="array" aca="1" ref="D63" ca="1">INDIRECT(ADDRESS($A63,8,,,"SCALARS"))</f>
        <v>#N/A</v>
      </c>
      <c r="E63" s="325"/>
      <c r="F63" s="82" t="e" cm="1">
        <f t="array" aca="1" ref="F63" ca="1">INDIRECT(ADDRESS($A63,5,,,"scalars"))</f>
        <v>#N/A</v>
      </c>
      <c r="G63" s="326" t="s">
        <v>345</v>
      </c>
      <c r="H63" s="327" t="e" cm="1">
        <f t="array" aca="1" ref="H63" ca="1">INDIRECT(ADDRESS($B63,5,,,"mkt data"))</f>
        <v>#N/A</v>
      </c>
      <c r="I63" s="328" t="e" cm="1">
        <f t="array" aca="1" ref="I63" ca="1">INDIRECT(ADDRESS($B63,6,,,"mkt data"))</f>
        <v>#N/A</v>
      </c>
      <c r="J63" s="329" t="e" cm="1">
        <f t="array" aca="1" ref="J63" ca="1">INDIRECT(ADDRESS($A63,7,,,"SCALARS"))</f>
        <v>#N/A</v>
      </c>
      <c r="K63" s="22" t="e">
        <f t="shared" ca="1" si="49"/>
        <v>#N/A</v>
      </c>
      <c r="L63" s="22" t="e">
        <f t="shared" ca="1" si="50"/>
        <v>#N/A</v>
      </c>
      <c r="M63" s="330" t="e" cm="1">
        <f t="array" aca="1" ref="M63" ca="1">INDIRECT(ADDRESS($A63,6,,,"scalars"))</f>
        <v>#N/A</v>
      </c>
      <c r="N63" s="22" t="e">
        <f t="shared" ref="N63" ca="1" si="63">K63*M63</f>
        <v>#N/A</v>
      </c>
      <c r="O63" s="22" t="e">
        <f t="shared" ca="1" si="52"/>
        <v>#N/A</v>
      </c>
      <c r="P63" s="407"/>
      <c r="Q63" s="409"/>
      <c r="R63" s="331" t="e">
        <f ca="1">IF(Q62&gt;R62,TRUE,FALSE)</f>
        <v>#N/A</v>
      </c>
      <c r="S63" s="332" t="e">
        <f ca="1">AND(IF(U62&gt;-S62,TRUE,FALSE),IF(X62&gt;0,TRUE,FALSE))</f>
        <v>#N/A</v>
      </c>
      <c r="T63" s="407"/>
      <c r="U63" s="409"/>
      <c r="V63" s="331" t="e">
        <f ca="1">IF(U62&gt;V62,TRUE,FALSE)</f>
        <v>#N/A</v>
      </c>
      <c r="W63" s="333" t="e">
        <f ca="1">AND(IF(Q62&gt;-W62,TRUE,FALSE),IF(X62&lt;0,TRUE,FALSE))</f>
        <v>#N/A</v>
      </c>
      <c r="X63" s="334" t="e" cm="1">
        <f t="array" aca="1" ref="X63" ca="1">INDIRECT(ADDRESS($B63,9,,,"mkt data"))</f>
        <v>#N/A</v>
      </c>
      <c r="Y63" s="335" t="e">
        <f t="shared" ca="1" si="53"/>
        <v>#N/A</v>
      </c>
      <c r="Z63" s="334" t="e">
        <f t="shared" ca="1" si="54"/>
        <v>#N/A</v>
      </c>
      <c r="AA63" s="411"/>
      <c r="AB63" s="336" t="str">
        <f t="shared" si="55"/>
        <v>IBTL</v>
      </c>
      <c r="AC63" s="327" t="e" cm="1">
        <f t="array" aca="1" ref="AC63" ca="1">INDIRECT(ADDRESS($B63,8,,,"mkt data"))</f>
        <v>#N/A</v>
      </c>
      <c r="AD63" s="337" t="e">
        <f t="shared" ca="1" si="56"/>
        <v>#N/A</v>
      </c>
      <c r="AE63" s="337" t="e">
        <f t="shared" ca="1" si="57"/>
        <v>#N/A</v>
      </c>
      <c r="AF63" s="338">
        <v>0</v>
      </c>
      <c r="AG63" s="337" t="e">
        <f t="shared" ca="1" si="58"/>
        <v>#N/A</v>
      </c>
      <c r="AH63" s="337" t="e">
        <f t="shared" ca="1" si="59"/>
        <v>#N/A</v>
      </c>
      <c r="AI63" s="405"/>
    </row>
    <row r="64" spans="1:35" x14ac:dyDescent="0.25">
      <c r="J64" s="8"/>
      <c r="K64" s="10"/>
      <c r="L64" s="8"/>
      <c r="M64" s="10"/>
      <c r="N64" s="2"/>
    </row>
    <row r="65" spans="2:14" x14ac:dyDescent="0.25">
      <c r="J65" s="13"/>
      <c r="K65" s="10"/>
      <c r="L65" s="8"/>
      <c r="M65" s="10"/>
      <c r="N65" s="2"/>
    </row>
    <row r="66" spans="2:14" x14ac:dyDescent="0.25">
      <c r="J66" s="13"/>
      <c r="K66" s="10"/>
      <c r="L66" s="8"/>
      <c r="M66" s="10"/>
      <c r="N66" s="2"/>
    </row>
    <row r="67" spans="2:14" x14ac:dyDescent="0.25">
      <c r="B67" s="8"/>
      <c r="C67" s="2"/>
      <c r="D67" s="2"/>
      <c r="E67" s="2"/>
      <c r="J67" s="13"/>
      <c r="K67" s="10"/>
      <c r="L67" s="8"/>
      <c r="M67" s="10"/>
      <c r="N67" s="2"/>
    </row>
    <row r="68" spans="2:14" x14ac:dyDescent="0.25">
      <c r="B68" s="8"/>
      <c r="C68" s="2"/>
      <c r="D68" s="2"/>
      <c r="E68" s="2"/>
      <c r="J68" s="13"/>
      <c r="K68" s="10"/>
      <c r="L68" s="8"/>
      <c r="M68" s="10"/>
      <c r="N68" s="2"/>
    </row>
    <row r="69" spans="2:14" x14ac:dyDescent="0.25">
      <c r="B69" s="8"/>
      <c r="C69" s="2"/>
      <c r="D69" s="2"/>
      <c r="E69" s="2"/>
      <c r="J69" s="13"/>
      <c r="K69" s="10"/>
      <c r="L69" s="8"/>
      <c r="M69" s="10"/>
      <c r="N69" s="2"/>
    </row>
    <row r="70" spans="2:14" x14ac:dyDescent="0.25">
      <c r="B70" s="26"/>
      <c r="C70" s="26"/>
      <c r="D70" s="1"/>
      <c r="J70" s="13"/>
      <c r="K70" s="10"/>
      <c r="L70" s="8"/>
      <c r="M70" s="10"/>
      <c r="N70" s="2"/>
    </row>
    <row r="71" spans="2:14" x14ac:dyDescent="0.25">
      <c r="B71" s="26"/>
      <c r="C71" s="26"/>
      <c r="D71" s="1"/>
      <c r="J71" s="13"/>
      <c r="K71" s="10"/>
      <c r="L71" s="8"/>
      <c r="M71" s="10"/>
      <c r="N71" s="2"/>
    </row>
    <row r="72" spans="2:14" x14ac:dyDescent="0.25">
      <c r="B72" s="8"/>
      <c r="C72" s="2"/>
      <c r="D72" s="2"/>
      <c r="J72" s="13"/>
      <c r="K72" s="10"/>
      <c r="L72" s="8"/>
      <c r="M72" s="10"/>
      <c r="N72" s="2"/>
    </row>
    <row r="73" spans="2:14" x14ac:dyDescent="0.25">
      <c r="B73" s="8"/>
      <c r="C73" s="2"/>
      <c r="D73" s="2"/>
      <c r="J73" s="13"/>
      <c r="K73" s="10"/>
      <c r="L73" s="8"/>
      <c r="M73" s="10"/>
      <c r="N73" s="2"/>
    </row>
    <row r="74" spans="2:14" x14ac:dyDescent="0.25">
      <c r="B74" s="8"/>
      <c r="C74" s="2"/>
      <c r="D74" s="2"/>
      <c r="J74" s="13"/>
      <c r="K74" s="10"/>
      <c r="L74" s="8"/>
      <c r="M74" s="10"/>
      <c r="N74" s="2"/>
    </row>
    <row r="75" spans="2:14" x14ac:dyDescent="0.25">
      <c r="B75" s="8"/>
      <c r="C75" s="2"/>
      <c r="D75" s="2"/>
      <c r="J75" s="13"/>
      <c r="K75" s="10"/>
      <c r="L75" s="8"/>
      <c r="M75" s="10"/>
      <c r="N75" s="2"/>
    </row>
    <row r="76" spans="2:14" x14ac:dyDescent="0.25">
      <c r="B76" s="8"/>
      <c r="C76" s="2"/>
      <c r="D76" s="2"/>
      <c r="J76" s="13"/>
      <c r="K76" s="10"/>
      <c r="L76" s="8"/>
      <c r="M76" s="10"/>
      <c r="N76" s="2"/>
    </row>
    <row r="77" spans="2:14" x14ac:dyDescent="0.25">
      <c r="B77" s="8"/>
      <c r="C77" s="2"/>
      <c r="D77" s="2"/>
      <c r="J77" s="13"/>
      <c r="K77" s="10"/>
      <c r="L77" s="8"/>
      <c r="M77" s="10"/>
      <c r="N77" s="2"/>
    </row>
    <row r="78" spans="2:14" x14ac:dyDescent="0.25">
      <c r="B78" s="8"/>
      <c r="C78" s="2"/>
      <c r="D78" s="2"/>
      <c r="J78" s="13"/>
      <c r="K78" s="10"/>
      <c r="L78" s="8"/>
      <c r="M78" s="10"/>
      <c r="N78" s="2"/>
    </row>
  </sheetData>
  <mergeCells count="180">
    <mergeCell ref="AI1:AI2"/>
    <mergeCell ref="A3:B3"/>
    <mergeCell ref="H3:I3"/>
    <mergeCell ref="K3:L3"/>
    <mergeCell ref="N3:O3"/>
    <mergeCell ref="P3:S3"/>
    <mergeCell ref="K1:L2"/>
    <mergeCell ref="X1:AA2"/>
    <mergeCell ref="AG1:AG2"/>
    <mergeCell ref="AH1:AH2"/>
    <mergeCell ref="AI33:AI34"/>
    <mergeCell ref="P35:P36"/>
    <mergeCell ref="Q35:Q36"/>
    <mergeCell ref="T35:T36"/>
    <mergeCell ref="U35:U36"/>
    <mergeCell ref="AA35:AA36"/>
    <mergeCell ref="AI35:AI36"/>
    <mergeCell ref="T3:W3"/>
    <mergeCell ref="X3:AA3"/>
    <mergeCell ref="P33:P34"/>
    <mergeCell ref="Q33:Q34"/>
    <mergeCell ref="T33:T34"/>
    <mergeCell ref="U33:U34"/>
    <mergeCell ref="AA33:AA34"/>
    <mergeCell ref="AI37:AI38"/>
    <mergeCell ref="P39:P40"/>
    <mergeCell ref="Q39:Q40"/>
    <mergeCell ref="T39:T40"/>
    <mergeCell ref="U39:U40"/>
    <mergeCell ref="AA39:AA40"/>
    <mergeCell ref="AI39:AI40"/>
    <mergeCell ref="P37:P38"/>
    <mergeCell ref="Q37:Q38"/>
    <mergeCell ref="T37:T38"/>
    <mergeCell ref="U37:U38"/>
    <mergeCell ref="AA37:AA38"/>
    <mergeCell ref="AI41:AI42"/>
    <mergeCell ref="P43:P44"/>
    <mergeCell ref="Q43:Q44"/>
    <mergeCell ref="T43:T44"/>
    <mergeCell ref="U43:U44"/>
    <mergeCell ref="AA43:AA44"/>
    <mergeCell ref="AI43:AI44"/>
    <mergeCell ref="P41:P42"/>
    <mergeCell ref="Q41:Q42"/>
    <mergeCell ref="T41:T42"/>
    <mergeCell ref="U41:U42"/>
    <mergeCell ref="AA41:AA42"/>
    <mergeCell ref="AI45:AI46"/>
    <mergeCell ref="P47:P48"/>
    <mergeCell ref="Q47:Q48"/>
    <mergeCell ref="T47:T48"/>
    <mergeCell ref="U47:U48"/>
    <mergeCell ref="AA47:AA48"/>
    <mergeCell ref="AI47:AI48"/>
    <mergeCell ref="P45:P46"/>
    <mergeCell ref="Q45:Q46"/>
    <mergeCell ref="T45:T46"/>
    <mergeCell ref="U45:U46"/>
    <mergeCell ref="AA45:AA46"/>
    <mergeCell ref="AI49:AI50"/>
    <mergeCell ref="P51:P52"/>
    <mergeCell ref="Q51:Q52"/>
    <mergeCell ref="T51:T52"/>
    <mergeCell ref="U51:U52"/>
    <mergeCell ref="AA51:AA52"/>
    <mergeCell ref="AI51:AI52"/>
    <mergeCell ref="P49:P50"/>
    <mergeCell ref="Q49:Q50"/>
    <mergeCell ref="T49:T50"/>
    <mergeCell ref="U49:U50"/>
    <mergeCell ref="AA49:AA50"/>
    <mergeCell ref="AI5:AI6"/>
    <mergeCell ref="P7:P8"/>
    <mergeCell ref="Q7:Q8"/>
    <mergeCell ref="T7:T8"/>
    <mergeCell ref="U7:U8"/>
    <mergeCell ref="AA7:AA8"/>
    <mergeCell ref="AI7:AI8"/>
    <mergeCell ref="P5:P6"/>
    <mergeCell ref="Q5:Q6"/>
    <mergeCell ref="T5:T6"/>
    <mergeCell ref="U5:U6"/>
    <mergeCell ref="AA5:AA6"/>
    <mergeCell ref="AI9:AI10"/>
    <mergeCell ref="P11:P12"/>
    <mergeCell ref="Q11:Q12"/>
    <mergeCell ref="T11:T12"/>
    <mergeCell ref="U11:U12"/>
    <mergeCell ref="AA11:AA12"/>
    <mergeCell ref="AI11:AI12"/>
    <mergeCell ref="P9:P10"/>
    <mergeCell ref="Q9:Q10"/>
    <mergeCell ref="T9:T10"/>
    <mergeCell ref="U9:U10"/>
    <mergeCell ref="AA9:AA10"/>
    <mergeCell ref="AI13:AI14"/>
    <mergeCell ref="P15:P16"/>
    <mergeCell ref="Q15:Q16"/>
    <mergeCell ref="T15:T16"/>
    <mergeCell ref="U15:U16"/>
    <mergeCell ref="AA15:AA16"/>
    <mergeCell ref="AI15:AI16"/>
    <mergeCell ref="P13:P14"/>
    <mergeCell ref="Q13:Q14"/>
    <mergeCell ref="T13:T14"/>
    <mergeCell ref="U13:U14"/>
    <mergeCell ref="AA13:AA14"/>
    <mergeCell ref="AI17:AI18"/>
    <mergeCell ref="P20:P21"/>
    <mergeCell ref="Q20:Q21"/>
    <mergeCell ref="T20:T21"/>
    <mergeCell ref="U20:U21"/>
    <mergeCell ref="AA20:AA21"/>
    <mergeCell ref="AI20:AI21"/>
    <mergeCell ref="P17:P18"/>
    <mergeCell ref="Q17:Q18"/>
    <mergeCell ref="T17:T18"/>
    <mergeCell ref="U17:U18"/>
    <mergeCell ref="AA17:AA18"/>
    <mergeCell ref="AI22:AI23"/>
    <mergeCell ref="P24:P25"/>
    <mergeCell ref="Q24:Q25"/>
    <mergeCell ref="T24:T25"/>
    <mergeCell ref="U24:U25"/>
    <mergeCell ref="AA24:AA25"/>
    <mergeCell ref="AI24:AI25"/>
    <mergeCell ref="P22:P23"/>
    <mergeCell ref="Q22:Q23"/>
    <mergeCell ref="T22:T23"/>
    <mergeCell ref="U22:U23"/>
    <mergeCell ref="AA22:AA23"/>
    <mergeCell ref="AI30:AI31"/>
    <mergeCell ref="P30:P31"/>
    <mergeCell ref="Q30:Q31"/>
    <mergeCell ref="T30:T31"/>
    <mergeCell ref="U30:U31"/>
    <mergeCell ref="AA30:AA31"/>
    <mergeCell ref="AI26:AI27"/>
    <mergeCell ref="P28:P29"/>
    <mergeCell ref="Q28:Q29"/>
    <mergeCell ref="T28:T29"/>
    <mergeCell ref="U28:U29"/>
    <mergeCell ref="AA28:AA29"/>
    <mergeCell ref="AI28:AI29"/>
    <mergeCell ref="P26:P27"/>
    <mergeCell ref="Q26:Q27"/>
    <mergeCell ref="T26:T27"/>
    <mergeCell ref="U26:U27"/>
    <mergeCell ref="AA26:AA27"/>
    <mergeCell ref="AI54:AI55"/>
    <mergeCell ref="P56:P57"/>
    <mergeCell ref="Q56:Q57"/>
    <mergeCell ref="T56:T57"/>
    <mergeCell ref="U56:U57"/>
    <mergeCell ref="AA56:AA57"/>
    <mergeCell ref="AI56:AI57"/>
    <mergeCell ref="P54:P55"/>
    <mergeCell ref="Q54:Q55"/>
    <mergeCell ref="T54:T55"/>
    <mergeCell ref="U54:U55"/>
    <mergeCell ref="AA54:AA55"/>
    <mergeCell ref="AI62:AI63"/>
    <mergeCell ref="P62:P63"/>
    <mergeCell ref="Q62:Q63"/>
    <mergeCell ref="T62:T63"/>
    <mergeCell ref="U62:U63"/>
    <mergeCell ref="AA62:AA63"/>
    <mergeCell ref="AI58:AI59"/>
    <mergeCell ref="P60:P61"/>
    <mergeCell ref="Q60:Q61"/>
    <mergeCell ref="T60:T61"/>
    <mergeCell ref="U60:U61"/>
    <mergeCell ref="AA60:AA61"/>
    <mergeCell ref="AI60:AI61"/>
    <mergeCell ref="P58:P59"/>
    <mergeCell ref="Q58:Q59"/>
    <mergeCell ref="T58:T59"/>
    <mergeCell ref="U58:U59"/>
    <mergeCell ref="AA58:AA59"/>
  </mergeCells>
  <conditionalFormatting sqref="U20:U31 Q20:Q31 U5:U18 Q5:Q18 Q33:Q63 U33:U63">
    <cfRule type="cellIs" dxfId="77" priority="88" operator="greaterThan">
      <formula>0</formula>
    </cfRule>
  </conditionalFormatting>
  <conditionalFormatting sqref="V20:V31 R20:R31 V5:V18 R5:R18 R33:R63 V33:V63">
    <cfRule type="cellIs" dxfId="76" priority="87" operator="equal">
      <formula>TRUE</formula>
    </cfRule>
  </conditionalFormatting>
  <conditionalFormatting sqref="W20:W31 S20:S31 W5:W18 S5:S18 S33:S63 W33:W63">
    <cfRule type="cellIs" dxfId="75" priority="86" operator="equal">
      <formula>TRUE</formula>
    </cfRule>
  </conditionalFormatting>
  <conditionalFormatting sqref="N39:N40">
    <cfRule type="top10" dxfId="74" priority="79" rank="1"/>
  </conditionalFormatting>
  <conditionalFormatting sqref="O39:O40">
    <cfRule type="top10" dxfId="73" priority="80" bottom="1" rank="1"/>
  </conditionalFormatting>
  <conditionalFormatting sqref="N41:N42">
    <cfRule type="top10" dxfId="72" priority="81" rank="1"/>
  </conditionalFormatting>
  <conditionalFormatting sqref="O41:O42">
    <cfRule type="top10" dxfId="71" priority="82" bottom="1" rank="1"/>
  </conditionalFormatting>
  <conditionalFormatting sqref="N37:N38">
    <cfRule type="top10" dxfId="70" priority="77" rank="1"/>
  </conditionalFormatting>
  <conditionalFormatting sqref="O37:O38">
    <cfRule type="top10" dxfId="69" priority="78" bottom="1" rank="1"/>
  </conditionalFormatting>
  <conditionalFormatting sqref="N33:N34">
    <cfRule type="top10" dxfId="68" priority="73" rank="1"/>
  </conditionalFormatting>
  <conditionalFormatting sqref="O33:O34">
    <cfRule type="top10" dxfId="67" priority="74" bottom="1" rank="1"/>
  </conditionalFormatting>
  <conditionalFormatting sqref="N35:N36">
    <cfRule type="top10" dxfId="66" priority="75" rank="1"/>
  </conditionalFormatting>
  <conditionalFormatting sqref="O35:O36">
    <cfRule type="top10" dxfId="65" priority="76" bottom="1" rank="1"/>
  </conditionalFormatting>
  <conditionalFormatting sqref="N49:N50">
    <cfRule type="top10" dxfId="64" priority="69" rank="1"/>
  </conditionalFormatting>
  <conditionalFormatting sqref="O49:O50">
    <cfRule type="top10" dxfId="63" priority="70" bottom="1" rank="1"/>
  </conditionalFormatting>
  <conditionalFormatting sqref="N51:N52">
    <cfRule type="top10" dxfId="62" priority="71" rank="1"/>
  </conditionalFormatting>
  <conditionalFormatting sqref="O51:O52">
    <cfRule type="top10" dxfId="61" priority="72" bottom="1" rank="1"/>
  </conditionalFormatting>
  <conditionalFormatting sqref="N47:N48">
    <cfRule type="top10" dxfId="60" priority="67" rank="1"/>
  </conditionalFormatting>
  <conditionalFormatting sqref="O47:O48">
    <cfRule type="top10" dxfId="59" priority="68" bottom="1" rank="1"/>
  </conditionalFormatting>
  <conditionalFormatting sqref="N43:N44">
    <cfRule type="top10" dxfId="58" priority="63" rank="1"/>
  </conditionalFormatting>
  <conditionalFormatting sqref="O43:O44">
    <cfRule type="top10" dxfId="57" priority="64" bottom="1" rank="1"/>
  </conditionalFormatting>
  <conditionalFormatting sqref="N45:N46">
    <cfRule type="top10" dxfId="56" priority="65" rank="1"/>
  </conditionalFormatting>
  <conditionalFormatting sqref="O45:O46">
    <cfRule type="top10" dxfId="55" priority="66" bottom="1" rank="1"/>
  </conditionalFormatting>
  <conditionalFormatting sqref="N11:N12">
    <cfRule type="top10" dxfId="54" priority="59" rank="1"/>
  </conditionalFormatting>
  <conditionalFormatting sqref="O11:O12">
    <cfRule type="top10" dxfId="53" priority="60" bottom="1" rank="1"/>
  </conditionalFormatting>
  <conditionalFormatting sqref="N13:N14">
    <cfRule type="top10" dxfId="52" priority="61" rank="1"/>
  </conditionalFormatting>
  <conditionalFormatting sqref="O13:O14">
    <cfRule type="top10" dxfId="51" priority="62" bottom="1" rank="1"/>
  </conditionalFormatting>
  <conditionalFormatting sqref="N9:N10">
    <cfRule type="top10" dxfId="50" priority="57" rank="1"/>
  </conditionalFormatting>
  <conditionalFormatting sqref="O9:O10">
    <cfRule type="top10" dxfId="49" priority="58" bottom="1" rank="1"/>
  </conditionalFormatting>
  <conditionalFormatting sqref="N5:N6">
    <cfRule type="top10" dxfId="48" priority="53" rank="1"/>
  </conditionalFormatting>
  <conditionalFormatting sqref="O5:O6">
    <cfRule type="top10" dxfId="47" priority="54" bottom="1" rank="1"/>
  </conditionalFormatting>
  <conditionalFormatting sqref="N7:N8">
    <cfRule type="top10" dxfId="46" priority="55" rank="1"/>
  </conditionalFormatting>
  <conditionalFormatting sqref="O7:O8">
    <cfRule type="top10" dxfId="45" priority="56" bottom="1" rank="1"/>
  </conditionalFormatting>
  <conditionalFormatting sqref="N15:N16">
    <cfRule type="top10" dxfId="44" priority="49" rank="1"/>
  </conditionalFormatting>
  <conditionalFormatting sqref="O15:O16">
    <cfRule type="top10" dxfId="43" priority="50" bottom="1" rank="1"/>
  </conditionalFormatting>
  <conditionalFormatting sqref="N17:N18">
    <cfRule type="top10" dxfId="42" priority="51" rank="1"/>
  </conditionalFormatting>
  <conditionalFormatting sqref="O17:O18">
    <cfRule type="top10" dxfId="41" priority="52" bottom="1" rank="1"/>
  </conditionalFormatting>
  <conditionalFormatting sqref="N26:N27">
    <cfRule type="top10" dxfId="40" priority="45" rank="1"/>
  </conditionalFormatting>
  <conditionalFormatting sqref="O26:O27">
    <cfRule type="top10" dxfId="39" priority="46" bottom="1" rank="1"/>
  </conditionalFormatting>
  <conditionalFormatting sqref="N28:N29">
    <cfRule type="top10" dxfId="38" priority="47" rank="1"/>
  </conditionalFormatting>
  <conditionalFormatting sqref="O28:O29">
    <cfRule type="top10" dxfId="37" priority="48" bottom="1" rank="1"/>
  </conditionalFormatting>
  <conditionalFormatting sqref="N24:N25">
    <cfRule type="top10" dxfId="36" priority="43" rank="1"/>
  </conditionalFormatting>
  <conditionalFormatting sqref="O24:O25">
    <cfRule type="top10" dxfId="35" priority="44" bottom="1" rank="1"/>
  </conditionalFormatting>
  <conditionalFormatting sqref="N20:N21">
    <cfRule type="top10" dxfId="34" priority="39" rank="1"/>
  </conditionalFormatting>
  <conditionalFormatting sqref="O20:O21">
    <cfRule type="top10" dxfId="33" priority="40" bottom="1" rank="1"/>
  </conditionalFormatting>
  <conditionalFormatting sqref="N22:N23">
    <cfRule type="top10" dxfId="32" priority="41" rank="1"/>
  </conditionalFormatting>
  <conditionalFormatting sqref="O22:O23">
    <cfRule type="top10" dxfId="31" priority="42" bottom="1" rank="1"/>
  </conditionalFormatting>
  <conditionalFormatting sqref="N58:N59">
    <cfRule type="top10" dxfId="30" priority="33" rank="1"/>
  </conditionalFormatting>
  <conditionalFormatting sqref="O58:O59">
    <cfRule type="top10" dxfId="29" priority="34" bottom="1" rank="1"/>
  </conditionalFormatting>
  <conditionalFormatting sqref="N60:N61">
    <cfRule type="top10" dxfId="28" priority="35" rank="1"/>
  </conditionalFormatting>
  <conditionalFormatting sqref="O60:O61">
    <cfRule type="top10" dxfId="27" priority="36" bottom="1" rank="1"/>
  </conditionalFormatting>
  <conditionalFormatting sqref="N56:N57">
    <cfRule type="top10" dxfId="26" priority="31" rank="1"/>
  </conditionalFormatting>
  <conditionalFormatting sqref="O56:O57">
    <cfRule type="top10" dxfId="25" priority="32" bottom="1" rank="1"/>
  </conditionalFormatting>
  <conditionalFormatting sqref="N54:N55">
    <cfRule type="top10" dxfId="24" priority="29" rank="1"/>
  </conditionalFormatting>
  <conditionalFormatting sqref="O54:O55">
    <cfRule type="top10" dxfId="23" priority="30" bottom="1" rank="1"/>
  </conditionalFormatting>
  <conditionalFormatting sqref="N62:N63">
    <cfRule type="top10" dxfId="22" priority="25" rank="1"/>
  </conditionalFormatting>
  <conditionalFormatting sqref="O62:O63">
    <cfRule type="top10" dxfId="21" priority="26" bottom="1" rank="1"/>
  </conditionalFormatting>
  <conditionalFormatting sqref="U19">
    <cfRule type="cellIs" dxfId="20" priority="18" operator="greaterThan">
      <formula>0</formula>
    </cfRule>
  </conditionalFormatting>
  <conditionalFormatting sqref="Q19">
    <cfRule type="cellIs" dxfId="19" priority="17" operator="greaterThan">
      <formula>0</formula>
    </cfRule>
  </conditionalFormatting>
  <conditionalFormatting sqref="R19">
    <cfRule type="cellIs" dxfId="18" priority="16" operator="equal">
      <formula>TRUE</formula>
    </cfRule>
  </conditionalFormatting>
  <conditionalFormatting sqref="S19">
    <cfRule type="cellIs" dxfId="17" priority="15" operator="equal">
      <formula>TRUE</formula>
    </cfRule>
  </conditionalFormatting>
  <conditionalFormatting sqref="V19">
    <cfRule type="cellIs" dxfId="16" priority="14" operator="equal">
      <formula>TRUE</formula>
    </cfRule>
  </conditionalFormatting>
  <conditionalFormatting sqref="W19">
    <cfRule type="cellIs" dxfId="15" priority="13" operator="equal">
      <formula>TRUE</formula>
    </cfRule>
  </conditionalFormatting>
  <conditionalFormatting sqref="U53">
    <cfRule type="cellIs" dxfId="14" priority="12" operator="greaterThan">
      <formula>0</formula>
    </cfRule>
  </conditionalFormatting>
  <conditionalFormatting sqref="Q53">
    <cfRule type="cellIs" dxfId="13" priority="11" operator="greaterThan">
      <formula>0</formula>
    </cfRule>
  </conditionalFormatting>
  <conditionalFormatting sqref="R53">
    <cfRule type="cellIs" dxfId="12" priority="10" operator="equal">
      <formula>TRUE</formula>
    </cfRule>
  </conditionalFormatting>
  <conditionalFormatting sqref="S53">
    <cfRule type="cellIs" dxfId="11" priority="9" operator="equal">
      <formula>TRUE</formula>
    </cfRule>
  </conditionalFormatting>
  <conditionalFormatting sqref="V53">
    <cfRule type="cellIs" dxfId="10" priority="8" operator="equal">
      <formula>TRUE</formula>
    </cfRule>
  </conditionalFormatting>
  <conditionalFormatting sqref="W53">
    <cfRule type="cellIs" dxfId="9" priority="7" operator="equal">
      <formula>TRUE</formula>
    </cfRule>
  </conditionalFormatting>
  <conditionalFormatting sqref="U32">
    <cfRule type="cellIs" dxfId="8" priority="6" operator="greaterThan">
      <formula>0</formula>
    </cfRule>
  </conditionalFormatting>
  <conditionalFormatting sqref="Q32">
    <cfRule type="cellIs" dxfId="7" priority="5" operator="greaterThan">
      <formula>0</formula>
    </cfRule>
  </conditionalFormatting>
  <conditionalFormatting sqref="R32">
    <cfRule type="cellIs" dxfId="6" priority="4" operator="equal">
      <formula>TRUE</formula>
    </cfRule>
  </conditionalFormatting>
  <conditionalFormatting sqref="S32">
    <cfRule type="cellIs" dxfId="5" priority="3" operator="equal">
      <formula>TRUE</formula>
    </cfRule>
  </conditionalFormatting>
  <conditionalFormatting sqref="V32">
    <cfRule type="cellIs" dxfId="4" priority="2" operator="equal">
      <formula>TRUE</formula>
    </cfRule>
  </conditionalFormatting>
  <conditionalFormatting sqref="W32">
    <cfRule type="cellIs" dxfId="3" priority="1" operator="equal">
      <formula>TRUE</formula>
    </cfRule>
  </conditionalFormatting>
  <conditionalFormatting sqref="N30:N31">
    <cfRule type="top10" dxfId="2" priority="267" rank="1"/>
  </conditionalFormatting>
  <conditionalFormatting sqref="O30:O31">
    <cfRule type="top10" dxfId="1" priority="268" bottom="1" rank="1"/>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C4F17-AF84-46EC-8473-43601FE6F2FF}">
  <dimension ref="A3:H14"/>
  <sheetViews>
    <sheetView workbookViewId="0">
      <selection activeCell="I18" sqref="I18"/>
    </sheetView>
  </sheetViews>
  <sheetFormatPr defaultRowHeight="15" x14ac:dyDescent="0.25"/>
  <sheetData>
    <row r="3" spans="1:8" x14ac:dyDescent="0.25">
      <c r="H3" t="s">
        <v>346</v>
      </c>
    </row>
    <row r="5" spans="1:8" x14ac:dyDescent="0.25">
      <c r="H5" t="s">
        <v>347</v>
      </c>
    </row>
    <row r="6" spans="1:8" x14ac:dyDescent="0.25">
      <c r="H6" t="s">
        <v>348</v>
      </c>
    </row>
    <row r="8" spans="1:8" x14ac:dyDescent="0.25">
      <c r="H8" t="s">
        <v>349</v>
      </c>
    </row>
    <row r="10" spans="1:8" x14ac:dyDescent="0.25">
      <c r="A10" t="s">
        <v>308</v>
      </c>
      <c r="H10" t="s">
        <v>350</v>
      </c>
    </row>
    <row r="12" spans="1:8" x14ac:dyDescent="0.25">
      <c r="H12" t="s">
        <v>351</v>
      </c>
    </row>
    <row r="14" spans="1:8" x14ac:dyDescent="0.25">
      <c r="H14" t="s">
        <v>352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77218-1E90-4421-AC04-F05B0720BE2A}">
  <dimension ref="A1:A20"/>
  <sheetViews>
    <sheetView workbookViewId="0">
      <selection activeCell="E6" sqref="E6"/>
    </sheetView>
  </sheetViews>
  <sheetFormatPr defaultRowHeight="15" x14ac:dyDescent="0.25"/>
  <sheetData>
    <row r="1" spans="1:1" x14ac:dyDescent="0.25">
      <c r="A1" t="s">
        <v>164</v>
      </c>
    </row>
    <row r="3" spans="1:1" x14ac:dyDescent="0.25">
      <c r="A3" t="s">
        <v>281</v>
      </c>
    </row>
    <row r="5" spans="1:1" x14ac:dyDescent="0.25">
      <c r="A5" t="s">
        <v>282</v>
      </c>
    </row>
    <row r="7" spans="1:1" x14ac:dyDescent="0.25">
      <c r="A7" s="8" t="s">
        <v>283</v>
      </c>
    </row>
    <row r="9" spans="1:1" x14ac:dyDescent="0.25">
      <c r="A9" s="8" t="s">
        <v>284</v>
      </c>
    </row>
    <row r="11" spans="1:1" x14ac:dyDescent="0.25">
      <c r="A11" s="8" t="s">
        <v>285</v>
      </c>
    </row>
    <row r="13" spans="1:1" x14ac:dyDescent="0.25">
      <c r="A13" s="8" t="s">
        <v>286</v>
      </c>
    </row>
    <row r="15" spans="1:1" x14ac:dyDescent="0.25">
      <c r="A15" s="8" t="s">
        <v>287</v>
      </c>
    </row>
    <row r="17" spans="1:1" x14ac:dyDescent="0.25">
      <c r="A17" s="8" t="s">
        <v>288</v>
      </c>
    </row>
    <row r="18" spans="1:1" x14ac:dyDescent="0.25">
      <c r="A18" t="s">
        <v>289</v>
      </c>
    </row>
    <row r="20" spans="1:1" x14ac:dyDescent="0.25">
      <c r="A20" t="s">
        <v>290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FACB9-06CC-446D-AFD6-C70DB69ED8F4}">
  <sheetPr codeName="Sheet7"/>
  <dimension ref="A1:X101"/>
  <sheetViews>
    <sheetView zoomScale="85" zoomScaleNormal="85" workbookViewId="0">
      <pane ySplit="1" topLeftCell="A2" activePane="bottomLeft" state="frozen"/>
      <selection pane="bottomLeft" activeCell="O27" sqref="O27"/>
    </sheetView>
  </sheetViews>
  <sheetFormatPr defaultRowHeight="15" x14ac:dyDescent="0.25"/>
  <cols>
    <col min="1" max="1" width="13.5703125" customWidth="1"/>
    <col min="2" max="2" width="17.85546875" bestFit="1" customWidth="1"/>
    <col min="3" max="3" width="11.42578125" bestFit="1" customWidth="1"/>
    <col min="4" max="4" width="12" bestFit="1" customWidth="1"/>
    <col min="5" max="5" width="7.28515625" bestFit="1" customWidth="1"/>
    <col min="6" max="7" width="12.5703125" bestFit="1" customWidth="1"/>
    <col min="8" max="8" width="12.140625" style="1" bestFit="1" customWidth="1"/>
    <col min="9" max="9" width="7.7109375" style="117" customWidth="1"/>
    <col min="10" max="10" width="12.5703125" style="118" bestFit="1" customWidth="1"/>
    <col min="11" max="11" width="14.5703125" style="7" bestFit="1" customWidth="1"/>
    <col min="12" max="12" width="9.7109375" style="6" bestFit="1" customWidth="1"/>
    <col min="13" max="13" width="8.7109375" style="6" bestFit="1" customWidth="1"/>
    <col min="16" max="16" width="34.5703125" bestFit="1" customWidth="1"/>
  </cols>
  <sheetData>
    <row r="1" spans="1:16" ht="15.75" x14ac:dyDescent="0.25">
      <c r="A1" s="222" t="str">
        <f>SCALARS!A1</f>
        <v>grouping</v>
      </c>
      <c r="B1" s="222" t="str">
        <f>SCALARS!B1</f>
        <v>subgroup</v>
      </c>
      <c r="C1" s="222" t="str">
        <f>SCALARS!C1</f>
        <v>my_fi_name</v>
      </c>
      <c r="D1" s="222" t="str">
        <f>SCALARS!D1</f>
        <v>my_pf_name</v>
      </c>
      <c r="E1" s="222" t="str">
        <f>SCALARS!E1</f>
        <v>anchor</v>
      </c>
      <c r="F1" s="223" t="str">
        <f>SCALARS!F1</f>
        <v>multiplier</v>
      </c>
      <c r="G1" s="223" t="str">
        <f>SCALARS!G1</f>
        <v>div_adj</v>
      </c>
      <c r="H1" s="142" t="s">
        <v>151</v>
      </c>
      <c r="I1" s="226" t="s">
        <v>154</v>
      </c>
      <c r="J1" s="227" t="s">
        <v>153</v>
      </c>
      <c r="K1" s="228" t="s">
        <v>152</v>
      </c>
      <c r="L1" s="229" t="s">
        <v>155</v>
      </c>
      <c r="M1" s="229" t="s">
        <v>156</v>
      </c>
      <c r="P1" s="70" t="s">
        <v>86</v>
      </c>
    </row>
    <row r="2" spans="1:16" ht="16.5" thickBot="1" x14ac:dyDescent="0.3">
      <c r="A2" s="224" t="str">
        <f>SCALARS!A2</f>
        <v>fixed income</v>
      </c>
      <c r="B2" s="224" t="str">
        <f>SCALARS!B2</f>
        <v>agg</v>
      </c>
      <c r="C2" s="224" t="str">
        <f>SCALARS!C2</f>
        <v>AGG</v>
      </c>
      <c r="D2" s="224" t="str">
        <f>SCALARS!D2</f>
        <v>IBKR</v>
      </c>
      <c r="E2" s="224" t="str">
        <f>SCALARS!E2</f>
        <v>AGG</v>
      </c>
      <c r="F2" s="225">
        <f>SCALARS!F2</f>
        <v>1</v>
      </c>
      <c r="G2" s="225">
        <f>SCALARS!G2</f>
        <v>0</v>
      </c>
      <c r="H2" s="139" t="b">
        <v>0</v>
      </c>
      <c r="I2" s="230"/>
      <c r="J2" s="231"/>
      <c r="K2" s="232"/>
      <c r="L2" s="233"/>
      <c r="M2" s="233"/>
      <c r="P2" s="71" t="s">
        <v>87</v>
      </c>
    </row>
    <row r="3" spans="1:16" x14ac:dyDescent="0.25">
      <c r="A3" s="224" t="str">
        <f>SCALARS!A3</f>
        <v>fixed income</v>
      </c>
      <c r="B3" s="224" t="str">
        <f>SCALARS!B3</f>
        <v>agg</v>
      </c>
      <c r="C3" s="224" t="str">
        <f>SCALARS!C3</f>
        <v>BND</v>
      </c>
      <c r="D3" s="224" t="str">
        <f>SCALARS!D3</f>
        <v>IBKR</v>
      </c>
      <c r="E3" s="224" t="str">
        <f>SCALARS!E3</f>
        <v>AGG</v>
      </c>
      <c r="F3" s="225">
        <f>SCALARS!F3</f>
        <v>1.3476529542927795</v>
      </c>
      <c r="G3" s="225">
        <f>SCALARS!G3</f>
        <v>0</v>
      </c>
      <c r="H3" s="139" t="b">
        <v>0</v>
      </c>
      <c r="I3" s="230"/>
      <c r="J3" s="231"/>
      <c r="K3" s="232"/>
      <c r="L3" s="233"/>
      <c r="M3" s="233"/>
    </row>
    <row r="4" spans="1:16" x14ac:dyDescent="0.25">
      <c r="A4" s="224" t="str">
        <f>SCALARS!A4</f>
        <v>fixed income</v>
      </c>
      <c r="B4" s="224" t="str">
        <f>SCALARS!B4</f>
        <v>agg</v>
      </c>
      <c r="C4" s="224" t="str">
        <f>SCALARS!C4</f>
        <v>SCHZ</v>
      </c>
      <c r="D4" s="224" t="str">
        <f>SCALARS!D4</f>
        <v>IBKR</v>
      </c>
      <c r="E4" s="224" t="str">
        <f>SCALARS!E4</f>
        <v>AGG</v>
      </c>
      <c r="F4" s="225">
        <f>SCALARS!F4</f>
        <v>4.2784875370075781</v>
      </c>
      <c r="G4" s="225">
        <f>SCALARS!G4</f>
        <v>0</v>
      </c>
      <c r="H4" s="139" t="b">
        <v>0</v>
      </c>
      <c r="I4" s="230"/>
      <c r="J4" s="231"/>
      <c r="K4" s="232"/>
      <c r="L4" s="233"/>
      <c r="M4" s="233"/>
    </row>
    <row r="5" spans="1:16" x14ac:dyDescent="0.25">
      <c r="A5" s="224" t="str">
        <f>SCALARS!A5</f>
        <v>fixed income</v>
      </c>
      <c r="B5" s="224" t="str">
        <f>SCALARS!B5</f>
        <v>agg</v>
      </c>
      <c r="C5" s="224" t="str">
        <f>SCALARS!C5</f>
        <v>SPAB</v>
      </c>
      <c r="D5" s="224" t="str">
        <f>SCALARS!D5</f>
        <v>IBKR</v>
      </c>
      <c r="E5" s="224" t="str">
        <f>SCALARS!E5</f>
        <v>AGG</v>
      </c>
      <c r="F5" s="225">
        <f>SCALARS!F5</f>
        <v>3.879379510030232</v>
      </c>
      <c r="G5" s="225">
        <f>SCALARS!G5</f>
        <v>0</v>
      </c>
      <c r="H5" s="139" t="b">
        <v>0</v>
      </c>
      <c r="I5" s="230"/>
      <c r="J5" s="231"/>
      <c r="K5" s="232"/>
      <c r="L5" s="233"/>
      <c r="M5" s="233"/>
    </row>
    <row r="6" spans="1:16" x14ac:dyDescent="0.25">
      <c r="A6" s="224" t="str">
        <f>SCALARS!A6</f>
        <v>fixed income</v>
      </c>
      <c r="B6" s="224" t="str">
        <f>SCALARS!B6</f>
        <v>calif munis</v>
      </c>
      <c r="C6" s="224" t="str">
        <f>SCALARS!C6</f>
        <v>CMF</v>
      </c>
      <c r="D6" s="224" t="str">
        <f>SCALARS!D6</f>
        <v>IBKR</v>
      </c>
      <c r="E6" s="224" t="str">
        <f>SCALARS!E6</f>
        <v>VTEC</v>
      </c>
      <c r="F6" s="225">
        <f>SCALARS!F6</f>
        <v>1.7459777128119032</v>
      </c>
      <c r="G6" s="225">
        <f>SCALARS!G6</f>
        <v>1.1259440000000001</v>
      </c>
      <c r="H6" s="139" t="b">
        <v>0</v>
      </c>
      <c r="I6" s="230"/>
      <c r="J6" s="231"/>
      <c r="K6" s="232"/>
      <c r="L6" s="233"/>
      <c r="M6" s="233"/>
    </row>
    <row r="7" spans="1:16" x14ac:dyDescent="0.25">
      <c r="A7" s="224" t="str">
        <f>SCALARS!A7</f>
        <v>fixed income</v>
      </c>
      <c r="B7" s="224" t="str">
        <f>SCALARS!B7</f>
        <v>calif munis</v>
      </c>
      <c r="C7" s="224" t="str">
        <f>SCALARS!C7</f>
        <v>VTEC</v>
      </c>
      <c r="D7" s="224" t="str">
        <f>SCALARS!D7</f>
        <v>IBKR</v>
      </c>
      <c r="E7" s="224" t="str">
        <f>SCALARS!E7</f>
        <v>VTEC</v>
      </c>
      <c r="F7" s="225">
        <f>SCALARS!F7</f>
        <v>1</v>
      </c>
      <c r="G7" s="225">
        <f>SCALARS!G7</f>
        <v>2.0625</v>
      </c>
      <c r="H7" s="139" t="b">
        <v>0</v>
      </c>
      <c r="I7" s="230"/>
      <c r="J7" s="231"/>
      <c r="K7" s="232"/>
      <c r="L7" s="233"/>
      <c r="M7" s="233"/>
    </row>
    <row r="8" spans="1:16" x14ac:dyDescent="0.25">
      <c r="A8" s="224" t="str">
        <f>SCALARS!A8</f>
        <v>fixed income</v>
      </c>
      <c r="B8" s="224" t="str">
        <f>SCALARS!B8</f>
        <v>converts</v>
      </c>
      <c r="C8" s="224" t="str">
        <f>SCALARS!C8</f>
        <v>CWB</v>
      </c>
      <c r="D8" s="224" t="str">
        <f>SCALARS!D8</f>
        <v>IBKR</v>
      </c>
      <c r="E8" s="224" t="str">
        <f>SCALARS!E8</f>
        <v>ICVT</v>
      </c>
      <c r="F8" s="225">
        <f>SCALARS!F8</f>
        <v>1.1131780213907789</v>
      </c>
      <c r="G8" s="225">
        <f>SCALARS!G8</f>
        <v>1.0709869999999999</v>
      </c>
      <c r="H8" s="139" t="b">
        <v>0</v>
      </c>
      <c r="I8" s="230"/>
      <c r="J8" s="231"/>
      <c r="K8" s="232"/>
      <c r="L8" s="233"/>
      <c r="M8" s="233"/>
    </row>
    <row r="9" spans="1:16" x14ac:dyDescent="0.25">
      <c r="A9" s="224" t="str">
        <f>SCALARS!A9</f>
        <v>fixed income</v>
      </c>
      <c r="B9" s="224" t="str">
        <f>SCALARS!B9</f>
        <v>converts</v>
      </c>
      <c r="C9" s="224" t="str">
        <f>SCALARS!C9</f>
        <v>ICVT</v>
      </c>
      <c r="D9" s="224" t="str">
        <f>SCALARS!D9</f>
        <v>IBKR</v>
      </c>
      <c r="E9" s="224" t="str">
        <f>SCALARS!E9</f>
        <v>ICVT</v>
      </c>
      <c r="F9" s="225">
        <f>SCALARS!F9</f>
        <v>1</v>
      </c>
      <c r="G9" s="225">
        <f>SCALARS!G9</f>
        <v>1.0154069999999999</v>
      </c>
      <c r="H9" s="139" t="b">
        <v>0</v>
      </c>
      <c r="I9" s="230"/>
      <c r="J9" s="231"/>
      <c r="K9" s="232"/>
      <c r="L9" s="233"/>
      <c r="M9" s="233"/>
    </row>
    <row r="10" spans="1:16" x14ac:dyDescent="0.25">
      <c r="A10" s="224" t="str">
        <f>SCALARS!A10</f>
        <v>fixed income</v>
      </c>
      <c r="B10" s="224" t="str">
        <f>SCALARS!B10</f>
        <v>corps</v>
      </c>
      <c r="C10" s="224" t="str">
        <f>SCALARS!C10</f>
        <v>CORP</v>
      </c>
      <c r="D10" s="224" t="str">
        <f>SCALARS!D10</f>
        <v>IBKR</v>
      </c>
      <c r="E10" s="224" t="str">
        <f>SCALARS!E10</f>
        <v>CORP</v>
      </c>
      <c r="F10" s="225">
        <f>SCALARS!F10</f>
        <v>1</v>
      </c>
      <c r="G10" s="225">
        <f>SCALARS!G10</f>
        <v>0</v>
      </c>
      <c r="H10" s="139" t="b">
        <v>0</v>
      </c>
      <c r="I10" s="230"/>
      <c r="J10" s="231"/>
      <c r="K10" s="232"/>
      <c r="L10" s="233"/>
      <c r="M10" s="233"/>
    </row>
    <row r="11" spans="1:16" x14ac:dyDescent="0.25">
      <c r="A11" s="224" t="str">
        <f>SCALARS!A11</f>
        <v>fixed income</v>
      </c>
      <c r="B11" s="224" t="str">
        <f>SCALARS!B11</f>
        <v>corps</v>
      </c>
      <c r="C11" s="224" t="str">
        <f>SCALARS!C11</f>
        <v>SPBO</v>
      </c>
      <c r="D11" s="224" t="str">
        <f>SCALARS!D11</f>
        <v>IBKR</v>
      </c>
      <c r="E11" s="224" t="str">
        <f>SCALARS!E11</f>
        <v>CORP</v>
      </c>
      <c r="F11" s="225">
        <f>SCALARS!F11</f>
        <v>3.3385746448746723</v>
      </c>
      <c r="G11" s="225">
        <f>SCALARS!G11</f>
        <v>0</v>
      </c>
      <c r="H11" s="139" t="b">
        <v>0</v>
      </c>
      <c r="I11" s="230"/>
      <c r="J11" s="231"/>
      <c r="K11" s="232"/>
      <c r="L11" s="233"/>
      <c r="M11" s="233"/>
    </row>
    <row r="12" spans="1:16" x14ac:dyDescent="0.25">
      <c r="A12" s="224" t="str">
        <f>SCALARS!A12</f>
        <v>fixed income</v>
      </c>
      <c r="B12" s="224" t="str">
        <f>SCALARS!B12</f>
        <v>corps</v>
      </c>
      <c r="C12" s="224" t="str">
        <f>SCALARS!C12</f>
        <v>USIG</v>
      </c>
      <c r="D12" s="224" t="str">
        <f>SCALARS!D12</f>
        <v>IBKR</v>
      </c>
      <c r="E12" s="224" t="str">
        <f>SCALARS!E12</f>
        <v>CORP</v>
      </c>
      <c r="F12" s="225">
        <f>SCALARS!F12</f>
        <v>1.887587836157131</v>
      </c>
      <c r="G12" s="225">
        <f>SCALARS!G12</f>
        <v>0</v>
      </c>
      <c r="H12" s="139" t="b">
        <v>0</v>
      </c>
      <c r="I12" s="230"/>
      <c r="J12" s="231"/>
      <c r="K12" s="232"/>
      <c r="L12" s="233"/>
      <c r="M12" s="233"/>
    </row>
    <row r="13" spans="1:16" x14ac:dyDescent="0.25">
      <c r="A13" s="224" t="str">
        <f>SCALARS!A13</f>
        <v>fixed income</v>
      </c>
      <c r="B13" s="224" t="str">
        <f>SCALARS!B13</f>
        <v>corps</v>
      </c>
      <c r="C13" s="224" t="str">
        <f>SCALARS!C13</f>
        <v>VTC</v>
      </c>
      <c r="D13" s="224" t="str">
        <f>SCALARS!D13</f>
        <v>IBKR</v>
      </c>
      <c r="E13" s="224" t="str">
        <f>SCALARS!E13</f>
        <v>CORP</v>
      </c>
      <c r="F13" s="225">
        <f>SCALARS!F13</f>
        <v>1.2622429847942509</v>
      </c>
      <c r="G13" s="225">
        <f>SCALARS!G13</f>
        <v>0</v>
      </c>
      <c r="H13" s="139" t="b">
        <v>0</v>
      </c>
      <c r="I13" s="230"/>
      <c r="J13" s="231"/>
      <c r="K13" s="232"/>
      <c r="L13" s="233"/>
      <c r="M13" s="233"/>
    </row>
    <row r="14" spans="1:16" x14ac:dyDescent="0.25">
      <c r="A14" s="224" t="str">
        <f>SCALARS!A14</f>
        <v>fixed income</v>
      </c>
      <c r="B14" s="224" t="str">
        <f>SCALARS!B14</f>
        <v>em gov -us</v>
      </c>
      <c r="C14" s="224" t="str">
        <f>SCALARS!C14</f>
        <v>EMB</v>
      </c>
      <c r="D14" s="224" t="str">
        <f>SCALARS!D14</f>
        <v>IBKR</v>
      </c>
      <c r="E14" s="224" t="str">
        <f>SCALARS!E14</f>
        <v>EMB</v>
      </c>
      <c r="F14" s="225">
        <f>SCALARS!F14</f>
        <v>1</v>
      </c>
      <c r="G14" s="225">
        <f>SCALARS!G14</f>
        <v>3.3170269999999999</v>
      </c>
      <c r="H14" s="139" t="b">
        <v>0</v>
      </c>
      <c r="I14" s="230"/>
      <c r="J14" s="231"/>
      <c r="K14" s="232"/>
      <c r="L14" s="233"/>
      <c r="M14" s="233"/>
    </row>
    <row r="15" spans="1:16" x14ac:dyDescent="0.25">
      <c r="A15" s="224" t="str">
        <f>SCALARS!A15</f>
        <v>fixed income</v>
      </c>
      <c r="B15" s="224" t="str">
        <f>SCALARS!B15</f>
        <v>em gov -us</v>
      </c>
      <c r="C15" s="224" t="str">
        <f>SCALARS!C15</f>
        <v>VWOB</v>
      </c>
      <c r="D15" s="224" t="str">
        <f>SCALARS!D15</f>
        <v>IBKR</v>
      </c>
      <c r="E15" s="224" t="str">
        <f>SCALARS!E15</f>
        <v>EMB</v>
      </c>
      <c r="F15" s="225">
        <f>SCALARS!F15</f>
        <v>1.432717711900662</v>
      </c>
      <c r="G15" s="225">
        <f>SCALARS!G15</f>
        <v>2.6059000000000001</v>
      </c>
      <c r="H15" s="139" t="b">
        <v>0</v>
      </c>
      <c r="I15" s="230"/>
      <c r="J15" s="231"/>
      <c r="K15" s="232"/>
      <c r="L15" s="233"/>
      <c r="M15" s="233"/>
    </row>
    <row r="16" spans="1:16" x14ac:dyDescent="0.25">
      <c r="A16" s="224" t="str">
        <f>SCALARS!A16</f>
        <v>fixed income</v>
      </c>
      <c r="B16" s="224" t="str">
        <f>SCALARS!B16</f>
        <v>fallen angels</v>
      </c>
      <c r="C16" s="224" t="str">
        <f>SCALARS!C16</f>
        <v>ANGL</v>
      </c>
      <c r="D16" s="224" t="str">
        <f>SCALARS!D16</f>
        <v>IBKR</v>
      </c>
      <c r="E16" s="224" t="str">
        <f>SCALARS!E16</f>
        <v>ANGL</v>
      </c>
      <c r="F16" s="225">
        <f>SCALARS!F16</f>
        <v>1</v>
      </c>
      <c r="G16" s="225">
        <f>SCALARS!G16</f>
        <v>1.2823</v>
      </c>
      <c r="H16" s="139" t="b">
        <v>0</v>
      </c>
      <c r="I16" s="230"/>
      <c r="J16" s="231"/>
      <c r="K16" s="232"/>
      <c r="L16" s="233"/>
      <c r="M16" s="233"/>
    </row>
    <row r="17" spans="1:20" x14ac:dyDescent="0.25">
      <c r="A17" s="224" t="str">
        <f>SCALARS!A17</f>
        <v>fixed income</v>
      </c>
      <c r="B17" s="224" t="str">
        <f>SCALARS!B17</f>
        <v>fallen angels</v>
      </c>
      <c r="C17" s="224" t="str">
        <f>SCALARS!C17</f>
        <v>FALN</v>
      </c>
      <c r="D17" s="224" t="str">
        <f>SCALARS!D17</f>
        <v>IBKR</v>
      </c>
      <c r="E17" s="224" t="str">
        <f>SCALARS!E17</f>
        <v>ANGL</v>
      </c>
      <c r="F17" s="225">
        <f>SCALARS!F17</f>
        <v>1.0757044797511381</v>
      </c>
      <c r="G17" s="225">
        <f>SCALARS!G17</f>
        <v>1.1721300000000001</v>
      </c>
      <c r="H17" s="139" t="b">
        <v>0</v>
      </c>
      <c r="I17" s="230"/>
      <c r="J17" s="231"/>
      <c r="K17" s="232"/>
      <c r="L17" s="233"/>
      <c r="M17" s="233"/>
    </row>
    <row r="18" spans="1:20" x14ac:dyDescent="0.25">
      <c r="A18" s="224" t="str">
        <f>SCALARS!A18</f>
        <v>fixed income</v>
      </c>
      <c r="B18" s="224" t="str">
        <f>SCALARS!B18</f>
        <v>hi yld</v>
      </c>
      <c r="C18" s="224" t="str">
        <f>SCALARS!C18</f>
        <v>HYG</v>
      </c>
      <c r="D18" s="224" t="str">
        <f>SCALARS!D18</f>
        <v>IBKR</v>
      </c>
      <c r="E18" s="224" t="str">
        <f>SCALARS!E18</f>
        <v>JNK</v>
      </c>
      <c r="F18" s="225">
        <f>SCALARS!F18</f>
        <v>1.2033184753457946</v>
      </c>
      <c r="G18" s="225">
        <f>SCALARS!G18</f>
        <v>0</v>
      </c>
      <c r="H18" s="139" t="b">
        <v>0</v>
      </c>
      <c r="I18" s="230"/>
      <c r="J18" s="231"/>
      <c r="K18" s="232"/>
      <c r="L18" s="233"/>
      <c r="M18" s="233"/>
    </row>
    <row r="19" spans="1:20" x14ac:dyDescent="0.25">
      <c r="A19" s="224" t="str">
        <f>SCALARS!A19</f>
        <v>fixed income</v>
      </c>
      <c r="B19" s="224" t="str">
        <f>SCALARS!B19</f>
        <v>hi yld</v>
      </c>
      <c r="C19" s="224" t="str">
        <f>SCALARS!C19</f>
        <v>HYLB</v>
      </c>
      <c r="D19" s="224" t="str">
        <f>SCALARS!D19</f>
        <v>IBKR</v>
      </c>
      <c r="E19" s="224" t="str">
        <f>SCALARS!E19</f>
        <v>JNK</v>
      </c>
      <c r="F19" s="225">
        <f>SCALARS!F19</f>
        <v>2.63706732931468</v>
      </c>
      <c r="G19" s="225">
        <f>SCALARS!G19</f>
        <v>0</v>
      </c>
      <c r="H19" s="139" t="b">
        <v>0</v>
      </c>
      <c r="I19" s="230"/>
      <c r="J19" s="231"/>
      <c r="K19" s="232"/>
      <c r="L19" s="233"/>
      <c r="M19" s="233"/>
    </row>
    <row r="20" spans="1:20" x14ac:dyDescent="0.25">
      <c r="A20" s="224" t="str">
        <f>SCALARS!A20</f>
        <v>fixed income</v>
      </c>
      <c r="B20" s="224" t="str">
        <f>SCALARS!B20</f>
        <v>hi yld</v>
      </c>
      <c r="C20" s="224" t="str">
        <f>SCALARS!C20</f>
        <v>JNK</v>
      </c>
      <c r="D20" s="224" t="str">
        <f>SCALARS!D20</f>
        <v>IBKR</v>
      </c>
      <c r="E20" s="224" t="str">
        <f>SCALARS!E20</f>
        <v>JNK</v>
      </c>
      <c r="F20" s="225">
        <f>SCALARS!F20</f>
        <v>1</v>
      </c>
      <c r="G20" s="225">
        <f>SCALARS!G20</f>
        <v>0</v>
      </c>
      <c r="H20" s="139" t="b">
        <v>0</v>
      </c>
      <c r="I20" s="230"/>
      <c r="J20" s="231"/>
      <c r="K20" s="232"/>
      <c r="L20" s="233"/>
      <c r="M20" s="233"/>
    </row>
    <row r="21" spans="1:20" x14ac:dyDescent="0.25">
      <c r="A21" s="224" t="str">
        <f>SCALARS!A21</f>
        <v>fixed income</v>
      </c>
      <c r="B21" s="224" t="str">
        <f>SCALARS!B21</f>
        <v>hi yld</v>
      </c>
      <c r="C21" s="224" t="str">
        <f>SCALARS!C21</f>
        <v>SCYB</v>
      </c>
      <c r="D21" s="224" t="str">
        <f>SCALARS!D21</f>
        <v>IBKR</v>
      </c>
      <c r="E21" s="224" t="str">
        <f>SCALARS!E21</f>
        <v>JNK</v>
      </c>
      <c r="F21" s="225">
        <f>SCALARS!F21</f>
        <v>3.6815334229865626</v>
      </c>
      <c r="G21" s="225">
        <f>SCALARS!G21</f>
        <v>0</v>
      </c>
      <c r="H21" s="139" t="b">
        <v>0</v>
      </c>
      <c r="I21" s="230"/>
      <c r="J21" s="231"/>
      <c r="K21" s="232"/>
      <c r="L21" s="233"/>
      <c r="M21" s="233"/>
    </row>
    <row r="22" spans="1:20" x14ac:dyDescent="0.25">
      <c r="A22" s="224" t="str">
        <f>SCALARS!A22</f>
        <v>fixed income</v>
      </c>
      <c r="B22" s="224" t="str">
        <f>SCALARS!B22</f>
        <v>hi yld</v>
      </c>
      <c r="C22" s="224" t="str">
        <f>SCALARS!C22</f>
        <v>SPHY</v>
      </c>
      <c r="D22" s="224" t="str">
        <f>SCALARS!D22</f>
        <v>IBKR</v>
      </c>
      <c r="E22" s="224" t="str">
        <f>SCALARS!E22</f>
        <v>JNK</v>
      </c>
      <c r="F22" s="225">
        <f>SCALARS!F22</f>
        <v>4.1125776309759745</v>
      </c>
      <c r="G22" s="225">
        <f>SCALARS!G22</f>
        <v>0</v>
      </c>
      <c r="H22" s="139" t="b">
        <v>0</v>
      </c>
      <c r="I22" s="230"/>
      <c r="J22" s="231"/>
      <c r="K22" s="232"/>
      <c r="L22" s="233"/>
      <c r="M22" s="233"/>
    </row>
    <row r="23" spans="1:20" x14ac:dyDescent="0.25">
      <c r="A23" s="224" t="str">
        <f>SCALARS!A23</f>
        <v>fixed income</v>
      </c>
      <c r="B23" s="224" t="str">
        <f>SCALARS!B23</f>
        <v>hi yld</v>
      </c>
      <c r="C23" s="224" t="str">
        <f>SCALARS!C23</f>
        <v>USHY</v>
      </c>
      <c r="D23" s="224" t="str">
        <f>SCALARS!D23</f>
        <v>IBKR</v>
      </c>
      <c r="E23" s="224" t="str">
        <f>SCALARS!E23</f>
        <v>JNK</v>
      </c>
      <c r="F23" s="225">
        <f>SCALARS!F23</f>
        <v>2.601578010930413</v>
      </c>
      <c r="G23" s="225">
        <f>SCALARS!G23</f>
        <v>0</v>
      </c>
      <c r="H23" s="139" t="b">
        <v>0</v>
      </c>
      <c r="I23" s="230"/>
      <c r="J23" s="231"/>
      <c r="K23" s="232"/>
      <c r="L23" s="233"/>
      <c r="M23" s="233"/>
    </row>
    <row r="24" spans="1:20" x14ac:dyDescent="0.25">
      <c r="A24" s="224" t="str">
        <f>SCALARS!A24</f>
        <v>fixed income</v>
      </c>
      <c r="B24" s="224" t="str">
        <f>SCALARS!B24</f>
        <v>intl agg - hedged</v>
      </c>
      <c r="C24" s="224" t="str">
        <f>SCALARS!C24</f>
        <v>BNDX</v>
      </c>
      <c r="D24" s="224" t="str">
        <f>SCALARS!D24</f>
        <v>IBKR</v>
      </c>
      <c r="E24" s="224" t="str">
        <f>SCALARS!E24</f>
        <v>IAGG</v>
      </c>
      <c r="F24" s="225">
        <f>SCALARS!F24</f>
        <v>1.0452602286087633</v>
      </c>
      <c r="G24" s="225">
        <f>SCALARS!G24</f>
        <v>0.90090000000000003</v>
      </c>
      <c r="H24" s="139" t="b">
        <v>0</v>
      </c>
      <c r="I24" s="230"/>
      <c r="J24" s="231"/>
      <c r="K24" s="232"/>
      <c r="L24" s="233"/>
      <c r="M24" s="233"/>
    </row>
    <row r="25" spans="1:20" x14ac:dyDescent="0.25">
      <c r="A25" s="224" t="str">
        <f>SCALARS!A25</f>
        <v>fixed income</v>
      </c>
      <c r="B25" s="224" t="str">
        <f>SCALARS!B25</f>
        <v>intl agg - hedged</v>
      </c>
      <c r="C25" s="224" t="str">
        <f>SCALARS!C25</f>
        <v>IAGG</v>
      </c>
      <c r="D25" s="224" t="str">
        <f>SCALARS!D25</f>
        <v>IBKR</v>
      </c>
      <c r="E25" s="224" t="str">
        <f>SCALARS!E25</f>
        <v>IAGG</v>
      </c>
      <c r="F25" s="225">
        <f>SCALARS!F25</f>
        <v>1</v>
      </c>
      <c r="G25" s="225">
        <f>SCALARS!G25</f>
        <v>0.71307999999999994</v>
      </c>
      <c r="H25" s="139" t="b">
        <v>0</v>
      </c>
      <c r="I25" s="230"/>
      <c r="J25" s="231"/>
      <c r="K25" s="232"/>
      <c r="L25" s="233"/>
      <c r="M25" s="233"/>
    </row>
    <row r="26" spans="1:20" x14ac:dyDescent="0.25">
      <c r="A26" s="224" t="str">
        <f>SCALARS!A26</f>
        <v>fixed income</v>
      </c>
      <c r="B26" s="224" t="str">
        <f>SCALARS!B26</f>
        <v>intl gov - unhedged</v>
      </c>
      <c r="C26" s="224" t="str">
        <f>SCALARS!C26</f>
        <v>BWX</v>
      </c>
      <c r="D26" s="224" t="str">
        <f>SCALARS!D26</f>
        <v>IBKR</v>
      </c>
      <c r="E26" s="224" t="str">
        <f>SCALARS!E26</f>
        <v>IGOV</v>
      </c>
      <c r="F26" s="225">
        <f>SCALARS!F26</f>
        <v>1.8534459673916217</v>
      </c>
      <c r="G26" s="225">
        <f>SCALARS!G26</f>
        <v>0.34714599999999995</v>
      </c>
      <c r="H26" s="139" t="b">
        <v>1</v>
      </c>
      <c r="I26" s="230" t="s">
        <v>291</v>
      </c>
      <c r="J26" s="231" t="s">
        <v>293</v>
      </c>
      <c r="K26" s="232">
        <v>0</v>
      </c>
      <c r="L26" s="233">
        <v>370</v>
      </c>
      <c r="M26" s="233"/>
      <c r="Q26">
        <v>21.29</v>
      </c>
      <c r="R26" s="140">
        <f>+G26</f>
        <v>0.34714599999999995</v>
      </c>
      <c r="S26" s="140">
        <f>+F26</f>
        <v>1.8534459673916217</v>
      </c>
      <c r="T26">
        <f>+(Q26+R26)*S26</f>
        <v>40.103280999563751</v>
      </c>
    </row>
    <row r="27" spans="1:20" x14ac:dyDescent="0.25">
      <c r="A27" s="224" t="str">
        <f>SCALARS!A27</f>
        <v>fixed income</v>
      </c>
      <c r="B27" s="224" t="str">
        <f>SCALARS!B27</f>
        <v>intl gov - unhedged</v>
      </c>
      <c r="C27" s="224" t="str">
        <f>SCALARS!C27</f>
        <v>IGOV</v>
      </c>
      <c r="D27" s="224" t="str">
        <f>SCALARS!D27</f>
        <v>IBKR</v>
      </c>
      <c r="E27" s="224" t="str">
        <f>SCALARS!E27</f>
        <v>IGOV</v>
      </c>
      <c r="F27" s="225">
        <f>SCALARS!F27</f>
        <v>1</v>
      </c>
      <c r="G27" s="225">
        <f>SCALARS!G27</f>
        <v>0</v>
      </c>
      <c r="H27" s="139" t="b">
        <v>1</v>
      </c>
      <c r="I27" s="230" t="s">
        <v>291</v>
      </c>
      <c r="J27" s="231" t="s">
        <v>292</v>
      </c>
      <c r="K27" s="232">
        <v>0</v>
      </c>
      <c r="L27" s="233"/>
      <c r="M27" s="233">
        <v>200</v>
      </c>
    </row>
    <row r="28" spans="1:20" x14ac:dyDescent="0.25">
      <c r="A28" s="224" t="str">
        <f>SCALARS!A28</f>
        <v>fixed income</v>
      </c>
      <c r="B28" s="224" t="str">
        <f>SCALARS!B28</f>
        <v>long term corps</v>
      </c>
      <c r="C28" s="224" t="str">
        <f>SCALARS!C28</f>
        <v>IGLB</v>
      </c>
      <c r="D28" s="224" t="str">
        <f>SCALARS!D28</f>
        <v>IBKR</v>
      </c>
      <c r="E28" s="224" t="str">
        <f>SCALARS!E28</f>
        <v>VCLT</v>
      </c>
      <c r="F28" s="225">
        <f>SCALARS!F28</f>
        <v>1.5005264406293857</v>
      </c>
      <c r="G28" s="225">
        <f>SCALARS!G28</f>
        <v>0</v>
      </c>
      <c r="H28" s="139" t="b">
        <v>0</v>
      </c>
      <c r="I28" s="230"/>
      <c r="J28" s="231"/>
      <c r="K28" s="232"/>
      <c r="L28" s="233"/>
      <c r="M28" s="233"/>
    </row>
    <row r="29" spans="1:20" x14ac:dyDescent="0.25">
      <c r="A29" s="224" t="str">
        <f>SCALARS!A29</f>
        <v>fixed income</v>
      </c>
      <c r="B29" s="224" t="str">
        <f>SCALARS!B29</f>
        <v>long term corps</v>
      </c>
      <c r="C29" s="224" t="str">
        <f>SCALARS!C29</f>
        <v>SPLB</v>
      </c>
      <c r="D29" s="224" t="str">
        <f>SCALARS!D29</f>
        <v>IBKR</v>
      </c>
      <c r="E29" s="224" t="str">
        <f>SCALARS!E29</f>
        <v>VCLT</v>
      </c>
      <c r="F29" s="225">
        <f>SCALARS!F29</f>
        <v>3.3605849998281307</v>
      </c>
      <c r="G29" s="225">
        <f>SCALARS!G29</f>
        <v>0</v>
      </c>
      <c r="H29" s="139" t="b">
        <v>0</v>
      </c>
      <c r="I29" s="230"/>
      <c r="J29" s="231"/>
      <c r="K29" s="232"/>
      <c r="L29" s="233"/>
      <c r="M29" s="233"/>
    </row>
    <row r="30" spans="1:20" x14ac:dyDescent="0.25">
      <c r="A30" s="224" t="str">
        <f>SCALARS!A30</f>
        <v>fixed income</v>
      </c>
      <c r="B30" s="224" t="str">
        <f>SCALARS!B30</f>
        <v>long term corps</v>
      </c>
      <c r="C30" s="224" t="str">
        <f>SCALARS!C30</f>
        <v>VCLT</v>
      </c>
      <c r="D30" s="224" t="str">
        <f>SCALARS!D30</f>
        <v>IBKR</v>
      </c>
      <c r="E30" s="224" t="str">
        <f>SCALARS!E30</f>
        <v>VCLT</v>
      </c>
      <c r="F30" s="225">
        <f>SCALARS!F30</f>
        <v>1</v>
      </c>
      <c r="G30" s="225">
        <f>SCALARS!G30</f>
        <v>0</v>
      </c>
      <c r="H30" s="139" t="b">
        <v>0</v>
      </c>
      <c r="I30" s="230"/>
      <c r="J30" s="231"/>
      <c r="K30" s="232"/>
      <c r="L30" s="233"/>
      <c r="M30" s="233"/>
    </row>
    <row r="31" spans="1:20" x14ac:dyDescent="0.25">
      <c r="A31" s="224" t="str">
        <f>SCALARS!A31</f>
        <v>fixed income</v>
      </c>
      <c r="B31" s="224" t="str">
        <f>SCALARS!B31</f>
        <v>long term tsy</v>
      </c>
      <c r="C31" s="224" t="str">
        <f>SCALARS!C31</f>
        <v>SCHQ</v>
      </c>
      <c r="D31" s="224" t="str">
        <f>SCALARS!D31</f>
        <v>IBKR</v>
      </c>
      <c r="E31" s="224" t="str">
        <f>SCALARS!E31</f>
        <v>VGLT</v>
      </c>
      <c r="F31" s="225">
        <f>SCALARS!F31</f>
        <v>1.7621198643786105</v>
      </c>
      <c r="G31" s="225">
        <f>SCALARS!G31</f>
        <v>0</v>
      </c>
      <c r="H31" s="139" t="b">
        <v>0</v>
      </c>
      <c r="I31" s="230"/>
      <c r="J31" s="231"/>
      <c r="K31" s="232"/>
      <c r="L31" s="233"/>
      <c r="M31" s="233"/>
    </row>
    <row r="32" spans="1:20" x14ac:dyDescent="0.25">
      <c r="A32" s="224" t="str">
        <f>SCALARS!A32</f>
        <v>fixed income</v>
      </c>
      <c r="B32" s="224" t="str">
        <f>SCALARS!B32</f>
        <v>long term tsy</v>
      </c>
      <c r="C32" s="224" t="str">
        <f>SCALARS!C32</f>
        <v>SPTL</v>
      </c>
      <c r="D32" s="224" t="str">
        <f>SCALARS!D32</f>
        <v>IBKR</v>
      </c>
      <c r="E32" s="224" t="str">
        <f>SCALARS!E32</f>
        <v>VGLT</v>
      </c>
      <c r="F32" s="225">
        <f>SCALARS!F32</f>
        <v>2.1017573180361939</v>
      </c>
      <c r="G32" s="225">
        <f>SCALARS!G32</f>
        <v>0</v>
      </c>
      <c r="H32" s="139" t="b">
        <v>0</v>
      </c>
      <c r="I32" s="230"/>
      <c r="J32" s="231"/>
      <c r="K32" s="232"/>
      <c r="L32" s="233"/>
      <c r="M32" s="233"/>
    </row>
    <row r="33" spans="1:24" x14ac:dyDescent="0.25">
      <c r="A33" s="224" t="str">
        <f>SCALARS!A33</f>
        <v>fixed income</v>
      </c>
      <c r="B33" s="224" t="str">
        <f>SCALARS!B33</f>
        <v>long term tsy</v>
      </c>
      <c r="C33" s="224" t="str">
        <f>SCALARS!C33</f>
        <v>VGLT</v>
      </c>
      <c r="D33" s="224" t="str">
        <f>SCALARS!D33</f>
        <v>IBKR</v>
      </c>
      <c r="E33" s="224" t="str">
        <f>SCALARS!E33</f>
        <v>VGLT</v>
      </c>
      <c r="F33" s="225">
        <f>SCALARS!F33</f>
        <v>1</v>
      </c>
      <c r="G33" s="225">
        <f>SCALARS!G33</f>
        <v>0</v>
      </c>
      <c r="H33" s="139" t="b">
        <v>0</v>
      </c>
      <c r="I33" s="230"/>
      <c r="J33" s="231"/>
      <c r="K33" s="232"/>
      <c r="L33" s="233"/>
      <c r="M33" s="233"/>
    </row>
    <row r="34" spans="1:24" x14ac:dyDescent="0.25">
      <c r="A34" s="224" t="str">
        <f>SCALARS!A34</f>
        <v>fixed income</v>
      </c>
      <c r="B34" s="224" t="str">
        <f>SCALARS!B34</f>
        <v>mortgages</v>
      </c>
      <c r="C34" s="224" t="str">
        <f>SCALARS!C34</f>
        <v>MBB</v>
      </c>
      <c r="D34" s="224" t="str">
        <f>SCALARS!D34</f>
        <v>IBKR</v>
      </c>
      <c r="E34" s="224" t="str">
        <f>SCALARS!E34</f>
        <v>MBB</v>
      </c>
      <c r="F34" s="225">
        <f>SCALARS!F34</f>
        <v>1</v>
      </c>
      <c r="G34" s="225">
        <f>SCALARS!G34</f>
        <v>0</v>
      </c>
      <c r="H34" s="139" t="b">
        <v>0</v>
      </c>
      <c r="I34" s="230"/>
      <c r="J34" s="231"/>
      <c r="K34" s="232"/>
      <c r="L34" s="233"/>
      <c r="M34" s="233"/>
    </row>
    <row r="35" spans="1:24" x14ac:dyDescent="0.25">
      <c r="A35" s="224" t="str">
        <f>SCALARS!A35</f>
        <v>fixed income</v>
      </c>
      <c r="B35" s="224" t="str">
        <f>SCALARS!B35</f>
        <v>mortgages</v>
      </c>
      <c r="C35" s="224" t="str">
        <f>SCALARS!C35</f>
        <v>SPMB</v>
      </c>
      <c r="D35" s="224" t="str">
        <f>SCALARS!D35</f>
        <v>IBKR</v>
      </c>
      <c r="E35" s="224" t="str">
        <f>SCALARS!E35</f>
        <v>MBB</v>
      </c>
      <c r="F35" s="225">
        <f>SCALARS!F35</f>
        <v>4.2362063800883574</v>
      </c>
      <c r="G35" s="225">
        <f>SCALARS!G35</f>
        <v>0</v>
      </c>
      <c r="H35" s="139" t="b">
        <v>0</v>
      </c>
      <c r="I35" s="230"/>
      <c r="J35" s="231"/>
      <c r="K35" s="232"/>
      <c r="L35" s="233"/>
      <c r="M35" s="233"/>
    </row>
    <row r="36" spans="1:24" x14ac:dyDescent="0.25">
      <c r="A36" s="224" t="str">
        <f>SCALARS!A36</f>
        <v>fixed income</v>
      </c>
      <c r="B36" s="224" t="str">
        <f>SCALARS!B36</f>
        <v>mortgages</v>
      </c>
      <c r="C36" s="224" t="str">
        <f>SCALARS!C36</f>
        <v>VMBS</v>
      </c>
      <c r="D36" s="224" t="str">
        <f>SCALARS!D36</f>
        <v>IBKR</v>
      </c>
      <c r="E36" s="224" t="str">
        <f>SCALARS!E36</f>
        <v>MBB</v>
      </c>
      <c r="F36" s="225">
        <f>SCALARS!F36</f>
        <v>2.0167600576728906</v>
      </c>
      <c r="G36" s="225">
        <f>SCALARS!G36</f>
        <v>0</v>
      </c>
      <c r="H36" s="139" t="b">
        <v>0</v>
      </c>
      <c r="I36" s="230"/>
      <c r="J36" s="231"/>
      <c r="K36" s="232"/>
      <c r="L36" s="233"/>
      <c r="M36" s="233"/>
    </row>
    <row r="37" spans="1:24" x14ac:dyDescent="0.25">
      <c r="A37" s="224" t="str">
        <f>SCALARS!A37</f>
        <v>fixed income</v>
      </c>
      <c r="B37" s="224" t="str">
        <f>SCALARS!B37</f>
        <v>munis</v>
      </c>
      <c r="C37" s="224" t="str">
        <f>SCALARS!C37</f>
        <v>MUB</v>
      </c>
      <c r="D37" s="224" t="str">
        <f>SCALARS!D37</f>
        <v>IBKR</v>
      </c>
      <c r="E37" s="224" t="str">
        <f>SCALARS!E37</f>
        <v>MUB</v>
      </c>
      <c r="F37" s="225">
        <f>SCALARS!F37</f>
        <v>1</v>
      </c>
      <c r="G37" s="225">
        <f>SCALARS!G37</f>
        <v>0</v>
      </c>
      <c r="H37" s="139" t="b">
        <v>0</v>
      </c>
      <c r="I37" s="230"/>
      <c r="J37" s="231"/>
      <c r="K37" s="232"/>
      <c r="L37" s="233"/>
      <c r="M37" s="233"/>
    </row>
    <row r="38" spans="1:24" x14ac:dyDescent="0.25">
      <c r="A38" s="224" t="str">
        <f>SCALARS!A38</f>
        <v>fixed income</v>
      </c>
      <c r="B38" s="224" t="str">
        <f>SCALARS!B38</f>
        <v>munis</v>
      </c>
      <c r="C38" s="224" t="str">
        <f>SCALARS!C38</f>
        <v>TFI</v>
      </c>
      <c r="D38" s="224" t="str">
        <f>SCALARS!D38</f>
        <v>IBKR</v>
      </c>
      <c r="E38" s="224" t="str">
        <f>SCALARS!E38</f>
        <v>MUB</v>
      </c>
      <c r="F38" s="225">
        <f>SCALARS!F38</f>
        <v>2.3562987017736692</v>
      </c>
      <c r="G38" s="225">
        <f>SCALARS!G38</f>
        <v>0</v>
      </c>
      <c r="H38" s="139" t="b">
        <v>0</v>
      </c>
      <c r="I38" s="230"/>
      <c r="J38" s="231"/>
      <c r="K38" s="232"/>
      <c r="L38" s="233"/>
      <c r="M38" s="233"/>
    </row>
    <row r="39" spans="1:24" x14ac:dyDescent="0.25">
      <c r="A39" s="224" t="str">
        <f>SCALARS!A39</f>
        <v>fixed income</v>
      </c>
      <c r="B39" s="224" t="str">
        <f>SCALARS!B39</f>
        <v>munis</v>
      </c>
      <c r="C39" s="224" t="str">
        <f>SCALARS!C39</f>
        <v>VTEB</v>
      </c>
      <c r="D39" s="224" t="str">
        <f>SCALARS!D39</f>
        <v>IBKR</v>
      </c>
      <c r="E39" s="224" t="str">
        <f>SCALARS!E39</f>
        <v>MUB</v>
      </c>
      <c r="F39" s="225">
        <f>SCALARS!F39</f>
        <v>2.1303218841231355</v>
      </c>
      <c r="G39" s="225">
        <f>SCALARS!G39</f>
        <v>0</v>
      </c>
      <c r="H39" s="139" t="b">
        <v>0</v>
      </c>
      <c r="I39" s="230"/>
      <c r="J39" s="231"/>
      <c r="K39" s="232"/>
      <c r="L39" s="233"/>
      <c r="M39" s="233"/>
    </row>
    <row r="40" spans="1:24" x14ac:dyDescent="0.25">
      <c r="A40" s="224" t="str">
        <f>SCALARS!A40</f>
        <v>fixed income</v>
      </c>
      <c r="B40" s="224" t="str">
        <f>SCALARS!B40</f>
        <v>prefs</v>
      </c>
      <c r="C40" s="224" t="str">
        <f>SCALARS!C40</f>
        <v>PFF</v>
      </c>
      <c r="D40" s="224" t="str">
        <f>SCALARS!D40</f>
        <v>IBKR</v>
      </c>
      <c r="E40" s="224" t="str">
        <f>SCALARS!E40</f>
        <v>PFF</v>
      </c>
      <c r="F40" s="225">
        <f>SCALARS!F40</f>
        <v>1</v>
      </c>
      <c r="G40" s="225">
        <f>SCALARS!G40</f>
        <v>1.0603740000000001</v>
      </c>
      <c r="H40" s="139" t="b">
        <v>0</v>
      </c>
      <c r="I40" s="230"/>
      <c r="J40" s="231"/>
      <c r="K40" s="232"/>
      <c r="L40" s="233"/>
      <c r="M40" s="233"/>
    </row>
    <row r="41" spans="1:24" x14ac:dyDescent="0.25">
      <c r="A41" s="224" t="str">
        <f>SCALARS!A41</f>
        <v>fixed income</v>
      </c>
      <c r="B41" s="224" t="str">
        <f>SCALARS!B41</f>
        <v>prefs</v>
      </c>
      <c r="C41" s="224" t="str">
        <f>SCALARS!C41</f>
        <v>PFFD</v>
      </c>
      <c r="D41" s="224" t="str">
        <f>SCALARS!D41</f>
        <v>IBKR</v>
      </c>
      <c r="E41" s="224" t="str">
        <f>SCALARS!E41</f>
        <v>PFF</v>
      </c>
      <c r="F41" s="225">
        <f>SCALARS!F41</f>
        <v>1.6517399608224508</v>
      </c>
      <c r="G41" s="225">
        <f>SCALARS!G41</f>
        <v>0.79999999999999993</v>
      </c>
      <c r="H41" s="139" t="b">
        <v>0</v>
      </c>
      <c r="I41" s="230"/>
      <c r="J41" s="231"/>
      <c r="K41" s="232"/>
      <c r="L41" s="233"/>
      <c r="M41" s="233"/>
    </row>
    <row r="42" spans="1:24" x14ac:dyDescent="0.25">
      <c r="A42" s="224" t="str">
        <f>SCALARS!A42</f>
        <v>corps</v>
      </c>
      <c r="B42" s="224" t="str">
        <f>SCALARS!B42</f>
        <v>berkshire</v>
      </c>
      <c r="C42" s="224" t="str">
        <f>SCALARS!C42</f>
        <v>BRK A</v>
      </c>
      <c r="D42" s="224" t="str">
        <f>SCALARS!D42</f>
        <v>IBKR</v>
      </c>
      <c r="E42" s="224" t="str">
        <f>SCALARS!E42</f>
        <v>BRK A</v>
      </c>
      <c r="F42" s="225">
        <f>SCALARS!F42</f>
        <v>1</v>
      </c>
      <c r="G42" s="225">
        <f>SCALARS!G42</f>
        <v>0</v>
      </c>
      <c r="H42" s="139" t="b">
        <v>0</v>
      </c>
      <c r="I42" s="230"/>
      <c r="J42" s="231"/>
      <c r="K42" s="232"/>
      <c r="L42" s="233"/>
      <c r="M42" s="233"/>
      <c r="X42" s="140"/>
    </row>
    <row r="43" spans="1:24" x14ac:dyDescent="0.25">
      <c r="A43" s="224" t="str">
        <f>SCALARS!A43</f>
        <v>corps</v>
      </c>
      <c r="B43" s="224" t="str">
        <f>SCALARS!B43</f>
        <v>berkshire</v>
      </c>
      <c r="C43" s="224" t="str">
        <f>SCALARS!C43</f>
        <v>BRK B</v>
      </c>
      <c r="D43" s="224" t="str">
        <f>SCALARS!D43</f>
        <v>IBKR</v>
      </c>
      <c r="E43" s="224" t="str">
        <f>SCALARS!E43</f>
        <v>BRK A</v>
      </c>
      <c r="F43" s="225">
        <f>SCALARS!F43</f>
        <v>1500.2743937719083</v>
      </c>
      <c r="G43" s="225">
        <f>SCALARS!G43</f>
        <v>0</v>
      </c>
      <c r="H43" s="139" t="b">
        <v>0</v>
      </c>
      <c r="I43" s="230"/>
      <c r="J43" s="231"/>
      <c r="K43" s="232"/>
      <c r="L43" s="233"/>
      <c r="M43" s="233"/>
    </row>
    <row r="44" spans="1:24" x14ac:dyDescent="0.25">
      <c r="A44" s="224" t="str">
        <f>SCALARS!A44</f>
        <v>corps</v>
      </c>
      <c r="B44" s="224" t="str">
        <f>SCALARS!B44</f>
        <v>fox corp</v>
      </c>
      <c r="C44" s="224" t="str">
        <f>SCALARS!C44</f>
        <v>FOX</v>
      </c>
      <c r="D44" s="224" t="str">
        <f>SCALARS!D44</f>
        <v>IBKR</v>
      </c>
      <c r="E44" s="224" t="str">
        <f>SCALARS!E44</f>
        <v>FOXA</v>
      </c>
      <c r="F44" s="225">
        <f>SCALARS!F44</f>
        <v>1.1190659503663023</v>
      </c>
      <c r="G44" s="225">
        <f>SCALARS!G44</f>
        <v>0</v>
      </c>
      <c r="H44" s="139" t="b">
        <v>0</v>
      </c>
      <c r="I44" s="230"/>
      <c r="J44" s="231"/>
      <c r="K44" s="232"/>
      <c r="L44" s="233"/>
      <c r="M44" s="233"/>
    </row>
    <row r="45" spans="1:24" x14ac:dyDescent="0.25">
      <c r="A45" s="224" t="str">
        <f>SCALARS!A45</f>
        <v>corps</v>
      </c>
      <c r="B45" s="224" t="str">
        <f>SCALARS!B45</f>
        <v>fox corp</v>
      </c>
      <c r="C45" s="224" t="str">
        <f>SCALARS!C45</f>
        <v>FOXA</v>
      </c>
      <c r="D45" s="224" t="str">
        <f>SCALARS!D45</f>
        <v>IBKR</v>
      </c>
      <c r="E45" s="224" t="str">
        <f>SCALARS!E45</f>
        <v>FOXA</v>
      </c>
      <c r="F45" s="225">
        <f>SCALARS!F45</f>
        <v>1</v>
      </c>
      <c r="G45" s="225">
        <f>SCALARS!G45</f>
        <v>0</v>
      </c>
      <c r="H45" s="139" t="b">
        <v>0</v>
      </c>
      <c r="I45" s="230"/>
      <c r="J45" s="231"/>
      <c r="K45" s="232"/>
      <c r="L45" s="233"/>
      <c r="M45" s="233"/>
    </row>
    <row r="46" spans="1:24" x14ac:dyDescent="0.25">
      <c r="A46" s="224" t="str">
        <f>SCALARS!A46</f>
        <v>corps</v>
      </c>
      <c r="B46" s="224" t="str">
        <f>SCALARS!B46</f>
        <v>google</v>
      </c>
      <c r="C46" s="224" t="str">
        <f>SCALARS!C46</f>
        <v>GOOG</v>
      </c>
      <c r="D46" s="224" t="str">
        <f>SCALARS!D46</f>
        <v>IBKR</v>
      </c>
      <c r="E46" s="224" t="str">
        <f>SCALARS!E46</f>
        <v>GOOGL</v>
      </c>
      <c r="F46" s="225">
        <f>SCALARS!F46</f>
        <v>1.0099220339547419</v>
      </c>
      <c r="G46" s="225">
        <f>SCALARS!G46</f>
        <v>0</v>
      </c>
      <c r="H46" s="139" t="b">
        <v>0</v>
      </c>
      <c r="I46" s="230"/>
      <c r="J46" s="231"/>
      <c r="K46" s="232"/>
      <c r="L46" s="233"/>
      <c r="M46" s="233"/>
    </row>
    <row r="47" spans="1:24" x14ac:dyDescent="0.25">
      <c r="A47" s="224" t="str">
        <f>SCALARS!A47</f>
        <v>corps</v>
      </c>
      <c r="B47" s="224" t="str">
        <f>SCALARS!B47</f>
        <v>google</v>
      </c>
      <c r="C47" s="224" t="str">
        <f>SCALARS!C47</f>
        <v>GOOGL</v>
      </c>
      <c r="D47" s="224" t="str">
        <f>SCALARS!D47</f>
        <v>IBKR</v>
      </c>
      <c r="E47" s="224" t="str">
        <f>SCALARS!E47</f>
        <v>GOOGL</v>
      </c>
      <c r="F47" s="225">
        <f>SCALARS!F47</f>
        <v>1</v>
      </c>
      <c r="G47" s="225">
        <f>SCALARS!G47</f>
        <v>0</v>
      </c>
      <c r="H47" s="139" t="b">
        <v>0</v>
      </c>
      <c r="I47" s="230"/>
      <c r="J47" s="231"/>
      <c r="K47" s="232"/>
      <c r="L47" s="233"/>
      <c r="M47" s="233"/>
    </row>
    <row r="48" spans="1:24" x14ac:dyDescent="0.25">
      <c r="A48" s="224" t="str">
        <f>SCALARS!A48</f>
        <v>corps</v>
      </c>
      <c r="B48" s="224" t="str">
        <f>SCALARS!B48</f>
        <v>heico</v>
      </c>
      <c r="C48" s="224" t="str">
        <f>SCALARS!C48</f>
        <v>HEI</v>
      </c>
      <c r="D48" s="224" t="str">
        <f>SCALARS!D48</f>
        <v>IBKR</v>
      </c>
      <c r="E48" s="224" t="str">
        <f>SCALARS!E48</f>
        <v>HEI</v>
      </c>
      <c r="F48" s="225">
        <f>SCALARS!F48</f>
        <v>1</v>
      </c>
      <c r="G48" s="225">
        <f>SCALARS!G48</f>
        <v>0</v>
      </c>
      <c r="H48" s="139" t="b">
        <v>0</v>
      </c>
      <c r="I48" s="230"/>
      <c r="J48" s="231"/>
      <c r="K48" s="232"/>
      <c r="L48" s="233"/>
      <c r="M48" s="233"/>
    </row>
    <row r="49" spans="1:13" x14ac:dyDescent="0.25">
      <c r="A49" s="224" t="str">
        <f>SCALARS!A49</f>
        <v>corps</v>
      </c>
      <c r="B49" s="224" t="str">
        <f>SCALARS!B49</f>
        <v>heico</v>
      </c>
      <c r="C49" s="224" t="str">
        <f>SCALARS!C49</f>
        <v>HEI A</v>
      </c>
      <c r="D49" s="224" t="str">
        <f>SCALARS!D49</f>
        <v>IBKR</v>
      </c>
      <c r="E49" s="224" t="str">
        <f>SCALARS!E49</f>
        <v>HEI</v>
      </c>
      <c r="F49" s="225">
        <f>SCALARS!F49</f>
        <v>1.342462941083487</v>
      </c>
      <c r="G49" s="225">
        <f>SCALARS!G49</f>
        <v>0</v>
      </c>
      <c r="H49" s="139" t="b">
        <v>0</v>
      </c>
      <c r="I49" s="230"/>
      <c r="J49" s="231"/>
      <c r="K49" s="232"/>
      <c r="L49" s="233"/>
      <c r="M49" s="233"/>
    </row>
    <row r="50" spans="1:13" x14ac:dyDescent="0.25">
      <c r="A50" s="224" t="str">
        <f>SCALARS!A50</f>
        <v>corps</v>
      </c>
      <c r="B50" s="224" t="str">
        <f>SCALARS!B50</f>
        <v>news corp</v>
      </c>
      <c r="C50" s="224" t="str">
        <f>SCALARS!C50</f>
        <v>NWS</v>
      </c>
      <c r="D50" s="224" t="str">
        <f>SCALARS!D50</f>
        <v>IBKR</v>
      </c>
      <c r="E50" s="224" t="str">
        <f>SCALARS!E50</f>
        <v>NWS</v>
      </c>
      <c r="F50" s="225">
        <f>SCALARS!F50</f>
        <v>1</v>
      </c>
      <c r="G50" s="225">
        <f>SCALARS!G50</f>
        <v>0</v>
      </c>
      <c r="H50" s="139" t="b">
        <v>0</v>
      </c>
      <c r="I50" s="230"/>
      <c r="J50" s="231"/>
      <c r="K50" s="232"/>
      <c r="L50" s="233"/>
      <c r="M50" s="233"/>
    </row>
    <row r="51" spans="1:13" x14ac:dyDescent="0.25">
      <c r="A51" s="224" t="str">
        <f>SCALARS!A51</f>
        <v>corps</v>
      </c>
      <c r="B51" s="224" t="str">
        <f>SCALARS!B51</f>
        <v>news corp</v>
      </c>
      <c r="C51" s="224" t="str">
        <f>SCALARS!C51</f>
        <v>NWSA</v>
      </c>
      <c r="D51" s="224" t="str">
        <f>SCALARS!D51</f>
        <v>IBKR</v>
      </c>
      <c r="E51" s="224" t="str">
        <f>SCALARS!E51</f>
        <v>NWS</v>
      </c>
      <c r="F51" s="225">
        <f>SCALARS!F51</f>
        <v>1.1122074555542789</v>
      </c>
      <c r="G51" s="225">
        <f>SCALARS!G51</f>
        <v>0</v>
      </c>
      <c r="H51" s="139" t="b">
        <v>0</v>
      </c>
      <c r="I51" s="230"/>
      <c r="J51" s="231"/>
      <c r="K51" s="232"/>
      <c r="L51" s="233"/>
      <c r="M51" s="233"/>
    </row>
    <row r="52" spans="1:13" x14ac:dyDescent="0.25">
      <c r="A52" s="224" t="str">
        <f>SCALARS!A52</f>
        <v>corps</v>
      </c>
      <c r="B52" s="224" t="str">
        <f>SCALARS!B52</f>
        <v>under armour</v>
      </c>
      <c r="C52" s="224" t="str">
        <f>SCALARS!C52</f>
        <v>UA</v>
      </c>
      <c r="D52" s="224" t="str">
        <f>SCALARS!D52</f>
        <v>IBKR</v>
      </c>
      <c r="E52" s="224" t="str">
        <f>SCALARS!E52</f>
        <v>UAA</v>
      </c>
      <c r="F52" s="225">
        <f>SCALARS!F52</f>
        <v>1.0216973463961607</v>
      </c>
      <c r="G52" s="225">
        <f>SCALARS!G52</f>
        <v>0</v>
      </c>
      <c r="H52" s="139" t="b">
        <v>0</v>
      </c>
      <c r="I52" s="230"/>
      <c r="J52" s="231"/>
      <c r="K52" s="232"/>
      <c r="L52" s="233"/>
      <c r="M52" s="233"/>
    </row>
    <row r="53" spans="1:13" x14ac:dyDescent="0.25">
      <c r="A53" s="224" t="str">
        <f>SCALARS!A53</f>
        <v>corps</v>
      </c>
      <c r="B53" s="224" t="str">
        <f>SCALARS!B53</f>
        <v>under armour</v>
      </c>
      <c r="C53" s="224" t="str">
        <f>SCALARS!C53</f>
        <v>UAA</v>
      </c>
      <c r="D53" s="224" t="str">
        <f>SCALARS!D53</f>
        <v>IBKR</v>
      </c>
      <c r="E53" s="224" t="str">
        <f>SCALARS!E53</f>
        <v>UAA</v>
      </c>
      <c r="F53" s="225">
        <f>SCALARS!F53</f>
        <v>1</v>
      </c>
      <c r="G53" s="225">
        <f>SCALARS!G53</f>
        <v>0</v>
      </c>
      <c r="H53" s="139" t="b">
        <v>0</v>
      </c>
      <c r="I53" s="230"/>
      <c r="J53" s="231"/>
      <c r="K53" s="232"/>
      <c r="L53" s="233"/>
      <c r="M53" s="233"/>
    </row>
    <row r="54" spans="1:13" x14ac:dyDescent="0.25">
      <c r="A54" s="224" t="str">
        <f>SCALARS!A54</f>
        <v>corps</v>
      </c>
      <c r="B54" s="224" t="str">
        <f>SCALARS!B54</f>
        <v>brown foreman</v>
      </c>
      <c r="C54" s="224" t="str">
        <f>SCALARS!C54</f>
        <v>BF A</v>
      </c>
      <c r="D54" s="224" t="str">
        <f>SCALARS!D54</f>
        <v>IBKR</v>
      </c>
      <c r="E54" s="224" t="str">
        <f>SCALARS!E54</f>
        <v>BF A</v>
      </c>
      <c r="F54" s="225">
        <f>SCALARS!F54</f>
        <v>1</v>
      </c>
      <c r="G54" s="225">
        <f>SCALARS!G54</f>
        <v>0</v>
      </c>
      <c r="H54" s="139" t="b">
        <v>0</v>
      </c>
      <c r="I54" s="230"/>
      <c r="J54" s="231"/>
      <c r="K54" s="232"/>
      <c r="L54" s="233"/>
      <c r="M54" s="233"/>
    </row>
    <row r="55" spans="1:13" x14ac:dyDescent="0.25">
      <c r="A55" s="224" t="str">
        <f>SCALARS!A55</f>
        <v>corps</v>
      </c>
      <c r="B55" s="224" t="str">
        <f>SCALARS!B55</f>
        <v>brown foreman</v>
      </c>
      <c r="C55" s="224" t="str">
        <f>SCALARS!C55</f>
        <v>BF B</v>
      </c>
      <c r="D55" s="224" t="str">
        <f>SCALARS!D55</f>
        <v>IBKR</v>
      </c>
      <c r="E55" s="224" t="str">
        <f>SCALARS!E55</f>
        <v>BF A</v>
      </c>
      <c r="F55" s="225">
        <f>SCALARS!F55</f>
        <v>1.0179027655763175</v>
      </c>
      <c r="G55" s="225">
        <f>SCALARS!G55</f>
        <v>0</v>
      </c>
      <c r="H55" s="139" t="b">
        <v>0</v>
      </c>
      <c r="I55" s="230"/>
      <c r="J55" s="231"/>
      <c r="K55" s="232"/>
      <c r="L55" s="233"/>
      <c r="M55" s="233"/>
    </row>
    <row r="56" spans="1:13" x14ac:dyDescent="0.25">
      <c r="A56" s="224" t="str">
        <f>SCALARS!A56</f>
        <v>corps</v>
      </c>
      <c r="B56" s="224" t="str">
        <f>SCALARS!B56</f>
        <v>moog</v>
      </c>
      <c r="C56" s="224" t="str">
        <f>SCALARS!C56</f>
        <v>MOG A</v>
      </c>
      <c r="D56" s="224" t="str">
        <f>SCALARS!D56</f>
        <v>IBKR</v>
      </c>
      <c r="E56" s="224" t="str">
        <f>SCALARS!E56</f>
        <v>MOG B</v>
      </c>
      <c r="F56" s="225">
        <f>SCALARS!F56</f>
        <v>1.0138139386124387</v>
      </c>
      <c r="G56" s="225">
        <f>SCALARS!G56</f>
        <v>0</v>
      </c>
      <c r="H56" s="139" t="b">
        <v>0</v>
      </c>
      <c r="I56" s="230"/>
      <c r="J56" s="231"/>
      <c r="K56" s="232"/>
      <c r="L56" s="233"/>
      <c r="M56" s="233"/>
    </row>
    <row r="57" spans="1:13" x14ac:dyDescent="0.25">
      <c r="A57" s="224" t="str">
        <f>SCALARS!A57</f>
        <v>corps</v>
      </c>
      <c r="B57" s="224" t="str">
        <f>SCALARS!B57</f>
        <v>moog</v>
      </c>
      <c r="C57" s="224" t="str">
        <f>SCALARS!C57</f>
        <v>MOG B</v>
      </c>
      <c r="D57" s="224" t="str">
        <f>SCALARS!D57</f>
        <v>IBKR</v>
      </c>
      <c r="E57" s="224" t="str">
        <f>SCALARS!E57</f>
        <v>MOG B</v>
      </c>
      <c r="F57" s="225">
        <f>SCALARS!F57</f>
        <v>1</v>
      </c>
      <c r="G57" s="225">
        <f>SCALARS!G57</f>
        <v>0</v>
      </c>
      <c r="H57" s="139" t="b">
        <v>0</v>
      </c>
      <c r="I57" s="230"/>
      <c r="J57" s="231"/>
      <c r="K57" s="232"/>
      <c r="L57" s="233"/>
      <c r="M57" s="233"/>
    </row>
    <row r="58" spans="1:13" x14ac:dyDescent="0.25">
      <c r="A58" s="224" t="str">
        <f>SCALARS!A58</f>
        <v>corps</v>
      </c>
      <c r="B58" s="224" t="str">
        <f>SCALARS!B58</f>
        <v>lenar</v>
      </c>
      <c r="C58" s="224" t="str">
        <f>SCALARS!C58</f>
        <v>LEN</v>
      </c>
      <c r="D58" s="224" t="str">
        <f>SCALARS!D58</f>
        <v>IBKR</v>
      </c>
      <c r="E58" s="224" t="str">
        <f>SCALARS!E58</f>
        <v>LEN</v>
      </c>
      <c r="F58" s="225">
        <f>SCALARS!F58</f>
        <v>1</v>
      </c>
      <c r="G58" s="225">
        <f>SCALARS!G58</f>
        <v>0</v>
      </c>
      <c r="H58" s="139" t="b">
        <v>0</v>
      </c>
      <c r="I58" s="230"/>
      <c r="J58" s="231"/>
      <c r="K58" s="232"/>
      <c r="L58" s="233"/>
      <c r="M58" s="233"/>
    </row>
    <row r="59" spans="1:13" x14ac:dyDescent="0.25">
      <c r="A59" s="224" t="str">
        <f>SCALARS!A59</f>
        <v>corps</v>
      </c>
      <c r="B59" s="224" t="str">
        <f>SCALARS!B59</f>
        <v>lenar</v>
      </c>
      <c r="C59" s="224" t="str">
        <f>SCALARS!C59</f>
        <v>LEN B</v>
      </c>
      <c r="D59" s="224" t="str">
        <f>SCALARS!D59</f>
        <v>IBKR</v>
      </c>
      <c r="E59" s="224" t="str">
        <f>SCALARS!E59</f>
        <v>LEN</v>
      </c>
      <c r="F59" s="225">
        <f>SCALARS!F59</f>
        <v>1.0188671639731526</v>
      </c>
      <c r="G59" s="225">
        <f>SCALARS!G59</f>
        <v>0</v>
      </c>
      <c r="H59" s="139" t="b">
        <v>0</v>
      </c>
      <c r="I59" s="230"/>
      <c r="J59" s="231"/>
      <c r="K59" s="232"/>
      <c r="L59" s="233"/>
      <c r="M59" s="233"/>
    </row>
    <row r="60" spans="1:13" x14ac:dyDescent="0.25">
      <c r="A60" s="224" t="str">
        <f>SCALARS!A60</f>
        <v>corps</v>
      </c>
      <c r="B60" s="224" t="str">
        <f>SCALARS!B60</f>
        <v>atlanta braves</v>
      </c>
      <c r="C60" s="224" t="str">
        <f>SCALARS!C60</f>
        <v>BATRA</v>
      </c>
      <c r="D60" s="224" t="str">
        <f>SCALARS!D60</f>
        <v>IBKR</v>
      </c>
      <c r="E60" s="224" t="str">
        <f>SCALARS!E60</f>
        <v>BATRA</v>
      </c>
      <c r="F60" s="225">
        <f>SCALARS!F60</f>
        <v>1</v>
      </c>
      <c r="G60" s="225">
        <f>SCALARS!G60</f>
        <v>0</v>
      </c>
      <c r="H60" s="139" t="b">
        <v>0</v>
      </c>
      <c r="I60" s="230"/>
      <c r="J60" s="231"/>
      <c r="K60" s="232"/>
      <c r="L60" s="233"/>
      <c r="M60" s="233"/>
    </row>
    <row r="61" spans="1:13" x14ac:dyDescent="0.25">
      <c r="A61" s="224" t="str">
        <f>SCALARS!A61</f>
        <v>corps</v>
      </c>
      <c r="B61" s="224" t="str">
        <f>SCALARS!B61</f>
        <v>atlanta braves</v>
      </c>
      <c r="C61" s="224" t="str">
        <f>SCALARS!C61</f>
        <v>BATRK</v>
      </c>
      <c r="D61" s="224" t="str">
        <f>SCALARS!D61</f>
        <v>IBKR</v>
      </c>
      <c r="E61" s="224" t="str">
        <f>SCALARS!E61</f>
        <v>BATRA</v>
      </c>
      <c r="F61" s="225">
        <f>SCALARS!F61</f>
        <v>1.101711315475786</v>
      </c>
      <c r="G61" s="225">
        <f>SCALARS!G61</f>
        <v>0</v>
      </c>
      <c r="H61" s="139" t="b">
        <v>0</v>
      </c>
      <c r="I61" s="230"/>
      <c r="J61" s="231"/>
      <c r="K61" s="232"/>
      <c r="L61" s="233"/>
      <c r="M61" s="233"/>
    </row>
    <row r="62" spans="1:13" x14ac:dyDescent="0.25">
      <c r="A62" s="224" t="str">
        <f>SCALARS!A62</f>
        <v>corps</v>
      </c>
      <c r="B62" s="224" t="str">
        <f>SCALARS!B62</f>
        <v>zillow</v>
      </c>
      <c r="C62" s="224" t="str">
        <f>SCALARS!C62</f>
        <v>Z</v>
      </c>
      <c r="D62" s="224" t="str">
        <f>SCALARS!D62</f>
        <v>IBKR</v>
      </c>
      <c r="E62" s="224" t="str">
        <f>SCALARS!E62</f>
        <v>ZG</v>
      </c>
      <c r="F62" s="225">
        <f>SCALARS!F62</f>
        <v>1.0220244199044932</v>
      </c>
      <c r="G62" s="225">
        <f>SCALARS!G62</f>
        <v>0</v>
      </c>
      <c r="H62" s="139" t="b">
        <v>0</v>
      </c>
      <c r="I62" s="230"/>
      <c r="J62" s="231"/>
      <c r="K62" s="232"/>
      <c r="L62" s="233"/>
      <c r="M62" s="233"/>
    </row>
    <row r="63" spans="1:13" x14ac:dyDescent="0.25">
      <c r="A63" s="224" t="str">
        <f>SCALARS!A63</f>
        <v>corps</v>
      </c>
      <c r="B63" s="224" t="str">
        <f>SCALARS!B63</f>
        <v>zillow</v>
      </c>
      <c r="C63" s="224" t="str">
        <f>SCALARS!C63</f>
        <v>ZG</v>
      </c>
      <c r="D63" s="224" t="str">
        <f>SCALARS!D63</f>
        <v>IBKR</v>
      </c>
      <c r="E63" s="224" t="str">
        <f>SCALARS!E63</f>
        <v>ZG</v>
      </c>
      <c r="F63" s="225">
        <f>SCALARS!F63</f>
        <v>1</v>
      </c>
      <c r="G63" s="225">
        <f>SCALARS!G63</f>
        <v>0</v>
      </c>
      <c r="H63" s="139" t="b">
        <v>0</v>
      </c>
      <c r="I63" s="230"/>
      <c r="J63" s="231"/>
      <c r="K63" s="232"/>
      <c r="L63" s="233"/>
      <c r="M63" s="233"/>
    </row>
    <row r="64" spans="1:13" x14ac:dyDescent="0.25">
      <c r="A64" s="224" t="str">
        <f>SCALARS!A64</f>
        <v>sector</v>
      </c>
      <c r="B64" s="224" t="str">
        <f>SCALARS!B64</f>
        <v>discretionary</v>
      </c>
      <c r="C64" s="224" t="str">
        <f>SCALARS!C64</f>
        <v>FDIS</v>
      </c>
      <c r="D64" s="224" t="str">
        <f>SCALARS!D64</f>
        <v>IBKR</v>
      </c>
      <c r="E64" s="224" t="str">
        <f>SCALARS!E64</f>
        <v>VCR</v>
      </c>
      <c r="F64" s="225">
        <f>SCALARS!F64</f>
        <v>3.8504793278650524</v>
      </c>
      <c r="G64" s="225">
        <f>SCALARS!G64</f>
        <v>0</v>
      </c>
      <c r="H64" s="139" t="b">
        <v>0</v>
      </c>
      <c r="I64" s="230"/>
      <c r="J64" s="231"/>
      <c r="K64" s="232"/>
      <c r="L64" s="233"/>
      <c r="M64" s="233"/>
    </row>
    <row r="65" spans="1:13" x14ac:dyDescent="0.25">
      <c r="A65" s="224" t="str">
        <f>SCALARS!A65</f>
        <v>sector</v>
      </c>
      <c r="B65" s="224" t="str">
        <f>SCALARS!B65</f>
        <v>discretionary</v>
      </c>
      <c r="C65" s="224" t="str">
        <f>SCALARS!C65</f>
        <v>VCR</v>
      </c>
      <c r="D65" s="224" t="str">
        <f>SCALARS!D65</f>
        <v>IBKR</v>
      </c>
      <c r="E65" s="224" t="str">
        <f>SCALARS!E65</f>
        <v>VCR</v>
      </c>
      <c r="F65" s="225">
        <f>SCALARS!F65</f>
        <v>1</v>
      </c>
      <c r="G65" s="225">
        <f>SCALARS!G65</f>
        <v>0</v>
      </c>
      <c r="H65" s="139" t="b">
        <v>0</v>
      </c>
      <c r="I65" s="230"/>
      <c r="J65" s="231"/>
      <c r="K65" s="232"/>
      <c r="L65" s="233"/>
      <c r="M65" s="233"/>
    </row>
    <row r="66" spans="1:13" x14ac:dyDescent="0.25">
      <c r="A66" s="224" t="str">
        <f>SCALARS!A66</f>
        <v>sector</v>
      </c>
      <c r="B66" s="224" t="str">
        <f>SCALARS!B66</f>
        <v>discretionary</v>
      </c>
      <c r="C66" s="224" t="str">
        <f>SCALARS!C66</f>
        <v>IYC</v>
      </c>
      <c r="D66" s="224" t="str">
        <f>SCALARS!D66</f>
        <v>IBKR</v>
      </c>
      <c r="E66" s="224" t="str">
        <f>SCALARS!E66</f>
        <v>XLY</v>
      </c>
      <c r="F66" s="225">
        <f>SCALARS!F66</f>
        <v>1.1481073725958202</v>
      </c>
      <c r="G66" s="225">
        <f>SCALARS!G66</f>
        <v>0</v>
      </c>
      <c r="H66" s="139" t="b">
        <v>0</v>
      </c>
      <c r="I66" s="230"/>
      <c r="J66" s="231"/>
      <c r="K66" s="232"/>
      <c r="L66" s="233"/>
      <c r="M66" s="233"/>
    </row>
    <row r="67" spans="1:13" x14ac:dyDescent="0.25">
      <c r="A67" s="224" t="str">
        <f>SCALARS!A67</f>
        <v>sector</v>
      </c>
      <c r="B67" s="224" t="str">
        <f>SCALARS!B67</f>
        <v>discretionary</v>
      </c>
      <c r="C67" s="224" t="str">
        <f>SCALARS!C67</f>
        <v>XLY</v>
      </c>
      <c r="D67" s="224" t="str">
        <f>SCALARS!D67</f>
        <v>IBKR</v>
      </c>
      <c r="E67" s="224" t="str">
        <f>SCALARS!E67</f>
        <v>XLY</v>
      </c>
      <c r="F67" s="225">
        <f>SCALARS!F67</f>
        <v>1</v>
      </c>
      <c r="G67" s="225">
        <f>SCALARS!G67</f>
        <v>0</v>
      </c>
      <c r="H67" s="139" t="b">
        <v>0</v>
      </c>
      <c r="I67" s="230"/>
      <c r="J67" s="231"/>
      <c r="K67" s="232"/>
      <c r="L67" s="233"/>
      <c r="M67" s="233"/>
    </row>
    <row r="68" spans="1:13" x14ac:dyDescent="0.25">
      <c r="A68" s="224" t="str">
        <f>SCALARS!A68</f>
        <v>sector</v>
      </c>
      <c r="B68" s="224" t="str">
        <f>SCALARS!B68</f>
        <v>energy</v>
      </c>
      <c r="C68" s="224" t="str">
        <f>SCALARS!C68</f>
        <v>IYE</v>
      </c>
      <c r="D68" s="224" t="str">
        <f>SCALARS!D68</f>
        <v>IBKR</v>
      </c>
      <c r="E68" s="224" t="str">
        <f>SCALARS!E68</f>
        <v>IYE</v>
      </c>
      <c r="F68" s="225">
        <f>SCALARS!F68</f>
        <v>1</v>
      </c>
      <c r="G68" s="225">
        <f>SCALARS!G68</f>
        <v>0</v>
      </c>
      <c r="H68" s="139" t="b">
        <v>0</v>
      </c>
      <c r="I68" s="230"/>
      <c r="J68" s="231"/>
      <c r="K68" s="232"/>
      <c r="L68" s="233"/>
      <c r="M68" s="233"/>
    </row>
    <row r="69" spans="1:13" x14ac:dyDescent="0.25">
      <c r="A69" s="224" t="str">
        <f>SCALARS!A69</f>
        <v>sector</v>
      </c>
      <c r="B69" s="224" t="str">
        <f>SCALARS!B69</f>
        <v>energy</v>
      </c>
      <c r="C69" s="224" t="str">
        <f>SCALARS!C69</f>
        <v>XLE</v>
      </c>
      <c r="D69" s="224" t="str">
        <f>SCALARS!D69</f>
        <v>IBKR</v>
      </c>
      <c r="E69" s="224" t="str">
        <f>SCALARS!E69</f>
        <v>IYE</v>
      </c>
      <c r="F69" s="225">
        <f>SCALARS!F69</f>
        <v>1.055560510390495</v>
      </c>
      <c r="G69" s="225">
        <f>SCALARS!G69</f>
        <v>0</v>
      </c>
      <c r="H69" s="139" t="b">
        <v>0</v>
      </c>
      <c r="I69" s="230"/>
      <c r="J69" s="231"/>
      <c r="K69" s="232"/>
      <c r="L69" s="233"/>
      <c r="M69" s="233"/>
    </row>
    <row r="70" spans="1:13" x14ac:dyDescent="0.25">
      <c r="A70" s="224" t="str">
        <f>SCALARS!A70</f>
        <v>sector</v>
      </c>
      <c r="B70" s="224" t="str">
        <f>SCALARS!B70</f>
        <v>energy</v>
      </c>
      <c r="C70" s="224" t="str">
        <f>SCALARS!C70</f>
        <v>FENY</v>
      </c>
      <c r="D70" s="224" t="str">
        <f>SCALARS!D70</f>
        <v>IBKR</v>
      </c>
      <c r="E70" s="224" t="str">
        <f>SCALARS!E70</f>
        <v>VDE</v>
      </c>
      <c r="F70" s="225">
        <f>SCALARS!F70</f>
        <v>5.0819175405972761</v>
      </c>
      <c r="G70" s="225">
        <f>SCALARS!G70</f>
        <v>0</v>
      </c>
      <c r="H70" s="139" t="b">
        <v>0</v>
      </c>
      <c r="I70" s="230"/>
      <c r="J70" s="231"/>
      <c r="K70" s="232"/>
      <c r="L70" s="233"/>
      <c r="M70" s="233"/>
    </row>
    <row r="71" spans="1:13" x14ac:dyDescent="0.25">
      <c r="A71" s="224" t="str">
        <f>SCALARS!A71</f>
        <v>sector</v>
      </c>
      <c r="B71" s="224" t="str">
        <f>SCALARS!B71</f>
        <v>energy</v>
      </c>
      <c r="C71" s="224" t="str">
        <f>SCALARS!C71</f>
        <v>VDE</v>
      </c>
      <c r="D71" s="224" t="str">
        <f>SCALARS!D71</f>
        <v>IBKR</v>
      </c>
      <c r="E71" s="224" t="str">
        <f>SCALARS!E71</f>
        <v>VDE</v>
      </c>
      <c r="F71" s="225">
        <f>SCALARS!F71</f>
        <v>1</v>
      </c>
      <c r="G71" s="225">
        <f>SCALARS!G71</f>
        <v>0</v>
      </c>
      <c r="H71" s="139" t="b">
        <v>0</v>
      </c>
      <c r="I71" s="230"/>
      <c r="J71" s="231"/>
      <c r="K71" s="232"/>
      <c r="L71" s="233"/>
      <c r="M71" s="233"/>
    </row>
    <row r="72" spans="1:13" x14ac:dyDescent="0.25">
      <c r="A72" s="224" t="str">
        <f>SCALARS!A72</f>
        <v>sector</v>
      </c>
      <c r="B72" s="224" t="str">
        <f>SCALARS!B72</f>
        <v>financials</v>
      </c>
      <c r="C72" s="224" t="str">
        <f>SCALARS!C72</f>
        <v>IYF</v>
      </c>
      <c r="D72" s="224" t="str">
        <f>SCALARS!D72</f>
        <v>IBKR</v>
      </c>
      <c r="E72" s="224" t="str">
        <f>SCALARS!E72</f>
        <v>IYF</v>
      </c>
      <c r="F72" s="225">
        <f>SCALARS!F72</f>
        <v>1</v>
      </c>
      <c r="G72" s="225">
        <f>SCALARS!G72</f>
        <v>0</v>
      </c>
      <c r="H72" s="139" t="b">
        <v>0</v>
      </c>
      <c r="I72" s="230"/>
      <c r="J72" s="231"/>
      <c r="K72" s="232"/>
      <c r="L72" s="233"/>
      <c r="M72" s="233"/>
    </row>
    <row r="73" spans="1:13" x14ac:dyDescent="0.25">
      <c r="A73" s="224" t="str">
        <f>SCALARS!A73</f>
        <v>sector</v>
      </c>
      <c r="B73" s="224" t="str">
        <f>SCALARS!B73</f>
        <v>financials</v>
      </c>
      <c r="C73" s="224" t="str">
        <f>SCALARS!C73</f>
        <v>XLF</v>
      </c>
      <c r="D73" s="224" t="str">
        <f>SCALARS!D73</f>
        <v>IBKR</v>
      </c>
      <c r="E73" s="224" t="str">
        <f>SCALARS!E73</f>
        <v>IYF</v>
      </c>
      <c r="F73" s="225">
        <f>SCALARS!F73</f>
        <v>2.365835254630634</v>
      </c>
      <c r="G73" s="225">
        <f>SCALARS!G73</f>
        <v>0</v>
      </c>
      <c r="H73" s="139" t="b">
        <v>0</v>
      </c>
      <c r="I73" s="230"/>
      <c r="J73" s="231"/>
      <c r="K73" s="232"/>
      <c r="L73" s="233"/>
      <c r="M73" s="233"/>
    </row>
    <row r="74" spans="1:13" x14ac:dyDescent="0.25">
      <c r="A74" s="224" t="str">
        <f>SCALARS!A74</f>
        <v>sector</v>
      </c>
      <c r="B74" s="224" t="str">
        <f>SCALARS!B74</f>
        <v>financials</v>
      </c>
      <c r="C74" s="224" t="str">
        <f>SCALARS!C74</f>
        <v>FNCL</v>
      </c>
      <c r="D74" s="224" t="str">
        <f>SCALARS!D74</f>
        <v>IBKR</v>
      </c>
      <c r="E74" s="224" t="str">
        <f>SCALARS!E74</f>
        <v>VFH</v>
      </c>
      <c r="F74" s="225">
        <f>SCALARS!F74</f>
        <v>1.7174825805012639</v>
      </c>
      <c r="G74" s="225">
        <f>SCALARS!G74</f>
        <v>0</v>
      </c>
      <c r="H74" s="139" t="b">
        <v>0</v>
      </c>
      <c r="I74" s="230"/>
      <c r="J74" s="231"/>
      <c r="K74" s="232"/>
      <c r="L74" s="233"/>
      <c r="M74" s="233"/>
    </row>
    <row r="75" spans="1:13" x14ac:dyDescent="0.25">
      <c r="A75" s="224" t="str">
        <f>SCALARS!A75</f>
        <v>sector</v>
      </c>
      <c r="B75" s="224" t="str">
        <f>SCALARS!B75</f>
        <v>financials</v>
      </c>
      <c r="C75" s="224" t="str">
        <f>SCALARS!C75</f>
        <v>VFH</v>
      </c>
      <c r="D75" s="224" t="str">
        <f>SCALARS!D75</f>
        <v>IBKR</v>
      </c>
      <c r="E75" s="224" t="str">
        <f>SCALARS!E75</f>
        <v>VFH</v>
      </c>
      <c r="F75" s="225">
        <f>SCALARS!F75</f>
        <v>1</v>
      </c>
      <c r="G75" s="225">
        <f>SCALARS!G75</f>
        <v>0</v>
      </c>
      <c r="H75" s="139" t="b">
        <v>0</v>
      </c>
      <c r="I75" s="230"/>
      <c r="J75" s="231"/>
      <c r="K75" s="232"/>
      <c r="L75" s="233"/>
      <c r="M75" s="233"/>
    </row>
    <row r="76" spans="1:13" x14ac:dyDescent="0.25">
      <c r="A76" s="224" t="str">
        <f>SCALARS!A76</f>
        <v>sector</v>
      </c>
      <c r="B76" s="224" t="str">
        <f>SCALARS!B76</f>
        <v>healthcare</v>
      </c>
      <c r="C76" s="224" t="str">
        <f>SCALARS!C76</f>
        <v>FHLC</v>
      </c>
      <c r="D76" s="224" t="str">
        <f>SCALARS!D76</f>
        <v>IBKR</v>
      </c>
      <c r="E76" s="224" t="str">
        <f>SCALARS!E76</f>
        <v>VHT</v>
      </c>
      <c r="F76" s="225">
        <f>SCALARS!F76</f>
        <v>3.8686202871095823</v>
      </c>
      <c r="G76" s="225">
        <f>SCALARS!G76</f>
        <v>0</v>
      </c>
      <c r="H76" s="139" t="b">
        <v>0</v>
      </c>
      <c r="I76" s="230"/>
      <c r="J76" s="231"/>
      <c r="K76" s="232"/>
      <c r="L76" s="233"/>
      <c r="M76" s="233"/>
    </row>
    <row r="77" spans="1:13" x14ac:dyDescent="0.25">
      <c r="A77" s="224" t="str">
        <f>SCALARS!A77</f>
        <v>sector</v>
      </c>
      <c r="B77" s="224" t="str">
        <f>SCALARS!B77</f>
        <v>healthcare</v>
      </c>
      <c r="C77" s="224" t="str">
        <f>SCALARS!C77</f>
        <v>VHT</v>
      </c>
      <c r="D77" s="224" t="str">
        <f>SCALARS!D77</f>
        <v>IBKR</v>
      </c>
      <c r="E77" s="224" t="str">
        <f>SCALARS!E77</f>
        <v>VHT</v>
      </c>
      <c r="F77" s="225">
        <f>SCALARS!F77</f>
        <v>1</v>
      </c>
      <c r="G77" s="225">
        <f>SCALARS!G77</f>
        <v>0</v>
      </c>
      <c r="H77" s="139" t="b">
        <v>0</v>
      </c>
      <c r="I77" s="230"/>
      <c r="J77" s="231"/>
      <c r="K77" s="232"/>
      <c r="L77" s="233"/>
      <c r="M77" s="233"/>
    </row>
    <row r="78" spans="1:13" x14ac:dyDescent="0.25">
      <c r="A78" s="224" t="str">
        <f>SCALARS!A78</f>
        <v>sector</v>
      </c>
      <c r="B78" s="224" t="str">
        <f>SCALARS!B78</f>
        <v>healthcare</v>
      </c>
      <c r="C78" s="224" t="str">
        <f>SCALARS!C78</f>
        <v>IYH</v>
      </c>
      <c r="D78" s="224" t="str">
        <f>SCALARS!D78</f>
        <v>IBKR</v>
      </c>
      <c r="E78" s="224" t="str">
        <f>SCALARS!E78</f>
        <v>XLV</v>
      </c>
      <c r="F78" s="225">
        <f>SCALARS!F78</f>
        <v>2.3635341245347772</v>
      </c>
      <c r="G78" s="225">
        <f>SCALARS!G78</f>
        <v>0</v>
      </c>
      <c r="H78" s="139" t="b">
        <v>0</v>
      </c>
      <c r="I78" s="230"/>
      <c r="J78" s="231"/>
      <c r="K78" s="232"/>
      <c r="L78" s="233"/>
      <c r="M78" s="233"/>
    </row>
    <row r="79" spans="1:13" x14ac:dyDescent="0.25">
      <c r="A79" s="224" t="str">
        <f>SCALARS!A79</f>
        <v>sector</v>
      </c>
      <c r="B79" s="224" t="str">
        <f>SCALARS!B79</f>
        <v>healthcare</v>
      </c>
      <c r="C79" s="224" t="str">
        <f>SCALARS!C79</f>
        <v>XLV</v>
      </c>
      <c r="D79" s="224" t="str">
        <f>SCALARS!D79</f>
        <v>IBKR</v>
      </c>
      <c r="E79" s="224" t="str">
        <f>SCALARS!E79</f>
        <v>XLV</v>
      </c>
      <c r="F79" s="225">
        <f>SCALARS!F79</f>
        <v>1</v>
      </c>
      <c r="G79" s="225">
        <f>SCALARS!G79</f>
        <v>0</v>
      </c>
      <c r="H79" s="139" t="b">
        <v>0</v>
      </c>
      <c r="I79" s="230"/>
      <c r="J79" s="231"/>
      <c r="K79" s="232"/>
      <c r="L79" s="233"/>
      <c r="M79" s="233"/>
    </row>
    <row r="80" spans="1:13" x14ac:dyDescent="0.25">
      <c r="A80" s="224" t="str">
        <f>SCALARS!A80</f>
        <v>sector</v>
      </c>
      <c r="B80" s="224" t="str">
        <f>SCALARS!B80</f>
        <v>industrials</v>
      </c>
      <c r="C80" s="224" t="str">
        <f>SCALARS!C80</f>
        <v>FIDU</v>
      </c>
      <c r="D80" s="224" t="str">
        <f>SCALARS!D80</f>
        <v>IBKR</v>
      </c>
      <c r="E80" s="224" t="str">
        <f>SCALARS!E80</f>
        <v>VIS</v>
      </c>
      <c r="F80" s="225">
        <f>SCALARS!F80</f>
        <v>3.6156820964864536</v>
      </c>
      <c r="G80" s="225">
        <f>SCALARS!G80</f>
        <v>0</v>
      </c>
      <c r="H80" s="139" t="b">
        <v>0</v>
      </c>
      <c r="I80" s="230"/>
      <c r="J80" s="231"/>
      <c r="K80" s="232"/>
      <c r="L80" s="233"/>
      <c r="M80" s="233"/>
    </row>
    <row r="81" spans="1:13" x14ac:dyDescent="0.25">
      <c r="A81" s="224" t="str">
        <f>SCALARS!A81</f>
        <v>sector</v>
      </c>
      <c r="B81" s="224" t="str">
        <f>SCALARS!B81</f>
        <v>industrials</v>
      </c>
      <c r="C81" s="224" t="str">
        <f>SCALARS!C81</f>
        <v>VIS</v>
      </c>
      <c r="D81" s="224" t="str">
        <f>SCALARS!D81</f>
        <v>IBKR</v>
      </c>
      <c r="E81" s="224" t="str">
        <f>SCALARS!E81</f>
        <v>VIS</v>
      </c>
      <c r="F81" s="225">
        <f>SCALARS!F81</f>
        <v>1</v>
      </c>
      <c r="G81" s="225">
        <f>SCALARS!G81</f>
        <v>0</v>
      </c>
      <c r="H81" s="139" t="b">
        <v>0</v>
      </c>
      <c r="I81" s="230"/>
      <c r="J81" s="231"/>
      <c r="K81" s="232"/>
      <c r="L81" s="233"/>
      <c r="M81" s="233"/>
    </row>
    <row r="82" spans="1:13" x14ac:dyDescent="0.25">
      <c r="A82" s="224" t="str">
        <f>SCALARS!A82</f>
        <v>sector</v>
      </c>
      <c r="B82" s="224" t="str">
        <f>SCALARS!B82</f>
        <v>industrials</v>
      </c>
      <c r="C82" s="224" t="str">
        <f>SCALARS!C82</f>
        <v>IYJ</v>
      </c>
      <c r="D82" s="224" t="str">
        <f>SCALARS!D82</f>
        <v>IBKR</v>
      </c>
      <c r="E82" s="224" t="str">
        <f>SCALARS!E82</f>
        <v>XLI</v>
      </c>
      <c r="F82" s="225">
        <f>SCALARS!F82</f>
        <v>1.0868044059737907</v>
      </c>
      <c r="G82" s="225">
        <f>SCALARS!G82</f>
        <v>0</v>
      </c>
      <c r="H82" s="139" t="b">
        <v>0</v>
      </c>
      <c r="I82" s="230"/>
      <c r="J82" s="231"/>
      <c r="K82" s="232"/>
      <c r="L82" s="233"/>
      <c r="M82" s="233"/>
    </row>
    <row r="83" spans="1:13" x14ac:dyDescent="0.25">
      <c r="A83" s="224" t="str">
        <f>SCALARS!A83</f>
        <v>sector</v>
      </c>
      <c r="B83" s="224" t="str">
        <f>SCALARS!B83</f>
        <v>industrials</v>
      </c>
      <c r="C83" s="224" t="str">
        <f>SCALARS!C83</f>
        <v>XLI</v>
      </c>
      <c r="D83" s="224" t="str">
        <f>SCALARS!D83</f>
        <v>IBKR</v>
      </c>
      <c r="E83" s="224" t="str">
        <f>SCALARS!E83</f>
        <v>XLI</v>
      </c>
      <c r="F83" s="225">
        <f>SCALARS!F83</f>
        <v>1</v>
      </c>
      <c r="G83" s="225">
        <f>SCALARS!G83</f>
        <v>0</v>
      </c>
      <c r="H83" s="139" t="b">
        <v>0</v>
      </c>
      <c r="I83" s="230"/>
      <c r="J83" s="231"/>
      <c r="K83" s="232"/>
      <c r="L83" s="233"/>
      <c r="M83" s="233"/>
    </row>
    <row r="84" spans="1:13" x14ac:dyDescent="0.25">
      <c r="A84" s="224" t="str">
        <f>SCALARS!A84</f>
        <v>sector</v>
      </c>
      <c r="B84" s="224" t="str">
        <f>SCALARS!B84</f>
        <v>real estate</v>
      </c>
      <c r="C84" s="224" t="str">
        <f>SCALARS!C84</f>
        <v>IYR</v>
      </c>
      <c r="D84" s="224" t="str">
        <f>SCALARS!D84</f>
        <v>IBKR</v>
      </c>
      <c r="E84" s="224" t="str">
        <f>SCALARS!E84</f>
        <v>IYR</v>
      </c>
      <c r="F84" s="225">
        <f>SCALARS!F84</f>
        <v>1</v>
      </c>
      <c r="G84" s="225">
        <f>SCALARS!G84</f>
        <v>0</v>
      </c>
      <c r="H84" s="139" t="b">
        <v>0</v>
      </c>
      <c r="I84" s="230"/>
      <c r="J84" s="231"/>
      <c r="K84" s="232"/>
      <c r="L84" s="233"/>
      <c r="M84" s="233"/>
    </row>
    <row r="85" spans="1:13" x14ac:dyDescent="0.25">
      <c r="A85" s="224" t="str">
        <f>SCALARS!A85</f>
        <v>sector</v>
      </c>
      <c r="B85" s="224" t="str">
        <f>SCALARS!B85</f>
        <v>real estate</v>
      </c>
      <c r="C85" s="224" t="str">
        <f>SCALARS!C85</f>
        <v>XLRE</v>
      </c>
      <c r="D85" s="224" t="str">
        <f>SCALARS!D85</f>
        <v>IBKR</v>
      </c>
      <c r="E85" s="224" t="str">
        <f>SCALARS!E85</f>
        <v>IYR</v>
      </c>
      <c r="F85" s="225">
        <f>SCALARS!F85</f>
        <v>2.3239863552527336</v>
      </c>
      <c r="G85" s="225">
        <f>SCALARS!G85</f>
        <v>0</v>
      </c>
      <c r="H85" s="139" t="b">
        <v>0</v>
      </c>
      <c r="I85" s="230"/>
      <c r="J85" s="231"/>
      <c r="K85" s="232"/>
      <c r="L85" s="233"/>
      <c r="M85" s="233"/>
    </row>
    <row r="86" spans="1:13" x14ac:dyDescent="0.25">
      <c r="A86" s="224" t="str">
        <f>SCALARS!A86</f>
        <v>sector</v>
      </c>
      <c r="B86" s="224" t="str">
        <f>SCALARS!B86</f>
        <v>real estate</v>
      </c>
      <c r="C86" s="224" t="str">
        <f>SCALARS!C86</f>
        <v>FREL</v>
      </c>
      <c r="D86" s="224" t="str">
        <f>SCALARS!D86</f>
        <v>IBKR</v>
      </c>
      <c r="E86" s="224" t="str">
        <f>SCALARS!E86</f>
        <v>VNQ</v>
      </c>
      <c r="F86" s="225">
        <f>SCALARS!F86</f>
        <v>3.2971569058891874</v>
      </c>
      <c r="G86" s="225">
        <f>SCALARS!G86</f>
        <v>0</v>
      </c>
      <c r="H86" s="139" t="b">
        <v>0</v>
      </c>
      <c r="I86" s="230"/>
      <c r="J86" s="231"/>
      <c r="K86" s="232"/>
      <c r="L86" s="233"/>
      <c r="M86" s="233"/>
    </row>
    <row r="87" spans="1:13" x14ac:dyDescent="0.25">
      <c r="A87" s="224" t="str">
        <f>SCALARS!A87</f>
        <v>sector</v>
      </c>
      <c r="B87" s="224" t="str">
        <f>SCALARS!B87</f>
        <v>real estate</v>
      </c>
      <c r="C87" s="224" t="str">
        <f>SCALARS!C87</f>
        <v>VNQ</v>
      </c>
      <c r="D87" s="224" t="str">
        <f>SCALARS!D87</f>
        <v>IBKR</v>
      </c>
      <c r="E87" s="224" t="str">
        <f>SCALARS!E87</f>
        <v>VNQ</v>
      </c>
      <c r="F87" s="225">
        <f>SCALARS!F87</f>
        <v>1</v>
      </c>
      <c r="G87" s="225">
        <f>SCALARS!G87</f>
        <v>0</v>
      </c>
      <c r="H87" s="139" t="b">
        <v>0</v>
      </c>
      <c r="I87" s="230"/>
      <c r="J87" s="231"/>
      <c r="K87" s="232"/>
      <c r="L87" s="233"/>
      <c r="M87" s="233"/>
    </row>
    <row r="88" spans="1:13" x14ac:dyDescent="0.25">
      <c r="A88" s="224" t="str">
        <f>SCALARS!A88</f>
        <v>sector</v>
      </c>
      <c r="B88" s="224" t="str">
        <f>SCALARS!B88</f>
        <v>staples</v>
      </c>
      <c r="C88" s="224" t="str">
        <f>SCALARS!C88</f>
        <v>FSTA</v>
      </c>
      <c r="D88" s="224" t="str">
        <f>SCALARS!D88</f>
        <v>IBKR</v>
      </c>
      <c r="E88" s="224" t="str">
        <f>SCALARS!E88</f>
        <v>VDC</v>
      </c>
      <c r="F88" s="225">
        <f>SCALARS!F88</f>
        <v>4.2915416033745313</v>
      </c>
      <c r="G88" s="225">
        <f>SCALARS!G88</f>
        <v>0</v>
      </c>
      <c r="H88" s="139" t="b">
        <v>0</v>
      </c>
      <c r="I88" s="230"/>
      <c r="J88" s="231"/>
      <c r="K88" s="232"/>
      <c r="L88" s="233"/>
      <c r="M88" s="233"/>
    </row>
    <row r="89" spans="1:13" x14ac:dyDescent="0.25">
      <c r="A89" s="224" t="str">
        <f>SCALARS!A89</f>
        <v>sector</v>
      </c>
      <c r="B89" s="224" t="str">
        <f>SCALARS!B89</f>
        <v>staples</v>
      </c>
      <c r="C89" s="224" t="str">
        <f>SCALARS!C89</f>
        <v>VDC</v>
      </c>
      <c r="D89" s="224" t="str">
        <f>SCALARS!D89</f>
        <v>IBKR</v>
      </c>
      <c r="E89" s="224" t="str">
        <f>SCALARS!E89</f>
        <v>VDC</v>
      </c>
      <c r="F89" s="225">
        <f>SCALARS!F89</f>
        <v>1</v>
      </c>
      <c r="G89" s="225">
        <f>SCALARS!G89</f>
        <v>0</v>
      </c>
      <c r="H89" s="139" t="b">
        <v>0</v>
      </c>
      <c r="I89" s="230"/>
      <c r="J89" s="231"/>
      <c r="K89" s="232"/>
      <c r="L89" s="233"/>
      <c r="M89" s="233"/>
    </row>
    <row r="90" spans="1:13" x14ac:dyDescent="0.25">
      <c r="A90" s="224" t="str">
        <f>SCALARS!A90</f>
        <v>sector</v>
      </c>
      <c r="B90" s="224" t="str">
        <f>SCALARS!B90</f>
        <v>staples</v>
      </c>
      <c r="C90" s="224" t="str">
        <f>SCALARS!C90</f>
        <v>IYK</v>
      </c>
      <c r="D90" s="224" t="str">
        <f>SCALARS!D90</f>
        <v>IBKR</v>
      </c>
      <c r="E90" s="224" t="str">
        <f>SCALARS!E90</f>
        <v>XLP</v>
      </c>
      <c r="F90" s="225">
        <f>SCALARS!F90</f>
        <v>1.1364038287273412</v>
      </c>
      <c r="G90" s="225">
        <f>SCALARS!G90</f>
        <v>0</v>
      </c>
      <c r="H90" s="139" t="b">
        <v>0</v>
      </c>
      <c r="I90" s="230"/>
      <c r="J90" s="231"/>
      <c r="K90" s="232"/>
      <c r="L90" s="233"/>
      <c r="M90" s="233"/>
    </row>
    <row r="91" spans="1:13" x14ac:dyDescent="0.25">
      <c r="A91" s="224" t="str">
        <f>SCALARS!A91</f>
        <v>sector</v>
      </c>
      <c r="B91" s="224" t="str">
        <f>SCALARS!B91</f>
        <v>staples</v>
      </c>
      <c r="C91" s="224" t="str">
        <f>SCALARS!C91</f>
        <v>XLP</v>
      </c>
      <c r="D91" s="224" t="str">
        <f>SCALARS!D91</f>
        <v>IBKR</v>
      </c>
      <c r="E91" s="224" t="str">
        <f>SCALARS!E91</f>
        <v>XLP</v>
      </c>
      <c r="F91" s="225">
        <f>SCALARS!F91</f>
        <v>1</v>
      </c>
      <c r="G91" s="225">
        <f>SCALARS!G91</f>
        <v>0</v>
      </c>
      <c r="H91" s="139" t="b">
        <v>0</v>
      </c>
      <c r="I91" s="230"/>
      <c r="J91" s="231"/>
      <c r="K91" s="232"/>
      <c r="L91" s="233"/>
      <c r="M91" s="233"/>
    </row>
    <row r="92" spans="1:13" x14ac:dyDescent="0.25">
      <c r="A92" s="224" t="str">
        <f>SCALARS!A92</f>
        <v>sector</v>
      </c>
      <c r="B92" s="224" t="str">
        <f>SCALARS!B92</f>
        <v>technology</v>
      </c>
      <c r="C92" s="224" t="str">
        <f>SCALARS!C92</f>
        <v>FTEC</v>
      </c>
      <c r="D92" s="224" t="str">
        <f>SCALARS!D92</f>
        <v>IBKR</v>
      </c>
      <c r="E92" s="224" t="str">
        <f>SCALARS!E92</f>
        <v>FTEC</v>
      </c>
      <c r="F92" s="225">
        <f>SCALARS!F92</f>
        <v>1</v>
      </c>
      <c r="G92" s="225">
        <f>SCALARS!G92</f>
        <v>0</v>
      </c>
      <c r="H92" s="139" t="b">
        <v>0</v>
      </c>
      <c r="I92" s="230"/>
      <c r="J92" s="231"/>
      <c r="K92" s="232"/>
      <c r="L92" s="233"/>
      <c r="M92" s="233"/>
    </row>
    <row r="93" spans="1:13" x14ac:dyDescent="0.25">
      <c r="A93" s="224" t="str">
        <f>SCALARS!A93</f>
        <v>sector</v>
      </c>
      <c r="B93" s="224" t="str">
        <f>SCALARS!B93</f>
        <v>technology</v>
      </c>
      <c r="C93" s="224" t="str">
        <f>SCALARS!C93</f>
        <v>VGT</v>
      </c>
      <c r="D93" s="224" t="str">
        <f>SCALARS!D93</f>
        <v>IBKR</v>
      </c>
      <c r="E93" s="224" t="str">
        <f>SCALARS!E93</f>
        <v>FTEC</v>
      </c>
      <c r="F93" s="225">
        <f>SCALARS!F93</f>
        <v>2.3868797535163391</v>
      </c>
      <c r="G93" s="225">
        <f>SCALARS!G93</f>
        <v>0</v>
      </c>
      <c r="H93" s="139" t="b">
        <v>0</v>
      </c>
      <c r="I93" s="230"/>
      <c r="J93" s="231"/>
      <c r="K93" s="232"/>
      <c r="L93" s="233"/>
      <c r="M93" s="233"/>
    </row>
    <row r="94" spans="1:13" x14ac:dyDescent="0.25">
      <c r="A94" s="224" t="str">
        <f>SCALARS!A94</f>
        <v>sector</v>
      </c>
      <c r="B94" s="224" t="str">
        <f>SCALARS!B94</f>
        <v>technology</v>
      </c>
      <c r="C94" s="224" t="str">
        <f>SCALARS!C94</f>
        <v>IYW</v>
      </c>
      <c r="D94" s="224" t="str">
        <f>SCALARS!D94</f>
        <v>IBKR</v>
      </c>
      <c r="E94" s="224" t="str">
        <f>SCALARS!E94</f>
        <v>IYW</v>
      </c>
      <c r="F94" s="225">
        <f>SCALARS!F94</f>
        <v>1</v>
      </c>
      <c r="G94" s="225">
        <f>SCALARS!G94</f>
        <v>0</v>
      </c>
      <c r="H94" s="139" t="b">
        <v>0</v>
      </c>
      <c r="I94" s="230"/>
      <c r="J94" s="231"/>
      <c r="K94" s="232"/>
      <c r="L94" s="233"/>
      <c r="M94" s="233"/>
    </row>
    <row r="95" spans="1:13" x14ac:dyDescent="0.25">
      <c r="A95" s="224" t="str">
        <f>SCALARS!A95</f>
        <v>sector</v>
      </c>
      <c r="B95" s="224" t="str">
        <f>SCALARS!B95</f>
        <v>technology</v>
      </c>
      <c r="C95" s="224" t="str">
        <f>SCALARS!C95</f>
        <v>XLK</v>
      </c>
      <c r="D95" s="224" t="str">
        <f>SCALARS!D95</f>
        <v>IBKR</v>
      </c>
      <c r="E95" s="224" t="str">
        <f>SCALARS!E95</f>
        <v>IYW</v>
      </c>
      <c r="F95" s="225">
        <f>SCALARS!F95</f>
        <v>1.3543725595392817</v>
      </c>
      <c r="G95" s="225">
        <f>SCALARS!G95</f>
        <v>0</v>
      </c>
      <c r="H95" s="139" t="b">
        <v>0</v>
      </c>
      <c r="I95" s="230"/>
      <c r="J95" s="231"/>
      <c r="K95" s="232"/>
      <c r="L95" s="233"/>
      <c r="M95" s="233"/>
    </row>
    <row r="96" spans="1:13" x14ac:dyDescent="0.25">
      <c r="A96" s="224" t="str">
        <f>SCALARS!A96</f>
        <v>sector</v>
      </c>
      <c r="B96" s="224" t="str">
        <f>SCALARS!B96</f>
        <v>utilities</v>
      </c>
      <c r="C96" s="224" t="str">
        <f>SCALARS!C96</f>
        <v>IDU</v>
      </c>
      <c r="D96" s="224" t="str">
        <f>SCALARS!D96</f>
        <v>IBKR</v>
      </c>
      <c r="E96" s="224" t="str">
        <f>SCALARS!E96</f>
        <v>IDU</v>
      </c>
      <c r="F96" s="225">
        <f>SCALARS!F96</f>
        <v>1</v>
      </c>
      <c r="G96" s="225">
        <f>SCALARS!G96</f>
        <v>0</v>
      </c>
      <c r="H96" s="139" t="b">
        <v>0</v>
      </c>
      <c r="I96" s="230"/>
      <c r="J96" s="231"/>
      <c r="K96" s="232"/>
      <c r="L96" s="233"/>
      <c r="M96" s="233"/>
    </row>
    <row r="97" spans="1:13" x14ac:dyDescent="0.25">
      <c r="A97" s="224" t="str">
        <f>SCALARS!A97</f>
        <v>sector</v>
      </c>
      <c r="B97" s="224" t="str">
        <f>SCALARS!B97</f>
        <v>utilities</v>
      </c>
      <c r="C97" s="224" t="str">
        <f>SCALARS!C97</f>
        <v>XLU</v>
      </c>
      <c r="D97" s="224" t="str">
        <f>SCALARS!D97</f>
        <v>IBKR</v>
      </c>
      <c r="E97" s="224" t="str">
        <f>SCALARS!E97</f>
        <v>IDU</v>
      </c>
      <c r="F97" s="225">
        <f>SCALARS!F97</f>
        <v>2.5504587868090085</v>
      </c>
      <c r="G97" s="225">
        <f>SCALARS!G97</f>
        <v>0</v>
      </c>
      <c r="H97" s="139" t="b">
        <v>0</v>
      </c>
      <c r="I97" s="230"/>
      <c r="J97" s="231"/>
      <c r="K97" s="232"/>
      <c r="L97" s="233"/>
      <c r="M97" s="233"/>
    </row>
    <row r="98" spans="1:13" x14ac:dyDescent="0.25">
      <c r="J98" s="180"/>
      <c r="K98" s="181"/>
      <c r="L98" s="182"/>
      <c r="M98" s="182"/>
    </row>
    <row r="99" spans="1:13" x14ac:dyDescent="0.25">
      <c r="J99" s="180"/>
      <c r="K99" s="181"/>
      <c r="L99" s="182"/>
      <c r="M99" s="182"/>
    </row>
    <row r="100" spans="1:13" x14ac:dyDescent="0.25">
      <c r="J100" s="180"/>
      <c r="K100" s="181"/>
      <c r="L100" s="182"/>
      <c r="M100" s="182"/>
    </row>
    <row r="101" spans="1:13" x14ac:dyDescent="0.25">
      <c r="J101" s="180"/>
      <c r="K101" s="181"/>
      <c r="L101" s="182"/>
      <c r="M101" s="182"/>
    </row>
  </sheetData>
  <conditionalFormatting sqref="H1:H1048576">
    <cfRule type="cellIs" dxfId="0" priority="1" operator="equal">
      <formula>TRUE</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ADMIN INPUTS</vt:lpstr>
      <vt:lpstr>ANCHOR INPUTS</vt:lpstr>
      <vt:lpstr>SCALARS</vt:lpstr>
      <vt:lpstr>MKT DATA</vt:lpstr>
      <vt:lpstr>FI GROUP</vt:lpstr>
      <vt:lpstr>FIXED INCOME</vt:lpstr>
      <vt:lpstr>SECTORS</vt:lpstr>
      <vt:lpstr>CORPS</vt:lpstr>
      <vt:lpstr>TARGETS</vt:lpstr>
      <vt:lpstr>CEFS</vt:lpstr>
      <vt:lpstr>ADRS</vt:lpstr>
      <vt:lpstr>TRADING INPUTS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Hyland</dc:creator>
  <cp:lastModifiedBy>Michael Hyland</cp:lastModifiedBy>
  <dcterms:created xsi:type="dcterms:W3CDTF">2026-03-22T14:06:48Z</dcterms:created>
  <dcterms:modified xsi:type="dcterms:W3CDTF">2026-09-29T20:03:17Z</dcterms:modified>
</cp:coreProperties>
</file>