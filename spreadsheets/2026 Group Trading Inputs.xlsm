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1C04749-EBBB-4E73-83AF-485BC8DB5D51}" xr6:coauthVersionLast="47" xr6:coauthVersionMax="47" xr10:uidLastSave="{00000000-0000-0000-0000-000000000000}"/>
  <bookViews>
    <workbookView xWindow="30255" yWindow="0" windowWidth="26970" windowHeight="15585" tabRatio="762" activeTab="4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OTHER" sheetId="25" r:id="rId7"/>
    <sheet name="TRADING INPUTS" sheetId="2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6" i="20" l="1"/>
  <c r="AB45" i="20"/>
  <c r="AB44" i="20"/>
  <c r="AB43" i="20"/>
  <c r="AB42" i="20"/>
  <c r="AB41" i="20"/>
  <c r="AB40" i="20"/>
  <c r="AB39" i="20"/>
  <c r="AB38" i="20"/>
  <c r="AB37" i="20"/>
  <c r="AB36" i="20"/>
  <c r="AB35" i="20"/>
  <c r="AB34" i="20"/>
  <c r="AB33" i="20"/>
  <c r="AB32" i="20"/>
  <c r="AB31" i="20"/>
  <c r="AB30" i="20"/>
  <c r="AB29" i="20"/>
  <c r="AB28" i="20"/>
  <c r="AB27" i="20"/>
  <c r="AB26" i="20"/>
  <c r="AB25" i="20"/>
  <c r="AB24" i="20"/>
  <c r="AB23" i="20"/>
  <c r="AB22" i="20"/>
  <c r="AB21" i="20"/>
  <c r="AB16" i="20"/>
  <c r="AB15" i="20"/>
  <c r="AB14" i="20"/>
  <c r="AB13" i="20"/>
  <c r="AB12" i="20"/>
  <c r="AB11" i="20"/>
  <c r="AB10" i="20"/>
  <c r="AB9" i="20"/>
  <c r="AB8" i="20"/>
  <c r="AB7" i="20"/>
  <c r="AB6" i="20"/>
  <c r="AB5" i="20"/>
  <c r="AB4" i="20"/>
  <c r="AB3" i="20"/>
  <c r="AB2" i="20"/>
  <c r="K19" i="20"/>
  <c r="L24" i="23"/>
  <c r="K24" i="23"/>
  <c r="L23" i="23"/>
  <c r="K23" i="23"/>
  <c r="AB42" i="23"/>
  <c r="AB41" i="23"/>
  <c r="AB40" i="23"/>
  <c r="AB39" i="23"/>
  <c r="AB38" i="23"/>
  <c r="AB37" i="23"/>
  <c r="AB36" i="23"/>
  <c r="AB35" i="23"/>
  <c r="AB34" i="23"/>
  <c r="AB33" i="23"/>
  <c r="AB32" i="23"/>
  <c r="AB31" i="23"/>
  <c r="AB30" i="23"/>
  <c r="AB29" i="23"/>
  <c r="AB28" i="23"/>
  <c r="AB27" i="23"/>
  <c r="AB26" i="23"/>
  <c r="AB25" i="23"/>
  <c r="AB3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" i="23"/>
  <c r="AC4" i="23" a="1"/>
  <c r="AC3" i="23" a="1"/>
  <c r="AC26" i="23" a="1"/>
  <c r="AC25" i="23" a="1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G1" i="24"/>
  <c r="F12" i="25" a="1"/>
  <c r="C12" i="25" a="1"/>
  <c r="F11" i="25" a="1"/>
  <c r="C11" i="25" a="1"/>
  <c r="F10" i="25" a="1"/>
  <c r="C10" i="25" a="1"/>
  <c r="F9" i="25" a="1"/>
  <c r="C9" i="25" a="1"/>
  <c r="F8" i="25" a="1"/>
  <c r="C8" i="25" a="1"/>
  <c r="F7" i="25" a="1"/>
  <c r="C7" i="25" a="1"/>
  <c r="F6" i="25" a="1"/>
  <c r="C6" i="25" a="1"/>
  <c r="F5" i="25" a="1"/>
  <c r="C5" i="25" a="1"/>
  <c r="F4" i="25" a="1"/>
  <c r="C4" i="25" a="1"/>
  <c r="F3" i="25" a="1"/>
  <c r="C3" i="25" a="1"/>
  <c r="F26" i="23" a="1"/>
  <c r="C26" i="23" a="1"/>
  <c r="F25" i="23" a="1"/>
  <c r="C25" i="23" a="1"/>
  <c r="F4" i="23" a="1"/>
  <c r="C4" i="23" a="1"/>
  <c r="F3" i="23" a="1"/>
  <c r="C3" i="23" a="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2" i="21"/>
  <c r="A88" i="24"/>
  <c r="B88" i="24"/>
  <c r="C88" i="24"/>
  <c r="D88" i="24"/>
  <c r="E88" i="24"/>
  <c r="F88" i="24"/>
  <c r="A89" i="24"/>
  <c r="B89" i="24"/>
  <c r="C89" i="24"/>
  <c r="D89" i="24"/>
  <c r="E89" i="24"/>
  <c r="F89" i="24"/>
  <c r="A74" i="24"/>
  <c r="B74" i="24"/>
  <c r="C74" i="24"/>
  <c r="D74" i="24"/>
  <c r="E74" i="24"/>
  <c r="F74" i="24"/>
  <c r="A75" i="24"/>
  <c r="B75" i="24"/>
  <c r="C75" i="24"/>
  <c r="D75" i="24"/>
  <c r="E75" i="24"/>
  <c r="F75" i="24"/>
  <c r="A76" i="24"/>
  <c r="B76" i="24"/>
  <c r="C76" i="24"/>
  <c r="D76" i="24"/>
  <c r="E76" i="24"/>
  <c r="F76" i="24"/>
  <c r="A77" i="24"/>
  <c r="B77" i="24"/>
  <c r="C77" i="24"/>
  <c r="D77" i="24"/>
  <c r="E77" i="24"/>
  <c r="F77" i="24"/>
  <c r="A78" i="24"/>
  <c r="B78" i="24"/>
  <c r="C78" i="24"/>
  <c r="D78" i="24"/>
  <c r="E78" i="24"/>
  <c r="F78" i="24"/>
  <c r="A79" i="24"/>
  <c r="B79" i="24"/>
  <c r="C79" i="24"/>
  <c r="D79" i="24"/>
  <c r="E79" i="24"/>
  <c r="F79" i="24"/>
  <c r="A80" i="24"/>
  <c r="B80" i="24"/>
  <c r="C80" i="24"/>
  <c r="D80" i="24"/>
  <c r="E80" i="24"/>
  <c r="F80" i="24"/>
  <c r="A81" i="24"/>
  <c r="B81" i="24"/>
  <c r="C81" i="24"/>
  <c r="D81" i="24"/>
  <c r="E81" i="24"/>
  <c r="F81" i="24"/>
  <c r="A82" i="24"/>
  <c r="B82" i="24"/>
  <c r="C82" i="24"/>
  <c r="D82" i="24"/>
  <c r="E82" i="24"/>
  <c r="F82" i="24"/>
  <c r="A83" i="24"/>
  <c r="B83" i="24"/>
  <c r="C83" i="24"/>
  <c r="D83" i="24"/>
  <c r="E83" i="24"/>
  <c r="F83" i="24"/>
  <c r="A84" i="24"/>
  <c r="B84" i="24"/>
  <c r="C84" i="24"/>
  <c r="D84" i="24"/>
  <c r="E84" i="24"/>
  <c r="F84" i="24"/>
  <c r="A85" i="24"/>
  <c r="B85" i="24"/>
  <c r="C85" i="24"/>
  <c r="D85" i="24"/>
  <c r="E85" i="24"/>
  <c r="F85" i="24"/>
  <c r="A86" i="24"/>
  <c r="B86" i="24"/>
  <c r="C86" i="24"/>
  <c r="D86" i="24"/>
  <c r="E86" i="24"/>
  <c r="F86" i="24"/>
  <c r="A87" i="24"/>
  <c r="B87" i="24"/>
  <c r="C87" i="24"/>
  <c r="D87" i="24"/>
  <c r="E87" i="24"/>
  <c r="F87" i="24"/>
  <c r="B26" i="23"/>
  <c r="A26" i="23"/>
  <c r="B25" i="23"/>
  <c r="A25" i="23"/>
  <c r="B4" i="23"/>
  <c r="A4" i="23"/>
  <c r="B3" i="23"/>
  <c r="A3" i="23"/>
  <c r="T13" i="25"/>
  <c r="B12" i="25"/>
  <c r="A12" i="25"/>
  <c r="B11" i="25"/>
  <c r="A11" i="25"/>
  <c r="B10" i="25"/>
  <c r="A10" i="25"/>
  <c r="B9" i="25"/>
  <c r="A9" i="25"/>
  <c r="B8" i="25"/>
  <c r="A8" i="25"/>
  <c r="B7" i="25"/>
  <c r="A7" i="25"/>
  <c r="B6" i="25"/>
  <c r="A6" i="25"/>
  <c r="B5" i="25"/>
  <c r="A5" i="25"/>
  <c r="B4" i="25"/>
  <c r="A4" i="25"/>
  <c r="B3" i="25"/>
  <c r="A3" i="25"/>
  <c r="P21" i="23"/>
  <c r="I26" i="23" l="1" a="1"/>
  <c r="L26" i="23" s="1"/>
  <c r="H26" i="23" a="1"/>
  <c r="X26" i="23" a="1"/>
  <c r="M26" i="23" a="1"/>
  <c r="J26" i="23" a="1"/>
  <c r="D26" i="23" a="1"/>
  <c r="H25" i="23" a="1"/>
  <c r="X25" i="23" a="1"/>
  <c r="I25" i="23" a="1"/>
  <c r="L25" i="23" s="1"/>
  <c r="M25" i="23" a="1"/>
  <c r="J25" i="23" a="1"/>
  <c r="D25" i="23" a="1"/>
  <c r="H4" i="23" a="1"/>
  <c r="I4" i="23" a="1"/>
  <c r="L4" i="23" s="1"/>
  <c r="X4" i="23" a="1"/>
  <c r="M4" i="23" a="1"/>
  <c r="J4" i="23" a="1"/>
  <c r="D4" i="23" a="1"/>
  <c r="H3" i="23" a="1"/>
  <c r="I3" i="23" a="1"/>
  <c r="L3" i="23" s="1"/>
  <c r="X3" i="23" a="1"/>
  <c r="J3" i="23" a="1"/>
  <c r="D3" i="23" a="1"/>
  <c r="M3" i="23" a="1"/>
  <c r="H12" i="25" a="1"/>
  <c r="L12" i="25" a="1"/>
  <c r="O12" i="25" s="1"/>
  <c r="R12" i="25" s="1"/>
  <c r="M12" i="25" a="1"/>
  <c r="P12" i="25" s="1"/>
  <c r="Q12" i="25" a="1"/>
  <c r="D12" i="25" a="1"/>
  <c r="N12" i="25" a="1"/>
  <c r="M11" i="25" a="1"/>
  <c r="P11" i="25" s="1"/>
  <c r="H11" i="25" a="1"/>
  <c r="L11" i="25" a="1"/>
  <c r="O11" i="25" s="1"/>
  <c r="R11" i="25" s="1"/>
  <c r="N11" i="25" a="1"/>
  <c r="Q11" i="25" a="1"/>
  <c r="D11" i="25" a="1"/>
  <c r="L10" i="25" a="1"/>
  <c r="O10" i="25" s="1"/>
  <c r="R10" i="25" s="1"/>
  <c r="M10" i="25" a="1"/>
  <c r="P10" i="25" s="1"/>
  <c r="H10" i="25" a="1"/>
  <c r="Q10" i="25" a="1"/>
  <c r="D10" i="25" a="1"/>
  <c r="N10" i="25" a="1"/>
  <c r="H9" i="25" a="1"/>
  <c r="L9" i="25" a="1"/>
  <c r="O9" i="25" s="1"/>
  <c r="R9" i="25" s="1"/>
  <c r="M9" i="25" a="1"/>
  <c r="P9" i="25" s="1"/>
  <c r="Q9" i="25" a="1"/>
  <c r="D9" i="25" a="1"/>
  <c r="N9" i="25" a="1"/>
  <c r="L8" i="25" a="1"/>
  <c r="O8" i="25" s="1"/>
  <c r="R8" i="25" s="1"/>
  <c r="M8" i="25" a="1"/>
  <c r="P8" i="25" s="1"/>
  <c r="H8" i="25" a="1"/>
  <c r="Q8" i="25" a="1"/>
  <c r="D8" i="25" a="1"/>
  <c r="N8" i="25" a="1"/>
  <c r="H7" i="25" a="1"/>
  <c r="L7" i="25" a="1"/>
  <c r="O7" i="25" s="1"/>
  <c r="R7" i="25" s="1"/>
  <c r="M7" i="25" a="1"/>
  <c r="P7" i="25" s="1"/>
  <c r="Q7" i="25" a="1"/>
  <c r="N7" i="25" a="1"/>
  <c r="D7" i="25" a="1"/>
  <c r="H6" i="25" a="1"/>
  <c r="L6" i="25" a="1"/>
  <c r="O6" i="25" s="1"/>
  <c r="R6" i="25" s="1"/>
  <c r="M6" i="25" a="1"/>
  <c r="P6" i="25" s="1"/>
  <c r="N6" i="25" a="1"/>
  <c r="D6" i="25" a="1"/>
  <c r="Q6" i="25" a="1"/>
  <c r="H5" i="25" a="1"/>
  <c r="M5" i="25" a="1"/>
  <c r="P5" i="25" s="1"/>
  <c r="L5" i="25" a="1"/>
  <c r="O5" i="25" s="1"/>
  <c r="R5" i="25" s="1"/>
  <c r="N5" i="25" a="1"/>
  <c r="Q5" i="25" a="1"/>
  <c r="D5" i="25" a="1"/>
  <c r="M4" i="25" a="1"/>
  <c r="P4" i="25" s="1"/>
  <c r="H4" i="25" a="1"/>
  <c r="L4" i="25" a="1"/>
  <c r="O4" i="25" s="1"/>
  <c r="R4" i="25" s="1"/>
  <c r="N4" i="25" a="1"/>
  <c r="D4" i="25" a="1"/>
  <c r="Q4" i="25" a="1"/>
  <c r="L3" i="25" a="1"/>
  <c r="O3" i="25" s="1"/>
  <c r="R3" i="25" s="1"/>
  <c r="H3" i="25" a="1"/>
  <c r="M3" i="25" a="1"/>
  <c r="P3" i="25" s="1"/>
  <c r="N3" i="25" a="1"/>
  <c r="Q3" i="25" a="1"/>
  <c r="D3" i="25" a="1"/>
  <c r="D24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J20" i="20"/>
  <c r="D20" i="20"/>
  <c r="C20" i="20"/>
  <c r="Q24" i="23"/>
  <c r="P24" i="23"/>
  <c r="S24" i="23"/>
  <c r="R24" i="23"/>
  <c r="Q23" i="23"/>
  <c r="P23" i="23"/>
  <c r="S23" i="23"/>
  <c r="R23" i="23"/>
  <c r="O19" i="20"/>
  <c r="N19" i="20"/>
  <c r="I19" i="20"/>
  <c r="H19" i="20"/>
  <c r="AA19" i="20"/>
  <c r="Z19" i="20"/>
  <c r="Y19" i="20"/>
  <c r="X19" i="20"/>
  <c r="B19" i="20"/>
  <c r="A19" i="20"/>
  <c r="O20" i="20"/>
  <c r="N20" i="20"/>
  <c r="M20" i="20"/>
  <c r="L20" i="20"/>
  <c r="K20" i="20"/>
  <c r="I20" i="20"/>
  <c r="H20" i="20"/>
  <c r="AA20" i="20"/>
  <c r="Z20" i="20"/>
  <c r="Y20" i="20"/>
  <c r="X20" i="20"/>
  <c r="G20" i="20"/>
  <c r="AB20" i="20" s="1"/>
  <c r="F20" i="20"/>
  <c r="B20" i="20"/>
  <c r="A20" i="20"/>
  <c r="W23" i="23"/>
  <c r="V23" i="23"/>
  <c r="U23" i="23"/>
  <c r="T23" i="23"/>
  <c r="O23" i="23"/>
  <c r="N23" i="23"/>
  <c r="I23" i="23"/>
  <c r="H23" i="23"/>
  <c r="AA23" i="23"/>
  <c r="Z23" i="23"/>
  <c r="Y23" i="23"/>
  <c r="X23" i="23"/>
  <c r="B23" i="23"/>
  <c r="A23" i="23"/>
  <c r="W24" i="23"/>
  <c r="V24" i="23"/>
  <c r="U24" i="23"/>
  <c r="T24" i="23"/>
  <c r="O24" i="23"/>
  <c r="N24" i="23"/>
  <c r="M24" i="23"/>
  <c r="I24" i="23"/>
  <c r="H24" i="23"/>
  <c r="AA24" i="23"/>
  <c r="Z24" i="23"/>
  <c r="Y24" i="23"/>
  <c r="X24" i="23"/>
  <c r="E24" i="23"/>
  <c r="G24" i="23"/>
  <c r="AB24" i="23" s="1"/>
  <c r="C24" i="23"/>
  <c r="B24" i="23"/>
  <c r="A24" i="23"/>
  <c r="F24" i="23"/>
  <c r="B38" i="23"/>
  <c r="AC38" i="23" s="1" a="1"/>
  <c r="B37" i="23"/>
  <c r="AC37" i="23" s="1" a="1"/>
  <c r="B34" i="23"/>
  <c r="AC34" i="23" s="1" a="1"/>
  <c r="B33" i="23"/>
  <c r="AC33" i="23" s="1" a="1"/>
  <c r="B12" i="23"/>
  <c r="AC12" i="23" s="1" a="1"/>
  <c r="B11" i="23"/>
  <c r="AC11" i="23" s="1" a="1"/>
  <c r="B8" i="23"/>
  <c r="AC8" i="23" s="1" a="1"/>
  <c r="B7" i="23"/>
  <c r="AC7" i="23" s="1" a="1"/>
  <c r="A38" i="23"/>
  <c r="A37" i="23"/>
  <c r="A34" i="23"/>
  <c r="A33" i="23"/>
  <c r="A12" i="23"/>
  <c r="A11" i="23"/>
  <c r="A8" i="23"/>
  <c r="A7" i="23"/>
  <c r="B42" i="23"/>
  <c r="AC42" i="23" s="1" a="1"/>
  <c r="A42" i="23"/>
  <c r="B41" i="23"/>
  <c r="AC41" i="23" s="1" a="1"/>
  <c r="A41" i="23"/>
  <c r="B40" i="23"/>
  <c r="AC40" i="23" s="1" a="1"/>
  <c r="A40" i="23"/>
  <c r="B39" i="23"/>
  <c r="AC39" i="23" s="1" a="1"/>
  <c r="A39" i="23"/>
  <c r="B36" i="23"/>
  <c r="AC36" i="23" s="1" a="1"/>
  <c r="A36" i="23"/>
  <c r="B35" i="23"/>
  <c r="AC35" i="23" s="1" a="1"/>
  <c r="A35" i="23"/>
  <c r="B32" i="23"/>
  <c r="AC32" i="23" s="1" a="1"/>
  <c r="A32" i="23"/>
  <c r="B31" i="23"/>
  <c r="AC31" i="23" s="1" a="1"/>
  <c r="A31" i="23"/>
  <c r="B30" i="23"/>
  <c r="AC30" i="23" s="1" a="1"/>
  <c r="A30" i="23"/>
  <c r="B29" i="23"/>
  <c r="AC29" i="23" s="1" a="1"/>
  <c r="A29" i="23"/>
  <c r="B28" i="23"/>
  <c r="AC28" i="23" s="1" a="1"/>
  <c r="A28" i="23"/>
  <c r="B27" i="23"/>
  <c r="AC27" i="23" s="1" a="1"/>
  <c r="A27" i="23"/>
  <c r="B10" i="23"/>
  <c r="AC10" i="23" s="1" a="1"/>
  <c r="A10" i="23"/>
  <c r="B9" i="23"/>
  <c r="AC9" i="23" s="1" a="1"/>
  <c r="A9" i="23"/>
  <c r="B6" i="23"/>
  <c r="AC6" i="23" s="1" a="1"/>
  <c r="A6" i="23"/>
  <c r="B5" i="23"/>
  <c r="AC5" i="23" s="1" a="1"/>
  <c r="A5" i="23"/>
  <c r="B14" i="23"/>
  <c r="AC14" i="23" s="1" a="1"/>
  <c r="A14" i="23"/>
  <c r="B13" i="23"/>
  <c r="AC13" i="23" s="1" a="1"/>
  <c r="A13" i="23"/>
  <c r="B18" i="23"/>
  <c r="AC18" i="23" s="1" a="1"/>
  <c r="A18" i="23"/>
  <c r="B17" i="23"/>
  <c r="AC17" i="23" s="1" a="1"/>
  <c r="A17" i="23"/>
  <c r="B20" i="23"/>
  <c r="AC20" i="23" s="1" a="1"/>
  <c r="A20" i="23"/>
  <c r="B19" i="23"/>
  <c r="AC19" i="23" s="1" a="1"/>
  <c r="A19" i="23"/>
  <c r="B16" i="23"/>
  <c r="AC16" i="23" s="1" a="1"/>
  <c r="A16" i="23"/>
  <c r="B15" i="23"/>
  <c r="AC15" i="23" s="1" a="1"/>
  <c r="A15" i="23"/>
  <c r="B16" i="20"/>
  <c r="AC16" i="20" s="1" a="1"/>
  <c r="B15" i="20"/>
  <c r="AC15" i="20" s="1" a="1"/>
  <c r="B14" i="20"/>
  <c r="AC14" i="20" s="1" a="1"/>
  <c r="B13" i="20"/>
  <c r="AC13" i="20" s="1" a="1"/>
  <c r="B12" i="20"/>
  <c r="AC12" i="20" s="1" a="1"/>
  <c r="B11" i="20"/>
  <c r="AC11" i="20" s="1" a="1"/>
  <c r="B10" i="20"/>
  <c r="AC10" i="20" s="1" a="1"/>
  <c r="B9" i="20"/>
  <c r="AC9" i="20" s="1" a="1"/>
  <c r="B8" i="20"/>
  <c r="AC8" i="20" s="1" a="1"/>
  <c r="B7" i="20"/>
  <c r="AC7" i="20" s="1" a="1"/>
  <c r="B6" i="20"/>
  <c r="AC6" i="20" s="1" a="1"/>
  <c r="B5" i="20"/>
  <c r="AC5" i="20" s="1" a="1"/>
  <c r="B4" i="20"/>
  <c r="AC4" i="20" s="1" a="1"/>
  <c r="B3" i="20"/>
  <c r="AC3" i="20" s="1" a="1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P17" i="20"/>
  <c r="A22" i="20"/>
  <c r="B22" i="20"/>
  <c r="A23" i="20"/>
  <c r="B23" i="20"/>
  <c r="A24" i="20"/>
  <c r="B24" i="20"/>
  <c r="A25" i="20"/>
  <c r="B25" i="20"/>
  <c r="A26" i="20"/>
  <c r="B26" i="20"/>
  <c r="A37" i="20"/>
  <c r="B37" i="20"/>
  <c r="A38" i="20"/>
  <c r="B38" i="20"/>
  <c r="A39" i="20"/>
  <c r="B39" i="20"/>
  <c r="A40" i="20"/>
  <c r="B40" i="20"/>
  <c r="A41" i="20"/>
  <c r="B41" i="20"/>
  <c r="A42" i="20"/>
  <c r="B42" i="20"/>
  <c r="A27" i="20"/>
  <c r="B27" i="20"/>
  <c r="A28" i="20"/>
  <c r="B28" i="20"/>
  <c r="A29" i="20"/>
  <c r="B29" i="20"/>
  <c r="A30" i="20"/>
  <c r="B30" i="20"/>
  <c r="A43" i="20"/>
  <c r="B43" i="20"/>
  <c r="A44" i="20"/>
  <c r="B44" i="20"/>
  <c r="A45" i="20"/>
  <c r="B45" i="20"/>
  <c r="A46" i="20"/>
  <c r="B46" i="20"/>
  <c r="A31" i="20"/>
  <c r="B31" i="20"/>
  <c r="A32" i="20"/>
  <c r="B32" i="20"/>
  <c r="A33" i="20"/>
  <c r="B33" i="20"/>
  <c r="A34" i="20"/>
  <c r="B34" i="20"/>
  <c r="A35" i="20"/>
  <c r="B35" i="20"/>
  <c r="A36" i="20"/>
  <c r="B36" i="20"/>
  <c r="B21" i="20"/>
  <c r="A21" i="20"/>
  <c r="B2" i="15" a="1"/>
  <c r="X7" i="20" a="1"/>
  <c r="X40" i="23" a="1"/>
  <c r="X39" i="23" a="1"/>
  <c r="X11" i="23" a="1"/>
  <c r="I23" i="20" a="1"/>
  <c r="M41" i="20" a="1"/>
  <c r="M9" i="20" a="1"/>
  <c r="M40" i="20" a="1"/>
  <c r="M19" i="23" a="1"/>
  <c r="I24" i="20" a="1"/>
  <c r="H34" i="20" a="1"/>
  <c r="X41" i="20" a="1"/>
  <c r="I30" i="20" a="1"/>
  <c r="H24" i="20" a="1"/>
  <c r="X24" i="20" a="1"/>
  <c r="M35" i="20" a="1"/>
  <c r="X21" i="20" a="1"/>
  <c r="M32" i="23" a="1"/>
  <c r="M38" i="20" a="1"/>
  <c r="I11" i="23" a="1"/>
  <c r="I7" i="23" a="1"/>
  <c r="X46" i="20" a="1"/>
  <c r="M46" i="20" a="1"/>
  <c r="M7" i="20" a="1"/>
  <c r="M34" i="23" a="1"/>
  <c r="H38" i="20" a="1"/>
  <c r="H23" i="20" a="1"/>
  <c r="X33" i="20" a="1"/>
  <c r="H36" i="20" a="1"/>
  <c r="X34" i="20" a="1"/>
  <c r="M42" i="23" a="1"/>
  <c r="H44" i="20" a="1"/>
  <c r="H39" i="20" a="1"/>
  <c r="M14" i="23" a="1"/>
  <c r="I28" i="20" a="1"/>
  <c r="M3" i="20" a="1"/>
  <c r="M22" i="20" a="1"/>
  <c r="M24" i="20" a="1"/>
  <c r="M11" i="23" a="1"/>
  <c r="M43" i="20" a="1"/>
  <c r="M29" i="23" a="1"/>
  <c r="M36" i="23" a="1"/>
  <c r="M4" i="20" a="1"/>
  <c r="X44" i="20" a="1"/>
  <c r="H8" i="23" a="1"/>
  <c r="AD8" i="23" s="1"/>
  <c r="M45" i="20" a="1"/>
  <c r="X32" i="20" a="1"/>
  <c r="I21" i="20" a="1"/>
  <c r="M16" i="20" a="1"/>
  <c r="H28" i="20" a="1"/>
  <c r="M11" i="20" a="1"/>
  <c r="H12" i="23" a="1"/>
  <c r="AD12" i="23" s="1"/>
  <c r="X25" i="20" a="1"/>
  <c r="H33" i="20" a="1"/>
  <c r="H38" i="23" a="1"/>
  <c r="AD38" i="23" s="1"/>
  <c r="AE38" i="23" s="1"/>
  <c r="AG38" i="23" s="1"/>
  <c r="AH38" i="23" s="1"/>
  <c r="I38" i="23" a="1"/>
  <c r="M30" i="20" a="1"/>
  <c r="I33" i="23" a="1"/>
  <c r="H37" i="20" a="1"/>
  <c r="M26" i="20" a="1"/>
  <c r="I32" i="20" a="1"/>
  <c r="M42" i="20" a="1"/>
  <c r="M18" i="23" a="1"/>
  <c r="X31" i="20" a="1"/>
  <c r="M13" i="23" a="1"/>
  <c r="I34" i="23" a="1"/>
  <c r="I25" i="20" a="1"/>
  <c r="H27" i="20" a="1"/>
  <c r="X45" i="20" a="1"/>
  <c r="X40" i="20" a="1"/>
  <c r="I12" i="23" a="1"/>
  <c r="M23" i="20" a="1"/>
  <c r="H21" i="20" a="1"/>
  <c r="X26" i="20" a="1"/>
  <c r="H45" i="20" a="1"/>
  <c r="H3" i="20" a="1"/>
  <c r="AD3" i="20" s="1"/>
  <c r="M40" i="23" a="1"/>
  <c r="M5" i="23" a="1"/>
  <c r="I38" i="20" a="1"/>
  <c r="H30" i="20" a="1"/>
  <c r="M39" i="23" a="1"/>
  <c r="M25" i="20" a="1"/>
  <c r="X37" i="23" a="1"/>
  <c r="X27" i="20" a="1"/>
  <c r="M31" i="20" a="1"/>
  <c r="M28" i="20" a="1"/>
  <c r="H25" i="20" a="1"/>
  <c r="H33" i="23" a="1"/>
  <c r="AD33" i="23" s="1"/>
  <c r="AE33" i="23" s="1"/>
  <c r="AG33" i="23" s="1"/>
  <c r="AH33" i="23" s="1"/>
  <c r="I44" i="20" a="1"/>
  <c r="X37" i="20" a="1"/>
  <c r="M12" i="23" a="1"/>
  <c r="H26" i="20" a="1"/>
  <c r="M36" i="20" a="1"/>
  <c r="I42" i="20" a="1"/>
  <c r="I36" i="20" a="1"/>
  <c r="I35" i="20" a="1"/>
  <c r="I45" i="20" a="1"/>
  <c r="M44" i="20" a="1"/>
  <c r="H32" i="20" a="1"/>
  <c r="I35" i="23" a="1"/>
  <c r="X38" i="20" a="1"/>
  <c r="H34" i="23" a="1"/>
  <c r="AD34" i="23" s="1"/>
  <c r="AE34" i="23" s="1"/>
  <c r="AG34" i="23" s="1"/>
  <c r="AH34" i="23" s="1"/>
  <c r="M30" i="23" a="1"/>
  <c r="M34" i="20" a="1"/>
  <c r="M15" i="23" a="1"/>
  <c r="I33" i="20" a="1"/>
  <c r="M38" i="23" a="1"/>
  <c r="H35" i="20" a="1"/>
  <c r="X33" i="23" a="1"/>
  <c r="I43" i="20" a="1"/>
  <c r="H31" i="20" a="1"/>
  <c r="M33" i="20" a="1"/>
  <c r="M27" i="20" a="1"/>
  <c r="X8" i="23" a="1"/>
  <c r="M37" i="20" a="1"/>
  <c r="X22" i="20" a="1"/>
  <c r="I34" i="20" a="1"/>
  <c r="M8" i="20" a="1"/>
  <c r="M29" i="20" a="1"/>
  <c r="M13" i="20" a="1"/>
  <c r="M41" i="23" a="1"/>
  <c r="X12" i="23" a="1"/>
  <c r="I39" i="20" a="1"/>
  <c r="H42" i="20" a="1"/>
  <c r="M17" i="23" a="1"/>
  <c r="X34" i="23" a="1"/>
  <c r="M35" i="23" a="1"/>
  <c r="X23" i="20" a="1"/>
  <c r="M6" i="23" a="1"/>
  <c r="X36" i="20" a="1"/>
  <c r="M39" i="20" a="1"/>
  <c r="I22" i="20" a="1"/>
  <c r="X43" i="20" a="1"/>
  <c r="M16" i="23" a="1"/>
  <c r="M6" i="20" a="1"/>
  <c r="X28" i="20" a="1"/>
  <c r="X11" i="20" a="1"/>
  <c r="M9" i="23" a="1"/>
  <c r="M28" i="23" a="1"/>
  <c r="M7" i="23" a="1"/>
  <c r="X35" i="20" a="1"/>
  <c r="I26" i="20" a="1"/>
  <c r="H37" i="23" a="1"/>
  <c r="AD37" i="23" s="1"/>
  <c r="AE37" i="23" s="1"/>
  <c r="AG37" i="23" s="1"/>
  <c r="AH37" i="23" s="1"/>
  <c r="I46" i="20" a="1"/>
  <c r="M37" i="23" a="1"/>
  <c r="H46" i="20" a="1"/>
  <c r="H22" i="20" a="1"/>
  <c r="H41" i="20" a="1"/>
  <c r="X42" i="20" a="1"/>
  <c r="X7" i="23" a="1"/>
  <c r="H7" i="23" a="1"/>
  <c r="AD7" i="23" s="1"/>
  <c r="M32" i="20" a="1"/>
  <c r="H43" i="20" a="1"/>
  <c r="X30" i="20" a="1"/>
  <c r="M10" i="23" a="1"/>
  <c r="M15" i="20" a="1"/>
  <c r="M21" i="20" a="1"/>
  <c r="M31" i="23" a="1"/>
  <c r="I8" i="23" a="1"/>
  <c r="M8" i="23" a="1"/>
  <c r="M27" i="23" a="1"/>
  <c r="I40" i="20" a="1"/>
  <c r="M10" i="20" a="1"/>
  <c r="M14" i="20" a="1"/>
  <c r="I31" i="20" a="1"/>
  <c r="I37" i="23" a="1"/>
  <c r="I27" i="20" a="1"/>
  <c r="M5" i="20" a="1"/>
  <c r="X12" i="20" a="1"/>
  <c r="M20" i="23" a="1"/>
  <c r="I29" i="20" a="1"/>
  <c r="X29" i="20" a="1"/>
  <c r="H29" i="20" a="1"/>
  <c r="I37" i="20" a="1"/>
  <c r="M12" i="20" a="1"/>
  <c r="M33" i="23" a="1"/>
  <c r="H40" i="20" a="1"/>
  <c r="X39" i="20" a="1"/>
  <c r="X38" i="23" a="1"/>
  <c r="H11" i="23" a="1"/>
  <c r="AD11" i="23" s="1"/>
  <c r="I41" i="20" a="1"/>
  <c r="E20" i="20"/>
  <c r="H27" i="23" a="1"/>
  <c r="AD27" i="23" s="1"/>
  <c r="AE27" i="23" s="1"/>
  <c r="AG27" i="23" s="1"/>
  <c r="AH27" i="23" s="1"/>
  <c r="H15" i="23" a="1"/>
  <c r="AD15" i="23" s="1"/>
  <c r="H6" i="23" a="1"/>
  <c r="AD6" i="23" s="1"/>
  <c r="I14" i="20" a="1"/>
  <c r="I5" i="23" a="1"/>
  <c r="I16" i="20" a="1"/>
  <c r="I12" i="20" a="1"/>
  <c r="H13" i="23" a="1"/>
  <c r="AD13" i="23" s="1"/>
  <c r="H42" i="23" a="1"/>
  <c r="AD42" i="23" s="1"/>
  <c r="AE42" i="23" s="1"/>
  <c r="AG42" i="23" s="1"/>
  <c r="AH42" i="23" s="1"/>
  <c r="H13" i="20" a="1"/>
  <c r="AD13" i="20" s="1"/>
  <c r="H4" i="20" a="1"/>
  <c r="AD4" i="20" s="1"/>
  <c r="X9" i="20" a="1"/>
  <c r="I17" i="23" a="1"/>
  <c r="I31" i="23" a="1"/>
  <c r="I40" i="23" a="1"/>
  <c r="H20" i="23" a="1"/>
  <c r="AD20" i="23" s="1"/>
  <c r="I7" i="20" a="1"/>
  <c r="H14" i="23" a="1"/>
  <c r="AD14" i="23" s="1"/>
  <c r="H15" i="20" a="1"/>
  <c r="AD15" i="20" s="1"/>
  <c r="I30" i="23" a="1"/>
  <c r="H31" i="23" a="1"/>
  <c r="AD31" i="23" s="1"/>
  <c r="AE31" i="23" s="1"/>
  <c r="AG31" i="23" s="1"/>
  <c r="AH31" i="23" s="1"/>
  <c r="I10" i="20" a="1"/>
  <c r="X32" i="23" a="1"/>
  <c r="X17" i="23" a="1"/>
  <c r="I13" i="23" a="1"/>
  <c r="H29" i="23" a="1"/>
  <c r="AD29" i="23" s="1"/>
  <c r="AE29" i="23" s="1"/>
  <c r="AG29" i="23" s="1"/>
  <c r="AH29" i="23" s="1"/>
  <c r="H10" i="23" a="1"/>
  <c r="AD10" i="23" s="1"/>
  <c r="H5" i="20" a="1"/>
  <c r="AD5" i="20" s="1"/>
  <c r="I11" i="20" a="1"/>
  <c r="H16" i="20" a="1"/>
  <c r="AD16" i="20" s="1"/>
  <c r="I3" i="20" a="1"/>
  <c r="X5" i="20" a="1"/>
  <c r="I18" i="23" a="1"/>
  <c r="X42" i="23" a="1"/>
  <c r="X30" i="23" a="1"/>
  <c r="X29" i="23" a="1"/>
  <c r="I13" i="20" a="1"/>
  <c r="I14" i="23" a="1"/>
  <c r="I39" i="23" a="1"/>
  <c r="X27" i="23" a="1"/>
  <c r="X13" i="20" a="1"/>
  <c r="X16" i="20" a="1"/>
  <c r="H18" i="23" a="1"/>
  <c r="AD18" i="23" s="1"/>
  <c r="I5" i="20" a="1"/>
  <c r="H9" i="23" a="1"/>
  <c r="AD9" i="23" s="1"/>
  <c r="H10" i="20" a="1"/>
  <c r="AD10" i="20" s="1"/>
  <c r="X15" i="20" a="1"/>
  <c r="H40" i="23" a="1"/>
  <c r="AD40" i="23" s="1"/>
  <c r="AE40" i="23" s="1"/>
  <c r="AG40" i="23" s="1"/>
  <c r="AH40" i="23" s="1"/>
  <c r="I6" i="20" a="1"/>
  <c r="X4" i="20" a="1"/>
  <c r="X20" i="23" a="1"/>
  <c r="H16" i="23" a="1"/>
  <c r="AD16" i="23" s="1"/>
  <c r="I8" i="20" a="1"/>
  <c r="I10" i="23" a="1"/>
  <c r="I9" i="20" a="1"/>
  <c r="H41" i="23" a="1"/>
  <c r="AD41" i="23" s="1"/>
  <c r="AE41" i="23" s="1"/>
  <c r="AG41" i="23" s="1"/>
  <c r="AH41" i="23" s="1"/>
  <c r="AI41" i="23" s="1"/>
  <c r="X9" i="23" a="1"/>
  <c r="H28" i="23" a="1"/>
  <c r="AD28" i="23" s="1"/>
  <c r="AE28" i="23" s="1"/>
  <c r="AG28" i="23" s="1"/>
  <c r="AH28" i="23" s="1"/>
  <c r="I4" i="20" a="1"/>
  <c r="X15" i="23" a="1"/>
  <c r="X41" i="23" a="1"/>
  <c r="H6" i="20" a="1"/>
  <c r="AD6" i="20" s="1"/>
  <c r="H8" i="20" a="1"/>
  <c r="AD8" i="20" s="1"/>
  <c r="X14" i="23" a="1"/>
  <c r="X16" i="23" a="1"/>
  <c r="X8" i="20" a="1"/>
  <c r="I15" i="23" a="1"/>
  <c r="H7" i="20" a="1"/>
  <c r="AD7" i="20" s="1"/>
  <c r="I42" i="23" a="1"/>
  <c r="H19" i="23" a="1"/>
  <c r="AD19" i="23" s="1"/>
  <c r="H35" i="23" a="1"/>
  <c r="AD35" i="23" s="1"/>
  <c r="AE35" i="23" s="1"/>
  <c r="AG35" i="23" s="1"/>
  <c r="AH35" i="23" s="1"/>
  <c r="X28" i="23" a="1"/>
  <c r="I27" i="23" a="1"/>
  <c r="X6" i="20" a="1"/>
  <c r="H12" i="20" a="1"/>
  <c r="AD12" i="20" s="1"/>
  <c r="I41" i="23" a="1"/>
  <c r="I9" i="23" a="1"/>
  <c r="X14" i="20" a="1"/>
  <c r="H5" i="23" a="1"/>
  <c r="AD5" i="23" s="1"/>
  <c r="H14" i="20" a="1"/>
  <c r="AD14" i="20" s="1"/>
  <c r="I32" i="23" a="1"/>
  <c r="X35" i="23" a="1"/>
  <c r="X10" i="23" a="1"/>
  <c r="X5" i="23" a="1"/>
  <c r="I29" i="23" a="1"/>
  <c r="X13" i="23" a="1"/>
  <c r="X10" i="20" a="1"/>
  <c r="I19" i="23" a="1"/>
  <c r="I28" i="23" a="1"/>
  <c r="I36" i="23" a="1"/>
  <c r="H39" i="23" a="1"/>
  <c r="AD39" i="23" s="1"/>
  <c r="AE39" i="23" s="1"/>
  <c r="AG39" i="23" s="1"/>
  <c r="AH39" i="23" s="1"/>
  <c r="X18" i="23" a="1"/>
  <c r="X3" i="20" a="1"/>
  <c r="H30" i="23" a="1"/>
  <c r="AD30" i="23" s="1"/>
  <c r="AE30" i="23" s="1"/>
  <c r="AG30" i="23" s="1"/>
  <c r="AH30" i="23" s="1"/>
  <c r="H36" i="23" a="1"/>
  <c r="AD36" i="23" s="1"/>
  <c r="AE36" i="23" s="1"/>
  <c r="AG36" i="23" s="1"/>
  <c r="AH36" i="23" s="1"/>
  <c r="X19" i="23" a="1"/>
  <c r="X31" i="23" a="1"/>
  <c r="H32" i="23" a="1"/>
  <c r="AD32" i="23" s="1"/>
  <c r="AE32" i="23" s="1"/>
  <c r="AG32" i="23" s="1"/>
  <c r="AH32" i="23" s="1"/>
  <c r="I6" i="23" a="1"/>
  <c r="H9" i="20" a="1"/>
  <c r="AD9" i="20" s="1"/>
  <c r="I16" i="23" a="1"/>
  <c r="X6" i="23" a="1"/>
  <c r="I20" i="23" a="1"/>
  <c r="I15" i="20" a="1"/>
  <c r="X36" i="23" a="1"/>
  <c r="H11" i="20" a="1"/>
  <c r="AD11" i="20" s="1"/>
  <c r="H17" i="23" a="1"/>
  <c r="AD17" i="23" s="1"/>
  <c r="AI39" i="23" l="1"/>
  <c r="AE13" i="20"/>
  <c r="AG13" i="20" s="1"/>
  <c r="AH13" i="20" s="1"/>
  <c r="AE4" i="20"/>
  <c r="AG4" i="20" s="1"/>
  <c r="AH4" i="20" s="1"/>
  <c r="AE15" i="20"/>
  <c r="AG15" i="20" s="1"/>
  <c r="AH15" i="20" s="1"/>
  <c r="AE5" i="20"/>
  <c r="AG5" i="20" s="1"/>
  <c r="AH5" i="20" s="1"/>
  <c r="AE16" i="20"/>
  <c r="AG16" i="20" s="1"/>
  <c r="AH16" i="20" s="1"/>
  <c r="AE10" i="20"/>
  <c r="AG10" i="20" s="1"/>
  <c r="AH10" i="20" s="1"/>
  <c r="AE6" i="20"/>
  <c r="AG6" i="20" s="1"/>
  <c r="AH6" i="20" s="1"/>
  <c r="AE8" i="20"/>
  <c r="AG8" i="20" s="1"/>
  <c r="AH8" i="20" s="1"/>
  <c r="AE7" i="20"/>
  <c r="AG7" i="20" s="1"/>
  <c r="AH7" i="20" s="1"/>
  <c r="AE12" i="20"/>
  <c r="AG12" i="20" s="1"/>
  <c r="AH12" i="20" s="1"/>
  <c r="AE14" i="20"/>
  <c r="AG14" i="20" s="1"/>
  <c r="AH14" i="20" s="1"/>
  <c r="AI13" i="20" s="1"/>
  <c r="AE9" i="20"/>
  <c r="AG9" i="20" s="1"/>
  <c r="AH9" i="20" s="1"/>
  <c r="AE11" i="20"/>
  <c r="AG11" i="20" s="1"/>
  <c r="AH11" i="20" s="1"/>
  <c r="AE3" i="20"/>
  <c r="AG3" i="20" s="1"/>
  <c r="AH3" i="20" s="1"/>
  <c r="AI3" i="20" s="1"/>
  <c r="AE19" i="23"/>
  <c r="AG19" i="23" s="1"/>
  <c r="AH19" i="23" s="1"/>
  <c r="AE17" i="23"/>
  <c r="AG17" i="23" s="1"/>
  <c r="AH17" i="23" s="1"/>
  <c r="AE16" i="23"/>
  <c r="AG16" i="23" s="1"/>
  <c r="AH16" i="23" s="1"/>
  <c r="AE6" i="23"/>
  <c r="AG6" i="23" s="1"/>
  <c r="AH6" i="23" s="1"/>
  <c r="AE18" i="23"/>
  <c r="AG18" i="23" s="1"/>
  <c r="AH18" i="23" s="1"/>
  <c r="AE5" i="23"/>
  <c r="AG5" i="23" s="1"/>
  <c r="AH5" i="23" s="1"/>
  <c r="AE11" i="23"/>
  <c r="AG11" i="23" s="1"/>
  <c r="AH11" i="23" s="1"/>
  <c r="AE14" i="23"/>
  <c r="AG14" i="23" s="1"/>
  <c r="AH14" i="23" s="1"/>
  <c r="AE10" i="23"/>
  <c r="AG10" i="23" s="1"/>
  <c r="AH10" i="23" s="1"/>
  <c r="AE8" i="23"/>
  <c r="AG8" i="23" s="1"/>
  <c r="AH8" i="23" s="1"/>
  <c r="AE12" i="23"/>
  <c r="AG12" i="23" s="1"/>
  <c r="AH12" i="23" s="1"/>
  <c r="AE7" i="23"/>
  <c r="AG7" i="23" s="1"/>
  <c r="AH7" i="23" s="1"/>
  <c r="AE15" i="23"/>
  <c r="AG15" i="23" s="1"/>
  <c r="AH15" i="23" s="1"/>
  <c r="AE13" i="23"/>
  <c r="AG13" i="23" s="1"/>
  <c r="AH13" i="23" s="1"/>
  <c r="AE20" i="23"/>
  <c r="AG20" i="23" s="1"/>
  <c r="AH20" i="23" s="1"/>
  <c r="AE9" i="23"/>
  <c r="AG9" i="23" s="1"/>
  <c r="AH9" i="23" s="1"/>
  <c r="K4" i="23"/>
  <c r="N4" i="23" s="1"/>
  <c r="AD4" i="23"/>
  <c r="AE4" i="23" s="1"/>
  <c r="AG4" i="23" s="1"/>
  <c r="AH4" i="23" s="1"/>
  <c r="K3" i="23"/>
  <c r="N3" i="23" s="1"/>
  <c r="AD3" i="23"/>
  <c r="AE3" i="23" s="1"/>
  <c r="AG3" i="23" s="1"/>
  <c r="AH3" i="23" s="1"/>
  <c r="AI37" i="23"/>
  <c r="AI35" i="23"/>
  <c r="AI33" i="23"/>
  <c r="AI31" i="23"/>
  <c r="AI29" i="23"/>
  <c r="AI27" i="23"/>
  <c r="K26" i="23"/>
  <c r="N26" i="23" s="1"/>
  <c r="AD26" i="23"/>
  <c r="AE26" i="23" s="1"/>
  <c r="AG26" i="23" s="1"/>
  <c r="AH26" i="23" s="1"/>
  <c r="K25" i="23"/>
  <c r="N25" i="23" s="1"/>
  <c r="AD25" i="23"/>
  <c r="AE25" i="23" s="1"/>
  <c r="AG25" i="23" s="1"/>
  <c r="AH25" i="23" s="1"/>
  <c r="F38" i="23" a="1"/>
  <c r="C38" i="23" a="1"/>
  <c r="F37" i="23" a="1"/>
  <c r="C37" i="23" a="1"/>
  <c r="C34" i="23" a="1"/>
  <c r="F34" i="23" a="1"/>
  <c r="C33" i="23" a="1"/>
  <c r="F33" i="23" a="1"/>
  <c r="C12" i="23" a="1"/>
  <c r="F12" i="23" a="1"/>
  <c r="F11" i="23" a="1"/>
  <c r="C11" i="23" a="1"/>
  <c r="C8" i="23" a="1"/>
  <c r="F8" i="23" a="1"/>
  <c r="F7" i="23" a="1"/>
  <c r="C7" i="23" a="1"/>
  <c r="C42" i="23" a="1"/>
  <c r="F42" i="23" a="1"/>
  <c r="F41" i="23" a="1"/>
  <c r="C41" i="23" a="1"/>
  <c r="F40" i="23" a="1"/>
  <c r="C40" i="23" a="1"/>
  <c r="F39" i="23" a="1"/>
  <c r="C39" i="23" a="1"/>
  <c r="F36" i="23" a="1"/>
  <c r="C36" i="23" a="1"/>
  <c r="F35" i="23" a="1"/>
  <c r="C35" i="23" a="1"/>
  <c r="C32" i="23" a="1"/>
  <c r="F32" i="23" a="1"/>
  <c r="F31" i="23" a="1"/>
  <c r="C31" i="23" a="1"/>
  <c r="C30" i="23" a="1"/>
  <c r="F30" i="23" a="1"/>
  <c r="F29" i="23" a="1"/>
  <c r="C29" i="23" a="1"/>
  <c r="F28" i="23" a="1"/>
  <c r="C28" i="23" a="1"/>
  <c r="F27" i="23" a="1"/>
  <c r="C27" i="23" a="1"/>
  <c r="F10" i="23" a="1"/>
  <c r="C10" i="23" a="1"/>
  <c r="C9" i="23" a="1"/>
  <c r="F9" i="23" a="1"/>
  <c r="F6" i="23" a="1"/>
  <c r="C6" i="23" a="1"/>
  <c r="C5" i="23" a="1"/>
  <c r="F5" i="23" a="1"/>
  <c r="F14" i="23" a="1"/>
  <c r="C14" i="23" a="1"/>
  <c r="F13" i="23" a="1"/>
  <c r="C13" i="23" a="1"/>
  <c r="F18" i="23" a="1"/>
  <c r="C18" i="23" a="1"/>
  <c r="F17" i="23" a="1"/>
  <c r="C17" i="23" a="1"/>
  <c r="F20" i="23" a="1"/>
  <c r="C20" i="23" a="1"/>
  <c r="F19" i="23" a="1"/>
  <c r="C19" i="23" a="1"/>
  <c r="F16" i="23" a="1"/>
  <c r="C16" i="23" a="1"/>
  <c r="F15" i="23" a="1"/>
  <c r="C15" i="23" a="1"/>
  <c r="C16" i="20" a="1"/>
  <c r="F16" i="20" a="1"/>
  <c r="C15" i="20" a="1"/>
  <c r="F15" i="20" a="1"/>
  <c r="F14" i="20" a="1"/>
  <c r="C14" i="20" a="1"/>
  <c r="C13" i="20" a="1"/>
  <c r="F13" i="20" a="1"/>
  <c r="C12" i="20" a="1"/>
  <c r="F12" i="20" a="1"/>
  <c r="C11" i="20" a="1"/>
  <c r="F11" i="20" a="1"/>
  <c r="C10" i="20" a="1"/>
  <c r="F10" i="20" a="1"/>
  <c r="C9" i="20" a="1"/>
  <c r="F9" i="20" a="1"/>
  <c r="C8" i="20" a="1"/>
  <c r="F8" i="20" a="1"/>
  <c r="C7" i="20" a="1"/>
  <c r="F7" i="20" a="1"/>
  <c r="C6" i="20" a="1"/>
  <c r="F6" i="20" a="1"/>
  <c r="C5" i="20" a="1"/>
  <c r="F5" i="20" a="1"/>
  <c r="C4" i="20" a="1"/>
  <c r="F4" i="20" a="1"/>
  <c r="C3" i="20" a="1"/>
  <c r="F3" i="20" a="1"/>
  <c r="C22" i="20" a="1"/>
  <c r="F22" i="20" a="1"/>
  <c r="C23" i="20" a="1"/>
  <c r="F23" i="20" a="1"/>
  <c r="F24" i="20" a="1"/>
  <c r="C24" i="20" a="1"/>
  <c r="F25" i="20" a="1"/>
  <c r="C25" i="20" a="1"/>
  <c r="C26" i="20" a="1"/>
  <c r="F26" i="20" a="1"/>
  <c r="C37" i="20" a="1"/>
  <c r="F37" i="20" a="1"/>
  <c r="F38" i="20" a="1"/>
  <c r="C38" i="20" a="1"/>
  <c r="C39" i="20" a="1"/>
  <c r="F39" i="20" a="1"/>
  <c r="C40" i="20" a="1"/>
  <c r="F40" i="20" a="1"/>
  <c r="C41" i="20" a="1"/>
  <c r="F41" i="20" a="1"/>
  <c r="F42" i="20" a="1"/>
  <c r="C42" i="20" a="1"/>
  <c r="F27" i="20" a="1"/>
  <c r="C27" i="20" a="1"/>
  <c r="F28" i="20" a="1"/>
  <c r="C28" i="20" a="1"/>
  <c r="F29" i="20" a="1"/>
  <c r="C29" i="20" a="1"/>
  <c r="C30" i="20" a="1"/>
  <c r="F30" i="20" a="1"/>
  <c r="C43" i="20" a="1"/>
  <c r="F43" i="20" a="1"/>
  <c r="C44" i="20" a="1"/>
  <c r="F44" i="20" a="1"/>
  <c r="C45" i="20" a="1"/>
  <c r="F45" i="20" a="1"/>
  <c r="F46" i="20" a="1"/>
  <c r="C46" i="20" a="1"/>
  <c r="C31" i="20" a="1"/>
  <c r="F31" i="20" a="1"/>
  <c r="C32" i="20" a="1"/>
  <c r="F32" i="20" a="1"/>
  <c r="C33" i="20" a="1"/>
  <c r="F33" i="20" a="1"/>
  <c r="C34" i="20" a="1"/>
  <c r="F34" i="20" a="1"/>
  <c r="C35" i="20" a="1"/>
  <c r="F35" i="20" a="1"/>
  <c r="F36" i="20" a="1"/>
  <c r="C36" i="20" a="1"/>
  <c r="F21" i="20" a="1"/>
  <c r="C21" i="20" a="1"/>
  <c r="K50" i="20"/>
  <c r="K49" i="20"/>
  <c r="O3" i="23"/>
  <c r="O26" i="23"/>
  <c r="O4" i="23"/>
  <c r="Z26" i="23"/>
  <c r="Y26" i="23"/>
  <c r="Z25" i="23"/>
  <c r="Y25" i="23"/>
  <c r="O25" i="23"/>
  <c r="Y4" i="23"/>
  <c r="Z4" i="23"/>
  <c r="Y3" i="23"/>
  <c r="Z3" i="23"/>
  <c r="S8" i="25"/>
  <c r="S11" i="25"/>
  <c r="S7" i="25"/>
  <c r="S12" i="25"/>
  <c r="S4" i="25"/>
  <c r="S6" i="25"/>
  <c r="S9" i="25"/>
  <c r="S5" i="25"/>
  <c r="S10" i="25"/>
  <c r="I12" i="25"/>
  <c r="J12" i="25"/>
  <c r="J11" i="25"/>
  <c r="I11" i="25"/>
  <c r="I10" i="25"/>
  <c r="J10" i="25"/>
  <c r="J9" i="25"/>
  <c r="I9" i="25"/>
  <c r="J8" i="25"/>
  <c r="I8" i="25"/>
  <c r="I7" i="25"/>
  <c r="J7" i="25"/>
  <c r="I6" i="25"/>
  <c r="J6" i="25"/>
  <c r="J5" i="25"/>
  <c r="I5" i="25"/>
  <c r="I4" i="25"/>
  <c r="J4" i="25"/>
  <c r="J3" i="25"/>
  <c r="I3" i="25"/>
  <c r="S3" i="25"/>
  <c r="J16" i="20" a="1"/>
  <c r="D16" i="20" a="1"/>
  <c r="J15" i="20" a="1"/>
  <c r="D15" i="20" a="1"/>
  <c r="D14" i="20" a="1"/>
  <c r="J14" i="20" a="1"/>
  <c r="J13" i="20" a="1"/>
  <c r="D13" i="20" a="1"/>
  <c r="D12" i="20" a="1"/>
  <c r="J12" i="20" a="1"/>
  <c r="D11" i="20" a="1"/>
  <c r="J11" i="20" a="1"/>
  <c r="J10" i="20" a="1"/>
  <c r="D10" i="20" a="1"/>
  <c r="D9" i="20" a="1"/>
  <c r="J9" i="20" a="1"/>
  <c r="J8" i="20" a="1"/>
  <c r="D8" i="20" a="1"/>
  <c r="J7" i="20" a="1"/>
  <c r="D7" i="20" a="1"/>
  <c r="J6" i="20" a="1"/>
  <c r="D6" i="20" a="1"/>
  <c r="J5" i="20" a="1"/>
  <c r="D5" i="20" a="1"/>
  <c r="J4" i="20" a="1"/>
  <c r="D4" i="20" a="1"/>
  <c r="J3" i="20" a="1"/>
  <c r="D3" i="20" a="1"/>
  <c r="J22" i="20" a="1"/>
  <c r="D22" i="20" a="1"/>
  <c r="J23" i="20" a="1"/>
  <c r="D23" i="20" a="1"/>
  <c r="D24" i="20" a="1"/>
  <c r="J24" i="20" a="1"/>
  <c r="D25" i="20" a="1"/>
  <c r="J25" i="20" a="1"/>
  <c r="D26" i="20" a="1"/>
  <c r="J26" i="20" a="1"/>
  <c r="D37" i="20" a="1"/>
  <c r="J37" i="20" a="1"/>
  <c r="J38" i="20" a="1"/>
  <c r="D38" i="20" a="1"/>
  <c r="D39" i="20" a="1"/>
  <c r="J39" i="20" a="1"/>
  <c r="J40" i="20" a="1"/>
  <c r="D40" i="20" a="1"/>
  <c r="J41" i="20" a="1"/>
  <c r="D41" i="20" a="1"/>
  <c r="J42" i="20" a="1"/>
  <c r="D42" i="20" a="1"/>
  <c r="D27" i="20" a="1"/>
  <c r="J27" i="20" a="1"/>
  <c r="D28" i="20" a="1"/>
  <c r="J28" i="20" a="1"/>
  <c r="D29" i="20" a="1"/>
  <c r="J29" i="20" a="1"/>
  <c r="D30" i="20" a="1"/>
  <c r="J30" i="20" a="1"/>
  <c r="J43" i="20" a="1"/>
  <c r="D43" i="20" a="1"/>
  <c r="J44" i="20" a="1"/>
  <c r="D44" i="20" a="1"/>
  <c r="J45" i="20" a="1"/>
  <c r="D45" i="20" a="1"/>
  <c r="J46" i="20" a="1"/>
  <c r="L46" i="20" s="1"/>
  <c r="D46" i="20" a="1"/>
  <c r="J31" i="20" a="1"/>
  <c r="D31" i="20" a="1"/>
  <c r="D32" i="20" a="1"/>
  <c r="J32" i="20" a="1"/>
  <c r="D33" i="20" a="1"/>
  <c r="J33" i="20" a="1"/>
  <c r="D34" i="20" a="1"/>
  <c r="J34" i="20" a="1"/>
  <c r="J35" i="20" a="1"/>
  <c r="D35" i="20" a="1"/>
  <c r="J36" i="20" a="1"/>
  <c r="D36" i="20" a="1"/>
  <c r="J21" i="20" a="1"/>
  <c r="D21" i="20" a="1"/>
  <c r="J38" i="23" a="1"/>
  <c r="D38" i="23" a="1"/>
  <c r="J37" i="23" a="1"/>
  <c r="D37" i="23" a="1"/>
  <c r="J34" i="23" a="1"/>
  <c r="D34" i="23" a="1"/>
  <c r="D33" i="23" a="1"/>
  <c r="J33" i="23" a="1"/>
  <c r="J12" i="23" a="1"/>
  <c r="D12" i="23" a="1"/>
  <c r="D11" i="23" a="1"/>
  <c r="J11" i="23" a="1"/>
  <c r="J8" i="23" a="1"/>
  <c r="D8" i="23" a="1"/>
  <c r="J7" i="23" a="1"/>
  <c r="D7" i="23" a="1"/>
  <c r="J42" i="23" a="1"/>
  <c r="D42" i="23" a="1"/>
  <c r="J41" i="23" a="1"/>
  <c r="D41" i="23" a="1"/>
  <c r="J40" i="23" a="1"/>
  <c r="D40" i="23" a="1"/>
  <c r="J39" i="23" a="1"/>
  <c r="D39" i="23" a="1"/>
  <c r="J36" i="23" a="1"/>
  <c r="D36" i="23" a="1"/>
  <c r="J35" i="23" a="1"/>
  <c r="D35" i="23" a="1"/>
  <c r="J32" i="23" a="1"/>
  <c r="D32" i="23" a="1"/>
  <c r="J31" i="23" a="1"/>
  <c r="D31" i="23" a="1"/>
  <c r="J30" i="23" a="1"/>
  <c r="D30" i="23" a="1"/>
  <c r="J29" i="23" a="1"/>
  <c r="D29" i="23" a="1"/>
  <c r="J28" i="23" a="1"/>
  <c r="D28" i="23" a="1"/>
  <c r="J27" i="23" a="1"/>
  <c r="D27" i="23" a="1"/>
  <c r="D10" i="23" a="1"/>
  <c r="J10" i="23" a="1"/>
  <c r="J9" i="23" a="1"/>
  <c r="D9" i="23" a="1"/>
  <c r="J6" i="23" a="1"/>
  <c r="D6" i="23" a="1"/>
  <c r="J5" i="23" a="1"/>
  <c r="D5" i="23" a="1"/>
  <c r="D14" i="23" a="1"/>
  <c r="J14" i="23" a="1"/>
  <c r="J13" i="23" a="1"/>
  <c r="D13" i="23" a="1"/>
  <c r="J18" i="23" a="1"/>
  <c r="D18" i="23" a="1"/>
  <c r="J17" i="23" a="1"/>
  <c r="D17" i="23" a="1"/>
  <c r="D20" i="23" a="1"/>
  <c r="J20" i="23" a="1"/>
  <c r="J19" i="23" a="1"/>
  <c r="D19" i="23" a="1"/>
  <c r="D16" i="23" a="1"/>
  <c r="J16" i="23" a="1"/>
  <c r="J15" i="23" a="1"/>
  <c r="D15" i="23" a="1"/>
  <c r="Z7" i="20"/>
  <c r="Z30" i="20"/>
  <c r="Y30" i="20"/>
  <c r="Z41" i="20"/>
  <c r="Y41" i="20"/>
  <c r="Y35" i="20"/>
  <c r="Z35" i="20"/>
  <c r="Z38" i="23"/>
  <c r="Y38" i="23"/>
  <c r="Z8" i="23"/>
  <c r="Y8" i="23"/>
  <c r="Z44" i="20"/>
  <c r="Y44" i="20"/>
  <c r="Y28" i="20"/>
  <c r="Z28" i="20"/>
  <c r="Z36" i="20"/>
  <c r="Y36" i="20"/>
  <c r="Z11" i="20"/>
  <c r="Y39" i="20"/>
  <c r="Z39" i="20"/>
  <c r="Z23" i="20"/>
  <c r="Y23" i="20"/>
  <c r="Z31" i="20"/>
  <c r="Y31" i="20"/>
  <c r="Y42" i="20"/>
  <c r="Z42" i="20"/>
  <c r="Y34" i="20"/>
  <c r="Z34" i="20"/>
  <c r="Y45" i="20"/>
  <c r="Z45" i="20"/>
  <c r="Y27" i="20"/>
  <c r="Z27" i="20"/>
  <c r="Y38" i="20"/>
  <c r="Z38" i="20"/>
  <c r="Y25" i="20"/>
  <c r="Z25" i="20"/>
  <c r="Z12" i="20"/>
  <c r="Y26" i="20"/>
  <c r="Z26" i="20"/>
  <c r="Z7" i="23"/>
  <c r="Y7" i="23"/>
  <c r="Z11" i="23"/>
  <c r="Y11" i="23"/>
  <c r="Y33" i="23"/>
  <c r="Z33" i="23"/>
  <c r="Z37" i="23"/>
  <c r="Y37" i="23"/>
  <c r="Y21" i="20"/>
  <c r="Z21" i="20"/>
  <c r="Z29" i="20"/>
  <c r="Y29" i="20"/>
  <c r="Y37" i="20"/>
  <c r="Z37" i="20"/>
  <c r="Z12" i="23"/>
  <c r="Y12" i="23"/>
  <c r="Z34" i="23"/>
  <c r="Y34" i="23"/>
  <c r="Z40" i="20"/>
  <c r="Y40" i="20"/>
  <c r="Z22" i="20"/>
  <c r="Y22" i="20"/>
  <c r="Z33" i="20"/>
  <c r="Y33" i="20"/>
  <c r="Z24" i="20"/>
  <c r="Y24" i="20"/>
  <c r="Y32" i="20"/>
  <c r="Z32" i="20"/>
  <c r="Z43" i="20"/>
  <c r="Y43" i="20"/>
  <c r="Y46" i="20"/>
  <c r="Z46" i="20"/>
  <c r="AI15" i="23" l="1"/>
  <c r="AI5" i="20"/>
  <c r="AI15" i="20"/>
  <c r="AI11" i="23"/>
  <c r="AI13" i="23"/>
  <c r="AI9" i="23"/>
  <c r="AI11" i="20"/>
  <c r="AI7" i="23"/>
  <c r="AI5" i="23"/>
  <c r="AI7" i="20"/>
  <c r="AH21" i="23"/>
  <c r="AI9" i="20"/>
  <c r="AH17" i="20"/>
  <c r="AI19" i="23"/>
  <c r="AI17" i="23"/>
  <c r="AI3" i="23"/>
  <c r="Q3" i="23"/>
  <c r="S3" i="23"/>
  <c r="AI25" i="23"/>
  <c r="AI43" i="23" s="1"/>
  <c r="AH43" i="23"/>
  <c r="S25" i="23"/>
  <c r="L50" i="20"/>
  <c r="V7" i="25"/>
  <c r="W7" i="25"/>
  <c r="V11" i="25"/>
  <c r="W11" i="25"/>
  <c r="V5" i="25"/>
  <c r="W5" i="25"/>
  <c r="V9" i="25"/>
  <c r="W9" i="25"/>
  <c r="T11" i="25"/>
  <c r="U11" i="25"/>
  <c r="T7" i="25"/>
  <c r="U7" i="25"/>
  <c r="T9" i="25"/>
  <c r="U9" i="25"/>
  <c r="T5" i="25"/>
  <c r="U5" i="25"/>
  <c r="V3" i="25"/>
  <c r="W3" i="25"/>
  <c r="T3" i="25"/>
  <c r="U3" i="25"/>
  <c r="R25" i="23"/>
  <c r="P25" i="23"/>
  <c r="Q25" i="23"/>
  <c r="R3" i="23"/>
  <c r="P3" i="23"/>
  <c r="AA25" i="23"/>
  <c r="K5" i="25"/>
  <c r="K7" i="25"/>
  <c r="K3" i="25"/>
  <c r="AA3" i="23"/>
  <c r="K11" i="25"/>
  <c r="K9" i="25"/>
  <c r="K46" i="20"/>
  <c r="N46" i="20" s="1"/>
  <c r="O46" i="20"/>
  <c r="L45" i="20"/>
  <c r="L44" i="20"/>
  <c r="L43" i="20"/>
  <c r="L38" i="20"/>
  <c r="L24" i="20"/>
  <c r="L35" i="23"/>
  <c r="L5" i="23"/>
  <c r="O5" i="23" s="1"/>
  <c r="K5" i="23"/>
  <c r="N5" i="23" s="1"/>
  <c r="AA27" i="20"/>
  <c r="AA24" i="20"/>
  <c r="AA7" i="23"/>
  <c r="AA33" i="23"/>
  <c r="Y15" i="20"/>
  <c r="AA37" i="20"/>
  <c r="Y12" i="20"/>
  <c r="AA31" i="20"/>
  <c r="AA40" i="20"/>
  <c r="Y11" i="20"/>
  <c r="Y9" i="23"/>
  <c r="Z9" i="23"/>
  <c r="Z18" i="23"/>
  <c r="Y18" i="23"/>
  <c r="Z14" i="23"/>
  <c r="Y14" i="23"/>
  <c r="Y10" i="23"/>
  <c r="Z10" i="23"/>
  <c r="Z29" i="23"/>
  <c r="Y29" i="23"/>
  <c r="Y16" i="23"/>
  <c r="Z16" i="23"/>
  <c r="Y9" i="20"/>
  <c r="Y15" i="23"/>
  <c r="Z15" i="23"/>
  <c r="Y19" i="23"/>
  <c r="Z19" i="23"/>
  <c r="Y6" i="23"/>
  <c r="Z6" i="23"/>
  <c r="AA11" i="23"/>
  <c r="Y6" i="20"/>
  <c r="Y5" i="20"/>
  <c r="Z5" i="20"/>
  <c r="Y10" i="20"/>
  <c r="Y35" i="23"/>
  <c r="Z35" i="23"/>
  <c r="Y14" i="20"/>
  <c r="Y4" i="20"/>
  <c r="Y8" i="20"/>
  <c r="Y7" i="20"/>
  <c r="Y42" i="23"/>
  <c r="Z42" i="23"/>
  <c r="AA21" i="20"/>
  <c r="Y17" i="23"/>
  <c r="Z17" i="23"/>
  <c r="Y3" i="20"/>
  <c r="Y13" i="20"/>
  <c r="Y32" i="23"/>
  <c r="Z32" i="23"/>
  <c r="AA43" i="20"/>
  <c r="Z39" i="23"/>
  <c r="Y39" i="23"/>
  <c r="Z20" i="23"/>
  <c r="Y20" i="23"/>
  <c r="Z28" i="23"/>
  <c r="Y28" i="23"/>
  <c r="Z31" i="23"/>
  <c r="Y31" i="23"/>
  <c r="Y16" i="20"/>
  <c r="Y5" i="23"/>
  <c r="Z5" i="23"/>
  <c r="Z13" i="23"/>
  <c r="Y13" i="23"/>
  <c r="AA37" i="23"/>
  <c r="AA11" i="20"/>
  <c r="Z40" i="23"/>
  <c r="Y40" i="23"/>
  <c r="Y30" i="23"/>
  <c r="Z30" i="23"/>
  <c r="Z36" i="23"/>
  <c r="Y36" i="23"/>
  <c r="Z27" i="23"/>
  <c r="Y27" i="23"/>
  <c r="Y41" i="23"/>
  <c r="Z41" i="23"/>
  <c r="AI17" i="20" l="1"/>
  <c r="AI45" i="23" s="1"/>
  <c r="AI21" i="23"/>
  <c r="K45" i="20"/>
  <c r="N45" i="20" s="1"/>
  <c r="O45" i="20"/>
  <c r="K44" i="20"/>
  <c r="N44" i="20" s="1"/>
  <c r="O44" i="20"/>
  <c r="K43" i="20"/>
  <c r="O43" i="20"/>
  <c r="K38" i="20"/>
  <c r="O38" i="20"/>
  <c r="L29" i="20"/>
  <c r="K24" i="20"/>
  <c r="O24" i="20"/>
  <c r="L37" i="23"/>
  <c r="L34" i="23"/>
  <c r="O35" i="23"/>
  <c r="L33" i="23"/>
  <c r="AA13" i="23"/>
  <c r="AA19" i="23"/>
  <c r="AA29" i="23"/>
  <c r="AA15" i="23"/>
  <c r="AA17" i="23"/>
  <c r="AA41" i="23"/>
  <c r="AA5" i="23"/>
  <c r="AA39" i="23"/>
  <c r="AA35" i="23"/>
  <c r="AA27" i="23"/>
  <c r="AA9" i="23"/>
  <c r="AA31" i="23"/>
  <c r="Q43" i="20" l="1"/>
  <c r="N43" i="20"/>
  <c r="P43" i="20" s="1"/>
  <c r="L42" i="20"/>
  <c r="N38" i="20"/>
  <c r="L37" i="20"/>
  <c r="K29" i="20"/>
  <c r="O29" i="20"/>
  <c r="N24" i="20"/>
  <c r="L23" i="20"/>
  <c r="K37" i="23"/>
  <c r="N37" i="23" s="1"/>
  <c r="O37" i="23"/>
  <c r="O34" i="23"/>
  <c r="K34" i="23"/>
  <c r="N34" i="23" s="1"/>
  <c r="K33" i="23"/>
  <c r="O33" i="23"/>
  <c r="L11" i="23"/>
  <c r="Q33" i="23" l="1"/>
  <c r="R43" i="20"/>
  <c r="S43" i="20" s="1"/>
  <c r="O42" i="20"/>
  <c r="K42" i="20"/>
  <c r="O37" i="20"/>
  <c r="K37" i="20"/>
  <c r="N29" i="20"/>
  <c r="L28" i="20"/>
  <c r="P33" i="23"/>
  <c r="O23" i="20"/>
  <c r="K23" i="20"/>
  <c r="N33" i="23"/>
  <c r="L12" i="23"/>
  <c r="K11" i="23"/>
  <c r="N11" i="23" s="1"/>
  <c r="O11" i="23"/>
  <c r="L8" i="23"/>
  <c r="R33" i="23" l="1"/>
  <c r="S33" i="23"/>
  <c r="N42" i="20"/>
  <c r="L41" i="20"/>
  <c r="T34" i="23"/>
  <c r="V34" i="23"/>
  <c r="N37" i="20"/>
  <c r="L36" i="20"/>
  <c r="O28" i="20"/>
  <c r="K28" i="20"/>
  <c r="N23" i="20"/>
  <c r="L22" i="20"/>
  <c r="O12" i="23"/>
  <c r="S11" i="23" s="1"/>
  <c r="K12" i="23"/>
  <c r="N12" i="23" s="1"/>
  <c r="K8" i="23"/>
  <c r="N8" i="23" s="1"/>
  <c r="O8" i="23"/>
  <c r="L7" i="23"/>
  <c r="P11" i="23" l="1"/>
  <c r="Q11" i="23"/>
  <c r="O41" i="20"/>
  <c r="K41" i="20"/>
  <c r="O36" i="20"/>
  <c r="K36" i="20"/>
  <c r="N28" i="20"/>
  <c r="L27" i="20"/>
  <c r="O22" i="20"/>
  <c r="K22" i="20"/>
  <c r="U34" i="23"/>
  <c r="W34" i="23"/>
  <c r="R11" i="23"/>
  <c r="K7" i="23"/>
  <c r="N7" i="23" s="1"/>
  <c r="O7" i="23"/>
  <c r="R7" i="23" l="1"/>
  <c r="S7" i="23"/>
  <c r="P7" i="23"/>
  <c r="Q7" i="23"/>
  <c r="N41" i="20"/>
  <c r="L6" i="20" s="1"/>
  <c r="L40" i="20"/>
  <c r="N36" i="20"/>
  <c r="L35" i="20"/>
  <c r="O27" i="20"/>
  <c r="K27" i="20"/>
  <c r="N22" i="20"/>
  <c r="L21" i="20"/>
  <c r="O6" i="20" l="1"/>
  <c r="L41" i="23"/>
  <c r="O40" i="20"/>
  <c r="Q40" i="20" s="1"/>
  <c r="K40" i="20"/>
  <c r="O35" i="20"/>
  <c r="K35" i="20"/>
  <c r="N27" i="20"/>
  <c r="L26" i="20"/>
  <c r="O21" i="20"/>
  <c r="Q21" i="20" s="1"/>
  <c r="K21" i="20"/>
  <c r="O41" i="23" l="1"/>
  <c r="K27" i="23"/>
  <c r="N40" i="20"/>
  <c r="P40" i="20" s="1"/>
  <c r="R40" i="20" s="1"/>
  <c r="S40" i="20" s="1"/>
  <c r="L39" i="20"/>
  <c r="N35" i="20"/>
  <c r="L34" i="20"/>
  <c r="O26" i="20"/>
  <c r="K26" i="20"/>
  <c r="N21" i="20"/>
  <c r="P21" i="20" s="1"/>
  <c r="R21" i="20" s="1"/>
  <c r="S21" i="20" s="1"/>
  <c r="K3" i="20"/>
  <c r="N27" i="23" l="1"/>
  <c r="Z8" i="20"/>
  <c r="O39" i="20"/>
  <c r="Q37" i="20" s="1"/>
  <c r="K39" i="20"/>
  <c r="N39" i="20" s="1"/>
  <c r="P37" i="20" s="1"/>
  <c r="O34" i="20"/>
  <c r="K34" i="20"/>
  <c r="N26" i="20"/>
  <c r="L25" i="20"/>
  <c r="T22" i="20"/>
  <c r="U22" i="20" a="1"/>
  <c r="N3" i="20"/>
  <c r="L38" i="23"/>
  <c r="R37" i="20" l="1"/>
  <c r="S37" i="20" s="1"/>
  <c r="AA7" i="20"/>
  <c r="K13" i="20"/>
  <c r="N34" i="20"/>
  <c r="L33" i="20"/>
  <c r="O25" i="20"/>
  <c r="Q24" i="20" s="1"/>
  <c r="K25" i="20"/>
  <c r="N25" i="20" s="1"/>
  <c r="P24" i="20" s="1"/>
  <c r="O38" i="23"/>
  <c r="S37" i="23" s="1"/>
  <c r="K38" i="23"/>
  <c r="N38" i="23" s="1"/>
  <c r="P37" i="23" l="1"/>
  <c r="Q37" i="23"/>
  <c r="R24" i="20"/>
  <c r="S24" i="20" s="1"/>
  <c r="N13" i="20"/>
  <c r="K17" i="23"/>
  <c r="O33" i="20"/>
  <c r="K33" i="20"/>
  <c r="R37" i="23"/>
  <c r="T25" i="20" l="1"/>
  <c r="U25" i="20" a="1"/>
  <c r="N17" i="23"/>
  <c r="K28" i="23"/>
  <c r="N33" i="20"/>
  <c r="L32" i="20"/>
  <c r="T38" i="23"/>
  <c r="V38" i="23"/>
  <c r="N28" i="23" l="1"/>
  <c r="K35" i="23"/>
  <c r="O32" i="20"/>
  <c r="K32" i="20"/>
  <c r="W38" i="23"/>
  <c r="U38" i="23"/>
  <c r="N35" i="23" l="1"/>
  <c r="K42" i="23"/>
  <c r="N32" i="20"/>
  <c r="L31" i="20"/>
  <c r="N42" i="23" l="1"/>
  <c r="K8" i="20"/>
  <c r="O31" i="20"/>
  <c r="Q31" i="20" s="1"/>
  <c r="K31" i="20"/>
  <c r="P41" i="23" l="1"/>
  <c r="Q41" i="23"/>
  <c r="N8" i="20"/>
  <c r="Z13" i="20"/>
  <c r="N31" i="20"/>
  <c r="P31" i="20" s="1"/>
  <c r="R31" i="20" s="1"/>
  <c r="S31" i="20" s="1"/>
  <c r="L30" i="20"/>
  <c r="L15" i="23" l="1"/>
  <c r="T34" i="20"/>
  <c r="U34" i="20" a="1"/>
  <c r="O30" i="20"/>
  <c r="Q27" i="20" s="1"/>
  <c r="K30" i="20"/>
  <c r="N30" i="20" s="1"/>
  <c r="P27" i="20" s="1"/>
  <c r="R27" i="20" l="1"/>
  <c r="S27" i="20" s="1"/>
  <c r="O15" i="23"/>
  <c r="L17" i="23"/>
  <c r="T29" i="20" l="1"/>
  <c r="U29" i="20" a="1"/>
  <c r="O17" i="23"/>
  <c r="K6" i="23"/>
  <c r="N6" i="23" l="1"/>
  <c r="L36" i="23"/>
  <c r="P5" i="23" l="1"/>
  <c r="Q5" i="23"/>
  <c r="O36" i="23"/>
  <c r="L42" i="23"/>
  <c r="R35" i="23" l="1"/>
  <c r="S35" i="23"/>
  <c r="O42" i="23"/>
  <c r="L28" i="23"/>
  <c r="T42" i="23" l="1"/>
  <c r="V42" i="23"/>
  <c r="O28" i="23"/>
  <c r="S27" i="23" s="1"/>
  <c r="Z3" i="20"/>
  <c r="R27" i="23" l="1"/>
  <c r="L8" i="20"/>
  <c r="W28" i="23" l="1"/>
  <c r="U28" i="23"/>
  <c r="O8" i="20"/>
  <c r="Z14" i="20"/>
  <c r="AA13" i="20" l="1"/>
  <c r="L18" i="23"/>
  <c r="O18" i="23" l="1"/>
  <c r="L6" i="23"/>
  <c r="R17" i="23" l="1"/>
  <c r="S17" i="23"/>
  <c r="O6" i="23"/>
  <c r="S5" i="23" s="1"/>
  <c r="L29" i="23"/>
  <c r="R5" i="23" l="1"/>
  <c r="O29" i="23"/>
  <c r="K32" i="23"/>
  <c r="V6" i="23" l="1"/>
  <c r="T6" i="23"/>
  <c r="U6" i="23"/>
  <c r="W6" i="23"/>
  <c r="N32" i="23"/>
  <c r="L4" i="20"/>
  <c r="O4" i="20" l="1"/>
  <c r="Z4" i="20"/>
  <c r="R3" i="20" l="1"/>
  <c r="S3" i="20"/>
  <c r="AA3" i="20"/>
  <c r="K9" i="20"/>
  <c r="N9" i="20" l="1"/>
  <c r="L14" i="20"/>
  <c r="O14" i="20" l="1"/>
  <c r="K15" i="23"/>
  <c r="R13" i="20" l="1"/>
  <c r="S13" i="20"/>
  <c r="N15" i="23"/>
  <c r="K18" i="23"/>
  <c r="N18" i="23" l="1"/>
  <c r="L9" i="23"/>
  <c r="Q17" i="23" l="1"/>
  <c r="P17" i="23"/>
  <c r="O9" i="23"/>
  <c r="K29" i="23"/>
  <c r="U18" i="23" l="1"/>
  <c r="W18" i="23"/>
  <c r="T18" i="23"/>
  <c r="V18" i="23"/>
  <c r="N29" i="23"/>
  <c r="K36" i="23"/>
  <c r="N36" i="23" l="1"/>
  <c r="Q35" i="23" s="1"/>
  <c r="K14" i="23"/>
  <c r="P35" i="23" l="1"/>
  <c r="N14" i="23"/>
  <c r="L7" i="20"/>
  <c r="O7" i="20" l="1"/>
  <c r="K7" i="20"/>
  <c r="P7" i="20" l="1"/>
  <c r="Q7" i="20"/>
  <c r="N7" i="20"/>
  <c r="K4" i="20"/>
  <c r="R7" i="20" l="1"/>
  <c r="S7" i="20"/>
  <c r="T8" i="20"/>
  <c r="V8" i="20"/>
  <c r="N4" i="20"/>
  <c r="L9" i="20"/>
  <c r="W8" i="20" l="1"/>
  <c r="U8" i="20"/>
  <c r="O9" i="20"/>
  <c r="K14" i="20"/>
  <c r="W4" i="20" l="1"/>
  <c r="U4" i="20"/>
  <c r="N14" i="20"/>
  <c r="L16" i="23"/>
  <c r="O16" i="23" l="1"/>
  <c r="K39" i="23"/>
  <c r="R15" i="23" l="1"/>
  <c r="S15" i="23"/>
  <c r="U14" i="20"/>
  <c r="W14" i="20"/>
  <c r="N39" i="23"/>
  <c r="K11" i="20"/>
  <c r="N11" i="20" l="1"/>
  <c r="K41" i="23"/>
  <c r="N41" i="23" l="1"/>
  <c r="L5" i="20"/>
  <c r="R41" i="23" l="1"/>
  <c r="S41" i="23"/>
  <c r="O5" i="20"/>
  <c r="Z9" i="20"/>
  <c r="W42" i="23" l="1"/>
  <c r="U42" i="23"/>
  <c r="Z15" i="20"/>
  <c r="K9" i="23" l="1"/>
  <c r="N9" i="23" l="1"/>
  <c r="L30" i="23"/>
  <c r="O30" i="23" l="1"/>
  <c r="L20" i="23"/>
  <c r="R29" i="23" l="1"/>
  <c r="S29" i="23"/>
  <c r="O20" i="23"/>
  <c r="K5" i="20"/>
  <c r="N5" i="20" l="1"/>
  <c r="Z10" i="20"/>
  <c r="R5" i="20" l="1"/>
  <c r="S5" i="20"/>
  <c r="AA9" i="20"/>
  <c r="K15" i="20"/>
  <c r="N15" i="20" l="1"/>
  <c r="K16" i="23"/>
  <c r="N16" i="23" l="1"/>
  <c r="K13" i="23"/>
  <c r="Q15" i="23" l="1"/>
  <c r="P15" i="23"/>
  <c r="N13" i="23"/>
  <c r="K10" i="23"/>
  <c r="W16" i="23" l="1"/>
  <c r="U16" i="23"/>
  <c r="V16" i="23"/>
  <c r="T16" i="23"/>
  <c r="N10" i="23"/>
  <c r="K30" i="23"/>
  <c r="P9" i="23" l="1"/>
  <c r="Q9" i="23"/>
  <c r="N30" i="23"/>
  <c r="Q29" i="23" s="1"/>
  <c r="L39" i="23"/>
  <c r="P29" i="23" l="1"/>
  <c r="O39" i="23"/>
  <c r="L12" i="20"/>
  <c r="U30" i="23" l="1"/>
  <c r="W30" i="23"/>
  <c r="T30" i="23"/>
  <c r="V30" i="23"/>
  <c r="O12" i="20"/>
  <c r="L32" i="23"/>
  <c r="R11" i="20" l="1"/>
  <c r="S11" i="20"/>
  <c r="O32" i="23"/>
  <c r="L13" i="20"/>
  <c r="O13" i="20" l="1"/>
  <c r="L10" i="20"/>
  <c r="P13" i="20" l="1"/>
  <c r="Q13" i="20"/>
  <c r="O10" i="20"/>
  <c r="L15" i="20"/>
  <c r="R9" i="20" l="1"/>
  <c r="S9" i="20"/>
  <c r="V14" i="20"/>
  <c r="T14" i="20"/>
  <c r="O15" i="20"/>
  <c r="L19" i="23"/>
  <c r="O19" i="23" l="1"/>
  <c r="L13" i="23"/>
  <c r="O13" i="23" l="1"/>
  <c r="L31" i="23"/>
  <c r="P13" i="23" l="1"/>
  <c r="Q13" i="23"/>
  <c r="O31" i="23"/>
  <c r="K40" i="23"/>
  <c r="P31" i="23" l="1"/>
  <c r="Q31" i="23"/>
  <c r="N40" i="23"/>
  <c r="K20" i="23"/>
  <c r="P39" i="23" l="1"/>
  <c r="Q39" i="23"/>
  <c r="N20" i="23"/>
  <c r="K6" i="20"/>
  <c r="P19" i="23" l="1"/>
  <c r="Q19" i="23"/>
  <c r="N6" i="20"/>
  <c r="K10" i="20"/>
  <c r="T20" i="23" l="1"/>
  <c r="V20" i="23"/>
  <c r="Q5" i="20"/>
  <c r="P5" i="20"/>
  <c r="N10" i="20"/>
  <c r="K16" i="20"/>
  <c r="Q9" i="20" l="1"/>
  <c r="W6" i="20"/>
  <c r="U6" i="20"/>
  <c r="T6" i="20"/>
  <c r="V6" i="20"/>
  <c r="P9" i="20"/>
  <c r="N16" i="20"/>
  <c r="L10" i="23"/>
  <c r="P15" i="20" l="1"/>
  <c r="Q15" i="20"/>
  <c r="W10" i="20"/>
  <c r="U10" i="20"/>
  <c r="V10" i="20"/>
  <c r="T10" i="20"/>
  <c r="O10" i="23"/>
  <c r="S9" i="23" s="1"/>
  <c r="K31" i="23"/>
  <c r="R9" i="23" l="1"/>
  <c r="N31" i="23"/>
  <c r="Z16" i="20"/>
  <c r="R31" i="23" l="1"/>
  <c r="S31" i="23"/>
  <c r="T10" i="23"/>
  <c r="V10" i="23"/>
  <c r="W10" i="23"/>
  <c r="U10" i="23"/>
  <c r="AA15" i="20"/>
  <c r="K12" i="20"/>
  <c r="N12" i="20" l="1"/>
  <c r="L3" i="20"/>
  <c r="O3" i="20" l="1"/>
  <c r="Z6" i="20"/>
  <c r="P3" i="20" l="1"/>
  <c r="Q3" i="20"/>
  <c r="W12" i="20"/>
  <c r="U12" i="20"/>
  <c r="AA5" i="20"/>
  <c r="L11" i="20"/>
  <c r="V4" i="20" l="1"/>
  <c r="T4" i="20"/>
  <c r="O11" i="20"/>
  <c r="L16" i="20"/>
  <c r="P11" i="20" l="1"/>
  <c r="Q11" i="20"/>
  <c r="O16" i="20"/>
  <c r="S15" i="20" s="1"/>
  <c r="K19" i="23"/>
  <c r="V12" i="20" l="1"/>
  <c r="T12" i="20"/>
  <c r="R15" i="20"/>
  <c r="N19" i="23"/>
  <c r="L14" i="23"/>
  <c r="R19" i="23" l="1"/>
  <c r="S19" i="23"/>
  <c r="V16" i="20"/>
  <c r="T16" i="20"/>
  <c r="U16" i="20"/>
  <c r="W16" i="20"/>
  <c r="O14" i="23"/>
  <c r="S13" i="23" s="1"/>
  <c r="L27" i="23"/>
  <c r="U20" i="23" l="1"/>
  <c r="W20" i="23"/>
  <c r="R13" i="23"/>
  <c r="O27" i="23"/>
  <c r="Q27" i="23" s="1"/>
  <c r="L40" i="23"/>
  <c r="O40" i="23" s="1"/>
  <c r="S39" i="23" s="1"/>
  <c r="P27" i="23" l="1"/>
  <c r="V14" i="23"/>
  <c r="T14" i="23"/>
  <c r="W14" i="23"/>
  <c r="U14" i="23"/>
  <c r="R39" i="23"/>
  <c r="V28" i="23" l="1"/>
  <c r="T28" i="23"/>
  <c r="V40" i="23"/>
  <c r="T40" i="23"/>
  <c r="U40" i="23"/>
  <c r="W40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<sst xmlns="http://schemas.openxmlformats.org/spreadsheetml/2006/main" count="1575" uniqueCount="240">
  <si>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</si>
  <si>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</si>
  <si>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</si>
  <si>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</si>
  <si>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</si>
  <si>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</si>
  <si>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</si>
  <si>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</si>
  <si>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</si>
  <si>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</si>
  <si>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</si>
  <si>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</si>
  <si>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</si>
  <si>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</si>
  <si>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</si>
  <si>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</si>
  <si>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</si>
  <si>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</si>
  <si>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</si>
  <si>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</si>
  <si>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</si>
  <si>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</si>
  <si>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</si>
  <si>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</si>
  <si>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</si>
  <si>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</si>
  <si>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</si>
  <si>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</si>
  <si>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</si>
  <si>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</si>
  <si>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</si>
  <si>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</si>
  <si>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</si>
  <si>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</si>
  <si>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</si>
  <si>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</si>
  <si>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</si>
  <si>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</si>
  <si>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</si>
  <si>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</si>
  <si>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</si>
  <si>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</si>
  <si>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</si>
  <si>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</si>
  <si>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</si>
  <si>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</si>
  <si>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</si>
  <si>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</si>
  <si>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</si>
  <si>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</si>
  <si>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</si>
  <si>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</si>
  <si>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</si>
  <si>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</si>
  <si>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</si>
  <si>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</si>
  <si>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</si>
  <si>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</si>
  <si>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</si>
  <si>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</si>
  <si>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</si>
  <si>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</si>
  <si>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</si>
  <si>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</si>
  <si>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best_unit_cf</t>
  </si>
  <si>
    <t>hit bid</t>
  </si>
  <si>
    <t>lift ask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</si>
  <si>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</si>
  <si>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</si>
  <si>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</si>
  <si>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</si>
  <si>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</si>
  <si>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</si>
  <si>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</si>
  <si>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</si>
  <si>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</si>
  <si>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</si>
  <si>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</si>
  <si>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</si>
  <si>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</si>
  <si>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</si>
  <si>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</si>
  <si>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</si>
  <si>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</si>
  <si>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</si>
  <si>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</si>
  <si>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</si>
  <si>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</si>
  <si>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</si>
  <si>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</si>
  <si>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</si>
  <si>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</si>
  <si>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</si>
  <si>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</si>
  <si>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</si>
  <si>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</si>
  <si>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</si>
  <si>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</si>
  <si>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</si>
  <si>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</si>
  <si>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</si>
  <si>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</si>
  <si>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</si>
  <si>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</si>
  <si>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</si>
  <si>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</si>
  <si>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</si>
  <si>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</si>
  <si>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</si>
  <si>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</si>
  <si>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</si>
  <si>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</si>
  <si>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</si>
  <si>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</si>
  <si>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</si>
  <si>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</si>
  <si>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</si>
  <si>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</si>
  <si>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</si>
  <si>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</si>
  <si>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</si>
  <si>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</si>
  <si>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</si>
  <si>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</si>
  <si>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</si>
  <si>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</si>
  <si>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</si>
  <si>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</si>
  <si>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</si>
  <si>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</si>
  <si>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materials</t>
  </si>
  <si>
    <t>xlb</t>
  </si>
  <si>
    <t>discretionary</t>
  </si>
  <si>
    <t>FNCL</t>
  </si>
  <si>
    <t>VIS</t>
  </si>
  <si>
    <t>IYJ</t>
  </si>
  <si>
    <t>IYK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</si>
  <si>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</si>
  <si>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</si>
  <si>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</si>
  <si>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</si>
  <si>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</si>
  <si>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</si>
  <si>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</si>
  <si>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</si>
  <si>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</si>
  <si>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</si>
  <si>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</si>
  <si>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</si>
  <si>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</si>
  <si>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</si>
  <si>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</si>
  <si>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</si>
  <si>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</si>
  <si>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</si>
  <si>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</si>
  <si>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</si>
  <si>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</si>
  <si>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</si>
  <si>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</si>
  <si>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</si>
  <si>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</si>
  <si>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</si>
  <si>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</si>
  <si>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buy_size</t>
  </si>
  <si>
    <t>sell_size</t>
  </si>
  <si>
    <t>SCALARS</t>
  </si>
  <si>
    <t>scalar_outputs_download_cell</t>
  </si>
  <si>
    <t>scalar_outputs_sheet</t>
  </si>
  <si>
    <t>avg_daily_volume</t>
  </si>
  <si>
    <t>simple moving avg</t>
  </si>
  <si>
    <t>add 1st div between ex-dates</t>
  </si>
  <si>
    <t>annual div accumulation</t>
  </si>
  <si>
    <t>bid w/ comm &amp; div</t>
  </si>
  <si>
    <t>ask w/ comm &amp; div</t>
  </si>
  <si>
    <t>shop-shop*usdcad</t>
  </si>
  <si>
    <t>GOOG</t>
  </si>
  <si>
    <t>GOOGL</t>
  </si>
  <si>
    <t>FOX</t>
  </si>
  <si>
    <t>FOXA</t>
  </si>
  <si>
    <t>NWS</t>
  </si>
  <si>
    <t>NWSA</t>
  </si>
  <si>
    <t>HEI</t>
  </si>
  <si>
    <t>FDIS</t>
  </si>
  <si>
    <t>IYC</t>
  </si>
  <si>
    <t>XLY</t>
  </si>
  <si>
    <t>VCR</t>
  </si>
  <si>
    <t>corp arb</t>
  </si>
  <si>
    <t>google</t>
  </si>
  <si>
    <t>fox corp</t>
  </si>
  <si>
    <t>news corp</t>
  </si>
  <si>
    <t>heico</t>
  </si>
  <si>
    <t>HEI A</t>
  </si>
  <si>
    <t>berkshire</t>
  </si>
  <si>
    <t>BRK A</t>
  </si>
  <si>
    <t>BRK B</t>
  </si>
  <si>
    <t>SEMIS</t>
  </si>
  <si>
    <t>SMH</t>
  </si>
  <si>
    <t>SOXX</t>
  </si>
  <si>
    <t>BIOTECH</t>
  </si>
  <si>
    <t>XBI</t>
  </si>
  <si>
    <t>IBB</t>
  </si>
  <si>
    <t>AERO</t>
  </si>
  <si>
    <t>ITA</t>
  </si>
  <si>
    <t>PPA</t>
  </si>
  <si>
    <t>SHLD</t>
  </si>
  <si>
    <t>XAR</t>
  </si>
  <si>
    <t>IDEF</t>
  </si>
  <si>
    <t>BANKS</t>
  </si>
  <si>
    <t>KBE</t>
  </si>
  <si>
    <t>KBWB</t>
  </si>
  <si>
    <t>REIT</t>
  </si>
  <si>
    <t>ICF</t>
  </si>
  <si>
    <t>RWR</t>
  </si>
  <si>
    <t>INFRA</t>
  </si>
  <si>
    <t>EQUAL WEIGHT</t>
  </si>
  <si>
    <t>RSPT</t>
  </si>
  <si>
    <t>TECH</t>
  </si>
  <si>
    <t>RSPC</t>
  </si>
  <si>
    <t>TELECOM</t>
  </si>
  <si>
    <t>RSPS</t>
  </si>
  <si>
    <t>CONSUMER STAPLES</t>
  </si>
  <si>
    <t>RSP</t>
  </si>
  <si>
    <t>S&amp;P 500</t>
  </si>
  <si>
    <t>DFAR - active?</t>
  </si>
  <si>
    <t>scalars</t>
  </si>
  <si>
    <t>close</t>
  </si>
  <si>
    <t>div</t>
  </si>
  <si>
    <t>chg</t>
  </si>
  <si>
    <t>price chg</t>
  </si>
  <si>
    <t>total chg</t>
  </si>
  <si>
    <t>pnl</t>
  </si>
  <si>
    <t>avg of</t>
  </si>
  <si>
    <t>bid, ask</t>
  </si>
  <si>
    <t>TOTAL</t>
  </si>
  <si>
    <t>bid / ask</t>
  </si>
  <si>
    <t>price</t>
  </si>
  <si>
    <t>total</t>
  </si>
  <si>
    <t>price w/ comm &amp; div</t>
  </si>
  <si>
    <t>2026-09-17_23-38-55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</si>
</sst>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  <numFmt numFmtId="173" formatCode="_(&quot;$&quot;* #,##0.0000_);_(&quot;$&quot;* \(#,##0.0000\);_(&quot;$&quot;* &quot;-&quot;??_);_(@_)"/>
    <numFmt numFmtId="174" formatCode="_(&quot;$&quot;* #,##0.000000_);_(&quot;$&quot;* \(#,##0.000000\);_(&quot;$&quot;* &quot;-&quot;??_);_(@_)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9" fillId="0" borderId="2" xfId="0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165" fontId="8" fillId="0" borderId="9" xfId="0" applyNumberFormat="1" applyFont="1" applyBorder="1"/>
    <xf numFmtId="165" fontId="8" fillId="0" borderId="11" xfId="0" applyNumberFormat="1" applyFont="1" applyBorder="1"/>
    <xf numFmtId="165" fontId="8" fillId="0" borderId="9" xfId="0" applyNumberFormat="1" applyFont="1" applyBorder="1" applyAlignment="1">
      <alignment horizontal="center"/>
    </xf>
    <xf numFmtId="165" fontId="8" fillId="0" borderId="10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65" fontId="19" fillId="0" borderId="9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43" fontId="8" fillId="0" borderId="0" xfId="0" applyNumberFormat="1" applyFont="1"/>
    <xf numFmtId="44" fontId="15" fillId="0" borderId="0" xfId="1" applyFont="1"/>
    <xf numFmtId="0" fontId="15" fillId="0" borderId="0" xfId="0" applyFont="1"/>
    <xf numFmtId="167" fontId="0" fillId="0" borderId="0" xfId="2" applyNumberFormat="1" applyFont="1"/>
    <xf numFmtId="173" fontId="0" fillId="0" borderId="0" xfId="1" applyNumberFormat="1" applyFont="1"/>
    <xf numFmtId="174" fontId="3" fillId="0" borderId="0" xfId="1" applyNumberFormat="1" applyFont="1" applyAlignment="1">
      <alignment horizontal="center"/>
    </xf>
    <xf numFmtId="174" fontId="0" fillId="0" borderId="0" xfId="1" applyNumberFormat="1" applyFont="1" applyAlignment="1">
      <alignment horizontal="righ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73" fontId="0" fillId="0" borderId="9" xfId="1" applyNumberFormat="1" applyFont="1" applyBorder="1"/>
    <xf numFmtId="173" fontId="0" fillId="0" borderId="11" xfId="1" applyNumberFormat="1" applyFont="1" applyBorder="1"/>
    <xf numFmtId="173" fontId="21" fillId="0" borderId="9" xfId="1" applyNumberFormat="1" applyFont="1" applyBorder="1"/>
    <xf numFmtId="173" fontId="21" fillId="0" borderId="11" xfId="1" applyNumberFormat="1" applyFont="1" applyBorder="1"/>
    <xf numFmtId="173" fontId="5" fillId="0" borderId="9" xfId="1" applyNumberFormat="1" applyFont="1" applyBorder="1" applyAlignment="1">
      <alignment horizontal="center"/>
    </xf>
    <xf numFmtId="173" fontId="6" fillId="0" borderId="11" xfId="1" applyNumberFormat="1" applyFont="1" applyBorder="1" applyAlignment="1">
      <alignment horizontal="center"/>
    </xf>
    <xf numFmtId="173" fontId="0" fillId="0" borderId="10" xfId="1" applyNumberFormat="1" applyFont="1" applyBorder="1"/>
    <xf numFmtId="173" fontId="21" fillId="0" borderId="10" xfId="1" applyNumberFormat="1" applyFont="1" applyBorder="1"/>
    <xf numFmtId="173" fontId="0" fillId="4" borderId="9" xfId="1" applyNumberFormat="1" applyFont="1" applyFill="1" applyBorder="1"/>
    <xf numFmtId="173" fontId="0" fillId="4" borderId="11" xfId="1" applyNumberFormat="1" applyFont="1" applyFill="1" applyBorder="1"/>
    <xf numFmtId="173" fontId="1" fillId="4" borderId="9" xfId="1" applyNumberFormat="1" applyFont="1" applyFill="1" applyBorder="1"/>
    <xf numFmtId="173" fontId="1" fillId="4" borderId="11" xfId="1" applyNumberFormat="1" applyFont="1" applyFill="1" applyBorder="1"/>
    <xf numFmtId="173" fontId="0" fillId="0" borderId="2" xfId="0" applyNumberFormat="1" applyBorder="1"/>
    <xf numFmtId="0" fontId="10" fillId="0" borderId="2" xfId="0" applyFont="1" applyBorder="1"/>
    <xf numFmtId="174" fontId="3" fillId="0" borderId="0" xfId="1" applyNumberFormat="1" applyFont="1" applyAlignment="1">
      <alignment horizontal="right"/>
    </xf>
    <xf numFmtId="44" fontId="0" fillId="0" borderId="0" xfId="1" applyFont="1" applyFill="1" applyAlignment="1">
      <alignment horizontal="center"/>
    </xf>
    <xf numFmtId="166" fontId="0" fillId="0" borderId="0" xfId="1" applyNumberFormat="1" applyFont="1" applyFill="1"/>
    <xf numFmtId="165" fontId="0" fillId="0" borderId="0" xfId="3" applyNumberFormat="1" applyFont="1" applyFill="1"/>
    <xf numFmtId="0" fontId="5" fillId="0" borderId="2" xfId="0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Border="1"/>
    <xf numFmtId="0" fontId="4" fillId="0" borderId="6" xfId="0" applyFont="1" applyBorder="1"/>
    <xf numFmtId="0" fontId="0" fillId="0" borderId="4" xfId="0" applyBorder="1"/>
    <xf numFmtId="0" fontId="0" fillId="0" borderId="6" xfId="0" applyBorder="1"/>
    <xf numFmtId="0" fontId="32" fillId="0" borderId="0" xfId="0" applyFont="1"/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4" fillId="0" borderId="3" xfId="2" applyNumberFormat="1" applyFont="1" applyFill="1" applyBorder="1" applyAlignment="1">
      <alignment vertical="center"/>
    </xf>
    <xf numFmtId="167" fontId="4" fillId="0" borderId="8" xfId="2" applyNumberFormat="1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166" fontId="21" fillId="0" borderId="2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43" fontId="22" fillId="0" borderId="3" xfId="0" applyNumberFormat="1" applyFont="1" applyBorder="1" applyAlignment="1">
      <alignment vertical="center"/>
    </xf>
    <xf numFmtId="43" fontId="22" fillId="0" borderId="5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166" fontId="29" fillId="0" borderId="1" xfId="0" applyNumberFormat="1" applyFont="1" applyBorder="1" applyAlignment="1">
      <alignment vertical="center"/>
    </xf>
    <xf numFmtId="0" fontId="29" fillId="0" borderId="6" xfId="0" applyFont="1" applyBorder="1" applyAlignment="1">
      <alignment vertical="center"/>
    </xf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4" fillId="4" borderId="3" xfId="2" applyNumberFormat="1" applyFont="1" applyFill="1" applyBorder="1" applyAlignment="1">
      <alignment vertical="center"/>
    </xf>
    <xf numFmtId="167" fontId="4" fillId="4" borderId="8" xfId="2" applyNumberFormat="1" applyFont="1" applyFill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165" fontId="0" fillId="0" borderId="0" xfId="0" applyNumberFormat="1"/>
    <xf numFmtId="44" fontId="1" fillId="4" borderId="4" xfId="1" applyFont="1" applyFill="1" applyBorder="1"/>
    <xf numFmtId="166" fontId="6" fillId="0" borderId="6" xfId="1" applyNumberFormat="1" applyFont="1" applyFill="1" applyBorder="1" applyAlignment="1">
      <alignment horizontal="center"/>
    </xf>
    <xf numFmtId="166" fontId="6" fillId="0" borderId="7" xfId="1" applyNumberFormat="1" applyFont="1" applyFill="1" applyBorder="1" applyAlignment="1">
      <alignment horizontal="center"/>
    </xf>
    <xf numFmtId="44" fontId="0" fillId="0" borderId="2" xfId="1" applyFont="1" applyBorder="1"/>
    <xf numFmtId="44" fontId="0" fillId="0" borderId="0" xfId="1" applyFont="1" applyBorder="1"/>
    <xf numFmtId="44" fontId="0" fillId="0" borderId="7" xfId="1" applyFont="1" applyBorder="1"/>
    <xf numFmtId="44" fontId="6" fillId="0" borderId="7" xfId="1" applyFont="1" applyBorder="1" applyAlignment="1">
      <alignment horizontal="center"/>
    </xf>
    <xf numFmtId="44" fontId="1" fillId="4" borderId="2" xfId="1" applyFont="1" applyFill="1" applyBorder="1"/>
    <xf numFmtId="44" fontId="1" fillId="4" borderId="0" xfId="1" applyFont="1" applyFill="1" applyBorder="1"/>
    <xf numFmtId="44" fontId="1" fillId="4" borderId="3" xfId="1" applyFont="1" applyFill="1" applyBorder="1" applyAlignment="1">
      <alignment horizontal="center" vertical="center"/>
    </xf>
    <xf numFmtId="44" fontId="1" fillId="4" borderId="8" xfId="1" applyFont="1" applyFill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44" fontId="4" fillId="0" borderId="12" xfId="0" applyNumberFormat="1" applyFont="1" applyBorder="1"/>
    <xf numFmtId="44" fontId="4" fillId="0" borderId="14" xfId="0" applyNumberFormat="1" applyFont="1" applyBorder="1"/>
    <xf numFmtId="44" fontId="0" fillId="4" borderId="2" xfId="1" applyFont="1" applyFill="1" applyBorder="1"/>
    <xf numFmtId="44" fontId="0" fillId="4" borderId="0" xfId="1" applyFont="1" applyFill="1" applyBorder="1"/>
    <xf numFmtId="0" fontId="4" fillId="0" borderId="2" xfId="0" applyFont="1" applyBorder="1" applyAlignment="1">
      <alignment horizontal="center"/>
    </xf>
    <xf numFmtId="173" fontId="0" fillId="0" borderId="7" xfId="0" applyNumberFormat="1" applyBorder="1"/>
    <xf numFmtId="0" fontId="10" fillId="0" borderId="7" xfId="0" applyFont="1" applyBorder="1"/>
    <xf numFmtId="0" fontId="10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44" fontId="0" fillId="2" borderId="2" xfId="1" applyFont="1" applyFill="1" applyBorder="1"/>
    <xf numFmtId="44" fontId="0" fillId="2" borderId="0" xfId="1" applyFont="1" applyFill="1" applyBorder="1"/>
    <xf numFmtId="44" fontId="0" fillId="2" borderId="7" xfId="1" applyFont="1" applyFill="1" applyBorder="1"/>
    <xf numFmtId="0" fontId="25" fillId="4" borderId="2" xfId="0" applyFont="1" applyFill="1" applyBorder="1" applyAlignment="1">
      <alignment horizontal="center"/>
    </xf>
    <xf numFmtId="0" fontId="25" fillId="4" borderId="7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7" fillId="0" borderId="6" xfId="1" applyNumberFormat="1" applyFont="1" applyBorder="1" applyAlignment="1">
      <alignment horizontal="center"/>
    </xf>
    <xf numFmtId="166" fontId="7" fillId="0" borderId="8" xfId="1" applyNumberFormat="1" applyFont="1" applyBorder="1" applyAlignment="1">
      <alignment horizontal="center"/>
    </xf>
    <xf numFmtId="0" fontId="8" fillId="0" borderId="0" xfId="0" applyFont="1" applyBorder="1"/>
    <xf numFmtId="173" fontId="0" fillId="0" borderId="0" xfId="1" applyNumberFormat="1" applyFont="1" applyBorder="1"/>
    <xf numFmtId="164" fontId="4" fillId="0" borderId="0" xfId="3" applyNumberFormat="1" applyFont="1" applyBorder="1"/>
    <xf numFmtId="10" fontId="16" fillId="0" borderId="0" xfId="0" applyNumberFormat="1" applyFont="1" applyBorder="1"/>
    <xf numFmtId="43" fontId="14" fillId="0" borderId="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20" fillId="0" borderId="10" xfId="0" applyFont="1" applyBorder="1"/>
    <xf numFmtId="0" fontId="20" fillId="0" borderId="9" xfId="0" applyFont="1" applyBorder="1"/>
    <xf numFmtId="0" fontId="20" fillId="0" borderId="11" xfId="0" applyFont="1" applyBorder="1"/>
    <xf numFmtId="0" fontId="7" fillId="0" borderId="6" xfId="0" applyFont="1" applyBorder="1" applyAlignment="1">
      <alignment horizontal="center"/>
    </xf>
    <xf numFmtId="0" fontId="4" fillId="0" borderId="3" xfId="0" applyFont="1" applyBorder="1"/>
    <xf numFmtId="0" fontId="4" fillId="0" borderId="8" xfId="0" applyFont="1" applyBorder="1"/>
    <xf numFmtId="166" fontId="11" fillId="0" borderId="1" xfId="0" applyNumberFormat="1" applyFont="1" applyBorder="1" applyAlignment="1">
      <alignment vertical="center"/>
    </xf>
    <xf numFmtId="166" fontId="11" fillId="0" borderId="6" xfId="0" applyNumberFormat="1" applyFont="1" applyBorder="1" applyAlignment="1">
      <alignment vertical="center"/>
    </xf>
    <xf numFmtId="168" fontId="9" fillId="0" borderId="2" xfId="1" applyNumberFormat="1" applyFont="1" applyBorder="1" applyAlignment="1">
      <alignment horizontal="center" vertical="center"/>
    </xf>
    <xf numFmtId="168" fontId="9" fillId="0" borderId="7" xfId="1" applyNumberFormat="1" applyFont="1" applyBorder="1" applyAlignment="1">
      <alignment horizontal="center"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15"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89" totalsRowShown="0">
  <autoFilter ref="A1:G89" xr:uid="{41E0AE69-AE86-439F-8B86-A6C16D189F1B}"/>
  <sortState xmlns:xlrd2="http://schemas.microsoft.com/office/spreadsheetml/2017/richdata2" ref="A2:G89">
    <sortCondition ref="A1:A89"/>
  </sortState>
  <tableColumns count="7">
    <tableColumn id="4" xr3:uid="{C143C91C-ACAF-4ACF-B91F-4435A63F4151}" name="group" dataDxfId="114"/>
    <tableColumn id="2" xr3:uid="{F486AEE1-C7BF-4FB6-956C-83C2ABB71F18}" name="sector"/>
    <tableColumn id="1" xr3:uid="{4425B6E4-20BC-47CF-A149-57992AA900B4}" name="my_fi_name" dataDxfId="113"/>
    <tableColumn id="6" xr3:uid="{3FB674DC-28D9-413B-AEF2-94CC07DCB1E2}" name="my_pf_name" dataDxfId="112"/>
    <tableColumn id="5" xr3:uid="{1C677B6D-D63E-4271-8F12-49B31EA5C0F2}" name="anchor"/>
    <tableColumn id="3" xr3:uid="{B174390F-1C67-417C-A283-D8C2F19DC00A}" name="moving_avg_days" dataDxfId="111"/>
    <tableColumn id="7" xr3:uid="{C52E743F-9654-49BA-BB50-AD02E79E39CB}" name="div_treatment" dataDxfId="1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C32" sqref="C32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76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77</v>
      </c>
      <c r="B3" t="s">
        <v>137</v>
      </c>
    </row>
    <row r="4" spans="1:4" x14ac:dyDescent="0.25">
      <c r="A4" t="s">
        <v>168</v>
      </c>
      <c r="B4" t="s">
        <v>166</v>
      </c>
    </row>
    <row r="5" spans="1:4" x14ac:dyDescent="0.25">
      <c r="A5" t="s">
        <v>167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4">
        <v>46282.405648148146</v>
      </c>
    </row>
    <row r="7" spans="1:4" x14ac:dyDescent="0.25">
      <c r="A7" t="s">
        <v>78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89"/>
  <sheetViews>
    <sheetView zoomScale="85" zoomScaleNormal="85" workbookViewId="0">
      <pane ySplit="1" topLeftCell="A2" activePane="bottomLeft" state="frozen"/>
      <selection pane="bottomLeft" activeCell="Q11" sqref="Q11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16" style="1" bestFit="1" customWidth="1"/>
  </cols>
  <sheetData>
    <row r="1" spans="1:12" ht="15" customHeight="1" x14ac:dyDescent="0.25">
      <c r="A1" t="s">
        <v>61</v>
      </c>
      <c r="B1" t="s">
        <v>122</v>
      </c>
      <c r="C1" s="8" t="s">
        <v>2</v>
      </c>
      <c r="D1" t="s">
        <v>1</v>
      </c>
      <c r="E1" t="s">
        <v>93</v>
      </c>
      <c r="F1" s="1" t="s">
        <v>9</v>
      </c>
      <c r="G1" t="s">
        <v>138</v>
      </c>
      <c r="H1" s="1"/>
      <c r="I1" s="260" t="s">
        <v>138</v>
      </c>
      <c r="J1" s="255"/>
      <c r="K1" s="255"/>
      <c r="L1" s="256"/>
    </row>
    <row r="2" spans="1:12" ht="15" customHeight="1" x14ac:dyDescent="0.25">
      <c r="A2" t="s">
        <v>187</v>
      </c>
      <c r="B2" s="137" t="s">
        <v>193</v>
      </c>
      <c r="C2" s="8" t="s">
        <v>194</v>
      </c>
      <c r="D2" t="s">
        <v>0</v>
      </c>
      <c r="E2" t="s">
        <v>194</v>
      </c>
      <c r="F2" s="1">
        <v>20</v>
      </c>
      <c r="G2" s="1">
        <v>0</v>
      </c>
      <c r="H2" s="1"/>
      <c r="I2" s="276">
        <v>0</v>
      </c>
      <c r="J2" t="s">
        <v>170</v>
      </c>
      <c r="L2" s="257"/>
    </row>
    <row r="3" spans="1:12" ht="15" customHeight="1" x14ac:dyDescent="0.25">
      <c r="A3" t="s">
        <v>187</v>
      </c>
      <c r="B3" s="137" t="s">
        <v>193</v>
      </c>
      <c r="C3" s="8" t="s">
        <v>195</v>
      </c>
      <c r="D3" t="s">
        <v>0</v>
      </c>
      <c r="E3" t="s">
        <v>194</v>
      </c>
      <c r="F3" s="1">
        <v>20</v>
      </c>
      <c r="G3" s="1">
        <v>0</v>
      </c>
      <c r="H3" s="1"/>
      <c r="I3" s="276">
        <v>1</v>
      </c>
      <c r="J3" t="s">
        <v>171</v>
      </c>
      <c r="L3" s="257"/>
    </row>
    <row r="4" spans="1:12" ht="15" customHeight="1" thickBot="1" x14ac:dyDescent="0.3">
      <c r="A4" t="s">
        <v>187</v>
      </c>
      <c r="B4" s="137" t="s">
        <v>189</v>
      </c>
      <c r="C4" s="8" t="s">
        <v>178</v>
      </c>
      <c r="D4" t="s">
        <v>0</v>
      </c>
      <c r="E4" t="s">
        <v>179</v>
      </c>
      <c r="F4" s="1">
        <v>20</v>
      </c>
      <c r="G4" s="1">
        <v>0</v>
      </c>
      <c r="H4" s="1"/>
      <c r="I4" s="277">
        <v>2</v>
      </c>
      <c r="J4" s="258" t="s">
        <v>172</v>
      </c>
      <c r="K4" s="258"/>
      <c r="L4" s="259"/>
    </row>
    <row r="5" spans="1:12" ht="15" customHeight="1" x14ac:dyDescent="0.25">
      <c r="A5" t="s">
        <v>187</v>
      </c>
      <c r="B5" s="137" t="s">
        <v>189</v>
      </c>
      <c r="C5" s="8" t="s">
        <v>179</v>
      </c>
      <c r="D5" t="s">
        <v>0</v>
      </c>
      <c r="E5" t="s">
        <v>179</v>
      </c>
      <c r="F5" s="1">
        <v>20</v>
      </c>
      <c r="G5" s="1">
        <v>0</v>
      </c>
      <c r="H5" s="1"/>
      <c r="I5" s="1"/>
    </row>
    <row r="6" spans="1:12" ht="15" customHeight="1" x14ac:dyDescent="0.25">
      <c r="A6" t="s">
        <v>187</v>
      </c>
      <c r="B6" s="137" t="s">
        <v>188</v>
      </c>
      <c r="C6" s="8" t="s">
        <v>176</v>
      </c>
      <c r="D6" t="s">
        <v>0</v>
      </c>
      <c r="E6" t="s">
        <v>177</v>
      </c>
      <c r="F6" s="1">
        <v>20</v>
      </c>
      <c r="G6" s="1">
        <v>0</v>
      </c>
      <c r="H6" s="1"/>
      <c r="I6" s="1"/>
    </row>
    <row r="7" spans="1:12" ht="15" customHeight="1" x14ac:dyDescent="0.25">
      <c r="A7" t="s">
        <v>187</v>
      </c>
      <c r="B7" s="137" t="s">
        <v>188</v>
      </c>
      <c r="C7" s="8" t="s">
        <v>177</v>
      </c>
      <c r="D7" t="s">
        <v>0</v>
      </c>
      <c r="E7" t="s">
        <v>177</v>
      </c>
      <c r="F7" s="1">
        <v>20</v>
      </c>
      <c r="G7" s="1">
        <v>0</v>
      </c>
      <c r="H7" s="1"/>
      <c r="I7" s="1"/>
    </row>
    <row r="8" spans="1:12" ht="15" customHeight="1" x14ac:dyDescent="0.25">
      <c r="A8" t="s">
        <v>187</v>
      </c>
      <c r="B8" s="137" t="s">
        <v>191</v>
      </c>
      <c r="C8" s="8" t="s">
        <v>182</v>
      </c>
      <c r="D8" t="s">
        <v>0</v>
      </c>
      <c r="E8" t="s">
        <v>182</v>
      </c>
      <c r="F8" s="1">
        <v>20</v>
      </c>
      <c r="G8" s="1">
        <v>0</v>
      </c>
      <c r="H8" s="1"/>
      <c r="I8" s="1"/>
    </row>
    <row r="9" spans="1:12" ht="15" customHeight="1" x14ac:dyDescent="0.25">
      <c r="A9" t="s">
        <v>187</v>
      </c>
      <c r="B9" s="137" t="s">
        <v>191</v>
      </c>
      <c r="C9" s="8" t="s">
        <v>192</v>
      </c>
      <c r="D9" t="s">
        <v>0</v>
      </c>
      <c r="E9" t="s">
        <v>182</v>
      </c>
      <c r="F9" s="1">
        <v>20</v>
      </c>
      <c r="G9" s="1">
        <v>0</v>
      </c>
      <c r="H9" s="1"/>
      <c r="I9" s="1"/>
    </row>
    <row r="10" spans="1:12" ht="15" customHeight="1" x14ac:dyDescent="0.25">
      <c r="A10" t="s">
        <v>187</v>
      </c>
      <c r="B10" s="137" t="s">
        <v>190</v>
      </c>
      <c r="C10" s="8" t="s">
        <v>180</v>
      </c>
      <c r="D10" t="s">
        <v>0</v>
      </c>
      <c r="E10" t="s">
        <v>180</v>
      </c>
      <c r="F10" s="1">
        <v>20</v>
      </c>
      <c r="G10" s="1">
        <v>0</v>
      </c>
      <c r="H10" s="1"/>
      <c r="I10" s="1"/>
    </row>
    <row r="11" spans="1:12" ht="15" customHeight="1" x14ac:dyDescent="0.25">
      <c r="A11" t="s">
        <v>187</v>
      </c>
      <c r="B11" s="137" t="s">
        <v>190</v>
      </c>
      <c r="C11" s="8" t="s">
        <v>181</v>
      </c>
      <c r="D11" t="s">
        <v>0</v>
      </c>
      <c r="E11" t="s">
        <v>180</v>
      </c>
      <c r="F11" s="1">
        <v>20</v>
      </c>
      <c r="G11" s="1">
        <v>0</v>
      </c>
      <c r="H11" s="1"/>
      <c r="I11" s="1"/>
    </row>
    <row r="12" spans="1:12" ht="15" customHeight="1" x14ac:dyDescent="0.25">
      <c r="A12" t="s">
        <v>139</v>
      </c>
      <c r="B12" t="s">
        <v>140</v>
      </c>
      <c r="C12" s="8" t="s">
        <v>8</v>
      </c>
      <c r="D12" t="s">
        <v>0</v>
      </c>
      <c r="E12" t="s">
        <v>8</v>
      </c>
      <c r="F12" s="1">
        <v>20</v>
      </c>
      <c r="G12" s="1">
        <v>0</v>
      </c>
      <c r="H12" s="1"/>
      <c r="I12" s="1"/>
    </row>
    <row r="13" spans="1:12" ht="15" customHeight="1" x14ac:dyDescent="0.25">
      <c r="A13" t="s">
        <v>139</v>
      </c>
      <c r="B13" t="s">
        <v>140</v>
      </c>
      <c r="C13" s="8" t="s">
        <v>7</v>
      </c>
      <c r="D13" t="s">
        <v>0</v>
      </c>
      <c r="E13" t="s">
        <v>8</v>
      </c>
      <c r="F13" s="1">
        <v>20</v>
      </c>
      <c r="G13" s="1">
        <v>0</v>
      </c>
      <c r="H13" s="1"/>
      <c r="I13" s="1"/>
    </row>
    <row r="14" spans="1:12" ht="15" customHeight="1" x14ac:dyDescent="0.25">
      <c r="A14" t="s">
        <v>139</v>
      </c>
      <c r="B14" t="s">
        <v>140</v>
      </c>
      <c r="C14" s="8" t="s">
        <v>5</v>
      </c>
      <c r="D14" t="s">
        <v>0</v>
      </c>
      <c r="E14" t="s">
        <v>8</v>
      </c>
      <c r="F14" s="1">
        <v>20</v>
      </c>
      <c r="G14" s="1">
        <v>0</v>
      </c>
      <c r="H14" s="1"/>
      <c r="I14" s="1"/>
    </row>
    <row r="15" spans="1:12" ht="15" customHeight="1" x14ac:dyDescent="0.25">
      <c r="A15" t="s">
        <v>139</v>
      </c>
      <c r="B15" t="s">
        <v>140</v>
      </c>
      <c r="C15" s="8" t="s">
        <v>6</v>
      </c>
      <c r="D15" t="s">
        <v>0</v>
      </c>
      <c r="E15" t="s">
        <v>8</v>
      </c>
      <c r="F15" s="1">
        <v>20</v>
      </c>
      <c r="G15" s="1">
        <v>0</v>
      </c>
      <c r="H15" s="1"/>
      <c r="I15" s="1"/>
    </row>
    <row r="16" spans="1:12" ht="15" customHeight="1" x14ac:dyDescent="0.25">
      <c r="A16" t="s">
        <v>139</v>
      </c>
      <c r="B16" t="s">
        <v>153</v>
      </c>
      <c r="C16" s="8" t="s">
        <v>47</v>
      </c>
      <c r="D16" t="s">
        <v>0</v>
      </c>
      <c r="E16" t="s">
        <v>58</v>
      </c>
      <c r="F16" s="1">
        <v>20</v>
      </c>
      <c r="G16" s="1">
        <v>2</v>
      </c>
      <c r="H16" s="1"/>
      <c r="I16" s="1"/>
    </row>
    <row r="17" spans="1:9" ht="15" customHeight="1" x14ac:dyDescent="0.25">
      <c r="A17" t="s">
        <v>139</v>
      </c>
      <c r="B17" t="s">
        <v>153</v>
      </c>
      <c r="C17" s="8" t="s">
        <v>58</v>
      </c>
      <c r="D17" t="s">
        <v>0</v>
      </c>
      <c r="E17" t="s">
        <v>58</v>
      </c>
      <c r="F17" s="1">
        <v>20</v>
      </c>
      <c r="G17" s="1">
        <v>2</v>
      </c>
      <c r="H17" s="1"/>
      <c r="I17" s="1"/>
    </row>
    <row r="18" spans="1:9" ht="15" customHeight="1" x14ac:dyDescent="0.25">
      <c r="A18" t="s">
        <v>139</v>
      </c>
      <c r="B18" t="s">
        <v>145</v>
      </c>
      <c r="C18" s="8" t="s">
        <v>48</v>
      </c>
      <c r="D18" t="s">
        <v>0</v>
      </c>
      <c r="E18" t="s">
        <v>52</v>
      </c>
      <c r="F18" s="1">
        <v>20</v>
      </c>
      <c r="G18" s="1">
        <v>2</v>
      </c>
      <c r="H18" s="1"/>
      <c r="I18" s="1"/>
    </row>
    <row r="19" spans="1:9" ht="15" customHeight="1" x14ac:dyDescent="0.25">
      <c r="A19" t="s">
        <v>139</v>
      </c>
      <c r="B19" t="s">
        <v>145</v>
      </c>
      <c r="C19" s="8" t="s">
        <v>52</v>
      </c>
      <c r="D19" t="s">
        <v>0</v>
      </c>
      <c r="E19" t="s">
        <v>52</v>
      </c>
      <c r="F19" s="1">
        <v>20</v>
      </c>
      <c r="G19" s="1">
        <v>2</v>
      </c>
      <c r="H19" s="1"/>
      <c r="I19" s="1"/>
    </row>
    <row r="20" spans="1:9" ht="15" customHeight="1" x14ac:dyDescent="0.25">
      <c r="A20" t="s">
        <v>139</v>
      </c>
      <c r="B20" t="s">
        <v>142</v>
      </c>
      <c r="C20" s="8" t="s">
        <v>31</v>
      </c>
      <c r="D20" t="s">
        <v>0</v>
      </c>
      <c r="E20" t="s">
        <v>31</v>
      </c>
      <c r="F20" s="1">
        <v>20</v>
      </c>
      <c r="G20" s="1">
        <v>0</v>
      </c>
      <c r="H20" s="1"/>
      <c r="I20" s="1"/>
    </row>
    <row r="21" spans="1:9" ht="15" customHeight="1" x14ac:dyDescent="0.25">
      <c r="A21" t="s">
        <v>139</v>
      </c>
      <c r="B21" t="s">
        <v>142</v>
      </c>
      <c r="C21" s="8" t="s">
        <v>28</v>
      </c>
      <c r="D21" t="s">
        <v>0</v>
      </c>
      <c r="E21" t="s">
        <v>31</v>
      </c>
      <c r="F21" s="1">
        <v>20</v>
      </c>
      <c r="G21" s="1">
        <v>0</v>
      </c>
      <c r="H21" s="1"/>
      <c r="I21" s="1"/>
    </row>
    <row r="22" spans="1:9" ht="15" customHeight="1" x14ac:dyDescent="0.25">
      <c r="A22" t="s">
        <v>139</v>
      </c>
      <c r="B22" t="s">
        <v>142</v>
      </c>
      <c r="C22" s="8" t="s">
        <v>29</v>
      </c>
      <c r="D22" t="s">
        <v>0</v>
      </c>
      <c r="E22" t="s">
        <v>31</v>
      </c>
      <c r="F22" s="1">
        <v>20</v>
      </c>
      <c r="G22" s="1">
        <v>0</v>
      </c>
      <c r="H22" s="1"/>
      <c r="I22" s="1"/>
    </row>
    <row r="23" spans="1:9" ht="15" customHeight="1" x14ac:dyDescent="0.25">
      <c r="A23" t="s">
        <v>139</v>
      </c>
      <c r="B23" t="s">
        <v>142</v>
      </c>
      <c r="C23" s="8" t="s">
        <v>30</v>
      </c>
      <c r="D23" t="s">
        <v>0</v>
      </c>
      <c r="E23" t="s">
        <v>31</v>
      </c>
      <c r="F23" s="1">
        <v>20</v>
      </c>
      <c r="G23" s="1">
        <v>0</v>
      </c>
      <c r="H23" s="1"/>
      <c r="I23" s="1"/>
    </row>
    <row r="24" spans="1:9" ht="15" customHeight="1" x14ac:dyDescent="0.25">
      <c r="A24" t="s">
        <v>139</v>
      </c>
      <c r="B24" t="s">
        <v>143</v>
      </c>
      <c r="C24" s="8" t="s">
        <v>49</v>
      </c>
      <c r="D24" t="s">
        <v>0</v>
      </c>
      <c r="E24" t="s">
        <v>49</v>
      </c>
      <c r="F24" s="1">
        <v>20</v>
      </c>
      <c r="G24" s="1">
        <v>2</v>
      </c>
      <c r="H24" s="1"/>
      <c r="I24" s="1"/>
    </row>
    <row r="25" spans="1:9" ht="15" customHeight="1" x14ac:dyDescent="0.25">
      <c r="A25" t="s">
        <v>139</v>
      </c>
      <c r="B25" t="s">
        <v>143</v>
      </c>
      <c r="C25" s="8" t="s">
        <v>59</v>
      </c>
      <c r="D25" t="s">
        <v>0</v>
      </c>
      <c r="E25" t="s">
        <v>49</v>
      </c>
      <c r="F25" s="1">
        <v>20</v>
      </c>
      <c r="G25" s="1">
        <v>2</v>
      </c>
      <c r="H25" s="1"/>
      <c r="I25" s="1"/>
    </row>
    <row r="26" spans="1:9" ht="15" customHeight="1" x14ac:dyDescent="0.25">
      <c r="A26" t="s">
        <v>139</v>
      </c>
      <c r="B26" t="s">
        <v>141</v>
      </c>
      <c r="C26" s="8" t="s">
        <v>44</v>
      </c>
      <c r="D26" t="s">
        <v>0</v>
      </c>
      <c r="E26" t="s">
        <v>44</v>
      </c>
      <c r="F26" s="1">
        <v>20</v>
      </c>
      <c r="G26" s="1">
        <v>2</v>
      </c>
      <c r="H26" s="1"/>
      <c r="I26" s="1"/>
    </row>
    <row r="27" spans="1:9" ht="15" customHeight="1" x14ac:dyDescent="0.25">
      <c r="A27" t="s">
        <v>139</v>
      </c>
      <c r="B27" t="s">
        <v>141</v>
      </c>
      <c r="C27" s="8" t="s">
        <v>50</v>
      </c>
      <c r="D27" t="s">
        <v>0</v>
      </c>
      <c r="E27" t="s">
        <v>44</v>
      </c>
      <c r="F27" s="1">
        <v>20</v>
      </c>
      <c r="G27" s="1">
        <v>2</v>
      </c>
      <c r="H27" s="1"/>
      <c r="I27" s="1"/>
    </row>
    <row r="28" spans="1:9" ht="15" customHeight="1" x14ac:dyDescent="0.25">
      <c r="A28" t="s">
        <v>139</v>
      </c>
      <c r="B28" t="s">
        <v>147</v>
      </c>
      <c r="C28" s="8" t="s">
        <v>16</v>
      </c>
      <c r="D28" t="s">
        <v>0</v>
      </c>
      <c r="E28" t="s">
        <v>17</v>
      </c>
      <c r="F28" s="1">
        <v>20</v>
      </c>
      <c r="G28" s="1">
        <v>0</v>
      </c>
      <c r="H28" s="1"/>
      <c r="I28" s="1"/>
    </row>
    <row r="29" spans="1:9" ht="15" customHeight="1" x14ac:dyDescent="0.25">
      <c r="A29" t="s">
        <v>139</v>
      </c>
      <c r="B29" t="s">
        <v>147</v>
      </c>
      <c r="C29" s="8" t="s">
        <v>14</v>
      </c>
      <c r="D29" t="s">
        <v>0</v>
      </c>
      <c r="E29" t="s">
        <v>17</v>
      </c>
      <c r="F29" s="1">
        <v>20</v>
      </c>
      <c r="G29" s="1">
        <v>0</v>
      </c>
      <c r="H29" s="1"/>
      <c r="I29" s="1"/>
    </row>
    <row r="30" spans="1:9" ht="15" customHeight="1" x14ac:dyDescent="0.25">
      <c r="A30" t="s">
        <v>139</v>
      </c>
      <c r="B30" t="s">
        <v>147</v>
      </c>
      <c r="C30" s="8" t="s">
        <v>17</v>
      </c>
      <c r="D30" t="s">
        <v>0</v>
      </c>
      <c r="E30" t="s">
        <v>17</v>
      </c>
      <c r="F30" s="1">
        <v>20</v>
      </c>
      <c r="G30" s="1">
        <v>0</v>
      </c>
      <c r="H30" s="1"/>
      <c r="I30" s="1"/>
    </row>
    <row r="31" spans="1:9" ht="15" customHeight="1" x14ac:dyDescent="0.25">
      <c r="A31" t="s">
        <v>139</v>
      </c>
      <c r="B31" t="s">
        <v>147</v>
      </c>
      <c r="C31" s="8" t="s">
        <v>13</v>
      </c>
      <c r="D31" t="s">
        <v>0</v>
      </c>
      <c r="E31" t="s">
        <v>17</v>
      </c>
      <c r="F31" s="1">
        <v>20</v>
      </c>
      <c r="G31" s="1">
        <v>0</v>
      </c>
      <c r="H31" s="1"/>
      <c r="I31" s="1"/>
    </row>
    <row r="32" spans="1:9" ht="15" customHeight="1" x14ac:dyDescent="0.25">
      <c r="A32" t="s">
        <v>139</v>
      </c>
      <c r="B32" t="s">
        <v>147</v>
      </c>
      <c r="C32" s="8" t="s">
        <v>12</v>
      </c>
      <c r="D32" t="s">
        <v>0</v>
      </c>
      <c r="E32" t="s">
        <v>17</v>
      </c>
      <c r="F32" s="1">
        <v>20</v>
      </c>
      <c r="G32" s="1">
        <v>0</v>
      </c>
      <c r="H32" s="1"/>
      <c r="I32" s="1"/>
    </row>
    <row r="33" spans="1:9" ht="15" customHeight="1" x14ac:dyDescent="0.25">
      <c r="A33" t="s">
        <v>139</v>
      </c>
      <c r="B33" t="s">
        <v>147</v>
      </c>
      <c r="C33" s="8" t="s">
        <v>15</v>
      </c>
      <c r="D33" t="s">
        <v>0</v>
      </c>
      <c r="E33" t="s">
        <v>17</v>
      </c>
      <c r="F33" s="1">
        <v>20</v>
      </c>
      <c r="G33" s="1">
        <v>0</v>
      </c>
      <c r="H33" s="1"/>
      <c r="I33" s="1"/>
    </row>
    <row r="34" spans="1:9" ht="15" customHeight="1" x14ac:dyDescent="0.25">
      <c r="A34" t="s">
        <v>139</v>
      </c>
      <c r="B34" t="s">
        <v>144</v>
      </c>
      <c r="C34" s="8" t="s">
        <v>45</v>
      </c>
      <c r="D34" t="s">
        <v>0</v>
      </c>
      <c r="E34" t="s">
        <v>51</v>
      </c>
      <c r="F34" s="1">
        <v>20</v>
      </c>
      <c r="G34" s="1">
        <v>2</v>
      </c>
      <c r="H34" s="1"/>
      <c r="I34" s="1"/>
    </row>
    <row r="35" spans="1:9" ht="15" customHeight="1" x14ac:dyDescent="0.25">
      <c r="A35" t="s">
        <v>139</v>
      </c>
      <c r="B35" t="s">
        <v>144</v>
      </c>
      <c r="C35" s="8" t="s">
        <v>51</v>
      </c>
      <c r="D35" t="s">
        <v>0</v>
      </c>
      <c r="E35" t="s">
        <v>51</v>
      </c>
      <c r="F35" s="1">
        <v>20</v>
      </c>
      <c r="G35" s="1">
        <v>2</v>
      </c>
      <c r="H35" s="1"/>
      <c r="I35" s="1"/>
    </row>
    <row r="36" spans="1:9" ht="15" customHeight="1" x14ac:dyDescent="0.25">
      <c r="A36" t="s">
        <v>139</v>
      </c>
      <c r="B36" t="s">
        <v>146</v>
      </c>
      <c r="C36" s="8" t="s">
        <v>46</v>
      </c>
      <c r="D36" t="s">
        <v>0</v>
      </c>
      <c r="E36" t="s">
        <v>53</v>
      </c>
      <c r="F36" s="1">
        <v>20</v>
      </c>
      <c r="G36" s="1">
        <v>2</v>
      </c>
      <c r="H36" s="1"/>
      <c r="I36" s="1"/>
    </row>
    <row r="37" spans="1:9" ht="15" customHeight="1" x14ac:dyDescent="0.25">
      <c r="A37" t="s">
        <v>139</v>
      </c>
      <c r="B37" t="s">
        <v>146</v>
      </c>
      <c r="C37" s="8" t="s">
        <v>53</v>
      </c>
      <c r="D37" t="s">
        <v>0</v>
      </c>
      <c r="E37" t="s">
        <v>53</v>
      </c>
      <c r="F37" s="1">
        <v>20</v>
      </c>
      <c r="G37" s="1">
        <v>2</v>
      </c>
      <c r="H37" s="1"/>
      <c r="I37" s="1"/>
    </row>
    <row r="38" spans="1:9" ht="15" customHeight="1" x14ac:dyDescent="0.25">
      <c r="A38" t="s">
        <v>139</v>
      </c>
      <c r="B38" t="s">
        <v>151</v>
      </c>
      <c r="C38" s="8" t="s">
        <v>23</v>
      </c>
      <c r="D38" t="s">
        <v>0</v>
      </c>
      <c r="E38" t="s">
        <v>24</v>
      </c>
      <c r="F38" s="1">
        <v>20</v>
      </c>
      <c r="G38" s="1">
        <v>0</v>
      </c>
      <c r="H38" s="1"/>
      <c r="I38" s="1"/>
    </row>
    <row r="39" spans="1:9" ht="15" customHeight="1" x14ac:dyDescent="0.25">
      <c r="A39" t="s">
        <v>139</v>
      </c>
      <c r="B39" t="s">
        <v>151</v>
      </c>
      <c r="C39" s="8" t="s">
        <v>22</v>
      </c>
      <c r="D39" t="s">
        <v>0</v>
      </c>
      <c r="E39" t="s">
        <v>24</v>
      </c>
      <c r="F39" s="1">
        <v>20</v>
      </c>
      <c r="G39" s="1">
        <v>0</v>
      </c>
      <c r="H39" s="1"/>
      <c r="I39" s="1"/>
    </row>
    <row r="40" spans="1:9" ht="15" customHeight="1" x14ac:dyDescent="0.25">
      <c r="A40" t="s">
        <v>139</v>
      </c>
      <c r="B40" t="s">
        <v>151</v>
      </c>
      <c r="C40" s="8" t="s">
        <v>24</v>
      </c>
      <c r="D40" t="s">
        <v>0</v>
      </c>
      <c r="E40" t="s">
        <v>24</v>
      </c>
      <c r="F40" s="1">
        <v>20</v>
      </c>
      <c r="G40" s="1">
        <v>0</v>
      </c>
      <c r="H40" s="1"/>
      <c r="I40" s="1"/>
    </row>
    <row r="41" spans="1:9" ht="15" customHeight="1" x14ac:dyDescent="0.25">
      <c r="A41" t="s">
        <v>139</v>
      </c>
      <c r="B41" t="s">
        <v>152</v>
      </c>
      <c r="C41" s="8" t="s">
        <v>26</v>
      </c>
      <c r="D41" t="s">
        <v>0</v>
      </c>
      <c r="E41" t="s">
        <v>27</v>
      </c>
      <c r="F41" s="1">
        <v>20</v>
      </c>
      <c r="G41" s="1">
        <v>0</v>
      </c>
      <c r="H41" s="1"/>
      <c r="I41" s="1"/>
    </row>
    <row r="42" spans="1:9" ht="15" customHeight="1" x14ac:dyDescent="0.25">
      <c r="A42" t="s">
        <v>139</v>
      </c>
      <c r="B42" t="s">
        <v>152</v>
      </c>
      <c r="C42" s="8" t="s">
        <v>25</v>
      </c>
      <c r="D42" t="s">
        <v>0</v>
      </c>
      <c r="E42" t="s">
        <v>27</v>
      </c>
      <c r="F42" s="1">
        <v>20</v>
      </c>
      <c r="G42" s="1">
        <v>0</v>
      </c>
      <c r="H42" s="1"/>
      <c r="I42" s="1"/>
    </row>
    <row r="43" spans="1:9" ht="15" customHeight="1" x14ac:dyDescent="0.25">
      <c r="A43" t="s">
        <v>139</v>
      </c>
      <c r="B43" t="s">
        <v>152</v>
      </c>
      <c r="C43" s="8" t="s">
        <v>27</v>
      </c>
      <c r="D43" t="s">
        <v>0</v>
      </c>
      <c r="E43" t="s">
        <v>27</v>
      </c>
      <c r="F43" s="1">
        <v>20</v>
      </c>
      <c r="G43" s="1">
        <v>0</v>
      </c>
      <c r="H43" s="1"/>
      <c r="I43" s="1"/>
    </row>
    <row r="44" spans="1:9" ht="15" customHeight="1" x14ac:dyDescent="0.25">
      <c r="A44" t="s">
        <v>139</v>
      </c>
      <c r="B44" t="s">
        <v>148</v>
      </c>
      <c r="C44" s="8" t="s">
        <v>20</v>
      </c>
      <c r="D44" t="s">
        <v>0</v>
      </c>
      <c r="E44" t="s">
        <v>20</v>
      </c>
      <c r="F44" s="1">
        <v>20</v>
      </c>
      <c r="G44" s="1">
        <v>0</v>
      </c>
      <c r="H44" s="1"/>
      <c r="I44" s="1"/>
    </row>
    <row r="45" spans="1:9" ht="15" customHeight="1" x14ac:dyDescent="0.25">
      <c r="A45" t="s">
        <v>139</v>
      </c>
      <c r="B45" t="s">
        <v>148</v>
      </c>
      <c r="C45" s="8" t="s">
        <v>18</v>
      </c>
      <c r="D45" t="s">
        <v>0</v>
      </c>
      <c r="E45" t="s">
        <v>20</v>
      </c>
      <c r="F45" s="1">
        <v>20</v>
      </c>
      <c r="G45" s="1">
        <v>0</v>
      </c>
      <c r="H45" s="1"/>
      <c r="I45" s="1"/>
    </row>
    <row r="46" spans="1:9" ht="15" customHeight="1" x14ac:dyDescent="0.25">
      <c r="A46" t="s">
        <v>139</v>
      </c>
      <c r="B46" t="s">
        <v>148</v>
      </c>
      <c r="C46" s="8" t="s">
        <v>19</v>
      </c>
      <c r="D46" t="s">
        <v>0</v>
      </c>
      <c r="E46" t="s">
        <v>20</v>
      </c>
      <c r="F46" s="1">
        <v>20</v>
      </c>
      <c r="G46" s="1">
        <v>0</v>
      </c>
      <c r="H46" s="1"/>
      <c r="I46" s="1"/>
    </row>
    <row r="47" spans="1:9" ht="15" customHeight="1" x14ac:dyDescent="0.25">
      <c r="A47" t="s">
        <v>139</v>
      </c>
      <c r="B47" t="s">
        <v>149</v>
      </c>
      <c r="C47" s="8" t="s">
        <v>4</v>
      </c>
      <c r="D47" t="s">
        <v>0</v>
      </c>
      <c r="E47" t="s">
        <v>4</v>
      </c>
      <c r="F47" s="1">
        <v>20</v>
      </c>
      <c r="G47" s="1">
        <v>0</v>
      </c>
      <c r="H47" s="1"/>
      <c r="I47" s="1"/>
    </row>
    <row r="48" spans="1:9" ht="15" customHeight="1" x14ac:dyDescent="0.25">
      <c r="A48" t="s">
        <v>139</v>
      </c>
      <c r="B48" t="s">
        <v>149</v>
      </c>
      <c r="C48" s="8" t="s">
        <v>21</v>
      </c>
      <c r="D48" t="s">
        <v>0</v>
      </c>
      <c r="E48" t="s">
        <v>4</v>
      </c>
      <c r="F48" s="1">
        <v>20</v>
      </c>
      <c r="G48" s="1">
        <v>0</v>
      </c>
      <c r="H48" s="1"/>
      <c r="I48" s="1"/>
    </row>
    <row r="49" spans="1:18" ht="15" customHeight="1" x14ac:dyDescent="0.25">
      <c r="A49" t="s">
        <v>139</v>
      </c>
      <c r="B49" t="s">
        <v>149</v>
      </c>
      <c r="C49" s="8" t="s">
        <v>3</v>
      </c>
      <c r="D49" t="s">
        <v>0</v>
      </c>
      <c r="E49" t="s">
        <v>4</v>
      </c>
      <c r="F49" s="1">
        <v>20</v>
      </c>
      <c r="G49" s="1">
        <v>0</v>
      </c>
      <c r="H49" s="1"/>
      <c r="I49" s="1"/>
    </row>
    <row r="50" spans="1:18" ht="15" customHeight="1" x14ac:dyDescent="0.25">
      <c r="A50" t="s">
        <v>139</v>
      </c>
      <c r="B50" t="s">
        <v>150</v>
      </c>
      <c r="C50" s="8" t="s">
        <v>54</v>
      </c>
      <c r="D50" t="s">
        <v>0</v>
      </c>
      <c r="E50" t="s">
        <v>54</v>
      </c>
      <c r="F50" s="1">
        <v>20</v>
      </c>
      <c r="G50" s="1">
        <v>2</v>
      </c>
      <c r="H50" s="1"/>
      <c r="I50" s="1"/>
    </row>
    <row r="51" spans="1:18" ht="15" customHeight="1" x14ac:dyDescent="0.25">
      <c r="A51" t="s">
        <v>139</v>
      </c>
      <c r="B51" t="s">
        <v>150</v>
      </c>
      <c r="C51" s="8" t="s">
        <v>55</v>
      </c>
      <c r="D51" t="s">
        <v>0</v>
      </c>
      <c r="E51" t="s">
        <v>54</v>
      </c>
      <c r="F51" s="1">
        <v>20</v>
      </c>
      <c r="G51" s="1">
        <v>2</v>
      </c>
      <c r="H51" s="1"/>
      <c r="I51" s="1"/>
    </row>
    <row r="52" spans="1:18" ht="15" customHeight="1" x14ac:dyDescent="0.25">
      <c r="A52" t="s">
        <v>122</v>
      </c>
      <c r="B52" s="137" t="s">
        <v>132</v>
      </c>
      <c r="C52" s="8" t="s">
        <v>183</v>
      </c>
      <c r="D52" t="s">
        <v>0</v>
      </c>
      <c r="E52" t="s">
        <v>186</v>
      </c>
      <c r="F52" s="1">
        <v>20</v>
      </c>
      <c r="G52" s="1">
        <v>0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122</v>
      </c>
      <c r="B53" s="137" t="s">
        <v>132</v>
      </c>
      <c r="C53" s="8" t="s">
        <v>186</v>
      </c>
      <c r="D53" t="s">
        <v>0</v>
      </c>
      <c r="E53" t="s">
        <v>186</v>
      </c>
      <c r="F53" s="1">
        <v>20</v>
      </c>
      <c r="G53" s="1">
        <v>0</v>
      </c>
      <c r="H53" s="1"/>
      <c r="I53" s="1"/>
    </row>
    <row r="54" spans="1:18" ht="15" customHeight="1" x14ac:dyDescent="0.25">
      <c r="A54" t="s">
        <v>122</v>
      </c>
      <c r="B54" s="137" t="s">
        <v>132</v>
      </c>
      <c r="C54" s="8" t="s">
        <v>184</v>
      </c>
      <c r="D54" t="s">
        <v>0</v>
      </c>
      <c r="E54" t="s">
        <v>185</v>
      </c>
      <c r="F54" s="1">
        <v>20</v>
      </c>
      <c r="G54" s="1">
        <v>1</v>
      </c>
      <c r="H54" s="1"/>
      <c r="I54" s="1"/>
    </row>
    <row r="55" spans="1:18" ht="15" customHeight="1" x14ac:dyDescent="0.25">
      <c r="A55" t="s">
        <v>122</v>
      </c>
      <c r="B55" s="137" t="s">
        <v>132</v>
      </c>
      <c r="C55" s="8" t="s">
        <v>185</v>
      </c>
      <c r="D55" t="s">
        <v>0</v>
      </c>
      <c r="E55" t="s">
        <v>185</v>
      </c>
      <c r="F55" s="1">
        <v>20</v>
      </c>
      <c r="G55" s="1">
        <v>1</v>
      </c>
      <c r="H55" s="1"/>
      <c r="I55" s="1"/>
    </row>
    <row r="56" spans="1:18" ht="15" customHeight="1" x14ac:dyDescent="0.25">
      <c r="A56" t="s">
        <v>122</v>
      </c>
      <c r="B56" s="137" t="s">
        <v>126</v>
      </c>
      <c r="C56" s="8" t="s">
        <v>98</v>
      </c>
      <c r="D56" t="s">
        <v>0</v>
      </c>
      <c r="E56" t="s">
        <v>98</v>
      </c>
      <c r="F56" s="1">
        <v>20</v>
      </c>
      <c r="G56" s="1">
        <v>1</v>
      </c>
      <c r="H56" s="1"/>
      <c r="I56" s="1"/>
    </row>
    <row r="57" spans="1:18" ht="15" customHeight="1" x14ac:dyDescent="0.25">
      <c r="A57" t="s">
        <v>122</v>
      </c>
      <c r="B57" s="137" t="s">
        <v>126</v>
      </c>
      <c r="C57" s="8" t="s">
        <v>100</v>
      </c>
      <c r="D57" t="s">
        <v>0</v>
      </c>
      <c r="E57" t="s">
        <v>98</v>
      </c>
      <c r="F57" s="1">
        <v>20</v>
      </c>
      <c r="G57" s="1">
        <v>1</v>
      </c>
      <c r="H57" s="1"/>
      <c r="I57" s="1"/>
    </row>
    <row r="58" spans="1:18" ht="15" customHeight="1" x14ac:dyDescent="0.25">
      <c r="A58" t="s">
        <v>122</v>
      </c>
      <c r="B58" s="137" t="s">
        <v>126</v>
      </c>
      <c r="C58" s="8" t="s">
        <v>97</v>
      </c>
      <c r="D58" t="s">
        <v>0</v>
      </c>
      <c r="E58" t="s">
        <v>99</v>
      </c>
      <c r="F58" s="1">
        <v>20</v>
      </c>
      <c r="G58" s="1">
        <v>0</v>
      </c>
      <c r="H58" s="1"/>
      <c r="I58" s="1"/>
    </row>
    <row r="59" spans="1:18" ht="15" customHeight="1" x14ac:dyDescent="0.25">
      <c r="A59" t="s">
        <v>122</v>
      </c>
      <c r="B59" s="137" t="s">
        <v>126</v>
      </c>
      <c r="C59" s="8" t="s">
        <v>99</v>
      </c>
      <c r="D59" t="s">
        <v>0</v>
      </c>
      <c r="E59" t="s">
        <v>99</v>
      </c>
      <c r="F59" s="1">
        <v>20</v>
      </c>
      <c r="G59" s="1">
        <v>0</v>
      </c>
      <c r="H59" s="1"/>
      <c r="I59" s="1"/>
    </row>
    <row r="60" spans="1:18" ht="15" customHeight="1" x14ac:dyDescent="0.25">
      <c r="A60" t="s">
        <v>122</v>
      </c>
      <c r="B60" s="137" t="s">
        <v>128</v>
      </c>
      <c r="C60" s="8" t="s">
        <v>101</v>
      </c>
      <c r="D60" t="s">
        <v>0</v>
      </c>
      <c r="E60" t="s">
        <v>101</v>
      </c>
      <c r="F60" s="1">
        <v>20</v>
      </c>
      <c r="G60" s="1">
        <v>1</v>
      </c>
      <c r="H60" s="1"/>
      <c r="I60" s="1"/>
    </row>
    <row r="61" spans="1:18" ht="15" customHeight="1" x14ac:dyDescent="0.25">
      <c r="A61" t="s">
        <v>122</v>
      </c>
      <c r="B61" s="137" t="s">
        <v>128</v>
      </c>
      <c r="C61" s="8" t="s">
        <v>103</v>
      </c>
      <c r="D61" t="s">
        <v>0</v>
      </c>
      <c r="E61" t="s">
        <v>101</v>
      </c>
      <c r="F61" s="1">
        <v>20</v>
      </c>
      <c r="G61" s="1">
        <v>1</v>
      </c>
      <c r="H61" s="1"/>
      <c r="I61" s="1"/>
    </row>
    <row r="62" spans="1:18" ht="15" customHeight="1" x14ac:dyDescent="0.25">
      <c r="A62" s="137" t="s">
        <v>122</v>
      </c>
      <c r="B62" s="137" t="s">
        <v>128</v>
      </c>
      <c r="C62" s="8" t="s">
        <v>133</v>
      </c>
      <c r="D62" s="137" t="s">
        <v>0</v>
      </c>
      <c r="E62" t="s">
        <v>102</v>
      </c>
      <c r="F62" s="1">
        <v>20</v>
      </c>
      <c r="G62" s="1">
        <v>0</v>
      </c>
      <c r="H62" s="1"/>
      <c r="I62" s="1"/>
    </row>
    <row r="63" spans="1:18" ht="15" customHeight="1" x14ac:dyDescent="0.25">
      <c r="A63" s="137" t="s">
        <v>122</v>
      </c>
      <c r="B63" s="137" t="s">
        <v>128</v>
      </c>
      <c r="C63" s="8" t="s">
        <v>102</v>
      </c>
      <c r="D63" s="137" t="s">
        <v>0</v>
      </c>
      <c r="E63" t="s">
        <v>102</v>
      </c>
      <c r="F63" s="1">
        <v>20</v>
      </c>
      <c r="G63" s="1">
        <v>0</v>
      </c>
      <c r="H63" s="1"/>
      <c r="I63" s="1"/>
    </row>
    <row r="64" spans="1:18" ht="15" customHeight="1" x14ac:dyDescent="0.25">
      <c r="A64" t="s">
        <v>122</v>
      </c>
      <c r="B64" s="137" t="s">
        <v>127</v>
      </c>
      <c r="C64" s="8" t="s">
        <v>104</v>
      </c>
      <c r="D64" t="s">
        <v>0</v>
      </c>
      <c r="E64" t="s">
        <v>106</v>
      </c>
      <c r="F64" s="1">
        <v>20</v>
      </c>
      <c r="G64" s="1">
        <v>0</v>
      </c>
      <c r="H64" s="1"/>
      <c r="I64" s="1"/>
    </row>
    <row r="65" spans="1:9" ht="15" customHeight="1" x14ac:dyDescent="0.25">
      <c r="A65" t="s">
        <v>122</v>
      </c>
      <c r="B65" s="137" t="s">
        <v>127</v>
      </c>
      <c r="C65" s="8" t="s">
        <v>106</v>
      </c>
      <c r="D65" t="s">
        <v>0</v>
      </c>
      <c r="E65" t="s">
        <v>106</v>
      </c>
      <c r="F65" s="1">
        <v>20</v>
      </c>
      <c r="G65" s="1">
        <v>0</v>
      </c>
    </row>
    <row r="66" spans="1:9" ht="15" customHeight="1" x14ac:dyDescent="0.25">
      <c r="A66" t="s">
        <v>122</v>
      </c>
      <c r="B66" s="137" t="s">
        <v>127</v>
      </c>
      <c r="C66" s="8" t="s">
        <v>105</v>
      </c>
      <c r="D66" t="s">
        <v>0</v>
      </c>
      <c r="E66" t="s">
        <v>107</v>
      </c>
      <c r="F66" s="1">
        <v>20</v>
      </c>
      <c r="G66" s="1">
        <v>1</v>
      </c>
      <c r="H66" s="1"/>
      <c r="I66" s="1"/>
    </row>
    <row r="67" spans="1:9" ht="15" customHeight="1" x14ac:dyDescent="0.25">
      <c r="A67" t="s">
        <v>122</v>
      </c>
      <c r="B67" s="137" t="s">
        <v>127</v>
      </c>
      <c r="C67" s="8" t="s">
        <v>107</v>
      </c>
      <c r="D67" t="s">
        <v>0</v>
      </c>
      <c r="E67" t="s">
        <v>107</v>
      </c>
      <c r="F67" s="1">
        <v>20</v>
      </c>
      <c r="G67" s="1">
        <v>1</v>
      </c>
      <c r="H67" s="1"/>
      <c r="I67" s="1"/>
    </row>
    <row r="68" spans="1:9" ht="15" customHeight="1" x14ac:dyDescent="0.25">
      <c r="A68" s="137" t="s">
        <v>122</v>
      </c>
      <c r="B68" s="137" t="s">
        <v>158</v>
      </c>
      <c r="C68" s="8" t="s">
        <v>108</v>
      </c>
      <c r="D68" s="137" t="s">
        <v>0</v>
      </c>
      <c r="E68" t="s">
        <v>134</v>
      </c>
      <c r="F68" s="1">
        <v>20</v>
      </c>
      <c r="G68" s="1">
        <v>0</v>
      </c>
      <c r="H68" s="1"/>
      <c r="I68" s="1"/>
    </row>
    <row r="69" spans="1:9" ht="15" customHeight="1" x14ac:dyDescent="0.25">
      <c r="A69" s="137" t="s">
        <v>122</v>
      </c>
      <c r="B69" s="137" t="s">
        <v>158</v>
      </c>
      <c r="C69" s="8" t="s">
        <v>134</v>
      </c>
      <c r="D69" s="137" t="s">
        <v>0</v>
      </c>
      <c r="E69" t="s">
        <v>134</v>
      </c>
      <c r="F69" s="1">
        <v>20</v>
      </c>
      <c r="G69" s="1">
        <v>0</v>
      </c>
    </row>
    <row r="70" spans="1:9" ht="15" customHeight="1" x14ac:dyDescent="0.25">
      <c r="A70" s="137" t="s">
        <v>122</v>
      </c>
      <c r="B70" s="137" t="s">
        <v>158</v>
      </c>
      <c r="C70" s="8" t="s">
        <v>135</v>
      </c>
      <c r="D70" t="s">
        <v>0</v>
      </c>
      <c r="E70" t="s">
        <v>109</v>
      </c>
      <c r="F70" s="1">
        <v>20</v>
      </c>
      <c r="G70" s="1">
        <v>1</v>
      </c>
      <c r="H70" s="1"/>
      <c r="I70" s="1"/>
    </row>
    <row r="71" spans="1:9" ht="15" customHeight="1" x14ac:dyDescent="0.25">
      <c r="A71" s="137" t="s">
        <v>122</v>
      </c>
      <c r="B71" s="137" t="s">
        <v>158</v>
      </c>
      <c r="C71" s="8" t="s">
        <v>109</v>
      </c>
      <c r="D71" t="s">
        <v>0</v>
      </c>
      <c r="E71" t="s">
        <v>109</v>
      </c>
      <c r="F71" s="1">
        <v>20</v>
      </c>
      <c r="G71" s="1">
        <v>1</v>
      </c>
      <c r="H71" s="1"/>
      <c r="I71" s="1"/>
    </row>
    <row r="72" spans="1:9" ht="15" customHeight="1" x14ac:dyDescent="0.25">
      <c r="A72" t="s">
        <v>122</v>
      </c>
      <c r="B72" s="137" t="s">
        <v>125</v>
      </c>
      <c r="C72" s="8" t="s">
        <v>111</v>
      </c>
      <c r="D72" t="s">
        <v>0</v>
      </c>
      <c r="E72" t="s">
        <v>111</v>
      </c>
      <c r="F72" s="1">
        <v>20</v>
      </c>
      <c r="G72" s="1">
        <v>1</v>
      </c>
      <c r="H72" s="1"/>
      <c r="I72" s="1"/>
    </row>
    <row r="73" spans="1:9" ht="15" customHeight="1" x14ac:dyDescent="0.25">
      <c r="A73" t="s">
        <v>122</v>
      </c>
      <c r="B73" s="137" t="s">
        <v>125</v>
      </c>
      <c r="C73" s="8" t="s">
        <v>113</v>
      </c>
      <c r="D73" t="s">
        <v>0</v>
      </c>
      <c r="E73" t="s">
        <v>111</v>
      </c>
      <c r="F73" s="1">
        <v>20</v>
      </c>
      <c r="G73" s="1">
        <v>1</v>
      </c>
      <c r="H73" s="1"/>
      <c r="I73" s="1"/>
    </row>
    <row r="74" spans="1:9" ht="15" customHeight="1" x14ac:dyDescent="0.25">
      <c r="A74" t="s">
        <v>122</v>
      </c>
      <c r="B74" s="137" t="s">
        <v>125</v>
      </c>
      <c r="C74" s="8" t="s">
        <v>56</v>
      </c>
      <c r="D74" t="s">
        <v>0</v>
      </c>
      <c r="E74" t="s">
        <v>57</v>
      </c>
      <c r="F74" s="1">
        <v>20</v>
      </c>
      <c r="G74" s="1">
        <v>0</v>
      </c>
      <c r="H74" s="1"/>
      <c r="I74" s="1"/>
    </row>
    <row r="75" spans="1:9" ht="15" customHeight="1" x14ac:dyDescent="0.25">
      <c r="A75" t="s">
        <v>122</v>
      </c>
      <c r="B75" s="137" t="s">
        <v>125</v>
      </c>
      <c r="C75" s="8" t="s">
        <v>57</v>
      </c>
      <c r="D75" t="s">
        <v>0</v>
      </c>
      <c r="E75" t="s">
        <v>57</v>
      </c>
      <c r="F75" s="1">
        <v>20</v>
      </c>
      <c r="G75" s="1">
        <v>0</v>
      </c>
      <c r="H75" s="1"/>
      <c r="I75" s="1"/>
    </row>
    <row r="76" spans="1:9" ht="15" customHeight="1" x14ac:dyDescent="0.25">
      <c r="A76" t="s">
        <v>122</v>
      </c>
      <c r="B76" s="137" t="s">
        <v>125</v>
      </c>
      <c r="C76" s="8" t="s">
        <v>110</v>
      </c>
      <c r="D76" t="s">
        <v>0</v>
      </c>
      <c r="E76" t="s">
        <v>112</v>
      </c>
      <c r="F76" s="1">
        <v>20</v>
      </c>
      <c r="G76" s="1">
        <v>0</v>
      </c>
      <c r="H76" s="1"/>
      <c r="I76" s="1"/>
    </row>
    <row r="77" spans="1:9" ht="15" customHeight="1" x14ac:dyDescent="0.25">
      <c r="A77" t="s">
        <v>122</v>
      </c>
      <c r="B77" s="137" t="s">
        <v>125</v>
      </c>
      <c r="C77" s="8" t="s">
        <v>112</v>
      </c>
      <c r="D77" t="s">
        <v>0</v>
      </c>
      <c r="E77" t="s">
        <v>112</v>
      </c>
      <c r="F77" s="1">
        <v>20</v>
      </c>
      <c r="G77" s="1">
        <v>0</v>
      </c>
      <c r="H77" s="1"/>
      <c r="I77" s="1"/>
    </row>
    <row r="78" spans="1:9" ht="15" customHeight="1" x14ac:dyDescent="0.25">
      <c r="A78" t="s">
        <v>122</v>
      </c>
      <c r="B78" s="137" t="s">
        <v>123</v>
      </c>
      <c r="C78" s="8" t="s">
        <v>94</v>
      </c>
      <c r="D78" t="s">
        <v>0</v>
      </c>
      <c r="E78" t="s">
        <v>95</v>
      </c>
      <c r="F78" s="1">
        <v>20</v>
      </c>
      <c r="G78" s="1">
        <v>0</v>
      </c>
      <c r="H78" s="1"/>
      <c r="I78" s="1"/>
    </row>
    <row r="79" spans="1:9" ht="15" customHeight="1" x14ac:dyDescent="0.25">
      <c r="A79" t="s">
        <v>122</v>
      </c>
      <c r="B79" s="137" t="s">
        <v>123</v>
      </c>
      <c r="C79" s="8" t="s">
        <v>95</v>
      </c>
      <c r="D79" t="s">
        <v>0</v>
      </c>
      <c r="E79" t="s">
        <v>95</v>
      </c>
      <c r="F79" s="1">
        <v>20</v>
      </c>
      <c r="G79" s="1">
        <v>0</v>
      </c>
      <c r="H79" s="1"/>
      <c r="I79" s="1"/>
    </row>
    <row r="80" spans="1:9" ht="15" customHeight="1" x14ac:dyDescent="0.25">
      <c r="A80" s="137" t="s">
        <v>122</v>
      </c>
      <c r="B80" s="137" t="s">
        <v>123</v>
      </c>
      <c r="C80" s="8" t="s">
        <v>136</v>
      </c>
      <c r="D80" t="s">
        <v>0</v>
      </c>
      <c r="E80" t="s">
        <v>96</v>
      </c>
      <c r="F80" s="1">
        <v>20</v>
      </c>
      <c r="G80" s="1">
        <v>1</v>
      </c>
      <c r="H80" s="1"/>
      <c r="I80" s="1"/>
    </row>
    <row r="81" spans="1:9" ht="15" customHeight="1" x14ac:dyDescent="0.25">
      <c r="A81" s="137" t="s">
        <v>122</v>
      </c>
      <c r="B81" s="137" t="s">
        <v>123</v>
      </c>
      <c r="C81" s="8" t="s">
        <v>96</v>
      </c>
      <c r="D81" t="s">
        <v>0</v>
      </c>
      <c r="E81" t="s">
        <v>96</v>
      </c>
      <c r="F81" s="1">
        <v>20</v>
      </c>
      <c r="G81" s="1">
        <v>1</v>
      </c>
      <c r="H81" s="1"/>
      <c r="I81" s="1"/>
    </row>
    <row r="82" spans="1:9" ht="15" customHeight="1" x14ac:dyDescent="0.25">
      <c r="A82" t="s">
        <v>122</v>
      </c>
      <c r="B82" s="137" t="s">
        <v>154</v>
      </c>
      <c r="C82" s="8" t="s">
        <v>114</v>
      </c>
      <c r="D82" t="s">
        <v>0</v>
      </c>
      <c r="E82" t="s">
        <v>114</v>
      </c>
      <c r="F82" s="1">
        <v>20</v>
      </c>
      <c r="G82" s="1">
        <v>0</v>
      </c>
      <c r="H82" s="1"/>
      <c r="I82" s="1"/>
    </row>
    <row r="83" spans="1:9" ht="15" customHeight="1" x14ac:dyDescent="0.25">
      <c r="A83" t="s">
        <v>122</v>
      </c>
      <c r="B83" s="137" t="s">
        <v>154</v>
      </c>
      <c r="C83" s="8" t="s">
        <v>116</v>
      </c>
      <c r="D83" t="s">
        <v>0</v>
      </c>
      <c r="E83" t="s">
        <v>114</v>
      </c>
      <c r="F83" s="1">
        <v>20</v>
      </c>
      <c r="G83" s="1">
        <v>0</v>
      </c>
      <c r="H83" s="1"/>
      <c r="I83" s="1"/>
    </row>
    <row r="84" spans="1:9" ht="15" customHeight="1" x14ac:dyDescent="0.25">
      <c r="A84" t="s">
        <v>122</v>
      </c>
      <c r="B84" s="137" t="s">
        <v>154</v>
      </c>
      <c r="C84" s="8" t="s">
        <v>115</v>
      </c>
      <c r="D84" t="s">
        <v>0</v>
      </c>
      <c r="E84" t="s">
        <v>115</v>
      </c>
      <c r="F84" s="1">
        <v>20</v>
      </c>
      <c r="G84" s="1">
        <v>1</v>
      </c>
      <c r="H84" s="1"/>
      <c r="I84" s="1"/>
    </row>
    <row r="85" spans="1:9" ht="15" customHeight="1" x14ac:dyDescent="0.25">
      <c r="A85" t="s">
        <v>122</v>
      </c>
      <c r="B85" s="137" t="s">
        <v>154</v>
      </c>
      <c r="C85" s="8" t="s">
        <v>117</v>
      </c>
      <c r="D85" t="s">
        <v>0</v>
      </c>
      <c r="E85" t="s">
        <v>115</v>
      </c>
      <c r="F85" s="1">
        <v>20</v>
      </c>
      <c r="G85" s="1">
        <v>1</v>
      </c>
      <c r="H85" s="1"/>
      <c r="I85" s="1"/>
    </row>
    <row r="86" spans="1:9" ht="15" customHeight="1" x14ac:dyDescent="0.25">
      <c r="A86" t="s">
        <v>122</v>
      </c>
      <c r="B86" s="137" t="s">
        <v>124</v>
      </c>
      <c r="C86" s="8" t="s">
        <v>119</v>
      </c>
      <c r="D86" t="s">
        <v>0</v>
      </c>
      <c r="E86" t="s">
        <v>119</v>
      </c>
      <c r="F86" s="1">
        <v>20</v>
      </c>
      <c r="G86" s="1">
        <v>1</v>
      </c>
      <c r="H86" s="1"/>
      <c r="I86" s="1"/>
    </row>
    <row r="87" spans="1:9" ht="15" customHeight="1" x14ac:dyDescent="0.25">
      <c r="A87" t="s">
        <v>122</v>
      </c>
      <c r="B87" s="137" t="s">
        <v>124</v>
      </c>
      <c r="C87" s="8" t="s">
        <v>121</v>
      </c>
      <c r="D87" t="s">
        <v>0</v>
      </c>
      <c r="E87" t="s">
        <v>119</v>
      </c>
      <c r="F87" s="1">
        <v>20</v>
      </c>
      <c r="G87" s="1">
        <v>1</v>
      </c>
      <c r="H87" s="1"/>
      <c r="I87" s="1"/>
    </row>
    <row r="88" spans="1:9" ht="15" customHeight="1" x14ac:dyDescent="0.25">
      <c r="A88" t="s">
        <v>122</v>
      </c>
      <c r="B88" s="137" t="s">
        <v>124</v>
      </c>
      <c r="C88" s="8" t="s">
        <v>118</v>
      </c>
      <c r="D88" t="s">
        <v>0</v>
      </c>
      <c r="E88" t="s">
        <v>120</v>
      </c>
      <c r="F88" s="1">
        <v>20</v>
      </c>
      <c r="G88" s="1">
        <v>0</v>
      </c>
      <c r="H88" s="1"/>
      <c r="I88" s="1"/>
    </row>
    <row r="89" spans="1:9" ht="15" customHeight="1" x14ac:dyDescent="0.25">
      <c r="A89" t="s">
        <v>122</v>
      </c>
      <c r="B89" s="137" t="s">
        <v>124</v>
      </c>
      <c r="C89" s="8" t="s">
        <v>120</v>
      </c>
      <c r="D89" t="s">
        <v>0</v>
      </c>
      <c r="E89" t="s">
        <v>120</v>
      </c>
      <c r="F89" s="1">
        <v>20</v>
      </c>
      <c r="G89" s="1">
        <v>0</v>
      </c>
      <c r="H89" s="1"/>
      <c r="I89" s="1"/>
    </row>
  </sheetData>
  <phoneticPr fontId="2" type="noConversion"/>
  <conditionalFormatting sqref="I1:I1048576 G1:G1048576">
    <cfRule type="cellIs" dxfId="109" priority="3" operator="equal">
      <formula>2</formula>
    </cfRule>
  </conditionalFormatting>
  <conditionalFormatting sqref="I1:I1048576 G1:G1048576">
    <cfRule type="cellIs" dxfId="108" priority="1" operator="equal">
      <formula>1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89"/>
  <sheetViews>
    <sheetView zoomScale="85" zoomScaleNormal="85" workbookViewId="0">
      <pane ySplit="1" topLeftCell="A17" activePane="bottomLeft" state="frozen"/>
      <selection pane="bottomLeft" activeCell="K81" sqref="K81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12.140625" style="4" bestFit="1" customWidth="1"/>
    <col min="7" max="7" width="13" style="275" customWidth="1"/>
    <col min="8" max="8" width="16.85546875" style="250" bestFit="1" customWidth="1"/>
    <col min="12" max="12" width="13" customWidth="1"/>
    <col min="13" max="13" width="12.140625" style="4" bestFit="1" customWidth="1"/>
    <col min="14" max="14" width="11.28515625" style="4" customWidth="1"/>
    <col min="15" max="15" width="13" style="275" customWidth="1"/>
    <col min="21" max="21" width="10.140625" bestFit="1" customWidth="1"/>
    <col min="22" max="22" width="13.28515625" bestFit="1" customWidth="1"/>
    <col min="24" max="24" width="13.28515625" bestFit="1" customWidth="1"/>
  </cols>
  <sheetData>
    <row r="1" spans="1:15" s="3" customFormat="1" x14ac:dyDescent="0.25">
      <c r="A1" s="5" t="s">
        <v>61</v>
      </c>
      <c r="B1" s="5" t="s">
        <v>122</v>
      </c>
      <c r="C1" s="5" t="s">
        <v>2</v>
      </c>
      <c r="D1" s="5" t="s">
        <v>1</v>
      </c>
      <c r="E1" s="5" t="s">
        <v>93</v>
      </c>
      <c r="F1" s="138" t="s">
        <v>33</v>
      </c>
      <c r="G1" s="274" t="s">
        <v>156</v>
      </c>
      <c r="H1" s="138" t="s">
        <v>169</v>
      </c>
      <c r="L1" s="5"/>
      <c r="M1" s="138" t="s">
        <v>33</v>
      </c>
      <c r="N1" s="138"/>
      <c r="O1" s="274"/>
    </row>
    <row r="2" spans="1:15" x14ac:dyDescent="0.25">
      <c r="A2" t="s">
        <v>187</v>
      </c>
      <c r="B2" t="s">
        <v>193</v>
      </c>
      <c r="C2" t="s">
        <v>194</v>
      </c>
      <c r="D2" t="s">
        <v>0</v>
      </c>
      <c r="E2" t="s">
        <v>194</v>
      </c>
      <c r="F2" s="4">
        <v>1</v>
      </c>
      <c r="H2" s="250">
        <v>17300</v>
      </c>
      <c r="L2" s="249">
        <f>+F2-M2</f>
        <v>0</v>
      </c>
      <c r="M2" s="4">
        <v>1</v>
      </c>
    </row>
    <row r="3" spans="1:15" x14ac:dyDescent="0.25">
      <c r="A3" t="s">
        <v>187</v>
      </c>
      <c r="B3" t="s">
        <v>193</v>
      </c>
      <c r="C3" t="s">
        <v>195</v>
      </c>
      <c r="D3" t="s">
        <v>0</v>
      </c>
      <c r="E3" t="s">
        <v>194</v>
      </c>
      <c r="F3" s="4">
        <v>1499.7222987200817</v>
      </c>
      <c r="H3" s="250">
        <v>10825800</v>
      </c>
      <c r="L3" s="249">
        <f t="shared" ref="L3:L66" si="0">+F3-M3</f>
        <v>1498.3742987658109</v>
      </c>
      <c r="M3" s="4">
        <v>1.3479999542707111</v>
      </c>
    </row>
    <row r="4" spans="1:15" x14ac:dyDescent="0.25">
      <c r="A4" t="s">
        <v>187</v>
      </c>
      <c r="B4" t="s">
        <v>189</v>
      </c>
      <c r="C4" t="s">
        <v>178</v>
      </c>
      <c r="D4" t="s">
        <v>0</v>
      </c>
      <c r="E4" t="s">
        <v>179</v>
      </c>
      <c r="F4" s="4">
        <v>1.1204257781351943</v>
      </c>
      <c r="H4" s="250">
        <v>1376600</v>
      </c>
      <c r="L4" s="249">
        <f t="shared" si="0"/>
        <v>-3.1576724570822448</v>
      </c>
      <c r="M4" s="4">
        <v>4.2780982352174393</v>
      </c>
    </row>
    <row r="5" spans="1:15" x14ac:dyDescent="0.25">
      <c r="A5" t="s">
        <v>187</v>
      </c>
      <c r="B5" t="s">
        <v>189</v>
      </c>
      <c r="C5" t="s">
        <v>179</v>
      </c>
      <c r="D5" t="s">
        <v>0</v>
      </c>
      <c r="E5" t="s">
        <v>179</v>
      </c>
      <c r="F5" s="4">
        <v>1</v>
      </c>
      <c r="H5" s="250">
        <v>5725300</v>
      </c>
      <c r="L5" s="249">
        <f t="shared" si="0"/>
        <v>-2.8798940841670677</v>
      </c>
      <c r="M5" s="4">
        <v>3.8798940841670677</v>
      </c>
    </row>
    <row r="6" spans="1:15" x14ac:dyDescent="0.25">
      <c r="A6" t="s">
        <v>187</v>
      </c>
      <c r="B6" t="s">
        <v>188</v>
      </c>
      <c r="C6" t="s">
        <v>176</v>
      </c>
      <c r="D6" t="s">
        <v>0</v>
      </c>
      <c r="E6" t="s">
        <v>177</v>
      </c>
      <c r="F6" s="4">
        <v>1.0093480364472538</v>
      </c>
      <c r="H6" s="250">
        <v>49107500</v>
      </c>
      <c r="L6" s="249">
        <f t="shared" si="0"/>
        <v>9.3480364472537936E-3</v>
      </c>
      <c r="M6" s="4">
        <v>1</v>
      </c>
    </row>
    <row r="7" spans="1:15" x14ac:dyDescent="0.25">
      <c r="A7" t="s">
        <v>187</v>
      </c>
      <c r="B7" t="s">
        <v>188</v>
      </c>
      <c r="C7" t="s">
        <v>177</v>
      </c>
      <c r="D7" t="s">
        <v>0</v>
      </c>
      <c r="E7" t="s">
        <v>177</v>
      </c>
      <c r="F7" s="4">
        <v>1</v>
      </c>
      <c r="H7" s="250">
        <v>74017100</v>
      </c>
      <c r="I7" s="8"/>
      <c r="L7" s="249">
        <f t="shared" si="0"/>
        <v>-7.5076825441122264E-2</v>
      </c>
      <c r="M7" s="4">
        <v>1.0750768254411223</v>
      </c>
    </row>
    <row r="8" spans="1:15" x14ac:dyDescent="0.25">
      <c r="A8" t="s">
        <v>187</v>
      </c>
      <c r="B8" t="s">
        <v>191</v>
      </c>
      <c r="C8" t="s">
        <v>182</v>
      </c>
      <c r="D8" t="s">
        <v>0</v>
      </c>
      <c r="E8" t="s">
        <v>182</v>
      </c>
      <c r="F8" s="4">
        <v>1</v>
      </c>
      <c r="H8" s="250">
        <v>1164400</v>
      </c>
      <c r="L8" s="249">
        <f t="shared" si="0"/>
        <v>0</v>
      </c>
      <c r="M8" s="4">
        <v>1</v>
      </c>
    </row>
    <row r="9" spans="1:15" x14ac:dyDescent="0.25">
      <c r="A9" t="s">
        <v>187</v>
      </c>
      <c r="B9" t="s">
        <v>191</v>
      </c>
      <c r="C9" t="s">
        <v>192</v>
      </c>
      <c r="D9" t="s">
        <v>0</v>
      </c>
      <c r="E9" t="s">
        <v>182</v>
      </c>
      <c r="F9" s="4">
        <v>1.3507684223940699</v>
      </c>
      <c r="H9" s="250">
        <v>288500</v>
      </c>
      <c r="L9" s="249">
        <f t="shared" si="0"/>
        <v>-1.9904135954257258</v>
      </c>
      <c r="M9" s="4">
        <v>3.3411820178197957</v>
      </c>
    </row>
    <row r="10" spans="1:15" x14ac:dyDescent="0.25">
      <c r="A10" t="s">
        <v>187</v>
      </c>
      <c r="B10" t="s">
        <v>190</v>
      </c>
      <c r="C10" t="s">
        <v>180</v>
      </c>
      <c r="D10" t="s">
        <v>0</v>
      </c>
      <c r="E10" t="s">
        <v>180</v>
      </c>
      <c r="F10" s="4">
        <v>1</v>
      </c>
      <c r="H10" s="250">
        <v>1291900</v>
      </c>
      <c r="L10" s="249">
        <f t="shared" si="0"/>
        <v>-0.88919489098969673</v>
      </c>
      <c r="M10" s="4">
        <v>1.8891948909896967</v>
      </c>
    </row>
    <row r="11" spans="1:15" x14ac:dyDescent="0.25">
      <c r="A11" t="s">
        <v>187</v>
      </c>
      <c r="B11" t="s">
        <v>190</v>
      </c>
      <c r="C11" t="s">
        <v>181</v>
      </c>
      <c r="D11" t="s">
        <v>0</v>
      </c>
      <c r="E11" t="s">
        <v>180</v>
      </c>
      <c r="F11" s="4">
        <v>1.1236345559703647</v>
      </c>
      <c r="H11" s="250">
        <v>4136300</v>
      </c>
      <c r="L11" s="249">
        <f t="shared" si="0"/>
        <v>-0.13953177180821363</v>
      </c>
      <c r="M11" s="4">
        <v>1.2631663277785783</v>
      </c>
    </row>
    <row r="12" spans="1:15" x14ac:dyDescent="0.25">
      <c r="A12" t="s">
        <v>139</v>
      </c>
      <c r="B12" t="s">
        <v>140</v>
      </c>
      <c r="C12" t="s">
        <v>8</v>
      </c>
      <c r="D12" t="s">
        <v>0</v>
      </c>
      <c r="E12" t="s">
        <v>8</v>
      </c>
      <c r="F12" s="4">
        <v>1</v>
      </c>
      <c r="H12" s="250">
        <v>8649600</v>
      </c>
      <c r="L12" s="249">
        <f t="shared" si="0"/>
        <v>0</v>
      </c>
      <c r="M12" s="4">
        <v>1</v>
      </c>
    </row>
    <row r="13" spans="1:15" x14ac:dyDescent="0.25">
      <c r="A13" t="s">
        <v>139</v>
      </c>
      <c r="B13" t="s">
        <v>140</v>
      </c>
      <c r="C13" t="s">
        <v>7</v>
      </c>
      <c r="D13" t="s">
        <v>0</v>
      </c>
      <c r="E13" t="s">
        <v>8</v>
      </c>
      <c r="F13" s="4">
        <v>1.3479419026829724</v>
      </c>
      <c r="H13" s="250">
        <v>8239800</v>
      </c>
      <c r="L13" s="249">
        <f t="shared" si="0"/>
        <v>-8.439836022158631E-2</v>
      </c>
      <c r="M13" s="4">
        <v>1.4323402629045587</v>
      </c>
    </row>
    <row r="14" spans="1:15" x14ac:dyDescent="0.25">
      <c r="A14" t="s">
        <v>139</v>
      </c>
      <c r="B14" t="s">
        <v>140</v>
      </c>
      <c r="C14" t="s">
        <v>5</v>
      </c>
      <c r="D14" t="s">
        <v>0</v>
      </c>
      <c r="E14" t="s">
        <v>8</v>
      </c>
      <c r="F14" s="4">
        <v>4.2782184868986395</v>
      </c>
      <c r="H14" s="250">
        <v>1855800</v>
      </c>
      <c r="L14" s="249">
        <f t="shared" si="0"/>
        <v>3.2347461581326504</v>
      </c>
      <c r="M14" s="4">
        <v>1.0434723287659891</v>
      </c>
    </row>
    <row r="15" spans="1:15" x14ac:dyDescent="0.25">
      <c r="A15" t="s">
        <v>139</v>
      </c>
      <c r="B15" t="s">
        <v>140</v>
      </c>
      <c r="C15" t="s">
        <v>6</v>
      </c>
      <c r="D15" t="s">
        <v>0</v>
      </c>
      <c r="E15" t="s">
        <v>8</v>
      </c>
      <c r="F15" s="4">
        <v>3.8799088929351226</v>
      </c>
      <c r="H15" s="250">
        <v>2662000</v>
      </c>
      <c r="L15" s="249">
        <f t="shared" si="0"/>
        <v>2.8799088929351226</v>
      </c>
      <c r="M15" s="4">
        <v>1</v>
      </c>
    </row>
    <row r="16" spans="1:15" x14ac:dyDescent="0.25">
      <c r="A16" t="s">
        <v>139</v>
      </c>
      <c r="B16" t="s">
        <v>153</v>
      </c>
      <c r="C16" t="s">
        <v>47</v>
      </c>
      <c r="D16" t="s">
        <v>0</v>
      </c>
      <c r="E16" t="s">
        <v>58</v>
      </c>
      <c r="F16" s="4">
        <v>1.7463342351127955</v>
      </c>
      <c r="G16" s="275">
        <v>1.1259440000000001</v>
      </c>
      <c r="H16" s="250">
        <v>697600</v>
      </c>
      <c r="L16" s="249">
        <f t="shared" si="0"/>
        <v>0.63249995840314144</v>
      </c>
      <c r="M16" s="4">
        <v>1.1138342767096541</v>
      </c>
    </row>
    <row r="17" spans="1:13" x14ac:dyDescent="0.25">
      <c r="A17" t="s">
        <v>139</v>
      </c>
      <c r="B17" t="s">
        <v>153</v>
      </c>
      <c r="C17" t="s">
        <v>58</v>
      </c>
      <c r="D17" t="s">
        <v>0</v>
      </c>
      <c r="E17" t="s">
        <v>58</v>
      </c>
      <c r="F17" s="4">
        <v>1</v>
      </c>
      <c r="G17" s="275">
        <v>2.0625</v>
      </c>
      <c r="H17" s="250">
        <v>414600</v>
      </c>
      <c r="L17" s="249">
        <f t="shared" si="0"/>
        <v>0</v>
      </c>
      <c r="M17" s="4">
        <v>1</v>
      </c>
    </row>
    <row r="18" spans="1:13" x14ac:dyDescent="0.25">
      <c r="A18" t="s">
        <v>139</v>
      </c>
      <c r="B18" t="s">
        <v>145</v>
      </c>
      <c r="C18" t="s">
        <v>48</v>
      </c>
      <c r="D18" t="s">
        <v>0</v>
      </c>
      <c r="E18" t="s">
        <v>52</v>
      </c>
      <c r="F18" s="4">
        <v>1.1135661953796396</v>
      </c>
      <c r="G18" s="275">
        <v>1.0709869999999999</v>
      </c>
      <c r="H18" s="250">
        <v>625300</v>
      </c>
      <c r="L18" s="249">
        <f t="shared" si="0"/>
        <v>-0.74642754586316262</v>
      </c>
      <c r="M18" s="4">
        <v>1.8599937412428023</v>
      </c>
    </row>
    <row r="19" spans="1:13" x14ac:dyDescent="0.25">
      <c r="A19" t="s">
        <v>139</v>
      </c>
      <c r="B19" t="s">
        <v>145</v>
      </c>
      <c r="C19" t="s">
        <v>52</v>
      </c>
      <c r="D19" t="s">
        <v>0</v>
      </c>
      <c r="E19" t="s">
        <v>52</v>
      </c>
      <c r="F19" s="4">
        <v>1</v>
      </c>
      <c r="G19" s="275">
        <v>1.0154069999999999</v>
      </c>
      <c r="H19" s="250">
        <v>567100</v>
      </c>
      <c r="L19" s="249">
        <f t="shared" si="0"/>
        <v>0</v>
      </c>
      <c r="M19" s="4">
        <v>1</v>
      </c>
    </row>
    <row r="20" spans="1:13" x14ac:dyDescent="0.25">
      <c r="A20" t="s">
        <v>139</v>
      </c>
      <c r="B20" t="s">
        <v>142</v>
      </c>
      <c r="C20" t="s">
        <v>31</v>
      </c>
      <c r="D20" t="s">
        <v>0</v>
      </c>
      <c r="E20" t="s">
        <v>31</v>
      </c>
      <c r="F20" s="4">
        <v>1</v>
      </c>
      <c r="H20" s="250">
        <v>107700</v>
      </c>
      <c r="L20" s="249">
        <f t="shared" si="0"/>
        <v>-0.20364177924917959</v>
      </c>
      <c r="M20" s="4">
        <v>1.2036417792491796</v>
      </c>
    </row>
    <row r="21" spans="1:13" x14ac:dyDescent="0.25">
      <c r="A21" t="s">
        <v>139</v>
      </c>
      <c r="B21" t="s">
        <v>142</v>
      </c>
      <c r="C21" t="s">
        <v>28</v>
      </c>
      <c r="D21" t="s">
        <v>0</v>
      </c>
      <c r="E21" t="s">
        <v>31</v>
      </c>
      <c r="F21" s="4">
        <v>3.3406467658894541</v>
      </c>
      <c r="H21" s="250">
        <v>570000</v>
      </c>
      <c r="L21" s="249">
        <f t="shared" si="0"/>
        <v>0.7030525383031101</v>
      </c>
      <c r="M21" s="4">
        <v>2.637594227586344</v>
      </c>
    </row>
    <row r="22" spans="1:13" x14ac:dyDescent="0.25">
      <c r="A22" t="s">
        <v>139</v>
      </c>
      <c r="B22" t="s">
        <v>142</v>
      </c>
      <c r="C22" t="s">
        <v>29</v>
      </c>
      <c r="D22" t="s">
        <v>0</v>
      </c>
      <c r="E22" t="s">
        <v>31</v>
      </c>
      <c r="F22" s="4">
        <v>1.888928744739145</v>
      </c>
      <c r="H22" s="250">
        <v>2118200</v>
      </c>
      <c r="L22" s="249">
        <f t="shared" si="0"/>
        <v>0.88892874473914496</v>
      </c>
      <c r="M22" s="4">
        <v>1</v>
      </c>
    </row>
    <row r="23" spans="1:13" x14ac:dyDescent="0.25">
      <c r="A23" t="s">
        <v>139</v>
      </c>
      <c r="B23" t="s">
        <v>142</v>
      </c>
      <c r="C23" t="s">
        <v>30</v>
      </c>
      <c r="D23" t="s">
        <v>0</v>
      </c>
      <c r="E23" t="s">
        <v>31</v>
      </c>
      <c r="F23" s="4">
        <v>1.2629890079031163</v>
      </c>
      <c r="H23" s="250">
        <v>77200</v>
      </c>
      <c r="L23" s="249">
        <f t="shared" si="0"/>
        <v>-2.4193347835529968</v>
      </c>
      <c r="M23" s="4">
        <v>3.6823237914561133</v>
      </c>
    </row>
    <row r="24" spans="1:13" x14ac:dyDescent="0.25">
      <c r="A24" t="s">
        <v>139</v>
      </c>
      <c r="B24" t="s">
        <v>143</v>
      </c>
      <c r="C24" t="s">
        <v>49</v>
      </c>
      <c r="D24" t="s">
        <v>0</v>
      </c>
      <c r="E24" t="s">
        <v>49</v>
      </c>
      <c r="F24" s="4">
        <v>1</v>
      </c>
      <c r="G24" s="275">
        <v>3.3170269999999999</v>
      </c>
      <c r="H24" s="250">
        <v>5874700</v>
      </c>
      <c r="L24" s="249">
        <f t="shared" si="0"/>
        <v>-3.114494854053703</v>
      </c>
      <c r="M24" s="4">
        <v>4.114494854053703</v>
      </c>
    </row>
    <row r="25" spans="1:13" x14ac:dyDescent="0.25">
      <c r="A25" t="s">
        <v>139</v>
      </c>
      <c r="B25" t="s">
        <v>143</v>
      </c>
      <c r="C25" t="s">
        <v>59</v>
      </c>
      <c r="D25" t="s">
        <v>0</v>
      </c>
      <c r="E25" t="s">
        <v>49</v>
      </c>
      <c r="F25" s="4">
        <v>1.4324665216551433</v>
      </c>
      <c r="G25" s="275">
        <v>2.6059000000000001</v>
      </c>
      <c r="H25" s="250">
        <v>534800</v>
      </c>
      <c r="L25" s="249">
        <f t="shared" si="0"/>
        <v>-1.1699601146061709</v>
      </c>
      <c r="M25" s="4">
        <v>2.6024266362613142</v>
      </c>
    </row>
    <row r="26" spans="1:13" x14ac:dyDescent="0.25">
      <c r="A26" t="s">
        <v>139</v>
      </c>
      <c r="B26" t="s">
        <v>141</v>
      </c>
      <c r="C26" t="s">
        <v>44</v>
      </c>
      <c r="D26" t="s">
        <v>0</v>
      </c>
      <c r="E26" t="s">
        <v>44</v>
      </c>
      <c r="F26" s="4">
        <v>1</v>
      </c>
      <c r="G26" s="275">
        <v>1.2823</v>
      </c>
      <c r="H26" s="250">
        <v>748700</v>
      </c>
      <c r="L26" s="249">
        <f t="shared" si="0"/>
        <v>0</v>
      </c>
      <c r="M26" s="4">
        <v>1</v>
      </c>
    </row>
    <row r="27" spans="1:13" x14ac:dyDescent="0.25">
      <c r="A27" t="s">
        <v>139</v>
      </c>
      <c r="B27" t="s">
        <v>141</v>
      </c>
      <c r="C27" t="s">
        <v>50</v>
      </c>
      <c r="D27" t="s">
        <v>0</v>
      </c>
      <c r="E27" t="s">
        <v>44</v>
      </c>
      <c r="F27" s="4">
        <v>1.075310684770924</v>
      </c>
      <c r="G27" s="275">
        <v>1.1721300000000001</v>
      </c>
      <c r="H27" s="250">
        <v>755000</v>
      </c>
      <c r="L27" s="249">
        <f t="shared" si="0"/>
        <v>-3.1624064058244739</v>
      </c>
      <c r="M27" s="4">
        <v>4.2377170905953978</v>
      </c>
    </row>
    <row r="28" spans="1:13" x14ac:dyDescent="0.25">
      <c r="A28" t="s">
        <v>139</v>
      </c>
      <c r="B28" t="s">
        <v>147</v>
      </c>
      <c r="C28" t="s">
        <v>16</v>
      </c>
      <c r="D28" t="s">
        <v>0</v>
      </c>
      <c r="E28" t="s">
        <v>17</v>
      </c>
      <c r="F28" s="4">
        <v>1.2035889361426353</v>
      </c>
      <c r="H28" s="250">
        <v>32286700</v>
      </c>
      <c r="L28" s="249">
        <f t="shared" si="0"/>
        <v>-0.8140204473775654</v>
      </c>
      <c r="M28" s="4">
        <v>2.0176093835202007</v>
      </c>
    </row>
    <row r="29" spans="1:13" x14ac:dyDescent="0.25">
      <c r="A29" t="s">
        <v>139</v>
      </c>
      <c r="B29" t="s">
        <v>147</v>
      </c>
      <c r="C29" t="s">
        <v>14</v>
      </c>
      <c r="D29" t="s">
        <v>0</v>
      </c>
      <c r="E29" t="s">
        <v>17</v>
      </c>
      <c r="F29" s="4">
        <v>2.637559216808536</v>
      </c>
      <c r="H29" s="250">
        <v>963500</v>
      </c>
      <c r="L29" s="249">
        <f t="shared" si="0"/>
        <v>1.637559216808536</v>
      </c>
      <c r="M29" s="4">
        <v>1</v>
      </c>
    </row>
    <row r="30" spans="1:13" x14ac:dyDescent="0.25">
      <c r="A30" t="s">
        <v>139</v>
      </c>
      <c r="B30" t="s">
        <v>147</v>
      </c>
      <c r="C30" t="s">
        <v>17</v>
      </c>
      <c r="D30" t="s">
        <v>0</v>
      </c>
      <c r="E30" t="s">
        <v>17</v>
      </c>
      <c r="F30" s="4">
        <v>1</v>
      </c>
      <c r="H30" s="250">
        <v>2616500</v>
      </c>
      <c r="L30" s="249">
        <f t="shared" si="0"/>
        <v>-1.3521999182745881</v>
      </c>
      <c r="M30" s="4">
        <v>2.3521999182745881</v>
      </c>
    </row>
    <row r="31" spans="1:13" x14ac:dyDescent="0.25">
      <c r="A31" t="s">
        <v>139</v>
      </c>
      <c r="B31" t="s">
        <v>147</v>
      </c>
      <c r="C31" t="s">
        <v>13</v>
      </c>
      <c r="D31" t="s">
        <v>0</v>
      </c>
      <c r="E31" t="s">
        <v>17</v>
      </c>
      <c r="F31" s="4">
        <v>3.68234253228171</v>
      </c>
      <c r="H31" s="250">
        <v>1048300</v>
      </c>
      <c r="L31" s="249">
        <f t="shared" si="0"/>
        <v>1.5535849892667808</v>
      </c>
      <c r="M31" s="4">
        <v>2.1287575430149293</v>
      </c>
    </row>
    <row r="32" spans="1:13" x14ac:dyDescent="0.25">
      <c r="A32" t="s">
        <v>139</v>
      </c>
      <c r="B32" t="s">
        <v>147</v>
      </c>
      <c r="C32" t="s">
        <v>12</v>
      </c>
      <c r="D32" t="s">
        <v>0</v>
      </c>
      <c r="E32" t="s">
        <v>17</v>
      </c>
      <c r="F32" s="4">
        <v>4.114272997957455</v>
      </c>
      <c r="H32" s="250">
        <v>5466400</v>
      </c>
      <c r="L32" s="249">
        <f t="shared" si="0"/>
        <v>3.114272997957455</v>
      </c>
      <c r="M32" s="4">
        <v>1</v>
      </c>
    </row>
    <row r="33" spans="1:13" x14ac:dyDescent="0.25">
      <c r="A33" t="s">
        <v>139</v>
      </c>
      <c r="B33" t="s">
        <v>147</v>
      </c>
      <c r="C33" t="s">
        <v>15</v>
      </c>
      <c r="D33" t="s">
        <v>0</v>
      </c>
      <c r="E33" t="s">
        <v>17</v>
      </c>
      <c r="F33" s="4">
        <v>2.6023751615327924</v>
      </c>
      <c r="H33" s="250">
        <v>10856400</v>
      </c>
      <c r="L33" s="249">
        <f t="shared" si="0"/>
        <v>0.95602671476204026</v>
      </c>
      <c r="M33" s="4">
        <v>1.6463484467707521</v>
      </c>
    </row>
    <row r="34" spans="1:13" x14ac:dyDescent="0.25">
      <c r="A34" t="s">
        <v>139</v>
      </c>
      <c r="B34" t="s">
        <v>144</v>
      </c>
      <c r="C34" t="s">
        <v>45</v>
      </c>
      <c r="D34" t="s">
        <v>0</v>
      </c>
      <c r="E34" t="s">
        <v>51</v>
      </c>
      <c r="F34" s="4">
        <v>1.0437848742557227</v>
      </c>
      <c r="G34" s="275">
        <v>0.90090000000000003</v>
      </c>
      <c r="H34" s="250">
        <v>4142100</v>
      </c>
      <c r="L34" s="249">
        <f t="shared" si="0"/>
        <v>-0.45654789465141787</v>
      </c>
      <c r="M34" s="4">
        <v>1.5003327689071406</v>
      </c>
    </row>
    <row r="35" spans="1:13" x14ac:dyDescent="0.25">
      <c r="A35" t="s">
        <v>139</v>
      </c>
      <c r="B35" t="s">
        <v>144</v>
      </c>
      <c r="C35" t="s">
        <v>51</v>
      </c>
      <c r="D35" t="s">
        <v>0</v>
      </c>
      <c r="E35" t="s">
        <v>51</v>
      </c>
      <c r="F35" s="4">
        <v>1</v>
      </c>
      <c r="G35" s="275">
        <v>0.71307999999999994</v>
      </c>
      <c r="H35" s="250">
        <v>1109300</v>
      </c>
      <c r="L35" s="249">
        <f t="shared" si="0"/>
        <v>-2.360763053715413</v>
      </c>
      <c r="M35" s="4">
        <v>3.360763053715413</v>
      </c>
    </row>
    <row r="36" spans="1:13" x14ac:dyDescent="0.25">
      <c r="A36" t="s">
        <v>139</v>
      </c>
      <c r="B36" t="s">
        <v>146</v>
      </c>
      <c r="C36" t="s">
        <v>46</v>
      </c>
      <c r="D36" t="s">
        <v>0</v>
      </c>
      <c r="E36" t="s">
        <v>53</v>
      </c>
      <c r="F36" s="4">
        <v>1.8585084719947207</v>
      </c>
      <c r="G36" s="275">
        <v>0.34714599999999995</v>
      </c>
      <c r="H36" s="250">
        <v>440700</v>
      </c>
      <c r="L36" s="249">
        <f t="shared" si="0"/>
        <v>0.85850847199472069</v>
      </c>
      <c r="M36" s="4">
        <v>1</v>
      </c>
    </row>
    <row r="37" spans="1:13" x14ac:dyDescent="0.25">
      <c r="A37" t="s">
        <v>139</v>
      </c>
      <c r="B37" t="s">
        <v>146</v>
      </c>
      <c r="C37" t="s">
        <v>53</v>
      </c>
      <c r="D37" t="s">
        <v>0</v>
      </c>
      <c r="E37" t="s">
        <v>53</v>
      </c>
      <c r="F37" s="4">
        <v>1</v>
      </c>
      <c r="G37" s="275">
        <v>0</v>
      </c>
      <c r="H37" s="250">
        <v>309400</v>
      </c>
      <c r="L37" s="249">
        <f t="shared" si="0"/>
        <v>-0.76247955249969435</v>
      </c>
      <c r="M37" s="4">
        <v>1.7624795524996943</v>
      </c>
    </row>
    <row r="38" spans="1:13" x14ac:dyDescent="0.25">
      <c r="A38" t="s">
        <v>139</v>
      </c>
      <c r="B38" t="s">
        <v>151</v>
      </c>
      <c r="C38" t="s">
        <v>23</v>
      </c>
      <c r="D38" t="s">
        <v>0</v>
      </c>
      <c r="E38" t="s">
        <v>24</v>
      </c>
      <c r="F38" s="4">
        <v>1.500449323913702</v>
      </c>
      <c r="H38" s="250">
        <v>2065500</v>
      </c>
      <c r="L38" s="249">
        <f t="shared" si="0"/>
        <v>-0.60177801010480336</v>
      </c>
      <c r="M38" s="4">
        <v>2.1022273340185054</v>
      </c>
    </row>
    <row r="39" spans="1:13" x14ac:dyDescent="0.25">
      <c r="A39" t="s">
        <v>139</v>
      </c>
      <c r="B39" t="s">
        <v>151</v>
      </c>
      <c r="C39" t="s">
        <v>22</v>
      </c>
      <c r="D39" t="s">
        <v>0</v>
      </c>
      <c r="E39" t="s">
        <v>24</v>
      </c>
      <c r="F39" s="4">
        <v>3.360824949783543</v>
      </c>
      <c r="H39" s="250">
        <v>2759500</v>
      </c>
      <c r="L39" s="249">
        <f t="shared" si="0"/>
        <v>2.360824949783543</v>
      </c>
      <c r="M39" s="4">
        <v>1</v>
      </c>
    </row>
    <row r="40" spans="1:13" x14ac:dyDescent="0.25">
      <c r="A40" t="s">
        <v>139</v>
      </c>
      <c r="B40" t="s">
        <v>151</v>
      </c>
      <c r="C40" t="s">
        <v>24</v>
      </c>
      <c r="D40" t="s">
        <v>0</v>
      </c>
      <c r="E40" t="s">
        <v>24</v>
      </c>
      <c r="F40" s="4">
        <v>1</v>
      </c>
      <c r="H40" s="250">
        <v>3997100</v>
      </c>
      <c r="L40" s="249">
        <f t="shared" si="0"/>
        <v>-0.74651696678900659</v>
      </c>
      <c r="M40" s="4">
        <v>1.7465169667890066</v>
      </c>
    </row>
    <row r="41" spans="1:13" x14ac:dyDescent="0.25">
      <c r="A41" t="s">
        <v>139</v>
      </c>
      <c r="B41" t="s">
        <v>152</v>
      </c>
      <c r="C41" t="s">
        <v>26</v>
      </c>
      <c r="D41" t="s">
        <v>0</v>
      </c>
      <c r="E41" t="s">
        <v>27</v>
      </c>
      <c r="F41" s="4">
        <v>1.7623444074974053</v>
      </c>
      <c r="H41" s="250">
        <v>842800</v>
      </c>
      <c r="L41" s="249">
        <f t="shared" si="0"/>
        <v>0.76234440749740529</v>
      </c>
      <c r="M41" s="4">
        <v>1</v>
      </c>
    </row>
    <row r="42" spans="1:13" x14ac:dyDescent="0.25">
      <c r="A42" t="s">
        <v>139</v>
      </c>
      <c r="B42" t="s">
        <v>152</v>
      </c>
      <c r="C42" t="s">
        <v>25</v>
      </c>
      <c r="D42" t="s">
        <v>0</v>
      </c>
      <c r="E42" t="s">
        <v>27</v>
      </c>
      <c r="F42" s="4">
        <v>2.1021591158613688</v>
      </c>
      <c r="H42" s="250">
        <v>5347700</v>
      </c>
      <c r="L42" s="249">
        <f t="shared" si="0"/>
        <v>-2.9807139082577541</v>
      </c>
      <c r="M42" s="4">
        <v>5.0828730241191229</v>
      </c>
    </row>
    <row r="43" spans="1:13" x14ac:dyDescent="0.25">
      <c r="A43" t="s">
        <v>139</v>
      </c>
      <c r="B43" t="s">
        <v>152</v>
      </c>
      <c r="C43" t="s">
        <v>27</v>
      </c>
      <c r="D43" t="s">
        <v>0</v>
      </c>
      <c r="E43" t="s">
        <v>27</v>
      </c>
      <c r="F43" s="4">
        <v>1</v>
      </c>
      <c r="H43" s="250">
        <v>2196800</v>
      </c>
      <c r="L43" s="249">
        <f t="shared" si="0"/>
        <v>0</v>
      </c>
      <c r="M43" s="4">
        <v>1</v>
      </c>
    </row>
    <row r="44" spans="1:13" x14ac:dyDescent="0.25">
      <c r="A44" t="s">
        <v>139</v>
      </c>
      <c r="B44" t="s">
        <v>148</v>
      </c>
      <c r="C44" t="s">
        <v>20</v>
      </c>
      <c r="D44" t="s">
        <v>0</v>
      </c>
      <c r="E44" t="s">
        <v>20</v>
      </c>
      <c r="F44" s="4">
        <v>1</v>
      </c>
      <c r="H44" s="250">
        <v>2241800</v>
      </c>
      <c r="L44" s="249">
        <f t="shared" si="0"/>
        <v>-0.71731636252645048</v>
      </c>
      <c r="M44" s="4">
        <v>1.7173163625264505</v>
      </c>
    </row>
    <row r="45" spans="1:13" x14ac:dyDescent="0.25">
      <c r="A45" t="s">
        <v>139</v>
      </c>
      <c r="B45" t="s">
        <v>148</v>
      </c>
      <c r="C45" t="s">
        <v>18</v>
      </c>
      <c r="D45" t="s">
        <v>0</v>
      </c>
      <c r="E45" t="s">
        <v>20</v>
      </c>
      <c r="F45" s="4">
        <v>4.237656263969221</v>
      </c>
      <c r="H45" s="250">
        <v>1138500</v>
      </c>
      <c r="L45" s="249">
        <f t="shared" si="0"/>
        <v>3.237656263969221</v>
      </c>
      <c r="M45" s="4">
        <v>1</v>
      </c>
    </row>
    <row r="46" spans="1:13" x14ac:dyDescent="0.25">
      <c r="A46" t="s">
        <v>139</v>
      </c>
      <c r="B46" t="s">
        <v>148</v>
      </c>
      <c r="C46" t="s">
        <v>19</v>
      </c>
      <c r="D46" t="s">
        <v>0</v>
      </c>
      <c r="E46" t="s">
        <v>20</v>
      </c>
      <c r="F46" s="4">
        <v>2.0175212649382339</v>
      </c>
      <c r="H46" s="250">
        <v>1357700</v>
      </c>
      <c r="L46" s="249">
        <f t="shared" si="0"/>
        <v>-1.8513365747849719</v>
      </c>
      <c r="M46" s="4">
        <v>3.8688578397232058</v>
      </c>
    </row>
    <row r="47" spans="1:13" x14ac:dyDescent="0.25">
      <c r="A47" t="s">
        <v>139</v>
      </c>
      <c r="B47" t="s">
        <v>149</v>
      </c>
      <c r="C47" t="s">
        <v>4</v>
      </c>
      <c r="D47" t="s">
        <v>0</v>
      </c>
      <c r="E47" t="s">
        <v>4</v>
      </c>
      <c r="F47" s="4">
        <v>1</v>
      </c>
      <c r="H47" s="250">
        <v>5380900</v>
      </c>
      <c r="L47" s="249">
        <f t="shared" si="0"/>
        <v>0</v>
      </c>
      <c r="M47" s="4">
        <v>1</v>
      </c>
    </row>
    <row r="48" spans="1:13" x14ac:dyDescent="0.25">
      <c r="A48" t="s">
        <v>139</v>
      </c>
      <c r="B48" t="s">
        <v>149</v>
      </c>
      <c r="C48" t="s">
        <v>21</v>
      </c>
      <c r="D48" t="s">
        <v>0</v>
      </c>
      <c r="E48" t="s">
        <v>4</v>
      </c>
      <c r="F48" s="4">
        <v>2.3530896322806996</v>
      </c>
      <c r="H48" s="250">
        <v>671600</v>
      </c>
      <c r="L48" s="249">
        <f t="shared" si="0"/>
        <v>-1.2622287024230188</v>
      </c>
      <c r="M48" s="4">
        <v>3.6153183347037183</v>
      </c>
    </row>
    <row r="49" spans="1:13" x14ac:dyDescent="0.25">
      <c r="A49" t="s">
        <v>139</v>
      </c>
      <c r="B49" t="s">
        <v>149</v>
      </c>
      <c r="C49" t="s">
        <v>3</v>
      </c>
      <c r="D49" t="s">
        <v>0</v>
      </c>
      <c r="E49" t="s">
        <v>4</v>
      </c>
      <c r="F49" s="4">
        <v>2.129322886792584</v>
      </c>
      <c r="H49" s="250">
        <v>9722400</v>
      </c>
      <c r="L49" s="249">
        <f t="shared" si="0"/>
        <v>1.129322886792584</v>
      </c>
      <c r="M49" s="4">
        <v>1</v>
      </c>
    </row>
    <row r="50" spans="1:13" x14ac:dyDescent="0.25">
      <c r="A50" t="s">
        <v>139</v>
      </c>
      <c r="B50" t="s">
        <v>150</v>
      </c>
      <c r="C50" t="s">
        <v>54</v>
      </c>
      <c r="D50" t="s">
        <v>0</v>
      </c>
      <c r="E50" t="s">
        <v>54</v>
      </c>
      <c r="F50" s="4">
        <v>1</v>
      </c>
      <c r="G50" s="275">
        <v>1.0603740000000001</v>
      </c>
      <c r="H50" s="250">
        <v>2825000</v>
      </c>
      <c r="L50" s="249">
        <f t="shared" si="0"/>
        <v>-2.2950194314567107</v>
      </c>
      <c r="M50" s="4">
        <v>3.2950194314567107</v>
      </c>
    </row>
    <row r="51" spans="1:13" x14ac:dyDescent="0.25">
      <c r="A51" t="s">
        <v>139</v>
      </c>
      <c r="B51" t="s">
        <v>150</v>
      </c>
      <c r="C51" t="s">
        <v>55</v>
      </c>
      <c r="D51" t="s">
        <v>0</v>
      </c>
      <c r="E51" t="s">
        <v>54</v>
      </c>
      <c r="F51" s="4">
        <v>1.6473409727812638</v>
      </c>
      <c r="G51" s="275">
        <v>0.79999999999999993</v>
      </c>
      <c r="H51" s="250">
        <v>752100</v>
      </c>
      <c r="L51" s="249">
        <f t="shared" si="0"/>
        <v>0.64734097278126379</v>
      </c>
      <c r="M51" s="4">
        <v>1</v>
      </c>
    </row>
    <row r="52" spans="1:13" x14ac:dyDescent="0.25">
      <c r="A52" t="s">
        <v>122</v>
      </c>
      <c r="B52" t="s">
        <v>132</v>
      </c>
      <c r="C52" t="s">
        <v>183</v>
      </c>
      <c r="D52" t="s">
        <v>0</v>
      </c>
      <c r="E52" t="s">
        <v>186</v>
      </c>
      <c r="F52" s="4">
        <v>3.8506069329982653</v>
      </c>
      <c r="H52" s="250">
        <v>79000</v>
      </c>
      <c r="L52" s="249">
        <f t="shared" si="0"/>
        <v>-0.44122683577715183</v>
      </c>
      <c r="M52" s="4">
        <v>4.2918337687754171</v>
      </c>
    </row>
    <row r="53" spans="1:13" x14ac:dyDescent="0.25">
      <c r="A53" t="s">
        <v>122</v>
      </c>
      <c r="B53" t="s">
        <v>132</v>
      </c>
      <c r="C53" t="s">
        <v>186</v>
      </c>
      <c r="D53" t="s">
        <v>0</v>
      </c>
      <c r="E53" t="s">
        <v>186</v>
      </c>
      <c r="F53" s="4">
        <v>1</v>
      </c>
      <c r="H53" s="250">
        <v>134500</v>
      </c>
      <c r="L53" s="249">
        <f t="shared" si="0"/>
        <v>0</v>
      </c>
      <c r="M53" s="4">
        <v>1</v>
      </c>
    </row>
    <row r="54" spans="1:13" x14ac:dyDescent="0.25">
      <c r="A54" t="s">
        <v>122</v>
      </c>
      <c r="B54" t="s">
        <v>132</v>
      </c>
      <c r="C54" t="s">
        <v>184</v>
      </c>
      <c r="D54" t="s">
        <v>0</v>
      </c>
      <c r="E54" t="s">
        <v>185</v>
      </c>
      <c r="F54" s="4">
        <v>1.1464673298061949</v>
      </c>
      <c r="G54" s="275">
        <v>0.150284</v>
      </c>
      <c r="H54" s="250">
        <v>95600</v>
      </c>
      <c r="L54" s="249">
        <f t="shared" si="0"/>
        <v>0.14646732980619492</v>
      </c>
      <c r="M54" s="4">
        <v>1</v>
      </c>
    </row>
    <row r="55" spans="1:13" x14ac:dyDescent="0.25">
      <c r="A55" t="s">
        <v>122</v>
      </c>
      <c r="B55" t="s">
        <v>132</v>
      </c>
      <c r="C55" t="s">
        <v>185</v>
      </c>
      <c r="D55" t="s">
        <v>0</v>
      </c>
      <c r="E55" t="s">
        <v>185</v>
      </c>
      <c r="F55" s="4">
        <v>1</v>
      </c>
      <c r="G55" s="275">
        <v>0</v>
      </c>
      <c r="H55" s="250">
        <v>7164300</v>
      </c>
      <c r="L55" s="249">
        <f t="shared" si="0"/>
        <v>-1.3864897251698372</v>
      </c>
      <c r="M55" s="4">
        <v>2.3864897251698372</v>
      </c>
    </row>
    <row r="56" spans="1:13" x14ac:dyDescent="0.25">
      <c r="A56" t="s">
        <v>122</v>
      </c>
      <c r="B56" t="s">
        <v>126</v>
      </c>
      <c r="C56" t="s">
        <v>98</v>
      </c>
      <c r="D56" t="s">
        <v>0</v>
      </c>
      <c r="E56" t="s">
        <v>98</v>
      </c>
      <c r="F56" s="4">
        <v>1</v>
      </c>
      <c r="G56" s="275">
        <v>0.39350299999999999</v>
      </c>
      <c r="H56" s="250">
        <v>810800</v>
      </c>
      <c r="L56" s="249">
        <f t="shared" si="0"/>
        <v>-2.3498653093514958</v>
      </c>
      <c r="M56" s="4">
        <v>3.3498653093514958</v>
      </c>
    </row>
    <row r="57" spans="1:13" x14ac:dyDescent="0.25">
      <c r="A57" t="s">
        <v>122</v>
      </c>
      <c r="B57" t="s">
        <v>126</v>
      </c>
      <c r="C57" t="s">
        <v>100</v>
      </c>
      <c r="D57" t="s">
        <v>0</v>
      </c>
      <c r="E57" t="s">
        <v>98</v>
      </c>
      <c r="F57" s="4">
        <v>1.0572837255459098</v>
      </c>
      <c r="G57" s="275">
        <v>0</v>
      </c>
      <c r="H57" s="250">
        <v>29352700</v>
      </c>
      <c r="L57" s="249">
        <f t="shared" si="0"/>
        <v>5.7283725545909769E-2</v>
      </c>
      <c r="M57" s="4">
        <v>1</v>
      </c>
    </row>
    <row r="58" spans="1:13" x14ac:dyDescent="0.25">
      <c r="A58" t="s">
        <v>122</v>
      </c>
      <c r="B58" t="s">
        <v>126</v>
      </c>
      <c r="C58" t="s">
        <v>97</v>
      </c>
      <c r="D58" t="s">
        <v>0</v>
      </c>
      <c r="E58" t="s">
        <v>99</v>
      </c>
      <c r="F58" s="4">
        <v>5.0828381060701133</v>
      </c>
      <c r="H58" s="250">
        <v>1232600</v>
      </c>
      <c r="L58" s="249">
        <f t="shared" si="0"/>
        <v>4.0828381060701133</v>
      </c>
      <c r="M58" s="4">
        <v>1</v>
      </c>
    </row>
    <row r="59" spans="1:13" x14ac:dyDescent="0.25">
      <c r="A59" t="s">
        <v>122</v>
      </c>
      <c r="B59" t="s">
        <v>126</v>
      </c>
      <c r="C59" t="s">
        <v>99</v>
      </c>
      <c r="D59" t="s">
        <v>0</v>
      </c>
      <c r="E59" t="s">
        <v>99</v>
      </c>
      <c r="F59" s="4">
        <v>1</v>
      </c>
      <c r="H59" s="250">
        <v>558000</v>
      </c>
      <c r="L59" s="249">
        <f t="shared" si="0"/>
        <v>-5.7498647890934285E-2</v>
      </c>
      <c r="M59" s="4">
        <v>1.0574986478909343</v>
      </c>
    </row>
    <row r="60" spans="1:13" x14ac:dyDescent="0.25">
      <c r="A60" t="s">
        <v>122</v>
      </c>
      <c r="B60" t="s">
        <v>128</v>
      </c>
      <c r="C60" t="s">
        <v>101</v>
      </c>
      <c r="D60" t="s">
        <v>0</v>
      </c>
      <c r="E60" t="s">
        <v>101</v>
      </c>
      <c r="F60" s="4">
        <v>1</v>
      </c>
      <c r="G60" s="275">
        <v>0.41789900000000002</v>
      </c>
      <c r="H60" s="250">
        <v>385700</v>
      </c>
      <c r="L60" s="249">
        <f t="shared" si="0"/>
        <v>0</v>
      </c>
      <c r="M60" s="4">
        <v>1</v>
      </c>
    </row>
    <row r="61" spans="1:13" x14ac:dyDescent="0.25">
      <c r="A61" t="s">
        <v>122</v>
      </c>
      <c r="B61" t="s">
        <v>128</v>
      </c>
      <c r="C61" t="s">
        <v>103</v>
      </c>
      <c r="D61" t="s">
        <v>0</v>
      </c>
      <c r="E61" t="s">
        <v>101</v>
      </c>
      <c r="F61" s="4">
        <v>2.3668315259736401</v>
      </c>
      <c r="G61" s="275">
        <v>0</v>
      </c>
      <c r="H61" s="250">
        <v>31548200</v>
      </c>
      <c r="L61" s="249">
        <f t="shared" si="0"/>
        <v>-1.3607001352546888E-3</v>
      </c>
      <c r="M61" s="4">
        <v>2.3681922261088948</v>
      </c>
    </row>
    <row r="62" spans="1:13" x14ac:dyDescent="0.25">
      <c r="A62" t="s">
        <v>122</v>
      </c>
      <c r="B62" t="s">
        <v>128</v>
      </c>
      <c r="C62" t="s">
        <v>133</v>
      </c>
      <c r="D62" t="s">
        <v>0</v>
      </c>
      <c r="E62" t="s">
        <v>102</v>
      </c>
      <c r="F62" s="4">
        <v>1.7172660843398713</v>
      </c>
      <c r="H62" s="250">
        <v>108500</v>
      </c>
      <c r="L62" s="249">
        <f t="shared" si="0"/>
        <v>-0.64882502614509785</v>
      </c>
      <c r="M62" s="4">
        <v>2.3660911104849691</v>
      </c>
    </row>
    <row r="63" spans="1:13" x14ac:dyDescent="0.25">
      <c r="A63" t="s">
        <v>122</v>
      </c>
      <c r="B63" t="s">
        <v>128</v>
      </c>
      <c r="C63" t="s">
        <v>102</v>
      </c>
      <c r="D63" t="s">
        <v>0</v>
      </c>
      <c r="E63" t="s">
        <v>102</v>
      </c>
      <c r="F63" s="4">
        <v>1</v>
      </c>
      <c r="H63" s="250">
        <v>511000</v>
      </c>
      <c r="L63" s="249">
        <f t="shared" si="0"/>
        <v>0</v>
      </c>
      <c r="M63" s="4">
        <v>1</v>
      </c>
    </row>
    <row r="64" spans="1:13" x14ac:dyDescent="0.25">
      <c r="A64" t="s">
        <v>122</v>
      </c>
      <c r="B64" t="s">
        <v>127</v>
      </c>
      <c r="C64" t="s">
        <v>104</v>
      </c>
      <c r="D64" t="s">
        <v>0</v>
      </c>
      <c r="E64" t="s">
        <v>106</v>
      </c>
      <c r="F64" s="4">
        <v>3.8689458567387986</v>
      </c>
      <c r="H64" s="250">
        <v>243500</v>
      </c>
      <c r="L64" s="249">
        <f t="shared" si="0"/>
        <v>2.7787211302169719</v>
      </c>
      <c r="M64" s="4">
        <v>1.0902247265218268</v>
      </c>
    </row>
    <row r="65" spans="1:13" x14ac:dyDescent="0.25">
      <c r="A65" t="s">
        <v>122</v>
      </c>
      <c r="B65" t="s">
        <v>127</v>
      </c>
      <c r="C65" t="s">
        <v>106</v>
      </c>
      <c r="D65" t="s">
        <v>0</v>
      </c>
      <c r="E65" t="s">
        <v>106</v>
      </c>
      <c r="F65" s="4">
        <v>1</v>
      </c>
      <c r="H65" s="250">
        <v>596200</v>
      </c>
      <c r="L65" s="249">
        <f t="shared" si="0"/>
        <v>0</v>
      </c>
      <c r="M65" s="4">
        <v>1</v>
      </c>
    </row>
    <row r="66" spans="1:13" x14ac:dyDescent="0.25">
      <c r="A66" t="s">
        <v>122</v>
      </c>
      <c r="B66" t="s">
        <v>127</v>
      </c>
      <c r="C66" t="s">
        <v>105</v>
      </c>
      <c r="D66" t="s">
        <v>0</v>
      </c>
      <c r="E66" t="s">
        <v>107</v>
      </c>
      <c r="F66" s="4">
        <v>2.3659385058002127</v>
      </c>
      <c r="G66" s="275">
        <v>0.190827</v>
      </c>
      <c r="H66" s="250">
        <v>713200</v>
      </c>
      <c r="L66" s="249">
        <f t="shared" si="0"/>
        <v>1.3659385058002127</v>
      </c>
      <c r="M66" s="4">
        <v>1</v>
      </c>
    </row>
    <row r="67" spans="1:13" x14ac:dyDescent="0.25">
      <c r="A67" t="s">
        <v>122</v>
      </c>
      <c r="B67" t="s">
        <v>127</v>
      </c>
      <c r="C67" t="s">
        <v>107</v>
      </c>
      <c r="D67" t="s">
        <v>0</v>
      </c>
      <c r="E67" t="s">
        <v>107</v>
      </c>
      <c r="F67" s="4">
        <v>1</v>
      </c>
      <c r="G67" s="275">
        <v>0</v>
      </c>
      <c r="H67" s="250">
        <v>9261500</v>
      </c>
      <c r="L67" s="249">
        <f t="shared" ref="L67:L89" si="1">+F67-M67</f>
        <v>-1.3248061715585679</v>
      </c>
      <c r="M67" s="4">
        <v>2.3248061715585679</v>
      </c>
    </row>
    <row r="68" spans="1:13" x14ac:dyDescent="0.25">
      <c r="A68" t="s">
        <v>122</v>
      </c>
      <c r="B68" t="s">
        <v>158</v>
      </c>
      <c r="C68" t="s">
        <v>108</v>
      </c>
      <c r="D68" t="s">
        <v>0</v>
      </c>
      <c r="E68" t="s">
        <v>134</v>
      </c>
      <c r="F68" s="4">
        <v>3.6154183372750159</v>
      </c>
      <c r="H68" s="250">
        <v>132200</v>
      </c>
      <c r="L68" s="249">
        <f t="shared" si="1"/>
        <v>2.4767783022363998</v>
      </c>
      <c r="M68" s="4">
        <v>1.1386400350386163</v>
      </c>
    </row>
    <row r="69" spans="1:13" x14ac:dyDescent="0.25">
      <c r="A69" t="s">
        <v>122</v>
      </c>
      <c r="B69" t="s">
        <v>158</v>
      </c>
      <c r="C69" t="s">
        <v>134</v>
      </c>
      <c r="D69" t="s">
        <v>0</v>
      </c>
      <c r="E69" t="s">
        <v>134</v>
      </c>
      <c r="F69" s="4">
        <v>1</v>
      </c>
      <c r="H69" s="250">
        <v>273500</v>
      </c>
      <c r="L69" s="249">
        <f t="shared" si="1"/>
        <v>0</v>
      </c>
      <c r="M69" s="4">
        <v>1</v>
      </c>
    </row>
    <row r="70" spans="1:13" x14ac:dyDescent="0.25">
      <c r="A70" t="s">
        <v>122</v>
      </c>
      <c r="B70" t="s">
        <v>158</v>
      </c>
      <c r="C70" t="s">
        <v>135</v>
      </c>
      <c r="D70" t="s">
        <v>0</v>
      </c>
      <c r="E70" t="s">
        <v>109</v>
      </c>
      <c r="F70" s="4">
        <v>1.0883086283338783</v>
      </c>
      <c r="G70" s="275">
        <v>0.30100700000000002</v>
      </c>
      <c r="H70" s="250">
        <v>127000</v>
      </c>
      <c r="L70" s="249">
        <f t="shared" si="1"/>
        <v>8.8308628333878314E-2</v>
      </c>
      <c r="M70" s="4">
        <v>1</v>
      </c>
    </row>
    <row r="71" spans="1:13" x14ac:dyDescent="0.25">
      <c r="A71" t="s">
        <v>122</v>
      </c>
      <c r="B71" t="s">
        <v>158</v>
      </c>
      <c r="C71" t="s">
        <v>109</v>
      </c>
      <c r="D71" t="s">
        <v>0</v>
      </c>
      <c r="E71" t="s">
        <v>109</v>
      </c>
      <c r="F71" s="4">
        <v>1</v>
      </c>
      <c r="G71" s="275">
        <v>0</v>
      </c>
      <c r="H71" s="250">
        <v>6788900</v>
      </c>
      <c r="L71" s="249">
        <f t="shared" si="1"/>
        <v>-0.35020179292459774</v>
      </c>
      <c r="M71" s="4">
        <v>1.3502017929245977</v>
      </c>
    </row>
    <row r="72" spans="1:13" x14ac:dyDescent="0.25">
      <c r="A72" t="s">
        <v>122</v>
      </c>
      <c r="B72" t="s">
        <v>125</v>
      </c>
      <c r="C72" t="s">
        <v>111</v>
      </c>
      <c r="D72" t="s">
        <v>0</v>
      </c>
      <c r="E72" t="s">
        <v>111</v>
      </c>
      <c r="F72" s="4">
        <v>1</v>
      </c>
      <c r="G72" s="275">
        <v>0.73818700000000004</v>
      </c>
      <c r="H72" s="250">
        <v>5257700</v>
      </c>
      <c r="L72" s="249">
        <f t="shared" si="1"/>
        <v>0</v>
      </c>
      <c r="M72" s="4">
        <v>1</v>
      </c>
    </row>
    <row r="73" spans="1:13" x14ac:dyDescent="0.25">
      <c r="A73" t="s">
        <v>122</v>
      </c>
      <c r="B73" t="s">
        <v>125</v>
      </c>
      <c r="C73" t="s">
        <v>113</v>
      </c>
      <c r="D73" t="s">
        <v>0</v>
      </c>
      <c r="E73" t="s">
        <v>111</v>
      </c>
      <c r="F73" s="4">
        <v>2.3246270399252889</v>
      </c>
      <c r="G73" s="275">
        <v>0</v>
      </c>
      <c r="H73" s="250">
        <v>5122200</v>
      </c>
      <c r="L73" s="249">
        <f t="shared" si="1"/>
        <v>-0.21895026744632418</v>
      </c>
      <c r="M73" s="4">
        <v>2.543577307371613</v>
      </c>
    </row>
    <row r="74" spans="1:13" x14ac:dyDescent="0.25">
      <c r="A74" t="s">
        <v>122</v>
      </c>
      <c r="B74" t="s">
        <v>125</v>
      </c>
      <c r="C74" t="s">
        <v>56</v>
      </c>
      <c r="D74" t="s">
        <v>0</v>
      </c>
      <c r="E74" t="s">
        <v>57</v>
      </c>
      <c r="F74" s="4">
        <v>2.7843516934027583</v>
      </c>
      <c r="H74" s="250">
        <v>6784900</v>
      </c>
      <c r="L74" s="249">
        <f t="shared" si="1"/>
        <v>-1.0664028609724552</v>
      </c>
      <c r="M74" s="4">
        <v>3.8507545543752135</v>
      </c>
    </row>
    <row r="75" spans="1:13" x14ac:dyDescent="0.25">
      <c r="A75" t="s">
        <v>122</v>
      </c>
      <c r="B75" t="s">
        <v>125</v>
      </c>
      <c r="C75" t="s">
        <v>57</v>
      </c>
      <c r="D75" t="s">
        <v>0</v>
      </c>
      <c r="E75" t="s">
        <v>57</v>
      </c>
      <c r="F75" s="4">
        <v>1</v>
      </c>
      <c r="H75" s="250">
        <v>549100</v>
      </c>
      <c r="L75" s="249">
        <f t="shared" si="1"/>
        <v>-0.14671359538635542</v>
      </c>
      <c r="M75" s="4">
        <v>1.1467135953863554</v>
      </c>
    </row>
    <row r="76" spans="1:13" x14ac:dyDescent="0.25">
      <c r="A76" t="s">
        <v>122</v>
      </c>
      <c r="B76" t="s">
        <v>125</v>
      </c>
      <c r="C76" t="s">
        <v>110</v>
      </c>
      <c r="D76" t="s">
        <v>0</v>
      </c>
      <c r="E76" t="s">
        <v>112</v>
      </c>
      <c r="F76" s="4">
        <v>3.2954532909532821</v>
      </c>
      <c r="H76" s="250">
        <v>279900</v>
      </c>
      <c r="L76" s="249">
        <f t="shared" si="1"/>
        <v>2.2954532909532821</v>
      </c>
      <c r="M76" s="4">
        <v>1</v>
      </c>
    </row>
    <row r="77" spans="1:13" x14ac:dyDescent="0.25">
      <c r="A77" t="s">
        <v>122</v>
      </c>
      <c r="B77" t="s">
        <v>125</v>
      </c>
      <c r="C77" t="s">
        <v>112</v>
      </c>
      <c r="D77" t="s">
        <v>0</v>
      </c>
      <c r="E77" t="s">
        <v>112</v>
      </c>
      <c r="F77" s="4">
        <v>1</v>
      </c>
      <c r="H77" s="250">
        <v>3242200</v>
      </c>
      <c r="L77" s="249">
        <f t="shared" si="1"/>
        <v>0</v>
      </c>
      <c r="M77" s="4">
        <v>1</v>
      </c>
    </row>
    <row r="78" spans="1:13" x14ac:dyDescent="0.25">
      <c r="A78" t="s">
        <v>122</v>
      </c>
      <c r="B78" t="s">
        <v>123</v>
      </c>
      <c r="C78" t="s">
        <v>94</v>
      </c>
      <c r="D78" t="s">
        <v>0</v>
      </c>
      <c r="E78" t="s">
        <v>95</v>
      </c>
      <c r="F78" s="4">
        <v>4.291461930616407</v>
      </c>
      <c r="H78" s="250">
        <v>126400</v>
      </c>
      <c r="L78" s="249">
        <f t="shared" si="1"/>
        <v>1.5035179929156084</v>
      </c>
      <c r="M78" s="4">
        <v>2.7879439377007986</v>
      </c>
    </row>
    <row r="79" spans="1:13" x14ac:dyDescent="0.25">
      <c r="A79" t="s">
        <v>122</v>
      </c>
      <c r="B79" t="s">
        <v>123</v>
      </c>
      <c r="C79" t="s">
        <v>95</v>
      </c>
      <c r="D79" t="s">
        <v>0</v>
      </c>
      <c r="E79" t="s">
        <v>95</v>
      </c>
      <c r="F79" s="4">
        <v>1</v>
      </c>
      <c r="H79" s="250">
        <v>157000</v>
      </c>
      <c r="L79" s="249">
        <f t="shared" si="1"/>
        <v>0</v>
      </c>
      <c r="M79" s="4">
        <v>1</v>
      </c>
    </row>
    <row r="80" spans="1:13" x14ac:dyDescent="0.25">
      <c r="A80" t="s">
        <v>122</v>
      </c>
      <c r="B80" t="s">
        <v>123</v>
      </c>
      <c r="C80" t="s">
        <v>136</v>
      </c>
      <c r="D80" t="s">
        <v>0</v>
      </c>
      <c r="E80" t="s">
        <v>96</v>
      </c>
      <c r="F80" s="4">
        <v>1.1367672048632467</v>
      </c>
      <c r="G80" s="275">
        <v>0.43650299999999997</v>
      </c>
      <c r="H80" s="250">
        <v>187400</v>
      </c>
      <c r="L80" s="249">
        <f t="shared" si="1"/>
        <v>0.12765498190139635</v>
      </c>
      <c r="M80" s="4">
        <v>1.0091122229618503</v>
      </c>
    </row>
    <row r="81" spans="1:13" x14ac:dyDescent="0.25">
      <c r="A81" t="s">
        <v>122</v>
      </c>
      <c r="B81" t="s">
        <v>123</v>
      </c>
      <c r="C81" t="s">
        <v>96</v>
      </c>
      <c r="D81" t="s">
        <v>0</v>
      </c>
      <c r="E81" t="s">
        <v>96</v>
      </c>
      <c r="F81" s="4">
        <v>1</v>
      </c>
      <c r="G81" s="275">
        <v>0</v>
      </c>
      <c r="H81" s="250">
        <v>10604400</v>
      </c>
      <c r="L81" s="249">
        <f t="shared" si="1"/>
        <v>0</v>
      </c>
      <c r="M81" s="4">
        <v>1</v>
      </c>
    </row>
    <row r="82" spans="1:13" x14ac:dyDescent="0.25">
      <c r="A82" t="s">
        <v>122</v>
      </c>
      <c r="B82" t="s">
        <v>154</v>
      </c>
      <c r="C82" t="s">
        <v>114</v>
      </c>
      <c r="D82" t="s">
        <v>0</v>
      </c>
      <c r="E82" t="s">
        <v>114</v>
      </c>
      <c r="F82" s="4">
        <v>1</v>
      </c>
      <c r="H82" s="250">
        <v>267100</v>
      </c>
      <c r="L82" s="249">
        <f t="shared" si="1"/>
        <v>-0.12113972200525391</v>
      </c>
      <c r="M82" s="4">
        <v>1.1211397220052539</v>
      </c>
    </row>
    <row r="83" spans="1:13" x14ac:dyDescent="0.25">
      <c r="A83" t="s">
        <v>122</v>
      </c>
      <c r="B83" t="s">
        <v>154</v>
      </c>
      <c r="C83" t="s">
        <v>116</v>
      </c>
      <c r="D83" t="s">
        <v>0</v>
      </c>
      <c r="E83" t="s">
        <v>114</v>
      </c>
      <c r="F83" s="4">
        <v>2.3865371416572874</v>
      </c>
      <c r="H83" s="250">
        <v>10088900</v>
      </c>
      <c r="L83" s="249">
        <f t="shared" si="1"/>
        <v>1.3865371416572874</v>
      </c>
      <c r="M83" s="4">
        <v>1</v>
      </c>
    </row>
    <row r="84" spans="1:13" x14ac:dyDescent="0.25">
      <c r="A84" t="s">
        <v>122</v>
      </c>
      <c r="B84" t="s">
        <v>154</v>
      </c>
      <c r="C84" t="s">
        <v>115</v>
      </c>
      <c r="D84" t="s">
        <v>0</v>
      </c>
      <c r="E84" t="s">
        <v>115</v>
      </c>
      <c r="F84" s="4">
        <v>1</v>
      </c>
      <c r="G84" s="275">
        <v>4.9132000000000002E-2</v>
      </c>
      <c r="H84" s="250">
        <v>547800</v>
      </c>
      <c r="L84" s="249">
        <f t="shared" si="1"/>
        <v>0</v>
      </c>
      <c r="M84" s="4">
        <v>1</v>
      </c>
    </row>
    <row r="85" spans="1:13" x14ac:dyDescent="0.25">
      <c r="A85" t="s">
        <v>122</v>
      </c>
      <c r="B85" t="s">
        <v>154</v>
      </c>
      <c r="C85" t="s">
        <v>117</v>
      </c>
      <c r="D85" t="s">
        <v>0</v>
      </c>
      <c r="E85" t="s">
        <v>115</v>
      </c>
      <c r="F85" s="4">
        <v>1.3521166053341065</v>
      </c>
      <c r="G85" s="275">
        <v>0</v>
      </c>
      <c r="H85" s="250">
        <v>8315200</v>
      </c>
      <c r="L85" s="249">
        <f t="shared" si="1"/>
        <v>0.22544186921230014</v>
      </c>
      <c r="M85" s="4">
        <v>1.1266747361218064</v>
      </c>
    </row>
    <row r="86" spans="1:13" x14ac:dyDescent="0.25">
      <c r="A86" t="s">
        <v>122</v>
      </c>
      <c r="B86" t="s">
        <v>124</v>
      </c>
      <c r="C86" t="s">
        <v>119</v>
      </c>
      <c r="D86" t="s">
        <v>0</v>
      </c>
      <c r="E86" t="s">
        <v>119</v>
      </c>
      <c r="F86" s="4">
        <v>1</v>
      </c>
      <c r="G86" s="275">
        <v>0.64697700000000002</v>
      </c>
      <c r="H86" s="250">
        <v>141100</v>
      </c>
      <c r="L86" s="249">
        <f t="shared" si="1"/>
        <v>0</v>
      </c>
      <c r="M86" s="4">
        <v>1</v>
      </c>
    </row>
    <row r="87" spans="1:13" x14ac:dyDescent="0.25">
      <c r="A87" t="s">
        <v>122</v>
      </c>
      <c r="B87" t="s">
        <v>124</v>
      </c>
      <c r="C87" t="s">
        <v>121</v>
      </c>
      <c r="D87" t="s">
        <v>0</v>
      </c>
      <c r="E87" t="s">
        <v>119</v>
      </c>
      <c r="F87" s="4">
        <v>2.545069807027899</v>
      </c>
      <c r="G87" s="275">
        <v>0</v>
      </c>
      <c r="H87" s="250">
        <v>19976200</v>
      </c>
      <c r="L87" s="249">
        <f t="shared" si="1"/>
        <v>1.1912887822784128</v>
      </c>
      <c r="M87" s="4">
        <v>1.3537810247494861</v>
      </c>
    </row>
    <row r="88" spans="1:13" x14ac:dyDescent="0.25">
      <c r="A88" t="s">
        <v>122</v>
      </c>
      <c r="B88" t="s">
        <v>124</v>
      </c>
      <c r="C88" t="s">
        <v>118</v>
      </c>
      <c r="D88" t="s">
        <v>0</v>
      </c>
      <c r="E88" t="s">
        <v>120</v>
      </c>
      <c r="F88" s="4">
        <v>3.3499325666336746</v>
      </c>
      <c r="H88" s="250">
        <v>396300</v>
      </c>
      <c r="L88" s="249">
        <f t="shared" si="1"/>
        <v>2.3499325666336746</v>
      </c>
      <c r="M88" s="4">
        <v>1</v>
      </c>
    </row>
    <row r="89" spans="1:13" x14ac:dyDescent="0.25">
      <c r="A89" t="s">
        <v>122</v>
      </c>
      <c r="B89" t="s">
        <v>124</v>
      </c>
      <c r="C89" t="s">
        <v>120</v>
      </c>
      <c r="D89" t="s">
        <v>0</v>
      </c>
      <c r="E89" t="s">
        <v>120</v>
      </c>
      <c r="F89" s="4">
        <v>1</v>
      </c>
      <c r="H89" s="250">
        <v>274500</v>
      </c>
      <c r="L89" s="249">
        <f t="shared" si="1"/>
        <v>-1498.7141034834815</v>
      </c>
      <c r="M89" s="4">
        <v>1499.7141034834815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O89"/>
  <sheetViews>
    <sheetView zoomScale="85" zoomScaleNormal="85" workbookViewId="0">
      <pane ySplit="1" topLeftCell="A2" activePane="bottomLeft" state="frozen"/>
      <selection pane="bottomLeft" activeCell="O26" sqref="O26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9.7109375" style="6" bestFit="1" customWidth="1"/>
    <col min="11" max="11" width="11.42578125" bestFit="1" customWidth="1"/>
  </cols>
  <sheetData>
    <row r="1" spans="1:15" s="3" customFormat="1" x14ac:dyDescent="0.25">
      <c r="A1" s="5" t="s">
        <v>36</v>
      </c>
      <c r="B1" s="5" t="s">
        <v>2</v>
      </c>
      <c r="C1" s="5" t="s">
        <v>1</v>
      </c>
      <c r="D1" s="232" t="s">
        <v>37</v>
      </c>
      <c r="E1" s="232" t="s">
        <v>38</v>
      </c>
      <c r="F1" s="232" t="s">
        <v>39</v>
      </c>
      <c r="G1" s="292" t="s">
        <v>40</v>
      </c>
      <c r="H1" s="232" t="s">
        <v>41</v>
      </c>
      <c r="I1" s="232" t="s">
        <v>60</v>
      </c>
      <c r="J1" s="3" t="s">
        <v>42</v>
      </c>
      <c r="L1" s="5"/>
      <c r="N1" s="138"/>
      <c r="O1" s="274"/>
    </row>
    <row r="2" spans="1:15" x14ac:dyDescent="0.25">
      <c r="A2" t="s">
        <v>43</v>
      </c>
      <c r="B2" t="s">
        <v>8</v>
      </c>
      <c r="C2" t="s">
        <v>0</v>
      </c>
      <c r="D2" s="6">
        <v>1000</v>
      </c>
      <c r="E2" s="2">
        <v>96.1</v>
      </c>
      <c r="F2" s="2">
        <v>96.4</v>
      </c>
      <c r="G2" s="6">
        <v>1000</v>
      </c>
      <c r="H2" s="2">
        <v>95.809997999999993</v>
      </c>
      <c r="I2" s="6">
        <v>0</v>
      </c>
      <c r="J2" s="6" t="s">
        <v>239</v>
      </c>
    </row>
    <row r="3" spans="1:15" x14ac:dyDescent="0.25">
      <c r="A3" t="s">
        <v>43</v>
      </c>
      <c r="B3" t="s">
        <v>44</v>
      </c>
      <c r="C3" t="s">
        <v>0</v>
      </c>
      <c r="D3" s="6">
        <v>100</v>
      </c>
      <c r="E3" s="2">
        <v>28.49</v>
      </c>
      <c r="F3" s="2">
        <v>28.71</v>
      </c>
      <c r="G3" s="6">
        <v>100</v>
      </c>
      <c r="H3" s="2">
        <v>28.440000999999999</v>
      </c>
      <c r="I3" s="6">
        <v>0</v>
      </c>
      <c r="J3" s="6" t="s">
        <v>239</v>
      </c>
    </row>
    <row r="4" spans="1:15" x14ac:dyDescent="0.25">
      <c r="A4" t="s">
        <v>43</v>
      </c>
      <c r="B4" t="s">
        <v>7</v>
      </c>
      <c r="C4" t="s">
        <v>0</v>
      </c>
      <c r="D4" s="6">
        <v>100</v>
      </c>
      <c r="E4" s="2">
        <v>71.27</v>
      </c>
      <c r="F4" s="2">
        <v>71.66</v>
      </c>
      <c r="G4" s="6">
        <v>2000</v>
      </c>
      <c r="H4" s="2">
        <v>71.110000999999997</v>
      </c>
      <c r="I4" s="6">
        <v>0</v>
      </c>
      <c r="J4" s="6" t="s">
        <v>239</v>
      </c>
    </row>
    <row r="5" spans="1:15" x14ac:dyDescent="0.25">
      <c r="A5" t="s">
        <v>43</v>
      </c>
      <c r="B5" t="s">
        <v>45</v>
      </c>
      <c r="C5" t="s">
        <v>0</v>
      </c>
      <c r="D5" s="6">
        <v>100</v>
      </c>
      <c r="E5" s="2">
        <v>47.01</v>
      </c>
      <c r="F5" s="2">
        <v>47.26</v>
      </c>
      <c r="G5" s="6">
        <v>100</v>
      </c>
      <c r="H5" s="2">
        <v>46.970001000000003</v>
      </c>
      <c r="I5" s="6">
        <v>0</v>
      </c>
      <c r="J5" s="6" t="s">
        <v>239</v>
      </c>
    </row>
    <row r="6" spans="1:15" x14ac:dyDescent="0.25">
      <c r="A6" t="s">
        <v>43</v>
      </c>
      <c r="B6" t="s">
        <v>46</v>
      </c>
      <c r="C6" t="s">
        <v>0</v>
      </c>
      <c r="D6" s="6">
        <v>100</v>
      </c>
      <c r="E6" s="2">
        <v>21.49</v>
      </c>
      <c r="F6" s="2">
        <v>21.61</v>
      </c>
      <c r="G6" s="6">
        <v>100</v>
      </c>
      <c r="H6" s="2">
        <v>21.469999000000001</v>
      </c>
      <c r="I6" s="6">
        <v>-4600</v>
      </c>
      <c r="J6" s="6" t="s">
        <v>239</v>
      </c>
    </row>
    <row r="7" spans="1:15" x14ac:dyDescent="0.25">
      <c r="A7" t="s">
        <v>43</v>
      </c>
      <c r="B7" t="s">
        <v>47</v>
      </c>
      <c r="C7" t="s">
        <v>0</v>
      </c>
      <c r="D7" s="6">
        <v>100</v>
      </c>
      <c r="E7" s="2">
        <v>55</v>
      </c>
      <c r="F7" s="2">
        <v>55.41</v>
      </c>
      <c r="G7" s="6">
        <v>100</v>
      </c>
      <c r="H7" s="2">
        <v>55.110000999999997</v>
      </c>
      <c r="I7" s="6">
        <v>0</v>
      </c>
      <c r="J7" s="6" t="s">
        <v>239</v>
      </c>
    </row>
    <row r="8" spans="1:15" x14ac:dyDescent="0.25">
      <c r="A8" t="s">
        <v>43</v>
      </c>
      <c r="B8" t="s">
        <v>31</v>
      </c>
      <c r="C8" t="s">
        <v>0</v>
      </c>
      <c r="D8" s="6">
        <v>100</v>
      </c>
      <c r="E8" s="2">
        <v>93.52</v>
      </c>
      <c r="F8" s="2">
        <v>94.22</v>
      </c>
      <c r="G8" s="6">
        <v>100</v>
      </c>
      <c r="H8" s="2">
        <v>93.429198999999997</v>
      </c>
      <c r="I8" s="6">
        <v>0</v>
      </c>
      <c r="J8" s="6" t="s">
        <v>239</v>
      </c>
    </row>
    <row r="9" spans="1:15" x14ac:dyDescent="0.25">
      <c r="A9" t="s">
        <v>43</v>
      </c>
      <c r="B9" t="s">
        <v>48</v>
      </c>
      <c r="C9" t="s">
        <v>0</v>
      </c>
      <c r="D9" s="6">
        <v>100</v>
      </c>
      <c r="E9" s="2">
        <v>100.96</v>
      </c>
      <c r="F9" s="2">
        <v>101.98</v>
      </c>
      <c r="G9" s="6">
        <v>200</v>
      </c>
      <c r="H9" s="2">
        <v>100.400002</v>
      </c>
      <c r="I9" s="6">
        <v>0</v>
      </c>
      <c r="J9" s="6" t="s">
        <v>239</v>
      </c>
    </row>
    <row r="10" spans="1:15" x14ac:dyDescent="0.25">
      <c r="A10" t="s">
        <v>43</v>
      </c>
      <c r="B10" t="s">
        <v>49</v>
      </c>
      <c r="C10" t="s">
        <v>0</v>
      </c>
      <c r="D10" s="6">
        <v>100</v>
      </c>
      <c r="E10" s="2">
        <v>93.35</v>
      </c>
      <c r="F10" s="2">
        <v>93.87</v>
      </c>
      <c r="G10" s="6">
        <v>100</v>
      </c>
      <c r="H10" s="2">
        <v>93.059997999999993</v>
      </c>
      <c r="I10" s="6">
        <v>0</v>
      </c>
      <c r="J10" s="6" t="s">
        <v>239</v>
      </c>
    </row>
    <row r="11" spans="1:15" x14ac:dyDescent="0.25">
      <c r="A11" t="s">
        <v>43</v>
      </c>
      <c r="B11" t="s">
        <v>50</v>
      </c>
      <c r="C11" t="s">
        <v>0</v>
      </c>
      <c r="D11" s="6">
        <v>100</v>
      </c>
      <c r="E11" s="2">
        <v>26.45</v>
      </c>
      <c r="F11" s="2">
        <v>26.66</v>
      </c>
      <c r="G11" s="6">
        <v>100</v>
      </c>
      <c r="H11" s="2">
        <v>26.440000999999999</v>
      </c>
      <c r="I11" s="6">
        <v>0</v>
      </c>
      <c r="J11" s="6" t="s">
        <v>239</v>
      </c>
    </row>
    <row r="12" spans="1:15" x14ac:dyDescent="0.25">
      <c r="A12" t="s">
        <v>43</v>
      </c>
      <c r="B12" t="s">
        <v>16</v>
      </c>
      <c r="C12" t="s">
        <v>0</v>
      </c>
      <c r="D12" s="6">
        <v>200</v>
      </c>
      <c r="E12" s="2">
        <v>78.459999999999994</v>
      </c>
      <c r="F12" s="2">
        <v>79</v>
      </c>
      <c r="G12" s="6">
        <v>200</v>
      </c>
      <c r="H12" s="2">
        <v>78.419998000000007</v>
      </c>
      <c r="I12" s="6">
        <v>0</v>
      </c>
      <c r="J12" s="6" t="s">
        <v>239</v>
      </c>
    </row>
    <row r="13" spans="1:15" x14ac:dyDescent="0.25">
      <c r="A13" t="s">
        <v>43</v>
      </c>
      <c r="B13" t="s">
        <v>14</v>
      </c>
      <c r="C13" t="s">
        <v>0</v>
      </c>
      <c r="D13" s="6">
        <v>100</v>
      </c>
      <c r="E13" s="2">
        <v>35.79</v>
      </c>
      <c r="F13" s="2">
        <v>36.049999999999997</v>
      </c>
      <c r="G13" s="6">
        <v>100</v>
      </c>
      <c r="H13" s="2">
        <v>35.799999</v>
      </c>
      <c r="I13" s="6">
        <v>0</v>
      </c>
      <c r="J13" s="6" t="s">
        <v>239</v>
      </c>
    </row>
    <row r="14" spans="1:15" x14ac:dyDescent="0.25">
      <c r="A14" t="s">
        <v>43</v>
      </c>
      <c r="B14" t="s">
        <v>51</v>
      </c>
      <c r="C14" t="s">
        <v>0</v>
      </c>
      <c r="D14" s="6">
        <v>100</v>
      </c>
      <c r="E14" s="2">
        <v>49.4</v>
      </c>
      <c r="F14" s="2">
        <v>49.71</v>
      </c>
      <c r="G14" s="6">
        <v>100</v>
      </c>
      <c r="H14" s="2">
        <v>49.349997999999999</v>
      </c>
      <c r="I14" s="6">
        <v>0</v>
      </c>
      <c r="J14" s="6" t="s">
        <v>239</v>
      </c>
    </row>
    <row r="15" spans="1:15" x14ac:dyDescent="0.25">
      <c r="A15" t="s">
        <v>43</v>
      </c>
      <c r="B15" t="s">
        <v>52</v>
      </c>
      <c r="C15" t="s">
        <v>0</v>
      </c>
      <c r="D15" s="6">
        <v>100</v>
      </c>
      <c r="E15" s="2">
        <v>112.28</v>
      </c>
      <c r="F15" s="2">
        <v>113.42</v>
      </c>
      <c r="G15" s="6">
        <v>100</v>
      </c>
      <c r="H15" s="2">
        <v>112</v>
      </c>
      <c r="I15" s="6">
        <v>0</v>
      </c>
      <c r="J15" s="6" t="s">
        <v>239</v>
      </c>
    </row>
    <row r="16" spans="1:15" x14ac:dyDescent="0.25">
      <c r="A16" t="s">
        <v>43</v>
      </c>
      <c r="B16" t="s">
        <v>23</v>
      </c>
      <c r="C16" t="s">
        <v>0</v>
      </c>
      <c r="D16" s="6">
        <v>100</v>
      </c>
      <c r="E16" s="2">
        <v>47.51</v>
      </c>
      <c r="F16" s="2">
        <v>47.87</v>
      </c>
      <c r="G16" s="6">
        <v>100</v>
      </c>
      <c r="H16" s="2">
        <v>47.25</v>
      </c>
      <c r="I16" s="6">
        <v>0</v>
      </c>
      <c r="J16" s="6" t="s">
        <v>239</v>
      </c>
    </row>
    <row r="17" spans="1:10" x14ac:dyDescent="0.25">
      <c r="A17" t="s">
        <v>43</v>
      </c>
      <c r="B17" t="s">
        <v>53</v>
      </c>
      <c r="C17" t="s">
        <v>0</v>
      </c>
      <c r="D17" s="6">
        <v>100</v>
      </c>
      <c r="E17" s="2">
        <v>40.54</v>
      </c>
      <c r="F17" s="2">
        <v>40.71</v>
      </c>
      <c r="G17" s="6">
        <v>100</v>
      </c>
      <c r="H17" s="2">
        <v>40.340000000000003</v>
      </c>
      <c r="I17" s="6">
        <v>2430</v>
      </c>
      <c r="J17" s="6" t="s">
        <v>239</v>
      </c>
    </row>
    <row r="18" spans="1:10" x14ac:dyDescent="0.25">
      <c r="A18" t="s">
        <v>43</v>
      </c>
      <c r="B18" t="s">
        <v>17</v>
      </c>
      <c r="C18" t="s">
        <v>0</v>
      </c>
      <c r="D18" s="6">
        <v>200</v>
      </c>
      <c r="E18" s="2">
        <v>94.44</v>
      </c>
      <c r="F18" s="2">
        <v>95.07</v>
      </c>
      <c r="G18" s="6">
        <v>200</v>
      </c>
      <c r="H18" s="2">
        <v>94.389999000000003</v>
      </c>
      <c r="I18" s="6">
        <v>0</v>
      </c>
      <c r="J18" s="6" t="s">
        <v>239</v>
      </c>
    </row>
    <row r="19" spans="1:10" x14ac:dyDescent="0.25">
      <c r="A19" t="s">
        <v>43</v>
      </c>
      <c r="B19" t="s">
        <v>20</v>
      </c>
      <c r="C19" t="s">
        <v>0</v>
      </c>
      <c r="D19" s="6">
        <v>200</v>
      </c>
      <c r="E19" s="2">
        <v>91.46</v>
      </c>
      <c r="F19" s="2">
        <v>92.06</v>
      </c>
      <c r="G19" s="6">
        <v>200</v>
      </c>
      <c r="H19" s="2">
        <v>91.224997999999999</v>
      </c>
      <c r="I19" s="6">
        <v>0</v>
      </c>
      <c r="J19" s="6" t="s">
        <v>239</v>
      </c>
    </row>
    <row r="20" spans="1:10" x14ac:dyDescent="0.25">
      <c r="A20" t="s">
        <v>43</v>
      </c>
      <c r="B20" t="s">
        <v>4</v>
      </c>
      <c r="C20" t="s">
        <v>0</v>
      </c>
      <c r="D20" s="6">
        <v>200</v>
      </c>
      <c r="E20" s="2">
        <v>102.66</v>
      </c>
      <c r="F20" s="2">
        <v>103.41</v>
      </c>
      <c r="G20" s="6">
        <v>100</v>
      </c>
      <c r="H20" s="2">
        <v>102.82</v>
      </c>
      <c r="I20" s="6">
        <v>-2000</v>
      </c>
      <c r="J20" s="6" t="s">
        <v>239</v>
      </c>
    </row>
    <row r="21" spans="1:10" x14ac:dyDescent="0.25">
      <c r="A21" t="s">
        <v>43</v>
      </c>
      <c r="B21" t="s">
        <v>54</v>
      </c>
      <c r="C21" t="s">
        <v>0</v>
      </c>
      <c r="D21" s="6">
        <v>100</v>
      </c>
      <c r="E21" s="2">
        <v>27.92</v>
      </c>
      <c r="F21" s="2">
        <v>31.24</v>
      </c>
      <c r="G21" s="6">
        <v>100</v>
      </c>
      <c r="H21" s="2">
        <v>29.9</v>
      </c>
      <c r="I21" s="6">
        <v>0</v>
      </c>
      <c r="J21" s="6" t="s">
        <v>239</v>
      </c>
    </row>
    <row r="22" spans="1:10" x14ac:dyDescent="0.25">
      <c r="A22" t="s">
        <v>43</v>
      </c>
      <c r="B22" t="s">
        <v>55</v>
      </c>
      <c r="C22" t="s">
        <v>0</v>
      </c>
      <c r="D22" s="6">
        <v>100</v>
      </c>
      <c r="E22" s="2">
        <v>17.260000000000002</v>
      </c>
      <c r="F22" s="2">
        <v>18.86</v>
      </c>
      <c r="G22" s="6">
        <v>100</v>
      </c>
      <c r="H22" s="2">
        <v>17.959999</v>
      </c>
      <c r="I22" s="6">
        <v>0</v>
      </c>
      <c r="J22" s="6" t="s">
        <v>239</v>
      </c>
    </row>
    <row r="23" spans="1:10" x14ac:dyDescent="0.25">
      <c r="A23" t="s">
        <v>43</v>
      </c>
      <c r="B23" t="s">
        <v>26</v>
      </c>
      <c r="C23" t="s">
        <v>0</v>
      </c>
      <c r="D23" s="6">
        <v>100</v>
      </c>
      <c r="E23" s="2">
        <v>29.69</v>
      </c>
      <c r="F23" s="2">
        <v>29.86</v>
      </c>
      <c r="G23" s="6">
        <v>100</v>
      </c>
      <c r="H23" s="2">
        <v>29.469999000000001</v>
      </c>
      <c r="I23" s="6">
        <v>0</v>
      </c>
      <c r="J23" s="6" t="s">
        <v>239</v>
      </c>
    </row>
    <row r="24" spans="1:10" x14ac:dyDescent="0.25">
      <c r="A24" t="s">
        <v>43</v>
      </c>
      <c r="B24" t="s">
        <v>5</v>
      </c>
      <c r="C24" t="s">
        <v>0</v>
      </c>
      <c r="D24" s="6">
        <v>100</v>
      </c>
      <c r="E24" s="2">
        <v>22.44</v>
      </c>
      <c r="F24" s="2">
        <v>22.57</v>
      </c>
      <c r="G24" s="6">
        <v>100</v>
      </c>
      <c r="H24" s="2">
        <v>22.389999</v>
      </c>
      <c r="I24" s="6">
        <v>0</v>
      </c>
      <c r="J24" s="6" t="s">
        <v>239</v>
      </c>
    </row>
    <row r="25" spans="1:10" x14ac:dyDescent="0.25">
      <c r="A25" t="s">
        <v>43</v>
      </c>
      <c r="B25" t="s">
        <v>13</v>
      </c>
      <c r="C25" t="s">
        <v>0</v>
      </c>
      <c r="D25" s="6">
        <v>100</v>
      </c>
      <c r="E25" s="2">
        <v>25.64</v>
      </c>
      <c r="F25" s="2">
        <v>25.82</v>
      </c>
      <c r="G25" s="6">
        <v>100</v>
      </c>
      <c r="H25" s="2">
        <v>25.629999000000002</v>
      </c>
      <c r="I25" s="6">
        <v>0</v>
      </c>
      <c r="J25" s="6" t="s">
        <v>239</v>
      </c>
    </row>
    <row r="26" spans="1:10" x14ac:dyDescent="0.25">
      <c r="A26" t="s">
        <v>43</v>
      </c>
      <c r="B26" t="s">
        <v>6</v>
      </c>
      <c r="C26" t="s">
        <v>0</v>
      </c>
      <c r="D26" s="6">
        <v>100</v>
      </c>
      <c r="E26" s="2">
        <v>24.74</v>
      </c>
      <c r="F26" s="2">
        <v>24.89</v>
      </c>
      <c r="G26" s="6">
        <v>100</v>
      </c>
      <c r="H26" s="2">
        <v>24.709999</v>
      </c>
      <c r="I26" s="6">
        <v>0</v>
      </c>
      <c r="J26" s="6" t="s">
        <v>239</v>
      </c>
    </row>
    <row r="27" spans="1:10" x14ac:dyDescent="0.25">
      <c r="A27" t="s">
        <v>43</v>
      </c>
      <c r="B27" t="s">
        <v>28</v>
      </c>
      <c r="C27" t="s">
        <v>0</v>
      </c>
      <c r="D27" s="6">
        <v>100</v>
      </c>
      <c r="E27" s="2">
        <v>28.01</v>
      </c>
      <c r="F27" s="2">
        <v>28.25</v>
      </c>
      <c r="G27" s="6">
        <v>100</v>
      </c>
      <c r="H27" s="2">
        <v>28</v>
      </c>
      <c r="I27" s="6">
        <v>0</v>
      </c>
      <c r="J27" s="6" t="s">
        <v>239</v>
      </c>
    </row>
    <row r="28" spans="1:10" x14ac:dyDescent="0.25">
      <c r="A28" t="s">
        <v>43</v>
      </c>
      <c r="B28" t="s">
        <v>12</v>
      </c>
      <c r="C28" t="s">
        <v>0</v>
      </c>
      <c r="D28" s="6">
        <v>100</v>
      </c>
      <c r="E28" s="2">
        <v>22.96</v>
      </c>
      <c r="F28" s="2">
        <v>23.12</v>
      </c>
      <c r="G28" s="6">
        <v>100</v>
      </c>
      <c r="H28" s="2">
        <v>22.959999</v>
      </c>
      <c r="I28" s="6">
        <v>0</v>
      </c>
      <c r="J28" s="6" t="s">
        <v>239</v>
      </c>
    </row>
    <row r="29" spans="1:10" x14ac:dyDescent="0.25">
      <c r="A29" t="s">
        <v>43</v>
      </c>
      <c r="B29" t="s">
        <v>22</v>
      </c>
      <c r="C29" t="s">
        <v>0</v>
      </c>
      <c r="D29" s="6">
        <v>200</v>
      </c>
      <c r="E29" s="2">
        <v>21.22</v>
      </c>
      <c r="F29" s="2">
        <v>21.38</v>
      </c>
      <c r="G29" s="6">
        <v>100</v>
      </c>
      <c r="H29" s="2">
        <v>21.110001</v>
      </c>
      <c r="I29" s="6">
        <v>0</v>
      </c>
      <c r="J29" s="6" t="s">
        <v>239</v>
      </c>
    </row>
    <row r="30" spans="1:10" x14ac:dyDescent="0.25">
      <c r="A30" t="s">
        <v>43</v>
      </c>
      <c r="B30" t="s">
        <v>18</v>
      </c>
      <c r="C30" t="s">
        <v>0</v>
      </c>
      <c r="D30" s="6">
        <v>100</v>
      </c>
      <c r="E30" s="2">
        <v>21.56</v>
      </c>
      <c r="F30" s="2">
        <v>21.74</v>
      </c>
      <c r="G30" s="6">
        <v>100</v>
      </c>
      <c r="H30" s="2">
        <v>21.52</v>
      </c>
      <c r="I30" s="6">
        <v>0</v>
      </c>
      <c r="J30" s="6" t="s">
        <v>239</v>
      </c>
    </row>
    <row r="31" spans="1:10" x14ac:dyDescent="0.25">
      <c r="A31" t="s">
        <v>43</v>
      </c>
      <c r="B31" t="s">
        <v>25</v>
      </c>
      <c r="C31" t="s">
        <v>0</v>
      </c>
      <c r="D31" s="6">
        <v>200</v>
      </c>
      <c r="E31" s="2">
        <v>24.89</v>
      </c>
      <c r="F31" s="2">
        <v>25.03</v>
      </c>
      <c r="G31" s="6">
        <v>200</v>
      </c>
      <c r="H31" s="2">
        <v>24.690000999999999</v>
      </c>
      <c r="I31" s="6">
        <v>0</v>
      </c>
      <c r="J31" s="6" t="s">
        <v>239</v>
      </c>
    </row>
    <row r="32" spans="1:10" x14ac:dyDescent="0.25">
      <c r="A32" t="s">
        <v>43</v>
      </c>
      <c r="B32" t="s">
        <v>21</v>
      </c>
      <c r="C32" t="s">
        <v>0</v>
      </c>
      <c r="D32" s="6">
        <v>100</v>
      </c>
      <c r="E32" s="2">
        <v>43.55</v>
      </c>
      <c r="F32" s="2">
        <v>43.89</v>
      </c>
      <c r="G32" s="6">
        <v>100</v>
      </c>
      <c r="H32" s="2">
        <v>43.599997999999999</v>
      </c>
      <c r="I32" s="6">
        <v>4700</v>
      </c>
      <c r="J32" s="6" t="s">
        <v>239</v>
      </c>
    </row>
    <row r="33" spans="1:10" x14ac:dyDescent="0.25">
      <c r="A33" t="s">
        <v>43</v>
      </c>
      <c r="B33" t="s">
        <v>15</v>
      </c>
      <c r="C33" t="s">
        <v>0</v>
      </c>
      <c r="D33" s="6">
        <v>100</v>
      </c>
      <c r="E33" s="2">
        <v>36.29</v>
      </c>
      <c r="F33" s="2">
        <v>36.54</v>
      </c>
      <c r="G33" s="6">
        <v>100</v>
      </c>
      <c r="H33" s="2">
        <v>36.279998999999997</v>
      </c>
      <c r="I33" s="6">
        <v>0</v>
      </c>
      <c r="J33" s="6" t="s">
        <v>239</v>
      </c>
    </row>
    <row r="34" spans="1:10" x14ac:dyDescent="0.25">
      <c r="A34" t="s">
        <v>43</v>
      </c>
      <c r="B34" t="s">
        <v>29</v>
      </c>
      <c r="C34" t="s">
        <v>0</v>
      </c>
      <c r="D34" s="6">
        <v>100</v>
      </c>
      <c r="E34" s="2">
        <v>49.59</v>
      </c>
      <c r="F34" s="2">
        <v>49.92</v>
      </c>
      <c r="G34" s="6">
        <v>200</v>
      </c>
      <c r="H34" s="2">
        <v>49.509998000000003</v>
      </c>
      <c r="I34" s="6">
        <v>0</v>
      </c>
      <c r="J34" s="6" t="s">
        <v>239</v>
      </c>
    </row>
    <row r="35" spans="1:10" x14ac:dyDescent="0.25">
      <c r="A35" t="s">
        <v>43</v>
      </c>
      <c r="B35" t="s">
        <v>24</v>
      </c>
      <c r="C35" t="s">
        <v>0</v>
      </c>
      <c r="D35" s="6">
        <v>200</v>
      </c>
      <c r="E35" s="2">
        <v>71.31</v>
      </c>
      <c r="F35" s="2">
        <v>71.81</v>
      </c>
      <c r="G35" s="6">
        <v>100</v>
      </c>
      <c r="H35" s="2">
        <v>70.930000000000007</v>
      </c>
      <c r="I35" s="6">
        <v>0</v>
      </c>
      <c r="J35" s="6" t="s">
        <v>239</v>
      </c>
    </row>
    <row r="36" spans="1:10" x14ac:dyDescent="0.25">
      <c r="A36" t="s">
        <v>43</v>
      </c>
      <c r="B36" t="s">
        <v>27</v>
      </c>
      <c r="C36" t="s">
        <v>0</v>
      </c>
      <c r="D36" s="6">
        <v>300</v>
      </c>
      <c r="E36" s="2">
        <v>52.35</v>
      </c>
      <c r="F36" s="2">
        <v>52.61</v>
      </c>
      <c r="G36" s="6">
        <v>100</v>
      </c>
      <c r="H36" s="2">
        <v>51.889999000000003</v>
      </c>
      <c r="I36" s="6">
        <v>0</v>
      </c>
      <c r="J36" s="6" t="s">
        <v>239</v>
      </c>
    </row>
    <row r="37" spans="1:10" x14ac:dyDescent="0.25">
      <c r="A37" t="s">
        <v>43</v>
      </c>
      <c r="B37" t="s">
        <v>19</v>
      </c>
      <c r="C37" t="s">
        <v>0</v>
      </c>
      <c r="D37" s="6">
        <v>100</v>
      </c>
      <c r="E37" s="2">
        <v>45.32</v>
      </c>
      <c r="F37" s="2">
        <v>45.62</v>
      </c>
      <c r="G37" s="6">
        <v>100</v>
      </c>
      <c r="H37" s="2">
        <v>45.23</v>
      </c>
      <c r="I37" s="6">
        <v>0</v>
      </c>
      <c r="J37" s="6" t="s">
        <v>239</v>
      </c>
    </row>
    <row r="38" spans="1:10" x14ac:dyDescent="0.25">
      <c r="A38" t="s">
        <v>43</v>
      </c>
      <c r="B38" t="s">
        <v>30</v>
      </c>
      <c r="C38" t="s">
        <v>0</v>
      </c>
      <c r="D38" s="6">
        <v>100</v>
      </c>
      <c r="E38" s="2">
        <v>74.16</v>
      </c>
      <c r="F38" s="2">
        <v>74.69</v>
      </c>
      <c r="G38" s="6">
        <v>100</v>
      </c>
      <c r="H38" s="2">
        <v>74.045096999999998</v>
      </c>
      <c r="I38" s="6">
        <v>0</v>
      </c>
      <c r="J38" s="6" t="s">
        <v>239</v>
      </c>
    </row>
    <row r="39" spans="1:10" x14ac:dyDescent="0.25">
      <c r="A39" t="s">
        <v>43</v>
      </c>
      <c r="B39" t="s">
        <v>3</v>
      </c>
      <c r="C39" t="s">
        <v>0</v>
      </c>
      <c r="D39" s="6">
        <v>100</v>
      </c>
      <c r="E39" s="2">
        <v>48.15</v>
      </c>
      <c r="F39" s="2">
        <v>48.51</v>
      </c>
      <c r="G39" s="6">
        <v>100</v>
      </c>
      <c r="H39" s="2">
        <v>48.23</v>
      </c>
      <c r="I39" s="6">
        <v>0</v>
      </c>
      <c r="J39" s="6" t="s">
        <v>239</v>
      </c>
    </row>
    <row r="40" spans="1:10" x14ac:dyDescent="0.25">
      <c r="A40" t="s">
        <v>43</v>
      </c>
      <c r="B40" t="s">
        <v>58</v>
      </c>
      <c r="C40" t="s">
        <v>0</v>
      </c>
      <c r="D40" s="6">
        <v>100</v>
      </c>
      <c r="E40" s="2">
        <v>95.88</v>
      </c>
      <c r="F40" s="2">
        <v>96.59</v>
      </c>
      <c r="G40" s="6">
        <v>100</v>
      </c>
      <c r="H40" s="2">
        <v>96.059997999999993</v>
      </c>
      <c r="I40" s="6">
        <v>0</v>
      </c>
      <c r="J40" s="6" t="s">
        <v>239</v>
      </c>
    </row>
    <row r="41" spans="1:10" x14ac:dyDescent="0.25">
      <c r="A41" t="s">
        <v>43</v>
      </c>
      <c r="B41" t="s">
        <v>59</v>
      </c>
      <c r="C41" t="s">
        <v>0</v>
      </c>
      <c r="D41" s="6">
        <v>100</v>
      </c>
      <c r="E41" s="2">
        <v>64.78</v>
      </c>
      <c r="F41" s="2">
        <v>65.209999999999994</v>
      </c>
      <c r="G41" s="6">
        <v>100</v>
      </c>
      <c r="H41" s="2">
        <v>64.675003000000004</v>
      </c>
      <c r="I41" s="6">
        <v>0</v>
      </c>
      <c r="J41" s="6" t="s">
        <v>239</v>
      </c>
    </row>
    <row r="42" spans="1:10" x14ac:dyDescent="0.25">
      <c r="A42" t="s">
        <v>43</v>
      </c>
      <c r="B42" t="s">
        <v>97</v>
      </c>
      <c r="C42" t="s">
        <v>0</v>
      </c>
      <c r="D42" s="6">
        <v>100</v>
      </c>
      <c r="E42" s="2">
        <v>35.090000000000003</v>
      </c>
      <c r="F42" s="2">
        <v>35.770000000000003</v>
      </c>
      <c r="G42" s="6">
        <v>100</v>
      </c>
      <c r="H42" s="2">
        <v>35.43</v>
      </c>
      <c r="I42" s="6">
        <v>0</v>
      </c>
      <c r="J42" s="6" t="s">
        <v>239</v>
      </c>
    </row>
    <row r="43" spans="1:10" x14ac:dyDescent="0.25">
      <c r="A43" t="s">
        <v>43</v>
      </c>
      <c r="B43" t="s">
        <v>133</v>
      </c>
      <c r="C43" t="s">
        <v>0</v>
      </c>
      <c r="D43" s="6">
        <v>100</v>
      </c>
      <c r="E43" s="2">
        <v>78.31</v>
      </c>
      <c r="F43" s="2">
        <v>79.84</v>
      </c>
      <c r="G43" s="6">
        <v>100</v>
      </c>
      <c r="H43" s="2">
        <v>79.459998999999996</v>
      </c>
      <c r="I43" s="6">
        <v>0</v>
      </c>
      <c r="J43" s="6" t="s">
        <v>239</v>
      </c>
    </row>
    <row r="44" spans="1:10" x14ac:dyDescent="0.25">
      <c r="A44" t="s">
        <v>43</v>
      </c>
      <c r="B44" t="s">
        <v>104</v>
      </c>
      <c r="C44" t="s">
        <v>0</v>
      </c>
      <c r="D44" s="6">
        <v>100</v>
      </c>
      <c r="E44" s="2">
        <v>80.94</v>
      </c>
      <c r="F44" s="2">
        <v>82.52</v>
      </c>
      <c r="G44" s="6">
        <v>100</v>
      </c>
      <c r="H44" s="2">
        <v>81.300003000000004</v>
      </c>
      <c r="I44" s="6">
        <v>0</v>
      </c>
      <c r="J44" s="6" t="s">
        <v>239</v>
      </c>
    </row>
    <row r="45" spans="1:10" x14ac:dyDescent="0.25">
      <c r="A45" t="s">
        <v>43</v>
      </c>
      <c r="B45" t="s">
        <v>108</v>
      </c>
      <c r="C45" t="s">
        <v>0</v>
      </c>
      <c r="D45" s="6">
        <v>100</v>
      </c>
      <c r="E45" s="2">
        <v>88.68</v>
      </c>
      <c r="F45" s="2">
        <v>90.41</v>
      </c>
      <c r="G45" s="6">
        <v>100</v>
      </c>
      <c r="H45" s="2">
        <v>89.559997999999993</v>
      </c>
      <c r="I45" s="6">
        <v>0</v>
      </c>
      <c r="J45" s="6" t="s">
        <v>239</v>
      </c>
    </row>
    <row r="46" spans="1:10" x14ac:dyDescent="0.25">
      <c r="A46" t="s">
        <v>43</v>
      </c>
      <c r="B46" t="s">
        <v>110</v>
      </c>
      <c r="C46" t="s">
        <v>0</v>
      </c>
      <c r="D46" s="6">
        <v>100</v>
      </c>
      <c r="E46" s="2">
        <v>27.94</v>
      </c>
      <c r="F46" s="2">
        <v>28.48</v>
      </c>
      <c r="G46" s="6">
        <v>100</v>
      </c>
      <c r="H46" s="2">
        <v>28.34</v>
      </c>
      <c r="I46" s="6">
        <v>0</v>
      </c>
      <c r="J46" s="6" t="s">
        <v>239</v>
      </c>
    </row>
    <row r="47" spans="1:10" x14ac:dyDescent="0.25">
      <c r="A47" t="s">
        <v>43</v>
      </c>
      <c r="B47" t="s">
        <v>94</v>
      </c>
      <c r="C47" t="s">
        <v>0</v>
      </c>
      <c r="D47" s="6">
        <v>100</v>
      </c>
      <c r="E47" s="2">
        <v>51.68</v>
      </c>
      <c r="F47" s="2">
        <v>52.69</v>
      </c>
      <c r="G47" s="6">
        <v>100</v>
      </c>
      <c r="H47" s="2">
        <v>52.459999000000003</v>
      </c>
      <c r="I47" s="6">
        <v>0</v>
      </c>
      <c r="J47" s="6" t="s">
        <v>239</v>
      </c>
    </row>
    <row r="48" spans="1:10" x14ac:dyDescent="0.25">
      <c r="A48" t="s">
        <v>43</v>
      </c>
      <c r="B48" t="s">
        <v>114</v>
      </c>
      <c r="C48" t="s">
        <v>0</v>
      </c>
      <c r="D48" s="6">
        <v>100</v>
      </c>
      <c r="E48" s="2">
        <v>286.39999999999998</v>
      </c>
      <c r="F48" s="2">
        <v>292.01</v>
      </c>
      <c r="G48" s="6">
        <v>100</v>
      </c>
      <c r="H48" s="2">
        <v>283.790009</v>
      </c>
      <c r="I48" s="6">
        <v>0</v>
      </c>
      <c r="J48" s="6" t="s">
        <v>239</v>
      </c>
    </row>
    <row r="49" spans="1:10" x14ac:dyDescent="0.25">
      <c r="A49" t="s">
        <v>43</v>
      </c>
      <c r="B49" t="s">
        <v>118</v>
      </c>
      <c r="C49" t="s">
        <v>0</v>
      </c>
      <c r="D49" s="6">
        <v>100</v>
      </c>
      <c r="E49" s="2">
        <v>52.98</v>
      </c>
      <c r="F49" s="2">
        <v>54.01</v>
      </c>
      <c r="G49" s="6">
        <v>100</v>
      </c>
      <c r="H49" s="2">
        <v>53.380001</v>
      </c>
      <c r="I49" s="6">
        <v>0</v>
      </c>
      <c r="J49" s="6" t="s">
        <v>239</v>
      </c>
    </row>
    <row r="50" spans="1:10" x14ac:dyDescent="0.25">
      <c r="A50" t="s">
        <v>43</v>
      </c>
      <c r="B50" t="s">
        <v>98</v>
      </c>
      <c r="C50" t="s">
        <v>0</v>
      </c>
      <c r="D50" s="6">
        <v>100</v>
      </c>
      <c r="E50" s="2">
        <v>67</v>
      </c>
      <c r="F50" s="2">
        <v>68.31</v>
      </c>
      <c r="G50" s="6">
        <v>100</v>
      </c>
      <c r="H50" s="2">
        <v>67.169998000000007</v>
      </c>
      <c r="I50" s="6">
        <v>9000</v>
      </c>
      <c r="J50" s="6" t="s">
        <v>239</v>
      </c>
    </row>
    <row r="51" spans="1:10" x14ac:dyDescent="0.25">
      <c r="A51" t="s">
        <v>43</v>
      </c>
      <c r="B51" t="s">
        <v>101</v>
      </c>
      <c r="C51" t="s">
        <v>0</v>
      </c>
      <c r="D51" s="6">
        <v>600</v>
      </c>
      <c r="E51" s="2">
        <v>130.52000000000001</v>
      </c>
      <c r="F51" s="2">
        <v>133.07</v>
      </c>
      <c r="G51" s="6">
        <v>600</v>
      </c>
      <c r="H51" s="2">
        <v>131.63000500000001</v>
      </c>
      <c r="I51" s="6">
        <v>0</v>
      </c>
      <c r="J51" s="6" t="s">
        <v>239</v>
      </c>
    </row>
    <row r="52" spans="1:10" x14ac:dyDescent="0.25">
      <c r="A52" t="s">
        <v>43</v>
      </c>
      <c r="B52" t="s">
        <v>105</v>
      </c>
      <c r="C52" t="s">
        <v>0</v>
      </c>
      <c r="D52" s="6">
        <v>100</v>
      </c>
      <c r="E52" s="2">
        <v>70.7</v>
      </c>
      <c r="F52" s="2">
        <v>72.08</v>
      </c>
      <c r="G52" s="6">
        <v>100</v>
      </c>
      <c r="H52" s="2">
        <v>70.769997000000004</v>
      </c>
      <c r="I52" s="6">
        <v>0</v>
      </c>
      <c r="J52" s="6" t="s">
        <v>239</v>
      </c>
    </row>
    <row r="53" spans="1:10" x14ac:dyDescent="0.25">
      <c r="A53" t="s">
        <v>43</v>
      </c>
      <c r="B53" t="s">
        <v>135</v>
      </c>
      <c r="C53" t="s">
        <v>0</v>
      </c>
      <c r="D53" s="6">
        <v>100</v>
      </c>
      <c r="E53" s="2">
        <v>153.97999999999999</v>
      </c>
      <c r="F53" s="2">
        <v>156.99</v>
      </c>
      <c r="G53" s="6">
        <v>100</v>
      </c>
      <c r="H53" s="2">
        <v>155.36000100000001</v>
      </c>
      <c r="I53" s="6">
        <v>-835</v>
      </c>
      <c r="J53" s="6" t="s">
        <v>239</v>
      </c>
    </row>
    <row r="54" spans="1:10" x14ac:dyDescent="0.25">
      <c r="A54" t="s">
        <v>43</v>
      </c>
      <c r="B54" t="s">
        <v>111</v>
      </c>
      <c r="C54" t="s">
        <v>0</v>
      </c>
      <c r="D54" s="6">
        <v>200</v>
      </c>
      <c r="E54" s="2">
        <v>98.15</v>
      </c>
      <c r="F54" s="2">
        <v>99.91</v>
      </c>
      <c r="G54" s="6">
        <v>100</v>
      </c>
      <c r="H54" s="2">
        <v>98.650002000000001</v>
      </c>
      <c r="I54" s="6">
        <v>0</v>
      </c>
      <c r="J54" s="6" t="s">
        <v>239</v>
      </c>
    </row>
    <row r="55" spans="1:10" x14ac:dyDescent="0.25">
      <c r="A55" t="s">
        <v>43</v>
      </c>
      <c r="B55" t="s">
        <v>136</v>
      </c>
      <c r="C55" t="s">
        <v>0</v>
      </c>
      <c r="D55" s="6">
        <v>100</v>
      </c>
      <c r="E55" s="2">
        <v>72.400000000000006</v>
      </c>
      <c r="F55" s="2">
        <v>73.81</v>
      </c>
      <c r="G55" s="6">
        <v>100</v>
      </c>
      <c r="H55" s="2">
        <v>73.180000000000007</v>
      </c>
      <c r="I55" s="6">
        <v>0</v>
      </c>
      <c r="J55" s="6" t="s">
        <v>239</v>
      </c>
    </row>
    <row r="56" spans="1:10" x14ac:dyDescent="0.25">
      <c r="A56" t="s">
        <v>43</v>
      </c>
      <c r="B56" t="s">
        <v>115</v>
      </c>
      <c r="C56" t="s">
        <v>0</v>
      </c>
      <c r="D56" s="6">
        <v>400</v>
      </c>
      <c r="E56" s="2">
        <v>252.54</v>
      </c>
      <c r="F56" s="2">
        <v>255.96</v>
      </c>
      <c r="G56" s="6">
        <v>100</v>
      </c>
      <c r="H56" s="2">
        <v>250.14999399999999</v>
      </c>
      <c r="I56" s="6">
        <v>-4125</v>
      </c>
      <c r="J56" s="6" t="s">
        <v>239</v>
      </c>
    </row>
    <row r="57" spans="1:10" x14ac:dyDescent="0.25">
      <c r="A57" t="s">
        <v>43</v>
      </c>
      <c r="B57" t="s">
        <v>119</v>
      </c>
      <c r="C57" t="s">
        <v>0</v>
      </c>
      <c r="D57" s="6">
        <v>100</v>
      </c>
      <c r="E57" s="2">
        <v>105.01</v>
      </c>
      <c r="F57" s="2">
        <v>107.06</v>
      </c>
      <c r="G57" s="6">
        <v>100</v>
      </c>
      <c r="H57" s="2">
        <v>104.769997</v>
      </c>
      <c r="I57" s="6">
        <v>-1125</v>
      </c>
      <c r="J57" s="6" t="s">
        <v>239</v>
      </c>
    </row>
    <row r="58" spans="1:10" x14ac:dyDescent="0.25">
      <c r="A58" t="s">
        <v>43</v>
      </c>
      <c r="B58" t="s">
        <v>99</v>
      </c>
      <c r="C58" t="s">
        <v>0</v>
      </c>
      <c r="D58" s="6">
        <v>100</v>
      </c>
      <c r="E58" s="2">
        <v>179.6</v>
      </c>
      <c r="F58" s="2">
        <v>183.12</v>
      </c>
      <c r="G58" s="6">
        <v>100</v>
      </c>
      <c r="H58" s="2">
        <v>180.16000399999999</v>
      </c>
      <c r="I58" s="6">
        <v>0</v>
      </c>
      <c r="J58" s="6" t="s">
        <v>239</v>
      </c>
    </row>
    <row r="59" spans="1:10" x14ac:dyDescent="0.25">
      <c r="A59" t="s">
        <v>43</v>
      </c>
      <c r="B59" t="s">
        <v>102</v>
      </c>
      <c r="C59" t="s">
        <v>0</v>
      </c>
      <c r="D59" s="6">
        <v>100</v>
      </c>
      <c r="E59" s="2">
        <v>135.69999999999999</v>
      </c>
      <c r="F59" s="2">
        <v>137.4</v>
      </c>
      <c r="G59" s="6">
        <v>200</v>
      </c>
      <c r="H59" s="2">
        <v>136.44000199999999</v>
      </c>
      <c r="I59" s="6">
        <v>0</v>
      </c>
      <c r="J59" s="6" t="s">
        <v>239</v>
      </c>
    </row>
    <row r="60" spans="1:10" x14ac:dyDescent="0.25">
      <c r="A60" t="s">
        <v>43</v>
      </c>
      <c r="B60" t="s">
        <v>106</v>
      </c>
      <c r="C60" t="s">
        <v>0</v>
      </c>
      <c r="D60" s="6">
        <v>300</v>
      </c>
      <c r="E60" s="2">
        <v>315.36</v>
      </c>
      <c r="F60" s="2">
        <v>319</v>
      </c>
      <c r="G60" s="6">
        <v>500</v>
      </c>
      <c r="H60" s="2">
        <v>314.66000400000001</v>
      </c>
      <c r="I60" s="6">
        <v>0</v>
      </c>
      <c r="J60" s="6" t="s">
        <v>239</v>
      </c>
    </row>
    <row r="61" spans="1:10" x14ac:dyDescent="0.25">
      <c r="A61" t="s">
        <v>43</v>
      </c>
      <c r="B61" t="s">
        <v>134</v>
      </c>
      <c r="C61" t="s">
        <v>0</v>
      </c>
      <c r="D61" s="6">
        <v>300</v>
      </c>
      <c r="E61" s="2">
        <v>321.95999999999998</v>
      </c>
      <c r="F61" s="2">
        <v>328.27</v>
      </c>
      <c r="G61" s="6">
        <v>300</v>
      </c>
      <c r="H61" s="2">
        <v>323.85000600000001</v>
      </c>
      <c r="I61" s="6">
        <v>0</v>
      </c>
      <c r="J61" s="6" t="s">
        <v>239</v>
      </c>
    </row>
    <row r="62" spans="1:10" x14ac:dyDescent="0.25">
      <c r="A62" t="s">
        <v>43</v>
      </c>
      <c r="B62" t="s">
        <v>112</v>
      </c>
      <c r="C62" t="s">
        <v>0</v>
      </c>
      <c r="D62" s="6">
        <v>100</v>
      </c>
      <c r="E62" s="2">
        <v>93.12</v>
      </c>
      <c r="F62" s="2">
        <v>94.8</v>
      </c>
      <c r="G62" s="6">
        <v>100</v>
      </c>
      <c r="H62" s="2">
        <v>93.480002999999996</v>
      </c>
      <c r="I62" s="6">
        <v>0</v>
      </c>
      <c r="J62" s="6" t="s">
        <v>239</v>
      </c>
    </row>
    <row r="63" spans="1:10" x14ac:dyDescent="0.25">
      <c r="A63" t="s">
        <v>43</v>
      </c>
      <c r="B63" t="s">
        <v>95</v>
      </c>
      <c r="C63" t="s">
        <v>0</v>
      </c>
      <c r="D63" s="6">
        <v>100</v>
      </c>
      <c r="E63" s="2">
        <v>223.01</v>
      </c>
      <c r="F63" s="2">
        <v>227.38</v>
      </c>
      <c r="G63" s="6">
        <v>100</v>
      </c>
      <c r="H63" s="2">
        <v>225.11000100000001</v>
      </c>
      <c r="I63" s="6">
        <v>0</v>
      </c>
      <c r="J63" s="6" t="s">
        <v>239</v>
      </c>
    </row>
    <row r="64" spans="1:10" x14ac:dyDescent="0.25">
      <c r="A64" t="s">
        <v>43</v>
      </c>
      <c r="B64" t="s">
        <v>116</v>
      </c>
      <c r="C64" t="s">
        <v>0</v>
      </c>
      <c r="D64" s="6">
        <v>200</v>
      </c>
      <c r="E64" s="2">
        <v>121.32</v>
      </c>
      <c r="F64" s="2">
        <v>121.59</v>
      </c>
      <c r="G64" s="6">
        <v>200</v>
      </c>
      <c r="H64" s="2">
        <v>118.91999800000001</v>
      </c>
      <c r="I64" s="6">
        <v>0</v>
      </c>
      <c r="J64" s="6" t="s">
        <v>239</v>
      </c>
    </row>
    <row r="65" spans="1:10" x14ac:dyDescent="0.25">
      <c r="A65" t="s">
        <v>43</v>
      </c>
      <c r="B65" t="s">
        <v>120</v>
      </c>
      <c r="C65" t="s">
        <v>0</v>
      </c>
      <c r="D65" s="6">
        <v>100</v>
      </c>
      <c r="E65" s="2">
        <v>178.77</v>
      </c>
      <c r="F65" s="2">
        <v>182.27</v>
      </c>
      <c r="G65" s="6">
        <v>100</v>
      </c>
      <c r="H65" s="2">
        <v>178.949997</v>
      </c>
      <c r="I65" s="6">
        <v>0</v>
      </c>
      <c r="J65" s="6" t="s">
        <v>239</v>
      </c>
    </row>
    <row r="66" spans="1:10" x14ac:dyDescent="0.25">
      <c r="A66" t="s">
        <v>43</v>
      </c>
      <c r="B66" t="s">
        <v>100</v>
      </c>
      <c r="C66" t="s">
        <v>0</v>
      </c>
      <c r="D66" s="6">
        <v>100</v>
      </c>
      <c r="E66" s="2">
        <v>64.260000000000005</v>
      </c>
      <c r="F66" s="2">
        <v>64.5</v>
      </c>
      <c r="G66" s="6">
        <v>100</v>
      </c>
      <c r="H66" s="2">
        <v>64.029999000000004</v>
      </c>
      <c r="I66" s="6">
        <v>-9523</v>
      </c>
      <c r="J66" s="6" t="s">
        <v>239</v>
      </c>
    </row>
    <row r="67" spans="1:10" x14ac:dyDescent="0.25">
      <c r="A67" t="s">
        <v>43</v>
      </c>
      <c r="B67" t="s">
        <v>103</v>
      </c>
      <c r="C67" t="s">
        <v>0</v>
      </c>
      <c r="D67" s="6">
        <v>5300</v>
      </c>
      <c r="E67" s="2">
        <v>55.88</v>
      </c>
      <c r="F67" s="2">
        <v>55.89</v>
      </c>
      <c r="G67" s="6">
        <v>200</v>
      </c>
      <c r="H67" s="2">
        <v>55.93</v>
      </c>
      <c r="I67" s="6">
        <v>0</v>
      </c>
      <c r="J67" s="6" t="s">
        <v>239</v>
      </c>
    </row>
    <row r="68" spans="1:10" x14ac:dyDescent="0.25">
      <c r="A68" t="s">
        <v>43</v>
      </c>
      <c r="B68" t="s">
        <v>107</v>
      </c>
      <c r="C68" t="s">
        <v>0</v>
      </c>
      <c r="D68" s="6">
        <v>200</v>
      </c>
      <c r="E68" s="2">
        <v>168.66</v>
      </c>
      <c r="F68" s="2">
        <v>169.22</v>
      </c>
      <c r="G68" s="6">
        <v>1000</v>
      </c>
      <c r="H68" s="2">
        <v>167.770004</v>
      </c>
      <c r="I68" s="6">
        <v>0</v>
      </c>
      <c r="J68" s="6" t="s">
        <v>239</v>
      </c>
    </row>
    <row r="69" spans="1:10" x14ac:dyDescent="0.25">
      <c r="A69" t="s">
        <v>43</v>
      </c>
      <c r="B69" t="s">
        <v>109</v>
      </c>
      <c r="C69" t="s">
        <v>0</v>
      </c>
      <c r="D69" s="6">
        <v>1000</v>
      </c>
      <c r="E69" s="2">
        <v>168.91</v>
      </c>
      <c r="F69" s="2">
        <v>170.97</v>
      </c>
      <c r="G69" s="6">
        <v>100</v>
      </c>
      <c r="H69" s="2">
        <v>168.71000699999999</v>
      </c>
      <c r="I69" s="6">
        <v>765</v>
      </c>
      <c r="J69" s="6" t="s">
        <v>239</v>
      </c>
    </row>
    <row r="70" spans="1:10" x14ac:dyDescent="0.25">
      <c r="A70" t="s">
        <v>43</v>
      </c>
      <c r="B70" t="s">
        <v>113</v>
      </c>
      <c r="C70" t="s">
        <v>0</v>
      </c>
      <c r="D70" s="6">
        <v>100</v>
      </c>
      <c r="E70" s="2">
        <v>42.92</v>
      </c>
      <c r="F70" s="2">
        <v>43.12</v>
      </c>
      <c r="G70" s="6">
        <v>100</v>
      </c>
      <c r="H70" s="2">
        <v>42.810001</v>
      </c>
      <c r="I70" s="6">
        <v>0</v>
      </c>
      <c r="J70" s="6" t="s">
        <v>239</v>
      </c>
    </row>
    <row r="71" spans="1:10" x14ac:dyDescent="0.25">
      <c r="A71" t="s">
        <v>43</v>
      </c>
      <c r="B71" t="s">
        <v>96</v>
      </c>
      <c r="C71" t="s">
        <v>0</v>
      </c>
      <c r="D71" s="6">
        <v>200</v>
      </c>
      <c r="E71" s="2">
        <v>83.33</v>
      </c>
      <c r="F71" s="2">
        <v>83.81</v>
      </c>
      <c r="G71" s="6">
        <v>1500</v>
      </c>
      <c r="H71" s="2">
        <v>83.330001999999993</v>
      </c>
      <c r="I71" s="6">
        <v>0</v>
      </c>
      <c r="J71" s="6" t="s">
        <v>239</v>
      </c>
    </row>
    <row r="72" spans="1:10" x14ac:dyDescent="0.25">
      <c r="A72" t="s">
        <v>43</v>
      </c>
      <c r="B72" t="s">
        <v>117</v>
      </c>
      <c r="C72" t="s">
        <v>0</v>
      </c>
      <c r="D72" s="6">
        <v>400</v>
      </c>
      <c r="E72" s="2">
        <v>188.11</v>
      </c>
      <c r="F72" s="2">
        <v>188.54</v>
      </c>
      <c r="G72" s="6">
        <v>500</v>
      </c>
      <c r="H72" s="2">
        <v>183.929993</v>
      </c>
      <c r="I72" s="6">
        <v>5565</v>
      </c>
      <c r="J72" s="6" t="s">
        <v>239</v>
      </c>
    </row>
    <row r="73" spans="1:10" x14ac:dyDescent="0.25">
      <c r="A73" t="s">
        <v>43</v>
      </c>
      <c r="B73" t="s">
        <v>121</v>
      </c>
      <c r="C73" t="s">
        <v>0</v>
      </c>
      <c r="D73" s="6">
        <v>100</v>
      </c>
      <c r="E73" s="2">
        <v>41.61</v>
      </c>
      <c r="F73" s="2">
        <v>41.76</v>
      </c>
      <c r="G73" s="6">
        <v>400</v>
      </c>
      <c r="H73" s="2">
        <v>41.32</v>
      </c>
      <c r="I73" s="6">
        <v>2850</v>
      </c>
      <c r="J73" s="6" t="s">
        <v>239</v>
      </c>
    </row>
    <row r="74" spans="1:10" x14ac:dyDescent="0.25">
      <c r="A74" t="s">
        <v>43</v>
      </c>
      <c r="B74" t="s">
        <v>183</v>
      </c>
      <c r="C74" t="s">
        <v>0</v>
      </c>
      <c r="D74" s="6">
        <v>100</v>
      </c>
      <c r="E74" s="2">
        <v>95.85</v>
      </c>
      <c r="F74" s="2">
        <v>97.72</v>
      </c>
      <c r="G74" s="6">
        <v>100</v>
      </c>
      <c r="H74" s="2">
        <v>96.169998000000007</v>
      </c>
      <c r="I74" s="6">
        <v>0</v>
      </c>
      <c r="J74" s="6" t="s">
        <v>239</v>
      </c>
    </row>
    <row r="75" spans="1:10" x14ac:dyDescent="0.25">
      <c r="A75" t="s">
        <v>43</v>
      </c>
      <c r="B75" t="s">
        <v>184</v>
      </c>
      <c r="C75" t="s">
        <v>0</v>
      </c>
      <c r="D75" s="6">
        <v>100</v>
      </c>
      <c r="E75" s="2">
        <v>95.88</v>
      </c>
      <c r="F75" s="2">
        <v>97.75</v>
      </c>
      <c r="G75" s="6">
        <v>100</v>
      </c>
      <c r="H75" s="2">
        <v>96.360000999999997</v>
      </c>
      <c r="I75" s="6">
        <v>0</v>
      </c>
      <c r="J75" s="6" t="s">
        <v>239</v>
      </c>
    </row>
    <row r="76" spans="1:10" x14ac:dyDescent="0.25">
      <c r="A76" t="s">
        <v>43</v>
      </c>
      <c r="B76" t="s">
        <v>185</v>
      </c>
      <c r="C76" t="s">
        <v>0</v>
      </c>
      <c r="D76" s="6">
        <v>400</v>
      </c>
      <c r="E76" s="2">
        <v>111.35</v>
      </c>
      <c r="F76" s="2">
        <v>112.37</v>
      </c>
      <c r="G76" s="6">
        <v>800</v>
      </c>
      <c r="H76" s="2">
        <v>110.18</v>
      </c>
      <c r="I76" s="6">
        <v>0</v>
      </c>
      <c r="J76" s="6" t="s">
        <v>239</v>
      </c>
    </row>
    <row r="77" spans="1:10" x14ac:dyDescent="0.25">
      <c r="A77" t="s">
        <v>43</v>
      </c>
      <c r="B77" t="s">
        <v>186</v>
      </c>
      <c r="C77" t="s">
        <v>0</v>
      </c>
      <c r="D77" s="6">
        <v>300</v>
      </c>
      <c r="E77" s="2">
        <v>369.92</v>
      </c>
      <c r="F77" s="2">
        <v>377.17</v>
      </c>
      <c r="G77" s="6">
        <v>300</v>
      </c>
      <c r="H77" s="2">
        <v>370.26001000000002</v>
      </c>
      <c r="I77" s="6">
        <v>0</v>
      </c>
      <c r="J77" s="6" t="s">
        <v>239</v>
      </c>
    </row>
    <row r="78" spans="1:10" x14ac:dyDescent="0.25">
      <c r="A78" t="s">
        <v>43</v>
      </c>
      <c r="B78" t="s">
        <v>56</v>
      </c>
      <c r="C78" t="s">
        <v>0</v>
      </c>
      <c r="D78" s="6">
        <v>600</v>
      </c>
      <c r="E78" s="2">
        <v>22.75</v>
      </c>
      <c r="F78" s="2">
        <v>23.11</v>
      </c>
      <c r="G78" s="6">
        <v>300</v>
      </c>
      <c r="H78" s="2">
        <v>22.879999000000002</v>
      </c>
      <c r="I78" s="6">
        <v>0</v>
      </c>
      <c r="J78" s="6" t="s">
        <v>239</v>
      </c>
    </row>
    <row r="79" spans="1:10" x14ac:dyDescent="0.25">
      <c r="A79" t="s">
        <v>43</v>
      </c>
      <c r="B79" t="s">
        <v>57</v>
      </c>
      <c r="C79" t="s">
        <v>0</v>
      </c>
      <c r="D79" s="6">
        <v>100</v>
      </c>
      <c r="E79" s="2">
        <v>62.8</v>
      </c>
      <c r="F79" s="2">
        <v>64.03</v>
      </c>
      <c r="G79" s="6">
        <v>100</v>
      </c>
      <c r="H79" s="2">
        <v>63.16</v>
      </c>
      <c r="I79" s="6">
        <v>0</v>
      </c>
      <c r="J79" s="6" t="s">
        <v>239</v>
      </c>
    </row>
    <row r="80" spans="1:10" x14ac:dyDescent="0.25">
      <c r="A80" t="s">
        <v>43</v>
      </c>
      <c r="B80" t="s">
        <v>176</v>
      </c>
      <c r="C80" t="s">
        <v>0</v>
      </c>
      <c r="D80" s="6">
        <v>300</v>
      </c>
      <c r="E80" s="2">
        <v>344.69</v>
      </c>
      <c r="F80" s="2">
        <v>344.93</v>
      </c>
      <c r="G80" s="6">
        <v>200</v>
      </c>
      <c r="H80" s="2">
        <v>339.35998499999999</v>
      </c>
      <c r="I80" s="6">
        <v>0</v>
      </c>
      <c r="J80" s="6" t="s">
        <v>239</v>
      </c>
    </row>
    <row r="81" spans="1:10" x14ac:dyDescent="0.25">
      <c r="A81" t="s">
        <v>43</v>
      </c>
      <c r="B81" t="s">
        <v>177</v>
      </c>
      <c r="C81" t="s">
        <v>0</v>
      </c>
      <c r="D81" s="6">
        <v>100</v>
      </c>
      <c r="E81" s="2">
        <v>348.37</v>
      </c>
      <c r="F81" s="2">
        <v>348.58</v>
      </c>
      <c r="G81" s="6">
        <v>600</v>
      </c>
      <c r="H81" s="2">
        <v>342.86999500000002</v>
      </c>
      <c r="I81" s="6">
        <v>0</v>
      </c>
      <c r="J81" s="6" t="s">
        <v>239</v>
      </c>
    </row>
    <row r="82" spans="1:10" x14ac:dyDescent="0.25">
      <c r="A82" t="s">
        <v>43</v>
      </c>
      <c r="B82" t="s">
        <v>178</v>
      </c>
      <c r="C82" t="s">
        <v>0</v>
      </c>
      <c r="D82" s="6">
        <v>0</v>
      </c>
      <c r="E82" s="2">
        <v>52.37</v>
      </c>
      <c r="F82" s="2">
        <v>65.44</v>
      </c>
      <c r="G82" s="6">
        <v>0</v>
      </c>
      <c r="H82" s="2">
        <v>59.150002000000001</v>
      </c>
      <c r="I82" s="6">
        <v>0</v>
      </c>
      <c r="J82" s="6" t="s">
        <v>239</v>
      </c>
    </row>
    <row r="83" spans="1:10" x14ac:dyDescent="0.25">
      <c r="A83" t="s">
        <v>43</v>
      </c>
      <c r="B83" t="s">
        <v>179</v>
      </c>
      <c r="C83" t="s">
        <v>0</v>
      </c>
      <c r="D83" s="6">
        <v>0</v>
      </c>
      <c r="E83" s="2">
        <v>55.52</v>
      </c>
      <c r="F83" s="2">
        <v>74.37</v>
      </c>
      <c r="G83" s="6">
        <v>100</v>
      </c>
      <c r="H83" s="2">
        <v>66.160004000000001</v>
      </c>
      <c r="I83" s="6">
        <v>0</v>
      </c>
      <c r="J83" s="6" t="s">
        <v>239</v>
      </c>
    </row>
    <row r="84" spans="1:10" x14ac:dyDescent="0.25">
      <c r="A84" t="s">
        <v>43</v>
      </c>
      <c r="B84" t="s">
        <v>180</v>
      </c>
      <c r="C84" t="s">
        <v>0</v>
      </c>
      <c r="D84" s="6">
        <v>0</v>
      </c>
      <c r="E84" s="2">
        <v>29.37</v>
      </c>
      <c r="F84" s="2">
        <v>37.39</v>
      </c>
      <c r="G84" s="6">
        <v>0</v>
      </c>
      <c r="H84" s="2">
        <v>33.439999</v>
      </c>
      <c r="I84" s="6">
        <v>0</v>
      </c>
      <c r="J84" s="6" t="s">
        <v>239</v>
      </c>
    </row>
    <row r="85" spans="1:10" x14ac:dyDescent="0.25">
      <c r="A85" t="s">
        <v>43</v>
      </c>
      <c r="B85" t="s">
        <v>181</v>
      </c>
      <c r="C85" t="s">
        <v>0</v>
      </c>
      <c r="D85" s="6">
        <v>0</v>
      </c>
      <c r="E85" s="2">
        <v>25.42</v>
      </c>
      <c r="F85" s="2">
        <v>34.950000000000003</v>
      </c>
      <c r="G85" s="6">
        <v>0</v>
      </c>
      <c r="H85" s="2">
        <v>30.190000999999999</v>
      </c>
      <c r="I85" s="6">
        <v>0</v>
      </c>
      <c r="J85" s="6" t="s">
        <v>239</v>
      </c>
    </row>
    <row r="86" spans="1:10" x14ac:dyDescent="0.25">
      <c r="A86" t="s">
        <v>43</v>
      </c>
      <c r="B86" t="s">
        <v>182</v>
      </c>
      <c r="C86" t="s">
        <v>0</v>
      </c>
      <c r="D86" s="6">
        <v>100</v>
      </c>
      <c r="E86" s="2">
        <v>277.95</v>
      </c>
      <c r="F86" s="2">
        <v>340</v>
      </c>
      <c r="G86" s="6">
        <v>100</v>
      </c>
      <c r="H86" s="2">
        <v>299.42999300000002</v>
      </c>
      <c r="I86" s="6">
        <v>0</v>
      </c>
      <c r="J86" s="6" t="s">
        <v>239</v>
      </c>
    </row>
    <row r="87" spans="1:10" x14ac:dyDescent="0.25">
      <c r="A87" t="s">
        <v>43</v>
      </c>
      <c r="B87" t="s">
        <v>192</v>
      </c>
      <c r="C87" t="s">
        <v>0</v>
      </c>
      <c r="D87" s="6">
        <v>100</v>
      </c>
      <c r="E87" s="2">
        <v>202.93</v>
      </c>
      <c r="F87" s="2">
        <v>244.19</v>
      </c>
      <c r="G87" s="6">
        <v>100</v>
      </c>
      <c r="H87" s="2">
        <v>222.36999499999999</v>
      </c>
      <c r="I87" s="6">
        <v>0</v>
      </c>
      <c r="J87" s="6" t="s">
        <v>239</v>
      </c>
    </row>
    <row r="88" spans="1:10" x14ac:dyDescent="0.25">
      <c r="A88" t="s">
        <v>43</v>
      </c>
      <c r="B88" t="s">
        <v>194</v>
      </c>
      <c r="C88" t="s">
        <v>0</v>
      </c>
      <c r="D88" s="6">
        <v>100</v>
      </c>
      <c r="E88" s="2">
        <v>649345.52</v>
      </c>
      <c r="F88" s="2">
        <v>878526.28</v>
      </c>
      <c r="G88" s="6">
        <v>100</v>
      </c>
      <c r="H88" s="2">
        <v>780297.1875</v>
      </c>
      <c r="I88" s="6">
        <v>0</v>
      </c>
      <c r="J88" s="6" t="s">
        <v>239</v>
      </c>
    </row>
    <row r="89" spans="1:10" x14ac:dyDescent="0.25">
      <c r="A89" t="s">
        <v>43</v>
      </c>
      <c r="B89" t="s">
        <v>195</v>
      </c>
      <c r="C89" t="s">
        <v>0</v>
      </c>
      <c r="D89" s="6">
        <v>200</v>
      </c>
      <c r="E89" s="2">
        <v>509.5</v>
      </c>
      <c r="F89" s="2">
        <v>510.99</v>
      </c>
      <c r="G89" s="6">
        <v>100</v>
      </c>
      <c r="H89" s="2">
        <v>519.79998799999998</v>
      </c>
      <c r="I89" s="6">
        <v>0</v>
      </c>
      <c r="J89" s="6" t="s">
        <v>239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I50"/>
  <sheetViews>
    <sheetView tabSelected="1" topLeftCell="G1" zoomScale="85" zoomScaleNormal="85" workbookViewId="0">
      <selection activeCell="K17" sqref="K17:L18"/>
    </sheetView>
  </sheetViews>
  <sheetFormatPr defaultRowHeight="15" x14ac:dyDescent="0.25"/>
  <cols>
    <col min="1" max="1" width="8.140625" style="10" bestFit="1" customWidth="1"/>
    <col min="2" max="2" width="9.42578125" style="10" bestFit="1" customWidth="1"/>
    <col min="3" max="3" width="17.85546875" style="10" bestFit="1" customWidth="1"/>
    <col min="4" max="4" width="11.5703125" style="10" bestFit="1" customWidth="1"/>
    <col min="5" max="5" width="7.7109375" style="8" bestFit="1" customWidth="1"/>
    <col min="6" max="6" width="8" style="10" bestFit="1" customWidth="1"/>
    <col min="7" max="7" width="7.85546875" style="8" bestFit="1" customWidth="1"/>
    <col min="8" max="10" width="11" style="2" customWidth="1"/>
    <col min="11" max="12" width="11" style="13" customWidth="1"/>
    <col min="13" max="13" width="8.5703125" style="55" bestFit="1" customWidth="1"/>
    <col min="14" max="15" width="10" style="7" bestFit="1" customWidth="1"/>
    <col min="16" max="17" width="10" bestFit="1" customWidth="1"/>
    <col min="18" max="18" width="11" style="11" bestFit="1" customWidth="1"/>
    <col min="19" max="19" width="7.85546875" bestFit="1" customWidth="1"/>
    <col min="20" max="20" width="9.7109375" style="30" bestFit="1" customWidth="1"/>
    <col min="21" max="21" width="9.5703125" style="26" bestFit="1" customWidth="1"/>
    <col min="22" max="22" width="9.7109375" style="26" bestFit="1" customWidth="1"/>
    <col min="23" max="23" width="9.5703125" style="1" bestFit="1" customWidth="1"/>
    <col min="24" max="24" width="7.7109375" bestFit="1" customWidth="1"/>
    <col min="25" max="26" width="11" customWidth="1"/>
    <col min="27" max="27" width="9.5703125" bestFit="1" customWidth="1"/>
    <col min="28" max="28" width="7.85546875" bestFit="1" customWidth="1"/>
    <col min="29" max="29" width="9" bestFit="1" customWidth="1"/>
    <col min="30" max="30" width="10.7109375" bestFit="1" customWidth="1"/>
    <col min="31" max="31" width="7.7109375" bestFit="1" customWidth="1"/>
    <col min="32" max="32" width="9.5703125" bestFit="1" customWidth="1"/>
    <col min="33" max="33" width="7" bestFit="1" customWidth="1"/>
    <col min="34" max="35" width="11.5703125" bestFit="1" customWidth="1"/>
  </cols>
  <sheetData>
    <row r="1" spans="1:35" x14ac:dyDescent="0.25">
      <c r="A1" s="303" t="s">
        <v>67</v>
      </c>
      <c r="B1" s="304"/>
      <c r="C1" s="161"/>
      <c r="D1" s="140"/>
      <c r="E1" s="85"/>
      <c r="F1" s="67"/>
      <c r="G1" s="67"/>
      <c r="H1" s="307" t="s">
        <v>69</v>
      </c>
      <c r="I1" s="308"/>
      <c r="J1" s="166"/>
      <c r="K1" s="428" t="s">
        <v>238</v>
      </c>
      <c r="L1" s="429"/>
      <c r="M1" s="39"/>
      <c r="N1" s="310" t="s">
        <v>72</v>
      </c>
      <c r="O1" s="311"/>
      <c r="P1" s="321" t="s">
        <v>84</v>
      </c>
      <c r="Q1" s="311"/>
      <c r="R1" s="312" t="s">
        <v>85</v>
      </c>
      <c r="S1" s="313"/>
      <c r="T1" s="45" t="s">
        <v>82</v>
      </c>
      <c r="U1" s="47" t="s">
        <v>83</v>
      </c>
      <c r="V1" s="47" t="s">
        <v>83</v>
      </c>
      <c r="W1" s="46" t="s">
        <v>82</v>
      </c>
      <c r="X1" s="353" t="s">
        <v>73</v>
      </c>
      <c r="Y1" s="353"/>
      <c r="Z1" s="353"/>
      <c r="AA1" s="354"/>
      <c r="AB1" s="67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430" t="s">
        <v>70</v>
      </c>
      <c r="L2" s="431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84" t="s">
        <v>74</v>
      </c>
      <c r="Y2" s="69" t="s">
        <v>90</v>
      </c>
      <c r="Z2" s="70" t="s">
        <v>89</v>
      </c>
      <c r="AA2" s="71" t="s">
        <v>75</v>
      </c>
      <c r="AB2" s="68" t="str">
        <f>G2</f>
        <v>symbol</v>
      </c>
      <c r="AC2" s="392" t="s">
        <v>226</v>
      </c>
      <c r="AD2" s="393" t="s">
        <v>235</v>
      </c>
      <c r="AE2" s="393" t="s">
        <v>228</v>
      </c>
      <c r="AF2" s="393" t="s">
        <v>227</v>
      </c>
      <c r="AG2" s="393" t="s">
        <v>228</v>
      </c>
      <c r="AH2" s="397" t="s">
        <v>231</v>
      </c>
      <c r="AI2" s="73" t="s">
        <v>231</v>
      </c>
    </row>
    <row r="3" spans="1:35" x14ac:dyDescent="0.25">
      <c r="A3" s="145">
        <f>MATCH(G3,SCALARS!C:C,0)</f>
        <v>18</v>
      </c>
      <c r="B3" s="146">
        <f>MATCH(G3,'MKT DATA'!B:B,0)</f>
        <v>9</v>
      </c>
      <c r="C3" s="149" t="str" cm="1">
        <f t="array" aca="1" ref="C3" ca="1">INDIRECT(ADDRESS($A3,2,,,"scalars"))</f>
        <v>converts</v>
      </c>
      <c r="D3" s="261" cm="1">
        <f t="array" aca="1" ref="D3" ca="1">INDIRECT(ADDRESS($A3,8,,,"SCALARS"))</f>
        <v>625300</v>
      </c>
      <c r="E3" s="89">
        <v>0.16500000000000001</v>
      </c>
      <c r="F3" s="14" t="str" cm="1">
        <f t="array" aca="1" ref="F3" ca="1">INDIRECT(ADDRESS($A3,5,,,"scalars"))</f>
        <v>ICVT</v>
      </c>
      <c r="G3" s="15" t="s">
        <v>48</v>
      </c>
      <c r="H3" s="33" cm="1">
        <f t="array" aca="1" ref="H3" ca="1">INDIRECT(ADDRESS($B3,5,,,"mkt data"))</f>
        <v>100.96</v>
      </c>
      <c r="I3" s="34" cm="1">
        <f t="array" aca="1" ref="I3" ca="1">INDIRECT(ADDRESS($B3,6,,,"mkt data"))</f>
        <v>101.98</v>
      </c>
      <c r="J3" s="278" cm="1">
        <f t="array" aca="1" ref="J3" ca="1">INDIRECT(ADDRESS($A3,7,,,"SCALARS"))</f>
        <v>1.0709869999999999</v>
      </c>
      <c r="K3" s="16">
        <f ca="1">H3+J3-K$17</f>
        <v>102.025987</v>
      </c>
      <c r="L3" s="16">
        <f ca="1">I3+J3+K$17</f>
        <v>103.055987</v>
      </c>
      <c r="M3" s="50" cm="1">
        <f t="array" aca="1" ref="M3" ca="1">INDIRECT(ADDRESS($A3,6,,,"scalars"))</f>
        <v>1.1135661953796396</v>
      </c>
      <c r="N3" s="17">
        <f ca="1">K3*M3</f>
        <v>113.61269017344257</v>
      </c>
      <c r="O3" s="17">
        <f t="shared" ref="O3:O16" ca="1" si="0">M3*L3</f>
        <v>114.75966335468361</v>
      </c>
      <c r="P3" s="317">
        <f ca="1">N4-O3</f>
        <v>-1.4692563546836084</v>
      </c>
      <c r="Q3" s="336">
        <f ca="1">LN(N4/O3)</f>
        <v>-1.2885562207217623E-2</v>
      </c>
      <c r="R3" s="317">
        <f ca="1">N3-O4</f>
        <v>-0.8277168265574204</v>
      </c>
      <c r="S3" s="336">
        <f ca="1">LN(N3/O4)</f>
        <v>-7.2590153030825501E-3</v>
      </c>
      <c r="T3" s="80">
        <v>5.0000000000000001E-3</v>
      </c>
      <c r="U3" s="51">
        <v>3.0000000000000001E-3</v>
      </c>
      <c r="V3" s="51">
        <v>3.0000000000000001E-3</v>
      </c>
      <c r="W3" s="81">
        <v>5.0000000000000001E-3</v>
      </c>
      <c r="X3" s="27" cm="1">
        <f t="array" aca="1" ref="X3" ca="1">INDIRECT(ADDRESS($B3,9,,,"mkt data"))</f>
        <v>0</v>
      </c>
      <c r="Y3" s="62">
        <f ca="1">X3*AVERAGE(H3:I3)</f>
        <v>0</v>
      </c>
      <c r="Z3" s="27">
        <f ca="1">X3/M3</f>
        <v>0</v>
      </c>
      <c r="AA3" s="355">
        <f ca="1">SUM(Z3:Z4)</f>
        <v>0</v>
      </c>
      <c r="AB3" s="15" t="str">
        <f>G3</f>
        <v>CWB</v>
      </c>
      <c r="AC3" s="33" cm="1">
        <f t="array" aca="1" ref="AC3" ca="1">INDIRECT(ADDRESS($B3,8,,,"mkt data"))</f>
        <v>100.400002</v>
      </c>
      <c r="AD3" s="394">
        <f ca="1">AVERAGE(H3,I3)</f>
        <v>101.47</v>
      </c>
      <c r="AE3" s="394">
        <f ca="1">AD3-AC3</f>
        <v>1.0699979999999982</v>
      </c>
      <c r="AF3" s="414">
        <v>0</v>
      </c>
      <c r="AG3" s="394">
        <f ca="1">AE3+AF3</f>
        <v>1.0699979999999982</v>
      </c>
      <c r="AH3" s="394">
        <f ca="1">AG3*X3</f>
        <v>0</v>
      </c>
      <c r="AI3" s="402">
        <f ca="1">AH3+AH4</f>
        <v>0</v>
      </c>
    </row>
    <row r="4" spans="1:35" ht="15.75" thickBot="1" x14ac:dyDescent="0.3">
      <c r="A4" s="147">
        <f>MATCH(G4,SCALARS!C:C,0)</f>
        <v>19</v>
      </c>
      <c r="B4" s="148">
        <f>MATCH(G4,'MKT DATA'!B:B,0)</f>
        <v>15</v>
      </c>
      <c r="C4" s="224" t="str" cm="1">
        <f t="array" aca="1" ref="C4" ca="1">INDIRECT(ADDRESS($A4,2,,,"scalars"))</f>
        <v>converts</v>
      </c>
      <c r="D4" s="262" cm="1">
        <f t="array" aca="1" ref="D4" ca="1">INDIRECT(ADDRESS($A4,8,,,"SCALARS"))</f>
        <v>567100</v>
      </c>
      <c r="E4" s="90">
        <v>0.16500000000000001</v>
      </c>
      <c r="F4" s="20" t="str" cm="1">
        <f t="array" aca="1" ref="F4" ca="1">INDIRECT(ADDRESS($A4,5,,,"scalars"))</f>
        <v>ICVT</v>
      </c>
      <c r="G4" s="21" t="s">
        <v>52</v>
      </c>
      <c r="H4" s="37" cm="1">
        <f t="array" aca="1" ref="H4" ca="1">INDIRECT(ADDRESS($B4,5,,,"mkt data"))</f>
        <v>112.28</v>
      </c>
      <c r="I4" s="38" cm="1">
        <f t="array" aca="1" ref="I4" ca="1">INDIRECT(ADDRESS($B4,6,,,"mkt data"))</f>
        <v>113.42</v>
      </c>
      <c r="J4" s="279" cm="1">
        <f t="array" aca="1" ref="J4" ca="1">INDIRECT(ADDRESS($A4,7,,,"SCALARS"))</f>
        <v>1.0154069999999999</v>
      </c>
      <c r="K4" s="22">
        <f ca="1">H4+J4-K$17</f>
        <v>113.290407</v>
      </c>
      <c r="L4" s="22">
        <f ca="1">I4+J4+K$17</f>
        <v>114.44040699999999</v>
      </c>
      <c r="M4" s="52" cm="1">
        <f t="array" aca="1" ref="M4" ca="1">INDIRECT(ADDRESS($A4,6,,,"scalars"))</f>
        <v>1</v>
      </c>
      <c r="N4" s="23">
        <f ca="1">K4*M4</f>
        <v>113.290407</v>
      </c>
      <c r="O4" s="23">
        <f t="shared" ca="1" si="0"/>
        <v>114.44040699999999</v>
      </c>
      <c r="P4" s="318"/>
      <c r="Q4" s="338"/>
      <c r="R4" s="318"/>
      <c r="S4" s="338"/>
      <c r="T4" s="82" t="b">
        <f ca="1">IF(Q3&gt;T3,TRUE,FALSE)</f>
        <v>0</v>
      </c>
      <c r="U4" s="53" t="b">
        <f ca="1">AND(IF(S3&gt;-U3,TRUE,FALSE),IF(X3&gt;0,TRUE,FALSE))</f>
        <v>0</v>
      </c>
      <c r="V4" s="53" t="b">
        <f ca="1">AND(IF(Q3&gt;-V3,TRUE,FALSE),IF(X3&lt;0,TRUE,FALSE))</f>
        <v>0</v>
      </c>
      <c r="W4" s="83" t="b">
        <f ca="1">IF(S3&gt;W3,TRUE,FALSE)</f>
        <v>0</v>
      </c>
      <c r="X4" s="29" cm="1">
        <f t="array" aca="1" ref="X4" ca="1">INDIRECT(ADDRESS($B4,9,,,"mkt data"))</f>
        <v>0</v>
      </c>
      <c r="Y4" s="64">
        <f ca="1">X4*AVERAGE(H4:I4)</f>
        <v>0</v>
      </c>
      <c r="Z4" s="29">
        <f ca="1">X4/M4</f>
        <v>0</v>
      </c>
      <c r="AA4" s="357"/>
      <c r="AB4" s="21" t="str">
        <f>G4</f>
        <v>ICVT</v>
      </c>
      <c r="AC4" s="37" cm="1">
        <f t="array" aca="1" ref="AC4" ca="1">INDIRECT(ADDRESS($B4,8,,,"mkt data"))</f>
        <v>112</v>
      </c>
      <c r="AD4" s="396">
        <f t="shared" ref="AD4:AD12" ca="1" si="1">AVERAGE(H4,I4)</f>
        <v>112.85</v>
      </c>
      <c r="AE4" s="396">
        <f t="shared" ref="AE4:AE12" ca="1" si="2">AD4-AC4</f>
        <v>0.84999999999999432</v>
      </c>
      <c r="AF4" s="416">
        <v>0</v>
      </c>
      <c r="AG4" s="396">
        <f t="shared" ref="AG4:AG12" ca="1" si="3">AE4+AF4</f>
        <v>0.84999999999999432</v>
      </c>
      <c r="AH4" s="396">
        <f ca="1">AG4*X4</f>
        <v>0</v>
      </c>
      <c r="AI4" s="403"/>
    </row>
    <row r="5" spans="1:35" x14ac:dyDescent="0.25">
      <c r="A5" s="145">
        <f>MATCH(G5,SCALARS!C:C,0)</f>
        <v>36</v>
      </c>
      <c r="B5" s="146">
        <f>MATCH(G5,'MKT DATA'!B:B,0)</f>
        <v>6</v>
      </c>
      <c r="C5" s="223" t="str" cm="1">
        <f t="array" aca="1" ref="C5" ca="1">INDIRECT(ADDRESS($A5,2,,,"scalars"))</f>
        <v>intl gov - unhedged</v>
      </c>
      <c r="D5" s="261" cm="1">
        <f t="array" aca="1" ref="D5" ca="1">INDIRECT(ADDRESS($A5,8,,,"SCALARS"))</f>
        <v>440700</v>
      </c>
      <c r="E5" s="89">
        <v>0.16500000000000001</v>
      </c>
      <c r="F5" s="14" t="str" cm="1">
        <f t="array" aca="1" ref="F5" ca="1">INDIRECT(ADDRESS($A5,5,,,"scalars"))</f>
        <v>IGOV</v>
      </c>
      <c r="G5" s="15" t="s">
        <v>46</v>
      </c>
      <c r="H5" s="33" cm="1">
        <f t="array" aca="1" ref="H5" ca="1">INDIRECT(ADDRESS($B5,5,,,"mkt data"))</f>
        <v>21.49</v>
      </c>
      <c r="I5" s="34" cm="1">
        <f t="array" aca="1" ref="I5" ca="1">INDIRECT(ADDRESS($B5,6,,,"mkt data"))</f>
        <v>21.61</v>
      </c>
      <c r="J5" s="278" cm="1">
        <f t="array" aca="1" ref="J5" ca="1">INDIRECT(ADDRESS($A5,7,,,"SCALARS"))</f>
        <v>0.34714599999999995</v>
      </c>
      <c r="K5" s="16">
        <f ca="1">H5+J5-K$17</f>
        <v>21.832145999999998</v>
      </c>
      <c r="L5" s="16">
        <f ca="1">I5+J5+K$17</f>
        <v>21.962145999999997</v>
      </c>
      <c r="M5" s="50" cm="1">
        <f t="array" aca="1" ref="M5" ca="1">INDIRECT(ADDRESS($A5,6,,,"scalars"))</f>
        <v>1.8585084719947207</v>
      </c>
      <c r="N5" s="17">
        <f ca="1">K5*M5</f>
        <v>40.57522830282565</v>
      </c>
      <c r="O5" s="17">
        <f t="shared" ca="1" si="0"/>
        <v>40.816834404184959</v>
      </c>
      <c r="P5" s="317">
        <f ca="1">N6-O5</f>
        <v>-0.28183440418496275</v>
      </c>
      <c r="Q5" s="336">
        <f t="shared" ref="Q5" ca="1" si="4">LN(N6/O5)</f>
        <v>-6.928805816904614E-3</v>
      </c>
      <c r="R5" s="375">
        <f ca="1">N5-O6</f>
        <v>-0.13977169717435345</v>
      </c>
      <c r="S5" s="336">
        <f t="shared" ref="S5" ca="1" si="5">LN(N5/O6)</f>
        <v>-3.4388348472541362E-3</v>
      </c>
      <c r="T5" s="80">
        <v>4.0000000000000001E-3</v>
      </c>
      <c r="U5" s="51">
        <v>3.0000000000000001E-3</v>
      </c>
      <c r="V5" s="51">
        <v>2E-3</v>
      </c>
      <c r="W5" s="81">
        <v>2E-3</v>
      </c>
      <c r="X5" s="27" cm="1">
        <f t="array" aca="1" ref="X5" ca="1">INDIRECT(ADDRESS($B5,9,,,"mkt data"))</f>
        <v>-4600</v>
      </c>
      <c r="Y5" s="62">
        <f ca="1">X5*AVERAGE(H5:I5)</f>
        <v>-99129.999999999985</v>
      </c>
      <c r="Z5" s="27">
        <f ca="1">X5/M5</f>
        <v>-2475.1030567339089</v>
      </c>
      <c r="AA5" s="358">
        <f ca="1">SUM(Z5:Z6)</f>
        <v>-45.103056733908943</v>
      </c>
      <c r="AB5" s="15" t="str">
        <f>G5</f>
        <v>BWX</v>
      </c>
      <c r="AC5" s="33" cm="1">
        <f t="array" aca="1" ref="AC5" ca="1">INDIRECT(ADDRESS($B5,8,,,"mkt data"))</f>
        <v>21.469999000000001</v>
      </c>
      <c r="AD5" s="394">
        <f t="shared" ca="1" si="1"/>
        <v>21.549999999999997</v>
      </c>
      <c r="AE5" s="394">
        <f t="shared" ca="1" si="2"/>
        <v>8.000099999999577E-2</v>
      </c>
      <c r="AF5" s="414">
        <v>0</v>
      </c>
      <c r="AG5" s="394">
        <f t="shared" ca="1" si="3"/>
        <v>8.000099999999577E-2</v>
      </c>
      <c r="AH5" s="394">
        <f ca="1">AG5*X5</f>
        <v>-368.00459999998054</v>
      </c>
      <c r="AI5" s="402">
        <f ca="1">AH5+AH6</f>
        <v>324.54540000001123</v>
      </c>
    </row>
    <row r="6" spans="1:35" ht="15.75" thickBot="1" x14ac:dyDescent="0.3">
      <c r="A6" s="147">
        <f>MATCH(G6,SCALARS!C:C,0)</f>
        <v>37</v>
      </c>
      <c r="B6" s="148">
        <f>MATCH(G6,'MKT DATA'!B:B,0)</f>
        <v>17</v>
      </c>
      <c r="C6" s="224" t="str" cm="1">
        <f t="array" aca="1" ref="C6" ca="1">INDIRECT(ADDRESS($A6,2,,,"scalars"))</f>
        <v>intl gov - unhedged</v>
      </c>
      <c r="D6" s="262" cm="1">
        <f t="array" aca="1" ref="D6" ca="1">INDIRECT(ADDRESS($A6,8,,,"SCALARS"))</f>
        <v>309400</v>
      </c>
      <c r="E6" s="90">
        <v>0.16500000000000001</v>
      </c>
      <c r="F6" s="20" t="str" cm="1">
        <f t="array" aca="1" ref="F6" ca="1">INDIRECT(ADDRESS($A6,5,,,"scalars"))</f>
        <v>IGOV</v>
      </c>
      <c r="G6" s="21" t="s">
        <v>53</v>
      </c>
      <c r="H6" s="37" cm="1">
        <f t="array" aca="1" ref="H6" ca="1">INDIRECT(ADDRESS($B6,5,,,"mkt data"))</f>
        <v>40.54</v>
      </c>
      <c r="I6" s="38" cm="1">
        <f t="array" aca="1" ref="I6" ca="1">INDIRECT(ADDRESS($B6,6,,,"mkt data"))</f>
        <v>40.71</v>
      </c>
      <c r="J6" s="279" cm="1">
        <f t="array" aca="1" ref="J6" ca="1">INDIRECT(ADDRESS($A6,7,,,"SCALARS"))</f>
        <v>0</v>
      </c>
      <c r="K6" s="22">
        <f ca="1">H6+J6-K$17</f>
        <v>40.534999999999997</v>
      </c>
      <c r="L6" s="22">
        <f ca="1">I6+J6+K$17</f>
        <v>40.715000000000003</v>
      </c>
      <c r="M6" s="52" cm="1">
        <f t="array" aca="1" ref="M6" ca="1">INDIRECT(ADDRESS($A6,6,,,"scalars"))</f>
        <v>1</v>
      </c>
      <c r="N6" s="23">
        <f ca="1">K6*M6</f>
        <v>40.534999999999997</v>
      </c>
      <c r="O6" s="23">
        <f t="shared" ca="1" si="0"/>
        <v>40.715000000000003</v>
      </c>
      <c r="P6" s="318"/>
      <c r="Q6" s="338"/>
      <c r="R6" s="376"/>
      <c r="S6" s="338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2430</v>
      </c>
      <c r="Y6" s="64">
        <f ca="1">X6*AVERAGE(H6:I6)</f>
        <v>98718.75</v>
      </c>
      <c r="Z6" s="29">
        <f ca="1">X6/M6</f>
        <v>2430</v>
      </c>
      <c r="AA6" s="360"/>
      <c r="AB6" s="21" t="str">
        <f>G6</f>
        <v>IGOV</v>
      </c>
      <c r="AC6" s="37" cm="1">
        <f t="array" aca="1" ref="AC6" ca="1">INDIRECT(ADDRESS($B6,8,,,"mkt data"))</f>
        <v>40.340000000000003</v>
      </c>
      <c r="AD6" s="396">
        <f t="shared" ca="1" si="1"/>
        <v>40.625</v>
      </c>
      <c r="AE6" s="396">
        <f t="shared" ca="1" si="2"/>
        <v>0.28499999999999659</v>
      </c>
      <c r="AF6" s="416">
        <v>0</v>
      </c>
      <c r="AG6" s="396">
        <f t="shared" ca="1" si="3"/>
        <v>0.28499999999999659</v>
      </c>
      <c r="AH6" s="396">
        <f ca="1">AG6*X6</f>
        <v>692.54999999999177</v>
      </c>
      <c r="AI6" s="403"/>
    </row>
    <row r="7" spans="1:35" x14ac:dyDescent="0.25">
      <c r="A7" s="145">
        <f>MATCH(G7,SCALARS!C:C,0)</f>
        <v>25</v>
      </c>
      <c r="B7" s="146">
        <f>MATCH(G7,'MKT DATA'!B:B,0)</f>
        <v>41</v>
      </c>
      <c r="C7" s="223" t="str" cm="1">
        <f t="array" aca="1" ref="C7" ca="1">INDIRECT(ADDRESS($A7,2,,,"scalars"))</f>
        <v>em gov -us</v>
      </c>
      <c r="D7" s="261" cm="1">
        <f t="array" aca="1" ref="D7" ca="1">INDIRECT(ADDRESS($A7,8,,,"SCALARS"))</f>
        <v>534800</v>
      </c>
      <c r="E7" s="89">
        <v>0.16500000000000001</v>
      </c>
      <c r="F7" s="14" t="str" cm="1">
        <f t="array" aca="1" ref="F7" ca="1">INDIRECT(ADDRESS($A7,5,,,"scalars"))</f>
        <v>EMB</v>
      </c>
      <c r="G7" s="15" t="s">
        <v>59</v>
      </c>
      <c r="H7" s="33" cm="1">
        <f t="array" aca="1" ref="H7" ca="1">INDIRECT(ADDRESS($B7,5,,,"mkt data"))</f>
        <v>64.78</v>
      </c>
      <c r="I7" s="34" cm="1">
        <f t="array" aca="1" ref="I7" ca="1">INDIRECT(ADDRESS($B7,6,,,"mkt data"))</f>
        <v>65.209999999999994</v>
      </c>
      <c r="J7" s="278" cm="1">
        <f t="array" aca="1" ref="J7" ca="1">INDIRECT(ADDRESS($A7,7,,,"SCALARS"))</f>
        <v>2.6059000000000001</v>
      </c>
      <c r="K7" s="16">
        <f ca="1">H7+J7-K$17</f>
        <v>67.380900000000011</v>
      </c>
      <c r="L7" s="16">
        <f ca="1">I7+J7+K$17</f>
        <v>67.820899999999995</v>
      </c>
      <c r="M7" s="50" cm="1">
        <f t="array" aca="1" ref="M7" ca="1">INDIRECT(ADDRESS($A7,6,,,"scalars"))</f>
        <v>1.4324665216551433</v>
      </c>
      <c r="N7" s="17">
        <f ca="1">K7*M7</f>
        <v>96.520883448993061</v>
      </c>
      <c r="O7" s="17">
        <f t="shared" ca="1" si="0"/>
        <v>97.151168718521305</v>
      </c>
      <c r="P7" s="317">
        <f ca="1">N8-O7</f>
        <v>-0.48914171852131005</v>
      </c>
      <c r="Q7" s="336">
        <f t="shared" ref="Q7" ca="1" si="6">LN(N8/O7)</f>
        <v>-5.0475691836669419E-3</v>
      </c>
      <c r="R7" s="317">
        <f ca="1">N7-O8</f>
        <v>-0.67114355100693501</v>
      </c>
      <c r="S7" s="336">
        <f t="shared" ref="S7" ca="1" si="7">LN(N7/O8)</f>
        <v>-6.9292876232546772E-3</v>
      </c>
      <c r="T7" s="80">
        <v>1E-3</v>
      </c>
      <c r="U7" s="51">
        <v>1E-3</v>
      </c>
      <c r="V7" s="51">
        <v>1E-3</v>
      </c>
      <c r="W7" s="81">
        <v>1E-3</v>
      </c>
      <c r="X7" s="27" cm="1">
        <f t="array" aca="1" ref="X7" ca="1">INDIRECT(ADDRESS($B7,9,,,"mkt data"))</f>
        <v>0</v>
      </c>
      <c r="Y7" s="62">
        <f ca="1">X7*AVERAGE(H7:I7)</f>
        <v>0</v>
      </c>
      <c r="Z7" s="27">
        <f ca="1">X7/M7</f>
        <v>0</v>
      </c>
      <c r="AA7" s="355">
        <f ca="1">SUM(Z7:Z8)</f>
        <v>0</v>
      </c>
      <c r="AB7" s="15" t="str">
        <f>G7</f>
        <v>VWOB</v>
      </c>
      <c r="AC7" s="33" cm="1">
        <f t="array" aca="1" ref="AC7" ca="1">INDIRECT(ADDRESS($B7,8,,,"mkt data"))</f>
        <v>64.675003000000004</v>
      </c>
      <c r="AD7" s="394">
        <f t="shared" ca="1" si="1"/>
        <v>64.995000000000005</v>
      </c>
      <c r="AE7" s="394">
        <f t="shared" ca="1" si="2"/>
        <v>0.31999700000000075</v>
      </c>
      <c r="AF7" s="414">
        <v>0</v>
      </c>
      <c r="AG7" s="394">
        <f t="shared" ca="1" si="3"/>
        <v>0.31999700000000075</v>
      </c>
      <c r="AH7" s="394">
        <f ca="1">AG7*X7</f>
        <v>0</v>
      </c>
      <c r="AI7" s="402">
        <f ca="1">AH7+AH8</f>
        <v>0</v>
      </c>
    </row>
    <row r="8" spans="1:35" ht="15.75" thickBot="1" x14ac:dyDescent="0.3">
      <c r="A8" s="147">
        <f>MATCH(G8,SCALARS!C:C,0)</f>
        <v>24</v>
      </c>
      <c r="B8" s="148">
        <f>MATCH(G8,'MKT DATA'!B:B,0)</f>
        <v>10</v>
      </c>
      <c r="C8" s="224" t="str" cm="1">
        <f t="array" aca="1" ref="C8" ca="1">INDIRECT(ADDRESS($A8,2,,,"scalars"))</f>
        <v>em gov -us</v>
      </c>
      <c r="D8" s="262" cm="1">
        <f t="array" aca="1" ref="D8" ca="1">INDIRECT(ADDRESS($A8,8,,,"SCALARS"))</f>
        <v>5874700</v>
      </c>
      <c r="E8" s="90">
        <v>0.16500000000000001</v>
      </c>
      <c r="F8" s="20" t="str" cm="1">
        <f t="array" aca="1" ref="F8" ca="1">INDIRECT(ADDRESS($A8,5,,,"scalars"))</f>
        <v>EMB</v>
      </c>
      <c r="G8" s="21" t="s">
        <v>49</v>
      </c>
      <c r="H8" s="37" cm="1">
        <f t="array" aca="1" ref="H8" ca="1">INDIRECT(ADDRESS($B8,5,,,"mkt data"))</f>
        <v>93.35</v>
      </c>
      <c r="I8" s="38" cm="1">
        <f t="array" aca="1" ref="I8" ca="1">INDIRECT(ADDRESS($B8,6,,,"mkt data"))</f>
        <v>93.87</v>
      </c>
      <c r="J8" s="279" cm="1">
        <f t="array" aca="1" ref="J8" ca="1">INDIRECT(ADDRESS($A8,7,,,"SCALARS"))</f>
        <v>3.3170269999999999</v>
      </c>
      <c r="K8" s="22">
        <f ca="1">H8+J8-K$17</f>
        <v>96.662026999999995</v>
      </c>
      <c r="L8" s="22">
        <f ca="1">I8+J8+K$17</f>
        <v>97.192026999999996</v>
      </c>
      <c r="M8" s="52" cm="1">
        <f t="array" aca="1" ref="M8" ca="1">INDIRECT(ADDRESS($A8,6,,,"scalars"))</f>
        <v>1</v>
      </c>
      <c r="N8" s="23">
        <f t="shared" ref="N8:N10" ca="1" si="8">K8*M8</f>
        <v>96.662026999999995</v>
      </c>
      <c r="O8" s="23">
        <f t="shared" ca="1" si="0"/>
        <v>97.192026999999996</v>
      </c>
      <c r="P8" s="318"/>
      <c r="Q8" s="338"/>
      <c r="R8" s="318"/>
      <c r="S8" s="338"/>
      <c r="T8" s="82" t="b">
        <f ca="1">IF(Q7&gt;T7,TRUE,FALSE)</f>
        <v>0</v>
      </c>
      <c r="U8" s="53" t="b">
        <f ca="1">AND(IF(S7&gt;-U7,TRUE,FALSE),IF(X7&gt;0,TRUE,FALSE))</f>
        <v>0</v>
      </c>
      <c r="V8" s="53" t="b">
        <f ca="1">AND(IF(Q7&gt;-V7,TRUE,FALSE),IF(X7&lt;0,TRUE,FALSE))</f>
        <v>0</v>
      </c>
      <c r="W8" s="83" t="b">
        <f ca="1">IF(S7&gt;W7,TRUE,FALSE)</f>
        <v>0</v>
      </c>
      <c r="X8" s="29" cm="1">
        <f t="array" aca="1" ref="X8" ca="1">INDIRECT(ADDRESS($B8,9,,,"mkt data"))</f>
        <v>0</v>
      </c>
      <c r="Y8" s="64">
        <f ca="1">X8*AVERAGE(H8:I8)</f>
        <v>0</v>
      </c>
      <c r="Z8" s="29">
        <f ca="1">X8/M8</f>
        <v>0</v>
      </c>
      <c r="AA8" s="357"/>
      <c r="AB8" s="21" t="str">
        <f>G8</f>
        <v>EMB</v>
      </c>
      <c r="AC8" s="37" cm="1">
        <f t="array" aca="1" ref="AC8" ca="1">INDIRECT(ADDRESS($B8,8,,,"mkt data"))</f>
        <v>93.059997999999993</v>
      </c>
      <c r="AD8" s="396">
        <f t="shared" ca="1" si="1"/>
        <v>93.61</v>
      </c>
      <c r="AE8" s="396">
        <f t="shared" ca="1" si="2"/>
        <v>0.55000200000000632</v>
      </c>
      <c r="AF8" s="416">
        <v>0</v>
      </c>
      <c r="AG8" s="396">
        <f t="shared" ca="1" si="3"/>
        <v>0.55000200000000632</v>
      </c>
      <c r="AH8" s="396">
        <f ca="1">AG8*X8</f>
        <v>0</v>
      </c>
      <c r="AI8" s="403"/>
    </row>
    <row r="9" spans="1:35" x14ac:dyDescent="0.25">
      <c r="A9" s="145">
        <f>MATCH(G9,SCALARS!C:C,0)</f>
        <v>16</v>
      </c>
      <c r="B9" s="146">
        <f>MATCH(G9,'MKT DATA'!B:B,0)</f>
        <v>7</v>
      </c>
      <c r="C9" s="223" t="str" cm="1">
        <f t="array" aca="1" ref="C9" ca="1">INDIRECT(ADDRESS($A9,2,,,"scalars"))</f>
        <v>calif munis</v>
      </c>
      <c r="D9" s="261" cm="1">
        <f t="array" aca="1" ref="D9" ca="1">INDIRECT(ADDRESS($A9,8,,,"SCALARS"))</f>
        <v>697600</v>
      </c>
      <c r="E9" s="89">
        <v>0.1002</v>
      </c>
      <c r="F9" s="14" t="str" cm="1">
        <f t="array" aca="1" ref="F9" ca="1">INDIRECT(ADDRESS($A9,5,,,"scalars"))</f>
        <v>VTEC</v>
      </c>
      <c r="G9" s="15" t="s">
        <v>47</v>
      </c>
      <c r="H9" s="33" cm="1">
        <f t="array" aca="1" ref="H9" ca="1">INDIRECT(ADDRESS($B9,5,,,"mkt data"))</f>
        <v>55</v>
      </c>
      <c r="I9" s="34" cm="1">
        <f t="array" aca="1" ref="I9" ca="1">INDIRECT(ADDRESS($B9,6,,,"mkt data"))</f>
        <v>55.41</v>
      </c>
      <c r="J9" s="278" cm="1">
        <f t="array" aca="1" ref="J9" ca="1">INDIRECT(ADDRESS($A9,7,,,"SCALARS"))</f>
        <v>1.1259440000000001</v>
      </c>
      <c r="K9" s="16">
        <f ca="1">H9+J9-K$17</f>
        <v>56.120943999999994</v>
      </c>
      <c r="L9" s="16">
        <f ca="1">I9+J9+K$17</f>
        <v>56.540943999999996</v>
      </c>
      <c r="M9" s="50" cm="1">
        <f t="array" aca="1" ref="M9" ca="1">INDIRECT(ADDRESS($A9,6,,,"scalars"))</f>
        <v>1.7463342351127955</v>
      </c>
      <c r="N9" s="17">
        <f t="shared" ca="1" si="8"/>
        <v>98.005925814048027</v>
      </c>
      <c r="O9" s="17">
        <f t="shared" ca="1" si="0"/>
        <v>98.739386192795394</v>
      </c>
      <c r="P9" s="317">
        <f ca="1">N10-O9</f>
        <v>-0.80188619279539353</v>
      </c>
      <c r="Q9" s="336">
        <f t="shared" ref="Q9" ca="1" si="9">LN(N10/O9)</f>
        <v>-8.154396296486054E-3</v>
      </c>
      <c r="R9" s="317">
        <f ca="1">N9-O10</f>
        <v>-0.65157418595197214</v>
      </c>
      <c r="S9" s="336">
        <f t="shared" ref="S9" ca="1" si="10">LN(N9/O10)</f>
        <v>-6.6263116017978426E-3</v>
      </c>
      <c r="T9" s="80">
        <v>1E-3</v>
      </c>
      <c r="U9" s="51">
        <v>1E-3</v>
      </c>
      <c r="V9" s="51">
        <v>1E-3</v>
      </c>
      <c r="W9" s="81">
        <v>1E-3</v>
      </c>
      <c r="X9" s="27" cm="1">
        <f t="array" aca="1" ref="X9" ca="1">INDIRECT(ADDRESS($B9,9,,,"mkt data"))</f>
        <v>0</v>
      </c>
      <c r="Y9" s="62">
        <f ca="1">X9*AVERAGE(H9:I9)</f>
        <v>0</v>
      </c>
      <c r="Z9" s="27">
        <f ca="1">X9/M9</f>
        <v>0</v>
      </c>
      <c r="AA9" s="315">
        <f ca="1">SUM(Z9:Z10)</f>
        <v>0</v>
      </c>
      <c r="AB9" s="15" t="str">
        <f>G9</f>
        <v>CMF</v>
      </c>
      <c r="AC9" s="33" cm="1">
        <f t="array" aca="1" ref="AC9" ca="1">INDIRECT(ADDRESS($B9,8,,,"mkt data"))</f>
        <v>55.110000999999997</v>
      </c>
      <c r="AD9" s="394">
        <f t="shared" ca="1" si="1"/>
        <v>55.204999999999998</v>
      </c>
      <c r="AE9" s="394">
        <f t="shared" ca="1" si="2"/>
        <v>9.4999000000001388E-2</v>
      </c>
      <c r="AF9" s="414">
        <v>0</v>
      </c>
      <c r="AG9" s="394">
        <f t="shared" ca="1" si="3"/>
        <v>9.4999000000001388E-2</v>
      </c>
      <c r="AH9" s="394">
        <f ca="1">AG9*X9</f>
        <v>0</v>
      </c>
      <c r="AI9" s="402">
        <f ca="1">AH9+AH10</f>
        <v>0</v>
      </c>
    </row>
    <row r="10" spans="1:35" ht="15.75" thickBot="1" x14ac:dyDescent="0.3">
      <c r="A10" s="147">
        <f>MATCH(G10,SCALARS!C:C,0)</f>
        <v>17</v>
      </c>
      <c r="B10" s="148">
        <f>MATCH(G10,'MKT DATA'!B:B,0)</f>
        <v>40</v>
      </c>
      <c r="C10" s="224" t="str" cm="1">
        <f t="array" aca="1" ref="C10" ca="1">INDIRECT(ADDRESS($A10,2,,,"scalars"))</f>
        <v>calif munis</v>
      </c>
      <c r="D10" s="262" cm="1">
        <f t="array" aca="1" ref="D10" ca="1">INDIRECT(ADDRESS($A10,8,,,"SCALARS"))</f>
        <v>414600</v>
      </c>
      <c r="E10" s="90">
        <v>0.1002</v>
      </c>
      <c r="F10" s="20" t="str" cm="1">
        <f t="array" aca="1" ref="F10" ca="1">INDIRECT(ADDRESS($A10,5,,,"scalars"))</f>
        <v>VTEC</v>
      </c>
      <c r="G10" s="21" t="s">
        <v>58</v>
      </c>
      <c r="H10" s="37" cm="1">
        <f t="array" aca="1" ref="H10" ca="1">INDIRECT(ADDRESS($B10,5,,,"mkt data"))</f>
        <v>95.88</v>
      </c>
      <c r="I10" s="38" cm="1">
        <f t="array" aca="1" ref="I10" ca="1">INDIRECT(ADDRESS($B10,6,,,"mkt data"))</f>
        <v>96.59</v>
      </c>
      <c r="J10" s="279" cm="1">
        <f t="array" aca="1" ref="J10" ca="1">INDIRECT(ADDRESS($A10,7,,,"SCALARS"))</f>
        <v>2.0625</v>
      </c>
      <c r="K10" s="22">
        <f ca="1">H10+J10-K$17</f>
        <v>97.9375</v>
      </c>
      <c r="L10" s="22">
        <f ca="1">I10+J10+K$17</f>
        <v>98.657499999999999</v>
      </c>
      <c r="M10" s="52" cm="1">
        <f t="array" aca="1" ref="M10" ca="1">INDIRECT(ADDRESS($A10,6,,,"scalars"))</f>
        <v>1</v>
      </c>
      <c r="N10" s="23">
        <f t="shared" ca="1" si="8"/>
        <v>97.9375</v>
      </c>
      <c r="O10" s="23">
        <f t="shared" ca="1" si="0"/>
        <v>98.657499999999999</v>
      </c>
      <c r="P10" s="318"/>
      <c r="Q10" s="338"/>
      <c r="R10" s="318"/>
      <c r="S10" s="338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ca="1">X10*AVERAGE(H10:I10)</f>
        <v>0</v>
      </c>
      <c r="Z10" s="29">
        <f ca="1">X10/M10</f>
        <v>0</v>
      </c>
      <c r="AA10" s="316"/>
      <c r="AB10" s="21" t="str">
        <f>G10</f>
        <v>VTEC</v>
      </c>
      <c r="AC10" s="37" cm="1">
        <f t="array" aca="1" ref="AC10" ca="1">INDIRECT(ADDRESS($B10,8,,,"mkt data"))</f>
        <v>96.059997999999993</v>
      </c>
      <c r="AD10" s="396">
        <f t="shared" ca="1" si="1"/>
        <v>96.234999999999999</v>
      </c>
      <c r="AE10" s="396">
        <f t="shared" ca="1" si="2"/>
        <v>0.17500200000000632</v>
      </c>
      <c r="AF10" s="416">
        <v>0</v>
      </c>
      <c r="AG10" s="396">
        <f t="shared" ca="1" si="3"/>
        <v>0.17500200000000632</v>
      </c>
      <c r="AH10" s="396">
        <f ca="1">AG10*X10</f>
        <v>0</v>
      </c>
      <c r="AI10" s="403"/>
    </row>
    <row r="11" spans="1:35" x14ac:dyDescent="0.25">
      <c r="A11" s="145">
        <f>MATCH(G11,SCALARS!C:C,0)</f>
        <v>51</v>
      </c>
      <c r="B11" s="146">
        <f>MATCH(G11,'MKT DATA'!B:B,0)</f>
        <v>22</v>
      </c>
      <c r="C11" s="223" t="str" cm="1">
        <f t="array" aca="1" ref="C11" ca="1">INDIRECT(ADDRESS($A11,2,,,"scalars"))</f>
        <v>prefs</v>
      </c>
      <c r="D11" s="261" cm="1">
        <f t="array" aca="1" ref="D11" ca="1">INDIRECT(ADDRESS($A11,8,,,"SCALARS"))</f>
        <v>752100</v>
      </c>
      <c r="E11" s="89">
        <v>0.16500000000000001</v>
      </c>
      <c r="F11" s="14" t="str" cm="1">
        <f t="array" aca="1" ref="F11" ca="1">INDIRECT(ADDRESS($A11,5,,,"scalars"))</f>
        <v>PFF</v>
      </c>
      <c r="G11" s="15" t="s">
        <v>55</v>
      </c>
      <c r="H11" s="33" cm="1">
        <f t="array" aca="1" ref="H11" ca="1">INDIRECT(ADDRESS($B11,5,,,"mkt data"))</f>
        <v>17.260000000000002</v>
      </c>
      <c r="I11" s="34" cm="1">
        <f t="array" aca="1" ref="I11" ca="1">INDIRECT(ADDRESS($B11,6,,,"mkt data"))</f>
        <v>18.86</v>
      </c>
      <c r="J11" s="278" cm="1">
        <f t="array" aca="1" ref="J11" ca="1">INDIRECT(ADDRESS($A11,7,,,"SCALARS"))</f>
        <v>0.79999999999999993</v>
      </c>
      <c r="K11" s="16">
        <f ca="1">H11+J11-K$17</f>
        <v>18.055000000000003</v>
      </c>
      <c r="L11" s="16">
        <f ca="1">I11+J11+K$17</f>
        <v>19.664999999999999</v>
      </c>
      <c r="M11" s="50" cm="1">
        <f t="array" aca="1" ref="M11" ca="1">INDIRECT(ADDRESS($A11,6,,,"scalars"))</f>
        <v>1.6473409727812638</v>
      </c>
      <c r="N11" s="17">
        <f ca="1">K11*M11</f>
        <v>29.742741263565723</v>
      </c>
      <c r="O11" s="17">
        <f t="shared" ca="1" si="0"/>
        <v>32.394960229743553</v>
      </c>
      <c r="P11" s="317">
        <f ca="1">N12-O11</f>
        <v>-3.4195862297435511</v>
      </c>
      <c r="Q11" s="336">
        <f t="shared" ref="Q11" ca="1" si="11">LN(N12/O11)</f>
        <v>-0.11155656541311565</v>
      </c>
      <c r="R11" s="317">
        <f ca="1">N11-O12</f>
        <v>-2.5626327364342778</v>
      </c>
      <c r="S11" s="336">
        <f t="shared" ref="S11" ca="1" si="12">LN(N11/O12)</f>
        <v>-8.2648483018043353E-2</v>
      </c>
      <c r="T11" s="80">
        <v>5.0000000000000001E-3</v>
      </c>
      <c r="U11" s="51">
        <v>4.0000000000000001E-3</v>
      </c>
      <c r="V11" s="51">
        <v>2E-3</v>
      </c>
      <c r="W11" s="81">
        <v>3.0000000000000001E-3</v>
      </c>
      <c r="X11" s="27" cm="1">
        <f t="array" aca="1" ref="X11" ca="1">INDIRECT(ADDRESS($B11,9,,,"mkt data"))</f>
        <v>0</v>
      </c>
      <c r="Y11" s="62">
        <f ca="1">X11*AVERAGE(H11:I11)</f>
        <v>0</v>
      </c>
      <c r="Z11" s="27">
        <f ca="1">X11/M11</f>
        <v>0</v>
      </c>
      <c r="AA11" s="315">
        <f ca="1">SUM(Z11:Z12)</f>
        <v>0</v>
      </c>
      <c r="AB11" s="15" t="str">
        <f>G11</f>
        <v>PFFD</v>
      </c>
      <c r="AC11" s="33" cm="1">
        <f t="array" aca="1" ref="AC11" ca="1">INDIRECT(ADDRESS($B11,8,,,"mkt data"))</f>
        <v>17.959999</v>
      </c>
      <c r="AD11" s="394">
        <f t="shared" ca="1" si="1"/>
        <v>18.060000000000002</v>
      </c>
      <c r="AE11" s="394">
        <f t="shared" ca="1" si="2"/>
        <v>0.10000100000000245</v>
      </c>
      <c r="AF11" s="414">
        <v>0</v>
      </c>
      <c r="AG11" s="394">
        <f t="shared" ca="1" si="3"/>
        <v>0.10000100000000245</v>
      </c>
      <c r="AH11" s="394">
        <f ca="1">AG11*X11</f>
        <v>0</v>
      </c>
      <c r="AI11" s="402">
        <f ca="1">AH11+AH12</f>
        <v>0</v>
      </c>
    </row>
    <row r="12" spans="1:35" ht="15.75" thickBot="1" x14ac:dyDescent="0.3">
      <c r="A12" s="147">
        <f>MATCH(G12,SCALARS!C:C,0)</f>
        <v>50</v>
      </c>
      <c r="B12" s="148">
        <f>MATCH(G12,'MKT DATA'!B:B,0)</f>
        <v>21</v>
      </c>
      <c r="C12" s="224" t="str" cm="1">
        <f t="array" aca="1" ref="C12" ca="1">INDIRECT(ADDRESS($A12,2,,,"scalars"))</f>
        <v>prefs</v>
      </c>
      <c r="D12" s="262" cm="1">
        <f t="array" aca="1" ref="D12" ca="1">INDIRECT(ADDRESS($A12,8,,,"SCALARS"))</f>
        <v>2825000</v>
      </c>
      <c r="E12" s="90">
        <v>0.16500000000000001</v>
      </c>
      <c r="F12" s="20" t="str" cm="1">
        <f t="array" aca="1" ref="F12" ca="1">INDIRECT(ADDRESS($A12,5,,,"scalars"))</f>
        <v>PFF</v>
      </c>
      <c r="G12" s="21" t="s">
        <v>54</v>
      </c>
      <c r="H12" s="37" cm="1">
        <f t="array" aca="1" ref="H12" ca="1">INDIRECT(ADDRESS($B12,5,,,"mkt data"))</f>
        <v>27.92</v>
      </c>
      <c r="I12" s="38" cm="1">
        <f t="array" aca="1" ref="I12" ca="1">INDIRECT(ADDRESS($B12,6,,,"mkt data"))</f>
        <v>31.24</v>
      </c>
      <c r="J12" s="279" cm="1">
        <f t="array" aca="1" ref="J12" ca="1">INDIRECT(ADDRESS($A12,7,,,"SCALARS"))</f>
        <v>1.0603740000000001</v>
      </c>
      <c r="K12" s="22">
        <f ca="1">H12+J12-K$17</f>
        <v>28.975374000000002</v>
      </c>
      <c r="L12" s="22">
        <f ca="1">I12+J12+K$17</f>
        <v>32.305374</v>
      </c>
      <c r="M12" s="52" cm="1">
        <f t="array" aca="1" ref="M12" ca="1">INDIRECT(ADDRESS($A12,6,,,"scalars"))</f>
        <v>1</v>
      </c>
      <c r="N12" s="23">
        <f t="shared" ref="N12:N13" ca="1" si="13">K12*M12</f>
        <v>28.975374000000002</v>
      </c>
      <c r="O12" s="23">
        <f t="shared" ca="1" si="0"/>
        <v>32.305374</v>
      </c>
      <c r="P12" s="318"/>
      <c r="Q12" s="338"/>
      <c r="R12" s="318"/>
      <c r="S12" s="338"/>
      <c r="T12" s="82" t="b">
        <f ca="1">IF(Q11&gt;T11,TRUE,FALSE)</f>
        <v>0</v>
      </c>
      <c r="U12" s="53" t="b">
        <f ca="1">AND(IF(S11&gt;-U11,TRUE,FALSE),IF(X11&gt;0,TRUE,FALSE))</f>
        <v>0</v>
      </c>
      <c r="V12" s="53" t="b">
        <f ca="1">AND(IF(Q11&gt;-V11,TRUE,FALSE),IF(X11&lt;0,TRUE,FALSE))</f>
        <v>0</v>
      </c>
      <c r="W12" s="83" t="b">
        <f ca="1">IF(S11&gt;W11,TRUE,FALSE)</f>
        <v>0</v>
      </c>
      <c r="X12" s="29" cm="1">
        <f t="array" aca="1" ref="X12" ca="1">INDIRECT(ADDRESS($B12,9,,,"mkt data"))</f>
        <v>0</v>
      </c>
      <c r="Y12" s="64">
        <f ca="1">X12*AVERAGE(H12:I12)</f>
        <v>0</v>
      </c>
      <c r="Z12" s="29">
        <f ca="1">X12/M12</f>
        <v>0</v>
      </c>
      <c r="AA12" s="316"/>
      <c r="AB12" s="21" t="str">
        <f>G12</f>
        <v>PFF</v>
      </c>
      <c r="AC12" s="37" cm="1">
        <f t="array" aca="1" ref="AC12" ca="1">INDIRECT(ADDRESS($B12,8,,,"mkt data"))</f>
        <v>29.9</v>
      </c>
      <c r="AD12" s="396">
        <f t="shared" ca="1" si="1"/>
        <v>29.58</v>
      </c>
      <c r="AE12" s="396">
        <f t="shared" ca="1" si="2"/>
        <v>-0.32000000000000028</v>
      </c>
      <c r="AF12" s="416">
        <v>0</v>
      </c>
      <c r="AG12" s="396">
        <f t="shared" ca="1" si="3"/>
        <v>-0.32000000000000028</v>
      </c>
      <c r="AH12" s="396">
        <f ca="1">AG12*X12</f>
        <v>0</v>
      </c>
      <c r="AI12" s="403"/>
    </row>
    <row r="13" spans="1:35" x14ac:dyDescent="0.25">
      <c r="A13" s="145">
        <f>MATCH(G13,SCALARS!C:C,0)</f>
        <v>34</v>
      </c>
      <c r="B13" s="146">
        <f>MATCH(G13,'MKT DATA'!B:B,0)</f>
        <v>5</v>
      </c>
      <c r="C13" s="223" t="str" cm="1">
        <f t="array" aca="1" ref="C13" ca="1">INDIRECT(ADDRESS($A13,2,,,"scalars"))</f>
        <v>intl agg - hedged</v>
      </c>
      <c r="D13" s="261" cm="1">
        <f t="array" aca="1" ref="D13" ca="1">INDIRECT(ADDRESS($A13,8,,,"SCALARS"))</f>
        <v>4142100</v>
      </c>
      <c r="E13" s="243"/>
      <c r="F13" s="14" t="str" cm="1">
        <f t="array" aca="1" ref="F13" ca="1">INDIRECT(ADDRESS($A13,5,,,"scalars"))</f>
        <v>IAGG</v>
      </c>
      <c r="G13" s="15" t="s">
        <v>45</v>
      </c>
      <c r="H13" s="33" cm="1">
        <f t="array" aca="1" ref="H13" ca="1">INDIRECT(ADDRESS($B13,5,,,"mkt data"))</f>
        <v>47.01</v>
      </c>
      <c r="I13" s="34" cm="1">
        <f t="array" aca="1" ref="I13" ca="1">INDIRECT(ADDRESS($B13,6,,,"mkt data"))</f>
        <v>47.26</v>
      </c>
      <c r="J13" s="278" cm="1">
        <f t="array" aca="1" ref="J13" ca="1">INDIRECT(ADDRESS($A13,7,,,"SCALARS"))</f>
        <v>0.90090000000000003</v>
      </c>
      <c r="K13" s="16">
        <f ca="1">H13+J13-K$17</f>
        <v>47.905899999999995</v>
      </c>
      <c r="L13" s="16">
        <f ca="1">I13+J13+K$17</f>
        <v>48.165900000000001</v>
      </c>
      <c r="M13" s="50" cm="1">
        <f t="array" aca="1" ref="M13" ca="1">INDIRECT(ADDRESS($A13,6,,,"scalars"))</f>
        <v>1.0437848742557227</v>
      </c>
      <c r="N13" s="17">
        <f t="shared" ca="1" si="13"/>
        <v>50.003453807607222</v>
      </c>
      <c r="O13" s="17">
        <f t="shared" ca="1" si="0"/>
        <v>50.274837874913715</v>
      </c>
      <c r="P13" s="317">
        <f ca="1">N14-O13</f>
        <v>-0.16675787491372063</v>
      </c>
      <c r="Q13" s="336">
        <f t="shared" ref="Q13" ca="1" si="14">LN(N14/O13)</f>
        <v>-3.3224383558810621E-3</v>
      </c>
      <c r="R13" s="317">
        <f ca="1">N13-O14</f>
        <v>-0.42462619239277899</v>
      </c>
      <c r="S13" s="336">
        <f t="shared" ref="S13" ca="1" si="15">LN(N13/O14)</f>
        <v>-8.4560835933643903E-3</v>
      </c>
      <c r="T13" s="80">
        <v>0.01</v>
      </c>
      <c r="U13" s="51">
        <v>0.01</v>
      </c>
      <c r="V13" s="51">
        <v>0.01</v>
      </c>
      <c r="W13" s="81">
        <v>0.01</v>
      </c>
      <c r="X13" s="27" cm="1">
        <f t="array" aca="1" ref="X13" ca="1">INDIRECT(ADDRESS($B13,9,,,"mkt data"))</f>
        <v>0</v>
      </c>
      <c r="Y13" s="62">
        <f ca="1">X13*AVERAGE(H13:I13)</f>
        <v>0</v>
      </c>
      <c r="Z13" s="27">
        <f ca="1">X13/M13</f>
        <v>0</v>
      </c>
      <c r="AA13" s="358">
        <f ca="1">SUM(Z13:Z14)</f>
        <v>0</v>
      </c>
      <c r="AB13" s="15" t="str">
        <f>G13</f>
        <v>BNDX</v>
      </c>
      <c r="AC13" s="33" cm="1">
        <f t="array" aca="1" ref="AC13" ca="1">INDIRECT(ADDRESS($B13,8,,,"mkt data"))</f>
        <v>46.970001000000003</v>
      </c>
      <c r="AD13" s="394">
        <f t="shared" ref="AD13:AD16" ca="1" si="16">AVERAGE(H13,I13)</f>
        <v>47.134999999999998</v>
      </c>
      <c r="AE13" s="394">
        <f t="shared" ref="AE13:AE16" ca="1" si="17">AD13-AC13</f>
        <v>0.16499899999999457</v>
      </c>
      <c r="AF13" s="414">
        <v>0</v>
      </c>
      <c r="AG13" s="394">
        <f t="shared" ref="AG13:AG16" ca="1" si="18">AE13+AF13</f>
        <v>0.16499899999999457</v>
      </c>
      <c r="AH13" s="394">
        <f ca="1">AG13*X13</f>
        <v>0</v>
      </c>
      <c r="AI13" s="402">
        <f ca="1">AH13+AH14</f>
        <v>0</v>
      </c>
    </row>
    <row r="14" spans="1:35" ht="15.75" thickBot="1" x14ac:dyDescent="0.3">
      <c r="A14" s="147">
        <f>MATCH(G14,SCALARS!C:C,0)</f>
        <v>35</v>
      </c>
      <c r="B14" s="148">
        <f>MATCH(G14,'MKT DATA'!B:B,0)</f>
        <v>14</v>
      </c>
      <c r="C14" s="224" t="str" cm="1">
        <f t="array" aca="1" ref="C14" ca="1">INDIRECT(ADDRESS($A14,2,,,"scalars"))</f>
        <v>intl agg - hedged</v>
      </c>
      <c r="D14" s="262" cm="1">
        <f t="array" aca="1" ref="D14" ca="1">INDIRECT(ADDRESS($A14,8,,,"SCALARS"))</f>
        <v>1109300</v>
      </c>
      <c r="E14" s="244"/>
      <c r="F14" s="20" t="str" cm="1">
        <f t="array" aca="1" ref="F14" ca="1">INDIRECT(ADDRESS($A14,5,,,"scalars"))</f>
        <v>IAGG</v>
      </c>
      <c r="G14" s="21" t="s">
        <v>51</v>
      </c>
      <c r="H14" s="37" cm="1">
        <f t="array" aca="1" ref="H14" ca="1">INDIRECT(ADDRESS($B14,5,,,"mkt data"))</f>
        <v>49.4</v>
      </c>
      <c r="I14" s="38" cm="1">
        <f t="array" aca="1" ref="I14" ca="1">INDIRECT(ADDRESS($B14,6,,,"mkt data"))</f>
        <v>49.71</v>
      </c>
      <c r="J14" s="279" cm="1">
        <f t="array" aca="1" ref="J14" ca="1">INDIRECT(ADDRESS($A14,7,,,"SCALARS"))</f>
        <v>0.71307999999999994</v>
      </c>
      <c r="K14" s="22">
        <f ca="1">H14+J14-K$17</f>
        <v>50.108079999999994</v>
      </c>
      <c r="L14" s="22">
        <f ca="1">I14+J14+K$17</f>
        <v>50.428080000000001</v>
      </c>
      <c r="M14" s="52" cm="1">
        <f t="array" aca="1" ref="M14" ca="1">INDIRECT(ADDRESS($A14,6,,,"scalars"))</f>
        <v>1</v>
      </c>
      <c r="N14" s="23">
        <f ca="1">K14*M14</f>
        <v>50.108079999999994</v>
      </c>
      <c r="O14" s="23">
        <f t="shared" ca="1" si="0"/>
        <v>50.428080000000001</v>
      </c>
      <c r="P14" s="318"/>
      <c r="Q14" s="338"/>
      <c r="R14" s="318"/>
      <c r="S14" s="338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ca="1">X14*AVERAGE(H14:I14)</f>
        <v>0</v>
      </c>
      <c r="Z14" s="29">
        <f ca="1">X14/M14</f>
        <v>0</v>
      </c>
      <c r="AA14" s="360"/>
      <c r="AB14" s="21" t="str">
        <f>G14</f>
        <v>IAGG</v>
      </c>
      <c r="AC14" s="37" cm="1">
        <f t="array" aca="1" ref="AC14" ca="1">INDIRECT(ADDRESS($B14,8,,,"mkt data"))</f>
        <v>49.349997999999999</v>
      </c>
      <c r="AD14" s="396">
        <f t="shared" ca="1" si="16"/>
        <v>49.555</v>
      </c>
      <c r="AE14" s="396">
        <f t="shared" ca="1" si="17"/>
        <v>0.20500200000000035</v>
      </c>
      <c r="AF14" s="416">
        <v>0</v>
      </c>
      <c r="AG14" s="396">
        <f t="shared" ca="1" si="18"/>
        <v>0.20500200000000035</v>
      </c>
      <c r="AH14" s="396">
        <f ca="1">AG14*X14</f>
        <v>0</v>
      </c>
      <c r="AI14" s="403"/>
    </row>
    <row r="15" spans="1:35" x14ac:dyDescent="0.25">
      <c r="A15" s="145">
        <f>MATCH(G15,SCALARS!C:C,0)</f>
        <v>27</v>
      </c>
      <c r="B15" s="146">
        <f>MATCH(G15,'MKT DATA'!B:B,0)</f>
        <v>11</v>
      </c>
      <c r="C15" s="223" t="str" cm="1">
        <f t="array" aca="1" ref="C15" ca="1">INDIRECT(ADDRESS($A15,2,,,"scalars"))</f>
        <v>fallen angels</v>
      </c>
      <c r="D15" s="261" cm="1">
        <f t="array" aca="1" ref="D15" ca="1">INDIRECT(ADDRESS($A15,8,,,"SCALARS"))</f>
        <v>755000</v>
      </c>
      <c r="E15" s="243"/>
      <c r="F15" s="14" t="str" cm="1">
        <f t="array" aca="1" ref="F15" ca="1">INDIRECT(ADDRESS($A15,5,,,"scalars"))</f>
        <v>ANGL</v>
      </c>
      <c r="G15" s="15" t="s">
        <v>50</v>
      </c>
      <c r="H15" s="33" cm="1">
        <f t="array" aca="1" ref="H15" ca="1">INDIRECT(ADDRESS($B15,5,,,"mkt data"))</f>
        <v>26.45</v>
      </c>
      <c r="I15" s="34" cm="1">
        <f t="array" aca="1" ref="I15" ca="1">INDIRECT(ADDRESS($B15,6,,,"mkt data"))</f>
        <v>26.66</v>
      </c>
      <c r="J15" s="278" cm="1">
        <f t="array" aca="1" ref="J15" ca="1">INDIRECT(ADDRESS($A15,7,,,"SCALARS"))</f>
        <v>1.1721300000000001</v>
      </c>
      <c r="K15" s="16">
        <f ca="1">H15+J15-K$17</f>
        <v>27.61713</v>
      </c>
      <c r="L15" s="16">
        <f ca="1">I15+J15+K$17</f>
        <v>27.837129999999998</v>
      </c>
      <c r="M15" s="50" cm="1">
        <f t="array" aca="1" ref="M15" ca="1">INDIRECT(ADDRESS($A15,6,,,"scalars"))</f>
        <v>1.075310684770924</v>
      </c>
      <c r="N15" s="17">
        <f ca="1">K15*M15</f>
        <v>29.696994971707628</v>
      </c>
      <c r="O15" s="17">
        <f t="shared" ca="1" si="0"/>
        <v>29.93356332235723</v>
      </c>
      <c r="P15" s="317">
        <f ca="1">N16-O15</f>
        <v>-0.1662633223572314</v>
      </c>
      <c r="Q15" s="336">
        <f t="shared" ref="Q15" ca="1" si="19">LN(N16/O15)</f>
        <v>-5.5698944017456876E-3</v>
      </c>
      <c r="R15" s="317">
        <f ca="1">N15-O16</f>
        <v>-0.30030502829237093</v>
      </c>
      <c r="S15" s="336">
        <f t="shared" ref="S15" ca="1" si="20">LN(N15/O16)</f>
        <v>-1.0061516326023166E-2</v>
      </c>
      <c r="T15" s="80">
        <v>1.5E-3</v>
      </c>
      <c r="U15" s="51">
        <v>1E-3</v>
      </c>
      <c r="V15" s="51">
        <v>1.5E-3</v>
      </c>
      <c r="W15" s="81">
        <v>1E-3</v>
      </c>
      <c r="X15" s="27" cm="1">
        <f t="array" aca="1" ref="X15" ca="1">INDIRECT(ADDRESS($B15,9,,,"mkt data"))</f>
        <v>0</v>
      </c>
      <c r="Y15" s="62">
        <f ca="1">X15*AVERAGE(H15:I15)</f>
        <v>0</v>
      </c>
      <c r="Z15" s="27">
        <f ca="1">X15/M15</f>
        <v>0</v>
      </c>
      <c r="AA15" s="315">
        <f ca="1">SUM(Z15:Z16)</f>
        <v>0</v>
      </c>
      <c r="AB15" s="15" t="str">
        <f>G15</f>
        <v>FALN</v>
      </c>
      <c r="AC15" s="33" cm="1">
        <f t="array" aca="1" ref="AC15" ca="1">INDIRECT(ADDRESS($B15,8,,,"mkt data"))</f>
        <v>26.440000999999999</v>
      </c>
      <c r="AD15" s="394">
        <f t="shared" ca="1" si="16"/>
        <v>26.555</v>
      </c>
      <c r="AE15" s="394">
        <f t="shared" ca="1" si="17"/>
        <v>0.11499900000000096</v>
      </c>
      <c r="AF15" s="414">
        <v>0</v>
      </c>
      <c r="AG15" s="394">
        <f t="shared" ca="1" si="18"/>
        <v>0.11499900000000096</v>
      </c>
      <c r="AH15" s="394">
        <f ca="1">AG15*X15</f>
        <v>0</v>
      </c>
      <c r="AI15" s="402">
        <f ca="1">AH15+AH16</f>
        <v>0</v>
      </c>
    </row>
    <row r="16" spans="1:35" ht="15.75" thickBot="1" x14ac:dyDescent="0.3">
      <c r="A16" s="147">
        <f>MATCH(G16,SCALARS!C:C,0)</f>
        <v>26</v>
      </c>
      <c r="B16" s="148">
        <f>MATCH(G16,'MKT DATA'!B:B,0)</f>
        <v>3</v>
      </c>
      <c r="C16" s="224" t="str" cm="1">
        <f t="array" aca="1" ref="C16" ca="1">INDIRECT(ADDRESS($A16,2,,,"scalars"))</f>
        <v>fallen angels</v>
      </c>
      <c r="D16" s="262" cm="1">
        <f t="array" aca="1" ref="D16" ca="1">INDIRECT(ADDRESS($A16,8,,,"SCALARS"))</f>
        <v>748700</v>
      </c>
      <c r="E16" s="244"/>
      <c r="F16" s="20" t="str" cm="1">
        <f t="array" aca="1" ref="F16" ca="1">INDIRECT(ADDRESS($A16,5,,,"scalars"))</f>
        <v>ANGL</v>
      </c>
      <c r="G16" s="21" t="s">
        <v>44</v>
      </c>
      <c r="H16" s="37" cm="1">
        <f t="array" aca="1" ref="H16" ca="1">INDIRECT(ADDRESS($B16,5,,,"mkt data"))</f>
        <v>28.49</v>
      </c>
      <c r="I16" s="38" cm="1">
        <f t="array" aca="1" ref="I16" ca="1">INDIRECT(ADDRESS($B16,6,,,"mkt data"))</f>
        <v>28.71</v>
      </c>
      <c r="J16" s="279" cm="1">
        <f t="array" aca="1" ref="J16" ca="1">INDIRECT(ADDRESS($A16,7,,,"SCALARS"))</f>
        <v>1.2823</v>
      </c>
      <c r="K16" s="22">
        <f ca="1">H16+J16-K$17</f>
        <v>29.767299999999999</v>
      </c>
      <c r="L16" s="22">
        <f ca="1">I16+J16+K$17</f>
        <v>29.997299999999999</v>
      </c>
      <c r="M16" s="52" cm="1">
        <f t="array" aca="1" ref="M16" ca="1">INDIRECT(ADDRESS($A16,6,,,"scalars"))</f>
        <v>1</v>
      </c>
      <c r="N16" s="23">
        <f ca="1">K16*M16</f>
        <v>29.767299999999999</v>
      </c>
      <c r="O16" s="23">
        <f t="shared" ca="1" si="0"/>
        <v>29.997299999999999</v>
      </c>
      <c r="P16" s="318"/>
      <c r="Q16" s="338"/>
      <c r="R16" s="318"/>
      <c r="S16" s="338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ca="1">X16*AVERAGE(H16:I16)</f>
        <v>0</v>
      </c>
      <c r="Z16" s="29">
        <f ca="1">X16/M16</f>
        <v>0</v>
      </c>
      <c r="AA16" s="316"/>
      <c r="AB16" s="21" t="str">
        <f>G16</f>
        <v>ANGL</v>
      </c>
      <c r="AC16" s="37" cm="1">
        <f t="array" aca="1" ref="AC16" ca="1">INDIRECT(ADDRESS($B16,8,,,"mkt data"))</f>
        <v>28.440000999999999</v>
      </c>
      <c r="AD16" s="396">
        <f t="shared" ca="1" si="16"/>
        <v>28.6</v>
      </c>
      <c r="AE16" s="396">
        <f t="shared" ca="1" si="17"/>
        <v>0.15999900000000267</v>
      </c>
      <c r="AF16" s="416">
        <v>0</v>
      </c>
      <c r="AG16" s="396">
        <f t="shared" ca="1" si="18"/>
        <v>0.15999900000000267</v>
      </c>
      <c r="AH16" s="396">
        <f ca="1">AG16*X16</f>
        <v>0</v>
      </c>
      <c r="AI16" s="403"/>
    </row>
    <row r="17" spans="1:35" ht="15.75" thickBot="1" x14ac:dyDescent="0.3">
      <c r="A17" s="432"/>
      <c r="B17" s="432"/>
      <c r="C17" s="432"/>
      <c r="D17" s="432"/>
      <c r="E17" s="432"/>
      <c r="F17" s="432"/>
      <c r="G17" s="432"/>
      <c r="H17" s="432"/>
      <c r="I17" s="395"/>
      <c r="J17" s="433"/>
      <c r="K17" s="452">
        <v>5.0000000000000001E-3</v>
      </c>
      <c r="L17" s="452"/>
      <c r="M17" s="434"/>
      <c r="N17" s="19"/>
      <c r="O17" s="19"/>
      <c r="P17" s="412" t="str">
        <f>'MKT DATA'!J2</f>
        <v>2026-09-17_23-38-55</v>
      </c>
      <c r="Q17" s="412"/>
      <c r="R17" s="412"/>
      <c r="S17" s="412"/>
      <c r="T17" s="435"/>
      <c r="U17" s="435"/>
      <c r="V17" s="435"/>
      <c r="W17" s="435"/>
      <c r="Y17" s="28"/>
      <c r="Z17" s="63"/>
      <c r="AA17" s="28"/>
      <c r="AB17" s="436"/>
      <c r="AG17" s="404" t="s">
        <v>234</v>
      </c>
      <c r="AH17" s="405">
        <f ca="1">SUM(AH3:AH16)</f>
        <v>324.54540000001123</v>
      </c>
      <c r="AI17" s="406">
        <f ca="1">SUM(AI3:AI16)</f>
        <v>324.54540000001123</v>
      </c>
    </row>
    <row r="18" spans="1:35" ht="15.75" thickBot="1" x14ac:dyDescent="0.3">
      <c r="E18" s="10"/>
      <c r="G18" s="10"/>
      <c r="H18" s="10"/>
      <c r="J18" s="273"/>
      <c r="K18" s="453"/>
      <c r="L18" s="453"/>
      <c r="M18" s="7"/>
      <c r="P18" s="413"/>
      <c r="Q18" s="413"/>
      <c r="R18" s="413"/>
      <c r="S18" s="413"/>
      <c r="AC18" s="101"/>
      <c r="AD18" s="101"/>
      <c r="AE18" s="101"/>
      <c r="AF18" s="101"/>
      <c r="AG18" s="101"/>
    </row>
    <row r="19" spans="1:35" s="9" customFormat="1" x14ac:dyDescent="0.25">
      <c r="A19" s="303" t="str">
        <f>A1</f>
        <v>rows</v>
      </c>
      <c r="B19" s="304">
        <f>B1</f>
        <v>0</v>
      </c>
      <c r="C19" s="221"/>
      <c r="D19" s="140"/>
      <c r="E19" s="85"/>
      <c r="F19" s="228"/>
      <c r="G19" s="67"/>
      <c r="H19" s="307" t="str">
        <f>H1</f>
        <v>mkt prices</v>
      </c>
      <c r="I19" s="308">
        <f>I1</f>
        <v>0</v>
      </c>
      <c r="J19" s="282"/>
      <c r="K19" s="428" t="str">
        <f>K1</f>
        <v>price w/ comm &amp; div</v>
      </c>
      <c r="L19" s="429"/>
      <c r="M19" s="39"/>
      <c r="N19" s="310" t="str">
        <f>N1</f>
        <v>unit cf</v>
      </c>
      <c r="O19" s="311">
        <f>O1</f>
        <v>0</v>
      </c>
      <c r="P19" s="312" t="s">
        <v>64</v>
      </c>
      <c r="Q19" s="323"/>
      <c r="R19" s="323"/>
      <c r="S19" s="313"/>
      <c r="T19" s="66"/>
      <c r="U19" s="120"/>
      <c r="V19" s="437" t="s">
        <v>81</v>
      </c>
      <c r="W19" s="438"/>
      <c r="X19" s="353" t="str">
        <f>X1</f>
        <v>current position</v>
      </c>
      <c r="Y19" s="353">
        <f>Y1</f>
        <v>0</v>
      </c>
      <c r="Z19" s="353">
        <f>Z1</f>
        <v>0</v>
      </c>
      <c r="AA19" s="354">
        <f>AA1</f>
        <v>0</v>
      </c>
      <c r="AB19" s="85"/>
      <c r="AG19" s="101"/>
    </row>
    <row r="20" spans="1:35" s="12" customFormat="1" ht="15.75" thickBot="1" x14ac:dyDescent="0.3">
      <c r="A20" s="31" t="str">
        <f>A2</f>
        <v>scalars</v>
      </c>
      <c r="B20" s="32" t="str">
        <f>B2</f>
        <v>mkt data</v>
      </c>
      <c r="C20" s="222" t="str">
        <f>C2</f>
        <v>sector</v>
      </c>
      <c r="D20" s="141" t="str">
        <f>D2</f>
        <v>adv</v>
      </c>
      <c r="E20" s="86" t="str">
        <f>E2</f>
        <v>margin</v>
      </c>
      <c r="F20" s="139" t="str">
        <f>F2</f>
        <v>anchor</v>
      </c>
      <c r="G20" s="68" t="str">
        <f>G2</f>
        <v>symbol</v>
      </c>
      <c r="H20" s="72" t="str">
        <f>H2</f>
        <v>bid</v>
      </c>
      <c r="I20" s="73" t="str">
        <f>I2</f>
        <v>ask</v>
      </c>
      <c r="J20" s="283" t="str">
        <f>J2</f>
        <v>div adj</v>
      </c>
      <c r="K20" s="74" t="str">
        <f>K2</f>
        <v>bid</v>
      </c>
      <c r="L20" s="74" t="str">
        <f>L2</f>
        <v>ask</v>
      </c>
      <c r="M20" s="75" t="str">
        <f>M2</f>
        <v>scalar</v>
      </c>
      <c r="N20" s="76" t="str">
        <f>N2</f>
        <v>hit bid</v>
      </c>
      <c r="O20" s="77" t="str">
        <f>O2</f>
        <v>lift ask</v>
      </c>
      <c r="P20" s="40" t="s">
        <v>65</v>
      </c>
      <c r="Q20" s="12" t="s">
        <v>66</v>
      </c>
      <c r="R20" s="41" t="s">
        <v>80</v>
      </c>
      <c r="S20" s="48" t="s">
        <v>32</v>
      </c>
      <c r="T20" s="40" t="s">
        <v>82</v>
      </c>
      <c r="U20" s="48" t="s">
        <v>83</v>
      </c>
      <c r="V20" s="439" t="s">
        <v>82</v>
      </c>
      <c r="W20" s="440" t="s">
        <v>83</v>
      </c>
      <c r="X20" s="84" t="str">
        <f>X2</f>
        <v>shs</v>
      </c>
      <c r="Y20" s="69" t="str">
        <f>Y2</f>
        <v>$val</v>
      </c>
      <c r="Z20" s="70" t="str">
        <f>Z2</f>
        <v>units</v>
      </c>
      <c r="AA20" s="71" t="str">
        <f>AA2</f>
        <v>net units</v>
      </c>
      <c r="AB20" s="86" t="str">
        <f>G20</f>
        <v>symbol</v>
      </c>
      <c r="AG20" s="101"/>
    </row>
    <row r="21" spans="1:35" x14ac:dyDescent="0.25">
      <c r="A21" s="149">
        <f>MATCH(G21,SCALARS!C:C,0)</f>
        <v>48</v>
      </c>
      <c r="B21" s="150">
        <f>MATCH(G21,'MKT DATA'!B:B,0)</f>
        <v>32</v>
      </c>
      <c r="C21" s="223" t="str" cm="1">
        <f t="array" aca="1" ref="C21" ca="1">INDIRECT(ADDRESS($A21,2,,,"scalars"))</f>
        <v>munis</v>
      </c>
      <c r="D21" s="263" cm="1">
        <f t="array" aca="1" ref="D21" ca="1">INDIRECT(ADDRESS($A21,8,,,"SCALARS"))</f>
        <v>671600</v>
      </c>
      <c r="E21" s="89">
        <v>0.1002</v>
      </c>
      <c r="F21" s="14" t="str" cm="1">
        <f t="array" aca="1" ref="F21" ca="1">INDIRECT(ADDRESS($A21,5,,,"scalars"))</f>
        <v>MUB</v>
      </c>
      <c r="G21" s="15" t="s">
        <v>21</v>
      </c>
      <c r="H21" s="33" cm="1">
        <f t="array" aca="1" ref="H21" ca="1">INDIRECT(ADDRESS($B21,5,,,"mkt data"))</f>
        <v>43.55</v>
      </c>
      <c r="I21" s="34" cm="1">
        <f t="array" aca="1" ref="I21" ca="1">INDIRECT(ADDRESS($B21,6,,,"mkt data"))</f>
        <v>43.89</v>
      </c>
      <c r="J21" s="278" cm="1">
        <f t="array" aca="1" ref="J21" ca="1">INDIRECT(ADDRESS($A21,7,,,"SCALARS"))</f>
        <v>0</v>
      </c>
      <c r="K21" s="16">
        <f ca="1">H21+J21-K$17</f>
        <v>43.544999999999995</v>
      </c>
      <c r="L21" s="16">
        <f ca="1">I21+J21+K$17</f>
        <v>43.895000000000003</v>
      </c>
      <c r="M21" s="50" cm="1">
        <f t="array" aca="1" ref="M21" ca="1">INDIRECT(ADDRESS($A21,6,,,"scalars"))</f>
        <v>2.3530896322806996</v>
      </c>
      <c r="N21" s="17">
        <f t="shared" ref="N21:N38" ca="1" si="21">K21*M21</f>
        <v>102.46528803766304</v>
      </c>
      <c r="O21" s="17">
        <f t="shared" ref="O21:O46" ca="1" si="22">M21*L21</f>
        <v>103.28886940896132</v>
      </c>
      <c r="P21" s="317">
        <f ca="1">MAX(N21:N23)</f>
        <v>102.655</v>
      </c>
      <c r="Q21" s="333">
        <f ca="1">MIN(O21:O23)</f>
        <v>103.28886940896132</v>
      </c>
      <c r="R21" s="333">
        <f ca="1">P21-Q21</f>
        <v>-0.63386940896131705</v>
      </c>
      <c r="S21" s="336">
        <f ca="1">R21/AVERAGE(ABS(P21),ABS(Q21))</f>
        <v>-6.1557492415817957E-3</v>
      </c>
      <c r="T21" s="80">
        <v>1E-3</v>
      </c>
      <c r="U21" s="81">
        <v>1E-3</v>
      </c>
      <c r="V21" s="330">
        <v>1E-3</v>
      </c>
      <c r="W21" s="324">
        <v>1E-3</v>
      </c>
      <c r="X21" s="27" cm="1">
        <f t="array" aca="1" ref="X21" ca="1">INDIRECT(ADDRESS($B21,9,,,"mkt data"))</f>
        <v>4700</v>
      </c>
      <c r="Y21" s="62">
        <f ca="1">X21*AVERAGE(H21:I21)</f>
        <v>205484</v>
      </c>
      <c r="Z21" s="27">
        <f ca="1">X21/M21</f>
        <v>1997.3739782468847</v>
      </c>
      <c r="AA21" s="355">
        <f ca="1">SUM(Z21:Z23)</f>
        <v>-2.6260217531153103</v>
      </c>
      <c r="AB21" s="441" t="str">
        <f>G21</f>
        <v>TFI</v>
      </c>
      <c r="AG21" s="101"/>
    </row>
    <row r="22" spans="1:35" x14ac:dyDescent="0.25">
      <c r="A22" s="153">
        <f>MATCH(G22,SCALARS!C:C,0)</f>
        <v>49</v>
      </c>
      <c r="B22" s="158">
        <f>MATCH(G22,'MKT DATA'!B:B,0)</f>
        <v>39</v>
      </c>
      <c r="C22" s="144" t="str" cm="1">
        <f t="array" aca="1" ref="C22" ca="1">INDIRECT(ADDRESS($A22,2,,,"scalars"))</f>
        <v>munis</v>
      </c>
      <c r="D22" s="264" cm="1">
        <f t="array" aca="1" ref="D22" ca="1">INDIRECT(ADDRESS($A22,8,,,"SCALARS"))</f>
        <v>9722400</v>
      </c>
      <c r="E22" s="87">
        <v>0.1002</v>
      </c>
      <c r="F22" s="10" t="str" cm="1">
        <f t="array" aca="1" ref="F22" ca="1">INDIRECT(ADDRESS($A22,5,,,"scalars"))</f>
        <v>MUB</v>
      </c>
      <c r="G22" s="8" t="s">
        <v>3</v>
      </c>
      <c r="H22" s="35" cm="1">
        <f t="array" aca="1" ref="H22" ca="1">INDIRECT(ADDRESS($B22,5,,,"mkt data"))</f>
        <v>48.15</v>
      </c>
      <c r="I22" s="36" cm="1">
        <f t="array" aca="1" ref="I22" ca="1">INDIRECT(ADDRESS($B22,6,,,"mkt data"))</f>
        <v>48.51</v>
      </c>
      <c r="J22" s="284" cm="1">
        <f t="array" aca="1" ref="J22" ca="1">INDIRECT(ADDRESS($A22,7,,,"SCALARS"))</f>
        <v>0</v>
      </c>
      <c r="K22" s="18">
        <f ca="1">H22+J22-K$17</f>
        <v>48.144999999999996</v>
      </c>
      <c r="L22" s="18">
        <f ca="1">I22+J22+K$17</f>
        <v>48.515000000000001</v>
      </c>
      <c r="M22" s="54" cm="1">
        <f t="array" aca="1" ref="M22" ca="1">INDIRECT(ADDRESS($A22,6,,,"scalars"))</f>
        <v>2.129322886792584</v>
      </c>
      <c r="N22" s="19">
        <f t="shared" ca="1" si="21"/>
        <v>102.51625038462895</v>
      </c>
      <c r="O22" s="19">
        <f t="shared" ca="1" si="22"/>
        <v>103.30409985274221</v>
      </c>
      <c r="P22" s="350"/>
      <c r="Q22" s="351"/>
      <c r="R22" s="334"/>
      <c r="S22" s="337"/>
      <c r="T22" s="121" t="b">
        <f ca="1">IF(S21&gt;V21,TRUE,FALSE)</f>
        <v>0</v>
      </c>
      <c r="U22" s="122" t="b" cm="1">
        <f t="array" aca="1" ref="U22" ca="1">AND(IF(SUM(ABS(X21:X23)),TRUE,FALSE),IF(S21&lt;U21,TRUE,FALSE))</f>
        <v>1</v>
      </c>
      <c r="V22" s="331"/>
      <c r="W22" s="325"/>
      <c r="X22" s="28" cm="1">
        <f t="array" aca="1" ref="X22" ca="1">INDIRECT(ADDRESS($B22,9,,,"mkt data"))</f>
        <v>0</v>
      </c>
      <c r="Y22" s="63">
        <f ca="1">X22*AVERAGE(H22:I22)</f>
        <v>0</v>
      </c>
      <c r="Z22" s="28">
        <f ca="1">X22/M22</f>
        <v>0</v>
      </c>
      <c r="AA22" s="356"/>
      <c r="AB22" s="442" t="str">
        <f>G22</f>
        <v>VTEB</v>
      </c>
      <c r="AG22" s="101"/>
    </row>
    <row r="23" spans="1:35" ht="15.75" thickBot="1" x14ac:dyDescent="0.3">
      <c r="A23" s="151">
        <f>MATCH(G23,SCALARS!C:C,0)</f>
        <v>47</v>
      </c>
      <c r="B23" s="152">
        <f>MATCH(G23,'MKT DATA'!B:B,0)</f>
        <v>20</v>
      </c>
      <c r="C23" s="224" t="str" cm="1">
        <f t="array" aca="1" ref="C23" ca="1">INDIRECT(ADDRESS($A23,2,,,"scalars"))</f>
        <v>munis</v>
      </c>
      <c r="D23" s="265" cm="1">
        <f t="array" aca="1" ref="D23" ca="1">INDIRECT(ADDRESS($A23,8,,,"SCALARS"))</f>
        <v>5380900</v>
      </c>
      <c r="E23" s="88">
        <v>0.1002</v>
      </c>
      <c r="F23" s="20" t="str" cm="1">
        <f t="array" aca="1" ref="F23" ca="1">INDIRECT(ADDRESS($A23,5,,,"scalars"))</f>
        <v>MUB</v>
      </c>
      <c r="G23" s="21" t="s">
        <v>4</v>
      </c>
      <c r="H23" s="37" cm="1">
        <f t="array" aca="1" ref="H23" ca="1">INDIRECT(ADDRESS($B23,5,,,"mkt data"))</f>
        <v>102.66</v>
      </c>
      <c r="I23" s="38" cm="1">
        <f t="array" aca="1" ref="I23" ca="1">INDIRECT(ADDRESS($B23,6,,,"mkt data"))</f>
        <v>103.41</v>
      </c>
      <c r="J23" s="279" cm="1">
        <f t="array" aca="1" ref="J23" ca="1">INDIRECT(ADDRESS($A23,7,,,"SCALARS"))</f>
        <v>0</v>
      </c>
      <c r="K23" s="22">
        <f ca="1">H23+J23-K$17</f>
        <v>102.655</v>
      </c>
      <c r="L23" s="22">
        <f ca="1">I23+J23+K$17</f>
        <v>103.41499999999999</v>
      </c>
      <c r="M23" s="52" cm="1">
        <f t="array" aca="1" ref="M23" ca="1">INDIRECT(ADDRESS($A23,6,,,"scalars"))</f>
        <v>1</v>
      </c>
      <c r="N23" s="23">
        <f t="shared" ca="1" si="21"/>
        <v>102.655</v>
      </c>
      <c r="O23" s="23">
        <f t="shared" ca="1" si="22"/>
        <v>103.41499999999999</v>
      </c>
      <c r="P23" s="318"/>
      <c r="Q23" s="352"/>
      <c r="R23" s="335"/>
      <c r="S23" s="338"/>
      <c r="T23" s="43"/>
      <c r="U23" s="123"/>
      <c r="V23" s="332"/>
      <c r="W23" s="326"/>
      <c r="X23" s="29" cm="1">
        <f t="array" aca="1" ref="X23" ca="1">INDIRECT(ADDRESS($B23,9,,,"mkt data"))</f>
        <v>-2000</v>
      </c>
      <c r="Y23" s="64">
        <f ca="1">X23*AVERAGE(H23:I23)</f>
        <v>-206070</v>
      </c>
      <c r="Z23" s="29">
        <f ca="1">X23/M23</f>
        <v>-2000</v>
      </c>
      <c r="AA23" s="357"/>
      <c r="AB23" s="442" t="str">
        <f>G23</f>
        <v>MUB</v>
      </c>
      <c r="AG23" s="101"/>
    </row>
    <row r="24" spans="1:35" x14ac:dyDescent="0.25">
      <c r="A24" s="149">
        <f>MATCH(G24,SCALARS!C:C,0)</f>
        <v>45</v>
      </c>
      <c r="B24" s="150">
        <f>MATCH(G24,'MKT DATA'!B:B,0)</f>
        <v>30</v>
      </c>
      <c r="C24" s="223" t="str" cm="1">
        <f t="array" aca="1" ref="C24" ca="1">INDIRECT(ADDRESS($A24,2,,,"scalars"))</f>
        <v>mortgages</v>
      </c>
      <c r="D24" s="263" cm="1">
        <f t="array" aca="1" ref="D24" ca="1">INDIRECT(ADDRESS($A24,8,,,"SCALARS"))</f>
        <v>1138500</v>
      </c>
      <c r="E24" s="89">
        <v>0.16500000000000001</v>
      </c>
      <c r="F24" s="14" t="str" cm="1">
        <f t="array" aca="1" ref="F24" ca="1">INDIRECT(ADDRESS($A24,5,,,"scalars"))</f>
        <v>MBB</v>
      </c>
      <c r="G24" s="15" t="s">
        <v>18</v>
      </c>
      <c r="H24" s="33" cm="1">
        <f t="array" aca="1" ref="H24" ca="1">INDIRECT(ADDRESS($B24,5,,,"mkt data"))</f>
        <v>21.56</v>
      </c>
      <c r="I24" s="34" cm="1">
        <f t="array" aca="1" ref="I24" ca="1">INDIRECT(ADDRESS($B24,6,,,"mkt data"))</f>
        <v>21.74</v>
      </c>
      <c r="J24" s="278" cm="1">
        <f t="array" aca="1" ref="J24" ca="1">INDIRECT(ADDRESS($A24,7,,,"SCALARS"))</f>
        <v>0</v>
      </c>
      <c r="K24" s="16">
        <f ca="1">H24+J24-K$17</f>
        <v>21.555</v>
      </c>
      <c r="L24" s="16">
        <f ca="1">I24+J24+K$17</f>
        <v>21.744999999999997</v>
      </c>
      <c r="M24" s="50" cm="1">
        <f t="array" aca="1" ref="M24" ca="1">INDIRECT(ADDRESS($A24,6,,,"scalars"))</f>
        <v>4.237656263969221</v>
      </c>
      <c r="N24" s="17">
        <f t="shared" ca="1" si="21"/>
        <v>91.342680769856557</v>
      </c>
      <c r="O24" s="17">
        <f t="shared" ca="1" si="22"/>
        <v>92.147835460010697</v>
      </c>
      <c r="P24" s="317">
        <f ca="1">MAX(N24:N26)</f>
        <v>91.454999999999998</v>
      </c>
      <c r="Q24" s="333">
        <f ca="1">MIN(O24:O26)</f>
        <v>92.049407712806925</v>
      </c>
      <c r="R24" s="333">
        <f ca="1">P24-Q24</f>
        <v>-0.59440771280692672</v>
      </c>
      <c r="S24" s="336">
        <f ca="1">R24/AVERAGE(ABS(P24),ABS(Q24))</f>
        <v>-6.4784025649912763E-3</v>
      </c>
      <c r="T24" s="80">
        <v>8.0000000000000004E-4</v>
      </c>
      <c r="U24" s="81">
        <v>8.0000000000000004E-4</v>
      </c>
      <c r="V24" s="330">
        <v>8.0000000000000004E-4</v>
      </c>
      <c r="W24" s="324">
        <v>8.0000000000000004E-4</v>
      </c>
      <c r="X24" s="27" cm="1">
        <f t="array" aca="1" ref="X24" ca="1">INDIRECT(ADDRESS($B24,9,,,"mkt data"))</f>
        <v>0</v>
      </c>
      <c r="Y24" s="62">
        <f ca="1">X24*AVERAGE(H24:I24)</f>
        <v>0</v>
      </c>
      <c r="Z24" s="27">
        <f ca="1">X24/M24</f>
        <v>0</v>
      </c>
      <c r="AA24" s="355">
        <f ca="1">SUM(Z24:Z26)</f>
        <v>0</v>
      </c>
      <c r="AB24" s="441" t="str">
        <f>G24</f>
        <v>SPMB</v>
      </c>
    </row>
    <row r="25" spans="1:35" x14ac:dyDescent="0.25">
      <c r="A25" s="153">
        <f>MATCH(G25,SCALARS!C:C,0)</f>
        <v>46</v>
      </c>
      <c r="B25" s="158">
        <f>MATCH(G25,'MKT DATA'!B:B,0)</f>
        <v>37</v>
      </c>
      <c r="C25" s="144" t="str" cm="1">
        <f t="array" aca="1" ref="C25" ca="1">INDIRECT(ADDRESS($A25,2,,,"scalars"))</f>
        <v>mortgages</v>
      </c>
      <c r="D25" s="264" cm="1">
        <f t="array" aca="1" ref="D25" ca="1">INDIRECT(ADDRESS($A25,8,,,"SCALARS"))</f>
        <v>1357700</v>
      </c>
      <c r="E25" s="91">
        <v>0.16500000000000001</v>
      </c>
      <c r="F25" s="10" t="str" cm="1">
        <f t="array" aca="1" ref="F25" ca="1">INDIRECT(ADDRESS($A25,5,,,"scalars"))</f>
        <v>MBB</v>
      </c>
      <c r="G25" s="8" t="s">
        <v>19</v>
      </c>
      <c r="H25" s="35" cm="1">
        <f t="array" aca="1" ref="H25" ca="1">INDIRECT(ADDRESS($B25,5,,,"mkt data"))</f>
        <v>45.32</v>
      </c>
      <c r="I25" s="36" cm="1">
        <f t="array" aca="1" ref="I25" ca="1">INDIRECT(ADDRESS($B25,6,,,"mkt data"))</f>
        <v>45.62</v>
      </c>
      <c r="J25" s="284" cm="1">
        <f t="array" aca="1" ref="J25" ca="1">INDIRECT(ADDRESS($A25,7,,,"SCALARS"))</f>
        <v>0</v>
      </c>
      <c r="K25" s="18">
        <f ca="1">H25+J25-K$17</f>
        <v>45.314999999999998</v>
      </c>
      <c r="L25" s="18">
        <f ca="1">I25+J25+K$17</f>
        <v>45.625</v>
      </c>
      <c r="M25" s="54" cm="1">
        <f t="array" aca="1" ref="M25" ca="1">INDIRECT(ADDRESS($A25,6,,,"scalars"))</f>
        <v>2.0175212649382339</v>
      </c>
      <c r="N25" s="19">
        <f t="shared" ca="1" si="21"/>
        <v>91.423976120676059</v>
      </c>
      <c r="O25" s="19">
        <f t="shared" ca="1" si="22"/>
        <v>92.049407712806925</v>
      </c>
      <c r="P25" s="350"/>
      <c r="Q25" s="351"/>
      <c r="R25" s="334"/>
      <c r="S25" s="337"/>
      <c r="T25" s="121" t="b">
        <f ca="1">IF(S24&gt;V24,TRUE,FALSE)</f>
        <v>0</v>
      </c>
      <c r="U25" s="122" t="b" cm="1">
        <f t="array" aca="1" ref="U25" ca="1">AND(IF(SUM(ABS(X24:X26)),TRUE,FALSE),IF(S24&lt;U24,TRUE,FALSE))</f>
        <v>0</v>
      </c>
      <c r="V25" s="331"/>
      <c r="W25" s="325"/>
      <c r="X25" s="28" cm="1">
        <f t="array" aca="1" ref="X25" ca="1">INDIRECT(ADDRESS($B25,9,,,"mkt data"))</f>
        <v>0</v>
      </c>
      <c r="Y25" s="63">
        <f ca="1">X25*AVERAGE(H25:I25)</f>
        <v>0</v>
      </c>
      <c r="Z25" s="28">
        <f ca="1">X25/M25</f>
        <v>0</v>
      </c>
      <c r="AA25" s="356"/>
      <c r="AB25" s="442" t="str">
        <f>G25</f>
        <v>VMBS</v>
      </c>
    </row>
    <row r="26" spans="1:35" ht="15.75" thickBot="1" x14ac:dyDescent="0.3">
      <c r="A26" s="151">
        <f>MATCH(G26,SCALARS!C:C,0)</f>
        <v>44</v>
      </c>
      <c r="B26" s="152">
        <f>MATCH(G26,'MKT DATA'!B:B,0)</f>
        <v>19</v>
      </c>
      <c r="C26" s="224" t="str" cm="1">
        <f t="array" aca="1" ref="C26" ca="1">INDIRECT(ADDRESS($A26,2,,,"scalars"))</f>
        <v>mortgages</v>
      </c>
      <c r="D26" s="265" cm="1">
        <f t="array" aca="1" ref="D26" ca="1">INDIRECT(ADDRESS($A26,8,,,"SCALARS"))</f>
        <v>2241800</v>
      </c>
      <c r="E26" s="90">
        <v>0.16500000000000001</v>
      </c>
      <c r="F26" s="20" t="str" cm="1">
        <f t="array" aca="1" ref="F26" ca="1">INDIRECT(ADDRESS($A26,5,,,"scalars"))</f>
        <v>MBB</v>
      </c>
      <c r="G26" s="21" t="s">
        <v>20</v>
      </c>
      <c r="H26" s="37" cm="1">
        <f t="array" aca="1" ref="H26" ca="1">INDIRECT(ADDRESS($B26,5,,,"mkt data"))</f>
        <v>91.46</v>
      </c>
      <c r="I26" s="38" cm="1">
        <f t="array" aca="1" ref="I26" ca="1">INDIRECT(ADDRESS($B26,6,,,"mkt data"))</f>
        <v>92.06</v>
      </c>
      <c r="J26" s="279" cm="1">
        <f t="array" aca="1" ref="J26" ca="1">INDIRECT(ADDRESS($A26,7,,,"SCALARS"))</f>
        <v>0</v>
      </c>
      <c r="K26" s="22">
        <f ca="1">H26+J26-K$17</f>
        <v>91.454999999999998</v>
      </c>
      <c r="L26" s="22">
        <f ca="1">I26+J26+K$17</f>
        <v>92.064999999999998</v>
      </c>
      <c r="M26" s="52" cm="1">
        <f t="array" aca="1" ref="M26" ca="1">INDIRECT(ADDRESS($A26,6,,,"scalars"))</f>
        <v>1</v>
      </c>
      <c r="N26" s="23">
        <f t="shared" ca="1" si="21"/>
        <v>91.454999999999998</v>
      </c>
      <c r="O26" s="23">
        <f t="shared" ca="1" si="22"/>
        <v>92.064999999999998</v>
      </c>
      <c r="P26" s="318"/>
      <c r="Q26" s="352"/>
      <c r="R26" s="335"/>
      <c r="S26" s="338"/>
      <c r="T26" s="43"/>
      <c r="U26" s="123"/>
      <c r="V26" s="332"/>
      <c r="W26" s="326"/>
      <c r="X26" s="29" cm="1">
        <f t="array" aca="1" ref="X26" ca="1">INDIRECT(ADDRESS($B26,9,,,"mkt data"))</f>
        <v>0</v>
      </c>
      <c r="Y26" s="64">
        <f ca="1">X26*AVERAGE(H26:I26)</f>
        <v>0</v>
      </c>
      <c r="Z26" s="29">
        <f ca="1">X26/M26</f>
        <v>0</v>
      </c>
      <c r="AA26" s="357"/>
      <c r="AB26" s="443" t="str">
        <f>G26</f>
        <v>MBB</v>
      </c>
    </row>
    <row r="27" spans="1:35" x14ac:dyDescent="0.25">
      <c r="A27" s="149">
        <f>MATCH(G27,SCALARS!C:C,0)</f>
        <v>21</v>
      </c>
      <c r="B27" s="150">
        <f>MATCH(G27,'MKT DATA'!B:B,0)</f>
        <v>27</v>
      </c>
      <c r="C27" s="223" t="str" cm="1">
        <f t="array" aca="1" ref="C27" ca="1">INDIRECT(ADDRESS($A27,2,,,"scalars"))</f>
        <v>corps</v>
      </c>
      <c r="D27" s="263" cm="1">
        <f t="array" aca="1" ref="D27" ca="1">INDIRECT(ADDRESS($A27,8,,,"SCALARS"))</f>
        <v>570000</v>
      </c>
      <c r="E27" s="89">
        <v>0.16500000000000001</v>
      </c>
      <c r="F27" s="14" t="str" cm="1">
        <f t="array" aca="1" ref="F27" ca="1">INDIRECT(ADDRESS($A27,5,,,"scalars"))</f>
        <v>CORP</v>
      </c>
      <c r="G27" s="15" t="s">
        <v>28</v>
      </c>
      <c r="H27" s="33" cm="1">
        <f t="array" aca="1" ref="H27" ca="1">INDIRECT(ADDRESS($B27,5,,,"mkt data"))</f>
        <v>28.01</v>
      </c>
      <c r="I27" s="34" cm="1">
        <f t="array" aca="1" ref="I27" ca="1">INDIRECT(ADDRESS($B27,6,,,"mkt data"))</f>
        <v>28.25</v>
      </c>
      <c r="J27" s="278" cm="1">
        <f t="array" aca="1" ref="J27" ca="1">INDIRECT(ADDRESS($A27,7,,,"SCALARS"))</f>
        <v>0</v>
      </c>
      <c r="K27" s="16">
        <f ca="1">H27+J27-K$17</f>
        <v>28.005000000000003</v>
      </c>
      <c r="L27" s="16">
        <f ca="1">I27+J27+K$17</f>
        <v>28.254999999999999</v>
      </c>
      <c r="M27" s="50" cm="1">
        <f t="array" aca="1" ref="M27" ca="1">INDIRECT(ADDRESS($A27,6,,,"scalars"))</f>
        <v>3.3406467658894541</v>
      </c>
      <c r="N27" s="17">
        <f t="shared" ref="N27:N29" ca="1" si="23">K27*M27</f>
        <v>93.554812678734166</v>
      </c>
      <c r="O27" s="17">
        <f t="shared" ca="1" si="22"/>
        <v>94.389974370206517</v>
      </c>
      <c r="P27" s="317">
        <f ca="1">MAX(N27:N30)</f>
        <v>93.662531807890502</v>
      </c>
      <c r="Q27" s="333">
        <f ca="1">MIN(O27:O30)</f>
        <v>94.224999999999994</v>
      </c>
      <c r="R27" s="333">
        <f ca="1">P27-Q27</f>
        <v>-0.56246819210949184</v>
      </c>
      <c r="S27" s="336">
        <f ca="1">R27/AVERAGE(ABS(P27),ABS(Q27))</f>
        <v>-5.9872859757889533E-3</v>
      </c>
      <c r="T27" s="42"/>
      <c r="U27" s="131"/>
      <c r="V27" s="330">
        <v>1E-3</v>
      </c>
      <c r="W27" s="324">
        <v>8.0000000000000004E-4</v>
      </c>
      <c r="X27" s="27" cm="1">
        <f t="array" aca="1" ref="X27" ca="1">INDIRECT(ADDRESS($B27,9,,,"mkt data"))</f>
        <v>0</v>
      </c>
      <c r="Y27" s="62">
        <f ca="1">X27*AVERAGE(H27:I27)</f>
        <v>0</v>
      </c>
      <c r="Z27" s="27">
        <f ca="1">X27/M27</f>
        <v>0</v>
      </c>
      <c r="AA27" s="358">
        <f ca="1">SUM(Z27:Z30)</f>
        <v>0</v>
      </c>
      <c r="AB27" s="442" t="str">
        <f>G27</f>
        <v>SPBO</v>
      </c>
    </row>
    <row r="28" spans="1:35" x14ac:dyDescent="0.25">
      <c r="A28" s="153">
        <f>MATCH(G28,SCALARS!C:C,0)</f>
        <v>22</v>
      </c>
      <c r="B28" s="158">
        <f>MATCH(G28,'MKT DATA'!B:B,0)</f>
        <v>34</v>
      </c>
      <c r="C28" s="144" t="str" cm="1">
        <f t="array" aca="1" ref="C28" ca="1">INDIRECT(ADDRESS($A28,2,,,"scalars"))</f>
        <v>corps</v>
      </c>
      <c r="D28" s="264" cm="1">
        <f t="array" aca="1" ref="D28" ca="1">INDIRECT(ADDRESS($A28,8,,,"SCALARS"))</f>
        <v>2118200</v>
      </c>
      <c r="E28" s="91">
        <v>0.16500000000000001</v>
      </c>
      <c r="F28" s="10" t="str" cm="1">
        <f t="array" aca="1" ref="F28" ca="1">INDIRECT(ADDRESS($A28,5,,,"scalars"))</f>
        <v>CORP</v>
      </c>
      <c r="G28" s="8" t="s">
        <v>29</v>
      </c>
      <c r="H28" s="35" cm="1">
        <f t="array" aca="1" ref="H28" ca="1">INDIRECT(ADDRESS($B28,5,,,"mkt data"))</f>
        <v>49.59</v>
      </c>
      <c r="I28" s="36" cm="1">
        <f t="array" aca="1" ref="I28" ca="1">INDIRECT(ADDRESS($B28,6,,,"mkt data"))</f>
        <v>49.92</v>
      </c>
      <c r="J28" s="284" cm="1">
        <f t="array" aca="1" ref="J28" ca="1">INDIRECT(ADDRESS($A28,7,,,"SCALARS"))</f>
        <v>0</v>
      </c>
      <c r="K28" s="18">
        <f ca="1">H28+J28-K$17</f>
        <v>49.585000000000001</v>
      </c>
      <c r="L28" s="18">
        <f ca="1">I28+J28+K$17</f>
        <v>49.925000000000004</v>
      </c>
      <c r="M28" s="54" cm="1">
        <f t="array" aca="1" ref="M28" ca="1">INDIRECT(ADDRESS($A28,6,,,"scalars"))</f>
        <v>1.888928744739145</v>
      </c>
      <c r="N28" s="19">
        <f t="shared" ca="1" si="23"/>
        <v>93.662531807890502</v>
      </c>
      <c r="O28" s="19">
        <f t="shared" ca="1" si="22"/>
        <v>94.304767581101814</v>
      </c>
      <c r="P28" s="348"/>
      <c r="Q28" s="334"/>
      <c r="R28" s="334"/>
      <c r="S28" s="337"/>
      <c r="T28" s="133">
        <v>1E-3</v>
      </c>
      <c r="U28" s="134">
        <v>8.0000000000000004E-4</v>
      </c>
      <c r="V28" s="331"/>
      <c r="W28" s="325"/>
      <c r="X28" s="28" cm="1">
        <f t="array" aca="1" ref="X28" ca="1">INDIRECT(ADDRESS($B28,9,,,"mkt data"))</f>
        <v>0</v>
      </c>
      <c r="Y28" s="63">
        <f ca="1">X28*AVERAGE(H28:I28)</f>
        <v>0</v>
      </c>
      <c r="Z28" s="28">
        <f ca="1">X28/M28</f>
        <v>0</v>
      </c>
      <c r="AA28" s="359"/>
      <c r="AB28" s="442" t="str">
        <f>G28</f>
        <v>USIG</v>
      </c>
    </row>
    <row r="29" spans="1:35" x14ac:dyDescent="0.25">
      <c r="A29" s="153">
        <f>MATCH(G29,SCALARS!C:C,0)</f>
        <v>23</v>
      </c>
      <c r="B29" s="158">
        <f>MATCH(G29,'MKT DATA'!B:B,0)</f>
        <v>38</v>
      </c>
      <c r="C29" s="144" t="str" cm="1">
        <f t="array" aca="1" ref="C29" ca="1">INDIRECT(ADDRESS($A29,2,,,"scalars"))</f>
        <v>corps</v>
      </c>
      <c r="D29" s="264" cm="1">
        <f t="array" aca="1" ref="D29" ca="1">INDIRECT(ADDRESS($A29,8,,,"SCALARS"))</f>
        <v>77200</v>
      </c>
      <c r="E29" s="91">
        <v>0.16500000000000001</v>
      </c>
      <c r="F29" s="10" t="str" cm="1">
        <f t="array" aca="1" ref="F29" ca="1">INDIRECT(ADDRESS($A29,5,,,"scalars"))</f>
        <v>CORP</v>
      </c>
      <c r="G29" s="8" t="s">
        <v>30</v>
      </c>
      <c r="H29" s="35" cm="1">
        <f t="array" aca="1" ref="H29" ca="1">INDIRECT(ADDRESS($B29,5,,,"mkt data"))</f>
        <v>74.16</v>
      </c>
      <c r="I29" s="36" cm="1">
        <f t="array" aca="1" ref="I29" ca="1">INDIRECT(ADDRESS($B29,6,,,"mkt data"))</f>
        <v>74.69</v>
      </c>
      <c r="J29" s="284" cm="1">
        <f t="array" aca="1" ref="J29" ca="1">INDIRECT(ADDRESS($A29,7,,,"SCALARS"))</f>
        <v>0</v>
      </c>
      <c r="K29" s="18">
        <f ca="1">H29+J29-K$17</f>
        <v>74.155000000000001</v>
      </c>
      <c r="L29" s="18">
        <f ca="1">I29+J29+K$17</f>
        <v>74.694999999999993</v>
      </c>
      <c r="M29" s="54" cm="1">
        <f t="array" aca="1" ref="M29" ca="1">INDIRECT(ADDRESS($A29,6,,,"scalars"))</f>
        <v>1.2629890079031163</v>
      </c>
      <c r="N29" s="19">
        <f t="shared" ca="1" si="23"/>
        <v>93.656949881055596</v>
      </c>
      <c r="O29" s="19">
        <f t="shared" ca="1" si="22"/>
        <v>94.338963945323258</v>
      </c>
      <c r="P29" s="348"/>
      <c r="Q29" s="334"/>
      <c r="R29" s="334"/>
      <c r="S29" s="337"/>
      <c r="T29" s="121" t="b">
        <f ca="1">IF(S27&gt;V27,TRUE,FALSE)</f>
        <v>0</v>
      </c>
      <c r="U29" s="122" t="b" cm="1">
        <f t="array" aca="1" ref="U29" ca="1">AND(IF(SUM(ABS(X27:X29)),TRUE,FALSE),IF(S27&lt;U28,TRUE,FALSE))</f>
        <v>0</v>
      </c>
      <c r="V29" s="331"/>
      <c r="W29" s="325"/>
      <c r="X29" s="28" cm="1">
        <f t="array" aca="1" ref="X29" ca="1">INDIRECT(ADDRESS($B29,9,,,"mkt data"))</f>
        <v>0</v>
      </c>
      <c r="Y29" s="63">
        <f ca="1">X29*AVERAGE(H29:I29)</f>
        <v>0</v>
      </c>
      <c r="Z29" s="28">
        <f ca="1">X29/M29</f>
        <v>0</v>
      </c>
      <c r="AA29" s="359"/>
      <c r="AB29" s="442" t="str">
        <f>G29</f>
        <v>VTC</v>
      </c>
    </row>
    <row r="30" spans="1:35" ht="15.75" thickBot="1" x14ac:dyDescent="0.3">
      <c r="A30" s="151">
        <f>MATCH(G30,SCALARS!C:C,0)</f>
        <v>20</v>
      </c>
      <c r="B30" s="152">
        <f>MATCH(G30,'MKT DATA'!B:B,0)</f>
        <v>8</v>
      </c>
      <c r="C30" s="224" t="str" cm="1">
        <f t="array" aca="1" ref="C30" ca="1">INDIRECT(ADDRESS($A30,2,,,"scalars"))</f>
        <v>corps</v>
      </c>
      <c r="D30" s="265" cm="1">
        <f t="array" aca="1" ref="D30" ca="1">INDIRECT(ADDRESS($A30,8,,,"SCALARS"))</f>
        <v>107700</v>
      </c>
      <c r="E30" s="90">
        <v>0.16500000000000001</v>
      </c>
      <c r="F30" s="20" t="str" cm="1">
        <f t="array" aca="1" ref="F30" ca="1">INDIRECT(ADDRESS($A30,5,,,"scalars"))</f>
        <v>CORP</v>
      </c>
      <c r="G30" s="21" t="s">
        <v>31</v>
      </c>
      <c r="H30" s="37" cm="1">
        <f t="array" aca="1" ref="H30" ca="1">INDIRECT(ADDRESS($B30,5,,,"mkt data"))</f>
        <v>93.52</v>
      </c>
      <c r="I30" s="38" cm="1">
        <f t="array" aca="1" ref="I30" ca="1">INDIRECT(ADDRESS($B30,6,,,"mkt data"))</f>
        <v>94.22</v>
      </c>
      <c r="J30" s="279" cm="1">
        <f t="array" aca="1" ref="J30" ca="1">INDIRECT(ADDRESS($A30,7,,,"SCALARS"))</f>
        <v>0</v>
      </c>
      <c r="K30" s="22">
        <f ca="1">H30+J30-K$17</f>
        <v>93.515000000000001</v>
      </c>
      <c r="L30" s="22">
        <f ca="1">I30+J30+K$17</f>
        <v>94.224999999999994</v>
      </c>
      <c r="M30" s="52" cm="1">
        <f t="array" aca="1" ref="M30" ca="1">INDIRECT(ADDRESS($A30,6,,,"scalars"))</f>
        <v>1</v>
      </c>
      <c r="N30" s="23">
        <f ca="1">K30*M30</f>
        <v>93.515000000000001</v>
      </c>
      <c r="O30" s="23">
        <f t="shared" ca="1" si="22"/>
        <v>94.224999999999994</v>
      </c>
      <c r="P30" s="349"/>
      <c r="Q30" s="335"/>
      <c r="R30" s="335"/>
      <c r="S30" s="338"/>
      <c r="T30" s="43"/>
      <c r="U30" s="123"/>
      <c r="V30" s="332"/>
      <c r="W30" s="326"/>
      <c r="X30" s="29" cm="1">
        <f t="array" aca="1" ref="X30" ca="1">INDIRECT(ADDRESS($B30,9,,,"mkt data"))</f>
        <v>0</v>
      </c>
      <c r="Y30" s="64">
        <f ca="1">X30*AVERAGE(H30:I30)</f>
        <v>0</v>
      </c>
      <c r="Z30" s="29">
        <f ca="1">X30/M30</f>
        <v>0</v>
      </c>
      <c r="AA30" s="360"/>
      <c r="AB30" s="442" t="str">
        <f>G30</f>
        <v>CORP</v>
      </c>
    </row>
    <row r="31" spans="1:35" x14ac:dyDescent="0.25">
      <c r="A31" s="149">
        <f>MATCH(G31,SCALARS!C:C,0)</f>
        <v>32</v>
      </c>
      <c r="B31" s="150">
        <f>MATCH(G31,'MKT DATA'!B:B,0)</f>
        <v>28</v>
      </c>
      <c r="C31" s="223" t="str" cm="1">
        <f t="array" aca="1" ref="C31" ca="1">INDIRECT(ADDRESS($A31,2,,,"scalars"))</f>
        <v>hi yld</v>
      </c>
      <c r="D31" s="263" cm="1">
        <f t="array" aca="1" ref="D31" ca="1">INDIRECT(ADDRESS($A31,8,,,"SCALARS"))</f>
        <v>5466400</v>
      </c>
      <c r="E31" s="89">
        <v>0.27500000000000002</v>
      </c>
      <c r="F31" s="14" t="str" cm="1">
        <f t="array" aca="1" ref="F31" ca="1">INDIRECT(ADDRESS($A31,5,,,"scalars"))</f>
        <v>JNK</v>
      </c>
      <c r="G31" s="15" t="s">
        <v>12</v>
      </c>
      <c r="H31" s="33" cm="1">
        <f t="array" aca="1" ref="H31" ca="1">INDIRECT(ADDRESS($B31,5,,,"mkt data"))</f>
        <v>22.96</v>
      </c>
      <c r="I31" s="34" cm="1">
        <f t="array" aca="1" ref="I31" ca="1">INDIRECT(ADDRESS($B31,6,,,"mkt data"))</f>
        <v>23.12</v>
      </c>
      <c r="J31" s="278" cm="1">
        <f t="array" aca="1" ref="J31" ca="1">INDIRECT(ADDRESS($A31,7,,,"SCALARS"))</f>
        <v>0</v>
      </c>
      <c r="K31" s="16">
        <f ca="1">H31+J31-K$17</f>
        <v>22.955000000000002</v>
      </c>
      <c r="L31" s="16">
        <f ca="1">I31+J31+K$17</f>
        <v>23.125</v>
      </c>
      <c r="M31" s="50" cm="1">
        <f t="array" aca="1" ref="M31" ca="1">INDIRECT(ADDRESS($A31,6,,,"scalars"))</f>
        <v>4.114272997957455</v>
      </c>
      <c r="N31" s="17">
        <f t="shared" ref="N31:N36" ca="1" si="24">K31*M31</f>
        <v>94.443136668113382</v>
      </c>
      <c r="O31" s="17">
        <f t="shared" ca="1" si="22"/>
        <v>95.142563077766141</v>
      </c>
      <c r="P31" s="317">
        <f ca="1">MAX(N31:N36)</f>
        <v>94.443136668113382</v>
      </c>
      <c r="Q31" s="333">
        <f ca="1">MIN(O31:O36)</f>
        <v>95.074999999999989</v>
      </c>
      <c r="R31" s="333">
        <f ca="1">P31-Q31</f>
        <v>-0.63186333188660626</v>
      </c>
      <c r="S31" s="336">
        <f ca="1">R31/AVERAGE(ABS(P31),ABS(Q31))</f>
        <v>-6.6681040980593178E-3</v>
      </c>
      <c r="T31" s="42"/>
      <c r="U31" s="131"/>
      <c r="V31" s="330">
        <v>1E-3</v>
      </c>
      <c r="W31" s="324">
        <v>8.0000000000000004E-4</v>
      </c>
      <c r="X31" s="27" cm="1">
        <f t="array" aca="1" ref="X31" ca="1">INDIRECT(ADDRESS($B31,9,,,"mkt data"))</f>
        <v>0</v>
      </c>
      <c r="Y31" s="62">
        <f ca="1">X31*AVERAGE(H31:I31)</f>
        <v>0</v>
      </c>
      <c r="Z31" s="27">
        <f ca="1">X31/M31</f>
        <v>0</v>
      </c>
      <c r="AA31" s="315">
        <f ca="1">SUM(Z31:Z36)</f>
        <v>0</v>
      </c>
      <c r="AB31" s="441" t="str">
        <f>G31</f>
        <v>SPHY</v>
      </c>
    </row>
    <row r="32" spans="1:35" x14ac:dyDescent="0.25">
      <c r="A32" s="153">
        <f>MATCH(G32,SCALARS!C:C,0)</f>
        <v>31</v>
      </c>
      <c r="B32" s="158">
        <f>MATCH(G32,'MKT DATA'!B:B,0)</f>
        <v>25</v>
      </c>
      <c r="C32" s="144" t="str" cm="1">
        <f t="array" aca="1" ref="C32" ca="1">INDIRECT(ADDRESS($A32,2,,,"scalars"))</f>
        <v>hi yld</v>
      </c>
      <c r="D32" s="264" cm="1">
        <f t="array" aca="1" ref="D32" ca="1">INDIRECT(ADDRESS($A32,8,,,"SCALARS"))</f>
        <v>1048300</v>
      </c>
      <c r="E32" s="91">
        <v>0.27500000000000002</v>
      </c>
      <c r="F32" s="10" t="str" cm="1">
        <f t="array" aca="1" ref="F32" ca="1">INDIRECT(ADDRESS($A32,5,,,"scalars"))</f>
        <v>JNK</v>
      </c>
      <c r="G32" s="8" t="s">
        <v>13</v>
      </c>
      <c r="H32" s="35" cm="1">
        <f t="array" aca="1" ref="H32" ca="1">INDIRECT(ADDRESS($B32,5,,,"mkt data"))</f>
        <v>25.64</v>
      </c>
      <c r="I32" s="36" cm="1">
        <f t="array" aca="1" ref="I32" ca="1">INDIRECT(ADDRESS($B32,6,,,"mkt data"))</f>
        <v>25.82</v>
      </c>
      <c r="J32" s="284" cm="1">
        <f t="array" aca="1" ref="J32" ca="1">INDIRECT(ADDRESS($A32,7,,,"SCALARS"))</f>
        <v>0</v>
      </c>
      <c r="K32" s="18">
        <f ca="1">H32+J32-K$17</f>
        <v>25.635000000000002</v>
      </c>
      <c r="L32" s="18">
        <f ca="1">I32+J32+K$17</f>
        <v>25.824999999999999</v>
      </c>
      <c r="M32" s="54" cm="1">
        <f t="array" aca="1" ref="M32" ca="1">INDIRECT(ADDRESS($A32,6,,,"scalars"))</f>
        <v>3.68234253228171</v>
      </c>
      <c r="N32" s="19">
        <f t="shared" ca="1" si="24"/>
        <v>94.396850815041645</v>
      </c>
      <c r="O32" s="19">
        <f t="shared" ca="1" si="22"/>
        <v>95.096495896175156</v>
      </c>
      <c r="P32" s="348"/>
      <c r="Q32" s="334"/>
      <c r="R32" s="334"/>
      <c r="S32" s="337"/>
      <c r="T32" s="43"/>
      <c r="U32" s="123"/>
      <c r="V32" s="331"/>
      <c r="W32" s="325"/>
      <c r="X32" s="28" cm="1">
        <f t="array" aca="1" ref="X32" ca="1">INDIRECT(ADDRESS($B32,9,,,"mkt data"))</f>
        <v>0</v>
      </c>
      <c r="Y32" s="63">
        <f ca="1">X32*AVERAGE(H32:I32)</f>
        <v>0</v>
      </c>
      <c r="Z32" s="28">
        <f ca="1">X32/M32</f>
        <v>0</v>
      </c>
      <c r="AA32" s="366"/>
      <c r="AB32" s="442" t="str">
        <f>G32</f>
        <v>SCYB</v>
      </c>
    </row>
    <row r="33" spans="1:28" x14ac:dyDescent="0.25">
      <c r="A33" s="153">
        <f>MATCH(G33,SCALARS!C:C,0)</f>
        <v>29</v>
      </c>
      <c r="B33" s="158">
        <f>MATCH(G33,'MKT DATA'!B:B,0)</f>
        <v>13</v>
      </c>
      <c r="C33" s="144" t="str" cm="1">
        <f t="array" aca="1" ref="C33" ca="1">INDIRECT(ADDRESS($A33,2,,,"scalars"))</f>
        <v>hi yld</v>
      </c>
      <c r="D33" s="264" cm="1">
        <f t="array" aca="1" ref="D33" ca="1">INDIRECT(ADDRESS($A33,8,,,"SCALARS"))</f>
        <v>963500</v>
      </c>
      <c r="E33" s="91">
        <v>0.27500000000000002</v>
      </c>
      <c r="F33" s="10" t="str" cm="1">
        <f t="array" aca="1" ref="F33" ca="1">INDIRECT(ADDRESS($A33,5,,,"scalars"))</f>
        <v>JNK</v>
      </c>
      <c r="G33" s="8" t="s">
        <v>14</v>
      </c>
      <c r="H33" s="35" cm="1">
        <f t="array" aca="1" ref="H33" ca="1">INDIRECT(ADDRESS($B33,5,,,"mkt data"))</f>
        <v>35.79</v>
      </c>
      <c r="I33" s="36" cm="1">
        <f t="array" aca="1" ref="I33" ca="1">INDIRECT(ADDRESS($B33,6,,,"mkt data"))</f>
        <v>36.049999999999997</v>
      </c>
      <c r="J33" s="284" cm="1">
        <f t="array" aca="1" ref="J33" ca="1">INDIRECT(ADDRESS($A33,7,,,"SCALARS"))</f>
        <v>0</v>
      </c>
      <c r="K33" s="18">
        <f ca="1">H33+J33-K$17</f>
        <v>35.784999999999997</v>
      </c>
      <c r="L33" s="18">
        <f ca="1">I33+J33+K$17</f>
        <v>36.055</v>
      </c>
      <c r="M33" s="54" cm="1">
        <f t="array" aca="1" ref="M33" ca="1">INDIRECT(ADDRESS($A33,6,,,"scalars"))</f>
        <v>2.637559216808536</v>
      </c>
      <c r="N33" s="19">
        <f t="shared" ca="1" si="24"/>
        <v>94.385056573493458</v>
      </c>
      <c r="O33" s="19">
        <f t="shared" ca="1" si="22"/>
        <v>95.097197562031766</v>
      </c>
      <c r="P33" s="348"/>
      <c r="Q33" s="334"/>
      <c r="R33" s="334"/>
      <c r="S33" s="337"/>
      <c r="T33" s="133">
        <v>1E-3</v>
      </c>
      <c r="U33" s="134">
        <v>8.0000000000000004E-4</v>
      </c>
      <c r="V33" s="331"/>
      <c r="W33" s="325"/>
      <c r="X33" s="28" cm="1">
        <f t="array" aca="1" ref="X33" ca="1">INDIRECT(ADDRESS($B33,9,,,"mkt data"))</f>
        <v>0</v>
      </c>
      <c r="Y33" s="63">
        <f ca="1">X33*AVERAGE(H33:I33)</f>
        <v>0</v>
      </c>
      <c r="Z33" s="28">
        <f ca="1">X33/M33</f>
        <v>0</v>
      </c>
      <c r="AA33" s="366"/>
      <c r="AB33" s="442" t="str">
        <f>G33</f>
        <v>HYLB</v>
      </c>
    </row>
    <row r="34" spans="1:28" x14ac:dyDescent="0.25">
      <c r="A34" s="153">
        <f>MATCH(G34,SCALARS!C:C,0)</f>
        <v>33</v>
      </c>
      <c r="B34" s="158">
        <f>MATCH(G34,'MKT DATA'!B:B,0)</f>
        <v>33</v>
      </c>
      <c r="C34" s="144" t="str" cm="1">
        <f t="array" aca="1" ref="C34" ca="1">INDIRECT(ADDRESS($A34,2,,,"scalars"))</f>
        <v>hi yld</v>
      </c>
      <c r="D34" s="264" cm="1">
        <f t="array" aca="1" ref="D34" ca="1">INDIRECT(ADDRESS($A34,8,,,"SCALARS"))</f>
        <v>10856400</v>
      </c>
      <c r="E34" s="91">
        <v>0.27500000000000002</v>
      </c>
      <c r="F34" s="10" t="str" cm="1">
        <f t="array" aca="1" ref="F34" ca="1">INDIRECT(ADDRESS($A34,5,,,"scalars"))</f>
        <v>JNK</v>
      </c>
      <c r="G34" s="8" t="s">
        <v>15</v>
      </c>
      <c r="H34" s="35" cm="1">
        <f t="array" aca="1" ref="H34" ca="1">INDIRECT(ADDRESS($B34,5,,,"mkt data"))</f>
        <v>36.29</v>
      </c>
      <c r="I34" s="36" cm="1">
        <f t="array" aca="1" ref="I34" ca="1">INDIRECT(ADDRESS($B34,6,,,"mkt data"))</f>
        <v>36.54</v>
      </c>
      <c r="J34" s="284" cm="1">
        <f t="array" aca="1" ref="J34" ca="1">INDIRECT(ADDRESS($A34,7,,,"SCALARS"))</f>
        <v>0</v>
      </c>
      <c r="K34" s="18">
        <f ca="1">H34+J34-K$17</f>
        <v>36.284999999999997</v>
      </c>
      <c r="L34" s="18">
        <f ca="1">I34+J34+K$17</f>
        <v>36.545000000000002</v>
      </c>
      <c r="M34" s="54" cm="1">
        <f t="array" aca="1" ref="M34" ca="1">INDIRECT(ADDRESS($A34,6,,,"scalars"))</f>
        <v>2.6023751615327924</v>
      </c>
      <c r="N34" s="19">
        <f t="shared" ca="1" si="24"/>
        <v>94.427182736217361</v>
      </c>
      <c r="O34" s="19">
        <f t="shared" ca="1" si="22"/>
        <v>95.1038002782159</v>
      </c>
      <c r="P34" s="348"/>
      <c r="Q34" s="334"/>
      <c r="R34" s="334"/>
      <c r="S34" s="337"/>
      <c r="T34" s="121" t="b">
        <f ca="1">IF(S31&gt;V31,TRUE,FALSE)</f>
        <v>0</v>
      </c>
      <c r="U34" s="122" t="b" cm="1">
        <f t="array" aca="1" ref="U34" ca="1">AND(IF(SUM(ABS(X31:X33)),TRUE,FALSE),IF(S31&lt;U33,TRUE,FALSE))</f>
        <v>0</v>
      </c>
      <c r="V34" s="331"/>
      <c r="W34" s="325"/>
      <c r="X34" s="28" cm="1">
        <f t="array" aca="1" ref="X34" ca="1">INDIRECT(ADDRESS($B34,9,,,"mkt data"))</f>
        <v>0</v>
      </c>
      <c r="Y34" s="63">
        <f ca="1">X34*AVERAGE(H34:I34)</f>
        <v>0</v>
      </c>
      <c r="Z34" s="28">
        <f ca="1">X34/M34</f>
        <v>0</v>
      </c>
      <c r="AA34" s="366"/>
      <c r="AB34" s="442" t="str">
        <f>G34</f>
        <v>USHY</v>
      </c>
    </row>
    <row r="35" spans="1:28" x14ac:dyDescent="0.25">
      <c r="A35" s="153">
        <f>MATCH(G35,SCALARS!C:C,0)</f>
        <v>28</v>
      </c>
      <c r="B35" s="158">
        <f>MATCH(G35,'MKT DATA'!B:B,0)</f>
        <v>12</v>
      </c>
      <c r="C35" s="144" t="str" cm="1">
        <f t="array" aca="1" ref="C35" ca="1">INDIRECT(ADDRESS($A35,2,,,"scalars"))</f>
        <v>hi yld</v>
      </c>
      <c r="D35" s="264" cm="1">
        <f t="array" aca="1" ref="D35" ca="1">INDIRECT(ADDRESS($A35,8,,,"SCALARS"))</f>
        <v>32286700</v>
      </c>
      <c r="E35" s="91">
        <v>0.27500000000000002</v>
      </c>
      <c r="F35" s="10" t="str" cm="1">
        <f t="array" aca="1" ref="F35" ca="1">INDIRECT(ADDRESS($A35,5,,,"scalars"))</f>
        <v>JNK</v>
      </c>
      <c r="G35" s="8" t="s">
        <v>16</v>
      </c>
      <c r="H35" s="35" cm="1">
        <f t="array" aca="1" ref="H35" ca="1">INDIRECT(ADDRESS($B35,5,,,"mkt data"))</f>
        <v>78.459999999999994</v>
      </c>
      <c r="I35" s="36" cm="1">
        <f t="array" aca="1" ref="I35" ca="1">INDIRECT(ADDRESS($B35,6,,,"mkt data"))</f>
        <v>79</v>
      </c>
      <c r="J35" s="284" cm="1">
        <f t="array" aca="1" ref="J35" ca="1">INDIRECT(ADDRESS($A35,7,,,"SCALARS"))</f>
        <v>0</v>
      </c>
      <c r="K35" s="18">
        <f ca="1">H35+J35-K$17</f>
        <v>78.454999999999998</v>
      </c>
      <c r="L35" s="18">
        <f ca="1">I35+J35+K$17</f>
        <v>79.004999999999995</v>
      </c>
      <c r="M35" s="54" cm="1">
        <f t="array" aca="1" ref="M35" ca="1">INDIRECT(ADDRESS($A35,6,,,"scalars"))</f>
        <v>1.2035889361426353</v>
      </c>
      <c r="N35" s="19">
        <f t="shared" ca="1" si="24"/>
        <v>94.427569985070448</v>
      </c>
      <c r="O35" s="19">
        <f t="shared" ca="1" si="22"/>
        <v>95.089543899948893</v>
      </c>
      <c r="P35" s="348"/>
      <c r="Q35" s="334"/>
      <c r="R35" s="334"/>
      <c r="S35" s="337"/>
      <c r="T35" s="43"/>
      <c r="U35" s="123"/>
      <c r="V35" s="331"/>
      <c r="W35" s="325"/>
      <c r="X35" s="28" cm="1">
        <f t="array" aca="1" ref="X35" ca="1">INDIRECT(ADDRESS($B35,9,,,"mkt data"))</f>
        <v>0</v>
      </c>
      <c r="Y35" s="63">
        <f ca="1">X35*AVERAGE(H35:I35)</f>
        <v>0</v>
      </c>
      <c r="Z35" s="28">
        <f ca="1">X35/M35</f>
        <v>0</v>
      </c>
      <c r="AA35" s="366"/>
      <c r="AB35" s="442" t="str">
        <f>G35</f>
        <v>HYG</v>
      </c>
    </row>
    <row r="36" spans="1:28" ht="15.75" thickBot="1" x14ac:dyDescent="0.3">
      <c r="A36" s="151">
        <f>MATCH(G36,SCALARS!C:C,0)</f>
        <v>30</v>
      </c>
      <c r="B36" s="152">
        <f>MATCH(G36,'MKT DATA'!B:B,0)</f>
        <v>18</v>
      </c>
      <c r="C36" s="224" t="str" cm="1">
        <f t="array" aca="1" ref="C36" ca="1">INDIRECT(ADDRESS($A36,2,,,"scalars"))</f>
        <v>hi yld</v>
      </c>
      <c r="D36" s="265" cm="1">
        <f t="array" aca="1" ref="D36" ca="1">INDIRECT(ADDRESS($A36,8,,,"SCALARS"))</f>
        <v>2616500</v>
      </c>
      <c r="E36" s="90">
        <v>0.27500000000000002</v>
      </c>
      <c r="F36" s="20" t="str" cm="1">
        <f t="array" aca="1" ref="F36" ca="1">INDIRECT(ADDRESS($A36,5,,,"scalars"))</f>
        <v>JNK</v>
      </c>
      <c r="G36" s="21" t="s">
        <v>17</v>
      </c>
      <c r="H36" s="37" cm="1">
        <f t="array" aca="1" ref="H36" ca="1">INDIRECT(ADDRESS($B36,5,,,"mkt data"))</f>
        <v>94.44</v>
      </c>
      <c r="I36" s="38" cm="1">
        <f t="array" aca="1" ref="I36" ca="1">INDIRECT(ADDRESS($B36,6,,,"mkt data"))</f>
        <v>95.07</v>
      </c>
      <c r="J36" s="279" cm="1">
        <f t="array" aca="1" ref="J36" ca="1">INDIRECT(ADDRESS($A36,7,,,"SCALARS"))</f>
        <v>0</v>
      </c>
      <c r="K36" s="22">
        <f ca="1">H36+J36-K$17</f>
        <v>94.435000000000002</v>
      </c>
      <c r="L36" s="22">
        <f ca="1">I36+J36+K$17</f>
        <v>95.074999999999989</v>
      </c>
      <c r="M36" s="52" cm="1">
        <f t="array" aca="1" ref="M36" ca="1">INDIRECT(ADDRESS($A36,6,,,"scalars"))</f>
        <v>1</v>
      </c>
      <c r="N36" s="23">
        <f t="shared" ca="1" si="24"/>
        <v>94.435000000000002</v>
      </c>
      <c r="O36" s="23">
        <f t="shared" ca="1" si="22"/>
        <v>95.074999999999989</v>
      </c>
      <c r="P36" s="349"/>
      <c r="Q36" s="335"/>
      <c r="R36" s="335"/>
      <c r="S36" s="338"/>
      <c r="T36" s="44"/>
      <c r="U36" s="132"/>
      <c r="V36" s="332"/>
      <c r="W36" s="326"/>
      <c r="X36" s="29" cm="1">
        <f t="array" aca="1" ref="X36" ca="1">INDIRECT(ADDRESS($B36,9,,,"mkt data"))</f>
        <v>0</v>
      </c>
      <c r="Y36" s="64">
        <f ca="1">X36*AVERAGE(H36:I36)</f>
        <v>0</v>
      </c>
      <c r="Z36" s="29">
        <f ca="1">X36/M36</f>
        <v>0</v>
      </c>
      <c r="AA36" s="316"/>
      <c r="AB36" s="443" t="str">
        <f>G36</f>
        <v>JNK</v>
      </c>
    </row>
    <row r="37" spans="1:28" s="101" customFormat="1" x14ac:dyDescent="0.25">
      <c r="A37" s="154">
        <f>MATCH(G37,SCALARS!C:C,0)</f>
        <v>42</v>
      </c>
      <c r="B37" s="155">
        <f>MATCH(G37,'MKT DATA'!B:B,0)</f>
        <v>31</v>
      </c>
      <c r="C37" s="225" t="str" cm="1">
        <f t="array" aca="1" ref="C37" ca="1">INDIRECT(ADDRESS($A37,2,,,"scalars"))</f>
        <v>long term tsy</v>
      </c>
      <c r="D37" s="266" cm="1">
        <f t="array" aca="1" ref="D37" ca="1">INDIRECT(ADDRESS($A37,8,,,"SCALARS"))</f>
        <v>5347700</v>
      </c>
      <c r="E37" s="128"/>
      <c r="F37" s="92" t="str" cm="1">
        <f t="array" aca="1" ref="F37" ca="1">INDIRECT(ADDRESS($A37,5,,,"scalars"))</f>
        <v>VGLT</v>
      </c>
      <c r="G37" s="93" t="s">
        <v>25</v>
      </c>
      <c r="H37" s="96" cm="1">
        <f t="array" aca="1" ref="H37" ca="1">INDIRECT(ADDRESS($B37,5,,,"mkt data"))</f>
        <v>24.89</v>
      </c>
      <c r="I37" s="97" cm="1">
        <f t="array" aca="1" ref="I37" ca="1">INDIRECT(ADDRESS($B37,6,,,"mkt data"))</f>
        <v>25.03</v>
      </c>
      <c r="J37" s="280" cm="1">
        <f t="array" aca="1" ref="J37" ca="1">INDIRECT(ADDRESS($A37,7,,,"SCALARS"))</f>
        <v>0</v>
      </c>
      <c r="K37" s="98">
        <f ca="1">H37+J37-K$17</f>
        <v>24.885000000000002</v>
      </c>
      <c r="L37" s="98">
        <f ca="1">I37+J37+K$17</f>
        <v>25.035</v>
      </c>
      <c r="M37" s="99" cm="1">
        <f t="array" aca="1" ref="M37" ca="1">INDIRECT(ADDRESS($A37,6,,,"scalars"))</f>
        <v>2.1021591158613688</v>
      </c>
      <c r="N37" s="100">
        <f t="shared" ca="1" si="21"/>
        <v>52.312229598210166</v>
      </c>
      <c r="O37" s="100">
        <f t="shared" ca="1" si="22"/>
        <v>52.627553465589372</v>
      </c>
      <c r="P37" s="342">
        <f ca="1">MAX(N37:N39)</f>
        <v>52.344999999999999</v>
      </c>
      <c r="Q37" s="345">
        <f ca="1">MIN(O37:O39)</f>
        <v>52.615000000000002</v>
      </c>
      <c r="R37" s="333">
        <f ca="1">P37-Q37</f>
        <v>-0.27000000000000313</v>
      </c>
      <c r="S37" s="361">
        <f ca="1">R37/AVERAGE(ABS(P37),ABS(Q37))</f>
        <v>-5.1448170731707909E-3</v>
      </c>
      <c r="T37" s="80"/>
      <c r="U37" s="81"/>
      <c r="V37" s="339">
        <v>0.01</v>
      </c>
      <c r="W37" s="327">
        <v>0.01</v>
      </c>
      <c r="X37" s="94" cm="1">
        <f t="array" aca="1" ref="X37" ca="1">INDIRECT(ADDRESS($B37,9,,,"mkt data"))</f>
        <v>0</v>
      </c>
      <c r="Y37" s="95">
        <f ca="1">X37*AVERAGE(H37:I37)</f>
        <v>0</v>
      </c>
      <c r="Z37" s="94">
        <f ca="1">X37/M37</f>
        <v>0</v>
      </c>
      <c r="AA37" s="372">
        <f ca="1">SUM(Z37:Z39)</f>
        <v>0</v>
      </c>
      <c r="AB37" s="444" t="str">
        <f>G37</f>
        <v>SPTL</v>
      </c>
    </row>
    <row r="38" spans="1:28" s="101" customFormat="1" x14ac:dyDescent="0.25">
      <c r="A38" s="159">
        <f>MATCH(G38,SCALARS!C:C,0)</f>
        <v>41</v>
      </c>
      <c r="B38" s="160">
        <f>MATCH(G38,'MKT DATA'!B:B,0)</f>
        <v>23</v>
      </c>
      <c r="C38" s="226" t="str" cm="1">
        <f t="array" aca="1" ref="C38" ca="1">INDIRECT(ADDRESS($A38,2,,,"scalars"))</f>
        <v>long term tsy</v>
      </c>
      <c r="D38" s="267" cm="1">
        <f t="array" aca="1" ref="D38" ca="1">INDIRECT(ADDRESS($A38,8,,,"SCALARS"))</f>
        <v>842800</v>
      </c>
      <c r="E38" s="129"/>
      <c r="F38" s="111" t="str" cm="1">
        <f t="array" aca="1" ref="F38" ca="1">INDIRECT(ADDRESS($A38,5,,,"scalars"))</f>
        <v>VGLT</v>
      </c>
      <c r="G38" s="112" t="s">
        <v>26</v>
      </c>
      <c r="H38" s="115" cm="1">
        <f t="array" aca="1" ref="H38" ca="1">INDIRECT(ADDRESS($B38,5,,,"mkt data"))</f>
        <v>29.69</v>
      </c>
      <c r="I38" s="116" cm="1">
        <f t="array" aca="1" ref="I38" ca="1">INDIRECT(ADDRESS($B38,6,,,"mkt data"))</f>
        <v>29.86</v>
      </c>
      <c r="J38" s="285" cm="1">
        <f t="array" aca="1" ref="J38" ca="1">INDIRECT(ADDRESS($A38,7,,,"SCALARS"))</f>
        <v>0</v>
      </c>
      <c r="K38" s="117">
        <f ca="1">H38+J38-K$17</f>
        <v>29.685000000000002</v>
      </c>
      <c r="L38" s="117">
        <f ca="1">I38+J38+K$17</f>
        <v>29.864999999999998</v>
      </c>
      <c r="M38" s="118" cm="1">
        <f t="array" aca="1" ref="M38" ca="1">INDIRECT(ADDRESS($A38,6,,,"scalars"))</f>
        <v>1.7623444074974053</v>
      </c>
      <c r="N38" s="119">
        <f t="shared" ca="1" si="21"/>
        <v>52.315193736560481</v>
      </c>
      <c r="O38" s="119">
        <f t="shared" ca="1" si="22"/>
        <v>52.632415729910008</v>
      </c>
      <c r="P38" s="343"/>
      <c r="Q38" s="346"/>
      <c r="R38" s="334"/>
      <c r="S38" s="362"/>
      <c r="T38" s="121"/>
      <c r="U38" s="122"/>
      <c r="V38" s="340"/>
      <c r="W38" s="328"/>
      <c r="X38" s="113" cm="1">
        <f t="array" aca="1" ref="X38" ca="1">INDIRECT(ADDRESS($B38,9,,,"mkt data"))</f>
        <v>0</v>
      </c>
      <c r="Y38" s="114">
        <f ca="1">X38*AVERAGE(H38:I38)</f>
        <v>0</v>
      </c>
      <c r="Z38" s="113">
        <f ca="1">X38/M38</f>
        <v>0</v>
      </c>
      <c r="AA38" s="373"/>
      <c r="AB38" s="444" t="str">
        <f>G38</f>
        <v>SCHQ</v>
      </c>
    </row>
    <row r="39" spans="1:28" s="101" customFormat="1" ht="15.75" thickBot="1" x14ac:dyDescent="0.3">
      <c r="A39" s="156">
        <f>MATCH(G39,SCALARS!C:C,0)</f>
        <v>43</v>
      </c>
      <c r="B39" s="157">
        <f>MATCH(G39,'MKT DATA'!B:B,0)</f>
        <v>36</v>
      </c>
      <c r="C39" s="227" t="str" cm="1">
        <f t="array" aca="1" ref="C39" ca="1">INDIRECT(ADDRESS($A39,2,,,"scalars"))</f>
        <v>long term tsy</v>
      </c>
      <c r="D39" s="268" cm="1">
        <f t="array" aca="1" ref="D39" ca="1">INDIRECT(ADDRESS($A39,8,,,"SCALARS"))</f>
        <v>2196800</v>
      </c>
      <c r="E39" s="130"/>
      <c r="F39" s="102" t="str" cm="1">
        <f t="array" aca="1" ref="F39" ca="1">INDIRECT(ADDRESS($A39,5,,,"scalars"))</f>
        <v>VGLT</v>
      </c>
      <c r="G39" s="103" t="s">
        <v>27</v>
      </c>
      <c r="H39" s="106" cm="1">
        <f t="array" aca="1" ref="H39" ca="1">INDIRECT(ADDRESS($B39,5,,,"mkt data"))</f>
        <v>52.35</v>
      </c>
      <c r="I39" s="107" cm="1">
        <f t="array" aca="1" ref="I39" ca="1">INDIRECT(ADDRESS($B39,6,,,"mkt data"))</f>
        <v>52.61</v>
      </c>
      <c r="J39" s="281" cm="1">
        <f t="array" aca="1" ref="J39" ca="1">INDIRECT(ADDRESS($A39,7,,,"SCALARS"))</f>
        <v>0</v>
      </c>
      <c r="K39" s="108">
        <f ca="1">H39+J39-K$17</f>
        <v>52.344999999999999</v>
      </c>
      <c r="L39" s="108">
        <f ca="1">I39+J39+K$17</f>
        <v>52.615000000000002</v>
      </c>
      <c r="M39" s="109" cm="1">
        <f t="array" aca="1" ref="M39" ca="1">INDIRECT(ADDRESS($A39,6,,,"scalars"))</f>
        <v>1</v>
      </c>
      <c r="N39" s="110">
        <f t="shared" ref="N39" ca="1" si="25">K39*M39</f>
        <v>52.344999999999999</v>
      </c>
      <c r="O39" s="110">
        <f t="shared" ca="1" si="22"/>
        <v>52.615000000000002</v>
      </c>
      <c r="P39" s="344"/>
      <c r="Q39" s="347"/>
      <c r="R39" s="335"/>
      <c r="S39" s="363"/>
      <c r="T39" s="124"/>
      <c r="U39" s="125"/>
      <c r="V39" s="341"/>
      <c r="W39" s="329"/>
      <c r="X39" s="104" cm="1">
        <f t="array" aca="1" ref="X39" ca="1">INDIRECT(ADDRESS($B39,9,,,"mkt data"))</f>
        <v>0</v>
      </c>
      <c r="Y39" s="105">
        <f ca="1">X39*AVERAGE(H39:I39)</f>
        <v>0</v>
      </c>
      <c r="Z39" s="104">
        <f ca="1">X39/M39</f>
        <v>0</v>
      </c>
      <c r="AA39" s="374"/>
      <c r="AB39" s="444" t="str">
        <f>G39</f>
        <v>VGLT</v>
      </c>
    </row>
    <row r="40" spans="1:28" s="101" customFormat="1" x14ac:dyDescent="0.25">
      <c r="A40" s="154">
        <f>MATCH(G40,SCALARS!C:C,0)</f>
        <v>39</v>
      </c>
      <c r="B40" s="155">
        <f>MATCH(G40,'MKT DATA'!B:B,0)</f>
        <v>29</v>
      </c>
      <c r="C40" s="225" t="str" cm="1">
        <f t="array" aca="1" ref="C40" ca="1">INDIRECT(ADDRESS($A40,2,,,"scalars"))</f>
        <v>long term corps</v>
      </c>
      <c r="D40" s="266" cm="1">
        <f t="array" aca="1" ref="D40" ca="1">INDIRECT(ADDRESS($A40,8,,,"SCALARS"))</f>
        <v>2759500</v>
      </c>
      <c r="E40" s="128"/>
      <c r="F40" s="92" t="str" cm="1">
        <f t="array" aca="1" ref="F40" ca="1">INDIRECT(ADDRESS($A40,5,,,"scalars"))</f>
        <v>VCLT</v>
      </c>
      <c r="G40" s="93" t="s">
        <v>22</v>
      </c>
      <c r="H40" s="96" cm="1">
        <f t="array" aca="1" ref="H40" ca="1">INDIRECT(ADDRESS($B40,5,,,"mkt data"))</f>
        <v>21.22</v>
      </c>
      <c r="I40" s="97" cm="1">
        <f t="array" aca="1" ref="I40" ca="1">INDIRECT(ADDRESS($B40,6,,,"mkt data"))</f>
        <v>21.38</v>
      </c>
      <c r="J40" s="280" cm="1">
        <f t="array" aca="1" ref="J40" ca="1">INDIRECT(ADDRESS($A40,7,,,"SCALARS"))</f>
        <v>0</v>
      </c>
      <c r="K40" s="98">
        <f ca="1">H40+J40-K$17</f>
        <v>21.215</v>
      </c>
      <c r="L40" s="98">
        <f ca="1">I40+J40+K$17</f>
        <v>21.384999999999998</v>
      </c>
      <c r="M40" s="99" cm="1">
        <f t="array" aca="1" ref="M40" ca="1">INDIRECT(ADDRESS($A40,6,,,"scalars"))</f>
        <v>3.360824949783543</v>
      </c>
      <c r="N40" s="100">
        <f ca="1">K40*M40</f>
        <v>71.299901309657869</v>
      </c>
      <c r="O40" s="100">
        <f t="shared" ca="1" si="22"/>
        <v>71.871241551121059</v>
      </c>
      <c r="P40" s="342">
        <f ca="1">MAX(N40:N42)</f>
        <v>71.305000000000007</v>
      </c>
      <c r="Q40" s="345">
        <f ca="1">MIN(O40:O42)</f>
        <v>71.814999999999998</v>
      </c>
      <c r="R40" s="333">
        <f ca="1">P40-Q40</f>
        <v>-0.50999999999999091</v>
      </c>
      <c r="S40" s="361">
        <f ca="1">R40/AVERAGE(ABS(P40),ABS(Q40))</f>
        <v>-7.1268865287869047E-3</v>
      </c>
      <c r="T40" s="80"/>
      <c r="U40" s="81"/>
      <c r="V40" s="339">
        <v>0.01</v>
      </c>
      <c r="W40" s="327">
        <v>0.01</v>
      </c>
      <c r="X40" s="94" cm="1">
        <f t="array" aca="1" ref="X40" ca="1">INDIRECT(ADDRESS($B40,9,,,"mkt data"))</f>
        <v>0</v>
      </c>
      <c r="Y40" s="95">
        <f ca="1">X40*AVERAGE(H40:I40)</f>
        <v>0</v>
      </c>
      <c r="Z40" s="94">
        <f ca="1">X40/M40</f>
        <v>0</v>
      </c>
      <c r="AA40" s="372">
        <f ca="1">SUM(Z40:Z42)</f>
        <v>0</v>
      </c>
      <c r="AB40" s="445" t="str">
        <f>G40</f>
        <v>SPLB</v>
      </c>
    </row>
    <row r="41" spans="1:28" s="101" customFormat="1" x14ac:dyDescent="0.25">
      <c r="A41" s="159">
        <f>MATCH(G41,SCALARS!C:C,0)</f>
        <v>38</v>
      </c>
      <c r="B41" s="160">
        <f>MATCH(G41,'MKT DATA'!B:B,0)</f>
        <v>16</v>
      </c>
      <c r="C41" s="226" t="str" cm="1">
        <f t="array" aca="1" ref="C41" ca="1">INDIRECT(ADDRESS($A41,2,,,"scalars"))</f>
        <v>long term corps</v>
      </c>
      <c r="D41" s="267" cm="1">
        <f t="array" aca="1" ref="D41" ca="1">INDIRECT(ADDRESS($A41,8,,,"SCALARS"))</f>
        <v>2065500</v>
      </c>
      <c r="E41" s="129"/>
      <c r="F41" s="111" t="str" cm="1">
        <f t="array" aca="1" ref="F41" ca="1">INDIRECT(ADDRESS($A41,5,,,"scalars"))</f>
        <v>VCLT</v>
      </c>
      <c r="G41" s="112" t="s">
        <v>23</v>
      </c>
      <c r="H41" s="115" cm="1">
        <f t="array" aca="1" ref="H41" ca="1">INDIRECT(ADDRESS($B41,5,,,"mkt data"))</f>
        <v>47.51</v>
      </c>
      <c r="I41" s="116" cm="1">
        <f t="array" aca="1" ref="I41" ca="1">INDIRECT(ADDRESS($B41,6,,,"mkt data"))</f>
        <v>47.87</v>
      </c>
      <c r="J41" s="285" cm="1">
        <f t="array" aca="1" ref="J41" ca="1">INDIRECT(ADDRESS($A41,7,,,"SCALARS"))</f>
        <v>0</v>
      </c>
      <c r="K41" s="117">
        <f ca="1">H41+J41-K$17</f>
        <v>47.504999999999995</v>
      </c>
      <c r="L41" s="117">
        <f ca="1">I41+J41+K$17</f>
        <v>47.875</v>
      </c>
      <c r="M41" s="118" cm="1">
        <f t="array" aca="1" ref="M41" ca="1">INDIRECT(ADDRESS($A41,6,,,"scalars"))</f>
        <v>1.500449323913702</v>
      </c>
      <c r="N41" s="119">
        <f t="shared" ref="N41:N42" ca="1" si="26">K41*M41</f>
        <v>71.278845132520402</v>
      </c>
      <c r="O41" s="119">
        <f t="shared" ca="1" si="22"/>
        <v>71.834011382368487</v>
      </c>
      <c r="P41" s="343"/>
      <c r="Q41" s="346"/>
      <c r="R41" s="334"/>
      <c r="S41" s="362"/>
      <c r="T41" s="121"/>
      <c r="U41" s="122"/>
      <c r="V41" s="340"/>
      <c r="W41" s="328"/>
      <c r="X41" s="113" cm="1">
        <f t="array" aca="1" ref="X41" ca="1">INDIRECT(ADDRESS($B41,9,,,"mkt data"))</f>
        <v>0</v>
      </c>
      <c r="Y41" s="114">
        <f ca="1">X41*AVERAGE(H41:I41)</f>
        <v>0</v>
      </c>
      <c r="Z41" s="113">
        <f ca="1">X41/M41</f>
        <v>0</v>
      </c>
      <c r="AA41" s="373"/>
      <c r="AB41" s="444" t="str">
        <f>G41</f>
        <v>IGLB</v>
      </c>
    </row>
    <row r="42" spans="1:28" s="101" customFormat="1" ht="15.75" thickBot="1" x14ac:dyDescent="0.3">
      <c r="A42" s="156">
        <f>MATCH(G42,SCALARS!C:C,0)</f>
        <v>40</v>
      </c>
      <c r="B42" s="157">
        <f>MATCH(G42,'MKT DATA'!B:B,0)</f>
        <v>35</v>
      </c>
      <c r="C42" s="227" t="str" cm="1">
        <f t="array" aca="1" ref="C42" ca="1">INDIRECT(ADDRESS($A42,2,,,"scalars"))</f>
        <v>long term corps</v>
      </c>
      <c r="D42" s="268" cm="1">
        <f t="array" aca="1" ref="D42" ca="1">INDIRECT(ADDRESS($A42,8,,,"SCALARS"))</f>
        <v>3997100</v>
      </c>
      <c r="E42" s="130"/>
      <c r="F42" s="102" t="str" cm="1">
        <f t="array" aca="1" ref="F42" ca="1">INDIRECT(ADDRESS($A42,5,,,"scalars"))</f>
        <v>VCLT</v>
      </c>
      <c r="G42" s="103" t="s">
        <v>24</v>
      </c>
      <c r="H42" s="106" cm="1">
        <f t="array" aca="1" ref="H42" ca="1">INDIRECT(ADDRESS($B42,5,,,"mkt data"))</f>
        <v>71.31</v>
      </c>
      <c r="I42" s="107" cm="1">
        <f t="array" aca="1" ref="I42" ca="1">INDIRECT(ADDRESS($B42,6,,,"mkt data"))</f>
        <v>71.81</v>
      </c>
      <c r="J42" s="281" cm="1">
        <f t="array" aca="1" ref="J42" ca="1">INDIRECT(ADDRESS($A42,7,,,"SCALARS"))</f>
        <v>0</v>
      </c>
      <c r="K42" s="108">
        <f ca="1">H42+J42-K$17</f>
        <v>71.305000000000007</v>
      </c>
      <c r="L42" s="108">
        <f ca="1">I42+J42+K$17</f>
        <v>71.814999999999998</v>
      </c>
      <c r="M42" s="109" cm="1">
        <f t="array" aca="1" ref="M42" ca="1">INDIRECT(ADDRESS($A42,6,,,"scalars"))</f>
        <v>1</v>
      </c>
      <c r="N42" s="110">
        <f t="shared" ca="1" si="26"/>
        <v>71.305000000000007</v>
      </c>
      <c r="O42" s="110">
        <f t="shared" ca="1" si="22"/>
        <v>71.814999999999998</v>
      </c>
      <c r="P42" s="344"/>
      <c r="Q42" s="347"/>
      <c r="R42" s="335"/>
      <c r="S42" s="363"/>
      <c r="T42" s="124"/>
      <c r="U42" s="125"/>
      <c r="V42" s="341"/>
      <c r="W42" s="329"/>
      <c r="X42" s="104" cm="1">
        <f t="array" aca="1" ref="X42" ca="1">INDIRECT(ADDRESS($B42,9,,,"mkt data"))</f>
        <v>0</v>
      </c>
      <c r="Y42" s="105">
        <f ca="1">X42*AVERAGE(H42:I42)</f>
        <v>0</v>
      </c>
      <c r="Z42" s="104">
        <f ca="1">X42/M42</f>
        <v>0</v>
      </c>
      <c r="AA42" s="374"/>
      <c r="AB42" s="446" t="str">
        <f>G42</f>
        <v>VCLT</v>
      </c>
    </row>
    <row r="43" spans="1:28" s="101" customFormat="1" x14ac:dyDescent="0.25">
      <c r="A43" s="154">
        <f>MATCH(G43,SCALARS!C:C,0)</f>
        <v>14</v>
      </c>
      <c r="B43" s="155">
        <f>MATCH(G43,'MKT DATA'!B:B,0)</f>
        <v>24</v>
      </c>
      <c r="C43" s="225" t="str" cm="1">
        <f t="array" aca="1" ref="C43" ca="1">INDIRECT(ADDRESS($A43,2,,,"scalars"))</f>
        <v>agg</v>
      </c>
      <c r="D43" s="266" cm="1">
        <f t="array" aca="1" ref="D43" ca="1">INDIRECT(ADDRESS($A43,8,,,"SCALARS"))</f>
        <v>1855800</v>
      </c>
      <c r="E43" s="128"/>
      <c r="F43" s="92" t="str" cm="1">
        <f t="array" aca="1" ref="F43" ca="1">INDIRECT(ADDRESS($A43,5,,,"scalars"))</f>
        <v>AGG</v>
      </c>
      <c r="G43" s="93" t="s">
        <v>5</v>
      </c>
      <c r="H43" s="96" cm="1">
        <f t="array" aca="1" ref="H43" ca="1">INDIRECT(ADDRESS($B43,5,,,"mkt data"))</f>
        <v>22.44</v>
      </c>
      <c r="I43" s="97" cm="1">
        <f t="array" aca="1" ref="I43" ca="1">INDIRECT(ADDRESS($B43,6,,,"mkt data"))</f>
        <v>22.57</v>
      </c>
      <c r="J43" s="280" cm="1">
        <f t="array" aca="1" ref="J43" ca="1">INDIRECT(ADDRESS($A43,7,,,"SCALARS"))</f>
        <v>0</v>
      </c>
      <c r="K43" s="98">
        <f ca="1">H43+J43-K$17</f>
        <v>22.435000000000002</v>
      </c>
      <c r="L43" s="98">
        <f ca="1">I43+J43+K$17</f>
        <v>22.574999999999999</v>
      </c>
      <c r="M43" s="99" cm="1">
        <f t="array" aca="1" ref="M43" ca="1">INDIRECT(ADDRESS($A43,6,,,"scalars"))</f>
        <v>4.2782184868986395</v>
      </c>
      <c r="N43" s="100">
        <f ca="1">K43*M43</f>
        <v>95.981831753570987</v>
      </c>
      <c r="O43" s="100">
        <f t="shared" ca="1" si="22"/>
        <v>96.580782341736779</v>
      </c>
      <c r="P43" s="342">
        <f ca="1">MAX(N43:N46)</f>
        <v>96.094999999999999</v>
      </c>
      <c r="Q43" s="345">
        <f ca="1">MIN(O43:O46)</f>
        <v>96.405000000000001</v>
      </c>
      <c r="R43" s="345">
        <f ca="1">P43-Q43</f>
        <v>-0.31000000000000227</v>
      </c>
      <c r="S43" s="361">
        <f ca="1">R43/AVERAGE(ABS(P43),ABS(Q43))</f>
        <v>-3.2207792207792443E-3</v>
      </c>
      <c r="T43" s="80"/>
      <c r="U43" s="81"/>
      <c r="V43" s="339">
        <v>0.01</v>
      </c>
      <c r="W43" s="327">
        <v>0.01</v>
      </c>
      <c r="X43" s="94" cm="1">
        <f t="array" aca="1" ref="X43" ca="1">INDIRECT(ADDRESS($B43,9,,,"mkt data"))</f>
        <v>0</v>
      </c>
      <c r="Y43" s="95">
        <f ca="1">X43*AVERAGE(H43:I43)</f>
        <v>0</v>
      </c>
      <c r="Z43" s="94">
        <f ca="1">X43/M43</f>
        <v>0</v>
      </c>
      <c r="AA43" s="369">
        <f ca="1">SUM(Z43:Z46)</f>
        <v>0</v>
      </c>
      <c r="AB43" s="444" t="str">
        <f>G43</f>
        <v>SCHZ</v>
      </c>
    </row>
    <row r="44" spans="1:28" s="101" customFormat="1" x14ac:dyDescent="0.25">
      <c r="A44" s="159">
        <f>MATCH(G44,SCALARS!C:C,0)</f>
        <v>15</v>
      </c>
      <c r="B44" s="160">
        <f>MATCH(G44,'MKT DATA'!B:B,0)</f>
        <v>26</v>
      </c>
      <c r="C44" s="226" t="str" cm="1">
        <f t="array" aca="1" ref="C44" ca="1">INDIRECT(ADDRESS($A44,2,,,"scalars"))</f>
        <v>agg</v>
      </c>
      <c r="D44" s="267" cm="1">
        <f t="array" aca="1" ref="D44" ca="1">INDIRECT(ADDRESS($A44,8,,,"SCALARS"))</f>
        <v>2662000</v>
      </c>
      <c r="E44" s="129"/>
      <c r="F44" s="111" t="str" cm="1">
        <f t="array" aca="1" ref="F44" ca="1">INDIRECT(ADDRESS($A44,5,,,"scalars"))</f>
        <v>AGG</v>
      </c>
      <c r="G44" s="112" t="s">
        <v>6</v>
      </c>
      <c r="H44" s="115" cm="1">
        <f t="array" aca="1" ref="H44" ca="1">INDIRECT(ADDRESS($B44,5,,,"mkt data"))</f>
        <v>24.74</v>
      </c>
      <c r="I44" s="116" cm="1">
        <f t="array" aca="1" ref="I44" ca="1">INDIRECT(ADDRESS($B44,6,,,"mkt data"))</f>
        <v>24.89</v>
      </c>
      <c r="J44" s="285" cm="1">
        <f t="array" aca="1" ref="J44" ca="1">INDIRECT(ADDRESS($A44,7,,,"SCALARS"))</f>
        <v>0</v>
      </c>
      <c r="K44" s="117">
        <f ca="1">H44+J44-K$17</f>
        <v>24.734999999999999</v>
      </c>
      <c r="L44" s="117">
        <f ca="1">I44+J44+K$17</f>
        <v>24.895</v>
      </c>
      <c r="M44" s="118" cm="1">
        <f t="array" aca="1" ref="M44" ca="1">INDIRECT(ADDRESS($A44,6,,,"scalars"))</f>
        <v>3.8799088929351226</v>
      </c>
      <c r="N44" s="119">
        <f ca="1">K44*M44</f>
        <v>95.969546466750259</v>
      </c>
      <c r="O44" s="119">
        <f t="shared" ca="1" si="22"/>
        <v>96.590331889619875</v>
      </c>
      <c r="P44" s="367"/>
      <c r="Q44" s="364"/>
      <c r="R44" s="364"/>
      <c r="S44" s="362"/>
      <c r="T44" s="121"/>
      <c r="U44" s="122"/>
      <c r="V44" s="340"/>
      <c r="W44" s="328"/>
      <c r="X44" s="113" cm="1">
        <f t="array" aca="1" ref="X44" ca="1">INDIRECT(ADDRESS($B44,9,,,"mkt data"))</f>
        <v>0</v>
      </c>
      <c r="Y44" s="114">
        <f ca="1">X44*AVERAGE(H44:I44)</f>
        <v>0</v>
      </c>
      <c r="Z44" s="113">
        <f ca="1">X44/M44</f>
        <v>0</v>
      </c>
      <c r="AA44" s="370"/>
      <c r="AB44" s="444" t="str">
        <f>G44</f>
        <v>SPAB</v>
      </c>
    </row>
    <row r="45" spans="1:28" s="101" customFormat="1" x14ac:dyDescent="0.25">
      <c r="A45" s="159">
        <f>MATCH(G45,SCALARS!C:C,0)</f>
        <v>13</v>
      </c>
      <c r="B45" s="160">
        <f>MATCH(G45,'MKT DATA'!B:B,0)</f>
        <v>4</v>
      </c>
      <c r="C45" s="226" t="str" cm="1">
        <f t="array" aca="1" ref="C45" ca="1">INDIRECT(ADDRESS($A45,2,,,"scalars"))</f>
        <v>agg</v>
      </c>
      <c r="D45" s="267" cm="1">
        <f t="array" aca="1" ref="D45" ca="1">INDIRECT(ADDRESS($A45,8,,,"SCALARS"))</f>
        <v>8239800</v>
      </c>
      <c r="E45" s="129"/>
      <c r="F45" s="111" t="str" cm="1">
        <f t="array" aca="1" ref="F45" ca="1">INDIRECT(ADDRESS($A45,5,,,"scalars"))</f>
        <v>AGG</v>
      </c>
      <c r="G45" s="112" t="s">
        <v>7</v>
      </c>
      <c r="H45" s="115" cm="1">
        <f t="array" aca="1" ref="H45" ca="1">INDIRECT(ADDRESS($B45,5,,,"mkt data"))</f>
        <v>71.27</v>
      </c>
      <c r="I45" s="116" cm="1">
        <f t="array" aca="1" ref="I45" ca="1">INDIRECT(ADDRESS($B45,6,,,"mkt data"))</f>
        <v>71.66</v>
      </c>
      <c r="J45" s="285" cm="1">
        <f t="array" aca="1" ref="J45" ca="1">INDIRECT(ADDRESS($A45,7,,,"SCALARS"))</f>
        <v>0</v>
      </c>
      <c r="K45" s="117">
        <f ca="1">H45+J45-K$17</f>
        <v>71.265000000000001</v>
      </c>
      <c r="L45" s="117">
        <f ca="1">I45+J45+K$17</f>
        <v>71.664999999999992</v>
      </c>
      <c r="M45" s="118" cm="1">
        <f t="array" aca="1" ref="M45" ca="1">INDIRECT(ADDRESS($A45,6,,,"scalars"))</f>
        <v>1.3479419026829724</v>
      </c>
      <c r="N45" s="119">
        <f ca="1">K45*M45</f>
        <v>96.06107969470203</v>
      </c>
      <c r="O45" s="119">
        <f t="shared" ca="1" si="22"/>
        <v>96.600256455775209</v>
      </c>
      <c r="P45" s="367"/>
      <c r="Q45" s="364"/>
      <c r="R45" s="364"/>
      <c r="S45" s="362"/>
      <c r="T45" s="124"/>
      <c r="U45" s="125"/>
      <c r="V45" s="340"/>
      <c r="W45" s="328"/>
      <c r="X45" s="113" cm="1">
        <f t="array" aca="1" ref="X45" ca="1">INDIRECT(ADDRESS($B45,9,,,"mkt data"))</f>
        <v>0</v>
      </c>
      <c r="Y45" s="114">
        <f ca="1">X45*AVERAGE(H45:I45)</f>
        <v>0</v>
      </c>
      <c r="Z45" s="113">
        <f ca="1">X45/M45</f>
        <v>0</v>
      </c>
      <c r="AA45" s="370"/>
      <c r="AB45" s="444" t="str">
        <f>G45</f>
        <v>BND</v>
      </c>
    </row>
    <row r="46" spans="1:28" s="101" customFormat="1" ht="15.75" thickBot="1" x14ac:dyDescent="0.3">
      <c r="A46" s="156">
        <f>MATCH(G46,SCALARS!C:C,0)</f>
        <v>12</v>
      </c>
      <c r="B46" s="157">
        <f>MATCH(G46,'MKT DATA'!B:B,0)</f>
        <v>2</v>
      </c>
      <c r="C46" s="227" t="str" cm="1">
        <f t="array" aca="1" ref="C46" ca="1">INDIRECT(ADDRESS($A46,2,,,"scalars"))</f>
        <v>agg</v>
      </c>
      <c r="D46" s="268" cm="1">
        <f t="array" aca="1" ref="D46" ca="1">INDIRECT(ADDRESS($A46,8,,,"SCALARS"))</f>
        <v>8649600</v>
      </c>
      <c r="E46" s="130"/>
      <c r="F46" s="102" t="str" cm="1">
        <f t="array" aca="1" ref="F46" ca="1">INDIRECT(ADDRESS($A46,5,,,"scalars"))</f>
        <v>AGG</v>
      </c>
      <c r="G46" s="103" t="s">
        <v>8</v>
      </c>
      <c r="H46" s="106" cm="1">
        <f t="array" aca="1" ref="H46" ca="1">INDIRECT(ADDRESS($B46,5,,,"mkt data"))</f>
        <v>96.1</v>
      </c>
      <c r="I46" s="107" cm="1">
        <f t="array" aca="1" ref="I46" ca="1">INDIRECT(ADDRESS($B46,6,,,"mkt data"))</f>
        <v>96.4</v>
      </c>
      <c r="J46" s="281" cm="1">
        <f t="array" aca="1" ref="J46" ca="1">INDIRECT(ADDRESS($A46,7,,,"SCALARS"))</f>
        <v>0</v>
      </c>
      <c r="K46" s="108">
        <f ca="1">H46+J46-K$17</f>
        <v>96.094999999999999</v>
      </c>
      <c r="L46" s="108">
        <f ca="1">I46+J46+K$17</f>
        <v>96.405000000000001</v>
      </c>
      <c r="M46" s="109" cm="1">
        <f t="array" aca="1" ref="M46" ca="1">INDIRECT(ADDRESS($A46,6,,,"scalars"))</f>
        <v>1</v>
      </c>
      <c r="N46" s="110">
        <f ca="1">K46*M46</f>
        <v>96.094999999999999</v>
      </c>
      <c r="O46" s="110">
        <f t="shared" ca="1" si="22"/>
        <v>96.405000000000001</v>
      </c>
      <c r="P46" s="368"/>
      <c r="Q46" s="365"/>
      <c r="R46" s="365"/>
      <c r="S46" s="363"/>
      <c r="T46" s="126"/>
      <c r="U46" s="127"/>
      <c r="V46" s="341"/>
      <c r="W46" s="329"/>
      <c r="X46" s="104" cm="1">
        <f t="array" aca="1" ref="X46" ca="1">INDIRECT(ADDRESS($B46,9,,,"mkt data"))</f>
        <v>0</v>
      </c>
      <c r="Y46" s="105">
        <f ca="1">X46*AVERAGE(H46:I46)</f>
        <v>0</v>
      </c>
      <c r="Z46" s="104">
        <f ca="1">X46/M46</f>
        <v>0</v>
      </c>
      <c r="AA46" s="371"/>
      <c r="AB46" s="446" t="str">
        <f>G46</f>
        <v>AGG</v>
      </c>
    </row>
    <row r="47" spans="1:28" x14ac:dyDescent="0.25">
      <c r="E47" s="65"/>
      <c r="V47" s="25"/>
    </row>
    <row r="48" spans="1:28" x14ac:dyDescent="0.25">
      <c r="E48" s="65"/>
    </row>
    <row r="49" spans="4:12" x14ac:dyDescent="0.25">
      <c r="H49"/>
      <c r="I49"/>
      <c r="J49"/>
      <c r="K49" s="2" t="e">
        <f>#REF!*#REF!</f>
        <v>#REF!</v>
      </c>
      <c r="L49"/>
    </row>
    <row r="50" spans="4:12" x14ac:dyDescent="0.25">
      <c r="D50" s="269"/>
      <c r="H50"/>
      <c r="I50"/>
      <c r="J50"/>
      <c r="K50" s="2" t="e">
        <f>#REF!*#REF!</f>
        <v>#REF!</v>
      </c>
      <c r="L50" s="253" t="e">
        <f>+K49+K50</f>
        <v>#REF!</v>
      </c>
    </row>
  </sheetData>
  <mergeCells count="107">
    <mergeCell ref="AI13:AI14"/>
    <mergeCell ref="AI15:AI16"/>
    <mergeCell ref="K17:L18"/>
    <mergeCell ref="AI3:AI4"/>
    <mergeCell ref="AI5:AI6"/>
    <mergeCell ref="AI7:AI8"/>
    <mergeCell ref="AI9:AI10"/>
    <mergeCell ref="AI11:AI12"/>
    <mergeCell ref="V19:W19"/>
    <mergeCell ref="P17:S18"/>
    <mergeCell ref="K1:L1"/>
    <mergeCell ref="K19:L19"/>
    <mergeCell ref="V24:V26"/>
    <mergeCell ref="V21:V23"/>
    <mergeCell ref="W37:W39"/>
    <mergeCell ref="W24:W26"/>
    <mergeCell ref="W21:W23"/>
    <mergeCell ref="V37:V39"/>
    <mergeCell ref="V27:V30"/>
    <mergeCell ref="S15:S16"/>
    <mergeCell ref="P13:P14"/>
    <mergeCell ref="Q13:Q14"/>
    <mergeCell ref="R13:R14"/>
    <mergeCell ref="S13:S14"/>
    <mergeCell ref="P11:P12"/>
    <mergeCell ref="Q11:Q12"/>
    <mergeCell ref="R11:R12"/>
    <mergeCell ref="S11:S12"/>
    <mergeCell ref="P9:P10"/>
    <mergeCell ref="Q9:Q10"/>
    <mergeCell ref="R9:R10"/>
    <mergeCell ref="P5:P6"/>
    <mergeCell ref="Q5:Q6"/>
    <mergeCell ref="R5:R6"/>
    <mergeCell ref="AA11:AA12"/>
    <mergeCell ref="AA15:AA16"/>
    <mergeCell ref="P15:P16"/>
    <mergeCell ref="Q15:Q16"/>
    <mergeCell ref="R15:R16"/>
    <mergeCell ref="AA13:AA14"/>
    <mergeCell ref="S5:S6"/>
    <mergeCell ref="AA5:AA6"/>
    <mergeCell ref="S9:S10"/>
    <mergeCell ref="AA9:AA10"/>
    <mergeCell ref="P7:P8"/>
    <mergeCell ref="Q7:Q8"/>
    <mergeCell ref="R7:R8"/>
    <mergeCell ref="S7:S8"/>
    <mergeCell ref="AA7:AA8"/>
    <mergeCell ref="A1:B1"/>
    <mergeCell ref="H1:I1"/>
    <mergeCell ref="N1:O1"/>
    <mergeCell ref="P1:Q1"/>
    <mergeCell ref="R1:S1"/>
    <mergeCell ref="X1:AA1"/>
    <mergeCell ref="P3:P4"/>
    <mergeCell ref="Q3:Q4"/>
    <mergeCell ref="R3:R4"/>
    <mergeCell ref="S3:S4"/>
    <mergeCell ref="AA3:AA4"/>
    <mergeCell ref="AA31:AA36"/>
    <mergeCell ref="P43:P46"/>
    <mergeCell ref="Q43:Q46"/>
    <mergeCell ref="Q27:Q30"/>
    <mergeCell ref="P40:P42"/>
    <mergeCell ref="Q40:Q42"/>
    <mergeCell ref="AA43:AA46"/>
    <mergeCell ref="R40:R42"/>
    <mergeCell ref="S40:S42"/>
    <mergeCell ref="AA40:AA42"/>
    <mergeCell ref="AA37:AA39"/>
    <mergeCell ref="R31:R36"/>
    <mergeCell ref="R27:R30"/>
    <mergeCell ref="S27:S30"/>
    <mergeCell ref="R43:R46"/>
    <mergeCell ref="S43:S46"/>
    <mergeCell ref="A19:B19"/>
    <mergeCell ref="H19:I19"/>
    <mergeCell ref="N19:O19"/>
    <mergeCell ref="P37:P39"/>
    <mergeCell ref="Q37:Q39"/>
    <mergeCell ref="P27:P30"/>
    <mergeCell ref="P31:P36"/>
    <mergeCell ref="P21:P23"/>
    <mergeCell ref="Q21:Q23"/>
    <mergeCell ref="P24:P26"/>
    <mergeCell ref="Q31:Q36"/>
    <mergeCell ref="X19:AA19"/>
    <mergeCell ref="AA21:AA23"/>
    <mergeCell ref="AA24:AA26"/>
    <mergeCell ref="AA27:AA30"/>
    <mergeCell ref="W40:W42"/>
    <mergeCell ref="V40:V42"/>
    <mergeCell ref="W27:W30"/>
    <mergeCell ref="W43:W46"/>
    <mergeCell ref="W31:W36"/>
    <mergeCell ref="V31:V36"/>
    <mergeCell ref="V43:V46"/>
    <mergeCell ref="P19:S19"/>
    <mergeCell ref="R21:R23"/>
    <mergeCell ref="S21:S23"/>
    <mergeCell ref="Q24:Q26"/>
    <mergeCell ref="R24:R26"/>
    <mergeCell ref="S24:S26"/>
    <mergeCell ref="R37:R39"/>
    <mergeCell ref="S31:S36"/>
    <mergeCell ref="S37:S39"/>
  </mergeCells>
  <conditionalFormatting sqref="N21:N23">
    <cfRule type="top10" dxfId="107" priority="55" rank="1"/>
  </conditionalFormatting>
  <conditionalFormatting sqref="N24:N26">
    <cfRule type="top10" dxfId="106" priority="54" rank="1"/>
  </conditionalFormatting>
  <conditionalFormatting sqref="N37:N39">
    <cfRule type="top10" dxfId="105" priority="53" rank="1"/>
  </conditionalFormatting>
  <conditionalFormatting sqref="N40:N42">
    <cfRule type="top10" dxfId="104" priority="52" rank="1"/>
  </conditionalFormatting>
  <conditionalFormatting sqref="O21:O23">
    <cfRule type="top10" dxfId="103" priority="50" bottom="1" rank="1"/>
  </conditionalFormatting>
  <conditionalFormatting sqref="O24:O26">
    <cfRule type="top10" dxfId="102" priority="49" bottom="1" rank="1"/>
  </conditionalFormatting>
  <conditionalFormatting sqref="O37:O39">
    <cfRule type="top10" dxfId="101" priority="48" bottom="1" rank="1"/>
  </conditionalFormatting>
  <conditionalFormatting sqref="O40:O42">
    <cfRule type="top10" dxfId="100" priority="47" bottom="1" rank="1"/>
  </conditionalFormatting>
  <conditionalFormatting sqref="N43:N46">
    <cfRule type="top10" dxfId="99" priority="44" rank="1"/>
  </conditionalFormatting>
  <conditionalFormatting sqref="O43:O46">
    <cfRule type="top10" dxfId="98" priority="43" bottom="1" rank="1"/>
  </conditionalFormatting>
  <conditionalFormatting sqref="N31:N36">
    <cfRule type="top10" dxfId="97" priority="42" rank="1"/>
  </conditionalFormatting>
  <conditionalFormatting sqref="O31:O36">
    <cfRule type="top10" dxfId="96" priority="41" bottom="1" rank="1"/>
  </conditionalFormatting>
  <conditionalFormatting sqref="N27:N30">
    <cfRule type="top10" dxfId="95" priority="56" rank="1"/>
  </conditionalFormatting>
  <conditionalFormatting sqref="O27:O30">
    <cfRule type="top10" dxfId="94" priority="57" bottom="1" rank="1"/>
  </conditionalFormatting>
  <conditionalFormatting sqref="N13:N14">
    <cfRule type="top10" dxfId="93" priority="33" rank="1"/>
  </conditionalFormatting>
  <conditionalFormatting sqref="O13:O14">
    <cfRule type="top10" dxfId="92" priority="34" bottom="1" rank="1"/>
  </conditionalFormatting>
  <conditionalFormatting sqref="N15:N17">
    <cfRule type="top10" dxfId="91" priority="31" rank="1"/>
  </conditionalFormatting>
  <conditionalFormatting sqref="O15:O17">
    <cfRule type="top10" dxfId="90" priority="32" bottom="1" rank="1"/>
  </conditionalFormatting>
  <conditionalFormatting sqref="N11:N12">
    <cfRule type="top10" dxfId="89" priority="29" rank="1"/>
  </conditionalFormatting>
  <conditionalFormatting sqref="O11:O12">
    <cfRule type="top10" dxfId="88" priority="30" bottom="1" rank="1"/>
  </conditionalFormatting>
  <conditionalFormatting sqref="N5:N6">
    <cfRule type="top10" dxfId="87" priority="27" rank="1"/>
  </conditionalFormatting>
  <conditionalFormatting sqref="O5:O6">
    <cfRule type="top10" dxfId="86" priority="28" bottom="1" rank="1"/>
  </conditionalFormatting>
  <conditionalFormatting sqref="N7:N8">
    <cfRule type="top10" dxfId="85" priority="25" rank="1"/>
  </conditionalFormatting>
  <conditionalFormatting sqref="O7:O8">
    <cfRule type="top10" dxfId="84" priority="26" bottom="1" rank="1"/>
  </conditionalFormatting>
  <conditionalFormatting sqref="N9:N10">
    <cfRule type="top10" dxfId="83" priority="23" rank="1"/>
  </conditionalFormatting>
  <conditionalFormatting sqref="O9:O10">
    <cfRule type="top10" dxfId="82" priority="24" bottom="1" rank="1"/>
  </conditionalFormatting>
  <conditionalFormatting sqref="N3:N4">
    <cfRule type="top10" dxfId="81" priority="21" rank="1"/>
  </conditionalFormatting>
  <conditionalFormatting sqref="O3:O4">
    <cfRule type="top10" dxfId="80" priority="22" bottom="1" rank="1"/>
  </conditionalFormatting>
  <conditionalFormatting sqref="T22 T25 T29 T34 T38 T41 T44">
    <cfRule type="cellIs" dxfId="79" priority="18" operator="equal">
      <formula>TRUE</formula>
    </cfRule>
  </conditionalFormatting>
  <conditionalFormatting sqref="U22 U25 U29 U34 U38 U41 U44">
    <cfRule type="cellIs" dxfId="78" priority="17" operator="equal">
      <formula>TRUE</formula>
    </cfRule>
  </conditionalFormatting>
  <conditionalFormatting sqref="S21:S46">
    <cfRule type="cellIs" dxfId="77" priority="16" operator="greaterThan">
      <formula>0</formula>
    </cfRule>
  </conditionalFormatting>
  <conditionalFormatting sqref="Q3:Q16 S3:S16">
    <cfRule type="cellIs" dxfId="76" priority="15" operator="greaterThan">
      <formula>0</formula>
    </cfRule>
  </conditionalFormatting>
  <conditionalFormatting sqref="T4 W4">
    <cfRule type="cellIs" dxfId="75" priority="14" operator="equal">
      <formula>TRUE</formula>
    </cfRule>
  </conditionalFormatting>
  <conditionalFormatting sqref="U4:V4">
    <cfRule type="cellIs" dxfId="74" priority="13" operator="equal">
      <formula>TRUE</formula>
    </cfRule>
  </conditionalFormatting>
  <conditionalFormatting sqref="T6 W6">
    <cfRule type="cellIs" dxfId="73" priority="12" operator="equal">
      <formula>TRUE</formula>
    </cfRule>
  </conditionalFormatting>
  <conditionalFormatting sqref="U6:V6">
    <cfRule type="cellIs" dxfId="72" priority="11" operator="equal">
      <formula>TRUE</formula>
    </cfRule>
  </conditionalFormatting>
  <conditionalFormatting sqref="T8 W8">
    <cfRule type="cellIs" dxfId="71" priority="10" operator="equal">
      <formula>TRUE</formula>
    </cfRule>
  </conditionalFormatting>
  <conditionalFormatting sqref="U8:V8">
    <cfRule type="cellIs" dxfId="70" priority="9" operator="equal">
      <formula>TRUE</formula>
    </cfRule>
  </conditionalFormatting>
  <conditionalFormatting sqref="T10 W10">
    <cfRule type="cellIs" dxfId="69" priority="8" operator="equal">
      <formula>TRUE</formula>
    </cfRule>
  </conditionalFormatting>
  <conditionalFormatting sqref="U10:V10">
    <cfRule type="cellIs" dxfId="68" priority="7" operator="equal">
      <formula>TRUE</formula>
    </cfRule>
  </conditionalFormatting>
  <conditionalFormatting sqref="T12 W12">
    <cfRule type="cellIs" dxfId="67" priority="6" operator="equal">
      <formula>TRUE</formula>
    </cfRule>
  </conditionalFormatting>
  <conditionalFormatting sqref="U12:V12">
    <cfRule type="cellIs" dxfId="66" priority="5" operator="equal">
      <formula>TRUE</formula>
    </cfRule>
  </conditionalFormatting>
  <conditionalFormatting sqref="T14 W14">
    <cfRule type="cellIs" dxfId="65" priority="4" operator="equal">
      <formula>TRUE</formula>
    </cfRule>
  </conditionalFormatting>
  <conditionalFormatting sqref="U14:V14">
    <cfRule type="cellIs" dxfId="64" priority="3" operator="equal">
      <formula>TRUE</formula>
    </cfRule>
  </conditionalFormatting>
  <conditionalFormatting sqref="T16:T17 W16:W17">
    <cfRule type="cellIs" dxfId="63" priority="2" operator="equal">
      <formula>TRUE</formula>
    </cfRule>
  </conditionalFormatting>
  <conditionalFormatting sqref="U16:V17">
    <cfRule type="cellIs" dxfId="62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sheetPr codeName="Sheet6"/>
  <dimension ref="A1:AI68"/>
  <sheetViews>
    <sheetView topLeftCell="F1" zoomScale="85" zoomScaleNormal="85" workbookViewId="0">
      <selection activeCell="K21" sqref="K21:L22"/>
    </sheetView>
  </sheetViews>
  <sheetFormatPr defaultRowHeight="15" x14ac:dyDescent="0.25"/>
  <cols>
    <col min="1" max="1" width="7" bestFit="1" customWidth="1"/>
    <col min="2" max="2" width="9.42578125" bestFit="1" customWidth="1"/>
    <col min="3" max="3" width="12.5703125" style="1" bestFit="1" customWidth="1"/>
    <col min="4" max="4" width="11.5703125" style="1" bestFit="1" customWidth="1"/>
    <col min="5" max="5" width="7.7109375" bestFit="1" customWidth="1"/>
    <col min="6" max="6" width="8" bestFit="1" customWidth="1"/>
    <col min="7" max="7" width="7.85546875" bestFit="1" customWidth="1"/>
    <col min="8" max="9" width="9.28515625" customWidth="1"/>
    <col min="10" max="10" width="9.5703125" bestFit="1" customWidth="1"/>
    <col min="11" max="12" width="10" bestFit="1" customWidth="1"/>
    <col min="13" max="13" width="8.5703125" bestFit="1" customWidth="1"/>
    <col min="14" max="15" width="10" bestFit="1" customWidth="1"/>
    <col min="16" max="16" width="9.7109375" bestFit="1" customWidth="1"/>
    <col min="17" max="17" width="9.85546875" bestFit="1" customWidth="1"/>
    <col min="18" max="18" width="9.7109375" bestFit="1" customWidth="1"/>
    <col min="19" max="19" width="12.28515625" bestFit="1" customWidth="1"/>
    <col min="20" max="20" width="9.7109375" bestFit="1" customWidth="1"/>
    <col min="21" max="21" width="9.5703125" bestFit="1" customWidth="1"/>
    <col min="22" max="22" width="9.7109375" bestFit="1" customWidth="1"/>
    <col min="23" max="23" width="9.5703125" bestFit="1" customWidth="1"/>
    <col min="24" max="24" width="10.5703125" bestFit="1" customWidth="1"/>
    <col min="25" max="25" width="12.28515625" bestFit="1" customWidth="1"/>
    <col min="26" max="26" width="7.7109375" bestFit="1" customWidth="1"/>
    <col min="27" max="27" width="10.28515625" bestFit="1" customWidth="1"/>
    <col min="28" max="28" width="7.85546875" style="1" bestFit="1" customWidth="1"/>
    <col min="29" max="33" width="9.28515625" bestFit="1" customWidth="1"/>
    <col min="34" max="34" width="12.28515625" bestFit="1" customWidth="1"/>
    <col min="35" max="35" width="10.5703125" bestFit="1" customWidth="1"/>
  </cols>
  <sheetData>
    <row r="1" spans="1:35" x14ac:dyDescent="0.25">
      <c r="A1" s="303" t="s">
        <v>67</v>
      </c>
      <c r="B1" s="304"/>
      <c r="C1" s="161"/>
      <c r="D1" s="140"/>
      <c r="E1" s="85"/>
      <c r="F1" s="67"/>
      <c r="G1" s="67"/>
      <c r="H1" s="307" t="s">
        <v>69</v>
      </c>
      <c r="I1" s="308"/>
      <c r="J1" s="166"/>
      <c r="K1" s="428" t="s">
        <v>238</v>
      </c>
      <c r="L1" s="429"/>
      <c r="M1" s="39"/>
      <c r="N1" s="310" t="s">
        <v>72</v>
      </c>
      <c r="O1" s="311"/>
      <c r="P1" s="321" t="s">
        <v>84</v>
      </c>
      <c r="Q1" s="311"/>
      <c r="R1" s="312" t="s">
        <v>85</v>
      </c>
      <c r="S1" s="313"/>
      <c r="T1" s="45" t="s">
        <v>82</v>
      </c>
      <c r="U1" s="47" t="s">
        <v>83</v>
      </c>
      <c r="V1" s="47" t="s">
        <v>83</v>
      </c>
      <c r="W1" s="46" t="s">
        <v>82</v>
      </c>
      <c r="X1" s="305" t="s">
        <v>73</v>
      </c>
      <c r="Y1" s="305"/>
      <c r="Z1" s="305"/>
      <c r="AA1" s="306"/>
      <c r="AB1" s="296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430" t="s">
        <v>70</v>
      </c>
      <c r="L2" s="431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245" t="s">
        <v>74</v>
      </c>
      <c r="Y2" s="246" t="s">
        <v>90</v>
      </c>
      <c r="Z2" s="247" t="s">
        <v>89</v>
      </c>
      <c r="AA2" s="248" t="s">
        <v>75</v>
      </c>
      <c r="AB2" s="68" t="str">
        <f>G2</f>
        <v>symbol</v>
      </c>
      <c r="AC2" s="392" t="s">
        <v>226</v>
      </c>
      <c r="AD2" s="393" t="s">
        <v>235</v>
      </c>
      <c r="AE2" s="393" t="s">
        <v>228</v>
      </c>
      <c r="AF2" s="393" t="s">
        <v>227</v>
      </c>
      <c r="AG2" s="393" t="s">
        <v>228</v>
      </c>
      <c r="AH2" s="397" t="s">
        <v>231</v>
      </c>
      <c r="AI2" s="73" t="s">
        <v>231</v>
      </c>
    </row>
    <row r="3" spans="1:35" x14ac:dyDescent="0.25">
      <c r="A3" s="168">
        <f>MATCH(G3,SCALARS!C:C,0)</f>
        <v>52</v>
      </c>
      <c r="B3" s="169">
        <f>MATCH(G3,'MKT DATA'!B:B,0)</f>
        <v>74</v>
      </c>
      <c r="C3" s="168" t="str" cm="1">
        <f t="array" aca="1" ref="C3" ca="1">INDIRECT(ADDRESS($A3,2,,,"scalars"))</f>
        <v>discretionary</v>
      </c>
      <c r="D3" s="203" cm="1">
        <f t="array" aca="1" ref="D3" ca="1">INDIRECT(ADDRESS($A3,8,,,"SCALARS"))</f>
        <v>79000</v>
      </c>
      <c r="E3" s="204"/>
      <c r="F3" s="170" t="str" cm="1">
        <f t="array" aca="1" ref="F3" ca="1">INDIRECT(ADDRESS($A3,5,,,"scalars"))</f>
        <v>VCR</v>
      </c>
      <c r="G3" s="217" t="s">
        <v>183</v>
      </c>
      <c r="H3" s="207" cm="1">
        <f t="array" aca="1" ref="H3" ca="1">INDIRECT(ADDRESS($B3,5,,,"mkt data"))</f>
        <v>95.85</v>
      </c>
      <c r="I3" s="208" cm="1">
        <f t="array" aca="1" ref="I3" ca="1">INDIRECT(ADDRESS($B3,6,,,"mkt data"))</f>
        <v>97.72</v>
      </c>
      <c r="J3" s="286" cm="1">
        <f t="array" aca="1" ref="J3" ca="1">INDIRECT(ADDRESS($A3,7,,,"SCALARS"))</f>
        <v>0</v>
      </c>
      <c r="K3" s="176">
        <f ca="1">H3+J3-K$21</f>
        <v>95.844999999999999</v>
      </c>
      <c r="L3" s="176">
        <f ca="1">I3+J3+K$21</f>
        <v>97.724999999999994</v>
      </c>
      <c r="M3" s="218" cm="1">
        <f t="array" aca="1" ref="M3" ca="1">INDIRECT(ADDRESS($A3,6,,,"scalars"))</f>
        <v>3.8506069329982653</v>
      </c>
      <c r="N3" s="209">
        <f t="shared" ref="N3:N20" ca="1" si="0">K3*M3</f>
        <v>369.06142149321875</v>
      </c>
      <c r="O3" s="209">
        <f t="shared" ref="O3:O20" ca="1" si="1">M3*L3</f>
        <v>376.30056252725547</v>
      </c>
      <c r="P3" s="381">
        <f ca="1">N4-O3</f>
        <v>-6.3855625272554448</v>
      </c>
      <c r="Q3" s="383">
        <f ca="1">LN(N4/O3)</f>
        <v>-1.711494297204471E-2</v>
      </c>
      <c r="R3" s="381">
        <f ca="1">N3-O4</f>
        <v>-8.1135785067812662</v>
      </c>
      <c r="S3" s="383">
        <f ca="1">LN(N3/O4)</f>
        <v>-2.1746186626364201E-2</v>
      </c>
      <c r="T3" s="179"/>
      <c r="U3" s="180"/>
      <c r="V3" s="180"/>
      <c r="W3" s="181"/>
      <c r="X3" s="205" cm="1">
        <f t="array" aca="1" ref="X3" ca="1">INDIRECT(ADDRESS($B3,9,,,"mkt data"))</f>
        <v>0</v>
      </c>
      <c r="Y3" s="206">
        <f ca="1">X3*AVERAGE(H3:I3)</f>
        <v>0</v>
      </c>
      <c r="Z3" s="205">
        <f ca="1">X3/M3</f>
        <v>0</v>
      </c>
      <c r="AA3" s="377">
        <f ca="1">SUM(Z3:Z4)</f>
        <v>0</v>
      </c>
      <c r="AB3" s="417" t="str">
        <f t="shared" ref="AB3:AB20" si="2">G3</f>
        <v>FDIS</v>
      </c>
      <c r="AC3" s="174" cm="1">
        <f t="array" aca="1" ref="AC3" ca="1">INDIRECT(ADDRESS($B3,8,,,"mkt data"))</f>
        <v>96.169998000000007</v>
      </c>
      <c r="AD3" s="407">
        <f ca="1">AVERAGE(H3,I3)</f>
        <v>96.784999999999997</v>
      </c>
      <c r="AE3" s="407">
        <f ca="1">AD3-AC3</f>
        <v>0.61500199999998983</v>
      </c>
      <c r="AF3" s="414">
        <v>0</v>
      </c>
      <c r="AG3" s="407">
        <f ca="1">AE3+AF3</f>
        <v>0.61500199999998983</v>
      </c>
      <c r="AH3" s="398">
        <f ca="1">AG3*X3</f>
        <v>0</v>
      </c>
      <c r="AI3" s="400">
        <f ca="1">AH3+AH4</f>
        <v>0</v>
      </c>
    </row>
    <row r="4" spans="1:35" ht="15.75" thickBot="1" x14ac:dyDescent="0.3">
      <c r="A4" s="182">
        <f>MATCH(G4,SCALARS!C:C,0)</f>
        <v>53</v>
      </c>
      <c r="B4" s="183">
        <f>MATCH(G4,'MKT DATA'!B:B,0)</f>
        <v>77</v>
      </c>
      <c r="C4" s="182" t="str" cm="1">
        <f t="array" aca="1" ref="C4" ca="1">INDIRECT(ADDRESS($A4,2,,,"scalars"))</f>
        <v>discretionary</v>
      </c>
      <c r="D4" s="210" cm="1">
        <f t="array" aca="1" ref="D4" ca="1">INDIRECT(ADDRESS($A4,8,,,"SCALARS"))</f>
        <v>134500</v>
      </c>
      <c r="E4" s="211"/>
      <c r="F4" s="184" t="str" cm="1">
        <f t="array" aca="1" ref="F4" ca="1">INDIRECT(ADDRESS($A4,5,,,"scalars"))</f>
        <v>VCR</v>
      </c>
      <c r="G4" s="219" t="s">
        <v>186</v>
      </c>
      <c r="H4" s="214" cm="1">
        <f t="array" aca="1" ref="H4" ca="1">INDIRECT(ADDRESS($B4,5,,,"mkt data"))</f>
        <v>369.92</v>
      </c>
      <c r="I4" s="215" cm="1">
        <f t="array" aca="1" ref="I4" ca="1">INDIRECT(ADDRESS($B4,6,,,"mkt data"))</f>
        <v>377.17</v>
      </c>
      <c r="J4" s="287" cm="1">
        <f t="array" aca="1" ref="J4" ca="1">INDIRECT(ADDRESS($A4,7,,,"SCALARS"))</f>
        <v>0</v>
      </c>
      <c r="K4" s="190">
        <f ca="1">H4+J4-K$21</f>
        <v>369.91500000000002</v>
      </c>
      <c r="L4" s="190">
        <f ca="1">I4+J4+K$21</f>
        <v>377.17500000000001</v>
      </c>
      <c r="M4" s="220" cm="1">
        <f t="array" aca="1" ref="M4" ca="1">INDIRECT(ADDRESS($A4,6,,,"scalars"))</f>
        <v>1</v>
      </c>
      <c r="N4" s="216">
        <f t="shared" ca="1" si="0"/>
        <v>369.91500000000002</v>
      </c>
      <c r="O4" s="216">
        <f t="shared" ca="1" si="1"/>
        <v>377.17500000000001</v>
      </c>
      <c r="P4" s="382"/>
      <c r="Q4" s="384"/>
      <c r="R4" s="382"/>
      <c r="S4" s="384"/>
      <c r="T4" s="193"/>
      <c r="U4" s="194"/>
      <c r="V4" s="194"/>
      <c r="W4" s="195"/>
      <c r="X4" s="212" cm="1">
        <f t="array" aca="1" ref="X4" ca="1">INDIRECT(ADDRESS($B4,9,,,"mkt data"))</f>
        <v>0</v>
      </c>
      <c r="Y4" s="213">
        <f ca="1">X4*AVERAGE(H4:I4)</f>
        <v>0</v>
      </c>
      <c r="Z4" s="212">
        <f ca="1">X4/M4</f>
        <v>0</v>
      </c>
      <c r="AA4" s="378"/>
      <c r="AB4" s="418" t="str">
        <f t="shared" si="2"/>
        <v>VCR</v>
      </c>
      <c r="AC4" s="391" cm="1">
        <f t="array" aca="1" ref="AC4" ca="1">INDIRECT(ADDRESS($B4,8,,,"mkt data"))</f>
        <v>370.26001000000002</v>
      </c>
      <c r="AD4" s="408">
        <f t="shared" ref="AD4:AD16" ca="1" si="3">AVERAGE(H4,I4)</f>
        <v>373.54500000000002</v>
      </c>
      <c r="AE4" s="408">
        <f t="shared" ref="AE4:AE16" ca="1" si="4">AD4-AC4</f>
        <v>3.2849899999999934</v>
      </c>
      <c r="AF4" s="415">
        <v>0</v>
      </c>
      <c r="AG4" s="408">
        <f t="shared" ref="AG4:AG16" ca="1" si="5">AE4+AF4</f>
        <v>3.2849899999999934</v>
      </c>
      <c r="AH4" s="399">
        <f ca="1">AG4*X4</f>
        <v>0</v>
      </c>
      <c r="AI4" s="401"/>
    </row>
    <row r="5" spans="1:35" x14ac:dyDescent="0.25">
      <c r="A5" s="149">
        <f>MATCH(G5,SCALARS!C:C,0)</f>
        <v>58</v>
      </c>
      <c r="B5" s="150">
        <f>MATCH(G5,'MKT DATA'!B:B,0)</f>
        <v>42</v>
      </c>
      <c r="C5" s="149" t="str" cm="1">
        <f t="array" aca="1" ref="C5" ca="1">INDIRECT(ADDRESS($A5,2,,,"scalars"))</f>
        <v>energy</v>
      </c>
      <c r="D5" s="239" cm="1">
        <f t="array" aca="1" ref="D5" ca="1">INDIRECT(ADDRESS($A5,8,,,"SCALARS"))</f>
        <v>1232600</v>
      </c>
      <c r="E5" s="243"/>
      <c r="F5" s="14" t="str" cm="1">
        <f t="array" aca="1" ref="F5" ca="1">INDIRECT(ADDRESS($A5,5,,,"scalars"))</f>
        <v>VDE</v>
      </c>
      <c r="G5" s="15" t="s">
        <v>97</v>
      </c>
      <c r="H5" s="33" cm="1">
        <f t="array" aca="1" ref="H5" ca="1">INDIRECT(ADDRESS($B5,5,,,"mkt data"))</f>
        <v>35.090000000000003</v>
      </c>
      <c r="I5" s="34" cm="1">
        <f t="array" aca="1" ref="I5" ca="1">INDIRECT(ADDRESS($B5,6,,,"mkt data"))</f>
        <v>35.770000000000003</v>
      </c>
      <c r="J5" s="278" cm="1">
        <f t="array" aca="1" ref="J5" ca="1">INDIRECT(ADDRESS($A5,7,,,"SCALARS"))</f>
        <v>0</v>
      </c>
      <c r="K5" s="16">
        <f ca="1">H5+J5-K$21</f>
        <v>35.085000000000001</v>
      </c>
      <c r="L5" s="16">
        <f ca="1">I5+J5+K$21</f>
        <v>35.775000000000006</v>
      </c>
      <c r="M5" s="50" cm="1">
        <f t="array" aca="1" ref="M5" ca="1">INDIRECT(ADDRESS($A5,6,,,"scalars"))</f>
        <v>5.0828381060701133</v>
      </c>
      <c r="N5" s="17">
        <f t="shared" ca="1" si="0"/>
        <v>178.33137495146994</v>
      </c>
      <c r="O5" s="17">
        <f t="shared" ca="1" si="1"/>
        <v>181.83853324465832</v>
      </c>
      <c r="P5" s="317">
        <f ca="1">N6-O5</f>
        <v>-2.2435332446583232</v>
      </c>
      <c r="Q5" s="319">
        <f t="shared" ref="Q5" ca="1" si="6">LN(N6/O5)</f>
        <v>-1.2414797488402482E-2</v>
      </c>
      <c r="R5" s="317">
        <f ca="1">N5-O6</f>
        <v>-4.7936250485300604</v>
      </c>
      <c r="S5" s="319">
        <f t="shared" ref="S5" ca="1" si="7">LN(N5/O6)</f>
        <v>-2.6525503184275233E-2</v>
      </c>
      <c r="T5" s="80">
        <v>1E-3</v>
      </c>
      <c r="U5" s="51">
        <v>0</v>
      </c>
      <c r="V5" s="51">
        <v>0</v>
      </c>
      <c r="W5" s="81">
        <v>1E-3</v>
      </c>
      <c r="X5" s="27" cm="1">
        <f t="array" aca="1" ref="X5" ca="1">INDIRECT(ADDRESS($B5,9,,,"mkt data"))</f>
        <v>0</v>
      </c>
      <c r="Y5" s="62">
        <f ca="1">X5*AVERAGE(H5:I5)</f>
        <v>0</v>
      </c>
      <c r="Z5" s="27">
        <f ca="1">X5/M5</f>
        <v>0</v>
      </c>
      <c r="AA5" s="315">
        <f ca="1">SUM(Z5:Z6)</f>
        <v>0</v>
      </c>
      <c r="AB5" s="409" t="str">
        <f t="shared" si="2"/>
        <v>FENY</v>
      </c>
      <c r="AC5" s="33" cm="1">
        <f t="array" aca="1" ref="AC5" ca="1">INDIRECT(ADDRESS($B5,8,,,"mkt data"))</f>
        <v>35.43</v>
      </c>
      <c r="AD5" s="394">
        <f t="shared" ca="1" si="3"/>
        <v>35.430000000000007</v>
      </c>
      <c r="AE5" s="394">
        <f t="shared" ca="1" si="4"/>
        <v>0</v>
      </c>
      <c r="AF5" s="414">
        <v>0</v>
      </c>
      <c r="AG5" s="394">
        <f t="shared" ca="1" si="5"/>
        <v>0</v>
      </c>
      <c r="AH5" s="394">
        <f ca="1">AG5*X5</f>
        <v>0</v>
      </c>
      <c r="AI5" s="402">
        <f ca="1">AH5+AH6</f>
        <v>0</v>
      </c>
    </row>
    <row r="6" spans="1:35" ht="15.75" thickBot="1" x14ac:dyDescent="0.3">
      <c r="A6" s="151">
        <f>MATCH(G6,SCALARS!C:C,0)</f>
        <v>59</v>
      </c>
      <c r="B6" s="152">
        <f>MATCH(G6,'MKT DATA'!B:B,0)</f>
        <v>58</v>
      </c>
      <c r="C6" s="151" t="str" cm="1">
        <f t="array" aca="1" ref="C6" ca="1">INDIRECT(ADDRESS($A6,2,,,"scalars"))</f>
        <v>energy</v>
      </c>
      <c r="D6" s="240" cm="1">
        <f t="array" aca="1" ref="D6" ca="1">INDIRECT(ADDRESS($A6,8,,,"SCALARS"))</f>
        <v>558000</v>
      </c>
      <c r="E6" s="244"/>
      <c r="F6" s="20" t="str" cm="1">
        <f t="array" aca="1" ref="F6" ca="1">INDIRECT(ADDRESS($A6,5,,,"scalars"))</f>
        <v>VDE</v>
      </c>
      <c r="G6" s="21" t="s">
        <v>99</v>
      </c>
      <c r="H6" s="37" cm="1">
        <f t="array" aca="1" ref="H6" ca="1">INDIRECT(ADDRESS($B6,5,,,"mkt data"))</f>
        <v>179.6</v>
      </c>
      <c r="I6" s="38" cm="1">
        <f t="array" aca="1" ref="I6" ca="1">INDIRECT(ADDRESS($B6,6,,,"mkt data"))</f>
        <v>183.12</v>
      </c>
      <c r="J6" s="279" cm="1">
        <f t="array" aca="1" ref="J6" ca="1">INDIRECT(ADDRESS($A6,7,,,"SCALARS"))</f>
        <v>0</v>
      </c>
      <c r="K6" s="22">
        <f ca="1">H6+J6-K$21</f>
        <v>179.595</v>
      </c>
      <c r="L6" s="22">
        <f ca="1">I6+J6+K$21</f>
        <v>183.125</v>
      </c>
      <c r="M6" s="52" cm="1">
        <f t="array" aca="1" ref="M6" ca="1">INDIRECT(ADDRESS($A6,6,,,"scalars"))</f>
        <v>1</v>
      </c>
      <c r="N6" s="23">
        <f t="shared" ca="1" si="0"/>
        <v>179.595</v>
      </c>
      <c r="O6" s="23">
        <f t="shared" ca="1" si="1"/>
        <v>183.125</v>
      </c>
      <c r="P6" s="318"/>
      <c r="Q6" s="320"/>
      <c r="R6" s="318"/>
      <c r="S6" s="320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0</v>
      </c>
      <c r="Y6" s="64">
        <f ca="1">X6*AVERAGE(H6:I6)</f>
        <v>0</v>
      </c>
      <c r="Z6" s="29">
        <f ca="1">X6/M6</f>
        <v>0</v>
      </c>
      <c r="AA6" s="316"/>
      <c r="AB6" s="419" t="str">
        <f t="shared" si="2"/>
        <v>VDE</v>
      </c>
      <c r="AC6" s="37" cm="1">
        <f t="array" aca="1" ref="AC6" ca="1">INDIRECT(ADDRESS($B6,8,,,"mkt data"))</f>
        <v>180.16000399999999</v>
      </c>
      <c r="AD6" s="396">
        <f t="shared" ca="1" si="3"/>
        <v>181.36</v>
      </c>
      <c r="AE6" s="396">
        <f t="shared" ca="1" si="4"/>
        <v>1.1999960000000272</v>
      </c>
      <c r="AF6" s="416">
        <v>0</v>
      </c>
      <c r="AG6" s="396">
        <f t="shared" ca="1" si="5"/>
        <v>1.1999960000000272</v>
      </c>
      <c r="AH6" s="396">
        <f ca="1">AG6*X6</f>
        <v>0</v>
      </c>
      <c r="AI6" s="403"/>
    </row>
    <row r="7" spans="1:35" x14ac:dyDescent="0.25">
      <c r="A7" s="168">
        <f>MATCH(G7,SCALARS!C:C,0)</f>
        <v>62</v>
      </c>
      <c r="B7" s="169">
        <f>MATCH(G7,'MKT DATA'!B:B,0)</f>
        <v>43</v>
      </c>
      <c r="C7" s="168" t="str" cm="1">
        <f t="array" aca="1" ref="C7" ca="1">INDIRECT(ADDRESS($A7,2,,,"scalars"))</f>
        <v>financials</v>
      </c>
      <c r="D7" s="203" cm="1">
        <f t="array" aca="1" ref="D7" ca="1">INDIRECT(ADDRESS($A7,8,,,"SCALARS"))</f>
        <v>108500</v>
      </c>
      <c r="E7" s="204"/>
      <c r="F7" s="170" t="str" cm="1">
        <f t="array" aca="1" ref="F7" ca="1">INDIRECT(ADDRESS($A7,5,,,"scalars"))</f>
        <v>VFH</v>
      </c>
      <c r="G7" s="217" t="s">
        <v>133</v>
      </c>
      <c r="H7" s="207" cm="1">
        <f t="array" aca="1" ref="H7" ca="1">INDIRECT(ADDRESS($B7,5,,,"mkt data"))</f>
        <v>78.31</v>
      </c>
      <c r="I7" s="208" cm="1">
        <f t="array" aca="1" ref="I7" ca="1">INDIRECT(ADDRESS($B7,6,,,"mkt data"))</f>
        <v>79.84</v>
      </c>
      <c r="J7" s="286" cm="1">
        <f t="array" aca="1" ref="J7" ca="1">INDIRECT(ADDRESS($A7,7,,,"SCALARS"))</f>
        <v>0</v>
      </c>
      <c r="K7" s="176">
        <f ca="1">H7+J7-K$21</f>
        <v>78.305000000000007</v>
      </c>
      <c r="L7" s="176">
        <f ca="1">I7+J7+K$21</f>
        <v>79.844999999999999</v>
      </c>
      <c r="M7" s="218" cm="1">
        <f t="array" aca="1" ref="M7" ca="1">INDIRECT(ADDRESS($A7,6,,,"scalars"))</f>
        <v>1.7172660843398713</v>
      </c>
      <c r="N7" s="209">
        <f t="shared" ca="1" si="0"/>
        <v>134.47052073423365</v>
      </c>
      <c r="O7" s="209">
        <f t="shared" ca="1" si="1"/>
        <v>137.11511050411701</v>
      </c>
      <c r="P7" s="381">
        <f ca="1">N8-O7</f>
        <v>-1.4201105041170194</v>
      </c>
      <c r="Q7" s="383">
        <f t="shared" ref="Q7" ca="1" si="8">LN(N8/O7)</f>
        <v>-1.0411075518250891E-2</v>
      </c>
      <c r="R7" s="381">
        <f ca="1">N7-O8</f>
        <v>-2.9344792657663561</v>
      </c>
      <c r="S7" s="383">
        <f t="shared" ref="S7" ca="1" si="9">LN(N7/O8)</f>
        <v>-2.1587770906013933E-2</v>
      </c>
      <c r="T7" s="179"/>
      <c r="U7" s="180"/>
      <c r="V7" s="180"/>
      <c r="W7" s="181"/>
      <c r="X7" s="205" cm="1">
        <f t="array" aca="1" ref="X7" ca="1">INDIRECT(ADDRESS($B7,9,,,"mkt data"))</f>
        <v>0</v>
      </c>
      <c r="Y7" s="206">
        <f ca="1">X7*AVERAGE(H7:I7)</f>
        <v>0</v>
      </c>
      <c r="Z7" s="205">
        <f ca="1">X7/M7</f>
        <v>0</v>
      </c>
      <c r="AA7" s="377">
        <f ca="1">SUM(Z7:Z8)</f>
        <v>0</v>
      </c>
      <c r="AB7" s="417" t="str">
        <f t="shared" si="2"/>
        <v>FNCL</v>
      </c>
      <c r="AC7" s="33" cm="1">
        <f t="array" aca="1" ref="AC7" ca="1">INDIRECT(ADDRESS($B7,8,,,"mkt data"))</f>
        <v>79.459998999999996</v>
      </c>
      <c r="AD7" s="394">
        <f t="shared" ca="1" si="3"/>
        <v>79.075000000000003</v>
      </c>
      <c r="AE7" s="394">
        <f t="shared" ca="1" si="4"/>
        <v>-0.38499899999999343</v>
      </c>
      <c r="AF7" s="414">
        <v>0</v>
      </c>
      <c r="AG7" s="394">
        <f t="shared" ca="1" si="5"/>
        <v>-0.38499899999999343</v>
      </c>
      <c r="AH7" s="394">
        <f ca="1">AG7*X7</f>
        <v>0</v>
      </c>
      <c r="AI7" s="402">
        <f ca="1">AH7+AH8</f>
        <v>0</v>
      </c>
    </row>
    <row r="8" spans="1:35" ht="15.75" thickBot="1" x14ac:dyDescent="0.3">
      <c r="A8" s="182">
        <f>MATCH(G8,SCALARS!C:C,0)</f>
        <v>63</v>
      </c>
      <c r="B8" s="183">
        <f>MATCH(G8,'MKT DATA'!B:B,0)</f>
        <v>59</v>
      </c>
      <c r="C8" s="182" t="str" cm="1">
        <f t="array" aca="1" ref="C8" ca="1">INDIRECT(ADDRESS($A8,2,,,"scalars"))</f>
        <v>financials</v>
      </c>
      <c r="D8" s="210" cm="1">
        <f t="array" aca="1" ref="D8" ca="1">INDIRECT(ADDRESS($A8,8,,,"SCALARS"))</f>
        <v>511000</v>
      </c>
      <c r="E8" s="211"/>
      <c r="F8" s="184" t="str" cm="1">
        <f t="array" aca="1" ref="F8" ca="1">INDIRECT(ADDRESS($A8,5,,,"scalars"))</f>
        <v>VFH</v>
      </c>
      <c r="G8" s="219" t="s">
        <v>102</v>
      </c>
      <c r="H8" s="214" cm="1">
        <f t="array" aca="1" ref="H8" ca="1">INDIRECT(ADDRESS($B8,5,,,"mkt data"))</f>
        <v>135.69999999999999</v>
      </c>
      <c r="I8" s="215" cm="1">
        <f t="array" aca="1" ref="I8" ca="1">INDIRECT(ADDRESS($B8,6,,,"mkt data"))</f>
        <v>137.4</v>
      </c>
      <c r="J8" s="287" cm="1">
        <f t="array" aca="1" ref="J8" ca="1">INDIRECT(ADDRESS($A8,7,,,"SCALARS"))</f>
        <v>0</v>
      </c>
      <c r="K8" s="190">
        <f ca="1">H8+J8-K$21</f>
        <v>135.69499999999999</v>
      </c>
      <c r="L8" s="190">
        <f ca="1">I8+J8+K$21</f>
        <v>137.405</v>
      </c>
      <c r="M8" s="220" cm="1">
        <f t="array" aca="1" ref="M8" ca="1">INDIRECT(ADDRESS($A8,6,,,"scalars"))</f>
        <v>1</v>
      </c>
      <c r="N8" s="216">
        <f t="shared" ca="1" si="0"/>
        <v>135.69499999999999</v>
      </c>
      <c r="O8" s="216">
        <f t="shared" ca="1" si="1"/>
        <v>137.405</v>
      </c>
      <c r="P8" s="382"/>
      <c r="Q8" s="384"/>
      <c r="R8" s="382"/>
      <c r="S8" s="384"/>
      <c r="T8" s="193"/>
      <c r="U8" s="194"/>
      <c r="V8" s="194"/>
      <c r="W8" s="195"/>
      <c r="X8" s="212" cm="1">
        <f t="array" aca="1" ref="X8" ca="1">INDIRECT(ADDRESS($B8,9,,,"mkt data"))</f>
        <v>0</v>
      </c>
      <c r="Y8" s="213">
        <f ca="1">X8*AVERAGE(H8:I8)</f>
        <v>0</v>
      </c>
      <c r="Z8" s="212">
        <f ca="1">X8/M8</f>
        <v>0</v>
      </c>
      <c r="AA8" s="378"/>
      <c r="AB8" s="418" t="str">
        <f t="shared" si="2"/>
        <v>VFH</v>
      </c>
      <c r="AC8" s="37" cm="1">
        <f t="array" aca="1" ref="AC8" ca="1">INDIRECT(ADDRESS($B8,8,,,"mkt data"))</f>
        <v>136.44000199999999</v>
      </c>
      <c r="AD8" s="396">
        <f t="shared" ca="1" si="3"/>
        <v>136.55000000000001</v>
      </c>
      <c r="AE8" s="396">
        <f t="shared" ca="1" si="4"/>
        <v>0.10999800000001869</v>
      </c>
      <c r="AF8" s="416">
        <v>0</v>
      </c>
      <c r="AG8" s="396">
        <f t="shared" ca="1" si="5"/>
        <v>0.10999800000001869</v>
      </c>
      <c r="AH8" s="396">
        <f ca="1">AG8*X8</f>
        <v>0</v>
      </c>
      <c r="AI8" s="403"/>
    </row>
    <row r="9" spans="1:35" x14ac:dyDescent="0.25">
      <c r="A9" s="149">
        <f>MATCH(G9,SCALARS!C:C,0)</f>
        <v>64</v>
      </c>
      <c r="B9" s="150">
        <f>MATCH(G9,'MKT DATA'!B:B,0)</f>
        <v>44</v>
      </c>
      <c r="C9" s="149" t="str" cm="1">
        <f t="array" aca="1" ref="C9" ca="1">INDIRECT(ADDRESS($A9,2,,,"scalars"))</f>
        <v>healthcare</v>
      </c>
      <c r="D9" s="239" cm="1">
        <f t="array" aca="1" ref="D9" ca="1">INDIRECT(ADDRESS($A9,8,,,"SCALARS"))</f>
        <v>243500</v>
      </c>
      <c r="E9" s="243"/>
      <c r="F9" s="14" t="str" cm="1">
        <f t="array" aca="1" ref="F9" ca="1">INDIRECT(ADDRESS($A9,5,,,"scalars"))</f>
        <v>VHT</v>
      </c>
      <c r="G9" s="15" t="s">
        <v>104</v>
      </c>
      <c r="H9" s="33" cm="1">
        <f t="array" aca="1" ref="H9" ca="1">INDIRECT(ADDRESS($B9,5,,,"mkt data"))</f>
        <v>80.94</v>
      </c>
      <c r="I9" s="34" cm="1">
        <f t="array" aca="1" ref="I9" ca="1">INDIRECT(ADDRESS($B9,6,,,"mkt data"))</f>
        <v>82.52</v>
      </c>
      <c r="J9" s="278" cm="1">
        <f t="array" aca="1" ref="J9" ca="1">INDIRECT(ADDRESS($A9,7,,,"SCALARS"))</f>
        <v>0</v>
      </c>
      <c r="K9" s="16">
        <f ca="1">H9+J9-K$21</f>
        <v>80.935000000000002</v>
      </c>
      <c r="L9" s="16">
        <f ca="1">I9+J9+K$21</f>
        <v>82.524999999999991</v>
      </c>
      <c r="M9" s="50" cm="1">
        <f t="array" aca="1" ref="M9" ca="1">INDIRECT(ADDRESS($A9,6,,,"scalars"))</f>
        <v>3.8689458567387986</v>
      </c>
      <c r="N9" s="17">
        <f t="shared" ca="1" si="0"/>
        <v>313.1331329151547</v>
      </c>
      <c r="O9" s="17">
        <f t="shared" ca="1" si="1"/>
        <v>319.28475682736934</v>
      </c>
      <c r="P9" s="317">
        <f ca="1">N10-O9</f>
        <v>-3.9297568273693173</v>
      </c>
      <c r="Q9" s="319">
        <f t="shared" ref="Q9" ca="1" si="10">LN(N10/O9)</f>
        <v>-1.2384370854163065E-2</v>
      </c>
      <c r="R9" s="317">
        <f ca="1">N9-O10</f>
        <v>-5.8718670848452916</v>
      </c>
      <c r="S9" s="319">
        <f t="shared" ref="S9" ca="1" si="11">LN(N9/O10)</f>
        <v>-1.857833175964177E-2</v>
      </c>
      <c r="T9" s="80">
        <v>1E-3</v>
      </c>
      <c r="U9" s="51">
        <v>0</v>
      </c>
      <c r="V9" s="51">
        <v>0</v>
      </c>
      <c r="W9" s="81">
        <v>1E-3</v>
      </c>
      <c r="X9" s="27" cm="1">
        <f t="array" aca="1" ref="X9" ca="1">INDIRECT(ADDRESS($B9,9,,,"mkt data"))</f>
        <v>0</v>
      </c>
      <c r="Y9" s="62">
        <f ca="1">X9*AVERAGE(H9:I9)</f>
        <v>0</v>
      </c>
      <c r="Z9" s="27">
        <f ca="1">X9/M9</f>
        <v>0</v>
      </c>
      <c r="AA9" s="315">
        <f ca="1">SUM(Z9:Z10)</f>
        <v>0</v>
      </c>
      <c r="AB9" s="409" t="str">
        <f t="shared" si="2"/>
        <v>FHLC</v>
      </c>
      <c r="AC9" s="391" cm="1">
        <f t="array" aca="1" ref="AC9" ca="1">INDIRECT(ADDRESS($B9,8,,,"mkt data"))</f>
        <v>81.300003000000004</v>
      </c>
      <c r="AD9" s="408">
        <f t="shared" ca="1" si="3"/>
        <v>81.72999999999999</v>
      </c>
      <c r="AE9" s="408">
        <f t="shared" ca="1" si="4"/>
        <v>0.42999699999998597</v>
      </c>
      <c r="AF9" s="415">
        <v>0</v>
      </c>
      <c r="AG9" s="408">
        <f t="shared" ca="1" si="5"/>
        <v>0.42999699999998597</v>
      </c>
      <c r="AH9" s="399">
        <f ca="1">AG9*X9</f>
        <v>0</v>
      </c>
      <c r="AI9" s="400">
        <f ca="1">AH9+AH10</f>
        <v>0</v>
      </c>
    </row>
    <row r="10" spans="1:35" ht="15.75" thickBot="1" x14ac:dyDescent="0.3">
      <c r="A10" s="151">
        <f>MATCH(G10,SCALARS!C:C,0)</f>
        <v>65</v>
      </c>
      <c r="B10" s="152">
        <f>MATCH(G10,'MKT DATA'!B:B,0)</f>
        <v>60</v>
      </c>
      <c r="C10" s="151" t="str" cm="1">
        <f t="array" aca="1" ref="C10" ca="1">INDIRECT(ADDRESS($A10,2,,,"scalars"))</f>
        <v>healthcare</v>
      </c>
      <c r="D10" s="240" cm="1">
        <f t="array" aca="1" ref="D10" ca="1">INDIRECT(ADDRESS($A10,8,,,"SCALARS"))</f>
        <v>596200</v>
      </c>
      <c r="E10" s="244"/>
      <c r="F10" s="20" t="str" cm="1">
        <f t="array" aca="1" ref="F10" ca="1">INDIRECT(ADDRESS($A10,5,,,"scalars"))</f>
        <v>VHT</v>
      </c>
      <c r="G10" s="21" t="s">
        <v>106</v>
      </c>
      <c r="H10" s="37" cm="1">
        <f t="array" aca="1" ref="H10" ca="1">INDIRECT(ADDRESS($B10,5,,,"mkt data"))</f>
        <v>315.36</v>
      </c>
      <c r="I10" s="38" cm="1">
        <f t="array" aca="1" ref="I10" ca="1">INDIRECT(ADDRESS($B10,6,,,"mkt data"))</f>
        <v>319</v>
      </c>
      <c r="J10" s="279" cm="1">
        <f t="array" aca="1" ref="J10" ca="1">INDIRECT(ADDRESS($A10,7,,,"SCALARS"))</f>
        <v>0</v>
      </c>
      <c r="K10" s="22">
        <f ca="1">H10+J10-K$21</f>
        <v>315.35500000000002</v>
      </c>
      <c r="L10" s="22">
        <f ca="1">I10+J10+K$21</f>
        <v>319.005</v>
      </c>
      <c r="M10" s="52" cm="1">
        <f t="array" aca="1" ref="M10" ca="1">INDIRECT(ADDRESS($A10,6,,,"scalars"))</f>
        <v>1</v>
      </c>
      <c r="N10" s="23">
        <f t="shared" ca="1" si="0"/>
        <v>315.35500000000002</v>
      </c>
      <c r="O10" s="23">
        <f t="shared" ca="1" si="1"/>
        <v>319.005</v>
      </c>
      <c r="P10" s="318"/>
      <c r="Q10" s="320"/>
      <c r="R10" s="318"/>
      <c r="S10" s="320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ca="1">X10*AVERAGE(H10:I10)</f>
        <v>0</v>
      </c>
      <c r="Z10" s="29">
        <f ca="1">X10/M10</f>
        <v>0</v>
      </c>
      <c r="AA10" s="316"/>
      <c r="AB10" s="419" t="str">
        <f t="shared" si="2"/>
        <v>VHT</v>
      </c>
      <c r="AC10" s="391" cm="1">
        <f t="array" aca="1" ref="AC10" ca="1">INDIRECT(ADDRESS($B10,8,,,"mkt data"))</f>
        <v>314.66000400000001</v>
      </c>
      <c r="AD10" s="408">
        <f t="shared" ca="1" si="3"/>
        <v>317.18</v>
      </c>
      <c r="AE10" s="408">
        <f t="shared" ca="1" si="4"/>
        <v>2.5199959999999919</v>
      </c>
      <c r="AF10" s="415">
        <v>0</v>
      </c>
      <c r="AG10" s="408">
        <f t="shared" ca="1" si="5"/>
        <v>2.5199959999999919</v>
      </c>
      <c r="AH10" s="399">
        <f ca="1">AG10*X10</f>
        <v>0</v>
      </c>
      <c r="AI10" s="401"/>
    </row>
    <row r="11" spans="1:35" x14ac:dyDescent="0.25">
      <c r="A11" s="168">
        <f>MATCH(G11,SCALARS!C:C,0)</f>
        <v>68</v>
      </c>
      <c r="B11" s="169">
        <f>MATCH(G11,'MKT DATA'!B:B,0)</f>
        <v>45</v>
      </c>
      <c r="C11" s="168" t="str" cm="1">
        <f t="array" aca="1" ref="C11" ca="1">INDIRECT(ADDRESS($A11,2,,,"scalars"))</f>
        <v>industrials</v>
      </c>
      <c r="D11" s="203" cm="1">
        <f t="array" aca="1" ref="D11" ca="1">INDIRECT(ADDRESS($A11,8,,,"SCALARS"))</f>
        <v>132200</v>
      </c>
      <c r="E11" s="204"/>
      <c r="F11" s="170" t="str" cm="1">
        <f t="array" aca="1" ref="F11" ca="1">INDIRECT(ADDRESS($A11,5,,,"scalars"))</f>
        <v>VIS</v>
      </c>
      <c r="G11" s="217" t="s">
        <v>108</v>
      </c>
      <c r="H11" s="207" cm="1">
        <f t="array" aca="1" ref="H11" ca="1">INDIRECT(ADDRESS($B11,5,,,"mkt data"))</f>
        <v>88.68</v>
      </c>
      <c r="I11" s="208" cm="1">
        <f t="array" aca="1" ref="I11" ca="1">INDIRECT(ADDRESS($B11,6,,,"mkt data"))</f>
        <v>90.41</v>
      </c>
      <c r="J11" s="286" cm="1">
        <f t="array" aca="1" ref="J11" ca="1">INDIRECT(ADDRESS($A11,7,,,"SCALARS"))</f>
        <v>0</v>
      </c>
      <c r="K11" s="176">
        <f ca="1">H11+J11-K$21</f>
        <v>88.675000000000011</v>
      </c>
      <c r="L11" s="176">
        <f ca="1">I11+J11+K$21</f>
        <v>90.414999999999992</v>
      </c>
      <c r="M11" s="218" cm="1">
        <f t="array" aca="1" ref="M11" ca="1">INDIRECT(ADDRESS($A11,6,,,"scalars"))</f>
        <v>3.6154183372750159</v>
      </c>
      <c r="N11" s="209">
        <f t="shared" ca="1" si="0"/>
        <v>320.5972210578621</v>
      </c>
      <c r="O11" s="209">
        <f t="shared" ca="1" si="1"/>
        <v>326.88804896472055</v>
      </c>
      <c r="P11" s="381">
        <f ca="1">N12-O11</f>
        <v>-4.9330489647205695</v>
      </c>
      <c r="Q11" s="383">
        <f t="shared" ref="Q11" ca="1" si="12">LN(N12/O11)</f>
        <v>-1.5205970147897759E-2</v>
      </c>
      <c r="R11" s="381">
        <f ca="1">N11-O12</f>
        <v>-7.677778942137877</v>
      </c>
      <c r="S11" s="383">
        <f t="shared" ref="S11" ca="1" si="13">LN(N11/O12)</f>
        <v>-2.3666099548972967E-2</v>
      </c>
      <c r="T11" s="179"/>
      <c r="U11" s="180"/>
      <c r="V11" s="180"/>
      <c r="W11" s="181"/>
      <c r="X11" s="205" cm="1">
        <f t="array" aca="1" ref="X11" ca="1">INDIRECT(ADDRESS($B11,9,,,"mkt data"))</f>
        <v>0</v>
      </c>
      <c r="Y11" s="206">
        <f ca="1">X11*AVERAGE(H11:I11)</f>
        <v>0</v>
      </c>
      <c r="Z11" s="205">
        <f ca="1">X11/M11</f>
        <v>0</v>
      </c>
      <c r="AA11" s="379">
        <f ca="1">SUM(Z11:Z12)</f>
        <v>0</v>
      </c>
      <c r="AB11" s="417" t="str">
        <f t="shared" si="2"/>
        <v>FIDU</v>
      </c>
      <c r="AC11" s="33" cm="1">
        <f t="array" aca="1" ref="AC11" ca="1">INDIRECT(ADDRESS($B11,8,,,"mkt data"))</f>
        <v>89.559997999999993</v>
      </c>
      <c r="AD11" s="394">
        <f t="shared" ca="1" si="3"/>
        <v>89.545000000000002</v>
      </c>
      <c r="AE11" s="394">
        <f t="shared" ca="1" si="4"/>
        <v>-1.4997999999991407E-2</v>
      </c>
      <c r="AF11" s="414">
        <v>0</v>
      </c>
      <c r="AG11" s="394">
        <f t="shared" ca="1" si="5"/>
        <v>-1.4997999999991407E-2</v>
      </c>
      <c r="AH11" s="394">
        <f ca="1">AG11*X11</f>
        <v>0</v>
      </c>
      <c r="AI11" s="402">
        <f ca="1">AH11+AH12</f>
        <v>0</v>
      </c>
    </row>
    <row r="12" spans="1:35" ht="15.75" thickBot="1" x14ac:dyDescent="0.3">
      <c r="A12" s="182">
        <f>MATCH(G12,SCALARS!C:C,0)</f>
        <v>69</v>
      </c>
      <c r="B12" s="183">
        <f>MATCH(G12,'MKT DATA'!B:B,0)</f>
        <v>61</v>
      </c>
      <c r="C12" s="182" t="str" cm="1">
        <f t="array" aca="1" ref="C12" ca="1">INDIRECT(ADDRESS($A12,2,,,"scalars"))</f>
        <v>industrials</v>
      </c>
      <c r="D12" s="210" cm="1">
        <f t="array" aca="1" ref="D12" ca="1">INDIRECT(ADDRESS($A12,8,,,"SCALARS"))</f>
        <v>273500</v>
      </c>
      <c r="E12" s="211"/>
      <c r="F12" s="184" t="str" cm="1">
        <f t="array" aca="1" ref="F12" ca="1">INDIRECT(ADDRESS($A12,5,,,"scalars"))</f>
        <v>VIS</v>
      </c>
      <c r="G12" s="219" t="s">
        <v>134</v>
      </c>
      <c r="H12" s="214" cm="1">
        <f t="array" aca="1" ref="H12" ca="1">INDIRECT(ADDRESS($B12,5,,,"mkt data"))</f>
        <v>321.95999999999998</v>
      </c>
      <c r="I12" s="215" cm="1">
        <f t="array" aca="1" ref="I12" ca="1">INDIRECT(ADDRESS($B12,6,,,"mkt data"))</f>
        <v>328.27</v>
      </c>
      <c r="J12" s="287" cm="1">
        <f t="array" aca="1" ref="J12" ca="1">INDIRECT(ADDRESS($A12,7,,,"SCALARS"))</f>
        <v>0</v>
      </c>
      <c r="K12" s="190">
        <f ca="1">H12+J12-K$21</f>
        <v>321.95499999999998</v>
      </c>
      <c r="L12" s="190">
        <f ca="1">I12+J12+K$21</f>
        <v>328.27499999999998</v>
      </c>
      <c r="M12" s="220" cm="1">
        <f t="array" aca="1" ref="M12" ca="1">INDIRECT(ADDRESS($A12,6,,,"scalars"))</f>
        <v>1</v>
      </c>
      <c r="N12" s="216">
        <f t="shared" ca="1" si="0"/>
        <v>321.95499999999998</v>
      </c>
      <c r="O12" s="216">
        <f t="shared" ca="1" si="1"/>
        <v>328.27499999999998</v>
      </c>
      <c r="P12" s="382"/>
      <c r="Q12" s="384"/>
      <c r="R12" s="382"/>
      <c r="S12" s="384"/>
      <c r="T12" s="193"/>
      <c r="U12" s="194"/>
      <c r="V12" s="194"/>
      <c r="W12" s="195"/>
      <c r="X12" s="212" cm="1">
        <f t="array" aca="1" ref="X12" ca="1">INDIRECT(ADDRESS($B12,9,,,"mkt data"))</f>
        <v>0</v>
      </c>
      <c r="Y12" s="213">
        <f ca="1">X12*AVERAGE(H12:I12)</f>
        <v>0</v>
      </c>
      <c r="Z12" s="212">
        <f ca="1">X12/M12</f>
        <v>0</v>
      </c>
      <c r="AA12" s="380"/>
      <c r="AB12" s="418" t="str">
        <f t="shared" si="2"/>
        <v>VIS</v>
      </c>
      <c r="AC12" s="37" cm="1">
        <f t="array" aca="1" ref="AC12" ca="1">INDIRECT(ADDRESS($B12,8,,,"mkt data"))</f>
        <v>323.85000600000001</v>
      </c>
      <c r="AD12" s="396">
        <f t="shared" ca="1" si="3"/>
        <v>325.11500000000001</v>
      </c>
      <c r="AE12" s="396">
        <f t="shared" ca="1" si="4"/>
        <v>1.2649940000000015</v>
      </c>
      <c r="AF12" s="416">
        <v>0</v>
      </c>
      <c r="AG12" s="396">
        <f t="shared" ca="1" si="5"/>
        <v>1.2649940000000015</v>
      </c>
      <c r="AH12" s="396">
        <f ca="1">AG12*X12</f>
        <v>0</v>
      </c>
      <c r="AI12" s="403"/>
    </row>
    <row r="13" spans="1:35" x14ac:dyDescent="0.25">
      <c r="A13" s="149">
        <f>MATCH(G13,SCALARS!C:C,0)</f>
        <v>76</v>
      </c>
      <c r="B13" s="150">
        <f>MATCH(G13,'MKT DATA'!B:B,0)</f>
        <v>46</v>
      </c>
      <c r="C13" s="149" t="str" cm="1">
        <f t="array" aca="1" ref="C13" ca="1">INDIRECT(ADDRESS($A13,2,,,"scalars"))</f>
        <v>real estate</v>
      </c>
      <c r="D13" s="239" cm="1">
        <f t="array" aca="1" ref="D13" ca="1">INDIRECT(ADDRESS($A13,8,,,"SCALARS"))</f>
        <v>279900</v>
      </c>
      <c r="E13" s="243"/>
      <c r="F13" s="14" t="str" cm="1">
        <f t="array" aca="1" ref="F13" ca="1">INDIRECT(ADDRESS($A13,5,,,"scalars"))</f>
        <v>VNQ</v>
      </c>
      <c r="G13" s="15" t="s">
        <v>110</v>
      </c>
      <c r="H13" s="33" cm="1">
        <f t="array" aca="1" ref="H13" ca="1">INDIRECT(ADDRESS($B13,5,,,"mkt data"))</f>
        <v>27.94</v>
      </c>
      <c r="I13" s="34" cm="1">
        <f t="array" aca="1" ref="I13" ca="1">INDIRECT(ADDRESS($B13,6,,,"mkt data"))</f>
        <v>28.48</v>
      </c>
      <c r="J13" s="278" cm="1">
        <f t="array" aca="1" ref="J13" ca="1">INDIRECT(ADDRESS($A13,7,,,"SCALARS"))</f>
        <v>0</v>
      </c>
      <c r="K13" s="16">
        <f ca="1">H13+J13-K$21</f>
        <v>27.935000000000002</v>
      </c>
      <c r="L13" s="16">
        <f ca="1">I13+J13+K$21</f>
        <v>28.484999999999999</v>
      </c>
      <c r="M13" s="50" cm="1">
        <f t="array" aca="1" ref="M13" ca="1">INDIRECT(ADDRESS($A13,6,,,"scalars"))</f>
        <v>3.2954532909532821</v>
      </c>
      <c r="N13" s="17">
        <f t="shared" ca="1" si="0"/>
        <v>92.058487682779941</v>
      </c>
      <c r="O13" s="17">
        <f t="shared" ca="1" si="1"/>
        <v>93.870986992804234</v>
      </c>
      <c r="P13" s="317">
        <f ca="1">N14-O13</f>
        <v>-0.75598699280422466</v>
      </c>
      <c r="Q13" s="319">
        <f t="shared" ref="Q13" ca="1" si="14">LN(N14/O13)</f>
        <v>-8.0860723748849388E-3</v>
      </c>
      <c r="R13" s="317">
        <f ca="1">N13-O14</f>
        <v>-2.7465123172200521</v>
      </c>
      <c r="S13" s="319">
        <f t="shared" ref="S13" ca="1" si="15">LN(N13/O14)</f>
        <v>-2.9398039749059388E-2</v>
      </c>
      <c r="T13" s="80">
        <v>1E-3</v>
      </c>
      <c r="U13" s="51">
        <v>0</v>
      </c>
      <c r="V13" s="51">
        <v>0</v>
      </c>
      <c r="W13" s="81">
        <v>1E-3</v>
      </c>
      <c r="X13" s="27" cm="1">
        <f t="array" aca="1" ref="X13" ca="1">INDIRECT(ADDRESS($B13,9,,,"mkt data"))</f>
        <v>0</v>
      </c>
      <c r="Y13" s="62">
        <f ca="1">X13*AVERAGE(H13:I13)</f>
        <v>0</v>
      </c>
      <c r="Z13" s="27">
        <f ca="1">X13/M13</f>
        <v>0</v>
      </c>
      <c r="AA13" s="315">
        <f ca="1">SUM(Z13:Z14)</f>
        <v>0</v>
      </c>
      <c r="AB13" s="409" t="str">
        <f t="shared" si="2"/>
        <v>FREL</v>
      </c>
      <c r="AC13" s="391" cm="1">
        <f t="array" aca="1" ref="AC13" ca="1">INDIRECT(ADDRESS($B13,8,,,"mkt data"))</f>
        <v>28.34</v>
      </c>
      <c r="AD13" s="408">
        <f t="shared" ca="1" si="3"/>
        <v>28.21</v>
      </c>
      <c r="AE13" s="408">
        <f t="shared" ca="1" si="4"/>
        <v>-0.12999999999999901</v>
      </c>
      <c r="AF13" s="415">
        <v>0</v>
      </c>
      <c r="AG13" s="408">
        <f t="shared" ca="1" si="5"/>
        <v>-0.12999999999999901</v>
      </c>
      <c r="AH13" s="399">
        <f ca="1">AG13*X13</f>
        <v>0</v>
      </c>
      <c r="AI13" s="400">
        <f ca="1">AH13+AH14</f>
        <v>0</v>
      </c>
    </row>
    <row r="14" spans="1:35" ht="15.75" thickBot="1" x14ac:dyDescent="0.3">
      <c r="A14" s="151">
        <f>MATCH(G14,SCALARS!C:C,0)</f>
        <v>77</v>
      </c>
      <c r="B14" s="152">
        <f>MATCH(G14,'MKT DATA'!B:B,0)</f>
        <v>62</v>
      </c>
      <c r="C14" s="151" t="str" cm="1">
        <f t="array" aca="1" ref="C14" ca="1">INDIRECT(ADDRESS($A14,2,,,"scalars"))</f>
        <v>real estate</v>
      </c>
      <c r="D14" s="240" cm="1">
        <f t="array" aca="1" ref="D14" ca="1">INDIRECT(ADDRESS($A14,8,,,"SCALARS"))</f>
        <v>3242200</v>
      </c>
      <c r="E14" s="244"/>
      <c r="F14" s="20" t="str" cm="1">
        <f t="array" aca="1" ref="F14" ca="1">INDIRECT(ADDRESS($A14,5,,,"scalars"))</f>
        <v>VNQ</v>
      </c>
      <c r="G14" s="21" t="s">
        <v>112</v>
      </c>
      <c r="H14" s="37" cm="1">
        <f t="array" aca="1" ref="H14" ca="1">INDIRECT(ADDRESS($B14,5,,,"mkt data"))</f>
        <v>93.12</v>
      </c>
      <c r="I14" s="38" cm="1">
        <f t="array" aca="1" ref="I14" ca="1">INDIRECT(ADDRESS($B14,6,,,"mkt data"))</f>
        <v>94.8</v>
      </c>
      <c r="J14" s="279" cm="1">
        <f t="array" aca="1" ref="J14" ca="1">INDIRECT(ADDRESS($A14,7,,,"SCALARS"))</f>
        <v>0</v>
      </c>
      <c r="K14" s="22">
        <f ca="1">H14+J14-K$21</f>
        <v>93.115000000000009</v>
      </c>
      <c r="L14" s="22">
        <f ca="1">I14+J14+K$21</f>
        <v>94.804999999999993</v>
      </c>
      <c r="M14" s="52" cm="1">
        <f t="array" aca="1" ref="M14" ca="1">INDIRECT(ADDRESS($A14,6,,,"scalars"))</f>
        <v>1</v>
      </c>
      <c r="N14" s="23">
        <f t="shared" ca="1" si="0"/>
        <v>93.115000000000009</v>
      </c>
      <c r="O14" s="23">
        <f t="shared" ca="1" si="1"/>
        <v>94.804999999999993</v>
      </c>
      <c r="P14" s="318"/>
      <c r="Q14" s="320"/>
      <c r="R14" s="318"/>
      <c r="S14" s="320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ca="1">X14*AVERAGE(H14:I14)</f>
        <v>0</v>
      </c>
      <c r="Z14" s="29">
        <f ca="1">X14/M14</f>
        <v>0</v>
      </c>
      <c r="AA14" s="316"/>
      <c r="AB14" s="419" t="str">
        <f t="shared" si="2"/>
        <v>VNQ</v>
      </c>
      <c r="AC14" s="391" cm="1">
        <f t="array" aca="1" ref="AC14" ca="1">INDIRECT(ADDRESS($B14,8,,,"mkt data"))</f>
        <v>93.480002999999996</v>
      </c>
      <c r="AD14" s="408">
        <f t="shared" ca="1" si="3"/>
        <v>93.960000000000008</v>
      </c>
      <c r="AE14" s="408">
        <f t="shared" ca="1" si="4"/>
        <v>0.47999700000001155</v>
      </c>
      <c r="AF14" s="415">
        <v>0</v>
      </c>
      <c r="AG14" s="408">
        <f t="shared" ca="1" si="5"/>
        <v>0.47999700000001155</v>
      </c>
      <c r="AH14" s="399">
        <f ca="1">AG14*X14</f>
        <v>0</v>
      </c>
      <c r="AI14" s="401"/>
    </row>
    <row r="15" spans="1:35" x14ac:dyDescent="0.25">
      <c r="A15" s="149">
        <f>MATCH(G15,SCALARS!C:C,0)</f>
        <v>78</v>
      </c>
      <c r="B15" s="150">
        <f>MATCH(G15,'MKT DATA'!B:B,0)</f>
        <v>47</v>
      </c>
      <c r="C15" s="149" t="str" cm="1">
        <f t="array" aca="1" ref="C15" ca="1">INDIRECT(ADDRESS($A15,2,,,"scalars"))</f>
        <v>staples</v>
      </c>
      <c r="D15" s="239" cm="1">
        <f t="array" aca="1" ref="D15" ca="1">INDIRECT(ADDRESS($A15,8,,,"SCALARS"))</f>
        <v>126400</v>
      </c>
      <c r="E15" s="243"/>
      <c r="F15" s="14" t="str" cm="1">
        <f t="array" aca="1" ref="F15" ca="1">INDIRECT(ADDRESS($A15,5,,,"scalars"))</f>
        <v>VDC</v>
      </c>
      <c r="G15" s="15" t="s">
        <v>94</v>
      </c>
      <c r="H15" s="33" cm="1">
        <f t="array" aca="1" ref="H15" ca="1">INDIRECT(ADDRESS($B15,5,,,"mkt data"))</f>
        <v>51.68</v>
      </c>
      <c r="I15" s="34" cm="1">
        <f t="array" aca="1" ref="I15" ca="1">INDIRECT(ADDRESS($B15,6,,,"mkt data"))</f>
        <v>52.69</v>
      </c>
      <c r="J15" s="278" cm="1">
        <f t="array" aca="1" ref="J15" ca="1">INDIRECT(ADDRESS($A15,7,,,"SCALARS"))</f>
        <v>0</v>
      </c>
      <c r="K15" s="16">
        <f ca="1">H15+J15-K$21</f>
        <v>51.674999999999997</v>
      </c>
      <c r="L15" s="16">
        <f ca="1">I15+J15+K$21</f>
        <v>52.695</v>
      </c>
      <c r="M15" s="50" cm="1">
        <f t="array" aca="1" ref="M15" ca="1">INDIRECT(ADDRESS($A15,6,,,"scalars"))</f>
        <v>4.291461930616407</v>
      </c>
      <c r="N15" s="17">
        <f t="shared" ca="1" si="0"/>
        <v>221.76129526460281</v>
      </c>
      <c r="O15" s="17">
        <f t="shared" ca="1" si="1"/>
        <v>226.13858643383156</v>
      </c>
      <c r="P15" s="317">
        <f ca="1">N16-O15</f>
        <v>-3.1335864338315673</v>
      </c>
      <c r="Q15" s="319">
        <f t="shared" ref="Q15" ca="1" si="16">LN(N16/O15)</f>
        <v>-1.3953832908784304E-2</v>
      </c>
      <c r="R15" s="317">
        <f ca="1">N15-O16</f>
        <v>-5.6237047353971832</v>
      </c>
      <c r="S15" s="319">
        <f t="shared" ref="S15" ca="1" si="17">LN(N15/O16)</f>
        <v>-2.5043059255951378E-2</v>
      </c>
      <c r="T15" s="80">
        <v>1E-3</v>
      </c>
      <c r="U15" s="51">
        <v>0</v>
      </c>
      <c r="V15" s="51">
        <v>0</v>
      </c>
      <c r="W15" s="81">
        <v>1E-3</v>
      </c>
      <c r="X15" s="27" cm="1">
        <f t="array" aca="1" ref="X15" ca="1">INDIRECT(ADDRESS($B15,9,,,"mkt data"))</f>
        <v>0</v>
      </c>
      <c r="Y15" s="62">
        <f ca="1">X15*AVERAGE(H15:I15)</f>
        <v>0</v>
      </c>
      <c r="Z15" s="27">
        <f ca="1">X15/M15</f>
        <v>0</v>
      </c>
      <c r="AA15" s="355">
        <f ca="1">SUM(Z15:Z16)</f>
        <v>0</v>
      </c>
      <c r="AB15" s="409" t="str">
        <f t="shared" si="2"/>
        <v>FSTA</v>
      </c>
      <c r="AC15" s="33" cm="1">
        <f t="array" aca="1" ref="AC15" ca="1">INDIRECT(ADDRESS($B15,8,,,"mkt data"))</f>
        <v>52.459999000000003</v>
      </c>
      <c r="AD15" s="394">
        <f t="shared" ca="1" si="3"/>
        <v>52.185000000000002</v>
      </c>
      <c r="AE15" s="394">
        <f t="shared" ca="1" si="4"/>
        <v>-0.2749990000000011</v>
      </c>
      <c r="AF15" s="414">
        <v>0</v>
      </c>
      <c r="AG15" s="394">
        <f t="shared" ca="1" si="5"/>
        <v>-0.2749990000000011</v>
      </c>
      <c r="AH15" s="394">
        <f ca="1">AG15*X15</f>
        <v>0</v>
      </c>
      <c r="AI15" s="402">
        <f ca="1">AH15+AH16</f>
        <v>0</v>
      </c>
    </row>
    <row r="16" spans="1:35" ht="15.75" thickBot="1" x14ac:dyDescent="0.3">
      <c r="A16" s="151">
        <f>MATCH(G16,SCALARS!C:C,0)</f>
        <v>79</v>
      </c>
      <c r="B16" s="152">
        <f>MATCH(G16,'MKT DATA'!B:B,0)</f>
        <v>63</v>
      </c>
      <c r="C16" s="151" t="str" cm="1">
        <f t="array" aca="1" ref="C16" ca="1">INDIRECT(ADDRESS($A16,2,,,"scalars"))</f>
        <v>staples</v>
      </c>
      <c r="D16" s="240" cm="1">
        <f t="array" aca="1" ref="D16" ca="1">INDIRECT(ADDRESS($A16,8,,,"SCALARS"))</f>
        <v>157000</v>
      </c>
      <c r="E16" s="244"/>
      <c r="F16" s="20" t="str" cm="1">
        <f t="array" aca="1" ref="F16" ca="1">INDIRECT(ADDRESS($A16,5,,,"scalars"))</f>
        <v>VDC</v>
      </c>
      <c r="G16" s="21" t="s">
        <v>95</v>
      </c>
      <c r="H16" s="37" cm="1">
        <f t="array" aca="1" ref="H16" ca="1">INDIRECT(ADDRESS($B16,5,,,"mkt data"))</f>
        <v>223.01</v>
      </c>
      <c r="I16" s="38" cm="1">
        <f t="array" aca="1" ref="I16" ca="1">INDIRECT(ADDRESS($B16,6,,,"mkt data"))</f>
        <v>227.38</v>
      </c>
      <c r="J16" s="279" cm="1">
        <f t="array" aca="1" ref="J16" ca="1">INDIRECT(ADDRESS($A16,7,,,"SCALARS"))</f>
        <v>0</v>
      </c>
      <c r="K16" s="22">
        <f ca="1">H16+J16-K$21</f>
        <v>223.005</v>
      </c>
      <c r="L16" s="22">
        <f ca="1">I16+J16+K$21</f>
        <v>227.38499999999999</v>
      </c>
      <c r="M16" s="52" cm="1">
        <f t="array" aca="1" ref="M16" ca="1">INDIRECT(ADDRESS($A16,6,,,"scalars"))</f>
        <v>1</v>
      </c>
      <c r="N16" s="23">
        <f t="shared" ca="1" si="0"/>
        <v>223.005</v>
      </c>
      <c r="O16" s="23">
        <f t="shared" ca="1" si="1"/>
        <v>227.38499999999999</v>
      </c>
      <c r="P16" s="318"/>
      <c r="Q16" s="320"/>
      <c r="R16" s="318"/>
      <c r="S16" s="320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ca="1">X16*AVERAGE(H16:I16)</f>
        <v>0</v>
      </c>
      <c r="Z16" s="29">
        <f ca="1">X16/M16</f>
        <v>0</v>
      </c>
      <c r="AA16" s="357"/>
      <c r="AB16" s="419" t="str">
        <f t="shared" si="2"/>
        <v>VDC</v>
      </c>
      <c r="AC16" s="37" cm="1">
        <f t="array" aca="1" ref="AC16" ca="1">INDIRECT(ADDRESS($B16,8,,,"mkt data"))</f>
        <v>225.11000100000001</v>
      </c>
      <c r="AD16" s="396">
        <f t="shared" ca="1" si="3"/>
        <v>225.19499999999999</v>
      </c>
      <c r="AE16" s="396">
        <f t="shared" ca="1" si="4"/>
        <v>8.4998999999982061E-2</v>
      </c>
      <c r="AF16" s="416">
        <v>0</v>
      </c>
      <c r="AG16" s="396">
        <f t="shared" ca="1" si="5"/>
        <v>8.4998999999982061E-2</v>
      </c>
      <c r="AH16" s="396">
        <f ca="1">AG16*X16</f>
        <v>0</v>
      </c>
      <c r="AI16" s="403"/>
    </row>
    <row r="17" spans="1:35" x14ac:dyDescent="0.25">
      <c r="A17" s="149">
        <f>MATCH(G17,SCALARS!C:C,0)</f>
        <v>83</v>
      </c>
      <c r="B17" s="150">
        <f>MATCH(G17,'MKT DATA'!B:B,0)</f>
        <v>64</v>
      </c>
      <c r="C17" s="149" t="str" cm="1">
        <f t="array" aca="1" ref="C17" ca="1">INDIRECT(ADDRESS($A17,2,,,"scalars"))</f>
        <v>technology</v>
      </c>
      <c r="D17" s="239" cm="1">
        <f t="array" aca="1" ref="D17" ca="1">INDIRECT(ADDRESS($A17,8,,,"SCALARS"))</f>
        <v>10088900</v>
      </c>
      <c r="E17" s="243"/>
      <c r="F17" s="14" t="str" cm="1">
        <f t="array" aca="1" ref="F17" ca="1">INDIRECT(ADDRESS($A17,5,,,"scalars"))</f>
        <v>FTEC</v>
      </c>
      <c r="G17" s="164" t="s">
        <v>116</v>
      </c>
      <c r="H17" s="33" cm="1">
        <f t="array" aca="1" ref="H17" ca="1">INDIRECT(ADDRESS($B17,5,,,"mkt data"))</f>
        <v>121.32</v>
      </c>
      <c r="I17" s="34" cm="1">
        <f t="array" aca="1" ref="I17" ca="1">INDIRECT(ADDRESS($B17,6,,,"mkt data"))</f>
        <v>121.59</v>
      </c>
      <c r="J17" s="278" cm="1">
        <f t="array" aca="1" ref="J17" ca="1">INDIRECT(ADDRESS($A17,7,,,"SCALARS"))</f>
        <v>0</v>
      </c>
      <c r="K17" s="16">
        <f ca="1">H17+J17-K$21</f>
        <v>121.315</v>
      </c>
      <c r="L17" s="16">
        <f ca="1">I17+J17+K$21</f>
        <v>121.595</v>
      </c>
      <c r="M17" s="162" cm="1">
        <f t="array" aca="1" ref="M17" ca="1">INDIRECT(ADDRESS($A17,6,,,"scalars"))</f>
        <v>2.3865371416572874</v>
      </c>
      <c r="N17" s="17">
        <f t="shared" ca="1" si="0"/>
        <v>289.52275334015383</v>
      </c>
      <c r="O17" s="17">
        <f t="shared" ca="1" si="1"/>
        <v>290.19098373981785</v>
      </c>
      <c r="P17" s="317">
        <f ca="1">N18-O17</f>
        <v>-3.7959837398178706</v>
      </c>
      <c r="Q17" s="319">
        <f t="shared" ref="Q17" ca="1" si="18">LN(N18/O17)</f>
        <v>-1.3167294008525537E-2</v>
      </c>
      <c r="R17" s="317">
        <f ca="1">N17-O18</f>
        <v>-2.4922466598461597</v>
      </c>
      <c r="S17" s="319">
        <f t="shared" ref="S17" ca="1" si="19">LN(N17/O18)</f>
        <v>-8.5712815845315725E-3</v>
      </c>
      <c r="T17" s="80">
        <v>1E-3</v>
      </c>
      <c r="U17" s="51">
        <v>0</v>
      </c>
      <c r="V17" s="51">
        <v>0</v>
      </c>
      <c r="W17" s="81">
        <v>1E-3</v>
      </c>
      <c r="X17" s="27" cm="1">
        <f t="array" aca="1" ref="X17" ca="1">INDIRECT(ADDRESS($B17,9,,,"mkt data"))</f>
        <v>0</v>
      </c>
      <c r="Y17" s="62">
        <f ca="1">X17*AVERAGE(H17:I17)</f>
        <v>0</v>
      </c>
      <c r="Z17" s="27">
        <f ca="1">X17/M17</f>
        <v>0</v>
      </c>
      <c r="AA17" s="355">
        <f ca="1">SUM(Z17:Z18)</f>
        <v>0</v>
      </c>
      <c r="AB17" s="420" t="str">
        <f t="shared" si="2"/>
        <v>VGT</v>
      </c>
      <c r="AC17" s="33" cm="1">
        <f t="array" aca="1" ref="AC17" ca="1">INDIRECT(ADDRESS($B17,8,,,"mkt data"))</f>
        <v>118.91999800000001</v>
      </c>
      <c r="AD17" s="394">
        <f t="shared" ref="AD17:AD20" ca="1" si="20">AVERAGE(H17,I17)</f>
        <v>121.455</v>
      </c>
      <c r="AE17" s="394">
        <f t="shared" ref="AE17:AE20" ca="1" si="21">AD17-AC17</f>
        <v>2.5350019999999915</v>
      </c>
      <c r="AF17" s="414">
        <v>0</v>
      </c>
      <c r="AG17" s="394">
        <f t="shared" ref="AG17:AG20" ca="1" si="22">AE17+AF17</f>
        <v>2.5350019999999915</v>
      </c>
      <c r="AH17" s="394">
        <f ca="1">AG17*X17</f>
        <v>0</v>
      </c>
      <c r="AI17" s="402">
        <f t="shared" ref="AI17" ca="1" si="23">AH17+AH18</f>
        <v>0</v>
      </c>
    </row>
    <row r="18" spans="1:35" ht="15.75" thickBot="1" x14ac:dyDescent="0.3">
      <c r="A18" s="151">
        <f>MATCH(G18,SCALARS!C:C,0)</f>
        <v>82</v>
      </c>
      <c r="B18" s="152">
        <f>MATCH(G18,'MKT DATA'!B:B,0)</f>
        <v>48</v>
      </c>
      <c r="C18" s="151" t="str" cm="1">
        <f t="array" aca="1" ref="C18" ca="1">INDIRECT(ADDRESS($A18,2,,,"scalars"))</f>
        <v>technology</v>
      </c>
      <c r="D18" s="240" cm="1">
        <f t="array" aca="1" ref="D18" ca="1">INDIRECT(ADDRESS($A18,8,,,"SCALARS"))</f>
        <v>267100</v>
      </c>
      <c r="E18" s="244"/>
      <c r="F18" s="20" t="str" cm="1">
        <f t="array" aca="1" ref="F18" ca="1">INDIRECT(ADDRESS($A18,5,,,"scalars"))</f>
        <v>FTEC</v>
      </c>
      <c r="G18" s="165" t="s">
        <v>114</v>
      </c>
      <c r="H18" s="37" cm="1">
        <f t="array" aca="1" ref="H18" ca="1">INDIRECT(ADDRESS($B18,5,,,"mkt data"))</f>
        <v>286.39999999999998</v>
      </c>
      <c r="I18" s="38" cm="1">
        <f t="array" aca="1" ref="I18" ca="1">INDIRECT(ADDRESS($B18,6,,,"mkt data"))</f>
        <v>292.01</v>
      </c>
      <c r="J18" s="279" cm="1">
        <f t="array" aca="1" ref="J18" ca="1">INDIRECT(ADDRESS($A18,7,,,"SCALARS"))</f>
        <v>0</v>
      </c>
      <c r="K18" s="22">
        <f ca="1">H18+J18-K$21</f>
        <v>286.39499999999998</v>
      </c>
      <c r="L18" s="22">
        <f ca="1">I18+J18+K$21</f>
        <v>292.01499999999999</v>
      </c>
      <c r="M18" s="163" cm="1">
        <f t="array" aca="1" ref="M18" ca="1">INDIRECT(ADDRESS($A18,6,,,"scalars"))</f>
        <v>1</v>
      </c>
      <c r="N18" s="23">
        <f t="shared" ca="1" si="0"/>
        <v>286.39499999999998</v>
      </c>
      <c r="O18" s="23">
        <f t="shared" ca="1" si="1"/>
        <v>292.01499999999999</v>
      </c>
      <c r="P18" s="318"/>
      <c r="Q18" s="320"/>
      <c r="R18" s="318"/>
      <c r="S18" s="320"/>
      <c r="T18" s="82" t="b">
        <f ca="1">IF(Q17&gt;T17,TRUE,FALSE)</f>
        <v>0</v>
      </c>
      <c r="U18" s="53" t="b">
        <f ca="1">AND(IF(S17&gt;-U17,TRUE,FALSE),IF(X17&gt;0,TRUE,FALSE))</f>
        <v>0</v>
      </c>
      <c r="V18" s="53" t="b">
        <f ca="1">AND(IF(Q17&gt;-V17,TRUE,FALSE),IF(X17&lt;0,TRUE,FALSE))</f>
        <v>0</v>
      </c>
      <c r="W18" s="83" t="b">
        <f ca="1">IF(S17&gt;W17,TRUE,FALSE)</f>
        <v>0</v>
      </c>
      <c r="X18" s="29" cm="1">
        <f t="array" aca="1" ref="X18" ca="1">INDIRECT(ADDRESS($B18,9,,,"mkt data"))</f>
        <v>0</v>
      </c>
      <c r="Y18" s="64">
        <f ca="1">X18*AVERAGE(H18:I18)</f>
        <v>0</v>
      </c>
      <c r="Z18" s="29">
        <f ca="1">X18/M18</f>
        <v>0</v>
      </c>
      <c r="AA18" s="357"/>
      <c r="AB18" s="421" t="str">
        <f t="shared" si="2"/>
        <v>FTEC</v>
      </c>
      <c r="AC18" s="37" cm="1">
        <f t="array" aca="1" ref="AC18" ca="1">INDIRECT(ADDRESS($B18,8,,,"mkt data"))</f>
        <v>283.790009</v>
      </c>
      <c r="AD18" s="396">
        <f t="shared" ca="1" si="20"/>
        <v>289.20499999999998</v>
      </c>
      <c r="AE18" s="396">
        <f t="shared" ca="1" si="21"/>
        <v>5.4149909999999863</v>
      </c>
      <c r="AF18" s="416">
        <v>0</v>
      </c>
      <c r="AG18" s="396">
        <f t="shared" ca="1" si="22"/>
        <v>5.4149909999999863</v>
      </c>
      <c r="AH18" s="396">
        <f ca="1">AG18*X18</f>
        <v>0</v>
      </c>
      <c r="AI18" s="403"/>
    </row>
    <row r="19" spans="1:35" x14ac:dyDescent="0.25">
      <c r="A19" s="149">
        <f>MATCH(G19,SCALARS!C:C,0)</f>
        <v>88</v>
      </c>
      <c r="B19" s="150">
        <f>MATCH(G19,'MKT DATA'!B:B,0)</f>
        <v>49</v>
      </c>
      <c r="C19" s="149" t="str" cm="1">
        <f t="array" aca="1" ref="C19" ca="1">INDIRECT(ADDRESS($A19,2,,,"scalars"))</f>
        <v>utilities</v>
      </c>
      <c r="D19" s="239" cm="1">
        <f t="array" aca="1" ref="D19" ca="1">INDIRECT(ADDRESS($A19,8,,,"SCALARS"))</f>
        <v>396300</v>
      </c>
      <c r="E19" s="243"/>
      <c r="F19" s="14" t="str" cm="1">
        <f t="array" aca="1" ref="F19" ca="1">INDIRECT(ADDRESS($A19,5,,,"scalars"))</f>
        <v>VPU</v>
      </c>
      <c r="G19" s="15" t="s">
        <v>118</v>
      </c>
      <c r="H19" s="33" cm="1">
        <f t="array" aca="1" ref="H19" ca="1">INDIRECT(ADDRESS($B19,5,,,"mkt data"))</f>
        <v>52.98</v>
      </c>
      <c r="I19" s="34" cm="1">
        <f t="array" aca="1" ref="I19" ca="1">INDIRECT(ADDRESS($B19,6,,,"mkt data"))</f>
        <v>54.01</v>
      </c>
      <c r="J19" s="278" cm="1">
        <f t="array" aca="1" ref="J19" ca="1">INDIRECT(ADDRESS($A19,7,,,"SCALARS"))</f>
        <v>0</v>
      </c>
      <c r="K19" s="16">
        <f ca="1">H19+J19-K$21</f>
        <v>52.974999999999994</v>
      </c>
      <c r="L19" s="16">
        <f ca="1">I19+J19+K$21</f>
        <v>54.015000000000001</v>
      </c>
      <c r="M19" s="50" cm="1">
        <f t="array" aca="1" ref="M19" ca="1">INDIRECT(ADDRESS($A19,6,,,"scalars"))</f>
        <v>3.3499325666336746</v>
      </c>
      <c r="N19" s="17">
        <f t="shared" ca="1" si="0"/>
        <v>177.4626777174189</v>
      </c>
      <c r="O19" s="17">
        <f t="shared" ca="1" si="1"/>
        <v>180.94660758671793</v>
      </c>
      <c r="P19" s="317">
        <f ca="1">N20-O19</f>
        <v>-2.1816075867179165</v>
      </c>
      <c r="Q19" s="319">
        <f t="shared" ref="Q19" ca="1" si="24">LN(N20/O19)</f>
        <v>-1.2129907902967162E-2</v>
      </c>
      <c r="R19" s="317">
        <f ca="1">N19-O20</f>
        <v>-4.8123222825811069</v>
      </c>
      <c r="S19" s="319">
        <f t="shared" ref="S19" ca="1" si="25">LN(N19/O20)</f>
        <v>-2.6756215266836789E-2</v>
      </c>
      <c r="T19" s="80">
        <v>1E-3</v>
      </c>
      <c r="U19" s="51">
        <v>0</v>
      </c>
      <c r="V19" s="51">
        <v>0</v>
      </c>
      <c r="W19" s="81">
        <v>1E-3</v>
      </c>
      <c r="X19" s="27" cm="1">
        <f t="array" aca="1" ref="X19" ca="1">INDIRECT(ADDRESS($B19,9,,,"mkt data"))</f>
        <v>0</v>
      </c>
      <c r="Y19" s="62">
        <f ca="1">X19*AVERAGE(H19:I19)</f>
        <v>0</v>
      </c>
      <c r="Z19" s="27">
        <f ca="1">X19/M19</f>
        <v>0</v>
      </c>
      <c r="AA19" s="358">
        <f ca="1">SUM(Z19:Z20)</f>
        <v>0</v>
      </c>
      <c r="AB19" s="409" t="str">
        <f t="shared" si="2"/>
        <v>FUTY</v>
      </c>
      <c r="AC19" s="33" cm="1">
        <f t="array" aca="1" ref="AC19" ca="1">INDIRECT(ADDRESS($B19,8,,,"mkt data"))</f>
        <v>53.380001</v>
      </c>
      <c r="AD19" s="394">
        <f t="shared" ca="1" si="20"/>
        <v>53.494999999999997</v>
      </c>
      <c r="AE19" s="394">
        <f t="shared" ca="1" si="21"/>
        <v>0.11499899999999741</v>
      </c>
      <c r="AF19" s="414">
        <v>0</v>
      </c>
      <c r="AG19" s="394">
        <f t="shared" ca="1" si="22"/>
        <v>0.11499899999999741</v>
      </c>
      <c r="AH19" s="394">
        <f ca="1">AG19*X19</f>
        <v>0</v>
      </c>
      <c r="AI19" s="402">
        <f t="shared" ref="AI19" ca="1" si="26">AH19+AH20</f>
        <v>0</v>
      </c>
    </row>
    <row r="20" spans="1:35" ht="15.75" thickBot="1" x14ac:dyDescent="0.3">
      <c r="A20" s="151">
        <f>MATCH(G20,SCALARS!C:C,0)</f>
        <v>89</v>
      </c>
      <c r="B20" s="152">
        <f>MATCH(G20,'MKT DATA'!B:B,0)</f>
        <v>65</v>
      </c>
      <c r="C20" s="151" t="str" cm="1">
        <f t="array" aca="1" ref="C20" ca="1">INDIRECT(ADDRESS($A20,2,,,"scalars"))</f>
        <v>utilities</v>
      </c>
      <c r="D20" s="240" cm="1">
        <f t="array" aca="1" ref="D20" ca="1">INDIRECT(ADDRESS($A20,8,,,"SCALARS"))</f>
        <v>274500</v>
      </c>
      <c r="E20" s="244"/>
      <c r="F20" s="20" t="str" cm="1">
        <f t="array" aca="1" ref="F20" ca="1">INDIRECT(ADDRESS($A20,5,,,"scalars"))</f>
        <v>VPU</v>
      </c>
      <c r="G20" s="21" t="s">
        <v>120</v>
      </c>
      <c r="H20" s="37" cm="1">
        <f t="array" aca="1" ref="H20" ca="1">INDIRECT(ADDRESS($B20,5,,,"mkt data"))</f>
        <v>178.77</v>
      </c>
      <c r="I20" s="38" cm="1">
        <f t="array" aca="1" ref="I20" ca="1">INDIRECT(ADDRESS($B20,6,,,"mkt data"))</f>
        <v>182.27</v>
      </c>
      <c r="J20" s="279" cm="1">
        <f t="array" aca="1" ref="J20" ca="1">INDIRECT(ADDRESS($A20,7,,,"SCALARS"))</f>
        <v>0</v>
      </c>
      <c r="K20" s="22">
        <f ca="1">H20+J20-K$21</f>
        <v>178.76500000000001</v>
      </c>
      <c r="L20" s="22">
        <f ca="1">I20+J20+K$21</f>
        <v>182.27500000000001</v>
      </c>
      <c r="M20" s="52" cm="1">
        <f t="array" aca="1" ref="M20" ca="1">INDIRECT(ADDRESS($A20,6,,,"scalars"))</f>
        <v>1</v>
      </c>
      <c r="N20" s="23">
        <f t="shared" ca="1" si="0"/>
        <v>178.76500000000001</v>
      </c>
      <c r="O20" s="23">
        <f t="shared" ca="1" si="1"/>
        <v>182.27500000000001</v>
      </c>
      <c r="P20" s="318"/>
      <c r="Q20" s="320"/>
      <c r="R20" s="318"/>
      <c r="S20" s="320"/>
      <c r="T20" s="82" t="b">
        <f ca="1">IF(Q19&gt;T19,TRUE,FALSE)</f>
        <v>0</v>
      </c>
      <c r="U20" s="53" t="b">
        <f ca="1">AND(IF(S19&gt;-U19,TRUE,FALSE),IF(X19&gt;0,TRUE,FALSE))</f>
        <v>0</v>
      </c>
      <c r="V20" s="53" t="b">
        <f ca="1">AND(IF(Q19&gt;-V19,TRUE,FALSE),IF(X19&lt;0,TRUE,FALSE))</f>
        <v>0</v>
      </c>
      <c r="W20" s="83" t="b">
        <f ca="1">IF(S19&gt;W19,TRUE,FALSE)</f>
        <v>0</v>
      </c>
      <c r="X20" s="29" cm="1">
        <f t="array" aca="1" ref="X20" ca="1">INDIRECT(ADDRESS($B20,9,,,"mkt data"))</f>
        <v>0</v>
      </c>
      <c r="Y20" s="64">
        <f ca="1">X20*AVERAGE(H20:I20)</f>
        <v>0</v>
      </c>
      <c r="Z20" s="29">
        <f ca="1">X20/M20</f>
        <v>0</v>
      </c>
      <c r="AA20" s="360"/>
      <c r="AB20" s="419" t="str">
        <f t="shared" si="2"/>
        <v>VPU</v>
      </c>
      <c r="AC20" s="37" cm="1">
        <f t="array" aca="1" ref="AC20" ca="1">INDIRECT(ADDRESS($B20,8,,,"mkt data"))</f>
        <v>178.949997</v>
      </c>
      <c r="AD20" s="396">
        <f t="shared" ca="1" si="20"/>
        <v>180.52</v>
      </c>
      <c r="AE20" s="396">
        <f t="shared" ca="1" si="21"/>
        <v>1.570003000000014</v>
      </c>
      <c r="AF20" s="416">
        <v>0</v>
      </c>
      <c r="AG20" s="396">
        <f t="shared" ca="1" si="22"/>
        <v>1.570003000000014</v>
      </c>
      <c r="AH20" s="396">
        <f ca="1">AG20*X20</f>
        <v>0</v>
      </c>
      <c r="AI20" s="403"/>
    </row>
    <row r="21" spans="1:35" ht="15.75" thickBot="1" x14ac:dyDescent="0.3">
      <c r="A21" s="255"/>
      <c r="B21" s="255"/>
      <c r="C21" s="255"/>
      <c r="D21" s="255"/>
      <c r="E21" s="255"/>
      <c r="F21" s="255"/>
      <c r="G21" s="255"/>
      <c r="H21" s="255"/>
      <c r="I21" s="255"/>
      <c r="J21" s="290"/>
      <c r="K21" s="452">
        <v>5.0000000000000001E-3</v>
      </c>
      <c r="L21" s="452"/>
      <c r="M21" s="255"/>
      <c r="N21" s="255"/>
      <c r="O21" s="255"/>
      <c r="P21" s="412" t="str">
        <f>'MKT DATA'!J2</f>
        <v>2026-09-17_23-38-55</v>
      </c>
      <c r="Q21" s="412"/>
      <c r="R21" s="412"/>
      <c r="S21" s="412"/>
      <c r="T21" s="291"/>
      <c r="U21" s="291"/>
      <c r="V21" s="291"/>
      <c r="W21" s="291"/>
      <c r="X21" s="255"/>
      <c r="Y21" s="255"/>
      <c r="Z21" s="255"/>
      <c r="AA21" s="255"/>
      <c r="AB21" s="422"/>
      <c r="AG21" s="404" t="s">
        <v>234</v>
      </c>
      <c r="AH21" s="405">
        <f ca="1">SUM(AH3:AH20)</f>
        <v>0</v>
      </c>
      <c r="AI21" s="406">
        <f ca="1">SUM(AI3:AI20)</f>
        <v>0</v>
      </c>
    </row>
    <row r="22" spans="1:35" ht="15.75" thickBot="1" x14ac:dyDescent="0.3">
      <c r="A22" s="258"/>
      <c r="B22" s="258"/>
      <c r="C22" s="258"/>
      <c r="D22" s="258"/>
      <c r="E22" s="258"/>
      <c r="F22" s="258"/>
      <c r="G22" s="258"/>
      <c r="H22" s="258"/>
      <c r="I22" s="258"/>
      <c r="J22" s="410"/>
      <c r="K22" s="453"/>
      <c r="L22" s="453"/>
      <c r="M22" s="258"/>
      <c r="N22" s="258"/>
      <c r="O22" s="258"/>
      <c r="P22" s="413"/>
      <c r="Q22" s="413"/>
      <c r="R22" s="413"/>
      <c r="S22" s="413"/>
      <c r="T22" s="411"/>
      <c r="U22" s="411"/>
      <c r="V22" s="411"/>
      <c r="W22" s="411"/>
      <c r="X22" s="258"/>
      <c r="Y22" s="258"/>
      <c r="Z22" s="258"/>
      <c r="AA22" s="258"/>
      <c r="AB22" s="423"/>
    </row>
    <row r="23" spans="1:35" x14ac:dyDescent="0.25">
      <c r="A23" s="303" t="str">
        <f>A1</f>
        <v>rows</v>
      </c>
      <c r="B23" s="304">
        <f>B1</f>
        <v>0</v>
      </c>
      <c r="C23" s="161"/>
      <c r="D23" s="241"/>
      <c r="E23" s="85"/>
      <c r="F23" s="67"/>
      <c r="G23" s="67"/>
      <c r="H23" s="307" t="str">
        <f>H1</f>
        <v>mkt prices</v>
      </c>
      <c r="I23" s="308">
        <f>I1</f>
        <v>0</v>
      </c>
      <c r="J23" s="282"/>
      <c r="K23" s="428" t="str">
        <f>K1</f>
        <v>price w/ comm &amp; div</v>
      </c>
      <c r="L23" s="429">
        <f>L1</f>
        <v>0</v>
      </c>
      <c r="M23" s="39"/>
      <c r="N23" s="310" t="str">
        <f t="shared" ref="N23:W23" si="27">N1</f>
        <v>unit cf</v>
      </c>
      <c r="O23" s="311">
        <f t="shared" si="27"/>
        <v>0</v>
      </c>
      <c r="P23" s="321" t="str">
        <f t="shared" si="27"/>
        <v>lift top/hit bottom</v>
      </c>
      <c r="Q23" s="311">
        <f t="shared" si="27"/>
        <v>0</v>
      </c>
      <c r="R23" s="312" t="str">
        <f t="shared" si="27"/>
        <v>hit top/lift bottom</v>
      </c>
      <c r="S23" s="313">
        <f t="shared" si="27"/>
        <v>0</v>
      </c>
      <c r="T23" s="45" t="str">
        <f t="shared" si="27"/>
        <v>enter</v>
      </c>
      <c r="U23" s="47" t="str">
        <f t="shared" si="27"/>
        <v>exit</v>
      </c>
      <c r="V23" s="47" t="str">
        <f t="shared" si="27"/>
        <v>exit</v>
      </c>
      <c r="W23" s="46" t="str">
        <f t="shared" si="27"/>
        <v>enter</v>
      </c>
      <c r="X23" s="305" t="str">
        <f>X1</f>
        <v>current position</v>
      </c>
      <c r="Y23" s="305">
        <f>Y1</f>
        <v>0</v>
      </c>
      <c r="Z23" s="305">
        <f>Z1</f>
        <v>0</v>
      </c>
      <c r="AA23" s="306">
        <f>AA1</f>
        <v>0</v>
      </c>
      <c r="AB23" s="296"/>
      <c r="AC23" s="45"/>
      <c r="AD23" s="47" t="s">
        <v>232</v>
      </c>
      <c r="AE23" s="47"/>
      <c r="AF23" s="47"/>
      <c r="AG23" s="47"/>
      <c r="AH23" s="47"/>
      <c r="AI23" s="46" t="s">
        <v>122</v>
      </c>
    </row>
    <row r="24" spans="1:35" ht="15.75" thickBot="1" x14ac:dyDescent="0.3">
      <c r="A24" s="31" t="str">
        <f>A2</f>
        <v>scalars</v>
      </c>
      <c r="B24" s="32" t="str">
        <f>B2</f>
        <v>mkt data</v>
      </c>
      <c r="C24" s="31" t="str">
        <f>C2</f>
        <v>sector</v>
      </c>
      <c r="D24" s="242" t="str">
        <f>D2</f>
        <v>adv</v>
      </c>
      <c r="E24" s="86" t="str">
        <f>E2</f>
        <v>margin</v>
      </c>
      <c r="F24" s="139" t="str">
        <f>F2</f>
        <v>anchor</v>
      </c>
      <c r="G24" s="68" t="str">
        <f>G2</f>
        <v>symbol</v>
      </c>
      <c r="H24" s="72" t="str">
        <f>H2</f>
        <v>bid</v>
      </c>
      <c r="I24" s="73" t="str">
        <f>I2</f>
        <v>ask</v>
      </c>
      <c r="J24" s="283" t="s">
        <v>156</v>
      </c>
      <c r="K24" s="430" t="str">
        <f>K2</f>
        <v>bid</v>
      </c>
      <c r="L24" s="431" t="str">
        <f>L2</f>
        <v>ask</v>
      </c>
      <c r="M24" s="75" t="str">
        <f>M2</f>
        <v>scalar</v>
      </c>
      <c r="N24" s="76" t="str">
        <f t="shared" ref="N24:W24" si="28">N2</f>
        <v>hit bid</v>
      </c>
      <c r="O24" s="77" t="str">
        <f t="shared" si="28"/>
        <v>lift ask</v>
      </c>
      <c r="P24" s="40" t="str">
        <f t="shared" si="28"/>
        <v>net price</v>
      </c>
      <c r="Q24" s="48" t="str">
        <f t="shared" si="28"/>
        <v>pct</v>
      </c>
      <c r="R24" s="40" t="str">
        <f t="shared" si="28"/>
        <v>net price</v>
      </c>
      <c r="S24" s="48" t="str">
        <f t="shared" si="28"/>
        <v>pct</v>
      </c>
      <c r="T24" s="78" t="str">
        <f t="shared" si="28"/>
        <v>buy top</v>
      </c>
      <c r="U24" s="49" t="str">
        <f t="shared" si="28"/>
        <v>sell top</v>
      </c>
      <c r="V24" s="49" t="str">
        <f t="shared" si="28"/>
        <v>buy top</v>
      </c>
      <c r="W24" s="79" t="str">
        <f t="shared" si="28"/>
        <v>sell top</v>
      </c>
      <c r="X24" s="245" t="str">
        <f>X2</f>
        <v>shs</v>
      </c>
      <c r="Y24" s="246" t="str">
        <f>Y2</f>
        <v>$val</v>
      </c>
      <c r="Z24" s="247" t="str">
        <f>Z2</f>
        <v>units</v>
      </c>
      <c r="AA24" s="248" t="str">
        <f>AA2</f>
        <v>net units</v>
      </c>
      <c r="AB24" s="68" t="str">
        <f>G24</f>
        <v>symbol</v>
      </c>
      <c r="AC24" s="392" t="s">
        <v>226</v>
      </c>
      <c r="AD24" s="393" t="s">
        <v>233</v>
      </c>
      <c r="AE24" s="393" t="s">
        <v>229</v>
      </c>
      <c r="AF24" s="393" t="s">
        <v>227</v>
      </c>
      <c r="AG24" s="393" t="s">
        <v>230</v>
      </c>
      <c r="AH24" s="397" t="s">
        <v>231</v>
      </c>
      <c r="AI24" s="73" t="s">
        <v>231</v>
      </c>
    </row>
    <row r="25" spans="1:35" x14ac:dyDescent="0.25">
      <c r="A25" s="168">
        <f>MATCH(G25,SCALARS!C:C,0)</f>
        <v>54</v>
      </c>
      <c r="B25" s="169">
        <f>MATCH(G25,'MKT DATA'!B:B,0)</f>
        <v>75</v>
      </c>
      <c r="C25" s="168" t="str" cm="1">
        <f t="array" aca="1" ref="C25" ca="1">INDIRECT(ADDRESS($A25,2,,,"scalars"))</f>
        <v>discretionary</v>
      </c>
      <c r="D25" s="203" cm="1">
        <f t="array" aca="1" ref="D25" ca="1">INDIRECT(ADDRESS($A25,8,,,"SCALARS"))</f>
        <v>95600</v>
      </c>
      <c r="E25" s="204"/>
      <c r="F25" s="170" t="str" cm="1">
        <f t="array" aca="1" ref="F25" ca="1">INDIRECT(ADDRESS($A25,5,,,"scalars"))</f>
        <v>XLY</v>
      </c>
      <c r="G25" s="171" t="s">
        <v>184</v>
      </c>
      <c r="H25" s="174" cm="1">
        <f t="array" aca="1" ref="H25" ca="1">INDIRECT(ADDRESS($B25,5,,,"mkt data"))</f>
        <v>95.88</v>
      </c>
      <c r="I25" s="175" cm="1">
        <f t="array" aca="1" ref="I25" ca="1">INDIRECT(ADDRESS($B25,6,,,"mkt data"))</f>
        <v>97.75</v>
      </c>
      <c r="J25" s="288" cm="1">
        <f t="array" aca="1" ref="J25" ca="1">INDIRECT(ADDRESS($A25,7,,,"SCALARS"))</f>
        <v>0.150284</v>
      </c>
      <c r="K25" s="176">
        <f ca="1">H25+J25-K$21</f>
        <v>96.025283999999999</v>
      </c>
      <c r="L25" s="176">
        <f ca="1">I25+J25+K$21</f>
        <v>97.905283999999995</v>
      </c>
      <c r="M25" s="177" cm="1">
        <f t="array" aca="1" ref="M25" ca="1">INDIRECT(ADDRESS($A25,6,,,"scalars"))</f>
        <v>1.1464673298061949</v>
      </c>
      <c r="N25" s="178">
        <f t="shared" ref="N25:N42" ca="1" si="29">K25*M25</f>
        <v>110.08985094136153</v>
      </c>
      <c r="O25" s="209">
        <f t="shared" ref="O25:O42" ca="1" si="30">M25*L25</f>
        <v>112.24520952139717</v>
      </c>
      <c r="P25" s="381">
        <f ca="1">N26-O25</f>
        <v>-0.90020952139717281</v>
      </c>
      <c r="Q25" s="383">
        <f ca="1">LN(N26/O25)</f>
        <v>-8.0523596045472268E-3</v>
      </c>
      <c r="R25" s="381">
        <f ca="1">N25-O26</f>
        <v>-2.2851490586384671</v>
      </c>
      <c r="S25" s="383">
        <f ca="1">LN(N25/O26)</f>
        <v>-2.0544633681126485E-2</v>
      </c>
      <c r="T25" s="179"/>
      <c r="U25" s="180"/>
      <c r="V25" s="180"/>
      <c r="W25" s="181"/>
      <c r="X25" s="172" cm="1">
        <f t="array" aca="1" ref="X25" ca="1">INDIRECT(ADDRESS($B25,9,,,"mkt data"))</f>
        <v>0</v>
      </c>
      <c r="Y25" s="173">
        <f ca="1">X25*AVERAGE(H25:I25)</f>
        <v>0</v>
      </c>
      <c r="Z25" s="172">
        <f ca="1">X25/M25</f>
        <v>0</v>
      </c>
      <c r="AA25" s="386">
        <f ca="1">SUM(Z25:Z26)</f>
        <v>0</v>
      </c>
      <c r="AB25" s="424" t="str">
        <f t="shared" ref="AB25:AB42" si="31">G25</f>
        <v>IYC</v>
      </c>
      <c r="AC25" s="174" cm="1">
        <f t="array" aca="1" ref="AC25" ca="1">INDIRECT(ADDRESS($B25,8,,,"mkt data"))</f>
        <v>96.360000999999997</v>
      </c>
      <c r="AD25" s="407">
        <f ca="1">AVERAGE(H25,I25)</f>
        <v>96.814999999999998</v>
      </c>
      <c r="AE25" s="407">
        <f ca="1">AD25-AC25</f>
        <v>0.45499900000000082</v>
      </c>
      <c r="AF25" s="414">
        <v>0</v>
      </c>
      <c r="AG25" s="407">
        <f ca="1">AE25+AF25</f>
        <v>0.45499900000000082</v>
      </c>
      <c r="AH25" s="398">
        <f ca="1">AG25*X25</f>
        <v>0</v>
      </c>
      <c r="AI25" s="400">
        <f ca="1">AH25+AH26</f>
        <v>0</v>
      </c>
    </row>
    <row r="26" spans="1:35" ht="15.75" thickBot="1" x14ac:dyDescent="0.3">
      <c r="A26" s="182">
        <f>MATCH(G26,SCALARS!C:C,0)</f>
        <v>55</v>
      </c>
      <c r="B26" s="183">
        <f>MATCH(G26,'MKT DATA'!B:B,0)</f>
        <v>76</v>
      </c>
      <c r="C26" s="182" t="str" cm="1">
        <f t="array" aca="1" ref="C26" ca="1">INDIRECT(ADDRESS($A26,2,,,"scalars"))</f>
        <v>discretionary</v>
      </c>
      <c r="D26" s="210" cm="1">
        <f t="array" aca="1" ref="D26" ca="1">INDIRECT(ADDRESS($A26,8,,,"SCALARS"))</f>
        <v>7164300</v>
      </c>
      <c r="E26" s="211"/>
      <c r="F26" s="184" t="str" cm="1">
        <f t="array" aca="1" ref="F26" ca="1">INDIRECT(ADDRESS($A26,5,,,"scalars"))</f>
        <v>XLY</v>
      </c>
      <c r="G26" s="185" t="s">
        <v>185</v>
      </c>
      <c r="H26" s="188" cm="1">
        <f t="array" aca="1" ref="H26" ca="1">INDIRECT(ADDRESS($B26,5,,,"mkt data"))</f>
        <v>111.35</v>
      </c>
      <c r="I26" s="189" cm="1">
        <f t="array" aca="1" ref="I26" ca="1">INDIRECT(ADDRESS($B26,6,,,"mkt data"))</f>
        <v>112.37</v>
      </c>
      <c r="J26" s="289" cm="1">
        <f t="array" aca="1" ref="J26" ca="1">INDIRECT(ADDRESS($A26,7,,,"SCALARS"))</f>
        <v>0</v>
      </c>
      <c r="K26" s="190">
        <f ca="1">H26+J26-K$21</f>
        <v>111.345</v>
      </c>
      <c r="L26" s="190">
        <f ca="1">I26+J26+K$21</f>
        <v>112.375</v>
      </c>
      <c r="M26" s="191" cm="1">
        <f t="array" aca="1" ref="M26" ca="1">INDIRECT(ADDRESS($A26,6,,,"scalars"))</f>
        <v>1</v>
      </c>
      <c r="N26" s="192">
        <f t="shared" ca="1" si="29"/>
        <v>111.345</v>
      </c>
      <c r="O26" s="216">
        <f t="shared" ca="1" si="30"/>
        <v>112.375</v>
      </c>
      <c r="P26" s="382"/>
      <c r="Q26" s="384"/>
      <c r="R26" s="382"/>
      <c r="S26" s="384"/>
      <c r="T26" s="193"/>
      <c r="U26" s="194"/>
      <c r="V26" s="194"/>
      <c r="W26" s="195"/>
      <c r="X26" s="186" cm="1">
        <f t="array" aca="1" ref="X26" ca="1">INDIRECT(ADDRESS($B26,9,,,"mkt data"))</f>
        <v>0</v>
      </c>
      <c r="Y26" s="187">
        <f ca="1">X26*AVERAGE(H26:I26)</f>
        <v>0</v>
      </c>
      <c r="Z26" s="186">
        <f ca="1">X26/M26</f>
        <v>0</v>
      </c>
      <c r="AA26" s="387"/>
      <c r="AB26" s="425" t="str">
        <f t="shared" si="31"/>
        <v>XLY</v>
      </c>
      <c r="AC26" s="391" cm="1">
        <f t="array" aca="1" ref="AC26" ca="1">INDIRECT(ADDRESS($B26,8,,,"mkt data"))</f>
        <v>110.18</v>
      </c>
      <c r="AD26" s="408">
        <f t="shared" ref="AD26:AD42" ca="1" si="32">AVERAGE(H26,I26)</f>
        <v>111.86</v>
      </c>
      <c r="AE26" s="408">
        <f t="shared" ref="AE26:AE42" ca="1" si="33">AD26-AC26</f>
        <v>1.6799999999999926</v>
      </c>
      <c r="AF26" s="415">
        <v>0</v>
      </c>
      <c r="AG26" s="408">
        <f t="shared" ref="AG26:AG42" ca="1" si="34">AE26+AF26</f>
        <v>1.6799999999999926</v>
      </c>
      <c r="AH26" s="399">
        <f ca="1">AG26*X26</f>
        <v>0</v>
      </c>
      <c r="AI26" s="401"/>
    </row>
    <row r="27" spans="1:35" x14ac:dyDescent="0.25">
      <c r="A27" s="149">
        <f>MATCH(G27,SCALARS!C:C,0)</f>
        <v>57</v>
      </c>
      <c r="B27" s="150">
        <f>MATCH(G27,'MKT DATA'!B:B,0)</f>
        <v>66</v>
      </c>
      <c r="C27" s="149" t="str" cm="1">
        <f t="array" aca="1" ref="C27" ca="1">INDIRECT(ADDRESS($A27,2,,,"scalars"))</f>
        <v>energy</v>
      </c>
      <c r="D27" s="239" cm="1">
        <f t="array" aca="1" ref="D27" ca="1">INDIRECT(ADDRESS($A27,8,,,"SCALARS"))</f>
        <v>29352700</v>
      </c>
      <c r="E27" s="243"/>
      <c r="F27" s="14" t="str" cm="1">
        <f t="array" aca="1" ref="F27" ca="1">INDIRECT(ADDRESS($A27,5,,,"scalars"))</f>
        <v>IYE</v>
      </c>
      <c r="G27" s="15" t="s">
        <v>100</v>
      </c>
      <c r="H27" s="33" cm="1">
        <f t="array" aca="1" ref="H27" ca="1">INDIRECT(ADDRESS($B27,5,,,"mkt data"))</f>
        <v>64.260000000000005</v>
      </c>
      <c r="I27" s="34" cm="1">
        <f t="array" aca="1" ref="I27" ca="1">INDIRECT(ADDRESS($B27,6,,,"mkt data"))</f>
        <v>64.5</v>
      </c>
      <c r="J27" s="278" cm="1">
        <f t="array" aca="1" ref="J27" ca="1">INDIRECT(ADDRESS($A27,7,,,"SCALARS"))</f>
        <v>0</v>
      </c>
      <c r="K27" s="16">
        <f ca="1">H27+J27-K$21</f>
        <v>64.25500000000001</v>
      </c>
      <c r="L27" s="16">
        <f ca="1">I27+J27+K$21</f>
        <v>64.504999999999995</v>
      </c>
      <c r="M27" s="50" cm="1">
        <f t="array" aca="1" ref="M27" ca="1">INDIRECT(ADDRESS($A27,6,,,"scalars"))</f>
        <v>1.0572837255459098</v>
      </c>
      <c r="N27" s="17">
        <f t="shared" ca="1" si="29"/>
        <v>67.935765784952437</v>
      </c>
      <c r="O27" s="17">
        <f t="shared" ca="1" si="30"/>
        <v>68.200086716338902</v>
      </c>
      <c r="P27" s="317">
        <f ca="1">N28-O27</f>
        <v>-0.8115837163389017</v>
      </c>
      <c r="Q27" s="319">
        <f ca="1">LN(N28/O27)</f>
        <v>-1.1971411616121976E-2</v>
      </c>
      <c r="R27" s="375">
        <f ca="1">N27-O28</f>
        <v>-0.77273721504755599</v>
      </c>
      <c r="S27" s="319">
        <f ca="1">LN(N27/O28)</f>
        <v>-1.1310323652800117E-2</v>
      </c>
      <c r="T27" s="80">
        <v>2E-3</v>
      </c>
      <c r="U27" s="51">
        <v>5.0000000000000001E-4</v>
      </c>
      <c r="V27" s="51">
        <v>5.0000000000000001E-4</v>
      </c>
      <c r="W27" s="81">
        <v>2E-3</v>
      </c>
      <c r="X27" s="27" cm="1">
        <f t="array" aca="1" ref="X27" ca="1">INDIRECT(ADDRESS($B27,9,,,"mkt data"))</f>
        <v>-9523</v>
      </c>
      <c r="Y27" s="62">
        <f ca="1">X27*AVERAGE(H27:I27)</f>
        <v>-613090.74</v>
      </c>
      <c r="Z27" s="27">
        <f ca="1">X27/M27</f>
        <v>-9007.0430196804245</v>
      </c>
      <c r="AA27" s="355">
        <f ca="1">SUM(Z27:Z28)</f>
        <v>-7.0430196804245497</v>
      </c>
      <c r="AB27" s="409" t="str">
        <f t="shared" si="31"/>
        <v>XLE</v>
      </c>
      <c r="AC27" s="33" cm="1">
        <f t="array" aca="1" ref="AC27" ca="1">INDIRECT(ADDRESS($B27,8,,,"mkt data"))</f>
        <v>64.029999000000004</v>
      </c>
      <c r="AD27" s="394">
        <f t="shared" ca="1" si="32"/>
        <v>64.38</v>
      </c>
      <c r="AE27" s="394">
        <f t="shared" ca="1" si="33"/>
        <v>0.35000099999999179</v>
      </c>
      <c r="AF27" s="414">
        <v>0</v>
      </c>
      <c r="AG27" s="394">
        <f t="shared" ca="1" si="34"/>
        <v>0.35000099999999179</v>
      </c>
      <c r="AH27" s="394">
        <f ca="1">AG27*X27</f>
        <v>-3333.0595229999217</v>
      </c>
      <c r="AI27" s="402">
        <f ca="1">AH27+AH28</f>
        <v>1031.9584770000274</v>
      </c>
    </row>
    <row r="28" spans="1:35" ht="15.75" thickBot="1" x14ac:dyDescent="0.3">
      <c r="A28" s="151">
        <f>MATCH(G28,SCALARS!C:C,0)</f>
        <v>56</v>
      </c>
      <c r="B28" s="152">
        <f>MATCH(G28,'MKT DATA'!B:B,0)</f>
        <v>50</v>
      </c>
      <c r="C28" s="151" t="str" cm="1">
        <f t="array" aca="1" ref="C28" ca="1">INDIRECT(ADDRESS($A28,2,,,"scalars"))</f>
        <v>energy</v>
      </c>
      <c r="D28" s="240" cm="1">
        <f t="array" aca="1" ref="D28" ca="1">INDIRECT(ADDRESS($A28,8,,,"SCALARS"))</f>
        <v>810800</v>
      </c>
      <c r="E28" s="244"/>
      <c r="F28" s="20" t="str" cm="1">
        <f t="array" aca="1" ref="F28" ca="1">INDIRECT(ADDRESS($A28,5,,,"scalars"))</f>
        <v>IYE</v>
      </c>
      <c r="G28" s="21" t="s">
        <v>98</v>
      </c>
      <c r="H28" s="37" cm="1">
        <f t="array" aca="1" ref="H28" ca="1">INDIRECT(ADDRESS($B28,5,,,"mkt data"))</f>
        <v>67</v>
      </c>
      <c r="I28" s="38" cm="1">
        <f t="array" aca="1" ref="I28" ca="1">INDIRECT(ADDRESS($B28,6,,,"mkt data"))</f>
        <v>68.31</v>
      </c>
      <c r="J28" s="279" cm="1">
        <f t="array" aca="1" ref="J28" ca="1">INDIRECT(ADDRESS($A28,7,,,"SCALARS"))</f>
        <v>0.39350299999999999</v>
      </c>
      <c r="K28" s="22">
        <f ca="1">H28+J28-K$21</f>
        <v>67.388503</v>
      </c>
      <c r="L28" s="22">
        <f ca="1">I28+J28+K$21</f>
        <v>68.708502999999993</v>
      </c>
      <c r="M28" s="52" cm="1">
        <f t="array" aca="1" ref="M28" ca="1">INDIRECT(ADDRESS($A28,6,,,"scalars"))</f>
        <v>1</v>
      </c>
      <c r="N28" s="23">
        <f t="shared" ca="1" si="29"/>
        <v>67.388503</v>
      </c>
      <c r="O28" s="23">
        <f t="shared" ca="1" si="30"/>
        <v>68.708502999999993</v>
      </c>
      <c r="P28" s="318"/>
      <c r="Q28" s="320"/>
      <c r="R28" s="385"/>
      <c r="S28" s="320"/>
      <c r="T28" s="82" t="b">
        <f ca="1">IF(Q27&gt;T27,TRUE,FALSE)</f>
        <v>0</v>
      </c>
      <c r="U28" s="53" t="b">
        <f ca="1">AND(IF(S27&gt;-U27,TRUE,FALSE),IF(X27&gt;0,TRUE,FALSE))</f>
        <v>0</v>
      </c>
      <c r="V28" s="53" t="b">
        <f ca="1">AND(IF(Q27&gt;-V27,TRUE,FALSE),IF(X27&lt;0,TRUE,FALSE))</f>
        <v>0</v>
      </c>
      <c r="W28" s="83" t="b">
        <f ca="1">IF(S27&gt;W27,TRUE,FALSE)</f>
        <v>0</v>
      </c>
      <c r="X28" s="29" cm="1">
        <f t="array" aca="1" ref="X28" ca="1">INDIRECT(ADDRESS($B28,9,,,"mkt data"))</f>
        <v>9000</v>
      </c>
      <c r="Y28" s="64">
        <f ca="1">X28*AVERAGE(H28:I28)</f>
        <v>608895</v>
      </c>
      <c r="Z28" s="29">
        <f ca="1">X28/M28</f>
        <v>9000</v>
      </c>
      <c r="AA28" s="357"/>
      <c r="AB28" s="419" t="str">
        <f t="shared" si="31"/>
        <v>IYE</v>
      </c>
      <c r="AC28" s="37" cm="1">
        <f t="array" aca="1" ref="AC28" ca="1">INDIRECT(ADDRESS($B28,8,,,"mkt data"))</f>
        <v>67.169998000000007</v>
      </c>
      <c r="AD28" s="396">
        <f t="shared" ca="1" si="32"/>
        <v>67.655000000000001</v>
      </c>
      <c r="AE28" s="396">
        <f t="shared" ca="1" si="33"/>
        <v>0.48500199999999438</v>
      </c>
      <c r="AF28" s="416">
        <v>0</v>
      </c>
      <c r="AG28" s="396">
        <f t="shared" ca="1" si="34"/>
        <v>0.48500199999999438</v>
      </c>
      <c r="AH28" s="396">
        <f ca="1">AG28*X28</f>
        <v>4365.0179999999491</v>
      </c>
      <c r="AI28" s="403"/>
    </row>
    <row r="29" spans="1:35" x14ac:dyDescent="0.25">
      <c r="A29" s="149">
        <f>MATCH(G29,SCALARS!C:C,0)</f>
        <v>61</v>
      </c>
      <c r="B29" s="150">
        <f>MATCH(G29,'MKT DATA'!B:B,0)</f>
        <v>67</v>
      </c>
      <c r="C29" s="149" t="str" cm="1">
        <f t="array" aca="1" ref="C29" ca="1">INDIRECT(ADDRESS($A29,2,,,"scalars"))</f>
        <v>financials</v>
      </c>
      <c r="D29" s="239" cm="1">
        <f t="array" aca="1" ref="D29" ca="1">INDIRECT(ADDRESS($A29,8,,,"SCALARS"))</f>
        <v>31548200</v>
      </c>
      <c r="E29" s="243"/>
      <c r="F29" s="14" t="str" cm="1">
        <f t="array" aca="1" ref="F29" ca="1">INDIRECT(ADDRESS($A29,5,,,"scalars"))</f>
        <v>IYF</v>
      </c>
      <c r="G29" s="15" t="s">
        <v>103</v>
      </c>
      <c r="H29" s="33" cm="1">
        <f t="array" aca="1" ref="H29" ca="1">INDIRECT(ADDRESS($B29,5,,,"mkt data"))</f>
        <v>55.88</v>
      </c>
      <c r="I29" s="34" cm="1">
        <f t="array" aca="1" ref="I29" ca="1">INDIRECT(ADDRESS($B29,6,,,"mkt data"))</f>
        <v>55.89</v>
      </c>
      <c r="J29" s="278" cm="1">
        <f t="array" aca="1" ref="J29" ca="1">INDIRECT(ADDRESS($A29,7,,,"SCALARS"))</f>
        <v>0</v>
      </c>
      <c r="K29" s="16">
        <f ca="1">H29+J29-K$21</f>
        <v>55.875</v>
      </c>
      <c r="L29" s="16">
        <f ca="1">I29+J29+K$21</f>
        <v>55.895000000000003</v>
      </c>
      <c r="M29" s="50" cm="1">
        <f t="array" aca="1" ref="M29" ca="1">INDIRECT(ADDRESS($A29,6,,,"scalars"))</f>
        <v>2.3668315259736401</v>
      </c>
      <c r="N29" s="17">
        <f t="shared" ca="1" si="29"/>
        <v>132.24671151377714</v>
      </c>
      <c r="O29" s="17">
        <f t="shared" ca="1" si="30"/>
        <v>132.29404814429662</v>
      </c>
      <c r="P29" s="317">
        <f ca="1">N30-O29</f>
        <v>-1.3611491442966042</v>
      </c>
      <c r="Q29" s="319">
        <f t="shared" ref="Q29" ca="1" si="35">LN(N30/O29)</f>
        <v>-1.0342111940561373E-2</v>
      </c>
      <c r="R29" s="317">
        <f ca="1">N29-O30</f>
        <v>-1.2461874862228512</v>
      </c>
      <c r="S29" s="319">
        <f t="shared" ref="S29" ca="1" si="36">LN(N29/O30)</f>
        <v>-9.3790806654477088E-3</v>
      </c>
      <c r="T29" s="80">
        <v>4.0000000000000001E-3</v>
      </c>
      <c r="U29" s="51">
        <v>1.5E-3</v>
      </c>
      <c r="V29" s="51">
        <v>1.5E-3</v>
      </c>
      <c r="W29" s="81">
        <v>4.0000000000000001E-3</v>
      </c>
      <c r="X29" s="27" cm="1">
        <f t="array" aca="1" ref="X29" ca="1">INDIRECT(ADDRESS($B29,9,,,"mkt data"))</f>
        <v>0</v>
      </c>
      <c r="Y29" s="62">
        <f ca="1">X29*AVERAGE(H29:I29)</f>
        <v>0</v>
      </c>
      <c r="Z29" s="27">
        <f ca="1">X29/M29</f>
        <v>0</v>
      </c>
      <c r="AA29" s="358">
        <f ca="1">SUM(Z29:Z30)</f>
        <v>0</v>
      </c>
      <c r="AB29" s="409" t="str">
        <f t="shared" si="31"/>
        <v>XLF</v>
      </c>
      <c r="AC29" s="33" cm="1">
        <f t="array" aca="1" ref="AC29" ca="1">INDIRECT(ADDRESS($B29,8,,,"mkt data"))</f>
        <v>55.93</v>
      </c>
      <c r="AD29" s="394">
        <f t="shared" ca="1" si="32"/>
        <v>55.885000000000005</v>
      </c>
      <c r="AE29" s="394">
        <f t="shared" ca="1" si="33"/>
        <v>-4.49999999999946E-2</v>
      </c>
      <c r="AF29" s="414">
        <v>0</v>
      </c>
      <c r="AG29" s="394">
        <f t="shared" ca="1" si="34"/>
        <v>-4.49999999999946E-2</v>
      </c>
      <c r="AH29" s="394">
        <f ca="1">AG29*X29</f>
        <v>0</v>
      </c>
      <c r="AI29" s="402">
        <f ca="1">AH29+AH30</f>
        <v>0</v>
      </c>
    </row>
    <row r="30" spans="1:35" ht="15.75" thickBot="1" x14ac:dyDescent="0.3">
      <c r="A30" s="151">
        <f>MATCH(G30,SCALARS!C:C,0)</f>
        <v>60</v>
      </c>
      <c r="B30" s="152">
        <f>MATCH(G30,'MKT DATA'!B:B,0)</f>
        <v>51</v>
      </c>
      <c r="C30" s="151" t="str" cm="1">
        <f t="array" aca="1" ref="C30" ca="1">INDIRECT(ADDRESS($A30,2,,,"scalars"))</f>
        <v>financials</v>
      </c>
      <c r="D30" s="240" cm="1">
        <f t="array" aca="1" ref="D30" ca="1">INDIRECT(ADDRESS($A30,8,,,"SCALARS"))</f>
        <v>385700</v>
      </c>
      <c r="E30" s="244"/>
      <c r="F30" s="20" t="str" cm="1">
        <f t="array" aca="1" ref="F30" ca="1">INDIRECT(ADDRESS($A30,5,,,"scalars"))</f>
        <v>IYF</v>
      </c>
      <c r="G30" s="21" t="s">
        <v>101</v>
      </c>
      <c r="H30" s="37" cm="1">
        <f t="array" aca="1" ref="H30" ca="1">INDIRECT(ADDRESS($B30,5,,,"mkt data"))</f>
        <v>130.52000000000001</v>
      </c>
      <c r="I30" s="38" cm="1">
        <f t="array" aca="1" ref="I30" ca="1">INDIRECT(ADDRESS($B30,6,,,"mkt data"))</f>
        <v>133.07</v>
      </c>
      <c r="J30" s="279" cm="1">
        <f t="array" aca="1" ref="J30" ca="1">INDIRECT(ADDRESS($A30,7,,,"SCALARS"))</f>
        <v>0.41789900000000002</v>
      </c>
      <c r="K30" s="22">
        <f ca="1">H30+J30-K$21</f>
        <v>130.93289900000002</v>
      </c>
      <c r="L30" s="22">
        <f ca="1">I30+J30+K$21</f>
        <v>133.49289899999999</v>
      </c>
      <c r="M30" s="52" cm="1">
        <f t="array" aca="1" ref="M30" ca="1">INDIRECT(ADDRESS($A30,6,,,"scalars"))</f>
        <v>1</v>
      </c>
      <c r="N30" s="23">
        <f t="shared" ca="1" si="29"/>
        <v>130.93289900000002</v>
      </c>
      <c r="O30" s="23">
        <f t="shared" ca="1" si="30"/>
        <v>133.49289899999999</v>
      </c>
      <c r="P30" s="318"/>
      <c r="Q30" s="320"/>
      <c r="R30" s="318"/>
      <c r="S30" s="320"/>
      <c r="T30" s="82" t="b">
        <f ca="1">IF(Q29&gt;T29,TRUE,FALSE)</f>
        <v>0</v>
      </c>
      <c r="U30" s="53" t="b">
        <f ca="1">AND(IF(S29&gt;-U29,TRUE,FALSE),IF(X29&gt;0,TRUE,FALSE))</f>
        <v>0</v>
      </c>
      <c r="V30" s="53" t="b">
        <f ca="1">AND(IF(Q29&gt;-V29,TRUE,FALSE),IF(X29&lt;0,TRUE,FALSE))</f>
        <v>0</v>
      </c>
      <c r="W30" s="83" t="b">
        <f ca="1">IF(S29&gt;W29,TRUE,FALSE)</f>
        <v>0</v>
      </c>
      <c r="X30" s="29" cm="1">
        <f t="array" aca="1" ref="X30" ca="1">INDIRECT(ADDRESS($B30,9,,,"mkt data"))</f>
        <v>0</v>
      </c>
      <c r="Y30" s="64">
        <f ca="1">X30*AVERAGE(H30:I30)</f>
        <v>0</v>
      </c>
      <c r="Z30" s="29">
        <f ca="1">X30/M30</f>
        <v>0</v>
      </c>
      <c r="AA30" s="360"/>
      <c r="AB30" s="419" t="str">
        <f t="shared" si="31"/>
        <v>IYF</v>
      </c>
      <c r="AC30" s="37" cm="1">
        <f t="array" aca="1" ref="AC30" ca="1">INDIRECT(ADDRESS($B30,8,,,"mkt data"))</f>
        <v>131.63000500000001</v>
      </c>
      <c r="AD30" s="396">
        <f t="shared" ca="1" si="32"/>
        <v>131.79500000000002</v>
      </c>
      <c r="AE30" s="396">
        <f t="shared" ca="1" si="33"/>
        <v>0.16499500000000467</v>
      </c>
      <c r="AF30" s="416">
        <v>0</v>
      </c>
      <c r="AG30" s="396">
        <f t="shared" ca="1" si="34"/>
        <v>0.16499500000000467</v>
      </c>
      <c r="AH30" s="396">
        <f ca="1">AG30*X30</f>
        <v>0</v>
      </c>
      <c r="AI30" s="403"/>
    </row>
    <row r="31" spans="1:35" x14ac:dyDescent="0.25">
      <c r="A31" s="168">
        <f>MATCH(G31,SCALARS!C:C,0)</f>
        <v>66</v>
      </c>
      <c r="B31" s="169">
        <f>MATCH(G31,'MKT DATA'!B:B,0)</f>
        <v>52</v>
      </c>
      <c r="C31" s="168" t="str" cm="1">
        <f t="array" aca="1" ref="C31" ca="1">INDIRECT(ADDRESS($A31,2,,,"scalars"))</f>
        <v>healthcare</v>
      </c>
      <c r="D31" s="203" cm="1">
        <f t="array" aca="1" ref="D31" ca="1">INDIRECT(ADDRESS($A31,8,,,"SCALARS"))</f>
        <v>713200</v>
      </c>
      <c r="E31" s="204"/>
      <c r="F31" s="170" t="str" cm="1">
        <f t="array" aca="1" ref="F31" ca="1">INDIRECT(ADDRESS($A31,5,,,"scalars"))</f>
        <v>XLV</v>
      </c>
      <c r="G31" s="171" t="s">
        <v>105</v>
      </c>
      <c r="H31" s="174" cm="1">
        <f t="array" aca="1" ref="H31" ca="1">INDIRECT(ADDRESS($B31,5,,,"mkt data"))</f>
        <v>70.7</v>
      </c>
      <c r="I31" s="175" cm="1">
        <f t="array" aca="1" ref="I31" ca="1">INDIRECT(ADDRESS($B31,6,,,"mkt data"))</f>
        <v>72.08</v>
      </c>
      <c r="J31" s="288" cm="1">
        <f t="array" aca="1" ref="J31" ca="1">INDIRECT(ADDRESS($A31,7,,,"SCALARS"))</f>
        <v>0.190827</v>
      </c>
      <c r="K31" s="176">
        <f ca="1">H31+J31-K$21</f>
        <v>70.885827000000006</v>
      </c>
      <c r="L31" s="176">
        <f ca="1">I31+J31+K$21</f>
        <v>72.275826999999992</v>
      </c>
      <c r="M31" s="177" cm="1">
        <f t="array" aca="1" ref="M31" ca="1">INDIRECT(ADDRESS($A31,6,,,"scalars"))</f>
        <v>2.3659385058002127</v>
      </c>
      <c r="N31" s="178">
        <f t="shared" ca="1" si="29"/>
        <v>167.7115076147924</v>
      </c>
      <c r="O31" s="209">
        <f t="shared" ca="1" si="30"/>
        <v>171.00016213785466</v>
      </c>
      <c r="P31" s="381">
        <f ca="1">N32-O31</f>
        <v>-2.3451621378546577</v>
      </c>
      <c r="Q31" s="383">
        <f t="shared" ref="Q31" ca="1" si="37">LN(N32/O31)</f>
        <v>-1.3809296410269413E-2</v>
      </c>
      <c r="R31" s="381">
        <f ca="1">N31-O32</f>
        <v>-1.5134923852075985</v>
      </c>
      <c r="S31" s="383">
        <f t="shared" ref="S31" ca="1" si="38">LN(N31/O32)</f>
        <v>-8.9839036765230855E-3</v>
      </c>
      <c r="T31" s="179"/>
      <c r="U31" s="180"/>
      <c r="V31" s="180"/>
      <c r="W31" s="181"/>
      <c r="X31" s="172" cm="1">
        <f t="array" aca="1" ref="X31" ca="1">INDIRECT(ADDRESS($B31,9,,,"mkt data"))</f>
        <v>0</v>
      </c>
      <c r="Y31" s="173">
        <f ca="1">X31*AVERAGE(H31:I31)</f>
        <v>0</v>
      </c>
      <c r="Z31" s="172">
        <f ca="1">X31/M31</f>
        <v>0</v>
      </c>
      <c r="AA31" s="386">
        <f ca="1">SUM(Z31:Z32)</f>
        <v>0</v>
      </c>
      <c r="AB31" s="424" t="str">
        <f t="shared" si="31"/>
        <v>IYH</v>
      </c>
      <c r="AC31" s="391" cm="1">
        <f t="array" aca="1" ref="AC31" ca="1">INDIRECT(ADDRESS($B31,8,,,"mkt data"))</f>
        <v>70.769997000000004</v>
      </c>
      <c r="AD31" s="408">
        <f t="shared" ca="1" si="32"/>
        <v>71.39</v>
      </c>
      <c r="AE31" s="408">
        <f t="shared" ca="1" si="33"/>
        <v>0.62000299999999697</v>
      </c>
      <c r="AF31" s="415">
        <v>0</v>
      </c>
      <c r="AG31" s="408">
        <f t="shared" ca="1" si="34"/>
        <v>0.62000299999999697</v>
      </c>
      <c r="AH31" s="399">
        <f ca="1">AG31*X31</f>
        <v>0</v>
      </c>
      <c r="AI31" s="400">
        <f ca="1">AH31+AH32</f>
        <v>0</v>
      </c>
    </row>
    <row r="32" spans="1:35" ht="15.75" thickBot="1" x14ac:dyDescent="0.3">
      <c r="A32" s="182">
        <f>MATCH(G32,SCALARS!C:C,0)</f>
        <v>67</v>
      </c>
      <c r="B32" s="183">
        <f>MATCH(G32,'MKT DATA'!B:B,0)</f>
        <v>68</v>
      </c>
      <c r="C32" s="182" t="str" cm="1">
        <f t="array" aca="1" ref="C32" ca="1">INDIRECT(ADDRESS($A32,2,,,"scalars"))</f>
        <v>healthcare</v>
      </c>
      <c r="D32" s="210" cm="1">
        <f t="array" aca="1" ref="D32" ca="1">INDIRECT(ADDRESS($A32,8,,,"SCALARS"))</f>
        <v>9261500</v>
      </c>
      <c r="E32" s="211"/>
      <c r="F32" s="184" t="str" cm="1">
        <f t="array" aca="1" ref="F32" ca="1">INDIRECT(ADDRESS($A32,5,,,"scalars"))</f>
        <v>XLV</v>
      </c>
      <c r="G32" s="185" t="s">
        <v>107</v>
      </c>
      <c r="H32" s="188" cm="1">
        <f t="array" aca="1" ref="H32" ca="1">INDIRECT(ADDRESS($B32,5,,,"mkt data"))</f>
        <v>168.66</v>
      </c>
      <c r="I32" s="189" cm="1">
        <f t="array" aca="1" ref="I32" ca="1">INDIRECT(ADDRESS($B32,6,,,"mkt data"))</f>
        <v>169.22</v>
      </c>
      <c r="J32" s="289" cm="1">
        <f t="array" aca="1" ref="J32" ca="1">INDIRECT(ADDRESS($A32,7,,,"SCALARS"))</f>
        <v>0</v>
      </c>
      <c r="K32" s="190">
        <f ca="1">H32+J32-K$21</f>
        <v>168.655</v>
      </c>
      <c r="L32" s="190">
        <f ca="1">I32+J32+K$21</f>
        <v>169.22499999999999</v>
      </c>
      <c r="M32" s="191" cm="1">
        <f t="array" aca="1" ref="M32" ca="1">INDIRECT(ADDRESS($A32,6,,,"scalars"))</f>
        <v>1</v>
      </c>
      <c r="N32" s="192">
        <f t="shared" ca="1" si="29"/>
        <v>168.655</v>
      </c>
      <c r="O32" s="216">
        <f t="shared" ca="1" si="30"/>
        <v>169.22499999999999</v>
      </c>
      <c r="P32" s="382"/>
      <c r="Q32" s="384"/>
      <c r="R32" s="382"/>
      <c r="S32" s="384"/>
      <c r="T32" s="193"/>
      <c r="U32" s="194"/>
      <c r="V32" s="194"/>
      <c r="W32" s="195"/>
      <c r="X32" s="186" cm="1">
        <f t="array" aca="1" ref="X32" ca="1">INDIRECT(ADDRESS($B32,9,,,"mkt data"))</f>
        <v>0</v>
      </c>
      <c r="Y32" s="187">
        <f ca="1">X32*AVERAGE(H32:I32)</f>
        <v>0</v>
      </c>
      <c r="Z32" s="186">
        <f ca="1">X32/M32</f>
        <v>0</v>
      </c>
      <c r="AA32" s="387"/>
      <c r="AB32" s="425" t="str">
        <f t="shared" si="31"/>
        <v>XLV</v>
      </c>
      <c r="AC32" s="391" cm="1">
        <f t="array" aca="1" ref="AC32" ca="1">INDIRECT(ADDRESS($B32,8,,,"mkt data"))</f>
        <v>167.770004</v>
      </c>
      <c r="AD32" s="408">
        <f t="shared" ca="1" si="32"/>
        <v>168.94</v>
      </c>
      <c r="AE32" s="408">
        <f t="shared" ca="1" si="33"/>
        <v>1.1699959999999976</v>
      </c>
      <c r="AF32" s="415">
        <v>0</v>
      </c>
      <c r="AG32" s="408">
        <f t="shared" ca="1" si="34"/>
        <v>1.1699959999999976</v>
      </c>
      <c r="AH32" s="399">
        <f ca="1">AG32*X32</f>
        <v>0</v>
      </c>
      <c r="AI32" s="401"/>
    </row>
    <row r="33" spans="1:35" x14ac:dyDescent="0.25">
      <c r="A33" s="149">
        <f>MATCH(G33,SCALARS!C:C,0)</f>
        <v>70</v>
      </c>
      <c r="B33" s="150">
        <f>MATCH(G33,'MKT DATA'!B:B,0)</f>
        <v>53</v>
      </c>
      <c r="C33" s="149" t="str" cm="1">
        <f t="array" aca="1" ref="C33" ca="1">INDIRECT(ADDRESS($A33,2,,,"scalars"))</f>
        <v>industrials</v>
      </c>
      <c r="D33" s="239" cm="1">
        <f t="array" aca="1" ref="D33" ca="1">INDIRECT(ADDRESS($A33,8,,,"SCALARS"))</f>
        <v>127000</v>
      </c>
      <c r="E33" s="243"/>
      <c r="F33" s="14" t="str" cm="1">
        <f t="array" aca="1" ref="F33" ca="1">INDIRECT(ADDRESS($A33,5,,,"scalars"))</f>
        <v>XLI</v>
      </c>
      <c r="G33" s="164" t="s">
        <v>135</v>
      </c>
      <c r="H33" s="33" cm="1">
        <f t="array" aca="1" ref="H33" ca="1">INDIRECT(ADDRESS($B33,5,,,"mkt data"))</f>
        <v>153.97999999999999</v>
      </c>
      <c r="I33" s="34" cm="1">
        <f t="array" aca="1" ref="I33" ca="1">INDIRECT(ADDRESS($B33,6,,,"mkt data"))</f>
        <v>156.99</v>
      </c>
      <c r="J33" s="278" cm="1">
        <f t="array" aca="1" ref="J33" ca="1">INDIRECT(ADDRESS($A33,7,,,"SCALARS"))</f>
        <v>0.30100700000000002</v>
      </c>
      <c r="K33" s="16">
        <f ca="1">H33+J33-K$21</f>
        <v>154.27600699999999</v>
      </c>
      <c r="L33" s="16">
        <f ca="1">I33+J33+K$21</f>
        <v>157.296007</v>
      </c>
      <c r="M33" s="162" cm="1">
        <f t="array" aca="1" ref="M33" ca="1">INDIRECT(ADDRESS($A33,6,,,"scalars"))</f>
        <v>1.0883086283338783</v>
      </c>
      <c r="N33" s="17">
        <f t="shared" ca="1" si="29"/>
        <v>167.89990956299781</v>
      </c>
      <c r="O33" s="17">
        <f t="shared" ca="1" si="30"/>
        <v>171.18660162056614</v>
      </c>
      <c r="P33" s="317">
        <f ca="1">N34-O33</f>
        <v>-2.2816016205661356</v>
      </c>
      <c r="Q33" s="319">
        <f t="shared" ref="Q33" ca="1" si="39">LN(N34/O33)</f>
        <v>-1.3417772391775903E-2</v>
      </c>
      <c r="R33" s="375">
        <f ca="1">N33-O34</f>
        <v>-3.0750904370021885</v>
      </c>
      <c r="S33" s="319">
        <f t="shared" ref="S33" ca="1" si="40">LN(N33/O34)</f>
        <v>-1.8149321536915661E-2</v>
      </c>
      <c r="T33" s="80">
        <v>5.0000000000000001E-3</v>
      </c>
      <c r="U33" s="51">
        <v>2E-3</v>
      </c>
      <c r="V33" s="51">
        <v>1.5E-3</v>
      </c>
      <c r="W33" s="81">
        <v>4.0000000000000001E-3</v>
      </c>
      <c r="X33" s="27" cm="1">
        <f t="array" aca="1" ref="X33" ca="1">INDIRECT(ADDRESS($B33,9,,,"mkt data"))</f>
        <v>-835</v>
      </c>
      <c r="Y33" s="62">
        <f ca="1">X33*AVERAGE(H33:I33)</f>
        <v>-129829.97500000001</v>
      </c>
      <c r="Z33" s="27">
        <f ca="1">X33/M33</f>
        <v>-767.24559399875795</v>
      </c>
      <c r="AA33" s="358">
        <f ca="1">SUM(Z33:Z34)</f>
        <v>-2.2455939987579541</v>
      </c>
      <c r="AB33" s="420" t="str">
        <f t="shared" si="31"/>
        <v>IYJ</v>
      </c>
      <c r="AC33" s="33" cm="1">
        <f t="array" aca="1" ref="AC33" ca="1">INDIRECT(ADDRESS($B33,8,,,"mkt data"))</f>
        <v>155.36000100000001</v>
      </c>
      <c r="AD33" s="394">
        <f t="shared" ca="1" si="32"/>
        <v>155.48500000000001</v>
      </c>
      <c r="AE33" s="394">
        <f t="shared" ca="1" si="33"/>
        <v>0.12499900000000252</v>
      </c>
      <c r="AF33" s="414">
        <v>0</v>
      </c>
      <c r="AG33" s="394">
        <f t="shared" ca="1" si="34"/>
        <v>0.12499900000000252</v>
      </c>
      <c r="AH33" s="394">
        <f ca="1">AG33*X33</f>
        <v>-104.37416500000211</v>
      </c>
      <c r="AI33" s="402">
        <f ca="1">AH33+AH34</f>
        <v>836.57048000000361</v>
      </c>
    </row>
    <row r="34" spans="1:35" ht="15.75" thickBot="1" x14ac:dyDescent="0.3">
      <c r="A34" s="151">
        <f>MATCH(G34,SCALARS!C:C,0)</f>
        <v>71</v>
      </c>
      <c r="B34" s="152">
        <f>MATCH(G34,'MKT DATA'!B:B,0)</f>
        <v>69</v>
      </c>
      <c r="C34" s="151" t="str" cm="1">
        <f t="array" aca="1" ref="C34" ca="1">INDIRECT(ADDRESS($A34,2,,,"scalars"))</f>
        <v>industrials</v>
      </c>
      <c r="D34" s="240" cm="1">
        <f t="array" aca="1" ref="D34" ca="1">INDIRECT(ADDRESS($A34,8,,,"SCALARS"))</f>
        <v>6788900</v>
      </c>
      <c r="E34" s="244"/>
      <c r="F34" s="20" t="str" cm="1">
        <f t="array" aca="1" ref="F34" ca="1">INDIRECT(ADDRESS($A34,5,,,"scalars"))</f>
        <v>XLI</v>
      </c>
      <c r="G34" s="165" t="s">
        <v>109</v>
      </c>
      <c r="H34" s="37" cm="1">
        <f t="array" aca="1" ref="H34" ca="1">INDIRECT(ADDRESS($B34,5,,,"mkt data"))</f>
        <v>168.91</v>
      </c>
      <c r="I34" s="38" cm="1">
        <f t="array" aca="1" ref="I34" ca="1">INDIRECT(ADDRESS($B34,6,,,"mkt data"))</f>
        <v>170.97</v>
      </c>
      <c r="J34" s="279" cm="1">
        <f t="array" aca="1" ref="J34" ca="1">INDIRECT(ADDRESS($A34,7,,,"SCALARS"))</f>
        <v>0</v>
      </c>
      <c r="K34" s="22">
        <f ca="1">H34+J34-K$21</f>
        <v>168.905</v>
      </c>
      <c r="L34" s="22">
        <f ca="1">I34+J34+K$21</f>
        <v>170.97499999999999</v>
      </c>
      <c r="M34" s="163" cm="1">
        <f t="array" aca="1" ref="M34" ca="1">INDIRECT(ADDRESS($A34,6,,,"scalars"))</f>
        <v>1</v>
      </c>
      <c r="N34" s="23">
        <f t="shared" ca="1" si="29"/>
        <v>168.905</v>
      </c>
      <c r="O34" s="23">
        <f t="shared" ca="1" si="30"/>
        <v>170.97499999999999</v>
      </c>
      <c r="P34" s="318"/>
      <c r="Q34" s="320"/>
      <c r="R34" s="385"/>
      <c r="S34" s="320"/>
      <c r="T34" s="82" t="b">
        <f ca="1">IF(Q33&gt;T33,TRUE,FALSE)</f>
        <v>0</v>
      </c>
      <c r="U34" s="53" t="b">
        <f ca="1">AND(IF(S33&gt;-U33,TRUE,FALSE),IF(X33&gt;0,TRUE,FALSE))</f>
        <v>0</v>
      </c>
      <c r="V34" s="53" t="b">
        <f ca="1">AND(IF(Q33&gt;-V33,TRUE,FALSE),IF(X33&lt;0,TRUE,FALSE))</f>
        <v>0</v>
      </c>
      <c r="W34" s="83" t="b">
        <f ca="1">IF(S33&gt;W33,TRUE,FALSE)</f>
        <v>0</v>
      </c>
      <c r="X34" s="29" cm="1">
        <f t="array" aca="1" ref="X34" ca="1">INDIRECT(ADDRESS($B34,9,,,"mkt data"))</f>
        <v>765</v>
      </c>
      <c r="Y34" s="64">
        <f ca="1">X34*AVERAGE(H34:I34)</f>
        <v>130004.09999999999</v>
      </c>
      <c r="Z34" s="29">
        <f ca="1">X34/M34</f>
        <v>765</v>
      </c>
      <c r="AA34" s="360"/>
      <c r="AB34" s="421" t="str">
        <f t="shared" si="31"/>
        <v>XLI</v>
      </c>
      <c r="AC34" s="37" cm="1">
        <f t="array" aca="1" ref="AC34" ca="1">INDIRECT(ADDRESS($B34,8,,,"mkt data"))</f>
        <v>168.71000699999999</v>
      </c>
      <c r="AD34" s="396">
        <f t="shared" ca="1" si="32"/>
        <v>169.94</v>
      </c>
      <c r="AE34" s="396">
        <f t="shared" ca="1" si="33"/>
        <v>1.2299930000000074</v>
      </c>
      <c r="AF34" s="416">
        <v>0</v>
      </c>
      <c r="AG34" s="396">
        <f t="shared" ca="1" si="34"/>
        <v>1.2299930000000074</v>
      </c>
      <c r="AH34" s="396">
        <f ca="1">AG34*X34</f>
        <v>940.94464500000572</v>
      </c>
      <c r="AI34" s="403"/>
    </row>
    <row r="35" spans="1:35" x14ac:dyDescent="0.25">
      <c r="A35" s="168">
        <f>MATCH(G35,SCALARS!C:C,0)</f>
        <v>73</v>
      </c>
      <c r="B35" s="169">
        <f>MATCH(G35,'MKT DATA'!B:B,0)</f>
        <v>70</v>
      </c>
      <c r="C35" s="168" t="str" cm="1">
        <f t="array" aca="1" ref="C35" ca="1">INDIRECT(ADDRESS($A35,2,,,"scalars"))</f>
        <v>real estate</v>
      </c>
      <c r="D35" s="203" cm="1">
        <f t="array" aca="1" ref="D35" ca="1">INDIRECT(ADDRESS($A35,8,,,"SCALARS"))</f>
        <v>5122200</v>
      </c>
      <c r="E35" s="204"/>
      <c r="F35" s="170" t="str" cm="1">
        <f t="array" aca="1" ref="F35" ca="1">INDIRECT(ADDRESS($A35,5,,,"scalars"))</f>
        <v>IYR</v>
      </c>
      <c r="G35" s="196" t="s">
        <v>113</v>
      </c>
      <c r="H35" s="174" cm="1">
        <f t="array" aca="1" ref="H35" ca="1">INDIRECT(ADDRESS($B35,5,,,"mkt data"))</f>
        <v>42.92</v>
      </c>
      <c r="I35" s="175" cm="1">
        <f t="array" aca="1" ref="I35" ca="1">INDIRECT(ADDRESS($B35,6,,,"mkt data"))</f>
        <v>43.12</v>
      </c>
      <c r="J35" s="288" cm="1">
        <f t="array" aca="1" ref="J35" ca="1">INDIRECT(ADDRESS($A35,7,,,"SCALARS"))</f>
        <v>0</v>
      </c>
      <c r="K35" s="176">
        <f ca="1">H35+J35-K$21</f>
        <v>42.914999999999999</v>
      </c>
      <c r="L35" s="176">
        <f ca="1">I35+J35+K$21</f>
        <v>43.125</v>
      </c>
      <c r="M35" s="197" cm="1">
        <f t="array" aca="1" ref="M35" ca="1">INDIRECT(ADDRESS($A35,6,,,"scalars"))</f>
        <v>2.3246270399252889</v>
      </c>
      <c r="N35" s="178">
        <f t="shared" ca="1" si="29"/>
        <v>99.76136941839377</v>
      </c>
      <c r="O35" s="209">
        <f t="shared" ca="1" si="30"/>
        <v>100.24954109677809</v>
      </c>
      <c r="P35" s="381">
        <f ca="1">N36-O35</f>
        <v>-1.3663540967780818</v>
      </c>
      <c r="Q35" s="383">
        <f t="shared" ref="Q35" ca="1" si="41">LN(N36/O35)</f>
        <v>-1.3723264410924271E-2</v>
      </c>
      <c r="R35" s="381">
        <f ca="1">N35-O36</f>
        <v>-0.89181758160621882</v>
      </c>
      <c r="S35" s="383">
        <f t="shared" ref="S35" ca="1" si="42">LN(N35/O36)</f>
        <v>-8.8997873607002311E-3</v>
      </c>
      <c r="T35" s="179"/>
      <c r="U35" s="180"/>
      <c r="V35" s="180"/>
      <c r="W35" s="181"/>
      <c r="X35" s="172" cm="1">
        <f t="array" aca="1" ref="X35" ca="1">INDIRECT(ADDRESS($B35,9,,,"mkt data"))</f>
        <v>0</v>
      </c>
      <c r="Y35" s="173">
        <f ca="1">X35*AVERAGE(H35:I35)</f>
        <v>0</v>
      </c>
      <c r="Z35" s="172">
        <f ca="1">X35/M35</f>
        <v>0</v>
      </c>
      <c r="AA35" s="388">
        <f ca="1">SUM(Z35:Z36)</f>
        <v>0</v>
      </c>
      <c r="AB35" s="426" t="str">
        <f t="shared" si="31"/>
        <v>XLRE</v>
      </c>
      <c r="AC35" s="391" cm="1">
        <f t="array" aca="1" ref="AC35" ca="1">INDIRECT(ADDRESS($B35,8,,,"mkt data"))</f>
        <v>42.810001</v>
      </c>
      <c r="AD35" s="408">
        <f t="shared" ca="1" si="32"/>
        <v>43.019999999999996</v>
      </c>
      <c r="AE35" s="408">
        <f t="shared" ca="1" si="33"/>
        <v>0.20999899999999627</v>
      </c>
      <c r="AF35" s="415">
        <v>0</v>
      </c>
      <c r="AG35" s="408">
        <f t="shared" ca="1" si="34"/>
        <v>0.20999899999999627</v>
      </c>
      <c r="AH35" s="399">
        <f ca="1">AG35*X35</f>
        <v>0</v>
      </c>
      <c r="AI35" s="400">
        <f ca="1">AH35+AH36</f>
        <v>0</v>
      </c>
    </row>
    <row r="36" spans="1:35" ht="15.75" thickBot="1" x14ac:dyDescent="0.3">
      <c r="A36" s="182">
        <f>MATCH(G36,SCALARS!C:C,0)</f>
        <v>72</v>
      </c>
      <c r="B36" s="183">
        <f>MATCH(G36,'MKT DATA'!B:B,0)</f>
        <v>54</v>
      </c>
      <c r="C36" s="182" t="str" cm="1">
        <f t="array" aca="1" ref="C36" ca="1">INDIRECT(ADDRESS($A36,2,,,"scalars"))</f>
        <v>real estate</v>
      </c>
      <c r="D36" s="210" cm="1">
        <f t="array" aca="1" ref="D36" ca="1">INDIRECT(ADDRESS($A36,8,,,"SCALARS"))</f>
        <v>5257700</v>
      </c>
      <c r="E36" s="211"/>
      <c r="F36" s="184" t="str" cm="1">
        <f t="array" aca="1" ref="F36" ca="1">INDIRECT(ADDRESS($A36,5,,,"scalars"))</f>
        <v>IYR</v>
      </c>
      <c r="G36" s="198" t="s">
        <v>111</v>
      </c>
      <c r="H36" s="188" cm="1">
        <f t="array" aca="1" ref="H36" ca="1">INDIRECT(ADDRESS($B36,5,,,"mkt data"))</f>
        <v>98.15</v>
      </c>
      <c r="I36" s="189" cm="1">
        <f t="array" aca="1" ref="I36" ca="1">INDIRECT(ADDRESS($B36,6,,,"mkt data"))</f>
        <v>99.91</v>
      </c>
      <c r="J36" s="289" cm="1">
        <f t="array" aca="1" ref="J36" ca="1">INDIRECT(ADDRESS($A36,7,,,"SCALARS"))</f>
        <v>0.73818700000000004</v>
      </c>
      <c r="K36" s="190">
        <f ca="1">H36+J36-K$21</f>
        <v>98.883187000000007</v>
      </c>
      <c r="L36" s="190">
        <f ca="1">I36+J36+K$21</f>
        <v>100.65318699999999</v>
      </c>
      <c r="M36" s="199" cm="1">
        <f t="array" aca="1" ref="M36" ca="1">INDIRECT(ADDRESS($A36,6,,,"scalars"))</f>
        <v>1</v>
      </c>
      <c r="N36" s="192">
        <f t="shared" ca="1" si="29"/>
        <v>98.883187000000007</v>
      </c>
      <c r="O36" s="216">
        <f t="shared" ca="1" si="30"/>
        <v>100.65318699999999</v>
      </c>
      <c r="P36" s="382"/>
      <c r="Q36" s="384"/>
      <c r="R36" s="382"/>
      <c r="S36" s="384"/>
      <c r="T36" s="193"/>
      <c r="U36" s="194"/>
      <c r="V36" s="194"/>
      <c r="W36" s="195"/>
      <c r="X36" s="186" cm="1">
        <f t="array" aca="1" ref="X36" ca="1">INDIRECT(ADDRESS($B36,9,,,"mkt data"))</f>
        <v>0</v>
      </c>
      <c r="Y36" s="187">
        <f ca="1">X36*AVERAGE(H36:I36)</f>
        <v>0</v>
      </c>
      <c r="Z36" s="186">
        <f ca="1">X36/M36</f>
        <v>0</v>
      </c>
      <c r="AA36" s="389"/>
      <c r="AB36" s="427" t="str">
        <f t="shared" si="31"/>
        <v>IYR</v>
      </c>
      <c r="AC36" s="391" cm="1">
        <f t="array" aca="1" ref="AC36" ca="1">INDIRECT(ADDRESS($B36,8,,,"mkt data"))</f>
        <v>98.650002000000001</v>
      </c>
      <c r="AD36" s="408">
        <f t="shared" ca="1" si="32"/>
        <v>99.03</v>
      </c>
      <c r="AE36" s="408">
        <f t="shared" ca="1" si="33"/>
        <v>0.3799980000000005</v>
      </c>
      <c r="AF36" s="415">
        <v>0</v>
      </c>
      <c r="AG36" s="408">
        <f t="shared" ca="1" si="34"/>
        <v>0.3799980000000005</v>
      </c>
      <c r="AH36" s="399">
        <f ca="1">AG36*X36</f>
        <v>0</v>
      </c>
      <c r="AI36" s="401"/>
    </row>
    <row r="37" spans="1:35" x14ac:dyDescent="0.25">
      <c r="A37" s="149">
        <f>MATCH(G37,SCALARS!C:C,0)</f>
        <v>80</v>
      </c>
      <c r="B37" s="150">
        <f>MATCH(G37,'MKT DATA'!B:B,0)</f>
        <v>55</v>
      </c>
      <c r="C37" s="149" t="str" cm="1">
        <f t="array" aca="1" ref="C37" ca="1">INDIRECT(ADDRESS($A37,2,,,"scalars"))</f>
        <v>staples</v>
      </c>
      <c r="D37" s="239" cm="1">
        <f t="array" aca="1" ref="D37" ca="1">INDIRECT(ADDRESS($A37,8,,,"SCALARS"))</f>
        <v>187400</v>
      </c>
      <c r="E37" s="243"/>
      <c r="F37" s="14" t="str" cm="1">
        <f t="array" aca="1" ref="F37" ca="1">INDIRECT(ADDRESS($A37,5,,,"scalars"))</f>
        <v>XLP</v>
      </c>
      <c r="G37" s="164" t="s">
        <v>136</v>
      </c>
      <c r="H37" s="33" cm="1">
        <f t="array" aca="1" ref="H37" ca="1">INDIRECT(ADDRESS($B37,5,,,"mkt data"))</f>
        <v>72.400000000000006</v>
      </c>
      <c r="I37" s="34" cm="1">
        <f t="array" aca="1" ref="I37" ca="1">INDIRECT(ADDRESS($B37,6,,,"mkt data"))</f>
        <v>73.81</v>
      </c>
      <c r="J37" s="278" cm="1">
        <f t="array" aca="1" ref="J37" ca="1">INDIRECT(ADDRESS($A37,7,,,"SCALARS"))</f>
        <v>0.43650299999999997</v>
      </c>
      <c r="K37" s="16">
        <f ca="1">H37+J37-K$21</f>
        <v>72.831503000000012</v>
      </c>
      <c r="L37" s="16">
        <f ca="1">I37+J37+K$21</f>
        <v>74.251503</v>
      </c>
      <c r="M37" s="162" cm="1">
        <f t="array" aca="1" ref="M37" ca="1">INDIRECT(ADDRESS($A37,6,,,"scalars"))</f>
        <v>1.1367672048632467</v>
      </c>
      <c r="N37" s="17">
        <f t="shared" ca="1" si="29"/>
        <v>82.79246409129918</v>
      </c>
      <c r="O37" s="17">
        <f t="shared" ca="1" si="30"/>
        <v>84.406673522204969</v>
      </c>
      <c r="P37" s="317">
        <f ca="1">N38-O37</f>
        <v>-1.0816735222049658</v>
      </c>
      <c r="Q37" s="319">
        <f t="shared" ref="Q37" ca="1" si="43">LN(N38/O37)</f>
        <v>-1.2897844450532341E-2</v>
      </c>
      <c r="R37" s="450">
        <f ca="1">N37-O38</f>
        <v>-1.0225359087008172</v>
      </c>
      <c r="S37" s="319">
        <f t="shared" ref="S37" ca="1" si="44">LN(N37/O38)</f>
        <v>-1.2274945224103592E-2</v>
      </c>
      <c r="T37" s="80">
        <v>3.0000000000000001E-3</v>
      </c>
      <c r="U37" s="51">
        <v>1E-3</v>
      </c>
      <c r="V37" s="51">
        <v>1E-3</v>
      </c>
      <c r="W37" s="81">
        <v>3.0000000000000001E-3</v>
      </c>
      <c r="X37" s="27" cm="1">
        <f t="array" aca="1" ref="X37" ca="1">INDIRECT(ADDRESS($B37,9,,,"mkt data"))</f>
        <v>0</v>
      </c>
      <c r="Y37" s="62">
        <f ca="1">X37*AVERAGE(H37:I37)</f>
        <v>0</v>
      </c>
      <c r="Z37" s="27">
        <f ca="1">X37/M37</f>
        <v>0</v>
      </c>
      <c r="AA37" s="358">
        <f ca="1">SUM(Z37:Z38)</f>
        <v>0</v>
      </c>
      <c r="AB37" s="420" t="str">
        <f t="shared" si="31"/>
        <v>IYK</v>
      </c>
      <c r="AC37" s="33" cm="1">
        <f t="array" aca="1" ref="AC37" ca="1">INDIRECT(ADDRESS($B37,8,,,"mkt data"))</f>
        <v>73.180000000000007</v>
      </c>
      <c r="AD37" s="394">
        <f t="shared" ca="1" si="32"/>
        <v>73.105000000000004</v>
      </c>
      <c r="AE37" s="394">
        <f t="shared" ca="1" si="33"/>
        <v>-7.5000000000002842E-2</v>
      </c>
      <c r="AF37" s="414">
        <v>0</v>
      </c>
      <c r="AG37" s="394">
        <f t="shared" ca="1" si="34"/>
        <v>-7.5000000000002842E-2</v>
      </c>
      <c r="AH37" s="394">
        <f ca="1">AG37*X37</f>
        <v>0</v>
      </c>
      <c r="AI37" s="402">
        <f ca="1">AH37+AH38</f>
        <v>0</v>
      </c>
    </row>
    <row r="38" spans="1:35" ht="15.75" thickBot="1" x14ac:dyDescent="0.3">
      <c r="A38" s="151">
        <f>MATCH(G38,SCALARS!C:C,0)</f>
        <v>81</v>
      </c>
      <c r="B38" s="152">
        <f>MATCH(G38,'MKT DATA'!B:B,0)</f>
        <v>71</v>
      </c>
      <c r="C38" s="151" t="str" cm="1">
        <f t="array" aca="1" ref="C38" ca="1">INDIRECT(ADDRESS($A38,2,,,"scalars"))</f>
        <v>staples</v>
      </c>
      <c r="D38" s="240" cm="1">
        <f t="array" aca="1" ref="D38" ca="1">INDIRECT(ADDRESS($A38,8,,,"SCALARS"))</f>
        <v>10604400</v>
      </c>
      <c r="E38" s="244"/>
      <c r="F38" s="20" t="str" cm="1">
        <f t="array" aca="1" ref="F38" ca="1">INDIRECT(ADDRESS($A38,5,,,"scalars"))</f>
        <v>XLP</v>
      </c>
      <c r="G38" s="165" t="s">
        <v>96</v>
      </c>
      <c r="H38" s="37" cm="1">
        <f t="array" aca="1" ref="H38" ca="1">INDIRECT(ADDRESS($B38,5,,,"mkt data"))</f>
        <v>83.33</v>
      </c>
      <c r="I38" s="38" cm="1">
        <f t="array" aca="1" ref="I38" ca="1">INDIRECT(ADDRESS($B38,6,,,"mkt data"))</f>
        <v>83.81</v>
      </c>
      <c r="J38" s="279" cm="1">
        <f t="array" aca="1" ref="J38" ca="1">INDIRECT(ADDRESS($A38,7,,,"SCALARS"))</f>
        <v>0</v>
      </c>
      <c r="K38" s="22">
        <f ca="1">H38+J38-K$21</f>
        <v>83.325000000000003</v>
      </c>
      <c r="L38" s="22">
        <f ca="1">I38+J38+K$21</f>
        <v>83.814999999999998</v>
      </c>
      <c r="M38" s="163" cm="1">
        <f t="array" aca="1" ref="M38" ca="1">INDIRECT(ADDRESS($A38,6,,,"scalars"))</f>
        <v>1</v>
      </c>
      <c r="N38" s="23">
        <f t="shared" ca="1" si="29"/>
        <v>83.325000000000003</v>
      </c>
      <c r="O38" s="23">
        <f t="shared" ca="1" si="30"/>
        <v>83.814999999999998</v>
      </c>
      <c r="P38" s="318"/>
      <c r="Q38" s="320"/>
      <c r="R38" s="451"/>
      <c r="S38" s="320"/>
      <c r="T38" s="82" t="b">
        <f ca="1">IF(Q37&gt;T37,TRUE,FALSE)</f>
        <v>0</v>
      </c>
      <c r="U38" s="53" t="b">
        <f ca="1">AND(IF(S37&gt;-U37,TRUE,FALSE),IF(X37&gt;0,TRUE,FALSE))</f>
        <v>0</v>
      </c>
      <c r="V38" s="53" t="b">
        <f ca="1">AND(IF(Q37&gt;-V37,TRUE,FALSE),IF(X37&lt;0,TRUE,FALSE))</f>
        <v>0</v>
      </c>
      <c r="W38" s="83" t="b">
        <f ca="1">IF(S37&gt;W37,TRUE,FALSE)</f>
        <v>0</v>
      </c>
      <c r="X38" s="29" cm="1">
        <f t="array" aca="1" ref="X38" ca="1">INDIRECT(ADDRESS($B38,9,,,"mkt data"))</f>
        <v>0</v>
      </c>
      <c r="Y38" s="64">
        <f ca="1">X38*AVERAGE(H38:I38)</f>
        <v>0</v>
      </c>
      <c r="Z38" s="29">
        <f ca="1">X38/M38</f>
        <v>0</v>
      </c>
      <c r="AA38" s="360"/>
      <c r="AB38" s="421" t="str">
        <f t="shared" si="31"/>
        <v>XLP</v>
      </c>
      <c r="AC38" s="37" cm="1">
        <f t="array" aca="1" ref="AC38" ca="1">INDIRECT(ADDRESS($B38,8,,,"mkt data"))</f>
        <v>83.330001999999993</v>
      </c>
      <c r="AD38" s="396">
        <f t="shared" ca="1" si="32"/>
        <v>83.57</v>
      </c>
      <c r="AE38" s="396">
        <f t="shared" ca="1" si="33"/>
        <v>0.23999799999999993</v>
      </c>
      <c r="AF38" s="416">
        <v>0</v>
      </c>
      <c r="AG38" s="396">
        <f t="shared" ca="1" si="34"/>
        <v>0.23999799999999993</v>
      </c>
      <c r="AH38" s="396">
        <f ca="1">AG38*X38</f>
        <v>0</v>
      </c>
      <c r="AI38" s="403"/>
    </row>
    <row r="39" spans="1:35" x14ac:dyDescent="0.25">
      <c r="A39" s="149">
        <f>MATCH(G39,SCALARS!C:C,0)</f>
        <v>85</v>
      </c>
      <c r="B39" s="150">
        <f>MATCH(G39,'MKT DATA'!B:B,0)</f>
        <v>72</v>
      </c>
      <c r="C39" s="149" t="str" cm="1">
        <f t="array" aca="1" ref="C39" ca="1">INDIRECT(ADDRESS($A39,2,,,"scalars"))</f>
        <v>technology</v>
      </c>
      <c r="D39" s="239" cm="1">
        <f t="array" aca="1" ref="D39" ca="1">INDIRECT(ADDRESS($A39,8,,,"SCALARS"))</f>
        <v>8315200</v>
      </c>
      <c r="E39" s="243"/>
      <c r="F39" s="14" t="str" cm="1">
        <f t="array" aca="1" ref="F39" ca="1">INDIRECT(ADDRESS($A39,5,,,"scalars"))</f>
        <v>IYW</v>
      </c>
      <c r="G39" s="15" t="s">
        <v>117</v>
      </c>
      <c r="H39" s="33" cm="1">
        <f t="array" aca="1" ref="H39" ca="1">INDIRECT(ADDRESS($B39,5,,,"mkt data"))</f>
        <v>188.11</v>
      </c>
      <c r="I39" s="34" cm="1">
        <f t="array" aca="1" ref="I39" ca="1">INDIRECT(ADDRESS($B39,6,,,"mkt data"))</f>
        <v>188.54</v>
      </c>
      <c r="J39" s="278" cm="1">
        <f t="array" aca="1" ref="J39" ca="1">INDIRECT(ADDRESS($A39,7,,,"SCALARS"))</f>
        <v>0</v>
      </c>
      <c r="K39" s="16">
        <f ca="1">H39+J39-K$21</f>
        <v>188.10500000000002</v>
      </c>
      <c r="L39" s="16">
        <f ca="1">I39+J39+K$21</f>
        <v>188.54499999999999</v>
      </c>
      <c r="M39" s="143" cm="1">
        <f t="array" aca="1" ref="M39" ca="1">INDIRECT(ADDRESS($A39,6,,,"scalars"))</f>
        <v>1.3521166053341065</v>
      </c>
      <c r="N39" s="17">
        <f t="shared" ca="1" si="29"/>
        <v>254.33989404637214</v>
      </c>
      <c r="O39" s="17">
        <f t="shared" ca="1" si="30"/>
        <v>254.93482535271909</v>
      </c>
      <c r="P39" s="375">
        <f ca="1">N40-O39</f>
        <v>-2.3506933527191052</v>
      </c>
      <c r="Q39" s="319">
        <f t="shared" ref="Q39" ca="1" si="45">LN(N40/O39)</f>
        <v>-9.2635363809128995E-3</v>
      </c>
      <c r="R39" s="317">
        <f ca="1">N39-O40</f>
        <v>-1.6742379536278804</v>
      </c>
      <c r="S39" s="319">
        <f t="shared" ref="S39" ca="1" si="46">LN(N39/O40)</f>
        <v>-6.5611080710490065E-3</v>
      </c>
      <c r="T39" s="80">
        <v>3.0000000000000001E-3</v>
      </c>
      <c r="U39" s="51">
        <v>1E-3</v>
      </c>
      <c r="V39" s="51">
        <v>5.0000000000000001E-4</v>
      </c>
      <c r="W39" s="81">
        <v>2E-3</v>
      </c>
      <c r="X39" s="27" cm="1">
        <f t="array" aca="1" ref="X39" ca="1">INDIRECT(ADDRESS($B39,9,,,"mkt data"))</f>
        <v>5565</v>
      </c>
      <c r="Y39" s="62">
        <f ca="1">X39*AVERAGE(H39:I39)</f>
        <v>1048028.6249999999</v>
      </c>
      <c r="Z39" s="27">
        <f ca="1">X39/M39</f>
        <v>4115.7692894577649</v>
      </c>
      <c r="AA39" s="315">
        <f ca="1">SUM(Z39:Z40)</f>
        <v>-9.2307105422351015</v>
      </c>
      <c r="AB39" s="409" t="str">
        <f t="shared" si="31"/>
        <v>XLK</v>
      </c>
      <c r="AC39" s="35" cm="1">
        <f t="array" aca="1" ref="AC39" ca="1">INDIRECT(ADDRESS($B39,8,,,"mkt data"))</f>
        <v>183.929993</v>
      </c>
      <c r="AD39" s="395">
        <f t="shared" ca="1" si="32"/>
        <v>188.32499999999999</v>
      </c>
      <c r="AE39" s="395">
        <f t="shared" ca="1" si="33"/>
        <v>4.3950069999999926</v>
      </c>
      <c r="AF39" s="415">
        <v>0</v>
      </c>
      <c r="AG39" s="395">
        <f t="shared" ca="1" si="34"/>
        <v>4.3950069999999926</v>
      </c>
      <c r="AH39" s="395">
        <f ca="1">AG39*X39</f>
        <v>24458.213954999959</v>
      </c>
      <c r="AI39" s="402">
        <f ca="1">AH39+AH40</f>
        <v>7545.6892049999296</v>
      </c>
    </row>
    <row r="40" spans="1:35" ht="15.75" thickBot="1" x14ac:dyDescent="0.3">
      <c r="A40" s="151">
        <f>MATCH(G40,SCALARS!C:C,0)</f>
        <v>84</v>
      </c>
      <c r="B40" s="152">
        <f>MATCH(G40,'MKT DATA'!B:B,0)</f>
        <v>56</v>
      </c>
      <c r="C40" s="151" t="str" cm="1">
        <f t="array" aca="1" ref="C40" ca="1">INDIRECT(ADDRESS($A40,2,,,"scalars"))</f>
        <v>technology</v>
      </c>
      <c r="D40" s="240" cm="1">
        <f t="array" aca="1" ref="D40" ca="1">INDIRECT(ADDRESS($A40,8,,,"SCALARS"))</f>
        <v>547800</v>
      </c>
      <c r="E40" s="244"/>
      <c r="F40" s="20" t="str" cm="1">
        <f t="array" aca="1" ref="F40" ca="1">INDIRECT(ADDRESS($A40,5,,,"scalars"))</f>
        <v>IYW</v>
      </c>
      <c r="G40" s="21" t="s">
        <v>115</v>
      </c>
      <c r="H40" s="37" cm="1">
        <f t="array" aca="1" ref="H40" ca="1">INDIRECT(ADDRESS($B40,5,,,"mkt data"))</f>
        <v>252.54</v>
      </c>
      <c r="I40" s="38" cm="1">
        <f t="array" aca="1" ref="I40" ca="1">INDIRECT(ADDRESS($B40,6,,,"mkt data"))</f>
        <v>255.96</v>
      </c>
      <c r="J40" s="279" cm="1">
        <f t="array" aca="1" ref="J40" ca="1">INDIRECT(ADDRESS($A40,7,,,"SCALARS"))</f>
        <v>4.9132000000000002E-2</v>
      </c>
      <c r="K40" s="22">
        <f ca="1">H40+J40-K$21</f>
        <v>252.58413199999998</v>
      </c>
      <c r="L40" s="22">
        <f ca="1">I40+J40+K$21</f>
        <v>256.01413200000002</v>
      </c>
      <c r="M40" s="142" cm="1">
        <f t="array" aca="1" ref="M40" ca="1">INDIRECT(ADDRESS($A40,6,,,"scalars"))</f>
        <v>1</v>
      </c>
      <c r="N40" s="23">
        <f t="shared" ca="1" si="29"/>
        <v>252.58413199999998</v>
      </c>
      <c r="O40" s="23">
        <f t="shared" ca="1" si="30"/>
        <v>256.01413200000002</v>
      </c>
      <c r="P40" s="376"/>
      <c r="Q40" s="320"/>
      <c r="R40" s="318"/>
      <c r="S40" s="320"/>
      <c r="T40" s="82" t="b">
        <f ca="1">IF(Q39&gt;T39,TRUE,FALSE)</f>
        <v>0</v>
      </c>
      <c r="U40" s="53" t="b">
        <f ca="1">AND(IF(S39&gt;-U39,TRUE,FALSE),IF(X39&gt;0,TRUE,FALSE))</f>
        <v>0</v>
      </c>
      <c r="V40" s="53" t="b">
        <f ca="1">AND(IF(Q39&gt;-V39,TRUE,FALSE),IF(X39&lt;0,TRUE,FALSE))</f>
        <v>0</v>
      </c>
      <c r="W40" s="83" t="b">
        <f ca="1">IF(S39&gt;W39,TRUE,FALSE)</f>
        <v>0</v>
      </c>
      <c r="X40" s="29" cm="1">
        <f t="array" aca="1" ref="X40" ca="1">INDIRECT(ADDRESS($B40,9,,,"mkt data"))</f>
        <v>-4125</v>
      </c>
      <c r="Y40" s="64">
        <f ca="1">X40*AVERAGE(H40:I40)</f>
        <v>-1048781.25</v>
      </c>
      <c r="Z40" s="29">
        <f ca="1">X40/M40</f>
        <v>-4125</v>
      </c>
      <c r="AA40" s="316"/>
      <c r="AB40" s="419" t="str">
        <f t="shared" si="31"/>
        <v>IYW</v>
      </c>
      <c r="AC40" s="35" cm="1">
        <f t="array" aca="1" ref="AC40" ca="1">INDIRECT(ADDRESS($B40,8,,,"mkt data"))</f>
        <v>250.14999399999999</v>
      </c>
      <c r="AD40" s="395">
        <f t="shared" ca="1" si="32"/>
        <v>254.25</v>
      </c>
      <c r="AE40" s="395">
        <f t="shared" ca="1" si="33"/>
        <v>4.1000060000000076</v>
      </c>
      <c r="AF40" s="415">
        <v>0</v>
      </c>
      <c r="AG40" s="395">
        <f t="shared" ca="1" si="34"/>
        <v>4.1000060000000076</v>
      </c>
      <c r="AH40" s="395">
        <f ca="1">AG40*X40</f>
        <v>-16912.52475000003</v>
      </c>
      <c r="AI40" s="403"/>
    </row>
    <row r="41" spans="1:35" x14ac:dyDescent="0.25">
      <c r="A41" s="149">
        <f>MATCH(G41,SCALARS!C:C,0)</f>
        <v>87</v>
      </c>
      <c r="B41" s="150">
        <f>MATCH(G41,'MKT DATA'!B:B,0)</f>
        <v>73</v>
      </c>
      <c r="C41" s="149" t="str" cm="1">
        <f t="array" aca="1" ref="C41" ca="1">INDIRECT(ADDRESS($A41,2,,,"scalars"))</f>
        <v>utilities</v>
      </c>
      <c r="D41" s="239" cm="1">
        <f t="array" aca="1" ref="D41" ca="1">INDIRECT(ADDRESS($A41,8,,,"SCALARS"))</f>
        <v>19976200</v>
      </c>
      <c r="E41" s="243"/>
      <c r="F41" s="14" t="str" cm="1">
        <f t="array" aca="1" ref="F41" ca="1">INDIRECT(ADDRESS($A41,5,,,"scalars"))</f>
        <v>IDU</v>
      </c>
      <c r="G41" s="15" t="s">
        <v>121</v>
      </c>
      <c r="H41" s="33" cm="1">
        <f t="array" aca="1" ref="H41" ca="1">INDIRECT(ADDRESS($B41,5,,,"mkt data"))</f>
        <v>41.61</v>
      </c>
      <c r="I41" s="34" cm="1">
        <f t="array" aca="1" ref="I41" ca="1">INDIRECT(ADDRESS($B41,6,,,"mkt data"))</f>
        <v>41.76</v>
      </c>
      <c r="J41" s="278" cm="1">
        <f t="array" aca="1" ref="J41" ca="1">INDIRECT(ADDRESS($A41,7,,,"SCALARS"))</f>
        <v>0</v>
      </c>
      <c r="K41" s="16">
        <f ca="1">H41+J41-K$21</f>
        <v>41.604999999999997</v>
      </c>
      <c r="L41" s="16">
        <f ca="1">I41+J41+K$21</f>
        <v>41.765000000000001</v>
      </c>
      <c r="M41" s="143" cm="1">
        <f t="array" aca="1" ref="M41" ca="1">INDIRECT(ADDRESS($A41,6,,,"scalars"))</f>
        <v>2.545069807027899</v>
      </c>
      <c r="N41" s="17">
        <f t="shared" ca="1" si="29"/>
        <v>105.88762932139574</v>
      </c>
      <c r="O41" s="17">
        <f t="shared" ca="1" si="30"/>
        <v>106.2948404905202</v>
      </c>
      <c r="P41" s="375">
        <f ca="1">N42-O41</f>
        <v>-0.64286349052018465</v>
      </c>
      <c r="Q41" s="319">
        <f t="shared" ref="Q41" ca="1" si="47">LN(N42/O41)</f>
        <v>-6.0662903040686663E-3</v>
      </c>
      <c r="R41" s="317">
        <f ca="1">N41-O42</f>
        <v>-1.8243476786042692</v>
      </c>
      <c r="S41" s="319">
        <f t="shared" ref="S41" ca="1" si="48">LN(N41/O42)</f>
        <v>-1.7082353969643645E-2</v>
      </c>
      <c r="T41" s="80">
        <v>1E-3</v>
      </c>
      <c r="U41" s="51">
        <v>0</v>
      </c>
      <c r="V41" s="51">
        <v>0</v>
      </c>
      <c r="W41" s="81">
        <v>1E-3</v>
      </c>
      <c r="X41" s="27" cm="1">
        <f t="array" aca="1" ref="X41" ca="1">INDIRECT(ADDRESS($B41,9,,,"mkt data"))</f>
        <v>2850</v>
      </c>
      <c r="Y41" s="62">
        <f ca="1">X41*AVERAGE(H41:I41)</f>
        <v>118802.25</v>
      </c>
      <c r="Z41" s="27">
        <f ca="1">X41/M41</f>
        <v>1119.8121136520788</v>
      </c>
      <c r="AA41" s="315">
        <f ca="1">SUM(Z41:Z42)</f>
        <v>-5.1878863479212214</v>
      </c>
      <c r="AB41" s="409" t="str">
        <f t="shared" si="31"/>
        <v>XLU</v>
      </c>
      <c r="AC41" s="33" cm="1">
        <f t="array" aca="1" ref="AC41" ca="1">INDIRECT(ADDRESS($B41,8,,,"mkt data"))</f>
        <v>41.32</v>
      </c>
      <c r="AD41" s="394">
        <f t="shared" ca="1" si="32"/>
        <v>41.685000000000002</v>
      </c>
      <c r="AE41" s="394">
        <f t="shared" ca="1" si="33"/>
        <v>0.36500000000000199</v>
      </c>
      <c r="AF41" s="414">
        <v>0</v>
      </c>
      <c r="AG41" s="394">
        <f t="shared" ca="1" si="34"/>
        <v>0.36500000000000199</v>
      </c>
      <c r="AH41" s="394">
        <f ca="1">AG41*X41</f>
        <v>1040.2500000000057</v>
      </c>
      <c r="AI41" s="402">
        <f ca="1">AH41+AH42</f>
        <v>-382.87837499998636</v>
      </c>
    </row>
    <row r="42" spans="1:35" ht="15.75" thickBot="1" x14ac:dyDescent="0.3">
      <c r="A42" s="151">
        <f>MATCH(G42,SCALARS!C:C,0)</f>
        <v>86</v>
      </c>
      <c r="B42" s="152">
        <f>MATCH(G42,'MKT DATA'!B:B,0)</f>
        <v>57</v>
      </c>
      <c r="C42" s="151" t="str" cm="1">
        <f t="array" aca="1" ref="C42" ca="1">INDIRECT(ADDRESS($A42,2,,,"scalars"))</f>
        <v>utilities</v>
      </c>
      <c r="D42" s="240" cm="1">
        <f t="array" aca="1" ref="D42" ca="1">INDIRECT(ADDRESS($A42,8,,,"SCALARS"))</f>
        <v>141100</v>
      </c>
      <c r="E42" s="244"/>
      <c r="F42" s="20" t="str" cm="1">
        <f t="array" aca="1" ref="F42" ca="1">INDIRECT(ADDRESS($A42,5,,,"scalars"))</f>
        <v>IDU</v>
      </c>
      <c r="G42" s="21" t="s">
        <v>119</v>
      </c>
      <c r="H42" s="37" cm="1">
        <f t="array" aca="1" ref="H42" ca="1">INDIRECT(ADDRESS($B42,5,,,"mkt data"))</f>
        <v>105.01</v>
      </c>
      <c r="I42" s="38" cm="1">
        <f t="array" aca="1" ref="I42" ca="1">INDIRECT(ADDRESS($B42,6,,,"mkt data"))</f>
        <v>107.06</v>
      </c>
      <c r="J42" s="279" cm="1">
        <f t="array" aca="1" ref="J42" ca="1">INDIRECT(ADDRESS($A42,7,,,"SCALARS"))</f>
        <v>0.64697700000000002</v>
      </c>
      <c r="K42" s="22">
        <f ca="1">H42+J42-K$21</f>
        <v>105.65197700000002</v>
      </c>
      <c r="L42" s="22">
        <f ca="1">I42+J42+K$21</f>
        <v>107.711977</v>
      </c>
      <c r="M42" s="142" cm="1">
        <f t="array" aca="1" ref="M42" ca="1">INDIRECT(ADDRESS($A42,6,,,"scalars"))</f>
        <v>1</v>
      </c>
      <c r="N42" s="23">
        <f t="shared" ca="1" si="29"/>
        <v>105.65197700000002</v>
      </c>
      <c r="O42" s="23">
        <f t="shared" ca="1" si="30"/>
        <v>107.711977</v>
      </c>
      <c r="P42" s="376"/>
      <c r="Q42" s="320"/>
      <c r="R42" s="318"/>
      <c r="S42" s="320"/>
      <c r="T42" s="82" t="b">
        <f ca="1">IF(Q41&gt;T41,TRUE,FALSE)</f>
        <v>0</v>
      </c>
      <c r="U42" s="53" t="b">
        <f ca="1">AND(IF(S41&gt;-U41,TRUE,FALSE),IF(X41&gt;0,TRUE,FALSE))</f>
        <v>0</v>
      </c>
      <c r="V42" s="53" t="b">
        <f ca="1">AND(IF(Q41&gt;-V41,TRUE,FALSE),IF(X41&lt;0,TRUE,FALSE))</f>
        <v>0</v>
      </c>
      <c r="W42" s="83" t="b">
        <f ca="1">IF(S41&gt;W41,TRUE,FALSE)</f>
        <v>0</v>
      </c>
      <c r="X42" s="29" cm="1">
        <f t="array" aca="1" ref="X42" ca="1">INDIRECT(ADDRESS($B42,9,,,"mkt data"))</f>
        <v>-1125</v>
      </c>
      <c r="Y42" s="64">
        <f ca="1">X42*AVERAGE(H42:I42)</f>
        <v>-119289.375</v>
      </c>
      <c r="Z42" s="29">
        <f ca="1">X42/M42</f>
        <v>-1125</v>
      </c>
      <c r="AA42" s="316"/>
      <c r="AB42" s="419" t="str">
        <f t="shared" si="31"/>
        <v>IDU</v>
      </c>
      <c r="AC42" s="37" cm="1">
        <f t="array" aca="1" ref="AC42" ca="1">INDIRECT(ADDRESS($B42,8,,,"mkt data"))</f>
        <v>104.769997</v>
      </c>
      <c r="AD42" s="396">
        <f t="shared" ca="1" si="32"/>
        <v>106.035</v>
      </c>
      <c r="AE42" s="396">
        <f t="shared" ca="1" si="33"/>
        <v>1.265002999999993</v>
      </c>
      <c r="AF42" s="416">
        <v>0</v>
      </c>
      <c r="AG42" s="396">
        <f t="shared" ca="1" si="34"/>
        <v>1.265002999999993</v>
      </c>
      <c r="AH42" s="396">
        <f ca="1">AG42*X42</f>
        <v>-1423.128374999992</v>
      </c>
      <c r="AI42" s="403"/>
    </row>
    <row r="43" spans="1:35" ht="15.75" thickBot="1" x14ac:dyDescent="0.3">
      <c r="P43" s="229"/>
      <c r="AG43" s="404" t="s">
        <v>234</v>
      </c>
      <c r="AH43" s="405">
        <f ca="1">SUM(AH25:AH42)</f>
        <v>9031.3397869999753</v>
      </c>
      <c r="AI43" s="406">
        <f ca="1">SUM(AI25:AI42)</f>
        <v>9031.3397869999753</v>
      </c>
    </row>
    <row r="44" spans="1:35" x14ac:dyDescent="0.25">
      <c r="C44" s="144" t="s">
        <v>130</v>
      </c>
      <c r="G44" t="s">
        <v>131</v>
      </c>
      <c r="AI44" s="253"/>
    </row>
    <row r="45" spans="1:35" x14ac:dyDescent="0.25">
      <c r="C45" s="144" t="s">
        <v>159</v>
      </c>
      <c r="G45" t="s">
        <v>129</v>
      </c>
      <c r="AI45" s="253">
        <f ca="1">+AI43+'FIXED INCOME'!AI17</f>
        <v>9355.8851869999871</v>
      </c>
    </row>
    <row r="46" spans="1:35" x14ac:dyDescent="0.25">
      <c r="E46" s="1"/>
      <c r="F46" s="1"/>
      <c r="G46" s="1"/>
      <c r="AI46" s="253"/>
    </row>
    <row r="47" spans="1:35" x14ac:dyDescent="0.25">
      <c r="E47" s="1"/>
      <c r="F47" s="1"/>
      <c r="O47" s="2"/>
      <c r="P47" s="254"/>
      <c r="Q47" s="271"/>
      <c r="R47" s="271"/>
      <c r="S47" s="270"/>
      <c r="T47" s="2"/>
    </row>
    <row r="48" spans="1:35" x14ac:dyDescent="0.25">
      <c r="O48" s="2"/>
      <c r="P48" s="254"/>
      <c r="T48" s="2"/>
      <c r="AI48" s="253"/>
    </row>
    <row r="49" spans="5:24" x14ac:dyDescent="0.25">
      <c r="O49" s="2"/>
      <c r="P49" s="254"/>
      <c r="Q49" s="252"/>
      <c r="T49" s="202"/>
    </row>
    <row r="50" spans="5:24" x14ac:dyDescent="0.25">
      <c r="P50" s="254"/>
      <c r="T50" s="2"/>
      <c r="U50" s="236"/>
    </row>
    <row r="51" spans="5:24" x14ac:dyDescent="0.25">
      <c r="P51" s="254"/>
      <c r="T51" s="2"/>
    </row>
    <row r="52" spans="5:24" x14ac:dyDescent="0.25">
      <c r="O52" s="2"/>
      <c r="P52" s="254"/>
      <c r="Q52" s="252"/>
      <c r="T52" s="2"/>
    </row>
    <row r="53" spans="5:24" x14ac:dyDescent="0.25">
      <c r="O53" s="2"/>
      <c r="P53" s="254"/>
      <c r="T53" s="2"/>
    </row>
    <row r="54" spans="5:24" x14ac:dyDescent="0.25">
      <c r="O54" s="2"/>
      <c r="P54" s="254"/>
      <c r="T54" s="2"/>
    </row>
    <row r="55" spans="5:24" x14ac:dyDescent="0.25">
      <c r="O55" s="2"/>
      <c r="P55" s="254"/>
      <c r="Q55" s="252"/>
      <c r="R55" s="7"/>
      <c r="S55" s="272"/>
      <c r="T55" s="2"/>
    </row>
    <row r="56" spans="5:24" x14ac:dyDescent="0.25">
      <c r="E56" s="1"/>
      <c r="F56" s="1"/>
      <c r="G56" s="1"/>
      <c r="O56" s="2"/>
      <c r="P56" s="2"/>
      <c r="R56" s="7"/>
      <c r="S56" s="272"/>
    </row>
    <row r="57" spans="5:24" x14ac:dyDescent="0.25">
      <c r="E57" s="1"/>
      <c r="F57" s="1"/>
      <c r="G57" s="1"/>
      <c r="R57" s="7"/>
      <c r="S57" s="272"/>
    </row>
    <row r="61" spans="5:24" x14ac:dyDescent="0.25">
      <c r="H61" s="8"/>
      <c r="K61" s="25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390"/>
    </row>
    <row r="62" spans="5:24" x14ac:dyDescent="0.25">
      <c r="H62" s="8"/>
      <c r="K62" s="25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390"/>
    </row>
    <row r="63" spans="5:24" x14ac:dyDescent="0.25">
      <c r="H63" s="8"/>
      <c r="K63" s="25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390"/>
    </row>
    <row r="64" spans="5:24" x14ac:dyDescent="0.25">
      <c r="H64" s="8"/>
      <c r="K64" s="25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390"/>
    </row>
    <row r="65" spans="5:27" x14ac:dyDescent="0.25">
      <c r="E65" s="1"/>
      <c r="F65" s="1"/>
      <c r="G65" s="1"/>
      <c r="H65" s="8"/>
      <c r="K65" s="25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390"/>
    </row>
    <row r="66" spans="5:27" x14ac:dyDescent="0.25">
      <c r="E66" s="1"/>
      <c r="F66" s="1"/>
      <c r="G66" s="1"/>
      <c r="H66" s="8"/>
      <c r="K66" s="25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390"/>
    </row>
    <row r="67" spans="5:27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390"/>
      <c r="Y67" s="1"/>
      <c r="Z67" s="1"/>
      <c r="AA67" s="1"/>
    </row>
    <row r="68" spans="5:27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390"/>
      <c r="Y68" s="1"/>
      <c r="Z68" s="1"/>
      <c r="AA68" s="1"/>
    </row>
  </sheetData>
  <mergeCells count="124">
    <mergeCell ref="AI41:AI42"/>
    <mergeCell ref="AI3:AI4"/>
    <mergeCell ref="AI5:AI6"/>
    <mergeCell ref="AI7:AI8"/>
    <mergeCell ref="AI9:AI10"/>
    <mergeCell ref="AI11:AI12"/>
    <mergeCell ref="AI13:AI14"/>
    <mergeCell ref="AI15:AI16"/>
    <mergeCell ref="AI17:AI18"/>
    <mergeCell ref="AI19:AI20"/>
    <mergeCell ref="AI25:AI26"/>
    <mergeCell ref="AI31:AI32"/>
    <mergeCell ref="AI35:AI36"/>
    <mergeCell ref="AI27:AI28"/>
    <mergeCell ref="AI33:AI34"/>
    <mergeCell ref="AI29:AI30"/>
    <mergeCell ref="AI37:AI38"/>
    <mergeCell ref="AI39:AI40"/>
    <mergeCell ref="P3:P4"/>
    <mergeCell ref="Q3:Q4"/>
    <mergeCell ref="R3:R4"/>
    <mergeCell ref="S3:S4"/>
    <mergeCell ref="R33:R34"/>
    <mergeCell ref="S33:S34"/>
    <mergeCell ref="R37:R38"/>
    <mergeCell ref="S37:S38"/>
    <mergeCell ref="AA33:AA34"/>
    <mergeCell ref="AA37:AA38"/>
    <mergeCell ref="P33:P34"/>
    <mergeCell ref="Q33:Q34"/>
    <mergeCell ref="P37:P38"/>
    <mergeCell ref="Q37:Q38"/>
    <mergeCell ref="AA35:AA36"/>
    <mergeCell ref="R35:R36"/>
    <mergeCell ref="S35:S36"/>
    <mergeCell ref="P35:P36"/>
    <mergeCell ref="Q35:Q36"/>
    <mergeCell ref="P7:P8"/>
    <mergeCell ref="Q7:Q8"/>
    <mergeCell ref="R7:R8"/>
    <mergeCell ref="S7:S8"/>
    <mergeCell ref="P21:S22"/>
    <mergeCell ref="Q11:Q12"/>
    <mergeCell ref="R11:R12"/>
    <mergeCell ref="S11:S12"/>
    <mergeCell ref="P9:P10"/>
    <mergeCell ref="Q9:Q10"/>
    <mergeCell ref="R9:R10"/>
    <mergeCell ref="S9:S10"/>
    <mergeCell ref="AA41:AA42"/>
    <mergeCell ref="R41:R42"/>
    <mergeCell ref="S41:S42"/>
    <mergeCell ref="P41:P42"/>
    <mergeCell ref="Q41:Q42"/>
    <mergeCell ref="AA39:AA40"/>
    <mergeCell ref="R39:R40"/>
    <mergeCell ref="S39:S40"/>
    <mergeCell ref="P39:P40"/>
    <mergeCell ref="Q39:Q40"/>
    <mergeCell ref="AA29:AA30"/>
    <mergeCell ref="R29:R30"/>
    <mergeCell ref="S29:S30"/>
    <mergeCell ref="P29:P30"/>
    <mergeCell ref="Q29:Q30"/>
    <mergeCell ref="AA31:AA32"/>
    <mergeCell ref="R31:R32"/>
    <mergeCell ref="S31:S32"/>
    <mergeCell ref="P31:P32"/>
    <mergeCell ref="Q31:Q32"/>
    <mergeCell ref="AA27:AA28"/>
    <mergeCell ref="R27:R28"/>
    <mergeCell ref="S27:S28"/>
    <mergeCell ref="P27:P28"/>
    <mergeCell ref="Q27:Q28"/>
    <mergeCell ref="P23:Q23"/>
    <mergeCell ref="R23:S23"/>
    <mergeCell ref="AA25:AA26"/>
    <mergeCell ref="P25:P26"/>
    <mergeCell ref="Q25:Q26"/>
    <mergeCell ref="R25:R26"/>
    <mergeCell ref="S25:S26"/>
    <mergeCell ref="A23:B23"/>
    <mergeCell ref="X23:AA23"/>
    <mergeCell ref="H23:I23"/>
    <mergeCell ref="N23:O23"/>
    <mergeCell ref="AA19:AA20"/>
    <mergeCell ref="P19:P20"/>
    <mergeCell ref="Q19:Q20"/>
    <mergeCell ref="R19:R20"/>
    <mergeCell ref="K23:L23"/>
    <mergeCell ref="K21:L22"/>
    <mergeCell ref="S19:S20"/>
    <mergeCell ref="AA15:AA16"/>
    <mergeCell ref="P15:P16"/>
    <mergeCell ref="Q15:Q16"/>
    <mergeCell ref="R15:R16"/>
    <mergeCell ref="S15:S16"/>
    <mergeCell ref="P1:Q1"/>
    <mergeCell ref="AA5:AA6"/>
    <mergeCell ref="P5:P6"/>
    <mergeCell ref="Q5:Q6"/>
    <mergeCell ref="R5:R6"/>
    <mergeCell ref="S5:S6"/>
    <mergeCell ref="AA13:AA14"/>
    <mergeCell ref="P13:P14"/>
    <mergeCell ref="Q13:Q14"/>
    <mergeCell ref="R13:R14"/>
    <mergeCell ref="R1:S1"/>
    <mergeCell ref="P17:P18"/>
    <mergeCell ref="Q17:Q18"/>
    <mergeCell ref="R17:R18"/>
    <mergeCell ref="S17:S18"/>
    <mergeCell ref="S13:S14"/>
    <mergeCell ref="P11:P12"/>
    <mergeCell ref="A1:B1"/>
    <mergeCell ref="X1:AA1"/>
    <mergeCell ref="H1:I1"/>
    <mergeCell ref="AA17:AA18"/>
    <mergeCell ref="AA7:AA8"/>
    <mergeCell ref="AA11:AA12"/>
    <mergeCell ref="AA9:AA10"/>
    <mergeCell ref="N1:O1"/>
    <mergeCell ref="AA3:AA4"/>
    <mergeCell ref="K1:L1"/>
  </mergeCells>
  <conditionalFormatting sqref="N9:N10">
    <cfRule type="top10" dxfId="61" priority="94" rank="1"/>
  </conditionalFormatting>
  <conditionalFormatting sqref="N17:N18">
    <cfRule type="top10" dxfId="60" priority="84" rank="1"/>
  </conditionalFormatting>
  <conditionalFormatting sqref="N13:N14">
    <cfRule type="top10" dxfId="59" priority="82" rank="1"/>
  </conditionalFormatting>
  <conditionalFormatting sqref="N15:N16">
    <cfRule type="top10" dxfId="58" priority="80" rank="1"/>
  </conditionalFormatting>
  <conditionalFormatting sqref="T14 W14 T16 W16 T18 W18 T10:T12 W10:W12 T20 W20 T6:T8 W6:W8 T30:T32 W30:W32 T34:T36 W34:W36 T38:T42 W38:W42">
    <cfRule type="cellIs" dxfId="57" priority="79" operator="equal">
      <formula>TRUE</formula>
    </cfRule>
  </conditionalFormatting>
  <conditionalFormatting sqref="U14:V14 U16:V16 U18:V18 U10:V12 U20:V20 U6:V8 U30:V32 U34:V36 U38:V42">
    <cfRule type="cellIs" dxfId="56" priority="78" operator="equal">
      <formula>TRUE</formula>
    </cfRule>
  </conditionalFormatting>
  <conditionalFormatting sqref="S3:S20 Q25:Q42 S25:S42 Q3:Q20">
    <cfRule type="cellIs" dxfId="55" priority="77" operator="greaterThan">
      <formula>0</formula>
    </cfRule>
  </conditionalFormatting>
  <conditionalFormatting sqref="N39:N40">
    <cfRule type="top10" dxfId="54" priority="73" rank="1"/>
  </conditionalFormatting>
  <conditionalFormatting sqref="N31:N32">
    <cfRule type="top10" dxfId="53" priority="69" rank="1"/>
  </conditionalFormatting>
  <conditionalFormatting sqref="N35:N36">
    <cfRule type="top10" dxfId="52" priority="67" rank="1"/>
  </conditionalFormatting>
  <conditionalFormatting sqref="N27:N28">
    <cfRule type="top10" dxfId="51" priority="65" rank="1"/>
  </conditionalFormatting>
  <conditionalFormatting sqref="O27:O28">
    <cfRule type="top10" dxfId="50" priority="66" bottom="1" rank="1"/>
  </conditionalFormatting>
  <conditionalFormatting sqref="T28 W28">
    <cfRule type="cellIs" dxfId="49" priority="50" operator="equal">
      <formula>TRUE</formula>
    </cfRule>
  </conditionalFormatting>
  <conditionalFormatting sqref="U28:V28">
    <cfRule type="cellIs" dxfId="48" priority="49" operator="equal">
      <formula>TRUE</formula>
    </cfRule>
  </conditionalFormatting>
  <conditionalFormatting sqref="T32 W32">
    <cfRule type="cellIs" dxfId="47" priority="46" operator="equal">
      <formula>TRUE</formula>
    </cfRule>
  </conditionalFormatting>
  <conditionalFormatting sqref="U32:V32">
    <cfRule type="cellIs" dxfId="46" priority="45" operator="equal">
      <formula>TRUE</formula>
    </cfRule>
  </conditionalFormatting>
  <conditionalFormatting sqref="U36:V36">
    <cfRule type="cellIs" dxfId="45" priority="44" operator="equal">
      <formula>TRUE</formula>
    </cfRule>
  </conditionalFormatting>
  <conditionalFormatting sqref="N5:N6">
    <cfRule type="top10" dxfId="44" priority="96" rank="1"/>
  </conditionalFormatting>
  <conditionalFormatting sqref="N11:N12">
    <cfRule type="top10" dxfId="43" priority="99" rank="1"/>
  </conditionalFormatting>
  <conditionalFormatting sqref="N19:N20">
    <cfRule type="top10" dxfId="42" priority="42" rank="1"/>
  </conditionalFormatting>
  <conditionalFormatting sqref="N7:N8">
    <cfRule type="top10" dxfId="41" priority="40" rank="1"/>
  </conditionalFormatting>
  <conditionalFormatting sqref="N41:N42">
    <cfRule type="top10" dxfId="40" priority="36" rank="1"/>
  </conditionalFormatting>
  <conditionalFormatting sqref="N29:N30">
    <cfRule type="top10" dxfId="39" priority="111" rank="1"/>
  </conditionalFormatting>
  <conditionalFormatting sqref="N33:N34">
    <cfRule type="top10" dxfId="38" priority="28" rank="1"/>
  </conditionalFormatting>
  <conditionalFormatting sqref="N37:N38">
    <cfRule type="top10" dxfId="37" priority="26" rank="1"/>
  </conditionalFormatting>
  <conditionalFormatting sqref="O31:O32">
    <cfRule type="top10" dxfId="36" priority="25" bottom="1" rank="1"/>
  </conditionalFormatting>
  <conditionalFormatting sqref="O35:O36">
    <cfRule type="top10" dxfId="35" priority="24" bottom="1" rank="1"/>
  </conditionalFormatting>
  <conditionalFormatting sqref="O39:O40">
    <cfRule type="top10" dxfId="34" priority="23" bottom="1" rank="1"/>
  </conditionalFormatting>
  <conditionalFormatting sqref="O29:O30">
    <cfRule type="top10" dxfId="33" priority="22" bottom="1" rank="1"/>
  </conditionalFormatting>
  <conditionalFormatting sqref="O33:O34">
    <cfRule type="top10" dxfId="32" priority="21" bottom="1" rank="1"/>
  </conditionalFormatting>
  <conditionalFormatting sqref="O37:O38">
    <cfRule type="top10" dxfId="31" priority="20" bottom="1" rank="1"/>
  </conditionalFormatting>
  <conditionalFormatting sqref="O41:O42">
    <cfRule type="top10" dxfId="30" priority="19" bottom="1" rank="1"/>
  </conditionalFormatting>
  <conditionalFormatting sqref="O5:O6">
    <cfRule type="top10" dxfId="29" priority="18" bottom="1" rank="1"/>
  </conditionalFormatting>
  <conditionalFormatting sqref="O9:O10">
    <cfRule type="top10" dxfId="28" priority="17" bottom="1" rank="1"/>
  </conditionalFormatting>
  <conditionalFormatting sqref="O13:O14">
    <cfRule type="top10" dxfId="27" priority="16" bottom="1" rank="1"/>
  </conditionalFormatting>
  <conditionalFormatting sqref="O17:O18">
    <cfRule type="top10" dxfId="26" priority="15" bottom="1" rank="1"/>
  </conditionalFormatting>
  <conditionalFormatting sqref="O7:O8">
    <cfRule type="top10" dxfId="25" priority="14" bottom="1" rank="1"/>
  </conditionalFormatting>
  <conditionalFormatting sqref="O11:O12">
    <cfRule type="top10" dxfId="24" priority="13" bottom="1" rank="1"/>
  </conditionalFormatting>
  <conditionalFormatting sqref="O15:O16">
    <cfRule type="top10" dxfId="23" priority="12" bottom="1" rank="1"/>
  </conditionalFormatting>
  <conditionalFormatting sqref="O19:O20">
    <cfRule type="top10" dxfId="22" priority="11" bottom="1" rank="1"/>
  </conditionalFormatting>
  <conditionalFormatting sqref="T3:T4 W3:W4">
    <cfRule type="cellIs" dxfId="21" priority="10" operator="equal">
      <formula>TRUE</formula>
    </cfRule>
  </conditionalFormatting>
  <conditionalFormatting sqref="U3:V4">
    <cfRule type="cellIs" dxfId="20" priority="9" operator="equal">
      <formula>TRUE</formula>
    </cfRule>
  </conditionalFormatting>
  <conditionalFormatting sqref="N3:N4">
    <cfRule type="top10" dxfId="19" priority="8" rank="1"/>
  </conditionalFormatting>
  <conditionalFormatting sqref="O3:O4">
    <cfRule type="top10" dxfId="18" priority="7" bottom="1" rank="1"/>
  </conditionalFormatting>
  <conditionalFormatting sqref="T25:T26 W25:W26">
    <cfRule type="cellIs" dxfId="17" priority="6" operator="equal">
      <formula>TRUE</formula>
    </cfRule>
  </conditionalFormatting>
  <conditionalFormatting sqref="U25:V26">
    <cfRule type="cellIs" dxfId="16" priority="5" operator="equal">
      <formula>TRUE</formula>
    </cfRule>
  </conditionalFormatting>
  <conditionalFormatting sqref="N25:N26">
    <cfRule type="top10" dxfId="15" priority="4" rank="1"/>
  </conditionalFormatting>
  <conditionalFormatting sqref="T26 W26">
    <cfRule type="cellIs" dxfId="14" priority="3" operator="equal">
      <formula>TRUE</formula>
    </cfRule>
  </conditionalFormatting>
  <conditionalFormatting sqref="U26:V26">
    <cfRule type="cellIs" dxfId="13" priority="2" operator="equal">
      <formula>TRUE</formula>
    </cfRule>
  </conditionalFormatting>
  <conditionalFormatting sqref="O25:O26">
    <cfRule type="top10" dxfId="12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5C2E-4AC9-48EC-9E57-BEB85703E80C}">
  <sheetPr codeName="Sheet8"/>
  <dimension ref="A1:AE41"/>
  <sheetViews>
    <sheetView topLeftCell="F1" zoomScale="85" zoomScaleNormal="85" workbookViewId="0">
      <selection activeCell="T41" sqref="T41"/>
    </sheetView>
  </sheetViews>
  <sheetFormatPr defaultRowHeight="15" x14ac:dyDescent="0.25"/>
  <cols>
    <col min="3" max="3" width="10" bestFit="1" customWidth="1"/>
    <col min="4" max="4" width="11.5703125" bestFit="1" customWidth="1"/>
    <col min="7" max="7" width="11.42578125" customWidth="1"/>
    <col min="12" max="13" width="12.5703125" bestFit="1" customWidth="1"/>
    <col min="15" max="15" width="19.42578125" bestFit="1" customWidth="1"/>
    <col min="16" max="16" width="19.85546875" bestFit="1" customWidth="1"/>
    <col min="17" max="17" width="11.5703125" bestFit="1" customWidth="1"/>
    <col min="18" max="19" width="13.7109375" bestFit="1" customWidth="1"/>
    <col min="20" max="20" width="12.28515625" bestFit="1" customWidth="1"/>
    <col min="22" max="22" width="12.28515625" bestFit="1" customWidth="1"/>
  </cols>
  <sheetData>
    <row r="1" spans="1:31" x14ac:dyDescent="0.25">
      <c r="A1" s="303" t="s">
        <v>67</v>
      </c>
      <c r="B1" s="304"/>
      <c r="C1" s="161"/>
      <c r="D1" s="140"/>
      <c r="E1" s="85"/>
      <c r="F1" s="66"/>
      <c r="G1" s="120"/>
      <c r="H1" s="305" t="s">
        <v>73</v>
      </c>
      <c r="I1" s="305"/>
      <c r="J1" s="305"/>
      <c r="K1" s="306"/>
      <c r="L1" s="307" t="s">
        <v>69</v>
      </c>
      <c r="M1" s="308"/>
      <c r="N1" s="166"/>
      <c r="O1" s="309">
        <v>5.0000000000000001E-3</v>
      </c>
      <c r="P1" s="309"/>
      <c r="Q1" s="39"/>
      <c r="R1" s="310" t="s">
        <v>72</v>
      </c>
      <c r="S1" s="311"/>
      <c r="T1" s="321" t="s">
        <v>84</v>
      </c>
      <c r="U1" s="311"/>
      <c r="V1" s="312" t="s">
        <v>85</v>
      </c>
      <c r="W1" s="313"/>
      <c r="X1" s="45" t="s">
        <v>82</v>
      </c>
      <c r="Y1" s="47" t="s">
        <v>83</v>
      </c>
      <c r="Z1" s="47" t="s">
        <v>83</v>
      </c>
      <c r="AA1" s="46" t="s">
        <v>82</v>
      </c>
      <c r="AC1" s="314" t="s">
        <v>86</v>
      </c>
      <c r="AD1" s="314"/>
      <c r="AE1" s="56"/>
    </row>
    <row r="2" spans="1:31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447" t="s">
        <v>93</v>
      </c>
      <c r="G2" s="440" t="s">
        <v>62</v>
      </c>
      <c r="H2" s="245" t="s">
        <v>74</v>
      </c>
      <c r="I2" s="246" t="s">
        <v>90</v>
      </c>
      <c r="J2" s="247" t="s">
        <v>89</v>
      </c>
      <c r="K2" s="248" t="s">
        <v>75</v>
      </c>
      <c r="L2" s="72" t="s">
        <v>70</v>
      </c>
      <c r="M2" s="73" t="s">
        <v>71</v>
      </c>
      <c r="N2" s="167" t="s">
        <v>155</v>
      </c>
      <c r="O2" s="74" t="s">
        <v>173</v>
      </c>
      <c r="P2" s="74" t="s">
        <v>174</v>
      </c>
      <c r="Q2" s="75" t="s">
        <v>63</v>
      </c>
      <c r="R2" s="76" t="s">
        <v>65</v>
      </c>
      <c r="S2" s="77" t="s">
        <v>66</v>
      </c>
      <c r="T2" s="40" t="s">
        <v>80</v>
      </c>
      <c r="U2" s="48" t="s">
        <v>32</v>
      </c>
      <c r="V2" s="40" t="s">
        <v>80</v>
      </c>
      <c r="W2" s="48" t="s">
        <v>32</v>
      </c>
      <c r="X2" s="78" t="s">
        <v>87</v>
      </c>
      <c r="Y2" s="49" t="s">
        <v>88</v>
      </c>
      <c r="Z2" s="49" t="s">
        <v>87</v>
      </c>
      <c r="AA2" s="79" t="s">
        <v>88</v>
      </c>
      <c r="AC2" s="57" t="s">
        <v>84</v>
      </c>
      <c r="AD2" s="58" t="s">
        <v>85</v>
      </c>
      <c r="AE2" s="58"/>
    </row>
    <row r="3" spans="1:31" x14ac:dyDescent="0.25">
      <c r="A3" s="149">
        <f>MATCH(G3,SCALARS!C:C,0)</f>
        <v>6</v>
      </c>
      <c r="B3" s="150">
        <f>MATCH(G3,'MKT DATA'!B:B,0)</f>
        <v>80</v>
      </c>
      <c r="C3" s="149" t="str" cm="1">
        <f t="array" aca="1" ref="C3" ca="1">INDIRECT(ADDRESS($A3,2,,,"scalars"))</f>
        <v>google</v>
      </c>
      <c r="D3" s="239" cm="1">
        <f t="array" aca="1" ref="D3" ca="1">INDIRECT(ADDRESS($A3,8,,,"SCALARS"))</f>
        <v>49107500</v>
      </c>
      <c r="E3" s="243"/>
      <c r="F3" s="145" t="str" cm="1">
        <f t="array" aca="1" ref="F3" ca="1">INDIRECT(ADDRESS($A3,5,,,"scalars"))</f>
        <v>GOOGL</v>
      </c>
      <c r="G3" s="448" t="s">
        <v>176</v>
      </c>
      <c r="H3" s="27" cm="1">
        <f t="array" aca="1" ref="H3" ca="1">INDIRECT(ADDRESS($B3,9,,,"mkt data"))</f>
        <v>0</v>
      </c>
      <c r="I3" s="62">
        <f t="shared" ref="I3:I4" ca="1" si="0">H3*AVERAGE(L3:M3)</f>
        <v>0</v>
      </c>
      <c r="J3" s="27">
        <f t="shared" ref="J3:J4" ca="1" si="1">H3/Q3</f>
        <v>0</v>
      </c>
      <c r="K3" s="315">
        <f ca="1">SUM(J3:J4)</f>
        <v>0</v>
      </c>
      <c r="L3" s="33" cm="1">
        <f t="array" aca="1" ref="L3" ca="1">INDIRECT(ADDRESS($B3,5,,,"mkt data"))</f>
        <v>344.69</v>
      </c>
      <c r="M3" s="34" cm="1">
        <f t="array" aca="1" ref="M3" ca="1">INDIRECT(ADDRESS($B3,6,,,"mkt data"))</f>
        <v>344.93</v>
      </c>
      <c r="N3" s="278" cm="1">
        <f t="array" aca="1" ref="N3" ca="1">INDIRECT(ADDRESS($A3,7,,,"SCALARS"))</f>
        <v>0</v>
      </c>
      <c r="O3" s="16">
        <f ca="1">L3+N3-O$1</f>
        <v>344.685</v>
      </c>
      <c r="P3" s="16">
        <f ca="1">M3+N3+O$1</f>
        <v>344.935</v>
      </c>
      <c r="Q3" s="50" cm="1">
        <f t="array" aca="1" ref="Q3" ca="1">INDIRECT(ADDRESS($A3,6,,,"scalars"))</f>
        <v>1.0093480364472538</v>
      </c>
      <c r="R3" s="17">
        <f ca="1">O3*Q3</f>
        <v>347.90712794282166</v>
      </c>
      <c r="S3" s="17">
        <f t="shared" ref="S3:S12" ca="1" si="2">Q3*P3</f>
        <v>348.1594649519335</v>
      </c>
      <c r="T3" s="317">
        <f ca="1">R4-S3</f>
        <v>0.20553504806650835</v>
      </c>
      <c r="U3" s="319">
        <f ca="1">LN(R4/S3)</f>
        <v>5.9017325126234734E-4</v>
      </c>
      <c r="V3" s="317">
        <f ca="1">R3-S4</f>
        <v>-0.67787205717831966</v>
      </c>
      <c r="W3" s="319">
        <f ca="1">LN(R3/S4)</f>
        <v>-1.9465324704184487E-3</v>
      </c>
      <c r="X3" s="80"/>
      <c r="Y3" s="51"/>
      <c r="Z3" s="51"/>
      <c r="AA3" s="81"/>
      <c r="AC3" s="59">
        <v>1E-3</v>
      </c>
      <c r="AD3" s="60">
        <v>1E-3</v>
      </c>
      <c r="AE3" s="61" t="s">
        <v>82</v>
      </c>
    </row>
    <row r="4" spans="1:31" ht="15.75" thickBot="1" x14ac:dyDescent="0.3">
      <c r="A4" s="151">
        <f>MATCH(G4,SCALARS!C:C,0)</f>
        <v>7</v>
      </c>
      <c r="B4" s="152">
        <f>MATCH(G4,'MKT DATA'!B:B,0)</f>
        <v>81</v>
      </c>
      <c r="C4" s="151" t="str" cm="1">
        <f t="array" aca="1" ref="C4" ca="1">INDIRECT(ADDRESS($A4,2,,,"scalars"))</f>
        <v>google</v>
      </c>
      <c r="D4" s="240" cm="1">
        <f t="array" aca="1" ref="D4" ca="1">INDIRECT(ADDRESS($A4,8,,,"SCALARS"))</f>
        <v>74017100</v>
      </c>
      <c r="E4" s="244"/>
      <c r="F4" s="147" t="str" cm="1">
        <f t="array" aca="1" ref="F4" ca="1">INDIRECT(ADDRESS($A4,5,,,"scalars"))</f>
        <v>GOOGL</v>
      </c>
      <c r="G4" s="449" t="s">
        <v>177</v>
      </c>
      <c r="H4" s="29" cm="1">
        <f t="array" aca="1" ref="H4" ca="1">INDIRECT(ADDRESS($B4,9,,,"mkt data"))</f>
        <v>0</v>
      </c>
      <c r="I4" s="64">
        <f t="shared" ca="1" si="0"/>
        <v>0</v>
      </c>
      <c r="J4" s="29">
        <f t="shared" ca="1" si="1"/>
        <v>0</v>
      </c>
      <c r="K4" s="316"/>
      <c r="L4" s="37" cm="1">
        <f t="array" aca="1" ref="L4" ca="1">INDIRECT(ADDRESS($B4,5,,,"mkt data"))</f>
        <v>348.37</v>
      </c>
      <c r="M4" s="38" cm="1">
        <f t="array" aca="1" ref="M4" ca="1">INDIRECT(ADDRESS($B4,6,,,"mkt data"))</f>
        <v>348.58</v>
      </c>
      <c r="N4" s="279" cm="1">
        <f t="array" aca="1" ref="N4" ca="1">INDIRECT(ADDRESS($A4,7,,,"SCALARS"))</f>
        <v>0</v>
      </c>
      <c r="O4" s="22">
        <f t="shared" ref="O4:O12" ca="1" si="3">L4+N4-O$1</f>
        <v>348.36500000000001</v>
      </c>
      <c r="P4" s="22">
        <f t="shared" ref="P4:P12" ca="1" si="4">M4+N4+O$1</f>
        <v>348.58499999999998</v>
      </c>
      <c r="Q4" s="52" cm="1">
        <f t="array" aca="1" ref="Q4" ca="1">INDIRECT(ADDRESS($A4,6,,,"scalars"))</f>
        <v>1</v>
      </c>
      <c r="R4" s="23">
        <f ca="1">O4*Q4</f>
        <v>348.36500000000001</v>
      </c>
      <c r="S4" s="23">
        <f t="shared" ca="1" si="2"/>
        <v>348.58499999999998</v>
      </c>
      <c r="T4" s="318"/>
      <c r="U4" s="320"/>
      <c r="V4" s="318"/>
      <c r="W4" s="320"/>
      <c r="X4" s="82"/>
      <c r="Y4" s="53"/>
      <c r="Z4" s="53"/>
      <c r="AA4" s="83"/>
      <c r="AC4" s="60">
        <v>0</v>
      </c>
      <c r="AD4" s="60">
        <v>0</v>
      </c>
      <c r="AE4" s="61" t="s">
        <v>83</v>
      </c>
    </row>
    <row r="5" spans="1:31" x14ac:dyDescent="0.25">
      <c r="A5" s="149">
        <f>MATCH(G5,SCALARS!C:C,0)</f>
        <v>4</v>
      </c>
      <c r="B5" s="150">
        <f>MATCH(G5,'MKT DATA'!B:B,0)</f>
        <v>82</v>
      </c>
      <c r="C5" s="149" t="str" cm="1">
        <f t="array" aca="1" ref="C5" ca="1">INDIRECT(ADDRESS($A5,2,,,"scalars"))</f>
        <v>fox corp</v>
      </c>
      <c r="D5" s="239" cm="1">
        <f t="array" aca="1" ref="D5" ca="1">INDIRECT(ADDRESS($A5,8,,,"SCALARS"))</f>
        <v>1376600</v>
      </c>
      <c r="E5" s="243"/>
      <c r="F5" s="145" t="str" cm="1">
        <f t="array" aca="1" ref="F5" ca="1">INDIRECT(ADDRESS($A5,5,,,"scalars"))</f>
        <v>FOXA</v>
      </c>
      <c r="G5" s="448" t="s">
        <v>178</v>
      </c>
      <c r="H5" s="27" cm="1">
        <f t="array" aca="1" ref="H5" ca="1">INDIRECT(ADDRESS($B5,9,,,"mkt data"))</f>
        <v>0</v>
      </c>
      <c r="I5" s="62">
        <f ca="1">H5*AVERAGE(L5:M5)</f>
        <v>0</v>
      </c>
      <c r="J5" s="27">
        <f ca="1">H5/Q5</f>
        <v>0</v>
      </c>
      <c r="K5" s="315">
        <f ca="1">SUM(J5:J6)</f>
        <v>0</v>
      </c>
      <c r="L5" s="33" cm="1">
        <f t="array" aca="1" ref="L5" ca="1">INDIRECT(ADDRESS($B5,5,,,"mkt data"))</f>
        <v>52.37</v>
      </c>
      <c r="M5" s="34" cm="1">
        <f t="array" aca="1" ref="M5" ca="1">INDIRECT(ADDRESS($B5,6,,,"mkt data"))</f>
        <v>65.44</v>
      </c>
      <c r="N5" s="278" cm="1">
        <f t="array" aca="1" ref="N5" ca="1">INDIRECT(ADDRESS($A5,7,,,"SCALARS"))</f>
        <v>0</v>
      </c>
      <c r="O5" s="16">
        <f t="shared" ca="1" si="3"/>
        <v>52.364999999999995</v>
      </c>
      <c r="P5" s="16">
        <f t="shared" ca="1" si="4"/>
        <v>65.444999999999993</v>
      </c>
      <c r="Q5" s="50" cm="1">
        <f t="array" aca="1" ref="Q5" ca="1">INDIRECT(ADDRESS($A5,6,,,"scalars"))</f>
        <v>1.1204257781351943</v>
      </c>
      <c r="R5" s="17">
        <f ca="1">O5*Q5</f>
        <v>58.671095872049442</v>
      </c>
      <c r="S5" s="17">
        <f t="shared" ca="1" si="2"/>
        <v>73.326265050057785</v>
      </c>
      <c r="T5" s="317">
        <f t="shared" ref="T5" ca="1" si="5">R6-S5</f>
        <v>-17.811265050057784</v>
      </c>
      <c r="U5" s="319">
        <f t="shared" ref="U5" ca="1" si="6">LN(R6/S5)</f>
        <v>-0.2782656128515944</v>
      </c>
      <c r="V5" s="317">
        <f t="shared" ref="V5" ca="1" si="7">R5-S6</f>
        <v>-15.703904127950558</v>
      </c>
      <c r="W5" s="319">
        <f t="shared" ref="W5" ca="1" si="8">LN(R5/S6)</f>
        <v>-0.23717266252654401</v>
      </c>
      <c r="X5" s="80"/>
      <c r="Y5" s="51"/>
      <c r="Z5" s="51"/>
      <c r="AA5" s="81"/>
      <c r="AC5" s="59"/>
      <c r="AD5" s="60"/>
      <c r="AE5" s="61" t="s">
        <v>82</v>
      </c>
    </row>
    <row r="6" spans="1:31" ht="15.75" thickBot="1" x14ac:dyDescent="0.3">
      <c r="A6" s="151">
        <f>MATCH(G6,SCALARS!C:C,0)</f>
        <v>5</v>
      </c>
      <c r="B6" s="152">
        <f>MATCH(G6,'MKT DATA'!B:B,0)</f>
        <v>83</v>
      </c>
      <c r="C6" s="151" t="str" cm="1">
        <f t="array" aca="1" ref="C6" ca="1">INDIRECT(ADDRESS($A6,2,,,"scalars"))</f>
        <v>fox corp</v>
      </c>
      <c r="D6" s="240" cm="1">
        <f t="array" aca="1" ref="D6" ca="1">INDIRECT(ADDRESS($A6,8,,,"SCALARS"))</f>
        <v>5725300</v>
      </c>
      <c r="E6" s="244"/>
      <c r="F6" s="147" t="str" cm="1">
        <f t="array" aca="1" ref="F6" ca="1">INDIRECT(ADDRESS($A6,5,,,"scalars"))</f>
        <v>FOXA</v>
      </c>
      <c r="G6" s="449" t="s">
        <v>179</v>
      </c>
      <c r="H6" s="29" cm="1">
        <f t="array" aca="1" ref="H6" ca="1">INDIRECT(ADDRESS($B6,9,,,"mkt data"))</f>
        <v>0</v>
      </c>
      <c r="I6" s="64">
        <f ca="1">H6*AVERAGE(L6:M6)</f>
        <v>0</v>
      </c>
      <c r="J6" s="29">
        <f ca="1">H6/Q6</f>
        <v>0</v>
      </c>
      <c r="K6" s="316"/>
      <c r="L6" s="37" cm="1">
        <f t="array" aca="1" ref="L6" ca="1">INDIRECT(ADDRESS($B6,5,,,"mkt data"))</f>
        <v>55.52</v>
      </c>
      <c r="M6" s="38" cm="1">
        <f t="array" aca="1" ref="M6" ca="1">INDIRECT(ADDRESS($B6,6,,,"mkt data"))</f>
        <v>74.37</v>
      </c>
      <c r="N6" s="279" cm="1">
        <f t="array" aca="1" ref="N6" ca="1">INDIRECT(ADDRESS($A6,7,,,"SCALARS"))</f>
        <v>0</v>
      </c>
      <c r="O6" s="22">
        <f t="shared" ca="1" si="3"/>
        <v>55.515000000000001</v>
      </c>
      <c r="P6" s="22">
        <f t="shared" ca="1" si="4"/>
        <v>74.375</v>
      </c>
      <c r="Q6" s="52" cm="1">
        <f t="array" aca="1" ref="Q6" ca="1">INDIRECT(ADDRESS($A6,6,,,"scalars"))</f>
        <v>1</v>
      </c>
      <c r="R6" s="23">
        <f t="shared" ref="R6:R12" ca="1" si="9">O6*Q6</f>
        <v>55.515000000000001</v>
      </c>
      <c r="S6" s="23">
        <f t="shared" ca="1" si="2"/>
        <v>74.375</v>
      </c>
      <c r="T6" s="318"/>
      <c r="U6" s="320"/>
      <c r="V6" s="318"/>
      <c r="W6" s="320"/>
      <c r="X6" s="82"/>
      <c r="Y6" s="53"/>
      <c r="Z6" s="53"/>
      <c r="AA6" s="83"/>
      <c r="AC6" s="60"/>
      <c r="AD6" s="60"/>
      <c r="AE6" s="61" t="s">
        <v>83</v>
      </c>
    </row>
    <row r="7" spans="1:31" x14ac:dyDescent="0.25">
      <c r="A7" s="149">
        <f>MATCH(G7,SCALARS!C:C,0)</f>
        <v>11</v>
      </c>
      <c r="B7" s="150">
        <f>MATCH(G7,'MKT DATA'!B:B,0)</f>
        <v>85</v>
      </c>
      <c r="C7" s="149" t="str" cm="1">
        <f t="array" aca="1" ref="C7" ca="1">INDIRECT(ADDRESS($A7,2,,,"scalars"))</f>
        <v>news corp</v>
      </c>
      <c r="D7" s="239" cm="1">
        <f t="array" aca="1" ref="D7" ca="1">INDIRECT(ADDRESS($A7,8,,,"SCALARS"))</f>
        <v>4136300</v>
      </c>
      <c r="E7" s="243"/>
      <c r="F7" s="145" t="str" cm="1">
        <f t="array" aca="1" ref="F7" ca="1">INDIRECT(ADDRESS($A7,5,,,"scalars"))</f>
        <v>NWS</v>
      </c>
      <c r="G7" s="448" t="s">
        <v>181</v>
      </c>
      <c r="H7" s="27" cm="1">
        <f t="array" aca="1" ref="H7" ca="1">INDIRECT(ADDRESS($B7,9,,,"mkt data"))</f>
        <v>0</v>
      </c>
      <c r="I7" s="62">
        <f t="shared" ref="I7:I8" ca="1" si="10">H7*AVERAGE(L7:M7)</f>
        <v>0</v>
      </c>
      <c r="J7" s="27">
        <f t="shared" ref="J7:J12" ca="1" si="11">H7/Q7</f>
        <v>0</v>
      </c>
      <c r="K7" s="315">
        <f ca="1">SUM(J7:J8)</f>
        <v>0</v>
      </c>
      <c r="L7" s="33" cm="1">
        <f t="array" aca="1" ref="L7" ca="1">INDIRECT(ADDRESS($B7,5,,,"mkt data"))</f>
        <v>25.42</v>
      </c>
      <c r="M7" s="34" cm="1">
        <f t="array" aca="1" ref="M7" ca="1">INDIRECT(ADDRESS($B7,6,,,"mkt data"))</f>
        <v>34.950000000000003</v>
      </c>
      <c r="N7" s="278" cm="1">
        <f t="array" aca="1" ref="N7" ca="1">INDIRECT(ADDRESS($A7,7,,,"SCALARS"))</f>
        <v>0</v>
      </c>
      <c r="O7" s="16">
        <f t="shared" ca="1" si="3"/>
        <v>25.415000000000003</v>
      </c>
      <c r="P7" s="16">
        <f t="shared" ca="1" si="4"/>
        <v>34.955000000000005</v>
      </c>
      <c r="Q7" s="50" cm="1">
        <f t="array" aca="1" ref="Q7" ca="1">INDIRECT(ADDRESS($A7,6,,,"scalars"))</f>
        <v>1.1236345559703647</v>
      </c>
      <c r="R7" s="17">
        <f t="shared" ca="1" si="9"/>
        <v>28.557172239986819</v>
      </c>
      <c r="S7" s="17">
        <f t="shared" ca="1" si="2"/>
        <v>39.2766459039441</v>
      </c>
      <c r="T7" s="317">
        <f ca="1">R8-S7</f>
        <v>-9.9116459039440983</v>
      </c>
      <c r="U7" s="319">
        <f t="shared" ref="U7" ca="1" si="12">LN(R8/S7)</f>
        <v>-0.29082660145510725</v>
      </c>
      <c r="V7" s="317">
        <f ca="1">R7-S8</f>
        <v>-8.8378277600131838</v>
      </c>
      <c r="W7" s="319">
        <f t="shared" ref="W7" ca="1" si="13">LN(R7/S8)</f>
        <v>-0.26962888427912352</v>
      </c>
      <c r="X7" s="80"/>
      <c r="Y7" s="51"/>
      <c r="Z7" s="51"/>
      <c r="AA7" s="81"/>
      <c r="AC7" s="59">
        <v>1E-3</v>
      </c>
      <c r="AD7" s="60">
        <v>1E-3</v>
      </c>
      <c r="AE7" s="61" t="s">
        <v>82</v>
      </c>
    </row>
    <row r="8" spans="1:31" ht="15.75" thickBot="1" x14ac:dyDescent="0.3">
      <c r="A8" s="151">
        <f>MATCH(G8,SCALARS!C:C,0)</f>
        <v>10</v>
      </c>
      <c r="B8" s="152">
        <f>MATCH(G8,'MKT DATA'!B:B,0)</f>
        <v>84</v>
      </c>
      <c r="C8" s="151" t="str" cm="1">
        <f t="array" aca="1" ref="C8" ca="1">INDIRECT(ADDRESS($A8,2,,,"scalars"))</f>
        <v>news corp</v>
      </c>
      <c r="D8" s="240" cm="1">
        <f t="array" aca="1" ref="D8" ca="1">INDIRECT(ADDRESS($A8,8,,,"SCALARS"))</f>
        <v>1291900</v>
      </c>
      <c r="E8" s="244"/>
      <c r="F8" s="147" t="str" cm="1">
        <f t="array" aca="1" ref="F8" ca="1">INDIRECT(ADDRESS($A8,5,,,"scalars"))</f>
        <v>NWS</v>
      </c>
      <c r="G8" s="449" t="s">
        <v>180</v>
      </c>
      <c r="H8" s="29" cm="1">
        <f t="array" aca="1" ref="H8" ca="1">INDIRECT(ADDRESS($B8,9,,,"mkt data"))</f>
        <v>0</v>
      </c>
      <c r="I8" s="64">
        <f t="shared" ca="1" si="10"/>
        <v>0</v>
      </c>
      <c r="J8" s="29">
        <f t="shared" ca="1" si="11"/>
        <v>0</v>
      </c>
      <c r="K8" s="316"/>
      <c r="L8" s="37" cm="1">
        <f t="array" aca="1" ref="L8" ca="1">INDIRECT(ADDRESS($B8,5,,,"mkt data"))</f>
        <v>29.37</v>
      </c>
      <c r="M8" s="38" cm="1">
        <f t="array" aca="1" ref="M8" ca="1">INDIRECT(ADDRESS($B8,6,,,"mkt data"))</f>
        <v>37.39</v>
      </c>
      <c r="N8" s="279" cm="1">
        <f t="array" aca="1" ref="N8" ca="1">INDIRECT(ADDRESS($A8,7,,,"SCALARS"))</f>
        <v>0</v>
      </c>
      <c r="O8" s="22">
        <f t="shared" ca="1" si="3"/>
        <v>29.365000000000002</v>
      </c>
      <c r="P8" s="22">
        <f t="shared" ca="1" si="4"/>
        <v>37.395000000000003</v>
      </c>
      <c r="Q8" s="52" cm="1">
        <f t="array" aca="1" ref="Q8" ca="1">INDIRECT(ADDRESS($A8,6,,,"scalars"))</f>
        <v>1</v>
      </c>
      <c r="R8" s="23">
        <f t="shared" ca="1" si="9"/>
        <v>29.365000000000002</v>
      </c>
      <c r="S8" s="23">
        <f t="shared" ca="1" si="2"/>
        <v>37.395000000000003</v>
      </c>
      <c r="T8" s="318"/>
      <c r="U8" s="320"/>
      <c r="V8" s="318"/>
      <c r="W8" s="320"/>
      <c r="X8" s="82"/>
      <c r="Y8" s="53"/>
      <c r="Z8" s="53"/>
      <c r="AA8" s="83"/>
      <c r="AC8" s="60">
        <v>0</v>
      </c>
      <c r="AD8" s="60">
        <v>0</v>
      </c>
      <c r="AE8" s="61" t="s">
        <v>83</v>
      </c>
    </row>
    <row r="9" spans="1:31" x14ac:dyDescent="0.25">
      <c r="A9" s="149">
        <f>MATCH(G9,SCALARS!C:C,0)</f>
        <v>9</v>
      </c>
      <c r="B9" s="150">
        <f>MATCH(G9,'MKT DATA'!B:B,0)</f>
        <v>87</v>
      </c>
      <c r="C9" s="149" t="str" cm="1">
        <f t="array" aca="1" ref="C9" ca="1">INDIRECT(ADDRESS($A9,2,,,"scalars"))</f>
        <v>heico</v>
      </c>
      <c r="D9" s="239" cm="1">
        <f t="array" aca="1" ref="D9" ca="1">INDIRECT(ADDRESS($A9,8,,,"SCALARS"))</f>
        <v>288500</v>
      </c>
      <c r="E9" s="243"/>
      <c r="F9" s="145" t="str" cm="1">
        <f t="array" aca="1" ref="F9" ca="1">INDIRECT(ADDRESS($A9,5,,,"scalars"))</f>
        <v>HEI</v>
      </c>
      <c r="G9" s="448" t="s">
        <v>192</v>
      </c>
      <c r="H9" s="27" cm="1">
        <f t="array" aca="1" ref="H9" ca="1">INDIRECT(ADDRESS($B9,9,,,"mkt data"))</f>
        <v>0</v>
      </c>
      <c r="I9" s="62">
        <f ca="1">H9*AVERAGE(L9:M9)</f>
        <v>0</v>
      </c>
      <c r="J9" s="27">
        <f t="shared" ca="1" si="11"/>
        <v>0</v>
      </c>
      <c r="K9" s="315">
        <f ca="1">SUM(J9:J10)</f>
        <v>0</v>
      </c>
      <c r="L9" s="33" cm="1">
        <f t="array" aca="1" ref="L9" ca="1">INDIRECT(ADDRESS($B9,5,,,"mkt data"))</f>
        <v>202.93</v>
      </c>
      <c r="M9" s="34" cm="1">
        <f t="array" aca="1" ref="M9" ca="1">INDIRECT(ADDRESS($B9,6,,,"mkt data"))</f>
        <v>244.19</v>
      </c>
      <c r="N9" s="278" cm="1">
        <f t="array" aca="1" ref="N9" ca="1">INDIRECT(ADDRESS($A9,7,,,"SCALARS"))</f>
        <v>0</v>
      </c>
      <c r="O9" s="16">
        <f t="shared" ca="1" si="3"/>
        <v>202.92500000000001</v>
      </c>
      <c r="P9" s="16">
        <f t="shared" ca="1" si="4"/>
        <v>244.19499999999999</v>
      </c>
      <c r="Q9" s="50" cm="1">
        <f t="array" aca="1" ref="Q9" ca="1">INDIRECT(ADDRESS($A9,6,,,"scalars"))</f>
        <v>1.3507684223940699</v>
      </c>
      <c r="R9" s="17">
        <f t="shared" ca="1" si="9"/>
        <v>274.10468211431663</v>
      </c>
      <c r="S9" s="17">
        <f t="shared" ca="1" si="2"/>
        <v>329.8508949065199</v>
      </c>
      <c r="T9" s="317">
        <f t="shared" ref="T9" ca="1" si="14">R10-S9</f>
        <v>-51.905894906519904</v>
      </c>
      <c r="U9" s="319">
        <f t="shared" ref="U9" ca="1" si="15">LN(R10/S9)</f>
        <v>-0.17121746634559051</v>
      </c>
      <c r="V9" s="317">
        <f t="shared" ref="V9" ca="1" si="16">R9-S10</f>
        <v>-65.900317885683364</v>
      </c>
      <c r="W9" s="319">
        <f t="shared" ref="W9" ca="1" si="17">LN(R9/S10)</f>
        <v>-0.21545023844735056</v>
      </c>
      <c r="X9" s="80"/>
      <c r="Y9" s="51"/>
      <c r="Z9" s="51"/>
      <c r="AA9" s="81"/>
      <c r="AC9" s="59"/>
      <c r="AD9" s="60"/>
      <c r="AE9" s="61" t="s">
        <v>82</v>
      </c>
    </row>
    <row r="10" spans="1:31" ht="15.75" thickBot="1" x14ac:dyDescent="0.3">
      <c r="A10" s="151">
        <f>MATCH(G10,SCALARS!C:C,0)</f>
        <v>8</v>
      </c>
      <c r="B10" s="152">
        <f>MATCH(G10,'MKT DATA'!B:B,0)</f>
        <v>86</v>
      </c>
      <c r="C10" s="151" t="str" cm="1">
        <f t="array" aca="1" ref="C10" ca="1">INDIRECT(ADDRESS($A10,2,,,"scalars"))</f>
        <v>heico</v>
      </c>
      <c r="D10" s="240" cm="1">
        <f t="array" aca="1" ref="D10" ca="1">INDIRECT(ADDRESS($A10,8,,,"SCALARS"))</f>
        <v>1164400</v>
      </c>
      <c r="E10" s="244"/>
      <c r="F10" s="147" t="str" cm="1">
        <f t="array" aca="1" ref="F10" ca="1">INDIRECT(ADDRESS($A10,5,,,"scalars"))</f>
        <v>HEI</v>
      </c>
      <c r="G10" s="449" t="s">
        <v>182</v>
      </c>
      <c r="H10" s="29" cm="1">
        <f t="array" aca="1" ref="H10" ca="1">INDIRECT(ADDRESS($B10,9,,,"mkt data"))</f>
        <v>0</v>
      </c>
      <c r="I10" s="64">
        <f ca="1">H10*AVERAGE(L10:M10)</f>
        <v>0</v>
      </c>
      <c r="J10" s="29">
        <f t="shared" ca="1" si="11"/>
        <v>0</v>
      </c>
      <c r="K10" s="316"/>
      <c r="L10" s="37" cm="1">
        <f t="array" aca="1" ref="L10" ca="1">INDIRECT(ADDRESS($B10,5,,,"mkt data"))</f>
        <v>277.95</v>
      </c>
      <c r="M10" s="38" cm="1">
        <f t="array" aca="1" ref="M10" ca="1">INDIRECT(ADDRESS($B10,6,,,"mkt data"))</f>
        <v>340</v>
      </c>
      <c r="N10" s="279" cm="1">
        <f t="array" aca="1" ref="N10" ca="1">INDIRECT(ADDRESS($A10,7,,,"SCALARS"))</f>
        <v>0</v>
      </c>
      <c r="O10" s="22">
        <f t="shared" ca="1" si="3"/>
        <v>277.94499999999999</v>
      </c>
      <c r="P10" s="22">
        <f t="shared" ca="1" si="4"/>
        <v>340.005</v>
      </c>
      <c r="Q10" s="52" cm="1">
        <f t="array" aca="1" ref="Q10" ca="1">INDIRECT(ADDRESS($A10,6,,,"scalars"))</f>
        <v>1</v>
      </c>
      <c r="R10" s="23">
        <f t="shared" ca="1" si="9"/>
        <v>277.94499999999999</v>
      </c>
      <c r="S10" s="23">
        <f t="shared" ca="1" si="2"/>
        <v>340.005</v>
      </c>
      <c r="T10" s="318"/>
      <c r="U10" s="320"/>
      <c r="V10" s="318"/>
      <c r="W10" s="320"/>
      <c r="X10" s="82"/>
      <c r="Y10" s="53"/>
      <c r="Z10" s="53"/>
      <c r="AA10" s="83"/>
      <c r="AC10" s="60"/>
      <c r="AD10" s="60"/>
      <c r="AE10" s="61" t="s">
        <v>83</v>
      </c>
    </row>
    <row r="11" spans="1:31" x14ac:dyDescent="0.25">
      <c r="A11" s="149">
        <f>MATCH(G11,SCALARS!C:C,0)</f>
        <v>3</v>
      </c>
      <c r="B11" s="150">
        <f>MATCH(G11,'MKT DATA'!B:B,0)</f>
        <v>89</v>
      </c>
      <c r="C11" s="149" t="str" cm="1">
        <f t="array" aca="1" ref="C11" ca="1">INDIRECT(ADDRESS($A11,2,,,"scalars"))</f>
        <v>berkshire</v>
      </c>
      <c r="D11" s="239" cm="1">
        <f t="array" aca="1" ref="D11" ca="1">INDIRECT(ADDRESS($A11,8,,,"SCALARS"))</f>
        <v>10825800</v>
      </c>
      <c r="E11" s="243"/>
      <c r="F11" s="145" t="str" cm="1">
        <f t="array" aca="1" ref="F11" ca="1">INDIRECT(ADDRESS($A11,5,,,"scalars"))</f>
        <v>BRK A</v>
      </c>
      <c r="G11" s="448" t="s">
        <v>195</v>
      </c>
      <c r="H11" s="27" cm="1">
        <f t="array" aca="1" ref="H11" ca="1">INDIRECT(ADDRESS($B11,9,,,"mkt data"))</f>
        <v>0</v>
      </c>
      <c r="I11" s="62">
        <f t="shared" ref="I11:I12" ca="1" si="18">H11*AVERAGE(L11:M11)</f>
        <v>0</v>
      </c>
      <c r="J11" s="27">
        <f t="shared" ca="1" si="11"/>
        <v>0</v>
      </c>
      <c r="K11" s="315">
        <f ca="1">SUM(J11:J12)</f>
        <v>0</v>
      </c>
      <c r="L11" s="33" cm="1">
        <f t="array" aca="1" ref="L11" ca="1">INDIRECT(ADDRESS($B11,5,,,"mkt data"))</f>
        <v>509.5</v>
      </c>
      <c r="M11" s="34" cm="1">
        <f t="array" aca="1" ref="M11" ca="1">INDIRECT(ADDRESS($B11,6,,,"mkt data"))</f>
        <v>510.99</v>
      </c>
      <c r="N11" s="278" cm="1">
        <f t="array" aca="1" ref="N11" ca="1">INDIRECT(ADDRESS($A11,7,,,"SCALARS"))</f>
        <v>0</v>
      </c>
      <c r="O11" s="16">
        <f t="shared" ca="1" si="3"/>
        <v>509.495</v>
      </c>
      <c r="P11" s="16">
        <f t="shared" ca="1" si="4"/>
        <v>510.995</v>
      </c>
      <c r="Q11" s="50" cm="1">
        <f t="array" aca="1" ref="Q11" ca="1">INDIRECT(ADDRESS($A11,6,,,"scalars"))</f>
        <v>1499.7222987200817</v>
      </c>
      <c r="R11" s="17">
        <f t="shared" ca="1" si="9"/>
        <v>764101.01258638804</v>
      </c>
      <c r="S11" s="17">
        <f t="shared" ca="1" si="2"/>
        <v>766350.59603446815</v>
      </c>
      <c r="T11" s="317">
        <f t="shared" ref="T11" ca="1" si="19">R12-S11</f>
        <v>-117005.08103446814</v>
      </c>
      <c r="U11" s="319">
        <f t="shared" ref="U11" ca="1" si="20">LN(R12/S11)</f>
        <v>-0.16567480657678507</v>
      </c>
      <c r="V11" s="317">
        <f t="shared" ref="V11" ca="1" si="21">R11-S12</f>
        <v>-114425.27241361199</v>
      </c>
      <c r="W11" s="319">
        <f t="shared" ref="W11" ca="1" si="22">LN(R11/S12)</f>
        <v>-0.13954583164423245</v>
      </c>
      <c r="X11" s="80"/>
      <c r="Y11" s="51"/>
      <c r="Z11" s="51"/>
      <c r="AA11" s="81"/>
      <c r="AC11" s="59">
        <v>1E-3</v>
      </c>
      <c r="AD11" s="60">
        <v>1E-3</v>
      </c>
      <c r="AE11" s="61" t="s">
        <v>82</v>
      </c>
    </row>
    <row r="12" spans="1:31" ht="15.75" thickBot="1" x14ac:dyDescent="0.3">
      <c r="A12" s="151">
        <f>MATCH(G12,SCALARS!C:C,0)</f>
        <v>2</v>
      </c>
      <c r="B12" s="152">
        <f>MATCH(G12,'MKT DATA'!B:B,0)</f>
        <v>88</v>
      </c>
      <c r="C12" s="151" t="str" cm="1">
        <f t="array" aca="1" ref="C12" ca="1">INDIRECT(ADDRESS($A12,2,,,"scalars"))</f>
        <v>berkshire</v>
      </c>
      <c r="D12" s="240" cm="1">
        <f t="array" aca="1" ref="D12" ca="1">INDIRECT(ADDRESS($A12,8,,,"SCALARS"))</f>
        <v>17300</v>
      </c>
      <c r="E12" s="244"/>
      <c r="F12" s="147" t="str" cm="1">
        <f t="array" aca="1" ref="F12" ca="1">INDIRECT(ADDRESS($A12,5,,,"scalars"))</f>
        <v>BRK A</v>
      </c>
      <c r="G12" s="449" t="s">
        <v>194</v>
      </c>
      <c r="H12" s="29" cm="1">
        <f t="array" aca="1" ref="H12" ca="1">INDIRECT(ADDRESS($B12,9,,,"mkt data"))</f>
        <v>0</v>
      </c>
      <c r="I12" s="64">
        <f t="shared" ca="1" si="18"/>
        <v>0</v>
      </c>
      <c r="J12" s="29">
        <f t="shared" ca="1" si="11"/>
        <v>0</v>
      </c>
      <c r="K12" s="316"/>
      <c r="L12" s="37" cm="1">
        <f t="array" aca="1" ref="L12" ca="1">INDIRECT(ADDRESS($B12,5,,,"mkt data"))</f>
        <v>649345.52</v>
      </c>
      <c r="M12" s="38" cm="1">
        <f t="array" aca="1" ref="M12" ca="1">INDIRECT(ADDRESS($B12,6,,,"mkt data"))</f>
        <v>878526.28</v>
      </c>
      <c r="N12" s="279" cm="1">
        <f t="array" aca="1" ref="N12" ca="1">INDIRECT(ADDRESS($A12,7,,,"SCALARS"))</f>
        <v>0</v>
      </c>
      <c r="O12" s="22">
        <f t="shared" ca="1" si="3"/>
        <v>649345.51500000001</v>
      </c>
      <c r="P12" s="22">
        <f t="shared" ca="1" si="4"/>
        <v>878526.28500000003</v>
      </c>
      <c r="Q12" s="52" cm="1">
        <f t="array" aca="1" ref="Q12" ca="1">INDIRECT(ADDRESS($A12,6,,,"scalars"))</f>
        <v>1</v>
      </c>
      <c r="R12" s="23">
        <f t="shared" ca="1" si="9"/>
        <v>649345.51500000001</v>
      </c>
      <c r="S12" s="23">
        <f t="shared" ca="1" si="2"/>
        <v>878526.28500000003</v>
      </c>
      <c r="T12" s="318"/>
      <c r="U12" s="320"/>
      <c r="V12" s="318"/>
      <c r="W12" s="320"/>
      <c r="X12" s="82"/>
      <c r="Y12" s="53"/>
      <c r="Z12" s="53"/>
      <c r="AA12" s="83"/>
      <c r="AC12" s="60">
        <v>0</v>
      </c>
      <c r="AD12" s="60">
        <v>0</v>
      </c>
      <c r="AE12" s="61" t="s">
        <v>83</v>
      </c>
    </row>
    <row r="13" spans="1:31" x14ac:dyDescent="0.25">
      <c r="A13" s="255"/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90"/>
      <c r="O13" s="255"/>
      <c r="P13" s="255"/>
      <c r="Q13" s="255"/>
      <c r="R13" s="255"/>
      <c r="S13" s="255"/>
      <c r="T13" s="322" t="str">
        <f>'MKT DATA'!J2</f>
        <v>2026-09-17_23-38-55</v>
      </c>
      <c r="U13" s="322"/>
      <c r="V13" s="322"/>
      <c r="W13" s="322"/>
      <c r="X13" s="291"/>
      <c r="Y13" s="291"/>
      <c r="Z13" s="291"/>
      <c r="AA13" s="291"/>
    </row>
    <row r="23" spans="1:6" ht="15.75" thickBot="1" x14ac:dyDescent="0.3"/>
    <row r="24" spans="1:6" x14ac:dyDescent="0.25">
      <c r="A24" s="297" t="s">
        <v>211</v>
      </c>
      <c r="B24" s="255" t="s">
        <v>56</v>
      </c>
      <c r="C24" s="255" t="s">
        <v>57</v>
      </c>
      <c r="D24" s="255" t="s">
        <v>212</v>
      </c>
      <c r="E24" s="255" t="s">
        <v>213</v>
      </c>
      <c r="F24" s="256" t="s">
        <v>224</v>
      </c>
    </row>
    <row r="25" spans="1:6" x14ac:dyDescent="0.25">
      <c r="A25" s="298" t="s">
        <v>196</v>
      </c>
      <c r="B25" t="s">
        <v>197</v>
      </c>
      <c r="C25" t="s">
        <v>198</v>
      </c>
      <c r="F25" s="257"/>
    </row>
    <row r="26" spans="1:6" x14ac:dyDescent="0.25">
      <c r="A26" s="298" t="s">
        <v>199</v>
      </c>
      <c r="B26" s="302" t="s">
        <v>200</v>
      </c>
      <c r="C26" s="302" t="s">
        <v>201</v>
      </c>
      <c r="F26" s="257"/>
    </row>
    <row r="27" spans="1:6" x14ac:dyDescent="0.25">
      <c r="A27" s="298" t="s">
        <v>202</v>
      </c>
      <c r="B27" s="302" t="s">
        <v>203</v>
      </c>
      <c r="C27" s="302" t="s">
        <v>206</v>
      </c>
      <c r="D27" t="s">
        <v>204</v>
      </c>
      <c r="E27" t="s">
        <v>205</v>
      </c>
      <c r="F27" s="257" t="s">
        <v>207</v>
      </c>
    </row>
    <row r="28" spans="1:6" x14ac:dyDescent="0.25">
      <c r="A28" s="298" t="s">
        <v>208</v>
      </c>
      <c r="B28" t="s">
        <v>209</v>
      </c>
      <c r="C28" t="s">
        <v>210</v>
      </c>
      <c r="F28" s="257"/>
    </row>
    <row r="29" spans="1:6" ht="15.75" thickBot="1" x14ac:dyDescent="0.3">
      <c r="A29" s="299" t="s">
        <v>214</v>
      </c>
      <c r="B29" s="258"/>
      <c r="C29" s="258"/>
      <c r="D29" s="258"/>
      <c r="E29" s="258"/>
      <c r="F29" s="259"/>
    </row>
    <row r="31" spans="1:6" x14ac:dyDescent="0.25">
      <c r="A31" t="s">
        <v>175</v>
      </c>
    </row>
    <row r="32" spans="1:6" x14ac:dyDescent="0.25">
      <c r="A32" s="8"/>
    </row>
    <row r="33" spans="1:7" x14ac:dyDescent="0.25">
      <c r="A33" s="8"/>
    </row>
    <row r="34" spans="1:7" ht="15.75" thickBot="1" x14ac:dyDescent="0.3">
      <c r="A34" s="8"/>
      <c r="B34" s="1"/>
      <c r="C34" s="1"/>
    </row>
    <row r="35" spans="1:7" x14ac:dyDescent="0.25">
      <c r="A35" s="260" t="s">
        <v>215</v>
      </c>
      <c r="B35" s="255"/>
      <c r="C35" s="256"/>
    </row>
    <row r="36" spans="1:7" x14ac:dyDescent="0.25">
      <c r="A36" s="300" t="s">
        <v>216</v>
      </c>
      <c r="B36" t="s">
        <v>217</v>
      </c>
      <c r="C36" s="257"/>
    </row>
    <row r="37" spans="1:7" x14ac:dyDescent="0.25">
      <c r="A37" s="300" t="s">
        <v>218</v>
      </c>
      <c r="B37" t="s">
        <v>219</v>
      </c>
      <c r="C37" s="257"/>
    </row>
    <row r="38" spans="1:7" x14ac:dyDescent="0.25">
      <c r="A38" s="300" t="s">
        <v>220</v>
      </c>
      <c r="B38" t="s">
        <v>221</v>
      </c>
      <c r="C38" s="257"/>
    </row>
    <row r="39" spans="1:7" ht="15.75" thickBot="1" x14ac:dyDescent="0.3">
      <c r="A39" s="301" t="s">
        <v>222</v>
      </c>
      <c r="B39" s="258" t="s">
        <v>223</v>
      </c>
      <c r="C39" s="259"/>
    </row>
    <row r="41" spans="1:7" x14ac:dyDescent="0.25">
      <c r="A41" s="8"/>
      <c r="B41" s="1"/>
      <c r="C41" s="1"/>
      <c r="D41" s="1"/>
      <c r="F41" s="1"/>
      <c r="G41" s="1"/>
    </row>
  </sheetData>
  <mergeCells count="34">
    <mergeCell ref="T13:W13"/>
    <mergeCell ref="K9:K10"/>
    <mergeCell ref="T9:T10"/>
    <mergeCell ref="U9:U10"/>
    <mergeCell ref="V9:V10"/>
    <mergeCell ref="W9:W10"/>
    <mergeCell ref="K11:K12"/>
    <mergeCell ref="T11:T12"/>
    <mergeCell ref="U11:U12"/>
    <mergeCell ref="V11:V12"/>
    <mergeCell ref="W11:W12"/>
    <mergeCell ref="K5:K6"/>
    <mergeCell ref="T5:T6"/>
    <mergeCell ref="U5:U6"/>
    <mergeCell ref="V5:V6"/>
    <mergeCell ref="W5:W6"/>
    <mergeCell ref="K7:K8"/>
    <mergeCell ref="T7:T8"/>
    <mergeCell ref="U7:U8"/>
    <mergeCell ref="V7:V8"/>
    <mergeCell ref="W7:W8"/>
    <mergeCell ref="V1:W1"/>
    <mergeCell ref="AC1:AD1"/>
    <mergeCell ref="K3:K4"/>
    <mergeCell ref="T3:T4"/>
    <mergeCell ref="U3:U4"/>
    <mergeCell ref="V3:V4"/>
    <mergeCell ref="W3:W4"/>
    <mergeCell ref="T1:U1"/>
    <mergeCell ref="A1:B1"/>
    <mergeCell ref="H1:K1"/>
    <mergeCell ref="L1:M1"/>
    <mergeCell ref="O1:P1"/>
    <mergeCell ref="R1:S1"/>
  </mergeCells>
  <conditionalFormatting sqref="R7:R8">
    <cfRule type="top10" dxfId="11" priority="19" rank="1"/>
  </conditionalFormatting>
  <conditionalFormatting sqref="R11:R12">
    <cfRule type="top10" dxfId="10" priority="17" rank="1"/>
  </conditionalFormatting>
  <conditionalFormatting sqref="X12 AA12 X8 AA8 X4 AA4 X6 AA6 X10 AA10">
    <cfRule type="cellIs" dxfId="9" priority="15" operator="equal">
      <formula>TRUE</formula>
    </cfRule>
  </conditionalFormatting>
  <conditionalFormatting sqref="Y12:Z12 Y8:Z8 Y4:Z4 Y6:Z6 Y10:Z10">
    <cfRule type="cellIs" dxfId="8" priority="14" operator="equal">
      <formula>TRUE</formula>
    </cfRule>
  </conditionalFormatting>
  <conditionalFormatting sqref="W3:W12 U3:U12">
    <cfRule type="cellIs" dxfId="7" priority="13" operator="greaterThan">
      <formula>0</formula>
    </cfRule>
  </conditionalFormatting>
  <conditionalFormatting sqref="R3:R6">
    <cfRule type="top10" dxfId="6" priority="20" rank="1"/>
  </conditionalFormatting>
  <conditionalFormatting sqref="S3:S6">
    <cfRule type="top10" dxfId="5" priority="10" bottom="1" rank="1"/>
  </conditionalFormatting>
  <conditionalFormatting sqref="S7:S8">
    <cfRule type="top10" dxfId="4" priority="9" bottom="1" rank="1"/>
  </conditionalFormatting>
  <conditionalFormatting sqref="S11:S12">
    <cfRule type="top10" dxfId="3" priority="8" bottom="1" rank="1"/>
  </conditionalFormatting>
  <conditionalFormatting sqref="R9:R10">
    <cfRule type="top10" dxfId="2" priority="2" rank="1"/>
  </conditionalFormatting>
  <conditionalFormatting sqref="S9:S10">
    <cfRule type="top10" dxfId="1" priority="1" bottom="1" rank="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sheetPr codeName="Sheet7"/>
  <dimension ref="A1:P103"/>
  <sheetViews>
    <sheetView zoomScale="85" zoomScaleNormal="85" workbookViewId="0">
      <pane ySplit="1" topLeftCell="A52" activePane="bottomLeft" state="frozen"/>
      <selection pane="bottomLeft" activeCell="L67" sqref="L67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7" width="12.5703125" bestFit="1" customWidth="1"/>
    <col min="8" max="8" width="12.140625" style="1" bestFit="1" customWidth="1"/>
    <col min="9" max="9" width="7.7109375" style="200" customWidth="1"/>
    <col min="10" max="10" width="12.5703125" style="201" bestFit="1" customWidth="1"/>
    <col min="11" max="11" width="14.5703125" style="7" bestFit="1" customWidth="1"/>
    <col min="12" max="12" width="9.7109375" style="6" bestFit="1" customWidth="1"/>
    <col min="13" max="13" width="8.7109375" style="6" bestFit="1" customWidth="1"/>
    <col min="16" max="16" width="34.5703125" bestFit="1" customWidth="1"/>
  </cols>
  <sheetData>
    <row r="1" spans="1:16" ht="15.75" x14ac:dyDescent="0.25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32" t="str">
        <f>SCALARS!F1</f>
        <v>multiplier</v>
      </c>
      <c r="G1" s="232" t="str">
        <f>SCALARS!G1</f>
        <v>div_adj</v>
      </c>
      <c r="H1" s="233" t="s">
        <v>160</v>
      </c>
      <c r="I1" s="234" t="s">
        <v>163</v>
      </c>
      <c r="J1" s="235" t="s">
        <v>162</v>
      </c>
      <c r="K1" s="237" t="s">
        <v>161</v>
      </c>
      <c r="L1" s="238" t="s">
        <v>164</v>
      </c>
      <c r="M1" s="238" t="s">
        <v>165</v>
      </c>
      <c r="P1" s="135" t="s">
        <v>91</v>
      </c>
    </row>
    <row r="2" spans="1:16" ht="16.5" thickBot="1" x14ac:dyDescent="0.3">
      <c r="A2" t="str">
        <f>SCALARS!A2</f>
        <v>corp arb</v>
      </c>
      <c r="B2" t="str">
        <f>SCALARS!B2</f>
        <v>berkshire</v>
      </c>
      <c r="C2" t="str">
        <f>SCALARS!C2</f>
        <v>BRK A</v>
      </c>
      <c r="D2" t="str">
        <f>SCALARS!D2</f>
        <v>IBKR</v>
      </c>
      <c r="E2" t="str">
        <f>SCALARS!E2</f>
        <v>BRK A</v>
      </c>
      <c r="F2" s="231">
        <f>SCALARS!F2</f>
        <v>1</v>
      </c>
      <c r="G2" s="231">
        <f>SCALARS!G2</f>
        <v>0</v>
      </c>
      <c r="H2" s="230" t="b">
        <v>0</v>
      </c>
      <c r="P2" s="136" t="s">
        <v>92</v>
      </c>
    </row>
    <row r="3" spans="1:16" x14ac:dyDescent="0.25">
      <c r="A3" t="str">
        <f>SCALARS!A3</f>
        <v>corp arb</v>
      </c>
      <c r="B3" t="str">
        <f>SCALARS!B3</f>
        <v>berkshire</v>
      </c>
      <c r="C3" t="str">
        <f>SCALARS!C3</f>
        <v>BRK B</v>
      </c>
      <c r="D3" t="str">
        <f>SCALARS!D3</f>
        <v>IBKR</v>
      </c>
      <c r="E3" t="str">
        <f>SCALARS!E3</f>
        <v>BRK A</v>
      </c>
      <c r="F3" s="231">
        <f>SCALARS!F3</f>
        <v>1499.7222987200817</v>
      </c>
      <c r="G3" s="231">
        <f>SCALARS!G3</f>
        <v>0</v>
      </c>
      <c r="H3" s="230" t="b">
        <v>0</v>
      </c>
    </row>
    <row r="4" spans="1:16" x14ac:dyDescent="0.25">
      <c r="A4" t="str">
        <f>SCALARS!A4</f>
        <v>corp arb</v>
      </c>
      <c r="B4" t="str">
        <f>SCALARS!B4</f>
        <v>fox corp</v>
      </c>
      <c r="C4" t="str">
        <f>SCALARS!C4</f>
        <v>FOX</v>
      </c>
      <c r="D4" t="str">
        <f>SCALARS!D4</f>
        <v>IBKR</v>
      </c>
      <c r="E4" t="str">
        <f>SCALARS!E4</f>
        <v>FOXA</v>
      </c>
      <c r="F4" s="231">
        <f>SCALARS!F4</f>
        <v>1.1204257781351943</v>
      </c>
      <c r="G4" s="231">
        <f>SCALARS!G4</f>
        <v>0</v>
      </c>
      <c r="H4" s="230" t="b">
        <v>0</v>
      </c>
    </row>
    <row r="5" spans="1:16" x14ac:dyDescent="0.25">
      <c r="A5" t="str">
        <f>SCALARS!A5</f>
        <v>corp arb</v>
      </c>
      <c r="B5" t="str">
        <f>SCALARS!B5</f>
        <v>fox corp</v>
      </c>
      <c r="C5" t="str">
        <f>SCALARS!C5</f>
        <v>FOXA</v>
      </c>
      <c r="D5" t="str">
        <f>SCALARS!D5</f>
        <v>IBKR</v>
      </c>
      <c r="E5" t="str">
        <f>SCALARS!E5</f>
        <v>FOXA</v>
      </c>
      <c r="F5" s="231">
        <f>SCALARS!F5</f>
        <v>1</v>
      </c>
      <c r="G5" s="231">
        <f>SCALARS!G5</f>
        <v>0</v>
      </c>
      <c r="H5" s="230" t="b">
        <v>0</v>
      </c>
    </row>
    <row r="6" spans="1:16" x14ac:dyDescent="0.25">
      <c r="A6" t="str">
        <f>SCALARS!A6</f>
        <v>corp arb</v>
      </c>
      <c r="B6" t="str">
        <f>SCALARS!B6</f>
        <v>google</v>
      </c>
      <c r="C6" t="str">
        <f>SCALARS!C6</f>
        <v>GOOG</v>
      </c>
      <c r="D6" t="str">
        <f>SCALARS!D6</f>
        <v>IBKR</v>
      </c>
      <c r="E6" t="str">
        <f>SCALARS!E6</f>
        <v>GOOGL</v>
      </c>
      <c r="F6" s="231">
        <f>SCALARS!F6</f>
        <v>1.0093480364472538</v>
      </c>
      <c r="G6" s="231">
        <f>SCALARS!G6</f>
        <v>0</v>
      </c>
      <c r="H6" s="230" t="b">
        <v>0</v>
      </c>
    </row>
    <row r="7" spans="1:16" x14ac:dyDescent="0.25">
      <c r="A7" t="str">
        <f>SCALARS!A7</f>
        <v>corp arb</v>
      </c>
      <c r="B7" t="str">
        <f>SCALARS!B7</f>
        <v>google</v>
      </c>
      <c r="C7" t="str">
        <f>SCALARS!C7</f>
        <v>GOOGL</v>
      </c>
      <c r="D7" t="str">
        <f>SCALARS!D7</f>
        <v>IBKR</v>
      </c>
      <c r="E7" t="str">
        <f>SCALARS!E7</f>
        <v>GOOGL</v>
      </c>
      <c r="F7" s="231">
        <f>SCALARS!F7</f>
        <v>1</v>
      </c>
      <c r="G7" s="231">
        <f>SCALARS!G7</f>
        <v>0</v>
      </c>
      <c r="H7" s="230" t="b">
        <v>0</v>
      </c>
    </row>
    <row r="8" spans="1:16" x14ac:dyDescent="0.25">
      <c r="A8" t="str">
        <f>SCALARS!A8</f>
        <v>corp arb</v>
      </c>
      <c r="B8" t="str">
        <f>SCALARS!B8</f>
        <v>heico</v>
      </c>
      <c r="C8" t="str">
        <f>SCALARS!C8</f>
        <v>HEI</v>
      </c>
      <c r="D8" t="str">
        <f>SCALARS!D8</f>
        <v>IBKR</v>
      </c>
      <c r="E8" t="str">
        <f>SCALARS!E8</f>
        <v>HEI</v>
      </c>
      <c r="F8" s="231">
        <f>SCALARS!F8</f>
        <v>1</v>
      </c>
      <c r="G8" s="231">
        <f>SCALARS!G8</f>
        <v>0</v>
      </c>
      <c r="H8" s="230" t="b">
        <v>0</v>
      </c>
    </row>
    <row r="9" spans="1:16" x14ac:dyDescent="0.25">
      <c r="A9" t="str">
        <f>SCALARS!A9</f>
        <v>corp arb</v>
      </c>
      <c r="B9" t="str">
        <f>SCALARS!B9</f>
        <v>heico</v>
      </c>
      <c r="C9" t="str">
        <f>SCALARS!C9</f>
        <v>HEI A</v>
      </c>
      <c r="D9" t="str">
        <f>SCALARS!D9</f>
        <v>IBKR</v>
      </c>
      <c r="E9" t="str">
        <f>SCALARS!E9</f>
        <v>HEI</v>
      </c>
      <c r="F9" s="231">
        <f>SCALARS!F9</f>
        <v>1.3507684223940699</v>
      </c>
      <c r="G9" s="231">
        <f>SCALARS!G9</f>
        <v>0</v>
      </c>
      <c r="H9" s="230" t="b">
        <v>0</v>
      </c>
    </row>
    <row r="10" spans="1:16" x14ac:dyDescent="0.25">
      <c r="A10" t="str">
        <f>SCALARS!A10</f>
        <v>corp arb</v>
      </c>
      <c r="B10" t="str">
        <f>SCALARS!B10</f>
        <v>news corp</v>
      </c>
      <c r="C10" t="str">
        <f>SCALARS!C10</f>
        <v>NWS</v>
      </c>
      <c r="D10" t="str">
        <f>SCALARS!D10</f>
        <v>IBKR</v>
      </c>
      <c r="E10" t="str">
        <f>SCALARS!E10</f>
        <v>NWS</v>
      </c>
      <c r="F10" s="231">
        <f>SCALARS!F10</f>
        <v>1</v>
      </c>
      <c r="G10" s="231">
        <f>SCALARS!G10</f>
        <v>0</v>
      </c>
      <c r="H10" s="230" t="b">
        <v>0</v>
      </c>
    </row>
    <row r="11" spans="1:16" x14ac:dyDescent="0.25">
      <c r="A11" t="str">
        <f>SCALARS!A11</f>
        <v>corp arb</v>
      </c>
      <c r="B11" t="str">
        <f>SCALARS!B11</f>
        <v>news corp</v>
      </c>
      <c r="C11" t="str">
        <f>SCALARS!C11</f>
        <v>NWSA</v>
      </c>
      <c r="D11" t="str">
        <f>SCALARS!D11</f>
        <v>IBKR</v>
      </c>
      <c r="E11" t="str">
        <f>SCALARS!E11</f>
        <v>NWS</v>
      </c>
      <c r="F11" s="231">
        <f>SCALARS!F11</f>
        <v>1.1236345559703647</v>
      </c>
      <c r="G11" s="231">
        <f>SCALARS!G11</f>
        <v>0</v>
      </c>
      <c r="H11" s="230" t="b">
        <v>0</v>
      </c>
    </row>
    <row r="12" spans="1:16" x14ac:dyDescent="0.25">
      <c r="A12" t="str">
        <f>SCALARS!A12</f>
        <v>fixed income</v>
      </c>
      <c r="B12" t="str">
        <f>SCALARS!B12</f>
        <v>agg</v>
      </c>
      <c r="C12" t="str">
        <f>SCALARS!C12</f>
        <v>AGG</v>
      </c>
      <c r="D12" t="str">
        <f>SCALARS!D12</f>
        <v>IBKR</v>
      </c>
      <c r="E12" t="str">
        <f>SCALARS!E12</f>
        <v>AGG</v>
      </c>
      <c r="F12" s="231">
        <f>SCALARS!F12</f>
        <v>1</v>
      </c>
      <c r="G12" s="231">
        <f>SCALARS!G12</f>
        <v>0</v>
      </c>
      <c r="H12" s="230" t="b">
        <v>0</v>
      </c>
    </row>
    <row r="13" spans="1:16" x14ac:dyDescent="0.25">
      <c r="A13" t="str">
        <f>SCALARS!A13</f>
        <v>fixed income</v>
      </c>
      <c r="B13" t="str">
        <f>SCALARS!B13</f>
        <v>agg</v>
      </c>
      <c r="C13" t="str">
        <f>SCALARS!C13</f>
        <v>BND</v>
      </c>
      <c r="D13" t="str">
        <f>SCALARS!D13</f>
        <v>IBKR</v>
      </c>
      <c r="E13" t="str">
        <f>SCALARS!E13</f>
        <v>AGG</v>
      </c>
      <c r="F13" s="231">
        <f>SCALARS!F13</f>
        <v>1.3479419026829724</v>
      </c>
      <c r="G13" s="231">
        <f>SCALARS!G13</f>
        <v>0</v>
      </c>
      <c r="H13" s="230" t="b">
        <v>0</v>
      </c>
    </row>
    <row r="14" spans="1:16" x14ac:dyDescent="0.25">
      <c r="A14" t="str">
        <f>SCALARS!A14</f>
        <v>fixed income</v>
      </c>
      <c r="B14" t="str">
        <f>SCALARS!B14</f>
        <v>agg</v>
      </c>
      <c r="C14" t="str">
        <f>SCALARS!C14</f>
        <v>SCHZ</v>
      </c>
      <c r="D14" t="str">
        <f>SCALARS!D14</f>
        <v>IBKR</v>
      </c>
      <c r="E14" t="str">
        <f>SCALARS!E14</f>
        <v>AGG</v>
      </c>
      <c r="F14" s="231">
        <f>SCALARS!F14</f>
        <v>4.2782184868986395</v>
      </c>
      <c r="G14" s="231">
        <f>SCALARS!G14</f>
        <v>0</v>
      </c>
      <c r="H14" s="230" t="b">
        <v>0</v>
      </c>
    </row>
    <row r="15" spans="1:16" x14ac:dyDescent="0.25">
      <c r="A15" t="str">
        <f>SCALARS!A15</f>
        <v>fixed income</v>
      </c>
      <c r="B15" t="str">
        <f>SCALARS!B15</f>
        <v>agg</v>
      </c>
      <c r="C15" t="str">
        <f>SCALARS!C15</f>
        <v>SPAB</v>
      </c>
      <c r="D15" t="str">
        <f>SCALARS!D15</f>
        <v>IBKR</v>
      </c>
      <c r="E15" t="str">
        <f>SCALARS!E15</f>
        <v>AGG</v>
      </c>
      <c r="F15" s="231">
        <f>SCALARS!F15</f>
        <v>3.8799088929351226</v>
      </c>
      <c r="G15" s="231">
        <f>SCALARS!G15</f>
        <v>0</v>
      </c>
      <c r="H15" s="230" t="b">
        <v>0</v>
      </c>
    </row>
    <row r="16" spans="1:16" x14ac:dyDescent="0.25">
      <c r="A16" t="str">
        <f>SCALARS!A16</f>
        <v>fixed income</v>
      </c>
      <c r="B16" t="str">
        <f>SCALARS!B16</f>
        <v>calif munis</v>
      </c>
      <c r="C16" t="str">
        <f>SCALARS!C16</f>
        <v>CMF</v>
      </c>
      <c r="D16" t="str">
        <f>SCALARS!D16</f>
        <v>IBKR</v>
      </c>
      <c r="E16" t="str">
        <f>SCALARS!E16</f>
        <v>VTEC</v>
      </c>
      <c r="F16" s="231">
        <f>SCALARS!F16</f>
        <v>1.7463342351127955</v>
      </c>
      <c r="G16" s="231">
        <f>SCALARS!G16</f>
        <v>1.1259440000000001</v>
      </c>
      <c r="H16" s="230" t="b">
        <v>0</v>
      </c>
    </row>
    <row r="17" spans="1:8" x14ac:dyDescent="0.25">
      <c r="A17" t="str">
        <f>SCALARS!A17</f>
        <v>fixed income</v>
      </c>
      <c r="B17" t="str">
        <f>SCALARS!B17</f>
        <v>calif munis</v>
      </c>
      <c r="C17" t="str">
        <f>SCALARS!C17</f>
        <v>VTEC</v>
      </c>
      <c r="D17" t="str">
        <f>SCALARS!D17</f>
        <v>IBKR</v>
      </c>
      <c r="E17" t="str">
        <f>SCALARS!E17</f>
        <v>VTEC</v>
      </c>
      <c r="F17" s="231">
        <f>SCALARS!F17</f>
        <v>1</v>
      </c>
      <c r="G17" s="231">
        <f>SCALARS!G17</f>
        <v>2.0625</v>
      </c>
      <c r="H17" s="230" t="b">
        <v>0</v>
      </c>
    </row>
    <row r="18" spans="1:8" x14ac:dyDescent="0.25">
      <c r="A18" t="str">
        <f>SCALARS!A18</f>
        <v>fixed income</v>
      </c>
      <c r="B18" t="str">
        <f>SCALARS!B18</f>
        <v>converts</v>
      </c>
      <c r="C18" t="str">
        <f>SCALARS!C18</f>
        <v>CWB</v>
      </c>
      <c r="D18" t="str">
        <f>SCALARS!D18</f>
        <v>IBKR</v>
      </c>
      <c r="E18" t="str">
        <f>SCALARS!E18</f>
        <v>ICVT</v>
      </c>
      <c r="F18" s="231">
        <f>SCALARS!F18</f>
        <v>1.1135661953796396</v>
      </c>
      <c r="G18" s="231">
        <f>SCALARS!G18</f>
        <v>1.0709869999999999</v>
      </c>
      <c r="H18" s="230" t="b">
        <v>0</v>
      </c>
    </row>
    <row r="19" spans="1:8" x14ac:dyDescent="0.25">
      <c r="A19" t="str">
        <f>SCALARS!A19</f>
        <v>fixed income</v>
      </c>
      <c r="B19" t="str">
        <f>SCALARS!B19</f>
        <v>converts</v>
      </c>
      <c r="C19" t="str">
        <f>SCALARS!C19</f>
        <v>ICVT</v>
      </c>
      <c r="D19" t="str">
        <f>SCALARS!D19</f>
        <v>IBKR</v>
      </c>
      <c r="E19" t="str">
        <f>SCALARS!E19</f>
        <v>ICVT</v>
      </c>
      <c r="F19" s="231">
        <f>SCALARS!F19</f>
        <v>1</v>
      </c>
      <c r="G19" s="231">
        <f>SCALARS!G19</f>
        <v>1.0154069999999999</v>
      </c>
      <c r="H19" s="230" t="b">
        <v>0</v>
      </c>
    </row>
    <row r="20" spans="1:8" x14ac:dyDescent="0.25">
      <c r="A20" t="str">
        <f>SCALARS!A20</f>
        <v>fixed income</v>
      </c>
      <c r="B20" t="str">
        <f>SCALARS!B20</f>
        <v>corps</v>
      </c>
      <c r="C20" t="str">
        <f>SCALARS!C20</f>
        <v>CORP</v>
      </c>
      <c r="D20" t="str">
        <f>SCALARS!D20</f>
        <v>IBKR</v>
      </c>
      <c r="E20" t="str">
        <f>SCALARS!E20</f>
        <v>CORP</v>
      </c>
      <c r="F20" s="231">
        <f>SCALARS!F20</f>
        <v>1</v>
      </c>
      <c r="G20" s="231">
        <f>SCALARS!G20</f>
        <v>0</v>
      </c>
      <c r="H20" s="230" t="b">
        <v>0</v>
      </c>
    </row>
    <row r="21" spans="1:8" x14ac:dyDescent="0.25">
      <c r="A21" t="str">
        <f>SCALARS!A21</f>
        <v>fixed income</v>
      </c>
      <c r="B21" t="str">
        <f>SCALARS!B21</f>
        <v>corps</v>
      </c>
      <c r="C21" t="str">
        <f>SCALARS!C21</f>
        <v>SPBO</v>
      </c>
      <c r="D21" t="str">
        <f>SCALARS!D21</f>
        <v>IBKR</v>
      </c>
      <c r="E21" t="str">
        <f>SCALARS!E21</f>
        <v>CORP</v>
      </c>
      <c r="F21" s="231">
        <f>SCALARS!F21</f>
        <v>3.3406467658894541</v>
      </c>
      <c r="G21" s="231">
        <f>SCALARS!G21</f>
        <v>0</v>
      </c>
      <c r="H21" s="230" t="b">
        <v>0</v>
      </c>
    </row>
    <row r="22" spans="1:8" x14ac:dyDescent="0.25">
      <c r="A22" t="str">
        <f>SCALARS!A22</f>
        <v>fixed income</v>
      </c>
      <c r="B22" t="str">
        <f>SCALARS!B22</f>
        <v>corps</v>
      </c>
      <c r="C22" t="str">
        <f>SCALARS!C22</f>
        <v>USIG</v>
      </c>
      <c r="D22" t="str">
        <f>SCALARS!D22</f>
        <v>IBKR</v>
      </c>
      <c r="E22" t="str">
        <f>SCALARS!E22</f>
        <v>CORP</v>
      </c>
      <c r="F22" s="231">
        <f>SCALARS!F22</f>
        <v>1.888928744739145</v>
      </c>
      <c r="G22" s="231">
        <f>SCALARS!G22</f>
        <v>0</v>
      </c>
      <c r="H22" s="230" t="b">
        <v>0</v>
      </c>
    </row>
    <row r="23" spans="1:8" x14ac:dyDescent="0.25">
      <c r="A23" t="str">
        <f>SCALARS!A23</f>
        <v>fixed income</v>
      </c>
      <c r="B23" t="str">
        <f>SCALARS!B23</f>
        <v>corps</v>
      </c>
      <c r="C23" t="str">
        <f>SCALARS!C23</f>
        <v>VTC</v>
      </c>
      <c r="D23" t="str">
        <f>SCALARS!D23</f>
        <v>IBKR</v>
      </c>
      <c r="E23" t="str">
        <f>SCALARS!E23</f>
        <v>CORP</v>
      </c>
      <c r="F23" s="231">
        <f>SCALARS!F23</f>
        <v>1.2629890079031163</v>
      </c>
      <c r="G23" s="231">
        <f>SCALARS!G23</f>
        <v>0</v>
      </c>
      <c r="H23" s="230" t="b">
        <v>0</v>
      </c>
    </row>
    <row r="24" spans="1:8" x14ac:dyDescent="0.25">
      <c r="A24" t="str">
        <f>SCALARS!A24</f>
        <v>fixed income</v>
      </c>
      <c r="B24" t="str">
        <f>SCALARS!B24</f>
        <v>em gov -us</v>
      </c>
      <c r="C24" t="str">
        <f>SCALARS!C24</f>
        <v>EMB</v>
      </c>
      <c r="D24" t="str">
        <f>SCALARS!D24</f>
        <v>IBKR</v>
      </c>
      <c r="E24" t="str">
        <f>SCALARS!E24</f>
        <v>EMB</v>
      </c>
      <c r="F24" s="231">
        <f>SCALARS!F24</f>
        <v>1</v>
      </c>
      <c r="G24" s="231">
        <f>SCALARS!G24</f>
        <v>3.3170269999999999</v>
      </c>
      <c r="H24" s="230" t="b">
        <v>0</v>
      </c>
    </row>
    <row r="25" spans="1:8" x14ac:dyDescent="0.25">
      <c r="A25" t="str">
        <f>SCALARS!A25</f>
        <v>fixed income</v>
      </c>
      <c r="B25" t="str">
        <f>SCALARS!B25</f>
        <v>em gov -us</v>
      </c>
      <c r="C25" t="str">
        <f>SCALARS!C25</f>
        <v>VWOB</v>
      </c>
      <c r="D25" t="str">
        <f>SCALARS!D25</f>
        <v>IBKR</v>
      </c>
      <c r="E25" t="str">
        <f>SCALARS!E25</f>
        <v>EMB</v>
      </c>
      <c r="F25" s="231">
        <f>SCALARS!F25</f>
        <v>1.4324665216551433</v>
      </c>
      <c r="G25" s="231">
        <f>SCALARS!G25</f>
        <v>2.6059000000000001</v>
      </c>
      <c r="H25" s="230" t="b">
        <v>0</v>
      </c>
    </row>
    <row r="26" spans="1:8" x14ac:dyDescent="0.25">
      <c r="A26" t="str">
        <f>SCALARS!A26</f>
        <v>fixed income</v>
      </c>
      <c r="B26" t="str">
        <f>SCALARS!B26</f>
        <v>fallen angels</v>
      </c>
      <c r="C26" t="str">
        <f>SCALARS!C26</f>
        <v>ANGL</v>
      </c>
      <c r="D26" t="str">
        <f>SCALARS!D26</f>
        <v>IBKR</v>
      </c>
      <c r="E26" t="str">
        <f>SCALARS!E26</f>
        <v>ANGL</v>
      </c>
      <c r="F26" s="231">
        <f>SCALARS!F26</f>
        <v>1</v>
      </c>
      <c r="G26" s="231">
        <f>SCALARS!G26</f>
        <v>1.2823</v>
      </c>
      <c r="H26" s="230" t="b">
        <v>0</v>
      </c>
    </row>
    <row r="27" spans="1:8" x14ac:dyDescent="0.25">
      <c r="A27" t="str">
        <f>SCALARS!A27</f>
        <v>fixed income</v>
      </c>
      <c r="B27" t="str">
        <f>SCALARS!B27</f>
        <v>fallen angels</v>
      </c>
      <c r="C27" t="str">
        <f>SCALARS!C27</f>
        <v>FALN</v>
      </c>
      <c r="D27" t="str">
        <f>SCALARS!D27</f>
        <v>IBKR</v>
      </c>
      <c r="E27" t="str">
        <f>SCALARS!E27</f>
        <v>ANGL</v>
      </c>
      <c r="F27" s="231">
        <f>SCALARS!F27</f>
        <v>1.075310684770924</v>
      </c>
      <c r="G27" s="231">
        <f>SCALARS!G27</f>
        <v>1.1721300000000001</v>
      </c>
      <c r="H27" s="230" t="b">
        <v>0</v>
      </c>
    </row>
    <row r="28" spans="1:8" x14ac:dyDescent="0.25">
      <c r="A28" t="str">
        <f>SCALARS!A28</f>
        <v>fixed income</v>
      </c>
      <c r="B28" t="str">
        <f>SCALARS!B28</f>
        <v>hi yld</v>
      </c>
      <c r="C28" t="str">
        <f>SCALARS!C28</f>
        <v>HYG</v>
      </c>
      <c r="D28" t="str">
        <f>SCALARS!D28</f>
        <v>IBKR</v>
      </c>
      <c r="E28" t="str">
        <f>SCALARS!E28</f>
        <v>JNK</v>
      </c>
      <c r="F28" s="231">
        <f>SCALARS!F28</f>
        <v>1.2035889361426353</v>
      </c>
      <c r="G28" s="231">
        <f>SCALARS!G28</f>
        <v>0</v>
      </c>
      <c r="H28" s="230" t="b">
        <v>0</v>
      </c>
    </row>
    <row r="29" spans="1:8" x14ac:dyDescent="0.25">
      <c r="A29" t="str">
        <f>SCALARS!A29</f>
        <v>fixed income</v>
      </c>
      <c r="B29" t="str">
        <f>SCALARS!B29</f>
        <v>hi yld</v>
      </c>
      <c r="C29" t="str">
        <f>SCALARS!C29</f>
        <v>HYLB</v>
      </c>
      <c r="D29" t="str">
        <f>SCALARS!D29</f>
        <v>IBKR</v>
      </c>
      <c r="E29" t="str">
        <f>SCALARS!E29</f>
        <v>JNK</v>
      </c>
      <c r="F29" s="231">
        <f>SCALARS!F29</f>
        <v>2.637559216808536</v>
      </c>
      <c r="G29" s="231">
        <f>SCALARS!G29</f>
        <v>0</v>
      </c>
      <c r="H29" s="230" t="b">
        <v>0</v>
      </c>
    </row>
    <row r="30" spans="1:8" x14ac:dyDescent="0.25">
      <c r="A30" t="str">
        <f>SCALARS!A30</f>
        <v>fixed income</v>
      </c>
      <c r="B30" t="str">
        <f>SCALARS!B30</f>
        <v>hi yld</v>
      </c>
      <c r="C30" t="str">
        <f>SCALARS!C30</f>
        <v>JNK</v>
      </c>
      <c r="D30" t="str">
        <f>SCALARS!D30</f>
        <v>IBKR</v>
      </c>
      <c r="E30" t="str">
        <f>SCALARS!E30</f>
        <v>JNK</v>
      </c>
      <c r="F30" s="231">
        <f>SCALARS!F30</f>
        <v>1</v>
      </c>
      <c r="G30" s="231">
        <f>SCALARS!G30</f>
        <v>0</v>
      </c>
      <c r="H30" s="230" t="b">
        <v>0</v>
      </c>
    </row>
    <row r="31" spans="1:8" x14ac:dyDescent="0.25">
      <c r="A31" t="str">
        <f>SCALARS!A31</f>
        <v>fixed income</v>
      </c>
      <c r="B31" t="str">
        <f>SCALARS!B31</f>
        <v>hi yld</v>
      </c>
      <c r="C31" t="str">
        <f>SCALARS!C31</f>
        <v>SCYB</v>
      </c>
      <c r="D31" t="str">
        <f>SCALARS!D31</f>
        <v>IBKR</v>
      </c>
      <c r="E31" t="str">
        <f>SCALARS!E31</f>
        <v>JNK</v>
      </c>
      <c r="F31" s="231">
        <f>SCALARS!F31</f>
        <v>3.68234253228171</v>
      </c>
      <c r="G31" s="231">
        <f>SCALARS!G31</f>
        <v>0</v>
      </c>
      <c r="H31" s="230" t="b">
        <v>0</v>
      </c>
    </row>
    <row r="32" spans="1:8" x14ac:dyDescent="0.25">
      <c r="A32" t="str">
        <f>SCALARS!A32</f>
        <v>fixed income</v>
      </c>
      <c r="B32" t="str">
        <f>SCALARS!B32</f>
        <v>hi yld</v>
      </c>
      <c r="C32" t="str">
        <f>SCALARS!C32</f>
        <v>SPHY</v>
      </c>
      <c r="D32" t="str">
        <f>SCALARS!D32</f>
        <v>IBKR</v>
      </c>
      <c r="E32" t="str">
        <f>SCALARS!E32</f>
        <v>JNK</v>
      </c>
      <c r="F32" s="231">
        <f>SCALARS!F32</f>
        <v>4.114272997957455</v>
      </c>
      <c r="G32" s="231">
        <f>SCALARS!G32</f>
        <v>0</v>
      </c>
      <c r="H32" s="230" t="b">
        <v>0</v>
      </c>
    </row>
    <row r="33" spans="1:8" x14ac:dyDescent="0.25">
      <c r="A33" t="str">
        <f>SCALARS!A33</f>
        <v>fixed income</v>
      </c>
      <c r="B33" t="str">
        <f>SCALARS!B33</f>
        <v>hi yld</v>
      </c>
      <c r="C33" t="str">
        <f>SCALARS!C33</f>
        <v>USHY</v>
      </c>
      <c r="D33" t="str">
        <f>SCALARS!D33</f>
        <v>IBKR</v>
      </c>
      <c r="E33" t="str">
        <f>SCALARS!E33</f>
        <v>JNK</v>
      </c>
      <c r="F33" s="231">
        <f>SCALARS!F33</f>
        <v>2.6023751615327924</v>
      </c>
      <c r="G33" s="231">
        <f>SCALARS!G33</f>
        <v>0</v>
      </c>
      <c r="H33" s="230" t="b">
        <v>0</v>
      </c>
    </row>
    <row r="34" spans="1:8" x14ac:dyDescent="0.25">
      <c r="A34" t="str">
        <f>SCALARS!A34</f>
        <v>fixed income</v>
      </c>
      <c r="B34" t="str">
        <f>SCALARS!B34</f>
        <v>intl agg - hedged</v>
      </c>
      <c r="C34" t="str">
        <f>SCALARS!C34</f>
        <v>BNDX</v>
      </c>
      <c r="D34" t="str">
        <f>SCALARS!D34</f>
        <v>IBKR</v>
      </c>
      <c r="E34" t="str">
        <f>SCALARS!E34</f>
        <v>IAGG</v>
      </c>
      <c r="F34" s="231">
        <f>SCALARS!F34</f>
        <v>1.0437848742557227</v>
      </c>
      <c r="G34" s="231">
        <f>SCALARS!G34</f>
        <v>0.90090000000000003</v>
      </c>
      <c r="H34" s="230" t="b">
        <v>0</v>
      </c>
    </row>
    <row r="35" spans="1:8" x14ac:dyDescent="0.25">
      <c r="A35" t="str">
        <f>SCALARS!A35</f>
        <v>fixed income</v>
      </c>
      <c r="B35" t="str">
        <f>SCALARS!B35</f>
        <v>intl agg - hedged</v>
      </c>
      <c r="C35" t="str">
        <f>SCALARS!C35</f>
        <v>IAGG</v>
      </c>
      <c r="D35" t="str">
        <f>SCALARS!D35</f>
        <v>IBKR</v>
      </c>
      <c r="E35" t="str">
        <f>SCALARS!E35</f>
        <v>IAGG</v>
      </c>
      <c r="F35" s="231">
        <f>SCALARS!F35</f>
        <v>1</v>
      </c>
      <c r="G35" s="231">
        <f>SCALARS!G35</f>
        <v>0.71307999999999994</v>
      </c>
      <c r="H35" s="230" t="b">
        <v>0</v>
      </c>
    </row>
    <row r="36" spans="1:8" x14ac:dyDescent="0.25">
      <c r="A36" t="str">
        <f>SCALARS!A36</f>
        <v>fixed income</v>
      </c>
      <c r="B36" t="str">
        <f>SCALARS!B36</f>
        <v>intl gov - unhedged</v>
      </c>
      <c r="C36" t="str">
        <f>SCALARS!C36</f>
        <v>BWX</v>
      </c>
      <c r="D36" t="str">
        <f>SCALARS!D36</f>
        <v>IBKR</v>
      </c>
      <c r="E36" t="str">
        <f>SCALARS!E36</f>
        <v>IGOV</v>
      </c>
      <c r="F36" s="231">
        <f>SCALARS!F36</f>
        <v>1.8585084719947207</v>
      </c>
      <c r="G36" s="231">
        <f>SCALARS!G36</f>
        <v>0.34714599999999995</v>
      </c>
      <c r="H36" s="230" t="b">
        <v>0</v>
      </c>
    </row>
    <row r="37" spans="1:8" x14ac:dyDescent="0.25">
      <c r="A37" t="str">
        <f>SCALARS!A37</f>
        <v>fixed income</v>
      </c>
      <c r="B37" t="str">
        <f>SCALARS!B37</f>
        <v>intl gov - unhedged</v>
      </c>
      <c r="C37" t="str">
        <f>SCALARS!C37</f>
        <v>IGOV</v>
      </c>
      <c r="D37" t="str">
        <f>SCALARS!D37</f>
        <v>IBKR</v>
      </c>
      <c r="E37" t="str">
        <f>SCALARS!E37</f>
        <v>IGOV</v>
      </c>
      <c r="F37" s="231">
        <f>SCALARS!F37</f>
        <v>1</v>
      </c>
      <c r="G37" s="231">
        <f>SCALARS!G37</f>
        <v>0</v>
      </c>
      <c r="H37" s="230" t="b">
        <v>0</v>
      </c>
    </row>
    <row r="38" spans="1:8" x14ac:dyDescent="0.25">
      <c r="A38" t="str">
        <f>SCALARS!A38</f>
        <v>fixed income</v>
      </c>
      <c r="B38" t="str">
        <f>SCALARS!B38</f>
        <v>long term corps</v>
      </c>
      <c r="C38" t="str">
        <f>SCALARS!C38</f>
        <v>IGLB</v>
      </c>
      <c r="D38" t="str">
        <f>SCALARS!D38</f>
        <v>IBKR</v>
      </c>
      <c r="E38" t="str">
        <f>SCALARS!E38</f>
        <v>VCLT</v>
      </c>
      <c r="F38" s="231">
        <f>SCALARS!F38</f>
        <v>1.500449323913702</v>
      </c>
      <c r="G38" s="231">
        <f>SCALARS!G38</f>
        <v>0</v>
      </c>
      <c r="H38" s="230" t="b">
        <v>0</v>
      </c>
    </row>
    <row r="39" spans="1:8" x14ac:dyDescent="0.25">
      <c r="A39" t="str">
        <f>SCALARS!A39</f>
        <v>fixed income</v>
      </c>
      <c r="B39" t="str">
        <f>SCALARS!B39</f>
        <v>long term corps</v>
      </c>
      <c r="C39" t="str">
        <f>SCALARS!C39</f>
        <v>SPLB</v>
      </c>
      <c r="D39" t="str">
        <f>SCALARS!D39</f>
        <v>IBKR</v>
      </c>
      <c r="E39" t="str">
        <f>SCALARS!E39</f>
        <v>VCLT</v>
      </c>
      <c r="F39" s="231">
        <f>SCALARS!F39</f>
        <v>3.360824949783543</v>
      </c>
      <c r="G39" s="231">
        <f>SCALARS!G39</f>
        <v>0</v>
      </c>
      <c r="H39" s="230" t="b">
        <v>0</v>
      </c>
    </row>
    <row r="40" spans="1:8" x14ac:dyDescent="0.25">
      <c r="A40" t="str">
        <f>SCALARS!A40</f>
        <v>fixed income</v>
      </c>
      <c r="B40" t="str">
        <f>SCALARS!B40</f>
        <v>long term corps</v>
      </c>
      <c r="C40" t="str">
        <f>SCALARS!C40</f>
        <v>VCLT</v>
      </c>
      <c r="D40" t="str">
        <f>SCALARS!D40</f>
        <v>IBKR</v>
      </c>
      <c r="E40" t="str">
        <f>SCALARS!E40</f>
        <v>VCLT</v>
      </c>
      <c r="F40" s="231">
        <f>SCALARS!F40</f>
        <v>1</v>
      </c>
      <c r="G40" s="231">
        <f>SCALARS!G40</f>
        <v>0</v>
      </c>
      <c r="H40" s="230" t="b">
        <v>0</v>
      </c>
    </row>
    <row r="41" spans="1:8" x14ac:dyDescent="0.25">
      <c r="A41" t="str">
        <f>SCALARS!A41</f>
        <v>fixed income</v>
      </c>
      <c r="B41" t="str">
        <f>SCALARS!B41</f>
        <v>long term tsy</v>
      </c>
      <c r="C41" t="str">
        <f>SCALARS!C41</f>
        <v>SCHQ</v>
      </c>
      <c r="D41" t="str">
        <f>SCALARS!D41</f>
        <v>IBKR</v>
      </c>
      <c r="E41" t="str">
        <f>SCALARS!E41</f>
        <v>VGLT</v>
      </c>
      <c r="F41" s="231">
        <f>SCALARS!F41</f>
        <v>1.7623444074974053</v>
      </c>
      <c r="G41" s="231">
        <f>SCALARS!G41</f>
        <v>0</v>
      </c>
      <c r="H41" s="230" t="b">
        <v>0</v>
      </c>
    </row>
    <row r="42" spans="1:8" x14ac:dyDescent="0.25">
      <c r="A42" t="str">
        <f>SCALARS!A42</f>
        <v>fixed income</v>
      </c>
      <c r="B42" t="str">
        <f>SCALARS!B42</f>
        <v>long term tsy</v>
      </c>
      <c r="C42" t="str">
        <f>SCALARS!C42</f>
        <v>SPTL</v>
      </c>
      <c r="D42" t="str">
        <f>SCALARS!D42</f>
        <v>IBKR</v>
      </c>
      <c r="E42" t="str">
        <f>SCALARS!E42</f>
        <v>VGLT</v>
      </c>
      <c r="F42" s="231">
        <f>SCALARS!F42</f>
        <v>2.1021591158613688</v>
      </c>
      <c r="G42" s="231">
        <f>SCALARS!G42</f>
        <v>0</v>
      </c>
      <c r="H42" s="230" t="b">
        <v>0</v>
      </c>
    </row>
    <row r="43" spans="1:8" x14ac:dyDescent="0.25">
      <c r="A43" t="str">
        <f>SCALARS!A43</f>
        <v>fixed income</v>
      </c>
      <c r="B43" t="str">
        <f>SCALARS!B43</f>
        <v>long term tsy</v>
      </c>
      <c r="C43" t="str">
        <f>SCALARS!C43</f>
        <v>VGLT</v>
      </c>
      <c r="D43" t="str">
        <f>SCALARS!D43</f>
        <v>IBKR</v>
      </c>
      <c r="E43" t="str">
        <f>SCALARS!E43</f>
        <v>VGLT</v>
      </c>
      <c r="F43" s="231">
        <f>SCALARS!F43</f>
        <v>1</v>
      </c>
      <c r="G43" s="231">
        <f>SCALARS!G43</f>
        <v>0</v>
      </c>
      <c r="H43" s="230" t="b">
        <v>0</v>
      </c>
    </row>
    <row r="44" spans="1:8" x14ac:dyDescent="0.25">
      <c r="A44" t="str">
        <f>SCALARS!A44</f>
        <v>fixed income</v>
      </c>
      <c r="B44" t="str">
        <f>SCALARS!B44</f>
        <v>mortgages</v>
      </c>
      <c r="C44" t="str">
        <f>SCALARS!C44</f>
        <v>MBB</v>
      </c>
      <c r="D44" t="str">
        <f>SCALARS!D44</f>
        <v>IBKR</v>
      </c>
      <c r="E44" t="str">
        <f>SCALARS!E44</f>
        <v>MBB</v>
      </c>
      <c r="F44" s="231">
        <f>SCALARS!F44</f>
        <v>1</v>
      </c>
      <c r="G44" s="231">
        <f>SCALARS!G44</f>
        <v>0</v>
      </c>
      <c r="H44" s="230" t="b">
        <v>0</v>
      </c>
    </row>
    <row r="45" spans="1:8" x14ac:dyDescent="0.25">
      <c r="A45" t="str">
        <f>SCALARS!A45</f>
        <v>fixed income</v>
      </c>
      <c r="B45" t="str">
        <f>SCALARS!B45</f>
        <v>mortgages</v>
      </c>
      <c r="C45" t="str">
        <f>SCALARS!C45</f>
        <v>SPMB</v>
      </c>
      <c r="D45" t="str">
        <f>SCALARS!D45</f>
        <v>IBKR</v>
      </c>
      <c r="E45" t="str">
        <f>SCALARS!E45</f>
        <v>MBB</v>
      </c>
      <c r="F45" s="231">
        <f>SCALARS!F45</f>
        <v>4.237656263969221</v>
      </c>
      <c r="G45" s="231">
        <f>SCALARS!G45</f>
        <v>0</v>
      </c>
      <c r="H45" s="230" t="b">
        <v>0</v>
      </c>
    </row>
    <row r="46" spans="1:8" x14ac:dyDescent="0.25">
      <c r="A46" t="str">
        <f>SCALARS!A46</f>
        <v>fixed income</v>
      </c>
      <c r="B46" t="str">
        <f>SCALARS!B46</f>
        <v>mortgages</v>
      </c>
      <c r="C46" t="str">
        <f>SCALARS!C46</f>
        <v>VMBS</v>
      </c>
      <c r="D46" t="str">
        <f>SCALARS!D46</f>
        <v>IBKR</v>
      </c>
      <c r="E46" t="str">
        <f>SCALARS!E46</f>
        <v>MBB</v>
      </c>
      <c r="F46" s="231">
        <f>SCALARS!F46</f>
        <v>2.0175212649382339</v>
      </c>
      <c r="G46" s="231">
        <f>SCALARS!G46</f>
        <v>0</v>
      </c>
      <c r="H46" s="230" t="b">
        <v>0</v>
      </c>
    </row>
    <row r="47" spans="1:8" x14ac:dyDescent="0.25">
      <c r="A47" t="str">
        <f>SCALARS!A47</f>
        <v>fixed income</v>
      </c>
      <c r="B47" t="str">
        <f>SCALARS!B47</f>
        <v>munis</v>
      </c>
      <c r="C47" t="str">
        <f>SCALARS!C47</f>
        <v>MUB</v>
      </c>
      <c r="D47" t="str">
        <f>SCALARS!D47</f>
        <v>IBKR</v>
      </c>
      <c r="E47" t="str">
        <f>SCALARS!E47</f>
        <v>MUB</v>
      </c>
      <c r="F47" s="231">
        <f>SCALARS!F47</f>
        <v>1</v>
      </c>
      <c r="G47" s="231">
        <f>SCALARS!G47</f>
        <v>0</v>
      </c>
      <c r="H47" s="230" t="b">
        <v>0</v>
      </c>
    </row>
    <row r="48" spans="1:8" x14ac:dyDescent="0.25">
      <c r="A48" t="str">
        <f>SCALARS!A48</f>
        <v>fixed income</v>
      </c>
      <c r="B48" t="str">
        <f>SCALARS!B48</f>
        <v>munis</v>
      </c>
      <c r="C48" t="str">
        <f>SCALARS!C48</f>
        <v>TFI</v>
      </c>
      <c r="D48" t="str">
        <f>SCALARS!D48</f>
        <v>IBKR</v>
      </c>
      <c r="E48" t="str">
        <f>SCALARS!E48</f>
        <v>MUB</v>
      </c>
      <c r="F48" s="231">
        <f>SCALARS!F48</f>
        <v>2.3530896322806996</v>
      </c>
      <c r="G48" s="231">
        <f>SCALARS!G48</f>
        <v>0</v>
      </c>
      <c r="H48" s="230" t="b">
        <v>0</v>
      </c>
    </row>
    <row r="49" spans="1:8" x14ac:dyDescent="0.25">
      <c r="A49" t="str">
        <f>SCALARS!A49</f>
        <v>fixed income</v>
      </c>
      <c r="B49" t="str">
        <f>SCALARS!B49</f>
        <v>munis</v>
      </c>
      <c r="C49" t="str">
        <f>SCALARS!C49</f>
        <v>VTEB</v>
      </c>
      <c r="D49" t="str">
        <f>SCALARS!D49</f>
        <v>IBKR</v>
      </c>
      <c r="E49" t="str">
        <f>SCALARS!E49</f>
        <v>MUB</v>
      </c>
      <c r="F49" s="231">
        <f>SCALARS!F49</f>
        <v>2.129322886792584</v>
      </c>
      <c r="G49" s="231">
        <f>SCALARS!G49</f>
        <v>0</v>
      </c>
      <c r="H49" s="230" t="b">
        <v>0</v>
      </c>
    </row>
    <row r="50" spans="1:8" x14ac:dyDescent="0.25">
      <c r="A50" t="str">
        <f>SCALARS!A50</f>
        <v>fixed income</v>
      </c>
      <c r="B50" t="str">
        <f>SCALARS!B50</f>
        <v>prefs</v>
      </c>
      <c r="C50" t="str">
        <f>SCALARS!C50</f>
        <v>PFF</v>
      </c>
      <c r="D50" t="str">
        <f>SCALARS!D50</f>
        <v>IBKR</v>
      </c>
      <c r="E50" t="str">
        <f>SCALARS!E50</f>
        <v>PFF</v>
      </c>
      <c r="F50" s="231">
        <f>SCALARS!F50</f>
        <v>1</v>
      </c>
      <c r="G50" s="231">
        <f>SCALARS!G50</f>
        <v>1.0603740000000001</v>
      </c>
      <c r="H50" s="230" t="b">
        <v>0</v>
      </c>
    </row>
    <row r="51" spans="1:8" x14ac:dyDescent="0.25">
      <c r="A51" t="str">
        <f>SCALARS!A51</f>
        <v>fixed income</v>
      </c>
      <c r="B51" t="str">
        <f>SCALARS!B51</f>
        <v>prefs</v>
      </c>
      <c r="C51" t="str">
        <f>SCALARS!C51</f>
        <v>PFFD</v>
      </c>
      <c r="D51" t="str">
        <f>SCALARS!D51</f>
        <v>IBKR</v>
      </c>
      <c r="E51" t="str">
        <f>SCALARS!E51</f>
        <v>PFF</v>
      </c>
      <c r="F51" s="231">
        <f>SCALARS!F51</f>
        <v>1.6473409727812638</v>
      </c>
      <c r="G51" s="231">
        <f>SCALARS!G51</f>
        <v>0.79999999999999993</v>
      </c>
      <c r="H51" s="230" t="b">
        <v>0</v>
      </c>
    </row>
    <row r="52" spans="1:8" x14ac:dyDescent="0.25">
      <c r="A52" t="str">
        <f>SCALARS!A52</f>
        <v>sector</v>
      </c>
      <c r="B52" t="str">
        <f>SCALARS!B52</f>
        <v>discretionary</v>
      </c>
      <c r="C52" t="str">
        <f>SCALARS!C52</f>
        <v>FDIS</v>
      </c>
      <c r="D52" t="str">
        <f>SCALARS!D52</f>
        <v>IBKR</v>
      </c>
      <c r="E52" t="str">
        <f>SCALARS!E52</f>
        <v>VCR</v>
      </c>
      <c r="F52" s="231">
        <f>SCALARS!F52</f>
        <v>3.8506069329982653</v>
      </c>
      <c r="G52" s="231">
        <f>SCALARS!G52</f>
        <v>0</v>
      </c>
      <c r="H52" s="230" t="b">
        <v>0</v>
      </c>
    </row>
    <row r="53" spans="1:8" x14ac:dyDescent="0.25">
      <c r="A53" t="str">
        <f>SCALARS!A53</f>
        <v>sector</v>
      </c>
      <c r="B53" t="str">
        <f>SCALARS!B53</f>
        <v>discretionary</v>
      </c>
      <c r="C53" t="str">
        <f>SCALARS!C53</f>
        <v>VCR</v>
      </c>
      <c r="D53" t="str">
        <f>SCALARS!D53</f>
        <v>IBKR</v>
      </c>
      <c r="E53" t="str">
        <f>SCALARS!E53</f>
        <v>VCR</v>
      </c>
      <c r="F53" s="231">
        <f>SCALARS!F53</f>
        <v>1</v>
      </c>
      <c r="G53" s="231">
        <f>SCALARS!G53</f>
        <v>0</v>
      </c>
      <c r="H53" s="230" t="b">
        <v>0</v>
      </c>
    </row>
    <row r="54" spans="1:8" x14ac:dyDescent="0.25">
      <c r="A54" t="str">
        <f>SCALARS!A54</f>
        <v>sector</v>
      </c>
      <c r="B54" t="str">
        <f>SCALARS!B54</f>
        <v>discretionary</v>
      </c>
      <c r="C54" t="str">
        <f>SCALARS!C54</f>
        <v>IYC</v>
      </c>
      <c r="D54" t="str">
        <f>SCALARS!D54</f>
        <v>IBKR</v>
      </c>
      <c r="E54" t="str">
        <f>SCALARS!E54</f>
        <v>XLY</v>
      </c>
      <c r="F54" s="231">
        <f>SCALARS!F54</f>
        <v>1.1464673298061949</v>
      </c>
      <c r="G54" s="231">
        <f>SCALARS!G54</f>
        <v>0.150284</v>
      </c>
      <c r="H54" s="230" t="b">
        <v>0</v>
      </c>
    </row>
    <row r="55" spans="1:8" x14ac:dyDescent="0.25">
      <c r="A55" t="str">
        <f>SCALARS!A55</f>
        <v>sector</v>
      </c>
      <c r="B55" t="str">
        <f>SCALARS!B55</f>
        <v>discretionary</v>
      </c>
      <c r="C55" t="str">
        <f>SCALARS!C55</f>
        <v>XLY</v>
      </c>
      <c r="D55" t="str">
        <f>SCALARS!D55</f>
        <v>IBKR</v>
      </c>
      <c r="E55" t="str">
        <f>SCALARS!E55</f>
        <v>XLY</v>
      </c>
      <c r="F55" s="231">
        <f>SCALARS!F55</f>
        <v>1</v>
      </c>
      <c r="G55" s="231">
        <f>SCALARS!G55</f>
        <v>0</v>
      </c>
      <c r="H55" s="230" t="b">
        <v>0</v>
      </c>
    </row>
    <row r="56" spans="1:8" x14ac:dyDescent="0.25">
      <c r="A56" t="str">
        <f>SCALARS!A56</f>
        <v>sector</v>
      </c>
      <c r="B56" t="str">
        <f>SCALARS!B56</f>
        <v>energy</v>
      </c>
      <c r="C56" t="str">
        <f>SCALARS!C56</f>
        <v>IYE</v>
      </c>
      <c r="D56" t="str">
        <f>SCALARS!D56</f>
        <v>IBKR</v>
      </c>
      <c r="E56" t="str">
        <f>SCALARS!E56</f>
        <v>IYE</v>
      </c>
      <c r="F56" s="231">
        <f>SCALARS!F56</f>
        <v>1</v>
      </c>
      <c r="G56" s="231">
        <f>SCALARS!G56</f>
        <v>0.39350299999999999</v>
      </c>
      <c r="H56" s="230" t="b">
        <v>0</v>
      </c>
    </row>
    <row r="57" spans="1:8" x14ac:dyDescent="0.25">
      <c r="A57" t="str">
        <f>SCALARS!A57</f>
        <v>sector</v>
      </c>
      <c r="B57" t="str">
        <f>SCALARS!B57</f>
        <v>energy</v>
      </c>
      <c r="C57" t="str">
        <f>SCALARS!C57</f>
        <v>XLE</v>
      </c>
      <c r="D57" t="str">
        <f>SCALARS!D57</f>
        <v>IBKR</v>
      </c>
      <c r="E57" t="str">
        <f>SCALARS!E57</f>
        <v>IYE</v>
      </c>
      <c r="F57" s="231">
        <f>SCALARS!F57</f>
        <v>1.0572837255459098</v>
      </c>
      <c r="G57" s="231">
        <f>SCALARS!G57</f>
        <v>0</v>
      </c>
      <c r="H57" s="230" t="b">
        <v>0</v>
      </c>
    </row>
    <row r="58" spans="1:8" x14ac:dyDescent="0.25">
      <c r="A58" t="str">
        <f>SCALARS!A58</f>
        <v>sector</v>
      </c>
      <c r="B58" t="str">
        <f>SCALARS!B58</f>
        <v>energy</v>
      </c>
      <c r="C58" t="str">
        <f>SCALARS!C58</f>
        <v>FENY</v>
      </c>
      <c r="D58" t="str">
        <f>SCALARS!D58</f>
        <v>IBKR</v>
      </c>
      <c r="E58" t="str">
        <f>SCALARS!E58</f>
        <v>VDE</v>
      </c>
      <c r="F58" s="231">
        <f>SCALARS!F58</f>
        <v>5.0828381060701133</v>
      </c>
      <c r="G58" s="231">
        <f>SCALARS!G58</f>
        <v>0</v>
      </c>
      <c r="H58" s="230" t="b">
        <v>0</v>
      </c>
    </row>
    <row r="59" spans="1:8" x14ac:dyDescent="0.25">
      <c r="A59" t="str">
        <f>SCALARS!A59</f>
        <v>sector</v>
      </c>
      <c r="B59" t="str">
        <f>SCALARS!B59</f>
        <v>energy</v>
      </c>
      <c r="C59" t="str">
        <f>SCALARS!C59</f>
        <v>VDE</v>
      </c>
      <c r="D59" t="str">
        <f>SCALARS!D59</f>
        <v>IBKR</v>
      </c>
      <c r="E59" t="str">
        <f>SCALARS!E59</f>
        <v>VDE</v>
      </c>
      <c r="F59" s="231">
        <f>SCALARS!F59</f>
        <v>1</v>
      </c>
      <c r="G59" s="231">
        <f>SCALARS!G59</f>
        <v>0</v>
      </c>
      <c r="H59" s="230" t="b">
        <v>0</v>
      </c>
    </row>
    <row r="60" spans="1:8" x14ac:dyDescent="0.25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31">
        <f>SCALARS!F60</f>
        <v>1</v>
      </c>
      <c r="G60" s="231">
        <f>SCALARS!G60</f>
        <v>0.41789900000000002</v>
      </c>
      <c r="H60" s="230" t="b">
        <v>0</v>
      </c>
    </row>
    <row r="61" spans="1:8" x14ac:dyDescent="0.25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31">
        <f>SCALARS!F61</f>
        <v>2.3668315259736401</v>
      </c>
      <c r="G61" s="231">
        <f>SCALARS!G61</f>
        <v>0</v>
      </c>
      <c r="H61" s="230" t="b">
        <v>0</v>
      </c>
    </row>
    <row r="62" spans="1:8" x14ac:dyDescent="0.25">
      <c r="A62" t="str">
        <f>SCALARS!A62</f>
        <v>sector</v>
      </c>
      <c r="B62" t="str">
        <f>SCALARS!B62</f>
        <v>financials</v>
      </c>
      <c r="C62" t="str">
        <f>SCALARS!C62</f>
        <v>FNCL</v>
      </c>
      <c r="D62" t="str">
        <f>SCALARS!D62</f>
        <v>IBKR</v>
      </c>
      <c r="E62" t="str">
        <f>SCALARS!E62</f>
        <v>VFH</v>
      </c>
      <c r="F62" s="231">
        <f>SCALARS!F62</f>
        <v>1.7172660843398713</v>
      </c>
      <c r="G62" s="231">
        <f>SCALARS!G62</f>
        <v>0</v>
      </c>
      <c r="H62" s="230" t="b">
        <v>0</v>
      </c>
    </row>
    <row r="63" spans="1:8" x14ac:dyDescent="0.25">
      <c r="A63" t="str">
        <f>SCALARS!A63</f>
        <v>sector</v>
      </c>
      <c r="B63" t="str">
        <f>SCALARS!B63</f>
        <v>financials</v>
      </c>
      <c r="C63" t="str">
        <f>SCALARS!C63</f>
        <v>VFH</v>
      </c>
      <c r="D63" t="str">
        <f>SCALARS!D63</f>
        <v>IBKR</v>
      </c>
      <c r="E63" t="str">
        <f>SCALARS!E63</f>
        <v>VFH</v>
      </c>
      <c r="F63" s="231">
        <f>SCALARS!F63</f>
        <v>1</v>
      </c>
      <c r="G63" s="231">
        <f>SCALARS!G63</f>
        <v>0</v>
      </c>
      <c r="H63" s="230" t="b">
        <v>0</v>
      </c>
    </row>
    <row r="64" spans="1:8" x14ac:dyDescent="0.25">
      <c r="A64" t="str">
        <f>SCALARS!A64</f>
        <v>sector</v>
      </c>
      <c r="B64" t="str">
        <f>SCALARS!B64</f>
        <v>healthcare</v>
      </c>
      <c r="C64" t="str">
        <f>SCALARS!C64</f>
        <v>FHLC</v>
      </c>
      <c r="D64" t="str">
        <f>SCALARS!D64</f>
        <v>IBKR</v>
      </c>
      <c r="E64" t="str">
        <f>SCALARS!E64</f>
        <v>VHT</v>
      </c>
      <c r="F64" s="231">
        <f>SCALARS!F64</f>
        <v>3.8689458567387986</v>
      </c>
      <c r="G64" s="231">
        <f>SCALARS!G64</f>
        <v>0</v>
      </c>
      <c r="H64" s="230" t="b">
        <v>0</v>
      </c>
    </row>
    <row r="65" spans="1:8" x14ac:dyDescent="0.25">
      <c r="A65" t="str">
        <f>SCALARS!A65</f>
        <v>sector</v>
      </c>
      <c r="B65" t="str">
        <f>SCALARS!B65</f>
        <v>healthcare</v>
      </c>
      <c r="C65" t="str">
        <f>SCALARS!C65</f>
        <v>VHT</v>
      </c>
      <c r="D65" t="str">
        <f>SCALARS!D65</f>
        <v>IBKR</v>
      </c>
      <c r="E65" t="str">
        <f>SCALARS!E65</f>
        <v>VHT</v>
      </c>
      <c r="F65" s="231">
        <f>SCALARS!F65</f>
        <v>1</v>
      </c>
      <c r="G65" s="231">
        <f>SCALARS!G65</f>
        <v>0</v>
      </c>
      <c r="H65" s="230" t="b">
        <v>0</v>
      </c>
    </row>
    <row r="66" spans="1:8" x14ac:dyDescent="0.25">
      <c r="A66" t="str">
        <f>SCALARS!A66</f>
        <v>sector</v>
      </c>
      <c r="B66" t="str">
        <f>SCALARS!B66</f>
        <v>healthcare</v>
      </c>
      <c r="C66" t="str">
        <f>SCALARS!C66</f>
        <v>IYH</v>
      </c>
      <c r="D66" t="str">
        <f>SCALARS!D66</f>
        <v>IBKR</v>
      </c>
      <c r="E66" t="str">
        <f>SCALARS!E66</f>
        <v>XLV</v>
      </c>
      <c r="F66" s="231">
        <f>SCALARS!F66</f>
        <v>2.3659385058002127</v>
      </c>
      <c r="G66" s="231">
        <f>SCALARS!G66</f>
        <v>0.190827</v>
      </c>
      <c r="H66" s="230" t="b">
        <v>0</v>
      </c>
    </row>
    <row r="67" spans="1:8" x14ac:dyDescent="0.25">
      <c r="A67" t="str">
        <f>SCALARS!A67</f>
        <v>sector</v>
      </c>
      <c r="B67" t="str">
        <f>SCALARS!B67</f>
        <v>healthcare</v>
      </c>
      <c r="C67" t="str">
        <f>SCALARS!C67</f>
        <v>XLV</v>
      </c>
      <c r="D67" t="str">
        <f>SCALARS!D67</f>
        <v>IBKR</v>
      </c>
      <c r="E67" t="str">
        <f>SCALARS!E67</f>
        <v>XLV</v>
      </c>
      <c r="F67" s="231">
        <f>SCALARS!F67</f>
        <v>1</v>
      </c>
      <c r="G67" s="231">
        <f>SCALARS!G67</f>
        <v>0</v>
      </c>
      <c r="H67" s="230" t="b">
        <v>0</v>
      </c>
    </row>
    <row r="68" spans="1:8" x14ac:dyDescent="0.25">
      <c r="A68" t="str">
        <f>SCALARS!A68</f>
        <v>sector</v>
      </c>
      <c r="B68" t="str">
        <f>SCALARS!B68</f>
        <v>industrials</v>
      </c>
      <c r="C68" t="str">
        <f>SCALARS!C68</f>
        <v>FIDU</v>
      </c>
      <c r="D68" t="str">
        <f>SCALARS!D68</f>
        <v>IBKR</v>
      </c>
      <c r="E68" t="str">
        <f>SCALARS!E68</f>
        <v>VIS</v>
      </c>
      <c r="F68" s="231">
        <f>SCALARS!F68</f>
        <v>3.6154183372750159</v>
      </c>
      <c r="G68" s="231">
        <f>SCALARS!G68</f>
        <v>0</v>
      </c>
      <c r="H68" s="230" t="b">
        <v>0</v>
      </c>
    </row>
    <row r="69" spans="1:8" x14ac:dyDescent="0.25">
      <c r="A69" t="str">
        <f>SCALARS!A69</f>
        <v>sector</v>
      </c>
      <c r="B69" t="str">
        <f>SCALARS!B69</f>
        <v>industrials</v>
      </c>
      <c r="C69" t="str">
        <f>SCALARS!C69</f>
        <v>VIS</v>
      </c>
      <c r="D69" t="str">
        <f>SCALARS!D69</f>
        <v>IBKR</v>
      </c>
      <c r="E69" t="str">
        <f>SCALARS!E69</f>
        <v>VIS</v>
      </c>
      <c r="F69" s="231">
        <f>SCALARS!F69</f>
        <v>1</v>
      </c>
      <c r="G69" s="231">
        <f>SCALARS!G69</f>
        <v>0</v>
      </c>
      <c r="H69" s="230" t="b">
        <v>0</v>
      </c>
    </row>
    <row r="70" spans="1:8" x14ac:dyDescent="0.25">
      <c r="A70" t="str">
        <f>SCALARS!A70</f>
        <v>sector</v>
      </c>
      <c r="B70" t="str">
        <f>SCALARS!B70</f>
        <v>industrials</v>
      </c>
      <c r="C70" t="str">
        <f>SCALARS!C70</f>
        <v>IYJ</v>
      </c>
      <c r="D70" t="str">
        <f>SCALARS!D70</f>
        <v>IBKR</v>
      </c>
      <c r="E70" t="str">
        <f>SCALARS!E70</f>
        <v>XLI</v>
      </c>
      <c r="F70" s="231">
        <f>SCALARS!F70</f>
        <v>1.0883086283338783</v>
      </c>
      <c r="G70" s="231">
        <f>SCALARS!G70</f>
        <v>0.30100700000000002</v>
      </c>
      <c r="H70" s="230" t="b">
        <v>0</v>
      </c>
    </row>
    <row r="71" spans="1:8" x14ac:dyDescent="0.25">
      <c r="A71" t="str">
        <f>SCALARS!A71</f>
        <v>sector</v>
      </c>
      <c r="B71" t="str">
        <f>SCALARS!B71</f>
        <v>industrials</v>
      </c>
      <c r="C71" t="str">
        <f>SCALARS!C71</f>
        <v>XLI</v>
      </c>
      <c r="D71" t="str">
        <f>SCALARS!D71</f>
        <v>IBKR</v>
      </c>
      <c r="E71" t="str">
        <f>SCALARS!E71</f>
        <v>XLI</v>
      </c>
      <c r="F71" s="231">
        <f>SCALARS!F71</f>
        <v>1</v>
      </c>
      <c r="G71" s="231">
        <f>SCALARS!G71</f>
        <v>0</v>
      </c>
      <c r="H71" s="230" t="b">
        <v>0</v>
      </c>
    </row>
    <row r="72" spans="1:8" x14ac:dyDescent="0.25">
      <c r="A72" t="str">
        <f>SCALARS!A72</f>
        <v>sector</v>
      </c>
      <c r="B72" t="str">
        <f>SCALARS!B72</f>
        <v>real estate</v>
      </c>
      <c r="C72" t="str">
        <f>SCALARS!C72</f>
        <v>IYR</v>
      </c>
      <c r="D72" t="str">
        <f>SCALARS!D72</f>
        <v>IBKR</v>
      </c>
      <c r="E72" t="str">
        <f>SCALARS!E72</f>
        <v>IYR</v>
      </c>
      <c r="F72" s="231">
        <f>SCALARS!F72</f>
        <v>1</v>
      </c>
      <c r="G72" s="231">
        <f>SCALARS!G72</f>
        <v>0.73818700000000004</v>
      </c>
      <c r="H72" s="230" t="b">
        <v>0</v>
      </c>
    </row>
    <row r="73" spans="1:8" x14ac:dyDescent="0.25">
      <c r="A73" t="str">
        <f>SCALARS!A73</f>
        <v>sector</v>
      </c>
      <c r="B73" t="str">
        <f>SCALARS!B73</f>
        <v>real estate</v>
      </c>
      <c r="C73" t="str">
        <f>SCALARS!C73</f>
        <v>XLRE</v>
      </c>
      <c r="D73" t="str">
        <f>SCALARS!D73</f>
        <v>IBKR</v>
      </c>
      <c r="E73" t="str">
        <f>SCALARS!E73</f>
        <v>IYR</v>
      </c>
      <c r="F73" s="231">
        <f>SCALARS!F73</f>
        <v>2.3246270399252889</v>
      </c>
      <c r="G73" s="231">
        <f>SCALARS!G73</f>
        <v>0</v>
      </c>
      <c r="H73" s="230" t="b">
        <v>0</v>
      </c>
    </row>
    <row r="74" spans="1:8" x14ac:dyDescent="0.25">
      <c r="A74" t="str">
        <f>SCALARS!A74</f>
        <v>sector</v>
      </c>
      <c r="B74" t="str">
        <f>SCALARS!B74</f>
        <v>real estate</v>
      </c>
      <c r="C74" t="str">
        <f>SCALARS!C74</f>
        <v>SCHH</v>
      </c>
      <c r="D74" t="str">
        <f>SCALARS!D74</f>
        <v>IBKR</v>
      </c>
      <c r="E74" t="str">
        <f>SCALARS!E74</f>
        <v>USRT</v>
      </c>
      <c r="F74" s="231">
        <f>SCALARS!F74</f>
        <v>2.7843516934027583</v>
      </c>
      <c r="G74" s="231">
        <f>SCALARS!G74</f>
        <v>0</v>
      </c>
      <c r="H74" s="230" t="b">
        <v>0</v>
      </c>
    </row>
    <row r="75" spans="1:8" x14ac:dyDescent="0.25">
      <c r="A75" t="str">
        <f>SCALARS!A75</f>
        <v>sector</v>
      </c>
      <c r="B75" t="str">
        <f>SCALARS!B75</f>
        <v>real estate</v>
      </c>
      <c r="C75" t="str">
        <f>SCALARS!C75</f>
        <v>USRT</v>
      </c>
      <c r="D75" t="str">
        <f>SCALARS!D75</f>
        <v>IBKR</v>
      </c>
      <c r="E75" t="str">
        <f>SCALARS!E75</f>
        <v>USRT</v>
      </c>
      <c r="F75" s="231">
        <f>SCALARS!F75</f>
        <v>1</v>
      </c>
      <c r="G75" s="231">
        <f>SCALARS!G75</f>
        <v>0</v>
      </c>
      <c r="H75" s="230" t="b">
        <v>0</v>
      </c>
    </row>
    <row r="76" spans="1:8" x14ac:dyDescent="0.25">
      <c r="A76" t="str">
        <f>SCALARS!A76</f>
        <v>sector</v>
      </c>
      <c r="B76" t="str">
        <f>SCALARS!B76</f>
        <v>real estate</v>
      </c>
      <c r="C76" t="str">
        <f>SCALARS!C76</f>
        <v>FREL</v>
      </c>
      <c r="D76" t="str">
        <f>SCALARS!D76</f>
        <v>IBKR</v>
      </c>
      <c r="E76" t="str">
        <f>SCALARS!E76</f>
        <v>VNQ</v>
      </c>
      <c r="F76" s="231">
        <f>SCALARS!F76</f>
        <v>3.2954532909532821</v>
      </c>
      <c r="G76" s="231">
        <f>SCALARS!G76</f>
        <v>0</v>
      </c>
      <c r="H76" s="230" t="b">
        <v>0</v>
      </c>
    </row>
    <row r="77" spans="1:8" x14ac:dyDescent="0.25">
      <c r="A77" t="str">
        <f>SCALARS!A77</f>
        <v>sector</v>
      </c>
      <c r="B77" t="str">
        <f>SCALARS!B77</f>
        <v>real estate</v>
      </c>
      <c r="C77" t="str">
        <f>SCALARS!C77</f>
        <v>VNQ</v>
      </c>
      <c r="D77" t="str">
        <f>SCALARS!D77</f>
        <v>IBKR</v>
      </c>
      <c r="E77" t="str">
        <f>SCALARS!E77</f>
        <v>VNQ</v>
      </c>
      <c r="F77" s="231">
        <f>SCALARS!F77</f>
        <v>1</v>
      </c>
      <c r="G77" s="231">
        <f>SCALARS!G77</f>
        <v>0</v>
      </c>
      <c r="H77" s="230" t="b">
        <v>0</v>
      </c>
    </row>
    <row r="78" spans="1:8" x14ac:dyDescent="0.25">
      <c r="A78" t="str">
        <f>SCALARS!A78</f>
        <v>sector</v>
      </c>
      <c r="B78" t="str">
        <f>SCALARS!B78</f>
        <v>staples</v>
      </c>
      <c r="C78" t="str">
        <f>SCALARS!C78</f>
        <v>FSTA</v>
      </c>
      <c r="D78" t="str">
        <f>SCALARS!D78</f>
        <v>IBKR</v>
      </c>
      <c r="E78" t="str">
        <f>SCALARS!E78</f>
        <v>VDC</v>
      </c>
      <c r="F78" s="231">
        <f>SCALARS!F78</f>
        <v>4.291461930616407</v>
      </c>
      <c r="G78" s="231">
        <f>SCALARS!G78</f>
        <v>0</v>
      </c>
      <c r="H78" s="230" t="b">
        <v>0</v>
      </c>
    </row>
    <row r="79" spans="1:8" x14ac:dyDescent="0.25">
      <c r="A79" t="str">
        <f>SCALARS!A79</f>
        <v>sector</v>
      </c>
      <c r="B79" t="str">
        <f>SCALARS!B79</f>
        <v>staples</v>
      </c>
      <c r="C79" t="str">
        <f>SCALARS!C79</f>
        <v>VDC</v>
      </c>
      <c r="D79" t="str">
        <f>SCALARS!D79</f>
        <v>IBKR</v>
      </c>
      <c r="E79" t="str">
        <f>SCALARS!E79</f>
        <v>VDC</v>
      </c>
      <c r="F79" s="231">
        <f>SCALARS!F79</f>
        <v>1</v>
      </c>
      <c r="G79" s="231">
        <f>SCALARS!G79</f>
        <v>0</v>
      </c>
      <c r="H79" s="230" t="b">
        <v>0</v>
      </c>
    </row>
    <row r="80" spans="1:8" x14ac:dyDescent="0.25">
      <c r="A80" t="str">
        <f>SCALARS!A80</f>
        <v>sector</v>
      </c>
      <c r="B80" t="str">
        <f>SCALARS!B80</f>
        <v>staples</v>
      </c>
      <c r="C80" t="str">
        <f>SCALARS!C80</f>
        <v>IYK</v>
      </c>
      <c r="D80" t="str">
        <f>SCALARS!D80</f>
        <v>IBKR</v>
      </c>
      <c r="E80" t="str">
        <f>SCALARS!E80</f>
        <v>XLP</v>
      </c>
      <c r="F80" s="231">
        <f>SCALARS!F80</f>
        <v>1.1367672048632467</v>
      </c>
      <c r="G80" s="231">
        <f>SCALARS!G80</f>
        <v>0.43650299999999997</v>
      </c>
      <c r="H80" s="230" t="b">
        <v>0</v>
      </c>
    </row>
    <row r="81" spans="1:13" x14ac:dyDescent="0.25">
      <c r="A81" t="str">
        <f>SCALARS!A81</f>
        <v>sector</v>
      </c>
      <c r="B81" t="str">
        <f>SCALARS!B81</f>
        <v>staples</v>
      </c>
      <c r="C81" t="str">
        <f>SCALARS!C81</f>
        <v>XLP</v>
      </c>
      <c r="D81" t="str">
        <f>SCALARS!D81</f>
        <v>IBKR</v>
      </c>
      <c r="E81" t="str">
        <f>SCALARS!E81</f>
        <v>XLP</v>
      </c>
      <c r="F81" s="231">
        <f>SCALARS!F81</f>
        <v>1</v>
      </c>
      <c r="G81" s="231">
        <f>SCALARS!G81</f>
        <v>0</v>
      </c>
      <c r="H81" s="230" t="b">
        <v>0</v>
      </c>
    </row>
    <row r="82" spans="1:13" x14ac:dyDescent="0.25">
      <c r="A82" t="str">
        <f>SCALARS!A82</f>
        <v>sector</v>
      </c>
      <c r="B82" t="str">
        <f>SCALARS!B82</f>
        <v>technology</v>
      </c>
      <c r="C82" t="str">
        <f>SCALARS!C82</f>
        <v>FTEC</v>
      </c>
      <c r="D82" t="str">
        <f>SCALARS!D82</f>
        <v>IBKR</v>
      </c>
      <c r="E82" t="str">
        <f>SCALARS!E82</f>
        <v>FTEC</v>
      </c>
      <c r="F82" s="231">
        <f>SCALARS!F82</f>
        <v>1</v>
      </c>
      <c r="G82" s="231">
        <f>SCALARS!G82</f>
        <v>0</v>
      </c>
      <c r="H82" s="230" t="b">
        <v>0</v>
      </c>
    </row>
    <row r="83" spans="1:13" x14ac:dyDescent="0.25">
      <c r="A83" t="str">
        <f>SCALARS!A83</f>
        <v>sector</v>
      </c>
      <c r="B83" t="str">
        <f>SCALARS!B83</f>
        <v>technology</v>
      </c>
      <c r="C83" t="str">
        <f>SCALARS!C83</f>
        <v>VGT</v>
      </c>
      <c r="D83" t="str">
        <f>SCALARS!D83</f>
        <v>IBKR</v>
      </c>
      <c r="E83" t="str">
        <f>SCALARS!E83</f>
        <v>FTEC</v>
      </c>
      <c r="F83" s="231">
        <f>SCALARS!F83</f>
        <v>2.3865371416572874</v>
      </c>
      <c r="G83" s="231">
        <f>SCALARS!G83</f>
        <v>0</v>
      </c>
      <c r="H83" s="230" t="b">
        <v>0</v>
      </c>
    </row>
    <row r="84" spans="1:13" x14ac:dyDescent="0.25">
      <c r="A84" t="str">
        <f>SCALARS!A84</f>
        <v>sector</v>
      </c>
      <c r="B84" t="str">
        <f>SCALARS!B84</f>
        <v>technology</v>
      </c>
      <c r="C84" t="str">
        <f>SCALARS!C84</f>
        <v>IYW</v>
      </c>
      <c r="D84" t="str">
        <f>SCALARS!D84</f>
        <v>IBKR</v>
      </c>
      <c r="E84" t="str">
        <f>SCALARS!E84</f>
        <v>IYW</v>
      </c>
      <c r="F84" s="231">
        <f>SCALARS!F84</f>
        <v>1</v>
      </c>
      <c r="G84" s="231">
        <f>SCALARS!G84</f>
        <v>4.9132000000000002E-2</v>
      </c>
      <c r="H84" s="230" t="b">
        <v>0</v>
      </c>
    </row>
    <row r="85" spans="1:13" x14ac:dyDescent="0.25">
      <c r="A85" t="str">
        <f>SCALARS!A85</f>
        <v>sector</v>
      </c>
      <c r="B85" t="str">
        <f>SCALARS!B85</f>
        <v>technology</v>
      </c>
      <c r="C85" t="str">
        <f>SCALARS!C85</f>
        <v>XLK</v>
      </c>
      <c r="D85" t="str">
        <f>SCALARS!D85</f>
        <v>IBKR</v>
      </c>
      <c r="E85" t="str">
        <f>SCALARS!E85</f>
        <v>IYW</v>
      </c>
      <c r="F85" s="231">
        <f>SCALARS!F85</f>
        <v>1.3521166053341065</v>
      </c>
      <c r="G85" s="231">
        <f>SCALARS!G85</f>
        <v>0</v>
      </c>
      <c r="H85" s="230" t="b">
        <v>0</v>
      </c>
    </row>
    <row r="86" spans="1:13" x14ac:dyDescent="0.25">
      <c r="A86" t="str">
        <f>SCALARS!A86</f>
        <v>sector</v>
      </c>
      <c r="B86" t="str">
        <f>SCALARS!B86</f>
        <v>utilities</v>
      </c>
      <c r="C86" t="str">
        <f>SCALARS!C86</f>
        <v>IDU</v>
      </c>
      <c r="D86" t="str">
        <f>SCALARS!D86</f>
        <v>IBKR</v>
      </c>
      <c r="E86" t="str">
        <f>SCALARS!E86</f>
        <v>IDU</v>
      </c>
      <c r="F86" s="231">
        <f>SCALARS!F86</f>
        <v>1</v>
      </c>
      <c r="G86" s="231">
        <f>SCALARS!G86</f>
        <v>0.64697700000000002</v>
      </c>
      <c r="H86" s="230" t="b">
        <v>0</v>
      </c>
    </row>
    <row r="87" spans="1:13" x14ac:dyDescent="0.25">
      <c r="A87" t="str">
        <f>SCALARS!A87</f>
        <v>sector</v>
      </c>
      <c r="B87" t="str">
        <f>SCALARS!B87</f>
        <v>utilities</v>
      </c>
      <c r="C87" t="str">
        <f>SCALARS!C87</f>
        <v>XLU</v>
      </c>
      <c r="D87" t="str">
        <f>SCALARS!D87</f>
        <v>IBKR</v>
      </c>
      <c r="E87" t="str">
        <f>SCALARS!E87</f>
        <v>IDU</v>
      </c>
      <c r="F87" s="231">
        <f>SCALARS!F87</f>
        <v>2.545069807027899</v>
      </c>
      <c r="G87" s="231">
        <f>SCALARS!G87</f>
        <v>0</v>
      </c>
      <c r="H87" s="230" t="b">
        <v>0</v>
      </c>
    </row>
    <row r="88" spans="1:13" x14ac:dyDescent="0.25">
      <c r="A88" t="str">
        <f>SCALARS!A88</f>
        <v>sector</v>
      </c>
      <c r="B88" t="str">
        <f>SCALARS!B88</f>
        <v>utilities</v>
      </c>
      <c r="C88" t="str">
        <f>SCALARS!C88</f>
        <v>FUTY</v>
      </c>
      <c r="D88" t="str">
        <f>SCALARS!D88</f>
        <v>IBKR</v>
      </c>
      <c r="E88" t="str">
        <f>SCALARS!E88</f>
        <v>VPU</v>
      </c>
      <c r="F88" s="231">
        <f>SCALARS!F88</f>
        <v>3.3499325666336746</v>
      </c>
      <c r="G88" s="231">
        <f>SCALARS!G88</f>
        <v>0</v>
      </c>
      <c r="H88" s="230" t="b">
        <v>0</v>
      </c>
    </row>
    <row r="89" spans="1:13" x14ac:dyDescent="0.25">
      <c r="A89" t="str">
        <f>SCALARS!A89</f>
        <v>sector</v>
      </c>
      <c r="B89" t="str">
        <f>SCALARS!B89</f>
        <v>utilities</v>
      </c>
      <c r="C89" t="str">
        <f>SCALARS!C89</f>
        <v>VPU</v>
      </c>
      <c r="D89" t="str">
        <f>SCALARS!D89</f>
        <v>IBKR</v>
      </c>
      <c r="E89" t="str">
        <f>SCALARS!E89</f>
        <v>VPU</v>
      </c>
      <c r="F89" s="231">
        <f>SCALARS!F89</f>
        <v>1</v>
      </c>
      <c r="G89" s="231">
        <f>SCALARS!G89</f>
        <v>0</v>
      </c>
      <c r="H89" s="230" t="b">
        <v>0</v>
      </c>
    </row>
    <row r="90" spans="1:13" x14ac:dyDescent="0.25">
      <c r="F90" s="231"/>
      <c r="G90" s="231"/>
      <c r="J90" s="293"/>
      <c r="K90" s="294"/>
      <c r="L90" s="295"/>
      <c r="M90" s="295"/>
    </row>
    <row r="91" spans="1:13" x14ac:dyDescent="0.25">
      <c r="F91" s="231"/>
      <c r="G91" s="231"/>
      <c r="J91" s="293"/>
      <c r="K91" s="294"/>
      <c r="L91" s="295"/>
      <c r="M91" s="295"/>
    </row>
    <row r="92" spans="1:13" x14ac:dyDescent="0.25">
      <c r="F92" s="231"/>
      <c r="G92" s="231"/>
      <c r="J92" s="293"/>
      <c r="K92" s="294"/>
      <c r="L92" s="295"/>
      <c r="M92" s="295"/>
    </row>
    <row r="93" spans="1:13" x14ac:dyDescent="0.25">
      <c r="F93" s="231"/>
      <c r="G93" s="231"/>
      <c r="J93" s="293"/>
      <c r="K93" s="294"/>
      <c r="L93" s="295"/>
      <c r="M93" s="295"/>
    </row>
    <row r="94" spans="1:13" x14ac:dyDescent="0.25">
      <c r="F94" s="231"/>
      <c r="G94" s="231"/>
      <c r="J94" s="293"/>
      <c r="K94" s="294"/>
      <c r="L94" s="295"/>
      <c r="M94" s="295"/>
    </row>
    <row r="95" spans="1:13" x14ac:dyDescent="0.25">
      <c r="F95" s="231"/>
      <c r="G95" s="231"/>
      <c r="J95" s="293"/>
      <c r="K95" s="294"/>
      <c r="L95" s="295"/>
      <c r="M95" s="295"/>
    </row>
    <row r="96" spans="1:13" x14ac:dyDescent="0.25">
      <c r="F96" s="231"/>
      <c r="G96" s="231"/>
      <c r="J96" s="293"/>
      <c r="K96" s="294"/>
      <c r="L96" s="295"/>
      <c r="M96" s="295"/>
    </row>
    <row r="97" spans="10:13" x14ac:dyDescent="0.25">
      <c r="J97" s="293"/>
      <c r="K97" s="294"/>
      <c r="L97" s="295"/>
      <c r="M97" s="295"/>
    </row>
    <row r="98" spans="10:13" x14ac:dyDescent="0.25">
      <c r="J98" s="293"/>
      <c r="K98" s="294"/>
      <c r="L98" s="295"/>
      <c r="M98" s="295"/>
    </row>
    <row r="99" spans="10:13" x14ac:dyDescent="0.25">
      <c r="J99" s="293"/>
      <c r="K99" s="294"/>
      <c r="L99" s="295"/>
      <c r="M99" s="295"/>
    </row>
    <row r="100" spans="10:13" x14ac:dyDescent="0.25">
      <c r="J100" s="293"/>
      <c r="K100" s="294"/>
      <c r="L100" s="295"/>
      <c r="M100" s="295"/>
    </row>
    <row r="101" spans="10:13" x14ac:dyDescent="0.25">
      <c r="J101" s="293"/>
      <c r="K101" s="294"/>
      <c r="L101" s="295"/>
      <c r="M101" s="295"/>
    </row>
    <row r="102" spans="10:13" x14ac:dyDescent="0.25">
      <c r="J102" s="293"/>
      <c r="K102" s="294"/>
      <c r="L102" s="295"/>
      <c r="M102" s="295"/>
    </row>
    <row r="103" spans="10:13" x14ac:dyDescent="0.25">
      <c r="J103" s="293"/>
      <c r="K103" s="294"/>
      <c r="L103" s="295"/>
      <c r="M103" s="295"/>
    </row>
  </sheetData>
  <conditionalFormatting sqref="H1:H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ADMIN INPUTS</vt:lpstr>
      <vt:lpstr>ANCHOR INPUTS</vt:lpstr>
      <vt:lpstr>SCALARS</vt:lpstr>
      <vt:lpstr>MKT DATA</vt:lpstr>
      <vt:lpstr>FIXED INCOME</vt:lpstr>
      <vt:lpstr>SECTORS</vt:lpstr>
      <vt:lpstr>OTHER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2026-09-18T03:39:07Z</dcterms:modified>
</cp:coreProperties>
</file>