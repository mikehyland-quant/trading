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66718583-DA6F-4C1D-BC37-3D6531CD5736}" xr6:coauthVersionLast="47" xr6:coauthVersionMax="47" xr10:uidLastSave="{00000000-0000-0000-0000-000000000000}"/>
  <bookViews>
    <workbookView xWindow="28680" yWindow="-120" windowWidth="29040" windowHeight="15720" tabRatio="628" activeTab="1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4" l="1"/>
  <c r="B24" i="4"/>
  <c r="G37" i="9"/>
  <c r="G36" i="9"/>
  <c r="G35" i="9"/>
  <c r="G34" i="9"/>
  <c r="G33" i="9"/>
  <c r="G32" i="9"/>
  <c r="G31" i="9"/>
  <c r="G30" i="9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I36" i="9"/>
  <c r="I35" i="9"/>
  <c r="I34" i="9"/>
  <c r="I31" i="9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L2072" i="1" l="1"/>
  <c r="L2565" i="1"/>
  <c r="L2443" i="1"/>
  <c r="L2321" i="1"/>
  <c r="L2139" i="1"/>
  <c r="K2094" i="1"/>
  <c r="K2089" i="1"/>
  <c r="J8" i="5" l="1"/>
  <c r="J7" i="5"/>
  <c r="J6" i="5"/>
  <c r="J5" i="5"/>
  <c r="J4" i="5"/>
  <c r="J3" i="5"/>
  <c r="H34" i="6" l="1"/>
  <c r="H35" i="6"/>
  <c r="H3" i="5" s="1"/>
  <c r="H36" i="6"/>
  <c r="H4" i="5" s="1"/>
  <c r="H37" i="6"/>
  <c r="H38" i="6"/>
  <c r="H6" i="5" s="1"/>
  <c r="H39" i="6"/>
  <c r="H7" i="5" s="1"/>
  <c r="H18" i="6"/>
  <c r="H19" i="6"/>
  <c r="E6" i="5" s="1"/>
  <c r="F6" i="5" s="1"/>
  <c r="L2509" i="1" s="1"/>
  <c r="H20" i="6"/>
  <c r="E7" i="5" s="1"/>
  <c r="F7" i="5" s="1"/>
  <c r="L2540" i="1" s="1"/>
  <c r="H2" i="6"/>
  <c r="H3" i="6"/>
  <c r="B6" i="5" s="1"/>
  <c r="H4" i="6"/>
  <c r="B7" i="5" s="1"/>
  <c r="H5" i="6"/>
  <c r="I5" i="6" s="1"/>
  <c r="B5" i="7" a="1"/>
  <c r="B41" i="9" l="1"/>
  <c r="I7" i="5"/>
  <c r="C41" i="9" s="1"/>
  <c r="I4" i="5"/>
  <c r="C38" i="9" s="1"/>
  <c r="B38" i="9"/>
  <c r="I6" i="5"/>
  <c r="C40" i="9" s="1"/>
  <c r="B40" i="9"/>
  <c r="I3" i="5"/>
  <c r="C37" i="9" s="1"/>
  <c r="B37" i="9"/>
  <c r="D7" i="5"/>
  <c r="C7" i="5"/>
  <c r="K2540" i="1" s="1"/>
  <c r="Q7" i="5" s="1"/>
  <c r="L2538" i="1"/>
  <c r="B2529" i="1" s="1"/>
  <c r="L2507" i="1" s="1"/>
  <c r="D6" i="5"/>
  <c r="C6" i="5"/>
  <c r="K2509" i="1" s="1"/>
  <c r="I18" i="6"/>
  <c r="E5" i="5"/>
  <c r="F5" i="5" s="1"/>
  <c r="L2479" i="1" s="1"/>
  <c r="L2236" i="1"/>
  <c r="B8" i="5"/>
  <c r="E8" i="5"/>
  <c r="F8" i="5" s="1"/>
  <c r="L2570" i="1" s="1"/>
  <c r="L2448" i="1"/>
  <c r="L2326" i="1"/>
  <c r="I39" i="6"/>
  <c r="I35" i="6"/>
  <c r="I3" i="6"/>
  <c r="I19" i="6"/>
  <c r="I2" i="6"/>
  <c r="B5" i="5"/>
  <c r="L2356" i="1"/>
  <c r="I36" i="6"/>
  <c r="I4" i="6"/>
  <c r="I20" i="6"/>
  <c r="L2417" i="1"/>
  <c r="L2295" i="1"/>
  <c r="I38" i="6"/>
  <c r="I34" i="6"/>
  <c r="L2387" i="1"/>
  <c r="L2267" i="1"/>
  <c r="I37" i="6"/>
  <c r="H5" i="5"/>
  <c r="I5" i="5" s="1"/>
  <c r="L2551" i="1"/>
  <c r="L2546" i="1"/>
  <c r="C39" i="9" l="1"/>
  <c r="B39" i="9"/>
  <c r="B2528" i="1"/>
  <c r="B2526" i="1"/>
  <c r="B2527" i="1"/>
  <c r="K2538" i="1"/>
  <c r="A2529" i="1" s="1"/>
  <c r="K2507" i="1" s="1"/>
  <c r="R6" i="5" s="1"/>
  <c r="L2446" i="1"/>
  <c r="L2354" i="1"/>
  <c r="L2265" i="1"/>
  <c r="C5" i="5"/>
  <c r="K2479" i="1" s="1"/>
  <c r="D5" i="5"/>
  <c r="K2448" i="1"/>
  <c r="K2417" i="1"/>
  <c r="K2387" i="1"/>
  <c r="C8" i="5"/>
  <c r="K2570" i="1" s="1"/>
  <c r="D8" i="5"/>
  <c r="K2356" i="1"/>
  <c r="L2362" i="1"/>
  <c r="L2278" i="1"/>
  <c r="K2551" i="1"/>
  <c r="K2546" i="1"/>
  <c r="L2273" i="1"/>
  <c r="L2459" i="1"/>
  <c r="L2367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I30" i="9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I26" i="9" l="1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8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O3" i="4"/>
  <c r="O4" i="4" s="1"/>
  <c r="O5" i="4" s="1"/>
  <c r="O6" i="4" s="1"/>
  <c r="O7" i="4" s="1"/>
  <c r="D4" i="4"/>
  <c r="E4" i="4" l="1"/>
  <c r="D24" i="4"/>
  <c r="K2205" i="1"/>
  <c r="K1908" i="1"/>
  <c r="O8" i="4"/>
  <c r="O9" i="4" s="1"/>
  <c r="O10" i="4" s="1"/>
  <c r="O11" i="4" s="1"/>
  <c r="O12" i="4" s="1"/>
  <c r="O13" i="4" s="1"/>
  <c r="K1861" i="1"/>
  <c r="C1864" i="1"/>
  <c r="M1864" i="1" s="1"/>
  <c r="F1863" i="1"/>
  <c r="H40" i="6"/>
  <c r="H8" i="5" s="1"/>
  <c r="L1038" i="1"/>
  <c r="L1008" i="1"/>
  <c r="L977" i="1"/>
  <c r="L946" i="1"/>
  <c r="L916" i="1"/>
  <c r="L885" i="1"/>
  <c r="L855" i="1"/>
  <c r="L824" i="1"/>
  <c r="L765" i="1"/>
  <c r="L3" i="1"/>
  <c r="E24" i="4" l="1"/>
  <c r="F4" i="4"/>
  <c r="I8" i="5"/>
  <c r="C42" i="9" s="1"/>
  <c r="B42" i="9"/>
  <c r="K1877" i="1"/>
  <c r="K2" i="1"/>
  <c r="K4" i="1" s="1"/>
  <c r="L4" i="1" s="1"/>
  <c r="L7" i="1" s="1"/>
  <c r="I40" i="6"/>
  <c r="L1861" i="1"/>
  <c r="L1878" i="1" s="1"/>
  <c r="L1879" i="1" s="1"/>
  <c r="L1881" i="1" s="1"/>
  <c r="K1862" i="1"/>
  <c r="K1878" i="1"/>
  <c r="C1865" i="1"/>
  <c r="M1865" i="1" s="1"/>
  <c r="F1864" i="1"/>
  <c r="F24" i="4" l="1"/>
  <c r="G4" i="4"/>
  <c r="K1879" i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H4" i="4" l="1"/>
  <c r="G24" i="4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K1882" i="1"/>
  <c r="L9" i="1"/>
  <c r="K9" i="1"/>
  <c r="H24" i="4" l="1"/>
  <c r="I4" i="4"/>
  <c r="K1890" i="1"/>
  <c r="C1868" i="1"/>
  <c r="M1868" i="1" s="1"/>
  <c r="F1867" i="1"/>
  <c r="L1873" i="1"/>
  <c r="L1882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L1902" i="1" l="1"/>
  <c r="L1900" i="1"/>
  <c r="C1895" i="1"/>
  <c r="M1895" i="1" s="1"/>
  <c r="F1894" i="1"/>
  <c r="M26" i="1"/>
  <c r="N26" i="1" s="1"/>
  <c r="C27" i="1"/>
  <c r="F26" i="1"/>
  <c r="K1913" i="1"/>
  <c r="K1904" i="1"/>
  <c r="K1916" i="1" l="1"/>
  <c r="C1896" i="1"/>
  <c r="M1896" i="1" s="1"/>
  <c r="F1895" i="1"/>
  <c r="M27" i="1"/>
  <c r="N27" i="1" s="1"/>
  <c r="C28" i="1"/>
  <c r="F27" i="1"/>
  <c r="L1913" i="1"/>
  <c r="L1904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K10" i="1"/>
  <c r="L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C1904" i="1" l="1"/>
  <c r="F1903" i="1"/>
  <c r="L37" i="1"/>
  <c r="L38" i="1"/>
  <c r="M35" i="1"/>
  <c r="N35" i="1" s="1"/>
  <c r="C36" i="1"/>
  <c r="F35" i="1"/>
  <c r="K40" i="1"/>
  <c r="C1905" i="1" l="1"/>
  <c r="M1905" i="1" s="1"/>
  <c r="F1904" i="1"/>
  <c r="M36" i="1"/>
  <c r="N36" i="1" s="1"/>
  <c r="C37" i="1"/>
  <c r="F36" i="1"/>
  <c r="L40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L1930" i="1" l="1"/>
  <c r="L1928" i="1"/>
  <c r="C1923" i="1"/>
  <c r="M1923" i="1" s="1"/>
  <c r="F1922" i="1"/>
  <c r="M54" i="1"/>
  <c r="N54" i="1" s="1"/>
  <c r="C55" i="1"/>
  <c r="F54" i="1"/>
  <c r="K1941" i="1"/>
  <c r="K1932" i="1"/>
  <c r="K1949" i="1" l="1"/>
  <c r="C1924" i="1"/>
  <c r="M1924" i="1" s="1"/>
  <c r="F1923" i="1"/>
  <c r="M55" i="1"/>
  <c r="N55" i="1" s="1"/>
  <c r="C56" i="1"/>
  <c r="F55" i="1"/>
  <c r="L1941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K41" i="1"/>
  <c r="L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C1935" i="1" l="1"/>
  <c r="M1935" i="1" s="1"/>
  <c r="F1934" i="1"/>
  <c r="L68" i="1"/>
  <c r="L69" i="1"/>
  <c r="M66" i="1"/>
  <c r="N66" i="1" s="1"/>
  <c r="C67" i="1"/>
  <c r="F66" i="1"/>
  <c r="K71" i="1"/>
  <c r="C1936" i="1" l="1"/>
  <c r="M1936" i="1" s="1"/>
  <c r="F1935" i="1"/>
  <c r="M67" i="1"/>
  <c r="N67" i="1" s="1"/>
  <c r="F67" i="1"/>
  <c r="C68" i="1"/>
  <c r="L71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L1959" i="1" l="1"/>
  <c r="L1961" i="1"/>
  <c r="C1954" i="1"/>
  <c r="M1954" i="1" s="1"/>
  <c r="F1953" i="1"/>
  <c r="M85" i="1"/>
  <c r="N85" i="1" s="1"/>
  <c r="F85" i="1"/>
  <c r="C86" i="1"/>
  <c r="K1963" i="1"/>
  <c r="K1972" i="1"/>
  <c r="K1979" i="1" l="1"/>
  <c r="C1955" i="1"/>
  <c r="M1955" i="1" s="1"/>
  <c r="F1954" i="1"/>
  <c r="M86" i="1"/>
  <c r="N86" i="1" s="1"/>
  <c r="C87" i="1"/>
  <c r="F86" i="1"/>
  <c r="L1972" i="1"/>
  <c r="L1963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C1964" i="1" l="1"/>
  <c r="M1964" i="1" s="1"/>
  <c r="F1963" i="1"/>
  <c r="L97" i="1"/>
  <c r="L98" i="1"/>
  <c r="M95" i="1"/>
  <c r="N95" i="1" s="1"/>
  <c r="F95" i="1"/>
  <c r="C96" i="1"/>
  <c r="K100" i="1"/>
  <c r="C1965" i="1" l="1"/>
  <c r="M1965" i="1" s="1"/>
  <c r="F1964" i="1"/>
  <c r="M96" i="1"/>
  <c r="N96" i="1" s="1"/>
  <c r="C97" i="1"/>
  <c r="F96" i="1"/>
  <c r="L100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L1991" i="1" l="1"/>
  <c r="L1989" i="1"/>
  <c r="C1984" i="1"/>
  <c r="M1984" i="1" s="1"/>
  <c r="F1983" i="1"/>
  <c r="M115" i="1"/>
  <c r="N115" i="1" s="1"/>
  <c r="F115" i="1"/>
  <c r="C116" i="1"/>
  <c r="K1993" i="1"/>
  <c r="K2002" i="1"/>
  <c r="K2010" i="1" l="1"/>
  <c r="C1985" i="1"/>
  <c r="M1985" i="1" s="1"/>
  <c r="F1984" i="1"/>
  <c r="M116" i="1"/>
  <c r="N116" i="1" s="1"/>
  <c r="C117" i="1"/>
  <c r="F116" i="1"/>
  <c r="L1993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C1995" i="1" l="1"/>
  <c r="M1995" i="1" s="1"/>
  <c r="F1994" i="1"/>
  <c r="L128" i="1"/>
  <c r="L129" i="1"/>
  <c r="M126" i="1"/>
  <c r="N126" i="1" s="1"/>
  <c r="C127" i="1"/>
  <c r="F126" i="1"/>
  <c r="K131" i="1"/>
  <c r="C1996" i="1" l="1"/>
  <c r="M1996" i="1" s="1"/>
  <c r="F1995" i="1"/>
  <c r="M127" i="1"/>
  <c r="N127" i="1" s="1"/>
  <c r="F127" i="1"/>
  <c r="C128" i="1"/>
  <c r="L131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L2022" i="1" l="1"/>
  <c r="L2020" i="1"/>
  <c r="C2015" i="1"/>
  <c r="M2015" i="1" s="1"/>
  <c r="F2014" i="1"/>
  <c r="M146" i="1"/>
  <c r="N146" i="1" s="1"/>
  <c r="F146" i="1"/>
  <c r="C147" i="1"/>
  <c r="K2024" i="1"/>
  <c r="K2033" i="1"/>
  <c r="K2040" i="1" l="1"/>
  <c r="C2016" i="1"/>
  <c r="M2016" i="1" s="1"/>
  <c r="F2015" i="1"/>
  <c r="M147" i="1"/>
  <c r="N147" i="1" s="1"/>
  <c r="F147" i="1"/>
  <c r="C148" i="1"/>
  <c r="L2033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C2025" i="1" l="1"/>
  <c r="M2025" i="1" s="1"/>
  <c r="F2024" i="1"/>
  <c r="L158" i="1"/>
  <c r="L159" i="1"/>
  <c r="M156" i="1"/>
  <c r="N156" i="1" s="1"/>
  <c r="C157" i="1"/>
  <c r="F156" i="1"/>
  <c r="K161" i="1"/>
  <c r="C2026" i="1" l="1"/>
  <c r="M2026" i="1" s="1"/>
  <c r="F2025" i="1"/>
  <c r="M157" i="1"/>
  <c r="N157" i="1" s="1"/>
  <c r="F157" i="1"/>
  <c r="C158" i="1"/>
  <c r="L161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L2052" i="1" l="1"/>
  <c r="L2050" i="1"/>
  <c r="F2044" i="1"/>
  <c r="C2045" i="1"/>
  <c r="M176" i="1"/>
  <c r="N176" i="1" s="1"/>
  <c r="C177" i="1"/>
  <c r="F176" i="1"/>
  <c r="K2054" i="1"/>
  <c r="K2063" i="1"/>
  <c r="K2071" i="1" l="1"/>
  <c r="C2046" i="1"/>
  <c r="F2045" i="1"/>
  <c r="M177" i="1"/>
  <c r="N177" i="1" s="1"/>
  <c r="C178" i="1"/>
  <c r="F177" i="1"/>
  <c r="L2054" i="1"/>
  <c r="L2063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C2056" i="1" l="1"/>
  <c r="M2056" i="1" s="1"/>
  <c r="F2055" i="1"/>
  <c r="L190" i="1"/>
  <c r="L189" i="1"/>
  <c r="M187" i="1"/>
  <c r="N187" i="1" s="1"/>
  <c r="C188" i="1"/>
  <c r="F187" i="1"/>
  <c r="K192" i="1"/>
  <c r="C2057" i="1" l="1"/>
  <c r="M2057" i="1" s="1"/>
  <c r="F2056" i="1"/>
  <c r="M188" i="1"/>
  <c r="N188" i="1" s="1"/>
  <c r="C189" i="1"/>
  <c r="F188" i="1"/>
  <c r="L192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L2077" i="1" l="1"/>
  <c r="L2079" i="1"/>
  <c r="L2087" i="1"/>
  <c r="C2076" i="1"/>
  <c r="M2076" i="1" s="1"/>
  <c r="F2075" i="1"/>
  <c r="M207" i="1"/>
  <c r="N207" i="1" s="1"/>
  <c r="F207" i="1"/>
  <c r="C208" i="1"/>
  <c r="K2093" i="1"/>
  <c r="C2077" i="1" l="1"/>
  <c r="M2077" i="1" s="1"/>
  <c r="F2076" i="1"/>
  <c r="M208" i="1"/>
  <c r="N208" i="1" s="1"/>
  <c r="C209" i="1"/>
  <c r="F208" i="1"/>
  <c r="L2093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5" i="1"/>
  <c r="L2120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K193" i="1"/>
  <c r="L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C2086" i="1" l="1"/>
  <c r="M2086" i="1" s="1"/>
  <c r="F2085" i="1"/>
  <c r="L219" i="1"/>
  <c r="L220" i="1"/>
  <c r="M217" i="1"/>
  <c r="N217" i="1" s="1"/>
  <c r="F217" i="1"/>
  <c r="C218" i="1"/>
  <c r="K222" i="1"/>
  <c r="C2087" i="1" l="1"/>
  <c r="M2087" i="1" s="1"/>
  <c r="F2086" i="1"/>
  <c r="M218" i="1"/>
  <c r="N218" i="1" s="1"/>
  <c r="C219" i="1"/>
  <c r="F218" i="1"/>
  <c r="L222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L2110" i="1" l="1"/>
  <c r="L2108" i="1"/>
  <c r="C2106" i="1"/>
  <c r="M2106" i="1" s="1"/>
  <c r="F2105" i="1"/>
  <c r="M237" i="1"/>
  <c r="N237" i="1" s="1"/>
  <c r="C238" i="1"/>
  <c r="F237" i="1"/>
  <c r="K2124" i="1"/>
  <c r="K2119" i="1"/>
  <c r="C2107" i="1" l="1"/>
  <c r="M2107" i="1" s="1"/>
  <c r="F2106" i="1"/>
  <c r="M238" i="1"/>
  <c r="N238" i="1" s="1"/>
  <c r="F238" i="1"/>
  <c r="C239" i="1"/>
  <c r="L2124" i="1"/>
  <c r="L2119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C2117" i="1" l="1"/>
  <c r="M2117" i="1" s="1"/>
  <c r="F2116" i="1"/>
  <c r="L250" i="1"/>
  <c r="L251" i="1"/>
  <c r="M248" i="1"/>
  <c r="N248" i="1" s="1"/>
  <c r="C249" i="1"/>
  <c r="F248" i="1"/>
  <c r="K253" i="1"/>
  <c r="C2118" i="1" l="1"/>
  <c r="M2118" i="1" s="1"/>
  <c r="F2117" i="1"/>
  <c r="M249" i="1"/>
  <c r="N249" i="1" s="1"/>
  <c r="F249" i="1"/>
  <c r="C250" i="1"/>
  <c r="L253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L2140" i="1" l="1"/>
  <c r="L2138" i="1"/>
  <c r="C2136" i="1"/>
  <c r="M2136" i="1" s="1"/>
  <c r="F2135" i="1"/>
  <c r="M267" i="1"/>
  <c r="N267" i="1" s="1"/>
  <c r="F267" i="1"/>
  <c r="C268" i="1"/>
  <c r="K2149" i="1"/>
  <c r="K2150" i="1"/>
  <c r="K2155" i="1"/>
  <c r="K2154" i="1"/>
  <c r="C2137" i="1" l="1"/>
  <c r="M2137" i="1" s="1"/>
  <c r="F2136" i="1"/>
  <c r="M268" i="1"/>
  <c r="N268" i="1" s="1"/>
  <c r="C269" i="1"/>
  <c r="F268" i="1"/>
  <c r="L2149" i="1"/>
  <c r="L2150" i="1"/>
  <c r="L2155" i="1"/>
  <c r="L2154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L254" i="1"/>
  <c r="K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C2148" i="1" l="1"/>
  <c r="M2148" i="1" s="1"/>
  <c r="F2147" i="1"/>
  <c r="L281" i="1"/>
  <c r="L282" i="1"/>
  <c r="M279" i="1"/>
  <c r="N279" i="1" s="1"/>
  <c r="C280" i="1"/>
  <c r="F279" i="1"/>
  <c r="K284" i="1"/>
  <c r="C2149" i="1" l="1"/>
  <c r="M2149" i="1" s="1"/>
  <c r="F2148" i="1"/>
  <c r="M280" i="1"/>
  <c r="N280" i="1" s="1"/>
  <c r="C281" i="1"/>
  <c r="F280" i="1"/>
  <c r="L284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L2169" i="1" l="1"/>
  <c r="L2171" i="1"/>
  <c r="C2167" i="1"/>
  <c r="M2167" i="1" s="1"/>
  <c r="F2166" i="1"/>
  <c r="M298" i="1"/>
  <c r="N298" i="1" s="1"/>
  <c r="C299" i="1"/>
  <c r="F298" i="1"/>
  <c r="K2180" i="1"/>
  <c r="K2185" i="1"/>
  <c r="K2182" i="1" l="1"/>
  <c r="K2189" i="1" s="1"/>
  <c r="C2168" i="1"/>
  <c r="M2168" i="1" s="1"/>
  <c r="F2167" i="1"/>
  <c r="M299" i="1"/>
  <c r="N299" i="1" s="1"/>
  <c r="F299" i="1"/>
  <c r="C300" i="1"/>
  <c r="L2180" i="1"/>
  <c r="L2185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K285" i="1"/>
  <c r="L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C2178" i="1" l="1"/>
  <c r="M2178" i="1" s="1"/>
  <c r="F2177" i="1"/>
  <c r="L311" i="1"/>
  <c r="L312" i="1"/>
  <c r="M309" i="1"/>
  <c r="N309" i="1" s="1"/>
  <c r="F309" i="1"/>
  <c r="C310" i="1"/>
  <c r="K314" i="1"/>
  <c r="C2179" i="1" l="1"/>
  <c r="M2179" i="1" s="1"/>
  <c r="F2178" i="1"/>
  <c r="M310" i="1"/>
  <c r="N310" i="1" s="1"/>
  <c r="F310" i="1"/>
  <c r="C311" i="1"/>
  <c r="L314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L2199" i="1" l="1"/>
  <c r="L2201" i="1"/>
  <c r="C2197" i="1"/>
  <c r="M2197" i="1" s="1"/>
  <c r="F2196" i="1"/>
  <c r="M328" i="1"/>
  <c r="N328" i="1" s="1"/>
  <c r="F328" i="1"/>
  <c r="C329" i="1"/>
  <c r="K2210" i="1"/>
  <c r="K2215" i="1"/>
  <c r="C2198" i="1" l="1"/>
  <c r="M2198" i="1" s="1"/>
  <c r="F2197" i="1"/>
  <c r="M329" i="1"/>
  <c r="N329" i="1" s="1"/>
  <c r="F329" i="1"/>
  <c r="C330" i="1"/>
  <c r="L221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M2208" i="1" l="1"/>
  <c r="C2209" i="1"/>
  <c r="M2209" i="1" s="1"/>
  <c r="F2208" i="1"/>
  <c r="L342" i="1"/>
  <c r="L343" i="1"/>
  <c r="M340" i="1"/>
  <c r="N340" i="1" s="1"/>
  <c r="C341" i="1"/>
  <c r="F340" i="1"/>
  <c r="K345" i="1"/>
  <c r="C2210" i="1" l="1"/>
  <c r="M2210" i="1" s="1"/>
  <c r="F2209" i="1"/>
  <c r="M341" i="1"/>
  <c r="N341" i="1" s="1"/>
  <c r="F341" i="1"/>
  <c r="C342" i="1"/>
  <c r="L345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L2230" i="1" l="1"/>
  <c r="L2232" i="1"/>
  <c r="F2227" i="1"/>
  <c r="M2227" i="1"/>
  <c r="N2227" i="1" s="1"/>
  <c r="C2228" i="1"/>
  <c r="M359" i="1"/>
  <c r="N359" i="1" s="1"/>
  <c r="F359" i="1"/>
  <c r="C360" i="1"/>
  <c r="K2247" i="1"/>
  <c r="K2246" i="1"/>
  <c r="K2241" i="1"/>
  <c r="K2242" i="1"/>
  <c r="K2243" i="1" l="1"/>
  <c r="K2250" i="1" s="1"/>
  <c r="C2229" i="1"/>
  <c r="M2228" i="1"/>
  <c r="N2228" i="1" s="1"/>
  <c r="F2228" i="1"/>
  <c r="M360" i="1"/>
  <c r="N360" i="1" s="1"/>
  <c r="C361" i="1"/>
  <c r="F360" i="1"/>
  <c r="L2241" i="1"/>
  <c r="L2247" i="1"/>
  <c r="L2246" i="1"/>
  <c r="L2242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M2238" i="1" l="1"/>
  <c r="N2238" i="1" s="1"/>
  <c r="C2239" i="1"/>
  <c r="F2238" i="1"/>
  <c r="L372" i="1"/>
  <c r="L373" i="1"/>
  <c r="M370" i="1"/>
  <c r="N370" i="1" s="1"/>
  <c r="C371" i="1"/>
  <c r="F370" i="1"/>
  <c r="K375" i="1"/>
  <c r="M2239" i="1" l="1"/>
  <c r="N2239" i="1" s="1"/>
  <c r="C2240" i="1"/>
  <c r="F2239" i="1"/>
  <c r="M371" i="1"/>
  <c r="N371" i="1" s="1"/>
  <c r="F371" i="1"/>
  <c r="C372" i="1"/>
  <c r="L375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L2261" i="1" l="1"/>
  <c r="L2263" i="1"/>
  <c r="M2258" i="1"/>
  <c r="N2258" i="1" s="1"/>
  <c r="C2259" i="1"/>
  <c r="F2258" i="1"/>
  <c r="M390" i="1"/>
  <c r="N390" i="1" s="1"/>
  <c r="C391" i="1"/>
  <c r="F390" i="1"/>
  <c r="K2272" i="1"/>
  <c r="K2277" i="1"/>
  <c r="K2274" i="1" l="1"/>
  <c r="K2281" i="1" s="1"/>
  <c r="M2259" i="1"/>
  <c r="N2259" i="1" s="1"/>
  <c r="C2260" i="1"/>
  <c r="F2259" i="1"/>
  <c r="F391" i="1"/>
  <c r="C392" i="1"/>
  <c r="L2277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K376" i="1"/>
  <c r="L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M2269" i="1" l="1"/>
  <c r="N2269" i="1" s="1"/>
  <c r="F2269" i="1"/>
  <c r="C2270" i="1"/>
  <c r="L403" i="1"/>
  <c r="L404" i="1"/>
  <c r="F401" i="1"/>
  <c r="M401" i="1"/>
  <c r="N401" i="1" s="1"/>
  <c r="C402" i="1"/>
  <c r="K406" i="1"/>
  <c r="M2270" i="1" l="1"/>
  <c r="N2270" i="1" s="1"/>
  <c r="C2271" i="1"/>
  <c r="F2270" i="1"/>
  <c r="F402" i="1"/>
  <c r="M402" i="1"/>
  <c r="N402" i="1" s="1"/>
  <c r="C403" i="1"/>
  <c r="L406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N2286" i="1" l="1"/>
  <c r="M2287" i="1"/>
  <c r="C2288" i="1"/>
  <c r="F2287" i="1"/>
  <c r="M419" i="1"/>
  <c r="N419" i="1" s="1"/>
  <c r="F419" i="1"/>
  <c r="C420" i="1"/>
  <c r="L2305" i="1"/>
  <c r="K2300" i="1"/>
  <c r="K2305" i="1"/>
  <c r="L2300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M2300" i="1" l="1"/>
  <c r="C2301" i="1"/>
  <c r="F2300" i="1"/>
  <c r="L435" i="1"/>
  <c r="L434" i="1"/>
  <c r="M432" i="1"/>
  <c r="N432" i="1" s="1"/>
  <c r="F432" i="1"/>
  <c r="C433" i="1"/>
  <c r="K437" i="1"/>
  <c r="M2301" i="1" l="1"/>
  <c r="F2301" i="1"/>
  <c r="C2302" i="1"/>
  <c r="M433" i="1"/>
  <c r="N433" i="1" s="1"/>
  <c r="F433" i="1"/>
  <c r="C434" i="1"/>
  <c r="L437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20" i="1" l="1"/>
  <c r="L2317" i="1"/>
  <c r="L2320" i="1" s="1"/>
  <c r="F2317" i="1"/>
  <c r="C2318" i="1"/>
  <c r="M449" i="1"/>
  <c r="N449" i="1" s="1"/>
  <c r="F449" i="1"/>
  <c r="C450" i="1"/>
  <c r="K2332" i="1"/>
  <c r="K2337" i="1"/>
  <c r="L2322" i="1" l="1"/>
  <c r="M2318" i="1"/>
  <c r="F2318" i="1"/>
  <c r="C2319" i="1"/>
  <c r="M450" i="1"/>
  <c r="N450" i="1" s="1"/>
  <c r="F450" i="1"/>
  <c r="C451" i="1"/>
  <c r="K2331" i="1"/>
  <c r="L2336" i="1"/>
  <c r="K2336" i="1"/>
  <c r="L2331" i="1"/>
  <c r="K2333" i="1" l="1"/>
  <c r="M2319" i="1"/>
  <c r="C2320" i="1"/>
  <c r="F2319" i="1"/>
  <c r="M451" i="1"/>
  <c r="N451" i="1" s="1"/>
  <c r="F451" i="1"/>
  <c r="C452" i="1"/>
  <c r="L2337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6" i="1"/>
  <c r="K2301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N2327" i="1" l="1"/>
  <c r="M2328" i="1"/>
  <c r="N2328" i="1" s="1"/>
  <c r="C2329" i="1"/>
  <c r="F2328" i="1"/>
  <c r="L462" i="1"/>
  <c r="L463" i="1"/>
  <c r="M460" i="1"/>
  <c r="N460" i="1" s="1"/>
  <c r="F460" i="1"/>
  <c r="C461" i="1"/>
  <c r="K465" i="1"/>
  <c r="M2329" i="1" l="1"/>
  <c r="C2330" i="1"/>
  <c r="F2329" i="1"/>
  <c r="M461" i="1"/>
  <c r="N461" i="1" s="1"/>
  <c r="F461" i="1"/>
  <c r="C462" i="1"/>
  <c r="L465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L2350" i="1" l="1"/>
  <c r="L2352" i="1"/>
  <c r="M2347" i="1"/>
  <c r="C2348" i="1"/>
  <c r="F2347" i="1"/>
  <c r="M480" i="1"/>
  <c r="N480" i="1" s="1"/>
  <c r="F480" i="1"/>
  <c r="C481" i="1"/>
  <c r="K2361" i="1"/>
  <c r="K2366" i="1"/>
  <c r="K2363" i="1" l="1"/>
  <c r="M2348" i="1"/>
  <c r="C2349" i="1"/>
  <c r="F2348" i="1"/>
  <c r="M481" i="1"/>
  <c r="N481" i="1" s="1"/>
  <c r="F481" i="1"/>
  <c r="C482" i="1"/>
  <c r="L2366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N2357" i="1" l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K496" i="1"/>
  <c r="N2358" i="1" l="1"/>
  <c r="M2359" i="1"/>
  <c r="F2359" i="1"/>
  <c r="C2360" i="1"/>
  <c r="C494" i="1"/>
  <c r="M493" i="1"/>
  <c r="N493" i="1" s="1"/>
  <c r="F493" i="1"/>
  <c r="L496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83" i="1" l="1"/>
  <c r="M2379" i="1"/>
  <c r="F2379" i="1"/>
  <c r="C2380" i="1"/>
  <c r="A6" i="10" s="1"/>
  <c r="B5" i="10" s="1"/>
  <c r="C514" i="1"/>
  <c r="M513" i="1"/>
  <c r="N513" i="1" s="1"/>
  <c r="F513" i="1"/>
  <c r="K2392" i="1"/>
  <c r="L2392" i="1"/>
  <c r="K2397" i="1"/>
  <c r="L2397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L497" i="1"/>
  <c r="K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M2387" i="1" l="1"/>
  <c r="F2387" i="1"/>
  <c r="C2388" i="1"/>
  <c r="A14" i="10" s="1"/>
  <c r="B13" i="10" s="1"/>
  <c r="L524" i="1"/>
  <c r="L523" i="1"/>
  <c r="C522" i="1"/>
  <c r="M521" i="1"/>
  <c r="N521" i="1" s="1"/>
  <c r="F521" i="1"/>
  <c r="K526" i="1"/>
  <c r="M2388" i="1" l="1"/>
  <c r="C2389" i="1"/>
  <c r="A15" i="10" s="1"/>
  <c r="B14" i="10" s="1"/>
  <c r="F2388" i="1"/>
  <c r="C523" i="1"/>
  <c r="M522" i="1"/>
  <c r="N522" i="1" s="1"/>
  <c r="F522" i="1"/>
  <c r="L526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M2409" i="1" l="1"/>
  <c r="F2409" i="1"/>
  <c r="C2410" i="1"/>
  <c r="A36" i="10" s="1"/>
  <c r="B35" i="10" s="1"/>
  <c r="C544" i="1"/>
  <c r="M543" i="1"/>
  <c r="N543" i="1" s="1"/>
  <c r="F543" i="1"/>
  <c r="K2423" i="1"/>
  <c r="L2422" i="1"/>
  <c r="K2428" i="1"/>
  <c r="K2422" i="1"/>
  <c r="L2428" i="1"/>
  <c r="K2427" i="1"/>
  <c r="L2423" i="1"/>
  <c r="L2427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K557" i="1"/>
  <c r="E3" i="10" l="1"/>
  <c r="D4" i="10"/>
  <c r="C13" i="10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L557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44" i="1"/>
  <c r="M2439" i="1"/>
  <c r="F2439" i="1"/>
  <c r="C2440" i="1"/>
  <c r="A66" i="10" s="1"/>
  <c r="B65" i="10" s="1"/>
  <c r="C574" i="1"/>
  <c r="M573" i="1"/>
  <c r="N573" i="1" s="1"/>
  <c r="F573" i="1"/>
  <c r="K2458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M2441" i="1"/>
  <c r="F2441" i="1"/>
  <c r="C2442" i="1"/>
  <c r="A68" i="10" s="1"/>
  <c r="B67" i="10" s="1"/>
  <c r="C576" i="1"/>
  <c r="M575" i="1"/>
  <c r="N575" i="1" s="1"/>
  <c r="F575" i="1"/>
  <c r="L2458" i="1"/>
  <c r="L2453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N2442" i="1"/>
  <c r="C68" i="10" s="1"/>
  <c r="N2439" i="1"/>
  <c r="C65" i="10" s="1"/>
  <c r="N2441" i="1"/>
  <c r="C67" i="10" s="1"/>
  <c r="N2444" i="1"/>
  <c r="C70" i="10" s="1"/>
  <c r="N2440" i="1"/>
  <c r="C66" i="10" s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K587" i="1"/>
  <c r="D34" i="10" l="1"/>
  <c r="E33" i="10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L587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K2484" i="1"/>
  <c r="D56" i="10" l="1"/>
  <c r="E55" i="10"/>
  <c r="F2471" i="1"/>
  <c r="C2472" i="1"/>
  <c r="A98" i="10" s="1"/>
  <c r="B97" i="10" s="1"/>
  <c r="C606" i="1"/>
  <c r="M605" i="1"/>
  <c r="N605" i="1" s="1"/>
  <c r="F605" i="1"/>
  <c r="L2489" i="1"/>
  <c r="L2484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M2479" i="1"/>
  <c r="C2480" i="1"/>
  <c r="A106" i="10" s="1"/>
  <c r="B105" i="10" s="1"/>
  <c r="F2479" i="1"/>
  <c r="L615" i="1"/>
  <c r="L616" i="1"/>
  <c r="C614" i="1"/>
  <c r="M613" i="1"/>
  <c r="N613" i="1" s="1"/>
  <c r="F613" i="1"/>
  <c r="K618" i="1"/>
  <c r="D65" i="10" l="1"/>
  <c r="E64" i="10"/>
  <c r="M2480" i="1"/>
  <c r="C2481" i="1"/>
  <c r="A107" i="10" s="1"/>
  <c r="B106" i="10" s="1"/>
  <c r="F2480" i="1"/>
  <c r="C615" i="1"/>
  <c r="M614" i="1"/>
  <c r="N614" i="1" s="1"/>
  <c r="F614" i="1"/>
  <c r="L618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9" i="1"/>
  <c r="K2515" i="1"/>
  <c r="K2514" i="1"/>
  <c r="K2520" i="1"/>
  <c r="D86" i="10" l="1"/>
  <c r="E85" i="10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4" i="1"/>
  <c r="L2520" i="1"/>
  <c r="L2515" i="1"/>
  <c r="L2519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6" i="5"/>
  <c r="S6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5" i="5"/>
  <c r="C2507" i="1"/>
  <c r="A133" i="10" s="1"/>
  <c r="B132" i="10" s="1"/>
  <c r="F2506" i="1"/>
  <c r="C641" i="1"/>
  <c r="M640" i="1"/>
  <c r="N640" i="1" s="1"/>
  <c r="F640" i="1"/>
  <c r="K2490" i="1"/>
  <c r="K2485" i="1"/>
  <c r="D92" i="10" l="1"/>
  <c r="E92" i="10" s="1"/>
  <c r="E91" i="10"/>
  <c r="N2499" i="1"/>
  <c r="C125" i="10" s="1"/>
  <c r="N2496" i="1"/>
  <c r="C122" i="10" s="1"/>
  <c r="N2495" i="1"/>
  <c r="C121" i="10" s="1"/>
  <c r="N2485" i="1"/>
  <c r="C111" i="10" s="1"/>
  <c r="N2497" i="1"/>
  <c r="C123" i="10" s="1"/>
  <c r="N2494" i="1"/>
  <c r="C120" i="10" s="1"/>
  <c r="N2492" i="1"/>
  <c r="C118" i="10" s="1"/>
  <c r="N2493" i="1"/>
  <c r="C119" i="10" s="1"/>
  <c r="N2490" i="1"/>
  <c r="C116" i="10" s="1"/>
  <c r="N2491" i="1"/>
  <c r="C117" i="10" s="1"/>
  <c r="N2488" i="1"/>
  <c r="C114" i="10" s="1"/>
  <c r="N2489" i="1"/>
  <c r="C115" i="10" s="1"/>
  <c r="N2486" i="1"/>
  <c r="C112" i="10" s="1"/>
  <c r="N2487" i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L619" i="1"/>
  <c r="K619" i="1"/>
  <c r="L2490" i="1"/>
  <c r="L2485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N2472" i="1" l="1"/>
  <c r="C98" i="10" s="1"/>
  <c r="N2480" i="1"/>
  <c r="C106" i="10" s="1"/>
  <c r="N2476" i="1"/>
  <c r="C102" i="10" s="1"/>
  <c r="N2482" i="1"/>
  <c r="C108" i="10" s="1"/>
  <c r="N2477" i="1"/>
  <c r="C103" i="10" s="1"/>
  <c r="N2469" i="1"/>
  <c r="C95" i="10" s="1"/>
  <c r="N2468" i="1"/>
  <c r="N2478" i="1"/>
  <c r="C104" i="10" s="1"/>
  <c r="N2481" i="1"/>
  <c r="C107" i="10" s="1"/>
  <c r="N2475" i="1"/>
  <c r="C101" i="10" s="1"/>
  <c r="N2479" i="1"/>
  <c r="C105" i="10" s="1"/>
  <c r="N2473" i="1"/>
  <c r="C99" i="10" s="1"/>
  <c r="N2471" i="1"/>
  <c r="C97" i="10" s="1"/>
  <c r="N2474" i="1"/>
  <c r="C100" i="10" s="1"/>
  <c r="N2470" i="1"/>
  <c r="C96" i="10" s="1"/>
  <c r="M2510" i="1"/>
  <c r="C2511" i="1"/>
  <c r="A137" i="10" s="1"/>
  <c r="B136" i="10" s="1"/>
  <c r="F2510" i="1"/>
  <c r="L646" i="1"/>
  <c r="L647" i="1"/>
  <c r="C645" i="1"/>
  <c r="F644" i="1"/>
  <c r="K649" i="1"/>
  <c r="D93" i="10" l="1"/>
  <c r="E93" i="10" s="1"/>
  <c r="C94" i="10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L649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D114" i="10" l="1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50" i="1"/>
  <c r="K2545" i="1"/>
  <c r="K2547" i="1" l="1"/>
  <c r="K2554" i="1" s="1"/>
  <c r="D115" i="10"/>
  <c r="E115" i="10" s="1"/>
  <c r="M2533" i="1"/>
  <c r="F2533" i="1"/>
  <c r="C2534" i="1"/>
  <c r="A160" i="10" s="1"/>
  <c r="B159" i="10" s="1"/>
  <c r="C668" i="1"/>
  <c r="M667" i="1"/>
  <c r="N667" i="1" s="1"/>
  <c r="F667" i="1"/>
  <c r="L2545" i="1"/>
  <c r="L2550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8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650" i="1"/>
  <c r="K2581" i="1"/>
  <c r="L650" i="1"/>
  <c r="K2576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K679" i="1"/>
  <c r="D123" i="10" l="1"/>
  <c r="E123" i="10" s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L679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J30" i="9" s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K30" i="9"/>
  <c r="C695" i="1"/>
  <c r="M694" i="1"/>
  <c r="N694" i="1" s="1"/>
  <c r="F694" i="1"/>
  <c r="D143" i="10" l="1"/>
  <c r="E143" i="10" s="1"/>
  <c r="K2564" i="1"/>
  <c r="K2566" i="1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L37" i="9"/>
  <c r="L32" i="9"/>
  <c r="L30" i="9"/>
  <c r="L35" i="9"/>
  <c r="L27" i="9"/>
  <c r="L36" i="9"/>
  <c r="L34" i="9"/>
  <c r="L31" i="9"/>
  <c r="L33" i="9"/>
  <c r="D144" i="10" l="1"/>
  <c r="E144" i="10" s="1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K2575" i="1"/>
  <c r="K2580" i="1"/>
  <c r="M34" i="9"/>
  <c r="L2575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8" i="5"/>
  <c r="S8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K680" i="1"/>
  <c r="L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K710" i="1"/>
  <c r="E153" i="10" l="1"/>
  <c r="D154" i="10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L710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N2592" i="1"/>
  <c r="C728" i="1"/>
  <c r="F727" i="1"/>
  <c r="L39" i="9"/>
  <c r="L42" i="9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L711" i="1"/>
  <c r="K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L738" i="1"/>
  <c r="L737" i="1"/>
  <c r="C736" i="1"/>
  <c r="M735" i="1"/>
  <c r="N735" i="1" s="1"/>
  <c r="F735" i="1"/>
  <c r="K740" i="1"/>
  <c r="D184" i="10" l="1"/>
  <c r="E184" i="10" s="1"/>
  <c r="C737" i="1"/>
  <c r="M736" i="1"/>
  <c r="N736" i="1" s="1"/>
  <c r="F736" i="1"/>
  <c r="L740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L769" i="1"/>
  <c r="L768" i="1"/>
  <c r="M766" i="1"/>
  <c r="N766" i="1" s="1"/>
  <c r="C767" i="1"/>
  <c r="F766" i="1"/>
  <c r="K771" i="1"/>
  <c r="D215" i="10" l="1"/>
  <c r="E215" i="10" s="1"/>
  <c r="M767" i="1"/>
  <c r="N767" i="1" s="1"/>
  <c r="C768" i="1"/>
  <c r="F767" i="1"/>
  <c r="L771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K772" i="1"/>
  <c r="L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L799" i="1" l="1"/>
  <c r="L800" i="1"/>
  <c r="M797" i="1"/>
  <c r="N797" i="1" s="1"/>
  <c r="C798" i="1"/>
  <c r="F797" i="1"/>
  <c r="K802" i="1"/>
  <c r="M798" i="1" l="1"/>
  <c r="N798" i="1" s="1"/>
  <c r="C799" i="1"/>
  <c r="F798" i="1"/>
  <c r="L802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L803" i="1"/>
  <c r="K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L827" i="1" l="1"/>
  <c r="L828" i="1"/>
  <c r="M825" i="1"/>
  <c r="N825" i="1" s="1"/>
  <c r="C826" i="1"/>
  <c r="F825" i="1"/>
  <c r="K830" i="1"/>
  <c r="M826" i="1" l="1"/>
  <c r="N826" i="1" s="1"/>
  <c r="C827" i="1"/>
  <c r="F826" i="1"/>
  <c r="L830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K831" i="1"/>
  <c r="L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L859" i="1" l="1"/>
  <c r="L858" i="1"/>
  <c r="M856" i="1"/>
  <c r="N856" i="1" s="1"/>
  <c r="C857" i="1"/>
  <c r="F856" i="1"/>
  <c r="K861" i="1"/>
  <c r="M857" i="1" l="1"/>
  <c r="N857" i="1" s="1"/>
  <c r="C858" i="1"/>
  <c r="F857" i="1"/>
  <c r="L861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L888" i="1" l="1"/>
  <c r="L889" i="1"/>
  <c r="M886" i="1"/>
  <c r="N886" i="1" s="1"/>
  <c r="C887" i="1"/>
  <c r="F886" i="1"/>
  <c r="K891" i="1"/>
  <c r="M887" i="1" l="1"/>
  <c r="N887" i="1" s="1"/>
  <c r="C888" i="1"/>
  <c r="F887" i="1"/>
  <c r="L891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L920" i="1" l="1"/>
  <c r="L919" i="1"/>
  <c r="M917" i="1"/>
  <c r="N917" i="1" s="1"/>
  <c r="C918" i="1"/>
  <c r="F917" i="1"/>
  <c r="K922" i="1"/>
  <c r="M918" i="1" l="1"/>
  <c r="N918" i="1" s="1"/>
  <c r="C919" i="1"/>
  <c r="F918" i="1"/>
  <c r="L922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L923" i="1"/>
  <c r="K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L949" i="1" l="1"/>
  <c r="L950" i="1"/>
  <c r="M947" i="1"/>
  <c r="N947" i="1" s="1"/>
  <c r="C948" i="1"/>
  <c r="F947" i="1"/>
  <c r="K952" i="1"/>
  <c r="C949" i="1" l="1"/>
  <c r="F948" i="1"/>
  <c r="L952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K953" i="1"/>
  <c r="L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L980" i="1" l="1"/>
  <c r="L981" i="1"/>
  <c r="M978" i="1"/>
  <c r="N978" i="1" s="1"/>
  <c r="C979" i="1"/>
  <c r="F978" i="1"/>
  <c r="K983" i="1"/>
  <c r="M979" i="1" l="1"/>
  <c r="N979" i="1" s="1"/>
  <c r="C980" i="1"/>
  <c r="F979" i="1"/>
  <c r="L983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L984" i="1"/>
  <c r="K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L1011" i="1" l="1"/>
  <c r="L1012" i="1"/>
  <c r="M1009" i="1"/>
  <c r="N1009" i="1" s="1"/>
  <c r="C1010" i="1"/>
  <c r="F1009" i="1"/>
  <c r="K1014" i="1"/>
  <c r="M1010" i="1" l="1"/>
  <c r="N1010" i="1" s="1"/>
  <c r="C1011" i="1"/>
  <c r="F1010" i="1"/>
  <c r="L1014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M1025" i="1" l="1"/>
  <c r="N1025" i="1" s="1"/>
  <c r="C1026" i="1"/>
  <c r="F1025" i="1"/>
  <c r="L28" i="9"/>
  <c r="L29" i="9"/>
  <c r="L41" i="9"/>
  <c r="L40" i="9"/>
  <c r="L25" i="9"/>
  <c r="L26" i="9"/>
  <c r="L38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M1040" i="1" l="1"/>
  <c r="C1041" i="1"/>
  <c r="F1040" i="1"/>
  <c r="L1044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M1071" i="1" l="1"/>
  <c r="C1072" i="1"/>
  <c r="F1071" i="1"/>
  <c r="L1075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M1101" i="1" l="1"/>
  <c r="N1101" i="1" s="1"/>
  <c r="C1102" i="1"/>
  <c r="F1101" i="1"/>
  <c r="L1105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C1134" i="1" l="1"/>
  <c r="M1134" i="1" s="1"/>
  <c r="F1133" i="1"/>
  <c r="L1136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C1165" i="1" l="1"/>
  <c r="M1165" i="1" s="1"/>
  <c r="F1164" i="1"/>
  <c r="L1167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F1192" i="1" l="1"/>
  <c r="C1193" i="1"/>
  <c r="M1193" i="1" s="1"/>
  <c r="N1193" i="1" s="1"/>
  <c r="L1195" i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F1223" i="1" l="1"/>
  <c r="C1224" i="1"/>
  <c r="M1224" i="1" s="1"/>
  <c r="L1226" i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C1254" i="1" l="1"/>
  <c r="M1254" i="1" s="1"/>
  <c r="F1253" i="1"/>
  <c r="L1256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F1284" i="1" l="1"/>
  <c r="C1285" i="1"/>
  <c r="M1285" i="1" s="1"/>
  <c r="N1285" i="1" s="1"/>
  <c r="L1287" i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C1315" i="1" l="1"/>
  <c r="M1315" i="1" s="1"/>
  <c r="N1315" i="1" s="1"/>
  <c r="F1314" i="1"/>
  <c r="L1317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L1345" i="1" l="1"/>
  <c r="L1346" i="1"/>
  <c r="F1344" i="1"/>
  <c r="C1345" i="1"/>
  <c r="M1345" i="1" s="1"/>
  <c r="K1348" i="1"/>
  <c r="F1345" i="1" l="1"/>
  <c r="C1346" i="1"/>
  <c r="M1346" i="1" s="1"/>
  <c r="L1348" i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L1377" i="1" l="1"/>
  <c r="L1376" i="1"/>
  <c r="C1375" i="1"/>
  <c r="F1374" i="1"/>
  <c r="K1379" i="1"/>
  <c r="F1375" i="1" l="1"/>
  <c r="C1376" i="1"/>
  <c r="M1376" i="1" s="1"/>
  <c r="N1376" i="1" s="1"/>
  <c r="L1379" i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K1380" i="1"/>
  <c r="L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L1411" i="1" l="1"/>
  <c r="L1409" i="1"/>
  <c r="F1404" i="1"/>
  <c r="C1405" i="1"/>
  <c r="M1405" i="1" s="1"/>
  <c r="K1413" i="1"/>
  <c r="K1422" i="1"/>
  <c r="F1405" i="1" l="1"/>
  <c r="C1406" i="1"/>
  <c r="M1406" i="1" s="1"/>
  <c r="L1422" i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L1440" i="1" l="1"/>
  <c r="C1437" i="1"/>
  <c r="M1437" i="1" s="1"/>
  <c r="F1436" i="1"/>
  <c r="K1444" i="1"/>
  <c r="K1453" i="1"/>
  <c r="K1460" i="1" l="1"/>
  <c r="C1438" i="1"/>
  <c r="M1438" i="1" s="1"/>
  <c r="F1437" i="1"/>
  <c r="L1444" i="1"/>
  <c r="L1453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L1470" i="1" l="1"/>
  <c r="C1466" i="1"/>
  <c r="M1466" i="1" s="1"/>
  <c r="F1465" i="1"/>
  <c r="K1483" i="1"/>
  <c r="K1474" i="1"/>
  <c r="K1490" i="1" l="1"/>
  <c r="C1467" i="1"/>
  <c r="M1467" i="1" s="1"/>
  <c r="F1466" i="1"/>
  <c r="L1483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L1501" i="1" l="1"/>
  <c r="F1496" i="1"/>
  <c r="C1497" i="1"/>
  <c r="M1496" i="1"/>
  <c r="K1016" i="1"/>
  <c r="K1018" i="1" s="1"/>
  <c r="K1019" i="1" s="1"/>
  <c r="K1514" i="1"/>
  <c r="K1044" i="1"/>
  <c r="K1505" i="1"/>
  <c r="C1498" i="1" l="1"/>
  <c r="F1497" i="1"/>
  <c r="M1497" i="1"/>
  <c r="L1514" i="1"/>
  <c r="L1505" i="1"/>
  <c r="K104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C1538" i="1" l="1"/>
  <c r="M1537" i="1"/>
  <c r="F1537" i="1"/>
  <c r="L3" i="9"/>
  <c r="L4" i="9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L1561" i="1" l="1"/>
  <c r="F1556" i="1"/>
  <c r="M1556" i="1"/>
  <c r="C1557" i="1"/>
  <c r="K1565" i="1"/>
  <c r="K1574" i="1"/>
  <c r="K1583" i="1" l="1"/>
  <c r="C1558" i="1"/>
  <c r="M1557" i="1"/>
  <c r="F1557" i="1"/>
  <c r="L1565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L1592" i="1" l="1"/>
  <c r="C1588" i="1"/>
  <c r="F1587" i="1"/>
  <c r="M1587" i="1"/>
  <c r="K1596" i="1"/>
  <c r="K1605" i="1"/>
  <c r="K1613" i="1" l="1"/>
  <c r="M1588" i="1"/>
  <c r="F1588" i="1"/>
  <c r="C1589" i="1"/>
  <c r="L1596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L1622" i="1" l="1"/>
  <c r="M1617" i="1"/>
  <c r="C1618" i="1"/>
  <c r="F1617" i="1"/>
  <c r="K1635" i="1"/>
  <c r="K1626" i="1"/>
  <c r="K1644" i="1" l="1"/>
  <c r="F1618" i="1"/>
  <c r="M1618" i="1"/>
  <c r="C1619" i="1"/>
  <c r="L1626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L1653" i="1" l="1"/>
  <c r="C1649" i="1"/>
  <c r="F1648" i="1"/>
  <c r="M1648" i="1"/>
  <c r="K1666" i="1"/>
  <c r="K1657" i="1"/>
  <c r="K1674" i="1" l="1"/>
  <c r="C1650" i="1"/>
  <c r="M1649" i="1"/>
  <c r="F1649" i="1"/>
  <c r="L1666" i="1"/>
  <c r="L1657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L1683" i="1" l="1"/>
  <c r="F1678" i="1"/>
  <c r="C1679" i="1"/>
  <c r="K1687" i="1"/>
  <c r="K1696" i="1"/>
  <c r="K1705" i="1" l="1"/>
  <c r="C1680" i="1"/>
  <c r="F1679" i="1"/>
  <c r="L1696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L1714" i="1" l="1"/>
  <c r="F1709" i="1"/>
  <c r="C1710" i="1"/>
  <c r="M1709" i="1"/>
  <c r="K1727" i="1"/>
  <c r="K1718" i="1"/>
  <c r="K1736" i="1" l="1"/>
  <c r="M1710" i="1"/>
  <c r="C1711" i="1"/>
  <c r="F1710" i="1"/>
  <c r="L1718" i="1"/>
  <c r="L1727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L1747" i="1" l="1"/>
  <c r="C1741" i="1"/>
  <c r="F1740" i="1"/>
  <c r="K1751" i="1"/>
  <c r="K1760" i="1"/>
  <c r="K1767" i="1" l="1"/>
  <c r="C1742" i="1"/>
  <c r="M1741" i="1"/>
  <c r="F1741" i="1"/>
  <c r="L175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L1777" i="1" l="1"/>
  <c r="C1771" i="1"/>
  <c r="F1770" i="1"/>
  <c r="M1770" i="1"/>
  <c r="K1781" i="1"/>
  <c r="K1790" i="1"/>
  <c r="K1798" i="1" l="1"/>
  <c r="C1772" i="1"/>
  <c r="M1772" i="1" s="1"/>
  <c r="M1771" i="1"/>
  <c r="F1771" i="1"/>
  <c r="L1790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C1794" i="1" l="1"/>
  <c r="F1793" i="1"/>
  <c r="M1793" i="1"/>
  <c r="L23" i="9"/>
  <c r="L24" i="9"/>
  <c r="L22" i="9"/>
  <c r="L21" i="9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L1808" i="1" l="1"/>
  <c r="C1802" i="1"/>
  <c r="M1802" i="1" s="1"/>
  <c r="F1801" i="1"/>
  <c r="M1801" i="1"/>
  <c r="K1812" i="1"/>
  <c r="K1821" i="1"/>
  <c r="K1828" i="1" l="1"/>
  <c r="C1803" i="1"/>
  <c r="M1803" i="1" s="1"/>
  <c r="F1802" i="1"/>
  <c r="L1821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L1838" i="1" l="1"/>
  <c r="F1831" i="1"/>
  <c r="C1832" i="1"/>
  <c r="M1831" i="1"/>
  <c r="K1842" i="1"/>
  <c r="K1851" i="1"/>
  <c r="K1859" i="1" l="1"/>
  <c r="C1833" i="1"/>
  <c r="F1832" i="1"/>
  <c r="M1832" i="1"/>
  <c r="L1851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C1858" i="1" l="1"/>
  <c r="F1857" i="1"/>
  <c r="M1857" i="1"/>
  <c r="L19" i="9"/>
  <c r="L16" i="9"/>
  <c r="L17" i="9"/>
  <c r="L20" i="9"/>
  <c r="L18" i="9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K1450" i="1" l="1"/>
  <c r="K1452" i="1" s="1"/>
  <c r="L14" i="9"/>
  <c r="L7" i="9"/>
  <c r="L10" i="9"/>
  <c r="L5" i="9"/>
  <c r="L11" i="9"/>
  <c r="L9" i="9"/>
  <c r="L13" i="9"/>
  <c r="L15" i="9"/>
  <c r="L12" i="9"/>
  <c r="L6" i="9"/>
  <c r="L8" i="9"/>
  <c r="L1450" i="1" l="1"/>
  <c r="L1452" i="1" s="1"/>
  <c r="N1431" i="1" l="1"/>
  <c r="K1423" i="1"/>
  <c r="L1423" i="1"/>
  <c r="L1424" i="1" l="1"/>
  <c r="K1424" i="1"/>
  <c r="K1415" i="1"/>
  <c r="L1415" i="1"/>
  <c r="K1414" i="1"/>
  <c r="L1414" i="1"/>
  <c r="K1426" i="1" l="1"/>
  <c r="K1427" i="1" s="1"/>
  <c r="L1426" i="1"/>
  <c r="L1427" i="1" s="1"/>
  <c r="K1454" i="1"/>
  <c r="L1445" i="1"/>
  <c r="K1445" i="1"/>
  <c r="L1454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K1515" i="1"/>
  <c r="L147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K1507" i="1"/>
  <c r="L1506" i="1"/>
  <c r="K1546" i="1"/>
  <c r="K1537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L1658" i="1"/>
  <c r="K168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1" i="9"/>
  <c r="M10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L1534" i="1" l="1"/>
  <c r="L1532" i="1"/>
  <c r="K1538" i="1"/>
  <c r="K1536" i="1"/>
  <c r="K1545" i="1"/>
  <c r="K1549" i="1" l="1"/>
  <c r="K1552" i="1"/>
  <c r="K1547" i="1"/>
  <c r="L1538" i="1"/>
  <c r="L1536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91" i="1"/>
  <c r="K1782" i="1"/>
  <c r="K1794" i="1" l="1"/>
  <c r="K1792" i="1"/>
  <c r="K1795" i="1" l="1"/>
  <c r="K1822" i="1"/>
  <c r="K1813" i="1"/>
  <c r="K1783" i="1"/>
  <c r="K1825" i="1" l="1"/>
  <c r="K1823" i="1"/>
  <c r="K1826" i="1" l="1"/>
  <c r="K1843" i="1"/>
  <c r="K1814" i="1"/>
  <c r="K1852" i="1"/>
  <c r="K1853" i="1" l="1"/>
  <c r="K1855" i="1"/>
  <c r="K1856" i="1" l="1"/>
  <c r="K1844" i="1"/>
  <c r="K1875" i="1"/>
  <c r="K1884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L1874" i="1"/>
  <c r="K1874" i="1"/>
  <c r="K1918" i="1" l="1"/>
  <c r="N1860" i="1"/>
  <c r="M17" i="9"/>
  <c r="M16" i="9"/>
  <c r="E16" i="9" l="1"/>
  <c r="D16" i="9" s="1"/>
  <c r="F16" i="9" s="1"/>
  <c r="E17" i="9"/>
  <c r="D17" i="9" s="1"/>
  <c r="F17" i="9" s="1"/>
  <c r="K1943" i="1"/>
  <c r="K1934" i="1"/>
  <c r="K1973" i="1"/>
  <c r="K1906" i="1"/>
  <c r="K1964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K2026" i="1"/>
  <c r="L1973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2003" i="1"/>
  <c r="L1994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8" i="9"/>
  <c r="M19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24" i="9"/>
  <c r="M36" i="9"/>
  <c r="K2130" i="1" l="1"/>
  <c r="E36" i="9"/>
  <c r="D36" i="9" s="1"/>
  <c r="F36" i="9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28" i="9"/>
  <c r="M32" i="9"/>
  <c r="M39" i="9"/>
  <c r="M38" i="9"/>
  <c r="M31" i="9"/>
  <c r="M27" i="9"/>
  <c r="M26" i="9"/>
  <c r="M37" i="9"/>
  <c r="M40" i="9"/>
  <c r="M33" i="9"/>
  <c r="E40" i="9" l="1"/>
  <c r="D40" i="9" s="1"/>
  <c r="F40" i="9" s="1"/>
  <c r="E39" i="9"/>
  <c r="D39" i="9" s="1"/>
  <c r="F39" i="9" s="1"/>
  <c r="G5" i="5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S5" i="5" s="1"/>
  <c r="V3" i="5" l="1"/>
  <c r="V4" i="5" l="1"/>
  <c r="T6" i="5" l="1"/>
  <c r="V5" i="5"/>
  <c r="T7" i="5" l="1"/>
  <c r="T8" i="5" s="1"/>
  <c r="V6" i="5"/>
  <c r="T9" i="5" l="1"/>
  <c r="V7" i="5"/>
  <c r="V8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<sst xmlns="http://schemas.openxmlformats.org/spreadsheetml/2006/main" count="2458" uniqueCount="260">
  <si>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</si>
  <si>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</si>
  <si>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</si>
  <si>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</si>
  <si>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</si>
  <si>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</si>
  <si>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</si>
  <si>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</si>
  <si>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</si>
  <si>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</si>
  <si>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</si>
  <si>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</si>
  <si>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</si>
  <si>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</si>
  <si>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</si>
  <si>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</si>
  <si>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</si>
  <si>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</si>
  <si>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</si>
  <si>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</si>
  <si>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</si>
  <si>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</si>
  <si>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</si>
  <si>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</si>
  <si>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</si>
  <si>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</si>
  <si>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</si>
  <si>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</si>
  <si>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</si>
  <si>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</si>
  <si>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</si>
  <si>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</si>
  <si>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</si>
  <si>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</si>
  <si>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</si>
  <si>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</si>
  <si>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</si>
  <si>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</si>
  <si>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</si>
  <si>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</si>
  <si>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</si>
  <si>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</si>
  <si>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</si>
  <si>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</si>
  <si>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</si>
  <si>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</si>
  <si>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</si>
  <si>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</si>
  <si>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</si>
  <si>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</si>
  <si>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</si>
  <si>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</si>
  <si>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</si>
  <si>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</si>
  <si>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</si>
  <si>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</si>
  <si>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</si>
  <si>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</si>
  <si>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</si>
  <si>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</si>
  <si>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</si>
  <si>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</si>
  <si>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</si>
  <si>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</si>
  <si>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</si>
  <si>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</si>
  <si>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</si>
  <si>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</si>
  <si>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</si>
  <si>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</si>
  <si>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</si>
  <si>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</si>
  <si>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</si>
  <si>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</si>
  <si>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</si>
  <si>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</si>
  <si>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</si>
  <si>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</si>
  <si>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</si>
  <si>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</si>
  <si>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</si>
  <si>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</si>
  <si>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</si>
  <si>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</si>
  <si>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</si>
  <si>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</si>
  <si>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</si>
  <si>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</si>
  <si>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</si>
  <si>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</si>
  <si>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</si>
  <si>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</si>
  <si>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</si>
  <si>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</si>
  <si>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</si>
  <si>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</si>
  <si>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</si>
  <si>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</si>
  <si>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</si>
  <si>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</si>
  <si>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</si>
  <si>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</si>
  <si>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</si>
  <si>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</si>
  <si>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</si>
  <si>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</si>
  <si>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</si>
  <si>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</si>
  <si>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</si>
  <si>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</si>
  <si>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</si>
  <si>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</si>
  <si>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</si>
  <si>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</si>
  <si>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</si>
  <si>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</si>
  <si>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</si>
  <si>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</si>
  <si>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</si>
  <si>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</si>
  <si>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</si>
  <si>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</si>
  <si>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</si>
  <si>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</si>
  <si>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</si>
  <si>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</si>
  <si>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</si>
  <si>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</si>
  <si>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</si>
  <si>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</si>
  <si>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</si>
  <si>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</si>
  <si>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</si>
  <si>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</si>
  <si>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</si>
  <si>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</si>
  <si>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</si>
  <si>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</si>
  <si>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</si>
  <si>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</si>
  <si>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</si>
  <si>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</si>
  <si>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</si>
  <si>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</si>
  <si>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</si>
  <si>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</si>
  <si>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</si>
  <si>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</si>
  <si>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</si>
  <si>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</si>
  <si>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</si>
  <si>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</si>
  <si>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</si>
  <si>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</si>
  <si>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</si>
  <si>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</si>
  <si>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</si>
  <si>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</si>
  <si>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</si>
  <si>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</si>
  <si>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</si>
  <si>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</si>
  <si>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</si>
  <si>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</si>
  <si>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</si>
  <si>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</si>
  <si>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</si>
  <si>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</si>
  <si>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</si>
  <si>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</si>
  <si>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</si>
  <si>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</si>
  <si>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</si>
  <si>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</si>
  <si>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</si>
  <si>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</si>
  <si>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</si>
  <si>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</si>
  <si>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</si>
  <si>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</si>
  <si>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</si>
  <si>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</si>
  <si>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</si>
  <si>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</si>
  <si>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</si>
  <si>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</si>
  <si>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</si>
  <si>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</si>
  <si>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</si>
  <si>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</si>
  <si>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</si>
  <si>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</si>
  <si>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</si>
  <si>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</si>
  <si>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</si>
  <si>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</si>
  <si>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</si>
  <si>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</si>
  <si>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</si>
  <si>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</si>
  <si>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</si>
  <si>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</si>
  <si>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</si>
  <si>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</si>
  <si>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</si>
  <si>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</si>
  <si>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</si>
  <si>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</si>
  <si>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</si>
  <si>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</si>
  <si>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</si>
  <si>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</si>
  <si>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</si>
  <si>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</si>
  <si>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</si>
  <si>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</si>
  <si>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</si>
  <si>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</si>
  <si>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</si>
  <si>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</si>
  <si>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</si>
  <si>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</si>
  <si>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</si>
  <si>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</si>
  <si>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</si>
  <si>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</si>
  <si>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</si>
  <si>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</si>
  <si>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</si>
  <si>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</si>
  <si>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</si>
  <si>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</si>
  <si>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</si>
  <si>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</si>
  <si>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</si>
  <si>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</si>
  <si>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</si>
  <si>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</si>
  <si>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</si>
  <si>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</si>
  <si>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</si>
  <si>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</si>
  <si>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</si>
  <si>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</si>
  <si>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</si>
  <si>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</si>
  <si>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</si>
  <si>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</si>
  <si>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</si>
  <si>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</si>
  <si>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</si>
  <si>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</si>
  <si>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</si>
  <si>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</si>
  <si>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</si>
  <si>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Keys</t>
  </si>
  <si>
    <t>Values</t>
  </si>
  <si>
    <t>python App_Stream_ShortRates.py</t>
  </si>
  <si>
    <t>None</t>
  </si>
  <si>
    <t>cd git-projects\trading\apps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</si>
</sst>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7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14" fontId="10" fillId="0" borderId="7" xfId="0" applyNumberFormat="1" applyFont="1" applyBorder="1"/>
    <xf numFmtId="167" fontId="10" fillId="2" borderId="0" xfId="0" applyNumberFormat="1" applyFont="1" applyFill="1"/>
    <xf numFmtId="167" fontId="10" fillId="2" borderId="27" xfId="0" applyNumberFormat="1" applyFont="1" applyFill="1" applyBorder="1"/>
    <xf numFmtId="167" fontId="10" fillId="2" borderId="12" xfId="0" applyNumberFormat="1" applyFont="1" applyFill="1" applyBorder="1"/>
    <xf numFmtId="169" fontId="10" fillId="2" borderId="0" xfId="0" applyNumberFormat="1" applyFont="1" applyFill="1" applyAlignment="1">
      <alignment horizontal="right"/>
    </xf>
    <xf numFmtId="0" fontId="6" fillId="6" borderId="1" xfId="0" applyFont="1" applyFill="1" applyBorder="1"/>
    <xf numFmtId="2" fontId="10" fillId="0" borderId="2" xfId="0" applyNumberFormat="1" applyFont="1" applyBorder="1"/>
    <xf numFmtId="2" fontId="10" fillId="0" borderId="6" xfId="0" applyNumberFormat="1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EXTRAPOLATION'!$A$2468:$A$2589</c:f>
              <c:numCache>
                <c:formatCode>0.0000</c:formatCode>
                <c:ptCount val="122"/>
                <c:pt idx="30">
                  <c:v>3.8775000000000057</c:v>
                </c:pt>
                <c:pt idx="31">
                  <c:v>3.8775000000000057</c:v>
                </c:pt>
                <c:pt idx="32">
                  <c:v>3.8775000000000057</c:v>
                </c:pt>
                <c:pt idx="33">
                  <c:v>3.8775000000000057</c:v>
                </c:pt>
                <c:pt idx="34">
                  <c:v>3.8775000000000057</c:v>
                </c:pt>
                <c:pt idx="35">
                  <c:v>3.8775000000000057</c:v>
                </c:pt>
                <c:pt idx="36">
                  <c:v>3.8775000000000057</c:v>
                </c:pt>
                <c:pt idx="37">
                  <c:v>3.8775000000000057</c:v>
                </c:pt>
                <c:pt idx="38">
                  <c:v>3.8775000000000057</c:v>
                </c:pt>
                <c:pt idx="39">
                  <c:v>3.8775000000000057</c:v>
                </c:pt>
                <c:pt idx="40">
                  <c:v>3.8775000000000057</c:v>
                </c:pt>
                <c:pt idx="41">
                  <c:v>3.8775000000000057</c:v>
                </c:pt>
                <c:pt idx="42">
                  <c:v>3.8775000000000057</c:v>
                </c:pt>
                <c:pt idx="43">
                  <c:v>3.8775000000000057</c:v>
                </c:pt>
                <c:pt idx="44">
                  <c:v>3.8775000000000057</c:v>
                </c:pt>
                <c:pt idx="45">
                  <c:v>3.8775000000000057</c:v>
                </c:pt>
                <c:pt idx="46">
                  <c:v>3.8775000000000057</c:v>
                </c:pt>
                <c:pt idx="47">
                  <c:v>3.8775000000000057</c:v>
                </c:pt>
                <c:pt idx="48">
                  <c:v>3.8775000000000057</c:v>
                </c:pt>
                <c:pt idx="49">
                  <c:v>3.8775000000000057</c:v>
                </c:pt>
                <c:pt idx="50">
                  <c:v>3.8775000000000057</c:v>
                </c:pt>
                <c:pt idx="51">
                  <c:v>3.8775000000000057</c:v>
                </c:pt>
                <c:pt idx="52">
                  <c:v>3.8775000000000057</c:v>
                </c:pt>
                <c:pt idx="53">
                  <c:v>3.8775000000000057</c:v>
                </c:pt>
                <c:pt idx="54">
                  <c:v>3.8775000000000057</c:v>
                </c:pt>
                <c:pt idx="55">
                  <c:v>3.8775000000000057</c:v>
                </c:pt>
                <c:pt idx="56">
                  <c:v>3.8775000000000057</c:v>
                </c:pt>
                <c:pt idx="57">
                  <c:v>3.8775000000000057</c:v>
                </c:pt>
                <c:pt idx="58">
                  <c:v>3.9549999999999983</c:v>
                </c:pt>
                <c:pt idx="59">
                  <c:v>3.9549999999999983</c:v>
                </c:pt>
                <c:pt idx="60">
                  <c:v>3.9549999999999983</c:v>
                </c:pt>
                <c:pt idx="61">
                  <c:v>3.9549999999999983</c:v>
                </c:pt>
                <c:pt idx="62">
                  <c:v>3.9549999999999983</c:v>
                </c:pt>
                <c:pt idx="63">
                  <c:v>3.9549999999999983</c:v>
                </c:pt>
                <c:pt idx="64">
                  <c:v>3.9549999999999983</c:v>
                </c:pt>
                <c:pt idx="65">
                  <c:v>3.9549999999999983</c:v>
                </c:pt>
                <c:pt idx="66">
                  <c:v>3.9549999999999983</c:v>
                </c:pt>
                <c:pt idx="67">
                  <c:v>3.9549999999999983</c:v>
                </c:pt>
                <c:pt idx="68">
                  <c:v>3.9549999999999983</c:v>
                </c:pt>
                <c:pt idx="69">
                  <c:v>3.9549999999999983</c:v>
                </c:pt>
                <c:pt idx="70">
                  <c:v>3.9549999999999983</c:v>
                </c:pt>
                <c:pt idx="71">
                  <c:v>3.9549999999999983</c:v>
                </c:pt>
                <c:pt idx="72">
                  <c:v>3.9549999999999983</c:v>
                </c:pt>
                <c:pt idx="73">
                  <c:v>3.9549999999999983</c:v>
                </c:pt>
                <c:pt idx="74">
                  <c:v>3.9549999999999983</c:v>
                </c:pt>
                <c:pt idx="75">
                  <c:v>3.9549999999999983</c:v>
                </c:pt>
                <c:pt idx="76">
                  <c:v>3.9549999999999983</c:v>
                </c:pt>
                <c:pt idx="77">
                  <c:v>3.9549999999999983</c:v>
                </c:pt>
                <c:pt idx="78">
                  <c:v>3.9549999999999983</c:v>
                </c:pt>
                <c:pt idx="79">
                  <c:v>3.9549999999999983</c:v>
                </c:pt>
                <c:pt idx="80">
                  <c:v>3.9549999999999983</c:v>
                </c:pt>
                <c:pt idx="81">
                  <c:v>3.9549999999999983</c:v>
                </c:pt>
                <c:pt idx="82">
                  <c:v>3.9549999999999983</c:v>
                </c:pt>
                <c:pt idx="83">
                  <c:v>3.9549999999999983</c:v>
                </c:pt>
                <c:pt idx="84">
                  <c:v>3.9549999999999983</c:v>
                </c:pt>
                <c:pt idx="85">
                  <c:v>3.9549999999999983</c:v>
                </c:pt>
                <c:pt idx="86">
                  <c:v>3.9549999999999983</c:v>
                </c:pt>
                <c:pt idx="87">
                  <c:v>3.9549999999999983</c:v>
                </c:pt>
                <c:pt idx="88">
                  <c:v>3.9549999999999983</c:v>
                </c:pt>
                <c:pt idx="89">
                  <c:v>3.9549999999999983</c:v>
                </c:pt>
                <c:pt idx="90">
                  <c:v>3.9549999999999983</c:v>
                </c:pt>
                <c:pt idx="91">
                  <c:v>3.9549999999999983</c:v>
                </c:pt>
                <c:pt idx="92">
                  <c:v>3.9549999999999983</c:v>
                </c:pt>
                <c:pt idx="93">
                  <c:v>3.9549999999999983</c:v>
                </c:pt>
                <c:pt idx="94">
                  <c:v>3.9549999999999983</c:v>
                </c:pt>
                <c:pt idx="95">
                  <c:v>3.9549999999999983</c:v>
                </c:pt>
                <c:pt idx="96">
                  <c:v>3.9549999999999983</c:v>
                </c:pt>
                <c:pt idx="97">
                  <c:v>3.9549999999999983</c:v>
                </c:pt>
                <c:pt idx="98">
                  <c:v>3.9549999999999983</c:v>
                </c:pt>
                <c:pt idx="99">
                  <c:v>3.9549999999999983</c:v>
                </c:pt>
                <c:pt idx="100">
                  <c:v>4.1311363636363616</c:v>
                </c:pt>
                <c:pt idx="101">
                  <c:v>4.1311363636363616</c:v>
                </c:pt>
                <c:pt idx="102">
                  <c:v>4.1311363636363616</c:v>
                </c:pt>
                <c:pt idx="103">
                  <c:v>4.1311363636363616</c:v>
                </c:pt>
                <c:pt idx="104">
                  <c:v>4.1311363636363616</c:v>
                </c:pt>
                <c:pt idx="105">
                  <c:v>4.1311363636363616</c:v>
                </c:pt>
                <c:pt idx="106">
                  <c:v>4.1311363636363616</c:v>
                </c:pt>
                <c:pt idx="107">
                  <c:v>4.1311363636363616</c:v>
                </c:pt>
                <c:pt idx="108">
                  <c:v>4.1311363636363616</c:v>
                </c:pt>
                <c:pt idx="109">
                  <c:v>4.1311363636363616</c:v>
                </c:pt>
                <c:pt idx="110">
                  <c:v>4.1311363636363616</c:v>
                </c:pt>
                <c:pt idx="111">
                  <c:v>4.1311363636363616</c:v>
                </c:pt>
                <c:pt idx="112">
                  <c:v>4.1311363636363616</c:v>
                </c:pt>
                <c:pt idx="113">
                  <c:v>4.1311363636363616</c:v>
                </c:pt>
                <c:pt idx="114">
                  <c:v>4.1311363636363616</c:v>
                </c:pt>
                <c:pt idx="115">
                  <c:v>4.1311363636363616</c:v>
                </c:pt>
                <c:pt idx="116">
                  <c:v>4.1311363636363616</c:v>
                </c:pt>
                <c:pt idx="117">
                  <c:v>4.1311363636363616</c:v>
                </c:pt>
                <c:pt idx="118">
                  <c:v>4.1311363636363616</c:v>
                </c:pt>
                <c:pt idx="119">
                  <c:v>4.1311363636363616</c:v>
                </c:pt>
                <c:pt idx="120">
                  <c:v>4.1311363636363616</c:v>
                </c:pt>
                <c:pt idx="121">
                  <c:v>4.1311363636363616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EXTRAPOLATION'!$C$2468:$C$2589</c:f>
              <c:numCache>
                <c:formatCode>[$-409]dd\-mmm\-yy;@</c:formatCode>
                <c:ptCount val="122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  <c:pt idx="31">
                  <c:v>46297</c:v>
                </c:pt>
                <c:pt idx="32">
                  <c:v>46298</c:v>
                </c:pt>
                <c:pt idx="33">
                  <c:v>46299</c:v>
                </c:pt>
                <c:pt idx="34">
                  <c:v>46300</c:v>
                </c:pt>
                <c:pt idx="35">
                  <c:v>46301</c:v>
                </c:pt>
                <c:pt idx="36">
                  <c:v>46302</c:v>
                </c:pt>
                <c:pt idx="37">
                  <c:v>46303</c:v>
                </c:pt>
                <c:pt idx="38">
                  <c:v>46304</c:v>
                </c:pt>
                <c:pt idx="39">
                  <c:v>46305</c:v>
                </c:pt>
                <c:pt idx="40">
                  <c:v>46306</c:v>
                </c:pt>
                <c:pt idx="41">
                  <c:v>46307</c:v>
                </c:pt>
                <c:pt idx="42">
                  <c:v>46308</c:v>
                </c:pt>
                <c:pt idx="43">
                  <c:v>46309</c:v>
                </c:pt>
                <c:pt idx="44">
                  <c:v>46310</c:v>
                </c:pt>
                <c:pt idx="45">
                  <c:v>46311</c:v>
                </c:pt>
                <c:pt idx="46">
                  <c:v>46312</c:v>
                </c:pt>
                <c:pt idx="47">
                  <c:v>46313</c:v>
                </c:pt>
                <c:pt idx="48">
                  <c:v>46314</c:v>
                </c:pt>
                <c:pt idx="49">
                  <c:v>46315</c:v>
                </c:pt>
                <c:pt idx="50">
                  <c:v>46316</c:v>
                </c:pt>
                <c:pt idx="51">
                  <c:v>46317</c:v>
                </c:pt>
                <c:pt idx="52">
                  <c:v>46318</c:v>
                </c:pt>
                <c:pt idx="53">
                  <c:v>46319</c:v>
                </c:pt>
                <c:pt idx="54">
                  <c:v>46320</c:v>
                </c:pt>
                <c:pt idx="55">
                  <c:v>46321</c:v>
                </c:pt>
                <c:pt idx="56">
                  <c:v>46322</c:v>
                </c:pt>
                <c:pt idx="57">
                  <c:v>46323</c:v>
                </c:pt>
                <c:pt idx="58">
                  <c:v>46324</c:v>
                </c:pt>
                <c:pt idx="59">
                  <c:v>46325</c:v>
                </c:pt>
                <c:pt idx="60">
                  <c:v>46326</c:v>
                </c:pt>
                <c:pt idx="61">
                  <c:v>46327</c:v>
                </c:pt>
                <c:pt idx="62">
                  <c:v>46328</c:v>
                </c:pt>
                <c:pt idx="63">
                  <c:v>46329</c:v>
                </c:pt>
                <c:pt idx="64">
                  <c:v>46330</c:v>
                </c:pt>
                <c:pt idx="65">
                  <c:v>46331</c:v>
                </c:pt>
                <c:pt idx="66">
                  <c:v>46332</c:v>
                </c:pt>
                <c:pt idx="67">
                  <c:v>46333</c:v>
                </c:pt>
                <c:pt idx="68">
                  <c:v>46334</c:v>
                </c:pt>
                <c:pt idx="69">
                  <c:v>46335</c:v>
                </c:pt>
                <c:pt idx="70">
                  <c:v>46336</c:v>
                </c:pt>
                <c:pt idx="71">
                  <c:v>46337</c:v>
                </c:pt>
                <c:pt idx="72">
                  <c:v>46338</c:v>
                </c:pt>
                <c:pt idx="73">
                  <c:v>46339</c:v>
                </c:pt>
                <c:pt idx="74">
                  <c:v>46340</c:v>
                </c:pt>
                <c:pt idx="75">
                  <c:v>46341</c:v>
                </c:pt>
                <c:pt idx="76">
                  <c:v>46342</c:v>
                </c:pt>
                <c:pt idx="77">
                  <c:v>46343</c:v>
                </c:pt>
                <c:pt idx="78">
                  <c:v>46344</c:v>
                </c:pt>
                <c:pt idx="79">
                  <c:v>46345</c:v>
                </c:pt>
                <c:pt idx="80">
                  <c:v>46346</c:v>
                </c:pt>
                <c:pt idx="81">
                  <c:v>46347</c:v>
                </c:pt>
                <c:pt idx="82">
                  <c:v>46348</c:v>
                </c:pt>
                <c:pt idx="83">
                  <c:v>46349</c:v>
                </c:pt>
                <c:pt idx="84">
                  <c:v>46350</c:v>
                </c:pt>
                <c:pt idx="85">
                  <c:v>46351</c:v>
                </c:pt>
                <c:pt idx="86">
                  <c:v>46352</c:v>
                </c:pt>
                <c:pt idx="87">
                  <c:v>46353</c:v>
                </c:pt>
                <c:pt idx="88">
                  <c:v>46354</c:v>
                </c:pt>
                <c:pt idx="89">
                  <c:v>46355</c:v>
                </c:pt>
                <c:pt idx="90">
                  <c:v>46356</c:v>
                </c:pt>
                <c:pt idx="91">
                  <c:v>46357</c:v>
                </c:pt>
                <c:pt idx="92">
                  <c:v>46358</c:v>
                </c:pt>
                <c:pt idx="93">
                  <c:v>46359</c:v>
                </c:pt>
                <c:pt idx="94">
                  <c:v>46360</c:v>
                </c:pt>
                <c:pt idx="95">
                  <c:v>46361</c:v>
                </c:pt>
                <c:pt idx="96">
                  <c:v>46362</c:v>
                </c:pt>
                <c:pt idx="97">
                  <c:v>46363</c:v>
                </c:pt>
                <c:pt idx="98">
                  <c:v>46364</c:v>
                </c:pt>
                <c:pt idx="99">
                  <c:v>46365</c:v>
                </c:pt>
                <c:pt idx="100">
                  <c:v>46366</c:v>
                </c:pt>
                <c:pt idx="101">
                  <c:v>46367</c:v>
                </c:pt>
                <c:pt idx="102">
                  <c:v>46368</c:v>
                </c:pt>
                <c:pt idx="103">
                  <c:v>46369</c:v>
                </c:pt>
                <c:pt idx="104">
                  <c:v>46370</c:v>
                </c:pt>
                <c:pt idx="105">
                  <c:v>46371</c:v>
                </c:pt>
                <c:pt idx="106">
                  <c:v>46372</c:v>
                </c:pt>
                <c:pt idx="107">
                  <c:v>46373</c:v>
                </c:pt>
                <c:pt idx="108">
                  <c:v>46374</c:v>
                </c:pt>
                <c:pt idx="109">
                  <c:v>46375</c:v>
                </c:pt>
                <c:pt idx="110">
                  <c:v>46376</c:v>
                </c:pt>
                <c:pt idx="111">
                  <c:v>46377</c:v>
                </c:pt>
                <c:pt idx="112">
                  <c:v>46378</c:v>
                </c:pt>
                <c:pt idx="113">
                  <c:v>46379</c:v>
                </c:pt>
                <c:pt idx="114">
                  <c:v>46380</c:v>
                </c:pt>
                <c:pt idx="115">
                  <c:v>46381</c:v>
                </c:pt>
                <c:pt idx="116">
                  <c:v>46382</c:v>
                </c:pt>
                <c:pt idx="117">
                  <c:v>46383</c:v>
                </c:pt>
                <c:pt idx="118">
                  <c:v>46384</c:v>
                </c:pt>
                <c:pt idx="119">
                  <c:v>46385</c:v>
                </c:pt>
                <c:pt idx="120">
                  <c:v>46386</c:v>
                </c:pt>
                <c:pt idx="121">
                  <c:v>46387</c:v>
                </c:pt>
              </c:numCache>
            </c:numRef>
          </c:cat>
          <c:val>
            <c:numRef>
              <c:f>'DAILY EXTRAPOLATION'!$B$2468:$B$2589</c:f>
              <c:numCache>
                <c:formatCode>0.0000</c:formatCode>
                <c:ptCount val="122"/>
                <c:pt idx="30">
                  <c:v>3.884196428571427</c:v>
                </c:pt>
                <c:pt idx="31">
                  <c:v>3.884196428571427</c:v>
                </c:pt>
                <c:pt idx="32">
                  <c:v>3.884196428571427</c:v>
                </c:pt>
                <c:pt idx="33">
                  <c:v>3.884196428571427</c:v>
                </c:pt>
                <c:pt idx="34">
                  <c:v>3.884196428571427</c:v>
                </c:pt>
                <c:pt idx="35">
                  <c:v>3.884196428571427</c:v>
                </c:pt>
                <c:pt idx="36">
                  <c:v>3.884196428571427</c:v>
                </c:pt>
                <c:pt idx="37">
                  <c:v>3.884196428571427</c:v>
                </c:pt>
                <c:pt idx="38">
                  <c:v>3.884196428571427</c:v>
                </c:pt>
                <c:pt idx="39">
                  <c:v>3.884196428571427</c:v>
                </c:pt>
                <c:pt idx="40">
                  <c:v>3.884196428571427</c:v>
                </c:pt>
                <c:pt idx="41">
                  <c:v>3.884196428571427</c:v>
                </c:pt>
                <c:pt idx="42">
                  <c:v>3.884196428571427</c:v>
                </c:pt>
                <c:pt idx="43">
                  <c:v>3.884196428571427</c:v>
                </c:pt>
                <c:pt idx="44">
                  <c:v>3.884196428571427</c:v>
                </c:pt>
                <c:pt idx="45">
                  <c:v>3.884196428571427</c:v>
                </c:pt>
                <c:pt idx="46">
                  <c:v>3.884196428571427</c:v>
                </c:pt>
                <c:pt idx="47">
                  <c:v>3.884196428571427</c:v>
                </c:pt>
                <c:pt idx="48">
                  <c:v>3.884196428571427</c:v>
                </c:pt>
                <c:pt idx="49">
                  <c:v>3.884196428571427</c:v>
                </c:pt>
                <c:pt idx="50">
                  <c:v>3.884196428571427</c:v>
                </c:pt>
                <c:pt idx="51">
                  <c:v>3.884196428571427</c:v>
                </c:pt>
                <c:pt idx="52">
                  <c:v>3.884196428571427</c:v>
                </c:pt>
                <c:pt idx="53">
                  <c:v>3.884196428571427</c:v>
                </c:pt>
                <c:pt idx="54">
                  <c:v>3.884196428571427</c:v>
                </c:pt>
                <c:pt idx="55">
                  <c:v>3.884196428571427</c:v>
                </c:pt>
                <c:pt idx="56">
                  <c:v>3.884196428571427</c:v>
                </c:pt>
                <c:pt idx="57">
                  <c:v>3.884196428571427</c:v>
                </c:pt>
                <c:pt idx="58">
                  <c:v>3.9699999999999989</c:v>
                </c:pt>
                <c:pt idx="59">
                  <c:v>3.9699999999999989</c:v>
                </c:pt>
                <c:pt idx="60">
                  <c:v>3.9699999999999989</c:v>
                </c:pt>
                <c:pt idx="61">
                  <c:v>3.9699999999999989</c:v>
                </c:pt>
                <c:pt idx="62">
                  <c:v>3.9699999999999989</c:v>
                </c:pt>
                <c:pt idx="63">
                  <c:v>3.9699999999999989</c:v>
                </c:pt>
                <c:pt idx="64">
                  <c:v>3.9699999999999989</c:v>
                </c:pt>
                <c:pt idx="65">
                  <c:v>3.9699999999999989</c:v>
                </c:pt>
                <c:pt idx="66">
                  <c:v>3.9699999999999989</c:v>
                </c:pt>
                <c:pt idx="67">
                  <c:v>3.9699999999999989</c:v>
                </c:pt>
                <c:pt idx="68">
                  <c:v>3.9699999999999989</c:v>
                </c:pt>
                <c:pt idx="69">
                  <c:v>3.9699999999999989</c:v>
                </c:pt>
                <c:pt idx="70">
                  <c:v>3.9699999999999989</c:v>
                </c:pt>
                <c:pt idx="71">
                  <c:v>3.9699999999999989</c:v>
                </c:pt>
                <c:pt idx="72">
                  <c:v>3.9699999999999989</c:v>
                </c:pt>
                <c:pt idx="73">
                  <c:v>3.9699999999999989</c:v>
                </c:pt>
                <c:pt idx="74">
                  <c:v>3.9699999999999989</c:v>
                </c:pt>
                <c:pt idx="75">
                  <c:v>3.9699999999999989</c:v>
                </c:pt>
                <c:pt idx="76">
                  <c:v>3.9699999999999989</c:v>
                </c:pt>
                <c:pt idx="77">
                  <c:v>3.9699999999999989</c:v>
                </c:pt>
                <c:pt idx="78">
                  <c:v>3.9699999999999989</c:v>
                </c:pt>
                <c:pt idx="79">
                  <c:v>3.9699999999999989</c:v>
                </c:pt>
                <c:pt idx="80">
                  <c:v>3.9699999999999989</c:v>
                </c:pt>
                <c:pt idx="81">
                  <c:v>3.9699999999999989</c:v>
                </c:pt>
                <c:pt idx="82">
                  <c:v>3.9699999999999989</c:v>
                </c:pt>
                <c:pt idx="83">
                  <c:v>3.9699999999999989</c:v>
                </c:pt>
                <c:pt idx="84">
                  <c:v>3.9699999999999989</c:v>
                </c:pt>
                <c:pt idx="85">
                  <c:v>3.9699999999999989</c:v>
                </c:pt>
                <c:pt idx="86">
                  <c:v>3.9699999999999989</c:v>
                </c:pt>
                <c:pt idx="87">
                  <c:v>3.9699999999999989</c:v>
                </c:pt>
                <c:pt idx="88">
                  <c:v>3.9699999999999989</c:v>
                </c:pt>
                <c:pt idx="89">
                  <c:v>3.9699999999999989</c:v>
                </c:pt>
                <c:pt idx="90">
                  <c:v>3.9699999999999989</c:v>
                </c:pt>
                <c:pt idx="91">
                  <c:v>3.9699999999999989</c:v>
                </c:pt>
                <c:pt idx="92">
                  <c:v>3.9699999999999989</c:v>
                </c:pt>
                <c:pt idx="93">
                  <c:v>3.9699999999999989</c:v>
                </c:pt>
                <c:pt idx="94">
                  <c:v>3.9699999999999989</c:v>
                </c:pt>
                <c:pt idx="95">
                  <c:v>3.9699999999999989</c:v>
                </c:pt>
                <c:pt idx="96">
                  <c:v>3.9699999999999989</c:v>
                </c:pt>
                <c:pt idx="97">
                  <c:v>3.9699999999999989</c:v>
                </c:pt>
                <c:pt idx="98">
                  <c:v>3.9699999999999989</c:v>
                </c:pt>
                <c:pt idx="99">
                  <c:v>3.9699999999999989</c:v>
                </c:pt>
                <c:pt idx="100">
                  <c:v>4.1743181818181752</c:v>
                </c:pt>
                <c:pt idx="101">
                  <c:v>4.1743181818181752</c:v>
                </c:pt>
                <c:pt idx="102">
                  <c:v>4.1743181818181752</c:v>
                </c:pt>
                <c:pt idx="103">
                  <c:v>4.1743181818181752</c:v>
                </c:pt>
                <c:pt idx="104">
                  <c:v>4.1743181818181752</c:v>
                </c:pt>
                <c:pt idx="105">
                  <c:v>4.1743181818181752</c:v>
                </c:pt>
                <c:pt idx="106">
                  <c:v>4.1743181818181752</c:v>
                </c:pt>
                <c:pt idx="107">
                  <c:v>4.1743181818181752</c:v>
                </c:pt>
                <c:pt idx="108">
                  <c:v>4.1743181818181752</c:v>
                </c:pt>
                <c:pt idx="109">
                  <c:v>4.1743181818181752</c:v>
                </c:pt>
                <c:pt idx="110">
                  <c:v>4.1743181818181752</c:v>
                </c:pt>
                <c:pt idx="111">
                  <c:v>4.1743181818181752</c:v>
                </c:pt>
                <c:pt idx="112">
                  <c:v>4.1743181818181752</c:v>
                </c:pt>
                <c:pt idx="113">
                  <c:v>4.1743181818181752</c:v>
                </c:pt>
                <c:pt idx="114">
                  <c:v>4.1743181818181752</c:v>
                </c:pt>
                <c:pt idx="115">
                  <c:v>4.1743181818181752</c:v>
                </c:pt>
                <c:pt idx="116">
                  <c:v>4.1743181818181752</c:v>
                </c:pt>
                <c:pt idx="117">
                  <c:v>4.1743181818181752</c:v>
                </c:pt>
                <c:pt idx="118">
                  <c:v>4.1743181818181752</c:v>
                </c:pt>
                <c:pt idx="119">
                  <c:v>4.1743181818181752</c:v>
                </c:pt>
                <c:pt idx="120">
                  <c:v>4.1743181818181752</c:v>
                </c:pt>
                <c:pt idx="121">
                  <c:v>4.1743181818181752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3.7621129497097672E-2</c:v>
                </c:pt>
                <c:pt idx="95">
                  <c:v>3.7233282801251301E-2</c:v>
                </c:pt>
                <c:pt idx="96">
                  <c:v>3.6853351344095675E-2</c:v>
                </c:pt>
                <c:pt idx="97">
                  <c:v>3.6481095269912896E-2</c:v>
                </c:pt>
                <c:pt idx="98">
                  <c:v>3.648393607485003E-2</c:v>
                </c:pt>
                <c:pt idx="99">
                  <c:v>3.6486757431845582E-2</c:v>
                </c:pt>
                <c:pt idx="100">
                  <c:v>3.6487579060578E-2</c:v>
                </c:pt>
                <c:pt idx="101">
                  <c:v>3.7198599873656604E-2</c:v>
                </c:pt>
                <c:pt idx="102">
                  <c:v>3.6840921028717603E-2</c:v>
                </c:pt>
                <c:pt idx="103">
                  <c:v>3.6490055114158385E-2</c:v>
                </c:pt>
                <c:pt idx="104">
                  <c:v>3.6490953407092817E-2</c:v>
                </c:pt>
                <c:pt idx="105">
                  <c:v>3.6493758533470276E-2</c:v>
                </c:pt>
                <c:pt idx="106">
                  <c:v>3.6494674218970534E-2</c:v>
                </c:pt>
                <c:pt idx="107">
                  <c:v>3.6516938799413062E-2</c:v>
                </c:pt>
                <c:pt idx="108">
                  <c:v>3.724657597196894E-2</c:v>
                </c:pt>
                <c:pt idx="109">
                  <c:v>3.6911021233482735E-2</c:v>
                </c:pt>
                <c:pt idx="110">
                  <c:v>3.6581458543898063E-2</c:v>
                </c:pt>
                <c:pt idx="111">
                  <c:v>3.6602314349538173E-2</c:v>
                </c:pt>
                <c:pt idx="112">
                  <c:v>3.6624615334309774E-2</c:v>
                </c:pt>
                <c:pt idx="113">
                  <c:v>3.6646565067584749E-2</c:v>
                </c:pt>
                <c:pt idx="114">
                  <c:v>3.666904479816431E-2</c:v>
                </c:pt>
                <c:pt idx="115">
                  <c:v>3.7367449739965045E-2</c:v>
                </c:pt>
                <c:pt idx="116">
                  <c:v>3.7050776437083981E-2</c:v>
                </c:pt>
                <c:pt idx="117">
                  <c:v>3.6739425374587478E-2</c:v>
                </c:pt>
                <c:pt idx="118">
                  <c:v>3.6762210433344711E-2</c:v>
                </c:pt>
                <c:pt idx="119">
                  <c:v>3.678298107374358E-2</c:v>
                </c:pt>
                <c:pt idx="120">
                  <c:v>3.6805105520490933E-2</c:v>
                </c:pt>
                <c:pt idx="121">
                  <c:v>3.6825604125548833E-2</c:v>
                </c:pt>
                <c:pt idx="122">
                  <c:v>3.7480172085240952E-2</c:v>
                </c:pt>
                <c:pt idx="123">
                  <c:v>3.7180330708559028E-2</c:v>
                </c:pt>
                <c:pt idx="124">
                  <c:v>3.6885248718808557E-2</c:v>
                </c:pt>
                <c:pt idx="125">
                  <c:v>3.6904604301458879E-2</c:v>
                </c:pt>
                <c:pt idx="126">
                  <c:v>3.6923690616655971E-2</c:v>
                </c:pt>
                <c:pt idx="127">
                  <c:v>3.6942513929983031E-2</c:v>
                </c:pt>
                <c:pt idx="128">
                  <c:v>3.6961080314237935E-2</c:v>
                </c:pt>
                <c:pt idx="129">
                  <c:v>3.7880778638205201E-2</c:v>
                </c:pt>
                <c:pt idx="130">
                  <c:v>3.7593803042461224E-2</c:v>
                </c:pt>
                <c:pt idx="131">
                  <c:v>3.7311142869209633E-2</c:v>
                </c:pt>
                <c:pt idx="132">
                  <c:v>3.7032701504514043E-2</c:v>
                </c:pt>
                <c:pt idx="133">
                  <c:v>3.7050069472944237E-2</c:v>
                </c:pt>
                <c:pt idx="134">
                  <c:v>3.7067213269753076E-2</c:v>
                </c:pt>
                <c:pt idx="135">
                  <c:v>3.7084137807154395E-2</c:v>
                </c:pt>
                <c:pt idx="136">
                  <c:v>3.7671719223193456E-2</c:v>
                </c:pt>
                <c:pt idx="137">
                  <c:v>3.7400699660436666E-2</c:v>
                </c:pt>
                <c:pt idx="138">
                  <c:v>3.7133551805719263E-2</c:v>
                </c:pt>
                <c:pt idx="139">
                  <c:v>3.7149646291649754E-2</c:v>
                </c:pt>
                <c:pt idx="140">
                  <c:v>3.7165544033745695E-2</c:v>
                </c:pt>
                <c:pt idx="141">
                  <c:v>3.7181249162707618E-2</c:v>
                </c:pt>
                <c:pt idx="142">
                  <c:v>3.7196765694494371E-2</c:v>
                </c:pt>
                <c:pt idx="143">
                  <c:v>3.775582005102035E-2</c:v>
                </c:pt>
                <c:pt idx="144">
                  <c:v>3.7497218543821584E-2</c:v>
                </c:pt>
                <c:pt idx="145">
                  <c:v>3.724213542447586E-2</c:v>
                </c:pt>
                <c:pt idx="146">
                  <c:v>3.7256936144653675E-2</c:v>
                </c:pt>
                <c:pt idx="147">
                  <c:v>3.7271566751534507E-2</c:v>
                </c:pt>
                <c:pt idx="148">
                  <c:v>3.7286030650444779E-2</c:v>
                </c:pt>
                <c:pt idx="149">
                  <c:v>3.7306101792430844E-2</c:v>
                </c:pt>
                <c:pt idx="150">
                  <c:v>3.7856480447766572E-2</c:v>
                </c:pt>
                <c:pt idx="151">
                  <c:v>3.7609052470983784E-2</c:v>
                </c:pt>
                <c:pt idx="152">
                  <c:v>3.7364837844548825E-2</c:v>
                </c:pt>
                <c:pt idx="153">
                  <c:v>3.7383997334182545E-2</c:v>
                </c:pt>
                <c:pt idx="154">
                  <c:v>3.7402939702189962E-2</c:v>
                </c:pt>
                <c:pt idx="155">
                  <c:v>3.7421669100515573E-2</c:v>
                </c:pt>
                <c:pt idx="156">
                  <c:v>3.7440189575992884E-2</c:v>
                </c:pt>
                <c:pt idx="157">
                  <c:v>3.7966081849788592E-2</c:v>
                </c:pt>
                <c:pt idx="158">
                  <c:v>3.7728793838227415E-2</c:v>
                </c:pt>
                <c:pt idx="159">
                  <c:v>3.749445350382849E-2</c:v>
                </c:pt>
                <c:pt idx="160">
                  <c:v>3.7512177269896085E-2</c:v>
                </c:pt>
                <c:pt idx="161">
                  <c:v>3.7777380538754589E-2</c:v>
                </c:pt>
                <c:pt idx="162">
                  <c:v>3.7547030657420717E-2</c:v>
                </c:pt>
                <c:pt idx="163">
                  <c:v>3.7564194465005099E-2</c:v>
                </c:pt>
                <c:pt idx="164">
                  <c:v>3.8067726639706069E-2</c:v>
                </c:pt>
                <c:pt idx="165">
                  <c:v>3.7839776180785677E-2</c:v>
                </c:pt>
                <c:pt idx="166">
                  <c:v>3.7614539417804807E-2</c:v>
                </c:pt>
                <c:pt idx="167">
                  <c:v>3.763100292440702E-2</c:v>
                </c:pt>
                <c:pt idx="168">
                  <c:v>3.7647298947856664E-2</c:v>
                </c:pt>
                <c:pt idx="169">
                  <c:v>3.7663430429327682E-2</c:v>
                </c:pt>
                <c:pt idx="170">
                  <c:v>3.7679400241595086E-2</c:v>
                </c:pt>
                <c:pt idx="171">
                  <c:v>3.8162433092636429E-2</c:v>
                </c:pt>
                <c:pt idx="172">
                  <c:v>3.7943108764517827E-2</c:v>
                </c:pt>
                <c:pt idx="173">
                  <c:v>3.7726291000149154E-2</c:v>
                </c:pt>
                <c:pt idx="174">
                  <c:v>3.7741641988890656E-2</c:v>
                </c:pt>
                <c:pt idx="175">
                  <c:v>3.7756844708364774E-2</c:v>
                </c:pt>
                <c:pt idx="176">
                  <c:v>3.799907571724645E-2</c:v>
                </c:pt>
                <c:pt idx="177">
                  <c:v>3.7786790378043958E-2</c:v>
                </c:pt>
                <c:pt idx="178">
                  <c:v>3.8250962110594866E-2</c:v>
                </c:pt>
                <c:pt idx="179">
                  <c:v>3.803963082821589E-2</c:v>
                </c:pt>
                <c:pt idx="180">
                  <c:v>3.7830621867621296E-2</c:v>
                </c:pt>
                <c:pt idx="181">
                  <c:v>3.7844986128442469E-2</c:v>
                </c:pt>
                <c:pt idx="182">
                  <c:v>3.7859218504687764E-2</c:v>
                </c:pt>
                <c:pt idx="183">
                  <c:v>3.7873321137685483E-2</c:v>
                </c:pt>
                <c:pt idx="184">
                  <c:v>3.788729612271427E-2</c:v>
                </c:pt>
                <c:pt idx="185">
                  <c:v>3.8334056008512279E-2</c:v>
                </c:pt>
                <c:pt idx="186">
                  <c:v>3.8130151455275513E-2</c:v>
                </c:pt>
                <c:pt idx="187">
                  <c:v>3.7928404622178814E-2</c:v>
                </c:pt>
                <c:pt idx="188">
                  <c:v>3.7941889454553145E-2</c:v>
                </c:pt>
                <c:pt idx="189">
                  <c:v>3.79552564625305E-2</c:v>
                </c:pt>
                <c:pt idx="190">
                  <c:v>3.796850748968128E-2</c:v>
                </c:pt>
                <c:pt idx="191">
                  <c:v>3.7992445149584303E-2</c:v>
                </c:pt>
                <c:pt idx="192">
                  <c:v>3.845526884661625E-2</c:v>
                </c:pt>
                <c:pt idx="193">
                  <c:v>3.8258062339710526E-2</c:v>
                </c:pt>
                <c:pt idx="194">
                  <c:v>3.806286814409976E-2</c:v>
                </c:pt>
                <c:pt idx="195">
                  <c:v>3.8085941050287835E-2</c:v>
                </c:pt>
                <c:pt idx="196">
                  <c:v>3.8108805849162278E-2</c:v>
                </c:pt>
                <c:pt idx="197">
                  <c:v>3.8131465680897383E-2</c:v>
                </c:pt>
                <c:pt idx="198">
                  <c:v>3.8153923622865536E-2</c:v>
                </c:pt>
                <c:pt idx="199">
                  <c:v>3.8600341858934337E-2</c:v>
                </c:pt>
                <c:pt idx="200">
                  <c:v>3.8409251057652485E-2</c:v>
                </c:pt>
                <c:pt idx="201">
                  <c:v>3.8220042924363561E-2</c:v>
                </c:pt>
                <c:pt idx="202">
                  <c:v>3.8241723228292585E-2</c:v>
                </c:pt>
                <c:pt idx="203">
                  <c:v>3.8263216136942051E-2</c:v>
                </c:pt>
                <c:pt idx="204">
                  <c:v>3.8284524382152837E-2</c:v>
                </c:pt>
                <c:pt idx="205">
                  <c:v>3.8923877604897912E-2</c:v>
                </c:pt>
                <c:pt idx="206">
                  <c:v>3.8736743577951288E-2</c:v>
                </c:pt>
                <c:pt idx="207">
                  <c:v>3.855140030724339E-2</c:v>
                </c:pt>
                <c:pt idx="208">
                  <c:v>3.8367822210542232E-2</c:v>
                </c:pt>
                <c:pt idx="209">
                  <c:v>3.8388246965732495E-2</c:v>
                </c:pt>
                <c:pt idx="210">
                  <c:v>3.8408502376958024E-2</c:v>
                </c:pt>
                <c:pt idx="211">
                  <c:v>3.8428590832039276E-2</c:v>
                </c:pt>
                <c:pt idx="212">
                  <c:v>3.9047004763606653E-2</c:v>
                </c:pt>
                <c:pt idx="213">
                  <c:v>3.8865390787961966E-2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9</xdr:row>
      <xdr:rowOff>41251</xdr:rowOff>
    </xdr:from>
    <xdr:to>
      <xdr:col>22</xdr:col>
      <xdr:colOff>609600</xdr:colOff>
      <xdr:row>21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</xdr:row>
          <xdr:rowOff>9525</xdr:rowOff>
        </xdr:from>
        <xdr:to>
          <xdr:col>25</xdr:col>
          <xdr:colOff>733425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49" totalsRowShown="0" headerRowDxfId="12" tableBorderDxfId="11">
  <autoFilter ref="A1:G49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www.cmegroup.com/trading/interest-rates/settlements.html" TargetMode="Externa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AC26"/>
  <sheetViews>
    <sheetView topLeftCell="C1" zoomScale="75" zoomScaleNormal="75" workbookViewId="0">
      <selection activeCell="AA7" sqref="AA7:AA8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25" width="10.875" style="17"/>
    <col min="26" max="26" width="12.125" style="17" bestFit="1" customWidth="1"/>
    <col min="27" max="16384" width="10.875" style="17"/>
  </cols>
  <sheetData>
    <row r="1" spans="1:29" ht="15.75" thickBot="1">
      <c r="A1" s="315">
        <f ca="1">NOW()</f>
        <v>46296.553496527777</v>
      </c>
      <c r="B1" s="469" t="s">
        <v>26</v>
      </c>
      <c r="C1" s="470"/>
      <c r="D1" s="22" t="s">
        <v>127</v>
      </c>
      <c r="E1" s="469" t="s">
        <v>27</v>
      </c>
      <c r="F1" s="470"/>
      <c r="G1" s="22" t="s">
        <v>77</v>
      </c>
      <c r="H1" s="469" t="s">
        <v>30</v>
      </c>
      <c r="I1" s="470"/>
      <c r="K1" s="378" t="s">
        <v>90</v>
      </c>
      <c r="L1" s="379"/>
      <c r="M1" s="379"/>
      <c r="N1" s="379"/>
      <c r="O1" s="380"/>
      <c r="P1" s="471" t="str">
        <f>B1</f>
        <v>FED FUNDS</v>
      </c>
      <c r="Q1" s="472"/>
      <c r="R1" s="472"/>
      <c r="S1" s="472"/>
      <c r="T1" s="473"/>
      <c r="U1" s="344" t="str">
        <f>PYTHON!A15</f>
        <v>cd git-projects\trading\apps</v>
      </c>
    </row>
    <row r="2" spans="1:29" s="31" customFormat="1" ht="15.75" thickBot="1">
      <c r="A2" s="316">
        <f ca="1">NOW()</f>
        <v>46296.553496527777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63</v>
      </c>
      <c r="H2" s="24" t="s">
        <v>24</v>
      </c>
      <c r="I2" s="25" t="s">
        <v>25</v>
      </c>
      <c r="J2" s="23"/>
      <c r="K2" s="28" t="s">
        <v>88</v>
      </c>
      <c r="L2" s="29" t="s">
        <v>116</v>
      </c>
      <c r="M2" s="251" t="s">
        <v>165</v>
      </c>
      <c r="N2" s="29" t="s">
        <v>75</v>
      </c>
      <c r="O2" s="30" t="s">
        <v>115</v>
      </c>
      <c r="P2" s="28" t="s">
        <v>165</v>
      </c>
      <c r="Q2" s="29" t="s">
        <v>209</v>
      </c>
      <c r="R2" s="29" t="s">
        <v>202</v>
      </c>
      <c r="S2" s="29" t="s">
        <v>203</v>
      </c>
      <c r="T2" s="30" t="s">
        <v>204</v>
      </c>
      <c r="U2" s="344" t="str">
        <f>PYTHON!A16</f>
        <v>python App_Stream_ShortRates.py</v>
      </c>
    </row>
    <row r="3" spans="1:29">
      <c r="A3" s="38">
        <v>46204</v>
      </c>
      <c r="B3" s="44"/>
      <c r="C3" s="45"/>
      <c r="D3" s="145"/>
      <c r="E3" s="44"/>
      <c r="F3" s="45"/>
      <c r="G3" s="325"/>
      <c r="H3" s="44">
        <f>INPUT!H35</f>
        <v>96.262500000000003</v>
      </c>
      <c r="I3" s="45">
        <f t="shared" ref="I3:I8" si="0">100-H3</f>
        <v>3.7374999999999972</v>
      </c>
      <c r="J3" s="38">
        <f t="shared" ref="J3:J8" si="1">A3</f>
        <v>46204</v>
      </c>
      <c r="K3" s="39"/>
      <c r="L3" s="40"/>
      <c r="M3" s="295"/>
      <c r="N3" s="40"/>
      <c r="O3" s="41"/>
      <c r="P3" s="372"/>
      <c r="Q3" s="40"/>
      <c r="R3" s="371"/>
      <c r="S3" s="40"/>
      <c r="T3" s="41"/>
      <c r="U3" s="40">
        <v>3.9999999999807301E-2</v>
      </c>
      <c r="V3" s="40">
        <f t="shared" ref="V3:V8" si="2">U3-T3</f>
        <v>3.9999999999807301E-2</v>
      </c>
      <c r="W3" s="18"/>
      <c r="AB3" s="31"/>
      <c r="AC3" s="31"/>
    </row>
    <row r="4" spans="1:29">
      <c r="A4" s="38">
        <v>46235</v>
      </c>
      <c r="B4" s="44"/>
      <c r="C4" s="45"/>
      <c r="D4" s="145"/>
      <c r="E4" s="44"/>
      <c r="F4" s="45"/>
      <c r="G4" s="325"/>
      <c r="H4" s="44">
        <f>INPUT!H36</f>
        <v>96.157499999999999</v>
      </c>
      <c r="I4" s="45">
        <f>100-H4</f>
        <v>3.8425000000000011</v>
      </c>
      <c r="J4" s="38">
        <f t="shared" si="1"/>
        <v>46235</v>
      </c>
      <c r="K4" s="39"/>
      <c r="L4" s="40"/>
      <c r="M4" s="295"/>
      <c r="N4" s="40"/>
      <c r="O4" s="41"/>
      <c r="P4" s="408"/>
      <c r="Q4" s="409"/>
      <c r="R4" s="40"/>
      <c r="S4" s="40"/>
      <c r="T4" s="41"/>
      <c r="U4" s="40">
        <v>3.9999999999807301E-2</v>
      </c>
      <c r="V4" s="40">
        <f t="shared" si="2"/>
        <v>3.9999999999807301E-2</v>
      </c>
      <c r="W4" s="18"/>
      <c r="X4" s="40"/>
      <c r="AB4" s="31"/>
      <c r="AC4" s="31"/>
    </row>
    <row r="5" spans="1:29">
      <c r="A5" s="32">
        <v>46266</v>
      </c>
      <c r="B5" s="95">
        <f>INPUT!H2</f>
        <v>-1</v>
      </c>
      <c r="C5" s="34">
        <f t="shared" ref="C5:C8" si="3">100-B5</f>
        <v>101</v>
      </c>
      <c r="D5" s="286">
        <f t="shared" ref="D5:D8" si="4">B5-E5</f>
        <v>0</v>
      </c>
      <c r="E5" s="33">
        <f>INPUT!H18</f>
        <v>-1</v>
      </c>
      <c r="F5" s="34">
        <f t="shared" ref="F5:F8" si="5">100-E5</f>
        <v>101</v>
      </c>
      <c r="G5" s="324">
        <f ca="1">'3M SOFR CALCS'!F39</f>
        <v>-3.5189893939957528E-4</v>
      </c>
      <c r="H5" s="33">
        <f>INPUT!H37</f>
        <v>96.042500000000004</v>
      </c>
      <c r="I5" s="34">
        <f>100-H5</f>
        <v>3.957499999999996</v>
      </c>
      <c r="J5" s="32">
        <f t="shared" si="1"/>
        <v>46266</v>
      </c>
      <c r="K5" s="35"/>
      <c r="L5" s="36"/>
      <c r="M5" s="252" t="s">
        <v>132</v>
      </c>
      <c r="N5" s="36"/>
      <c r="O5" s="37"/>
      <c r="P5" s="410"/>
      <c r="Q5" s="411"/>
      <c r="R5" s="406">
        <f ca="1">'DAILY EXTRAPOLATION'!K2477</f>
        <v>3.8775000000000057</v>
      </c>
      <c r="S5" s="36">
        <f ca="1">R5-P5</f>
        <v>3.8775000000000057</v>
      </c>
      <c r="T5" s="37"/>
      <c r="U5" s="40">
        <v>0.21196428571408532</v>
      </c>
      <c r="V5" s="40">
        <f t="shared" si="2"/>
        <v>0.21196428571408532</v>
      </c>
      <c r="W5" s="18"/>
      <c r="AB5" s="31"/>
      <c r="AC5" s="31"/>
    </row>
    <row r="6" spans="1:29" ht="15.75" thickBot="1">
      <c r="A6" s="38">
        <v>46296</v>
      </c>
      <c r="B6" s="44">
        <f>INPUT!H3</f>
        <v>96.114999999999995</v>
      </c>
      <c r="C6" s="45">
        <f>100-B6</f>
        <v>3.8850000000000051</v>
      </c>
      <c r="D6" s="145">
        <f>B6-E6</f>
        <v>7.4999999999931788E-3</v>
      </c>
      <c r="E6" s="44">
        <f>INPUT!H19</f>
        <v>96.107500000000002</v>
      </c>
      <c r="F6" s="45">
        <f>100-E6</f>
        <v>3.8924999999999983</v>
      </c>
      <c r="G6" s="388">
        <v>2027</v>
      </c>
      <c r="H6" s="44">
        <f>INPUT!H38</f>
        <v>95.927499999999995</v>
      </c>
      <c r="I6" s="45">
        <f t="shared" si="0"/>
        <v>4.0725000000000051</v>
      </c>
      <c r="J6" s="38">
        <f t="shared" si="1"/>
        <v>46296</v>
      </c>
      <c r="K6" s="39"/>
      <c r="L6" s="40"/>
      <c r="M6" s="295" t="s">
        <v>131</v>
      </c>
      <c r="N6" s="40"/>
      <c r="O6" s="41"/>
      <c r="P6" s="372">
        <f ca="1">'DAILY EXTRAPOLATION'!K2525</f>
        <v>3.8775000000000057</v>
      </c>
      <c r="Q6" s="40"/>
      <c r="R6" s="371">
        <f>'DAILY EXTRAPOLATION'!K2507</f>
        <v>3.9549999999999983</v>
      </c>
      <c r="S6" s="40">
        <f ca="1">R6-P6</f>
        <v>7.7499999999992575E-2</v>
      </c>
      <c r="T6" s="41">
        <f t="shared" ref="T6:T7" ca="1" si="6">T5+S6</f>
        <v>7.7499999999992575E-2</v>
      </c>
      <c r="U6" s="40">
        <v>0.29499999999980275</v>
      </c>
      <c r="V6" s="40">
        <f t="shared" ca="1" si="2"/>
        <v>0.21749999999981018</v>
      </c>
      <c r="W6" s="18"/>
      <c r="X6" s="18"/>
      <c r="Y6" s="18"/>
      <c r="Z6" s="18"/>
      <c r="AA6" s="18"/>
      <c r="AB6" s="18"/>
      <c r="AC6" s="18"/>
    </row>
    <row r="7" spans="1:29">
      <c r="A7" s="38">
        <v>46327</v>
      </c>
      <c r="B7" s="44">
        <f>INPUT!H4</f>
        <v>96.045000000000002</v>
      </c>
      <c r="C7" s="45">
        <f>100-B7</f>
        <v>3.9549999999999983</v>
      </c>
      <c r="D7" s="145">
        <f>B7-E7</f>
        <v>1.5000000000000568E-2</v>
      </c>
      <c r="E7" s="44">
        <f>INPUT!H20</f>
        <v>96.03</v>
      </c>
      <c r="F7" s="45">
        <f>100-E7</f>
        <v>3.9699999999999989</v>
      </c>
      <c r="G7" s="388">
        <v>2027</v>
      </c>
      <c r="H7" s="44">
        <f>INPUT!H39</f>
        <v>95.85</v>
      </c>
      <c r="I7" s="45">
        <f t="shared" ref="I7" si="7">100-H7</f>
        <v>4.1500000000000057</v>
      </c>
      <c r="J7" s="38">
        <f t="shared" si="1"/>
        <v>46327</v>
      </c>
      <c r="K7" s="39"/>
      <c r="L7" s="40"/>
      <c r="M7" s="295"/>
      <c r="N7" s="40"/>
      <c r="O7" s="41"/>
      <c r="P7" s="39"/>
      <c r="Q7" s="371">
        <f>'DAILY EXTRAPOLATION'!K2540</f>
        <v>3.9549999999999983</v>
      </c>
      <c r="R7" s="40"/>
      <c r="S7" s="40"/>
      <c r="T7" s="41">
        <f t="shared" ca="1" si="6"/>
        <v>7.7499999999992575E-2</v>
      </c>
      <c r="U7" s="40">
        <v>0.29499999999980275</v>
      </c>
      <c r="V7" s="40">
        <f t="shared" ca="1" si="2"/>
        <v>0.21749999999981018</v>
      </c>
      <c r="Y7" s="125" t="s">
        <v>160</v>
      </c>
      <c r="Z7" s="460">
        <v>46295</v>
      </c>
      <c r="AA7" s="467">
        <v>3.88</v>
      </c>
      <c r="AB7" s="31"/>
      <c r="AC7" s="31"/>
    </row>
    <row r="8" spans="1:29" ht="15.75" thickBot="1">
      <c r="A8" s="43">
        <v>46357</v>
      </c>
      <c r="B8" s="50">
        <f>INPUT!H5</f>
        <v>95.92</v>
      </c>
      <c r="C8" s="51">
        <f t="shared" si="3"/>
        <v>4.0799999999999983</v>
      </c>
      <c r="D8" s="396">
        <f t="shared" si="4"/>
        <v>3.4999999999996589E-2</v>
      </c>
      <c r="E8" s="50">
        <f>INPUT!H21</f>
        <v>95.885000000000005</v>
      </c>
      <c r="F8" s="51">
        <f t="shared" si="5"/>
        <v>4.1149999999999949</v>
      </c>
      <c r="G8" s="389">
        <v>2027</v>
      </c>
      <c r="H8" s="50">
        <f>INPUT!H40</f>
        <v>95.77</v>
      </c>
      <c r="I8" s="51">
        <f t="shared" si="0"/>
        <v>4.230000000000004</v>
      </c>
      <c r="J8" s="43">
        <f t="shared" si="1"/>
        <v>46357</v>
      </c>
      <c r="K8" s="46"/>
      <c r="L8" s="47"/>
      <c r="M8" s="253" t="s">
        <v>211</v>
      </c>
      <c r="N8" s="47"/>
      <c r="O8" s="48"/>
      <c r="P8" s="373">
        <f ca="1">'DAILY EXTRAPOLATION'!K2568</f>
        <v>3.9549999999999983</v>
      </c>
      <c r="Q8" s="407"/>
      <c r="R8" s="407">
        <f ca="1">'DAILY EXTRAPOLATION'!K2586</f>
        <v>4.1311363636363616</v>
      </c>
      <c r="S8" s="47">
        <f ca="1">R8-P8</f>
        <v>0.17613636363636331</v>
      </c>
      <c r="T8" s="48">
        <f ca="1">T7+S8</f>
        <v>0.25363636363635589</v>
      </c>
      <c r="U8" s="40">
        <v>0.38659090909070848</v>
      </c>
      <c r="V8" s="40">
        <f t="shared" ca="1" si="2"/>
        <v>0.13295454545435259</v>
      </c>
      <c r="Y8" s="130" t="s">
        <v>161</v>
      </c>
      <c r="Z8" s="461">
        <v>46295</v>
      </c>
      <c r="AA8" s="468">
        <v>3.9</v>
      </c>
      <c r="AB8" s="31"/>
      <c r="AC8" s="31"/>
    </row>
    <row r="9" spans="1:29">
      <c r="R9" s="177" t="s">
        <v>245</v>
      </c>
      <c r="S9" s="417">
        <v>0.25</v>
      </c>
      <c r="T9" s="420">
        <f ca="1">T8/S9</f>
        <v>1.0145454545454236</v>
      </c>
      <c r="U9" s="21" t="s">
        <v>249</v>
      </c>
      <c r="V9" s="40"/>
      <c r="AB9" s="31"/>
      <c r="AC9" s="31"/>
    </row>
    <row r="10" spans="1:29">
      <c r="AB10" s="31"/>
      <c r="AC10" s="31"/>
    </row>
    <row r="11" spans="1:29">
      <c r="AB11" s="31"/>
      <c r="AC11" s="31"/>
    </row>
    <row r="12" spans="1:29">
      <c r="AB12" s="31"/>
      <c r="AC12" s="31"/>
    </row>
    <row r="13" spans="1:29">
      <c r="AB13" s="31"/>
      <c r="AC13" s="31"/>
    </row>
    <row r="14" spans="1:29">
      <c r="AB14" s="31"/>
      <c r="AC14" s="31"/>
    </row>
    <row r="18" spans="10:10">
      <c r="J18" s="17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</sheetData>
  <mergeCells count="4">
    <mergeCell ref="B1:C1"/>
    <mergeCell ref="E1:F1"/>
    <mergeCell ref="H1:I1"/>
    <mergeCell ref="P1:T1"/>
  </mergeCells>
  <conditionalFormatting sqref="C3:C8">
    <cfRule type="top10" dxfId="683" priority="3255" bottom="1" rank="1"/>
    <cfRule type="top10" dxfId="682" priority="3256" rank="1"/>
  </conditionalFormatting>
  <conditionalFormatting sqref="F3:F8">
    <cfRule type="top10" dxfId="681" priority="3257" bottom="1" rank="1"/>
    <cfRule type="top10" dxfId="680" priority="3258" rank="1"/>
  </conditionalFormatting>
  <conditionalFormatting sqref="O3:O8">
    <cfRule type="top10" dxfId="679" priority="3259" bottom="1" rank="1"/>
    <cfRule type="top10" dxfId="678" priority="3260" rank="1"/>
  </conditionalFormatting>
  <pageMargins left="0.7" right="0.7" top="0.75" bottom="0.75" header="0.3" footer="0.3"/>
  <pageSetup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hortRates">
                <anchor moveWithCells="1" sizeWithCells="1">
                  <from>
                    <xdr:col>24</xdr:col>
                    <xdr:colOff>38100</xdr:colOff>
                    <xdr:row>1</xdr:row>
                    <xdr:rowOff>9525</xdr:rowOff>
                  </from>
                  <to>
                    <xdr:col>25</xdr:col>
                    <xdr:colOff>733425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tabSelected="1" zoomScale="75" zoomScaleNormal="75" workbookViewId="0">
      <pane ySplit="1" topLeftCell="A2490" activePane="bottomLeft" state="frozen"/>
      <selection pane="bottomLeft" activeCell="C2503" sqref="C2503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2" customWidth="1"/>
    <col min="9" max="9" width="14.25" style="454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232</v>
      </c>
      <c r="E1" s="55" t="s">
        <v>38</v>
      </c>
      <c r="F1" s="53" t="s">
        <v>0</v>
      </c>
      <c r="G1" s="212" t="s">
        <v>22</v>
      </c>
      <c r="H1" s="421" t="s">
        <v>28</v>
      </c>
      <c r="I1" s="452" t="s">
        <v>246</v>
      </c>
      <c r="J1" s="55" t="s">
        <v>159</v>
      </c>
      <c r="K1" s="55" t="s">
        <v>160</v>
      </c>
      <c r="L1" s="53" t="s">
        <v>161</v>
      </c>
      <c r="M1" s="474" t="s">
        <v>43</v>
      </c>
      <c r="N1" s="475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INFO'!$L$2:$M$8,2)</f>
        <v>SUN</v>
      </c>
      <c r="G2" s="213">
        <v>1.56</v>
      </c>
      <c r="H2" s="149">
        <v>1.65</v>
      </c>
      <c r="I2" s="453">
        <f>H2-G2</f>
        <v>8.9999999999999858E-2</v>
      </c>
      <c r="J2" s="15" t="s">
        <v>117</v>
      </c>
      <c r="K2" s="15">
        <f>VLOOKUP(MONTH($C2),'CALENDAR INFO'!$O$2:$P$13,2)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INFO'!$L$2:$M$8,2)</f>
        <v>MON</v>
      </c>
      <c r="G3" s="213">
        <v>1.56</v>
      </c>
      <c r="H3" s="149">
        <v>1.63</v>
      </c>
      <c r="I3" s="453">
        <f t="shared" ref="I3:I66" si="0">H3-G3</f>
        <v>6.999999999999984E-2</v>
      </c>
      <c r="J3" s="15" t="s">
        <v>150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INFO'!$L$2:$M$8,2)</f>
        <v>TUE</v>
      </c>
      <c r="G4" s="213">
        <v>1.55</v>
      </c>
      <c r="H4" s="149">
        <v>1.55</v>
      </c>
      <c r="I4" s="453">
        <f t="shared" si="0"/>
        <v>0</v>
      </c>
      <c r="J4" s="15" t="s">
        <v>151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INFO'!$L$2:$M$8,2)</f>
        <v>WED</v>
      </c>
      <c r="G5" s="213">
        <v>1.55</v>
      </c>
      <c r="H5" s="149">
        <v>1.54</v>
      </c>
      <c r="I5" s="453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INFO'!$L$2:$M$8,2)</f>
        <v>THU</v>
      </c>
      <c r="G6" s="213">
        <v>1.55</v>
      </c>
      <c r="H6" s="149">
        <v>1.55</v>
      </c>
      <c r="I6" s="453">
        <f t="shared" si="0"/>
        <v>0</v>
      </c>
      <c r="J6" s="15" t="s">
        <v>152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INFO'!$L$2:$M$8,2)</f>
        <v>FRI</v>
      </c>
      <c r="G7" s="213">
        <v>1.55</v>
      </c>
      <c r="H7" s="149">
        <v>1.55</v>
      </c>
      <c r="I7" s="453">
        <f t="shared" si="0"/>
        <v>0</v>
      </c>
      <c r="J7" s="15" t="s">
        <v>153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INFO'!$L$2:$M$8,2)</f>
        <v>SAT</v>
      </c>
      <c r="G8" s="213">
        <v>1.55</v>
      </c>
      <c r="H8" s="149">
        <v>1.55</v>
      </c>
      <c r="I8" s="453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INFO'!$L$2:$M$8,2)</f>
        <v>SUN</v>
      </c>
      <c r="G9" s="213">
        <v>1.55</v>
      </c>
      <c r="H9" s="149">
        <v>1.55</v>
      </c>
      <c r="I9" s="453">
        <f t="shared" si="0"/>
        <v>0</v>
      </c>
      <c r="J9" s="15" t="s">
        <v>154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INFO'!$L$2:$M$8,2)</f>
        <v>MON</v>
      </c>
      <c r="G10" s="213">
        <v>1.55</v>
      </c>
      <c r="H10" s="149">
        <v>1.56</v>
      </c>
      <c r="I10" s="453">
        <f t="shared" si="0"/>
        <v>1.0000000000000009E-2</v>
      </c>
      <c r="J10" s="15" t="s">
        <v>155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INFO'!$L$2:$M$8,2)</f>
        <v>TUE</v>
      </c>
      <c r="G11" s="213">
        <v>1.55</v>
      </c>
      <c r="H11" s="149">
        <v>1.55</v>
      </c>
      <c r="I11" s="453">
        <f t="shared" si="0"/>
        <v>0</v>
      </c>
      <c r="J11" s="15" t="s">
        <v>156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INFO'!$L$2:$M$8,2)</f>
        <v>WED</v>
      </c>
      <c r="G12" s="213">
        <v>1.55</v>
      </c>
      <c r="H12" s="149">
        <v>1.54</v>
      </c>
      <c r="I12" s="453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INFO'!$L$2:$M$8,2)</f>
        <v>THU</v>
      </c>
      <c r="G13" s="213">
        <v>1.55</v>
      </c>
      <c r="H13" s="149">
        <v>1.53</v>
      </c>
      <c r="I13" s="453">
        <f t="shared" si="0"/>
        <v>-2.0000000000000018E-2</v>
      </c>
      <c r="J13" s="15" t="s">
        <v>157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INFO'!$L$2:$M$8,2)</f>
        <v>FRI</v>
      </c>
      <c r="G14" s="213">
        <v>1.55</v>
      </c>
      <c r="H14" s="149">
        <v>1.54</v>
      </c>
      <c r="I14" s="453">
        <f t="shared" si="0"/>
        <v>-1.0000000000000009E-2</v>
      </c>
      <c r="J14" s="177" t="s">
        <v>158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INFO'!$L$2:$M$8,2)</f>
        <v>SAT</v>
      </c>
      <c r="G15" s="213">
        <v>1.55</v>
      </c>
      <c r="H15" s="149">
        <v>1.54</v>
      </c>
      <c r="I15" s="453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INFO'!$L$2:$M$8,2)</f>
        <v>SUN</v>
      </c>
      <c r="G16" s="213">
        <v>1.55</v>
      </c>
      <c r="H16" s="149">
        <v>1.54</v>
      </c>
      <c r="I16" s="453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INFO'!$L$2:$M$8,2)</f>
        <v>MON</v>
      </c>
      <c r="G17" s="213">
        <v>1.56</v>
      </c>
      <c r="H17" s="149">
        <v>1.62</v>
      </c>
      <c r="I17" s="453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INFO'!$L$2:$M$8,2)</f>
        <v>TUE</v>
      </c>
      <c r="G18" s="213">
        <v>1.55</v>
      </c>
      <c r="H18" s="149">
        <v>1.54</v>
      </c>
      <c r="I18" s="453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INFO'!$L$2:$M$8,2)</f>
        <v>WED</v>
      </c>
      <c r="G19" s="213">
        <v>1.55</v>
      </c>
      <c r="H19" s="149">
        <v>1.53</v>
      </c>
      <c r="I19" s="453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INFO'!$L$2:$M$8,2)</f>
        <v>THU</v>
      </c>
      <c r="G20" s="213">
        <v>1.55</v>
      </c>
      <c r="H20" s="149">
        <v>1.53</v>
      </c>
      <c r="I20" s="453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INFO'!$L$2:$M$8,2)</f>
        <v>FRI</v>
      </c>
      <c r="G21" s="213">
        <v>1.55</v>
      </c>
      <c r="H21" s="149">
        <v>1.53</v>
      </c>
      <c r="I21" s="453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INFO'!$L$2:$M$8,2)</f>
        <v>SAT</v>
      </c>
      <c r="G22" s="213">
        <v>1.55</v>
      </c>
      <c r="H22" s="149">
        <v>1.53</v>
      </c>
      <c r="I22" s="453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INFO'!$L$2:$M$8,2)</f>
        <v>SUN</v>
      </c>
      <c r="G23" s="213">
        <v>1.55</v>
      </c>
      <c r="H23" s="149">
        <v>1.53</v>
      </c>
      <c r="I23" s="453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INFO'!$L$2:$M$8,2)</f>
        <v>MON</v>
      </c>
      <c r="G24" s="213">
        <v>1.55</v>
      </c>
      <c r="H24" s="149">
        <v>1.52</v>
      </c>
      <c r="I24" s="453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INFO'!$L$2:$M$8,2)</f>
        <v>TUE</v>
      </c>
      <c r="G25" s="213">
        <v>1.55</v>
      </c>
      <c r="H25" s="149">
        <v>1.52</v>
      </c>
      <c r="I25" s="453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INFO'!$L$2:$M$8,2)</f>
        <v>WED</v>
      </c>
      <c r="G26" s="213">
        <v>1.55</v>
      </c>
      <c r="H26" s="149">
        <v>1.52</v>
      </c>
      <c r="I26" s="453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INFO'!$L$2:$M$8,2)</f>
        <v>THU</v>
      </c>
      <c r="G27" s="213">
        <v>1.55</v>
      </c>
      <c r="H27" s="149">
        <v>1.52</v>
      </c>
      <c r="I27" s="453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INFO'!$L$2:$M$8,2)</f>
        <v>FRI</v>
      </c>
      <c r="G28" s="214">
        <v>1.55</v>
      </c>
      <c r="H28" s="422">
        <v>1.53</v>
      </c>
      <c r="I28" s="454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INFO'!$L$2:$M$8,2)</f>
        <v>SAT</v>
      </c>
      <c r="G29" s="214">
        <v>1.55</v>
      </c>
      <c r="H29" s="422">
        <v>1.53</v>
      </c>
      <c r="I29" s="454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INFO'!$L$2:$M$8,2)</f>
        <v>SUN</v>
      </c>
      <c r="G30" s="214">
        <v>1.55</v>
      </c>
      <c r="H30" s="422">
        <v>1.53</v>
      </c>
      <c r="I30" s="454">
        <f t="shared" si="0"/>
        <v>-2.0000000000000018E-2</v>
      </c>
      <c r="J30" s="430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INFO'!$L$2:$M$8,2)</f>
        <v>MON</v>
      </c>
      <c r="G31" s="214">
        <v>1.55</v>
      </c>
      <c r="H31" s="422">
        <v>1.54</v>
      </c>
      <c r="I31" s="454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INFO'!$L$2:$M$8,2)</f>
        <v>TUE</v>
      </c>
      <c r="G32" s="215">
        <v>1.55</v>
      </c>
      <c r="H32" s="423">
        <v>1.55</v>
      </c>
      <c r="I32" s="455">
        <f t="shared" si="0"/>
        <v>0</v>
      </c>
      <c r="J32" s="431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INFO'!$L$2:$M$8,2)</f>
        <v>WED</v>
      </c>
      <c r="G33" s="213">
        <v>1.55</v>
      </c>
      <c r="H33" s="149">
        <v>1.55</v>
      </c>
      <c r="I33" s="453">
        <f t="shared" si="0"/>
        <v>0</v>
      </c>
      <c r="J33" s="15" t="s">
        <v>117</v>
      </c>
      <c r="K33" s="15">
        <f>VLOOKUP(MONTH($C33),'CALENDAR INFO'!$O$2:$P$13,2)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INFO'!$L$2:$M$8,2)</f>
        <v>THU</v>
      </c>
      <c r="G34" s="213">
        <v>1.55</v>
      </c>
      <c r="H34" s="149">
        <v>1.54</v>
      </c>
      <c r="I34" s="453">
        <f t="shared" si="0"/>
        <v>-1.0000000000000009E-2</v>
      </c>
      <c r="J34" s="15" t="s">
        <v>150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INFO'!$L$2:$M$8,2)</f>
        <v>FRI</v>
      </c>
      <c r="G35" s="213">
        <v>1.55</v>
      </c>
      <c r="H35" s="149">
        <v>1.55</v>
      </c>
      <c r="I35" s="453">
        <f t="shared" si="0"/>
        <v>0</v>
      </c>
      <c r="J35" s="15" t="s">
        <v>151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INFO'!$L$2:$M$8,2)</f>
        <v>SAT</v>
      </c>
      <c r="G36" s="213">
        <v>1.55</v>
      </c>
      <c r="H36" s="149">
        <v>1.55</v>
      </c>
      <c r="I36" s="453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INFO'!$L$2:$M$8,2)</f>
        <v>SUN</v>
      </c>
      <c r="G37" s="213">
        <v>1.55</v>
      </c>
      <c r="H37" s="149">
        <v>1.55</v>
      </c>
      <c r="I37" s="453">
        <f t="shared" si="0"/>
        <v>0</v>
      </c>
      <c r="J37" s="15" t="s">
        <v>152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INFO'!$L$2:$M$8,2)</f>
        <v>MON</v>
      </c>
      <c r="G38" s="213">
        <v>1.55</v>
      </c>
      <c r="H38" s="149">
        <v>1.55</v>
      </c>
      <c r="I38" s="453">
        <f t="shared" si="0"/>
        <v>0</v>
      </c>
      <c r="J38" s="15" t="s">
        <v>153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INFO'!$L$2:$M$8,2)</f>
        <v>TUE</v>
      </c>
      <c r="G39" s="213">
        <v>1.55</v>
      </c>
      <c r="H39" s="149">
        <v>1.56</v>
      </c>
      <c r="I39" s="453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INFO'!$L$2:$M$8,2)</f>
        <v>WED</v>
      </c>
      <c r="G40" s="213">
        <v>1.55</v>
      </c>
      <c r="H40" s="149">
        <v>1.55</v>
      </c>
      <c r="I40" s="453">
        <f t="shared" si="0"/>
        <v>0</v>
      </c>
      <c r="J40" s="15" t="s">
        <v>154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INFO'!$L$2:$M$8,2)</f>
        <v>THU</v>
      </c>
      <c r="G41" s="213">
        <v>1.55</v>
      </c>
      <c r="H41" s="149">
        <v>1.55</v>
      </c>
      <c r="I41" s="453">
        <f t="shared" si="0"/>
        <v>0</v>
      </c>
      <c r="J41" s="15" t="s">
        <v>155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INFO'!$L$2:$M$8,2)</f>
        <v>FRI</v>
      </c>
      <c r="G42" s="213">
        <v>1.54</v>
      </c>
      <c r="H42" s="149">
        <v>1.55</v>
      </c>
      <c r="I42" s="453">
        <f t="shared" si="0"/>
        <v>1.0000000000000009E-2</v>
      </c>
      <c r="J42" s="15" t="s">
        <v>156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INFO'!$L$2:$M$8,2)</f>
        <v>SAT</v>
      </c>
      <c r="G43" s="213">
        <v>1.54</v>
      </c>
      <c r="H43" s="149">
        <v>1.55</v>
      </c>
      <c r="I43" s="453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INFO'!$L$2:$M$8,2)</f>
        <v>SUN</v>
      </c>
      <c r="G44" s="213">
        <v>1.54</v>
      </c>
      <c r="H44" s="149">
        <v>1.55</v>
      </c>
      <c r="I44" s="453">
        <f t="shared" si="0"/>
        <v>1.0000000000000009E-2</v>
      </c>
      <c r="J44" s="15" t="s">
        <v>157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INFO'!$L$2:$M$8,2)</f>
        <v>MON</v>
      </c>
      <c r="G45" s="213">
        <v>1.54</v>
      </c>
      <c r="H45" s="149">
        <v>1.54</v>
      </c>
      <c r="I45" s="453">
        <f t="shared" si="0"/>
        <v>0</v>
      </c>
      <c r="J45" s="177" t="s">
        <v>158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INFO'!$L$2:$M$8,2)</f>
        <v>TUE</v>
      </c>
      <c r="G46" s="213">
        <v>1.54</v>
      </c>
      <c r="H46" s="149">
        <v>1.55</v>
      </c>
      <c r="I46" s="453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INFO'!$L$2:$M$8,2)</f>
        <v>WED</v>
      </c>
      <c r="G47" s="213">
        <v>1.54</v>
      </c>
      <c r="H47" s="149">
        <v>1.56</v>
      </c>
      <c r="I47" s="453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INFO'!$L$2:$M$8,2)</f>
        <v>THU</v>
      </c>
      <c r="G48" s="213">
        <v>1.54</v>
      </c>
      <c r="H48" s="149">
        <v>1.55</v>
      </c>
      <c r="I48" s="453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INFO'!$L$2:$M$8,2)</f>
        <v>FRI</v>
      </c>
      <c r="G49" s="213">
        <v>1.55</v>
      </c>
      <c r="H49" s="149">
        <v>1.54</v>
      </c>
      <c r="I49" s="453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INFO'!$L$2:$M$8,2)</f>
        <v>SAT</v>
      </c>
      <c r="G50" s="213">
        <v>1.55</v>
      </c>
      <c r="H50" s="149">
        <v>1.54</v>
      </c>
      <c r="I50" s="453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INFO'!$L$2:$M$8,2)</f>
        <v>SUN</v>
      </c>
      <c r="G51" s="213">
        <v>1.55</v>
      </c>
      <c r="H51" s="149">
        <v>1.54</v>
      </c>
      <c r="I51" s="453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INFO'!$L$2:$M$8,2)</f>
        <v>MON</v>
      </c>
      <c r="G52" s="213">
        <v>1.55</v>
      </c>
      <c r="H52" s="149">
        <v>1.54</v>
      </c>
      <c r="I52" s="453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INFO'!$L$2:$M$8,2)</f>
        <v>TUE</v>
      </c>
      <c r="G53" s="213">
        <v>1.55</v>
      </c>
      <c r="H53" s="149">
        <v>1.54</v>
      </c>
      <c r="I53" s="453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INFO'!$L$2:$M$8,2)</f>
        <v>WED</v>
      </c>
      <c r="G54" s="213">
        <v>1.55</v>
      </c>
      <c r="H54" s="149">
        <v>1.54</v>
      </c>
      <c r="I54" s="453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INFO'!$L$2:$M$8,2)</f>
        <v>THU</v>
      </c>
      <c r="G55" s="213">
        <v>1.55</v>
      </c>
      <c r="H55" s="149">
        <v>1.54</v>
      </c>
      <c r="I55" s="453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INFO'!$L$2:$M$8,2)</f>
        <v>FRI</v>
      </c>
      <c r="G56" s="213">
        <v>1.55</v>
      </c>
      <c r="H56" s="149">
        <v>1.53</v>
      </c>
      <c r="I56" s="453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INFO'!$L$2:$M$8,2)</f>
        <v>SAT</v>
      </c>
      <c r="G57" s="213">
        <v>1.55</v>
      </c>
      <c r="H57" s="149">
        <v>1.53</v>
      </c>
      <c r="I57" s="453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INFO'!$L$2:$M$8,2)</f>
        <v>SUN</v>
      </c>
      <c r="G58" s="213">
        <v>1.55</v>
      </c>
      <c r="H58" s="149">
        <v>1.53</v>
      </c>
      <c r="I58" s="453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INFO'!$L$2:$M$8,2)</f>
        <v>MON</v>
      </c>
      <c r="G59" s="213">
        <v>1.55</v>
      </c>
      <c r="H59" s="149">
        <v>1.53</v>
      </c>
      <c r="I59" s="453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INFO'!$L$2:$M$8,2)</f>
        <v>TUE</v>
      </c>
      <c r="G60" s="213">
        <v>1.55</v>
      </c>
      <c r="H60" s="149">
        <v>1.53</v>
      </c>
      <c r="I60" s="453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INFO'!$L$2:$M$8,2)</f>
        <v>WED</v>
      </c>
      <c r="G61" s="213">
        <v>1.55</v>
      </c>
      <c r="H61" s="149">
        <v>1.53</v>
      </c>
      <c r="I61" s="453">
        <f t="shared" si="0"/>
        <v>-2.0000000000000018E-2</v>
      </c>
      <c r="J61" s="430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INFO'!$L$2:$M$8,2)</f>
        <v>THU</v>
      </c>
      <c r="G62" s="214">
        <v>1.6</v>
      </c>
      <c r="H62" s="149">
        <v>1.58</v>
      </c>
      <c r="I62" s="453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INFO'!$L$2:$M$8,2)</f>
        <v>FRI</v>
      </c>
      <c r="G63" s="216">
        <v>1.59</v>
      </c>
      <c r="H63" s="423">
        <v>1.6</v>
      </c>
      <c r="I63" s="455">
        <f t="shared" si="0"/>
        <v>1.0000000000000009E-2</v>
      </c>
      <c r="J63" s="431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INFO'!$L$2:$M$8,2)</f>
        <v>SAT</v>
      </c>
      <c r="G64" s="213">
        <v>1.59</v>
      </c>
      <c r="H64" s="422">
        <v>1.6</v>
      </c>
      <c r="I64" s="454">
        <f t="shared" si="0"/>
        <v>1.0000000000000009E-2</v>
      </c>
      <c r="J64" s="15" t="s">
        <v>117</v>
      </c>
      <c r="K64" s="15">
        <f>VLOOKUP(MONTH($C64),'CALENDAR INFO'!$O$2:$P$13,2)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INFO'!$L$2:$M$8,2)</f>
        <v>SUN</v>
      </c>
      <c r="G65" s="213">
        <v>1.59</v>
      </c>
      <c r="H65" s="422">
        <v>1.6</v>
      </c>
      <c r="I65" s="454">
        <f t="shared" si="0"/>
        <v>1.0000000000000009E-2</v>
      </c>
      <c r="J65" s="15" t="s">
        <v>150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INFO'!$L$2:$M$8,2)</f>
        <v>MON</v>
      </c>
      <c r="G66" s="213">
        <v>1.59</v>
      </c>
      <c r="H66" s="422">
        <v>1.59</v>
      </c>
      <c r="I66" s="454">
        <f t="shared" si="0"/>
        <v>0</v>
      </c>
      <c r="J66" s="15" t="s">
        <v>151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INFO'!$L$2:$M$8,2)</f>
        <v>TUE</v>
      </c>
      <c r="G67" s="213">
        <v>1.59</v>
      </c>
      <c r="H67" s="422">
        <v>1.6</v>
      </c>
      <c r="I67" s="454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INFO'!$L$2:$M$8,2)</f>
        <v>WED</v>
      </c>
      <c r="G68" s="213">
        <v>1.59</v>
      </c>
      <c r="H68" s="422">
        <v>1.59</v>
      </c>
      <c r="I68" s="454">
        <f t="shared" si="9"/>
        <v>0</v>
      </c>
      <c r="J68" s="15" t="s">
        <v>152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INFO'!$L$2:$M$8,2)</f>
        <v>THU</v>
      </c>
      <c r="G69" s="213">
        <v>1.59</v>
      </c>
      <c r="H69" s="422">
        <v>1.59</v>
      </c>
      <c r="I69" s="454">
        <f t="shared" si="9"/>
        <v>0</v>
      </c>
      <c r="J69" s="15" t="s">
        <v>153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INFO'!$L$2:$M$8,2)</f>
        <v>FRI</v>
      </c>
      <c r="G70" s="213">
        <v>1.58</v>
      </c>
      <c r="H70" s="422">
        <v>1.58</v>
      </c>
      <c r="I70" s="454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INFO'!$L$2:$M$8,2)</f>
        <v>SAT</v>
      </c>
      <c r="G71" s="213">
        <v>1.58</v>
      </c>
      <c r="H71" s="422">
        <v>1.58</v>
      </c>
      <c r="I71" s="454">
        <f t="shared" si="9"/>
        <v>0</v>
      </c>
      <c r="J71" s="15" t="s">
        <v>154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INFO'!$L$2:$M$8,2)</f>
        <v>SUN</v>
      </c>
      <c r="G72" s="213">
        <v>1.58</v>
      </c>
      <c r="H72" s="422">
        <v>1.58</v>
      </c>
      <c r="I72" s="454">
        <f t="shared" si="9"/>
        <v>0</v>
      </c>
      <c r="J72" s="15" t="s">
        <v>155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INFO'!$L$2:$M$8,2)</f>
        <v>MON</v>
      </c>
      <c r="G73" s="213">
        <v>1.58</v>
      </c>
      <c r="H73" s="422">
        <v>1.58</v>
      </c>
      <c r="I73" s="454">
        <f t="shared" si="9"/>
        <v>0</v>
      </c>
      <c r="J73" s="15" t="s">
        <v>156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INFO'!$L$2:$M$8,2)</f>
        <v>TUE</v>
      </c>
      <c r="G74" s="213">
        <v>1.58</v>
      </c>
      <c r="H74" s="422">
        <v>1.58</v>
      </c>
      <c r="I74" s="454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INFO'!$L$2:$M$8,2)</f>
        <v>WED</v>
      </c>
      <c r="G75" s="213">
        <v>1.58</v>
      </c>
      <c r="H75" s="422">
        <v>1.57</v>
      </c>
      <c r="I75" s="454">
        <f t="shared" si="9"/>
        <v>-1.0000000000000009E-2</v>
      </c>
      <c r="J75" s="15" t="s">
        <v>157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INFO'!$L$2:$M$8,2)</f>
        <v>THU</v>
      </c>
      <c r="G76" s="213">
        <v>1.58</v>
      </c>
      <c r="H76" s="422">
        <v>1.57</v>
      </c>
      <c r="I76" s="454">
        <f t="shared" si="9"/>
        <v>-1.0000000000000009E-2</v>
      </c>
      <c r="J76" s="177" t="s">
        <v>158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INFO'!$L$2:$M$8,2)</f>
        <v>FRI</v>
      </c>
      <c r="G77" s="213">
        <v>1.58</v>
      </c>
      <c r="H77" s="422">
        <v>1.58</v>
      </c>
      <c r="I77" s="454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INFO'!$L$2:$M$8,2)</f>
        <v>SAT</v>
      </c>
      <c r="G78" s="213">
        <v>1.58</v>
      </c>
      <c r="H78" s="422">
        <v>1.58</v>
      </c>
      <c r="I78" s="454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INFO'!$L$2:$M$8,2)</f>
        <v>SUN</v>
      </c>
      <c r="G79" s="213">
        <v>1.58</v>
      </c>
      <c r="H79" s="422">
        <v>1.58</v>
      </c>
      <c r="I79" s="454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INFO'!$L$2:$M$8,2)</f>
        <v>MON</v>
      </c>
      <c r="G80" s="213">
        <v>1.58</v>
      </c>
      <c r="H80" s="422">
        <v>1.58</v>
      </c>
      <c r="I80" s="454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INFO'!$L$2:$M$8,2)</f>
        <v>TUE</v>
      </c>
      <c r="G81" s="213">
        <v>1.59</v>
      </c>
      <c r="H81" s="422">
        <v>1.6</v>
      </c>
      <c r="I81" s="454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INFO'!$L$2:$M$8,2)</f>
        <v>WED</v>
      </c>
      <c r="G82" s="213">
        <v>1.59</v>
      </c>
      <c r="H82" s="422">
        <v>1.59</v>
      </c>
      <c r="I82" s="454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INFO'!$L$2:$M$8,2)</f>
        <v>THU</v>
      </c>
      <c r="G83" s="213">
        <v>1.59</v>
      </c>
      <c r="H83" s="422">
        <v>1.6</v>
      </c>
      <c r="I83" s="454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INFO'!$L$2:$M$8,2)</f>
        <v>FRI</v>
      </c>
      <c r="G84" s="213">
        <v>1.58</v>
      </c>
      <c r="H84" s="422">
        <v>1.58</v>
      </c>
      <c r="I84" s="454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INFO'!$L$2:$M$8,2)</f>
        <v>SAT</v>
      </c>
      <c r="G85" s="213">
        <v>1.58</v>
      </c>
      <c r="H85" s="422">
        <v>1.58</v>
      </c>
      <c r="I85" s="454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INFO'!$L$2:$M$8,2)</f>
        <v>SUN</v>
      </c>
      <c r="G86" s="213">
        <v>1.58</v>
      </c>
      <c r="H86" s="422">
        <v>1.58</v>
      </c>
      <c r="I86" s="454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INFO'!$L$2:$M$8,2)</f>
        <v>MON</v>
      </c>
      <c r="G87" s="213">
        <v>1.58</v>
      </c>
      <c r="H87" s="422">
        <v>1.58</v>
      </c>
      <c r="I87" s="454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INFO'!$L$2:$M$8,2)</f>
        <v>TUE</v>
      </c>
      <c r="G88" s="213">
        <v>1.58</v>
      </c>
      <c r="H88" s="422">
        <v>1.59</v>
      </c>
      <c r="I88" s="454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92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INFO'!$L$2:$M$8,2)</f>
        <v>WED</v>
      </c>
      <c r="G89" s="213">
        <v>1.58</v>
      </c>
      <c r="H89" s="422">
        <v>1.58</v>
      </c>
      <c r="I89" s="454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INFO'!$L$2:$M$8,2)</f>
        <v>THU</v>
      </c>
      <c r="G90" s="213">
        <v>1.58</v>
      </c>
      <c r="H90" s="422">
        <v>1.58</v>
      </c>
      <c r="I90" s="454">
        <f t="shared" si="9"/>
        <v>0</v>
      </c>
      <c r="J90" s="430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75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INFO'!$L$2:$M$8,2)</f>
        <v>FRI</v>
      </c>
      <c r="G91" s="213">
        <v>1.58</v>
      </c>
      <c r="H91" s="422">
        <v>1.6</v>
      </c>
      <c r="I91" s="454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INFO'!$L$2:$M$8,2)</f>
        <v>SAT</v>
      </c>
      <c r="G92" s="216">
        <v>1.58</v>
      </c>
      <c r="H92" s="423">
        <v>1.6</v>
      </c>
      <c r="I92" s="455">
        <f t="shared" si="9"/>
        <v>2.0000000000000018E-2</v>
      </c>
      <c r="J92" s="431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INFO'!$L$2:$M$8,2)</f>
        <v>SUN</v>
      </c>
      <c r="G93" s="213">
        <v>1.58</v>
      </c>
      <c r="H93" s="422">
        <v>1.6</v>
      </c>
      <c r="I93" s="454">
        <f t="shared" si="9"/>
        <v>2.0000000000000018E-2</v>
      </c>
      <c r="J93" s="15" t="s">
        <v>117</v>
      </c>
      <c r="K93" s="15">
        <f>VLOOKUP(MONTH($C93),'CALENDAR INFO'!$O$2:$P$13,2)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INFO'!$L$2:$M$8,2)</f>
        <v>MON</v>
      </c>
      <c r="G94" s="213">
        <v>1.59</v>
      </c>
      <c r="H94" s="149">
        <v>1.59</v>
      </c>
      <c r="I94" s="453">
        <f t="shared" si="9"/>
        <v>0</v>
      </c>
      <c r="J94" s="15" t="s">
        <v>150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94</v>
      </c>
      <c r="F95" s="58" t="str">
        <f>VLOOKUP(MOD(C95,7),'CALENDAR INFO'!$L$2:$M$8,2)</f>
        <v>TUE</v>
      </c>
      <c r="G95" s="213">
        <v>1.59</v>
      </c>
      <c r="H95" s="424">
        <v>1.64</v>
      </c>
      <c r="I95" s="456">
        <f t="shared" si="9"/>
        <v>4.9999999999999822E-2</v>
      </c>
      <c r="J95" s="432" t="s">
        <v>151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93</v>
      </c>
      <c r="F96" s="58" t="str">
        <f>VLOOKUP(MOD(C96,7),'CALENDAR INFO'!$L$2:$M$8,2)</f>
        <v>WED</v>
      </c>
      <c r="G96" s="213">
        <v>1.0900000000000001</v>
      </c>
      <c r="H96" s="149">
        <v>1.23</v>
      </c>
      <c r="I96" s="453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INFO'!$L$2:$M$8,2)</f>
        <v>THU</v>
      </c>
      <c r="G97" s="214">
        <v>1.0900000000000001</v>
      </c>
      <c r="H97" s="149">
        <v>1.1200000000000001</v>
      </c>
      <c r="I97" s="453">
        <f t="shared" si="9"/>
        <v>3.0000000000000027E-2</v>
      </c>
      <c r="J97" s="15" t="s">
        <v>152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INFO'!$L$2:$M$8,2)</f>
        <v>FRI</v>
      </c>
      <c r="G98" s="214">
        <v>1.0900000000000001</v>
      </c>
      <c r="H98" s="422">
        <v>1.1000000000000001</v>
      </c>
      <c r="I98" s="454">
        <f t="shared" si="9"/>
        <v>1.0000000000000009E-2</v>
      </c>
      <c r="J98" s="15" t="s">
        <v>153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INFO'!$L$2:$M$8,2)</f>
        <v>SAT</v>
      </c>
      <c r="G99" s="214">
        <v>1.0900000000000001</v>
      </c>
      <c r="H99" s="422">
        <v>1.1000000000000001</v>
      </c>
      <c r="I99" s="454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INFO'!$L$2:$M$8,2)</f>
        <v>SUN</v>
      </c>
      <c r="G100" s="214">
        <v>1.0900000000000001</v>
      </c>
      <c r="H100" s="422">
        <v>1.1000000000000001</v>
      </c>
      <c r="I100" s="454">
        <f t="shared" si="9"/>
        <v>1.0000000000000009E-2</v>
      </c>
      <c r="J100" s="15" t="s">
        <v>154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INFO'!$L$2:$M$8,2)</f>
        <v>MON</v>
      </c>
      <c r="G101" s="213">
        <v>1.0900000000000001</v>
      </c>
      <c r="H101" s="149">
        <v>1.0900000000000001</v>
      </c>
      <c r="I101" s="453">
        <f t="shared" si="9"/>
        <v>0</v>
      </c>
      <c r="J101" s="15" t="s">
        <v>155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INFO'!$L$2:$M$8,2)</f>
        <v>TUE</v>
      </c>
      <c r="G102" s="213">
        <v>1.0900000000000001</v>
      </c>
      <c r="H102" s="149">
        <v>1.1100000000000001</v>
      </c>
      <c r="I102" s="453">
        <f t="shared" si="9"/>
        <v>2.0000000000000018E-2</v>
      </c>
      <c r="J102" s="15" t="s">
        <v>156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INFO'!$L$2:$M$8,2)</f>
        <v>WED</v>
      </c>
      <c r="G103" s="213">
        <v>1.0900000000000001</v>
      </c>
      <c r="H103" s="149">
        <v>1.1499999999999999</v>
      </c>
      <c r="I103" s="453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INFO'!$L$2:$M$8,2)</f>
        <v>THU</v>
      </c>
      <c r="G104" s="217">
        <v>1.1000000000000001</v>
      </c>
      <c r="H104" s="425">
        <v>1.2</v>
      </c>
      <c r="I104" s="454">
        <f t="shared" si="9"/>
        <v>9.9999999999999867E-2</v>
      </c>
      <c r="J104" s="15" t="s">
        <v>157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INFO'!$L$2:$M$8,2)</f>
        <v>FRI</v>
      </c>
      <c r="G105" s="214">
        <v>1.1000000000000001</v>
      </c>
      <c r="H105" s="422">
        <v>1.1000000000000001</v>
      </c>
      <c r="I105" s="454">
        <f t="shared" si="9"/>
        <v>0</v>
      </c>
      <c r="J105" s="177" t="s">
        <v>158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INFO'!$L$2:$M$8,2)</f>
        <v>SAT</v>
      </c>
      <c r="G106" s="214">
        <v>1.1000000000000001</v>
      </c>
      <c r="H106" s="422">
        <v>1.1000000000000001</v>
      </c>
      <c r="I106" s="454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97</v>
      </c>
      <c r="P106" s="90"/>
    </row>
    <row r="107" spans="1:18">
      <c r="B107" s="228"/>
      <c r="C107" s="61">
        <f t="shared" si="8"/>
        <v>43905</v>
      </c>
      <c r="E107" s="169" t="s">
        <v>95</v>
      </c>
      <c r="F107" s="58" t="str">
        <f>VLOOKUP(MOD(C107,7),'CALENDAR INFO'!$L$2:$M$8,2)</f>
        <v>SUN</v>
      </c>
      <c r="G107" s="214">
        <v>1.1000000000000001</v>
      </c>
      <c r="H107" s="422">
        <v>1.1000000000000001</v>
      </c>
      <c r="I107" s="454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76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96</v>
      </c>
      <c r="F108" s="58" t="str">
        <f>VLOOKUP(MOD(C108,7),'CALENDAR INFO'!$L$2:$M$8,2)</f>
        <v>MON</v>
      </c>
      <c r="G108" s="214">
        <v>0.25</v>
      </c>
      <c r="H108" s="422">
        <v>0.26</v>
      </c>
      <c r="I108" s="454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INFO'!$L$2:$M$8,2)</f>
        <v>TUE</v>
      </c>
      <c r="G109" s="214">
        <v>0.25</v>
      </c>
      <c r="H109" s="422">
        <v>0.54</v>
      </c>
      <c r="I109" s="454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INFO'!$L$2:$M$8,2)</f>
        <v>WED</v>
      </c>
      <c r="G110" s="214">
        <v>0.25</v>
      </c>
      <c r="H110" s="422">
        <v>0.1</v>
      </c>
      <c r="I110" s="454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INFO'!$L$2:$M$8,2)</f>
        <v>THU</v>
      </c>
      <c r="G111" s="214">
        <v>0.2</v>
      </c>
      <c r="H111" s="422">
        <v>0.06</v>
      </c>
      <c r="I111" s="454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INFO'!$L$2:$M$8,2)</f>
        <v>FRI</v>
      </c>
      <c r="G112" s="214">
        <v>0.15</v>
      </c>
      <c r="H112" s="422">
        <v>0.04</v>
      </c>
      <c r="I112" s="454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INFO'!$L$2:$M$8,2)</f>
        <v>SAT</v>
      </c>
      <c r="G113" s="214">
        <v>0.15</v>
      </c>
      <c r="H113" s="422">
        <v>0.04</v>
      </c>
      <c r="I113" s="454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INFO'!$L$2:$M$8,2)</f>
        <v>SUN</v>
      </c>
      <c r="G114" s="214">
        <v>0.15</v>
      </c>
      <c r="H114" s="422">
        <v>0.04</v>
      </c>
      <c r="I114" s="454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INFO'!$L$2:$M$8,2)</f>
        <v>MON</v>
      </c>
      <c r="G115" s="214">
        <v>0.15</v>
      </c>
      <c r="H115" s="422">
        <v>0.02</v>
      </c>
      <c r="I115" s="454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INFO'!$L$2:$M$8,2)</f>
        <v>TUE</v>
      </c>
      <c r="G116" s="214">
        <v>0.12</v>
      </c>
      <c r="H116" s="422">
        <v>0.01</v>
      </c>
      <c r="I116" s="454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INFO'!$L$2:$M$8,2)</f>
        <v>WED</v>
      </c>
      <c r="G117" s="214">
        <v>0.1</v>
      </c>
      <c r="H117" s="422">
        <v>0.01</v>
      </c>
      <c r="I117" s="454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INFO'!$L$2:$M$8,2)</f>
        <v>THU</v>
      </c>
      <c r="G118" s="214">
        <v>0.1</v>
      </c>
      <c r="H118" s="422">
        <v>0.01</v>
      </c>
      <c r="I118" s="454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INFO'!$L$2:$M$8,2)</f>
        <v>FRI</v>
      </c>
      <c r="G119" s="214">
        <v>0.1</v>
      </c>
      <c r="H119" s="422">
        <v>0.01</v>
      </c>
      <c r="I119" s="454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92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INFO'!$L$2:$M$8,2)</f>
        <v>SAT</v>
      </c>
      <c r="G120" s="214">
        <v>0.1</v>
      </c>
      <c r="H120" s="422">
        <v>0.01</v>
      </c>
      <c r="I120" s="454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INFO'!$L$2:$M$8,2)</f>
        <v>SUN</v>
      </c>
      <c r="G121" s="214">
        <v>0.1</v>
      </c>
      <c r="H121" s="422">
        <v>0.01</v>
      </c>
      <c r="I121" s="454">
        <f t="shared" si="9"/>
        <v>-9.0000000000000011E-2</v>
      </c>
      <c r="J121" s="430"/>
      <c r="K121" s="187"/>
      <c r="L121" s="195"/>
      <c r="M121" s="63">
        <f t="shared" si="12"/>
        <v>0</v>
      </c>
      <c r="N121" s="64">
        <f t="shared" si="11"/>
        <v>1</v>
      </c>
      <c r="O121" s="89" t="s">
        <v>75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INFO'!$L$2:$M$8,2)</f>
        <v>MON</v>
      </c>
      <c r="G122" s="214">
        <v>0.09</v>
      </c>
      <c r="H122" s="422">
        <v>0.01</v>
      </c>
      <c r="I122" s="454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INFO'!$L$2:$M$8,2)</f>
        <v>TUE</v>
      </c>
      <c r="G123" s="216">
        <v>0.08</v>
      </c>
      <c r="H123" s="426">
        <v>0.01</v>
      </c>
      <c r="I123" s="457">
        <f t="shared" si="9"/>
        <v>-7.0000000000000007E-2</v>
      </c>
      <c r="J123" s="431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INFO'!$L$2:$M$8,2)</f>
        <v>WED</v>
      </c>
      <c r="G124" s="213">
        <v>0.06</v>
      </c>
      <c r="H124" s="149">
        <v>0.01</v>
      </c>
      <c r="I124" s="453">
        <f t="shared" si="9"/>
        <v>-4.9999999999999996E-2</v>
      </c>
      <c r="J124" s="15" t="s">
        <v>117</v>
      </c>
      <c r="K124" s="15">
        <f>VLOOKUP(MONTH($C124),'CALENDAR INFO'!$O$2:$P$13,2)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INFO'!$L$2:$M$8,2)</f>
        <v>THU</v>
      </c>
      <c r="G125" s="213">
        <v>0.05</v>
      </c>
      <c r="H125" s="149">
        <v>0.01</v>
      </c>
      <c r="I125" s="453">
        <f t="shared" si="9"/>
        <v>-0.04</v>
      </c>
      <c r="J125" s="15" t="s">
        <v>150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INFO'!$L$2:$M$8,2)</f>
        <v>FRI</v>
      </c>
      <c r="G126" s="213">
        <v>0.05</v>
      </c>
      <c r="H126" s="149">
        <v>0.01</v>
      </c>
      <c r="I126" s="453">
        <f t="shared" si="9"/>
        <v>-0.04</v>
      </c>
      <c r="J126" s="15" t="s">
        <v>151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INFO'!$L$2:$M$8,2)</f>
        <v>SAT</v>
      </c>
      <c r="G127" s="213">
        <v>0.05</v>
      </c>
      <c r="H127" s="149">
        <v>0.01</v>
      </c>
      <c r="I127" s="453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INFO'!$L$2:$M$8,2)</f>
        <v>SUN</v>
      </c>
      <c r="G128" s="213">
        <v>0.05</v>
      </c>
      <c r="H128" s="149">
        <v>0.01</v>
      </c>
      <c r="I128" s="453">
        <f t="shared" si="9"/>
        <v>-0.04</v>
      </c>
      <c r="J128" s="15" t="s">
        <v>152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INFO'!$L$2:$M$8,2)</f>
        <v>MON</v>
      </c>
      <c r="G129" s="213">
        <v>0.05</v>
      </c>
      <c r="H129" s="149">
        <v>0.01</v>
      </c>
      <c r="I129" s="453">
        <f t="shared" si="9"/>
        <v>-0.04</v>
      </c>
      <c r="J129" s="15" t="s">
        <v>153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INFO'!$L$2:$M$8,2)</f>
        <v>TUE</v>
      </c>
      <c r="G130" s="213">
        <v>0.05</v>
      </c>
      <c r="H130" s="149">
        <v>0.01</v>
      </c>
      <c r="I130" s="453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INFO'!$L$2:$M$8,2)</f>
        <v>WED</v>
      </c>
      <c r="G131" s="213">
        <v>0.05</v>
      </c>
      <c r="H131" s="149">
        <v>0.01</v>
      </c>
      <c r="I131" s="453">
        <f t="shared" ref="I131:I194" si="14">H131-G131</f>
        <v>-0.04</v>
      </c>
      <c r="J131" s="15" t="s">
        <v>154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INFO'!$L$2:$M$8,2)</f>
        <v>THU</v>
      </c>
      <c r="G132" s="213">
        <v>0.05</v>
      </c>
      <c r="H132" s="149">
        <v>0.01</v>
      </c>
      <c r="I132" s="453">
        <f t="shared" si="14"/>
        <v>-0.04</v>
      </c>
      <c r="J132" s="15" t="s">
        <v>155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INFO'!$L$2:$M$8,2)</f>
        <v>FRI</v>
      </c>
      <c r="G133" s="213">
        <v>0.05</v>
      </c>
      <c r="H133" s="149">
        <v>0.01</v>
      </c>
      <c r="I133" s="453">
        <f t="shared" si="14"/>
        <v>-0.04</v>
      </c>
      <c r="J133" s="15" t="s">
        <v>156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INFO'!$L$2:$M$8,2)</f>
        <v>SAT</v>
      </c>
      <c r="G134" s="213">
        <v>0.05</v>
      </c>
      <c r="H134" s="149">
        <v>0.01</v>
      </c>
      <c r="I134" s="453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INFO'!$L$2:$M$8,2)</f>
        <v>SUN</v>
      </c>
      <c r="G135" s="213">
        <v>0.05</v>
      </c>
      <c r="H135" s="149">
        <v>0.01</v>
      </c>
      <c r="I135" s="453">
        <f t="shared" si="14"/>
        <v>-0.04</v>
      </c>
      <c r="J135" s="15" t="s">
        <v>157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INFO'!$L$2:$M$8,2)</f>
        <v>MON</v>
      </c>
      <c r="G136" s="213">
        <v>0.05</v>
      </c>
      <c r="H136" s="149">
        <v>0.02</v>
      </c>
      <c r="I136" s="453">
        <f t="shared" si="14"/>
        <v>-3.0000000000000002E-2</v>
      </c>
      <c r="J136" s="177" t="s">
        <v>158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INFO'!$L$2:$M$8,2)</f>
        <v>TUE</v>
      </c>
      <c r="G137" s="213">
        <v>0.05</v>
      </c>
      <c r="H137" s="149">
        <v>0.06</v>
      </c>
      <c r="I137" s="453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INFO'!$L$2:$M$8,2)</f>
        <v>WED</v>
      </c>
      <c r="G138" s="213">
        <v>0.05</v>
      </c>
      <c r="H138" s="149">
        <v>0.03</v>
      </c>
      <c r="I138" s="453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INFO'!$L$2:$M$8,2)</f>
        <v>THU</v>
      </c>
      <c r="G139" s="213">
        <v>0.05</v>
      </c>
      <c r="H139" s="149">
        <v>0.03</v>
      </c>
      <c r="I139" s="453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INFO'!$L$2:$M$8,2)</f>
        <v>FRI</v>
      </c>
      <c r="G140" s="213">
        <v>0.05</v>
      </c>
      <c r="H140" s="149">
        <v>0.03</v>
      </c>
      <c r="I140" s="453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INFO'!$L$2:$M$8,2)</f>
        <v>SAT</v>
      </c>
      <c r="G141" s="213">
        <v>0.05</v>
      </c>
      <c r="H141" s="149">
        <v>0.03</v>
      </c>
      <c r="I141" s="453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INFO'!$L$2:$M$8,2)</f>
        <v>SUN</v>
      </c>
      <c r="G142" s="213">
        <v>0.05</v>
      </c>
      <c r="H142" s="149">
        <v>0.03</v>
      </c>
      <c r="I142" s="453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INFO'!$L$2:$M$8,2)</f>
        <v>MON</v>
      </c>
      <c r="G143" s="213">
        <v>0.05</v>
      </c>
      <c r="H143" s="149">
        <v>0.02</v>
      </c>
      <c r="I143" s="453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INFO'!$L$2:$M$8,2)</f>
        <v>TUE</v>
      </c>
      <c r="G144" s="213">
        <v>0.05</v>
      </c>
      <c r="H144" s="149">
        <v>0.01</v>
      </c>
      <c r="I144" s="453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INFO'!$L$2:$M$8,2)</f>
        <v>WED</v>
      </c>
      <c r="G145" s="213">
        <v>0.05</v>
      </c>
      <c r="H145" s="149">
        <v>0.01</v>
      </c>
      <c r="I145" s="453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INFO'!$L$2:$M$8,2)</f>
        <v>THU</v>
      </c>
      <c r="G146" s="213">
        <v>0.04</v>
      </c>
      <c r="H146" s="149">
        <v>0.01</v>
      </c>
      <c r="I146" s="453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INFO'!$L$2:$M$8,2)</f>
        <v>FRI</v>
      </c>
      <c r="G147" s="213">
        <v>0.05</v>
      </c>
      <c r="H147" s="149">
        <v>0.03</v>
      </c>
      <c r="I147" s="453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INFO'!$L$2:$M$8,2)</f>
        <v>SAT</v>
      </c>
      <c r="G148" s="213">
        <v>0.05</v>
      </c>
      <c r="H148" s="149">
        <v>0.03</v>
      </c>
      <c r="I148" s="453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INFO'!$L$2:$M$8,2)</f>
        <v>SUN</v>
      </c>
      <c r="G149" s="213">
        <v>0.05</v>
      </c>
      <c r="H149" s="149">
        <v>0.03</v>
      </c>
      <c r="I149" s="453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92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INFO'!$L$2:$M$8,2)</f>
        <v>MON</v>
      </c>
      <c r="G150" s="213">
        <v>0.04</v>
      </c>
      <c r="H150" s="149">
        <v>0.03</v>
      </c>
      <c r="I150" s="453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INFO'!$L$2:$M$8,2)</f>
        <v>TUE</v>
      </c>
      <c r="G151" s="213">
        <v>0.04</v>
      </c>
      <c r="H151" s="149">
        <v>0.01</v>
      </c>
      <c r="I151" s="453">
        <f t="shared" si="14"/>
        <v>-0.03</v>
      </c>
      <c r="J151" s="430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75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INFO'!$L$2:$M$8,2)</f>
        <v>WED</v>
      </c>
      <c r="G152" s="213">
        <v>0.04</v>
      </c>
      <c r="H152" s="149">
        <v>0.01</v>
      </c>
      <c r="I152" s="453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INFO'!$L$2:$M$8,2)</f>
        <v>THU</v>
      </c>
      <c r="G153" s="216">
        <v>0.05</v>
      </c>
      <c r="H153" s="426">
        <v>0.04</v>
      </c>
      <c r="I153" s="457">
        <f t="shared" si="14"/>
        <v>-1.0000000000000002E-2</v>
      </c>
      <c r="J153" s="431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INFO'!$L$2:$M$8,2)</f>
        <v>FRI</v>
      </c>
      <c r="G154" s="213">
        <v>0.05</v>
      </c>
      <c r="H154" s="149">
        <v>0.03</v>
      </c>
      <c r="I154" s="453">
        <f t="shared" si="14"/>
        <v>-2.0000000000000004E-2</v>
      </c>
      <c r="J154" s="15" t="s">
        <v>117</v>
      </c>
      <c r="K154" s="15">
        <f>VLOOKUP(MONTH($C154),'CALENDAR INFO'!$O$2:$P$13,2)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INFO'!$L$2:$M$8,2)</f>
        <v>SAT</v>
      </c>
      <c r="G155" s="213">
        <v>0.05</v>
      </c>
      <c r="H155" s="149">
        <v>0.03</v>
      </c>
      <c r="I155" s="453">
        <f t="shared" si="14"/>
        <v>-2.0000000000000004E-2</v>
      </c>
      <c r="J155" s="15" t="s">
        <v>150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INFO'!$L$2:$M$8,2)</f>
        <v>SUN</v>
      </c>
      <c r="G156" s="213">
        <v>0.05</v>
      </c>
      <c r="H156" s="149">
        <v>0.03</v>
      </c>
      <c r="I156" s="453">
        <f t="shared" si="14"/>
        <v>-2.0000000000000004E-2</v>
      </c>
      <c r="J156" s="15" t="s">
        <v>151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INFO'!$L$2:$M$8,2)</f>
        <v>MON</v>
      </c>
      <c r="G157" s="213">
        <v>0.05</v>
      </c>
      <c r="H157" s="149">
        <v>0.05</v>
      </c>
      <c r="I157" s="453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INFO'!$L$2:$M$8,2)</f>
        <v>TUE</v>
      </c>
      <c r="G158" s="213">
        <v>0.05</v>
      </c>
      <c r="H158" s="149">
        <v>0.05</v>
      </c>
      <c r="I158" s="453">
        <f t="shared" si="14"/>
        <v>0</v>
      </c>
      <c r="J158" s="15" t="s">
        <v>152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INFO'!$L$2:$M$8,2)</f>
        <v>WED</v>
      </c>
      <c r="G159" s="213">
        <v>0.05</v>
      </c>
      <c r="H159" s="149">
        <v>0.05</v>
      </c>
      <c r="I159" s="453">
        <f t="shared" si="14"/>
        <v>0</v>
      </c>
      <c r="J159" s="15" t="s">
        <v>153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INFO'!$L$2:$M$8,2)</f>
        <v>THU</v>
      </c>
      <c r="G160" s="213">
        <v>0.05</v>
      </c>
      <c r="H160" s="149">
        <v>0.05</v>
      </c>
      <c r="I160" s="453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INFO'!$L$2:$M$8,2)</f>
        <v>FRI</v>
      </c>
      <c r="G161" s="213">
        <v>0.05</v>
      </c>
      <c r="H161" s="149">
        <v>0.06</v>
      </c>
      <c r="I161" s="453">
        <f t="shared" si="14"/>
        <v>9.999999999999995E-3</v>
      </c>
      <c r="J161" s="15" t="s">
        <v>154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INFO'!$L$2:$M$8,2)</f>
        <v>SAT</v>
      </c>
      <c r="G162" s="213">
        <v>0.05</v>
      </c>
      <c r="H162" s="149">
        <v>0.06</v>
      </c>
      <c r="I162" s="453">
        <f t="shared" si="14"/>
        <v>9.999999999999995E-3</v>
      </c>
      <c r="J162" s="15" t="s">
        <v>155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INFO'!$L$2:$M$8,2)</f>
        <v>SUN</v>
      </c>
      <c r="G163" s="213">
        <v>0.05</v>
      </c>
      <c r="H163" s="149">
        <v>0.06</v>
      </c>
      <c r="I163" s="453">
        <f t="shared" si="14"/>
        <v>9.999999999999995E-3</v>
      </c>
      <c r="J163" s="15" t="s">
        <v>156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INFO'!$L$2:$M$8,2)</f>
        <v>MON</v>
      </c>
      <c r="G164" s="213">
        <v>0.05</v>
      </c>
      <c r="H164" s="149">
        <v>0.06</v>
      </c>
      <c r="I164" s="453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INFO'!$L$2:$M$8,2)</f>
        <v>TUE</v>
      </c>
      <c r="G165" s="213">
        <v>0.05</v>
      </c>
      <c r="H165" s="149">
        <v>0.06</v>
      </c>
      <c r="I165" s="453">
        <f t="shared" si="14"/>
        <v>9.999999999999995E-3</v>
      </c>
      <c r="J165" s="15" t="s">
        <v>157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INFO'!$L$2:$M$8,2)</f>
        <v>WED</v>
      </c>
      <c r="G166" s="213">
        <v>0.05</v>
      </c>
      <c r="H166" s="149">
        <v>0.04</v>
      </c>
      <c r="I166" s="453">
        <f t="shared" si="14"/>
        <v>-1.0000000000000002E-2</v>
      </c>
      <c r="J166" s="430" t="s">
        <v>158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INFO'!$L$2:$M$8,2)</f>
        <v>THU</v>
      </c>
      <c r="G167" s="213">
        <v>0.05</v>
      </c>
      <c r="H167" s="149">
        <v>0.02</v>
      </c>
      <c r="I167" s="453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INFO'!$L$2:$M$8,2)</f>
        <v>FRI</v>
      </c>
      <c r="G168" s="213">
        <v>0.05</v>
      </c>
      <c r="H168" s="149">
        <v>0.05</v>
      </c>
      <c r="I168" s="453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INFO'!$L$2:$M$8,2)</f>
        <v>SAT</v>
      </c>
      <c r="G169" s="213">
        <v>0.05</v>
      </c>
      <c r="H169" s="149">
        <v>0.05</v>
      </c>
      <c r="I169" s="453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INFO'!$L$2:$M$8,2)</f>
        <v>SUN</v>
      </c>
      <c r="G170" s="213">
        <v>0.05</v>
      </c>
      <c r="H170" s="149">
        <v>0.05</v>
      </c>
      <c r="I170" s="453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INFO'!$L$2:$M$8,2)</f>
        <v>MON</v>
      </c>
      <c r="G171" s="213">
        <v>0.05</v>
      </c>
      <c r="H171" s="149">
        <v>0.04</v>
      </c>
      <c r="I171" s="453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INFO'!$L$2:$M$8,2)</f>
        <v>TUE</v>
      </c>
      <c r="G172" s="213">
        <v>0.05</v>
      </c>
      <c r="H172" s="149">
        <v>0.04</v>
      </c>
      <c r="I172" s="453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INFO'!$L$2:$M$8,2)</f>
        <v>WED</v>
      </c>
      <c r="G173" s="213">
        <v>0.05</v>
      </c>
      <c r="H173" s="149">
        <v>0.01</v>
      </c>
      <c r="I173" s="453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INFO'!$L$2:$M$8,2)</f>
        <v>THU</v>
      </c>
      <c r="G174" s="213">
        <v>0.05</v>
      </c>
      <c r="H174" s="149">
        <v>0.02</v>
      </c>
      <c r="I174" s="453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INFO'!$L$2:$M$8,2)</f>
        <v>FRI</v>
      </c>
      <c r="G175" s="213">
        <v>0.05</v>
      </c>
      <c r="H175" s="149">
        <v>0.04</v>
      </c>
      <c r="I175" s="453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INFO'!$L$2:$M$8,2)</f>
        <v>SAT</v>
      </c>
      <c r="G176" s="213">
        <v>0.05</v>
      </c>
      <c r="H176" s="149">
        <v>0.04</v>
      </c>
      <c r="I176" s="453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INFO'!$L$2:$M$8,2)</f>
        <v>SUN</v>
      </c>
      <c r="G177" s="213">
        <v>0.05</v>
      </c>
      <c r="H177" s="149">
        <v>0.04</v>
      </c>
      <c r="I177" s="453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INFO'!$L$2:$M$8,2)</f>
        <v>MON</v>
      </c>
      <c r="G178" s="213">
        <v>0.05</v>
      </c>
      <c r="H178" s="149">
        <v>0.04</v>
      </c>
      <c r="I178" s="453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INFO'!$L$2:$M$8,2)</f>
        <v>TUE</v>
      </c>
      <c r="G179" s="213">
        <v>0.05</v>
      </c>
      <c r="H179" s="149">
        <v>0.06</v>
      </c>
      <c r="I179" s="453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INFO'!$L$2:$M$8,2)</f>
        <v>WED</v>
      </c>
      <c r="G180" s="213">
        <v>0.05</v>
      </c>
      <c r="H180" s="149">
        <v>0.06</v>
      </c>
      <c r="I180" s="453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92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INFO'!$L$2:$M$8,2)</f>
        <v>THU</v>
      </c>
      <c r="G181" s="213">
        <v>0.05</v>
      </c>
      <c r="H181" s="149">
        <v>0.06</v>
      </c>
      <c r="I181" s="453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INFO'!$L$2:$M$8,2)</f>
        <v>FRI</v>
      </c>
      <c r="G182" s="213">
        <v>0.05</v>
      </c>
      <c r="H182" s="149">
        <v>0.06</v>
      </c>
      <c r="I182" s="453">
        <f t="shared" si="14"/>
        <v>9.999999999999995E-3</v>
      </c>
      <c r="J182" s="430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75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INFO'!$L$2:$M$8,2)</f>
        <v>SAT</v>
      </c>
      <c r="G183" s="213">
        <v>0.05</v>
      </c>
      <c r="H183" s="149">
        <v>0.06</v>
      </c>
      <c r="I183" s="453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INFO'!$L$2:$M$8,2)</f>
        <v>SUN</v>
      </c>
      <c r="G184" s="216">
        <v>0.05</v>
      </c>
      <c r="H184" s="426">
        <v>0.06</v>
      </c>
      <c r="I184" s="457">
        <f t="shared" si="14"/>
        <v>9.999999999999995E-3</v>
      </c>
      <c r="J184" s="431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INFO'!$L$2:$M$8,2)</f>
        <v>MON</v>
      </c>
      <c r="G185" s="213">
        <v>0.05</v>
      </c>
      <c r="H185" s="422">
        <v>0.06</v>
      </c>
      <c r="I185" s="454">
        <f t="shared" si="14"/>
        <v>9.999999999999995E-3</v>
      </c>
      <c r="J185" s="15" t="s">
        <v>117</v>
      </c>
      <c r="K185" s="15">
        <f>VLOOKUP(MONTH($C185),'CALENDAR INFO'!$O$2:$P$13,2)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INFO'!$L$2:$M$8,2)</f>
        <v>TUE</v>
      </c>
      <c r="G186" s="213">
        <v>0.06</v>
      </c>
      <c r="H186" s="422">
        <v>7.0000000000000007E-2</v>
      </c>
      <c r="I186" s="454">
        <f t="shared" si="14"/>
        <v>1.0000000000000009E-2</v>
      </c>
      <c r="J186" s="15" t="s">
        <v>150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INFO'!$L$2:$M$8,2)</f>
        <v>WED</v>
      </c>
      <c r="G187" s="213">
        <v>0.06</v>
      </c>
      <c r="H187" s="422">
        <v>0.06</v>
      </c>
      <c r="I187" s="454">
        <f t="shared" si="14"/>
        <v>0</v>
      </c>
      <c r="J187" s="15" t="s">
        <v>151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INFO'!$L$2:$M$8,2)</f>
        <v>THU</v>
      </c>
      <c r="G188" s="213">
        <v>0.06</v>
      </c>
      <c r="H188" s="422">
        <v>7.0000000000000007E-2</v>
      </c>
      <c r="I188" s="454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INFO'!$L$2:$M$8,2)</f>
        <v>FRI</v>
      </c>
      <c r="G189" s="213">
        <v>7.0000000000000007E-2</v>
      </c>
      <c r="H189" s="422">
        <v>7.0000000000000007E-2</v>
      </c>
      <c r="I189" s="454">
        <f t="shared" si="14"/>
        <v>0</v>
      </c>
      <c r="J189" s="15" t="s">
        <v>152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INFO'!$L$2:$M$8,2)</f>
        <v>SAT</v>
      </c>
      <c r="G190" s="213">
        <v>7.0000000000000007E-2</v>
      </c>
      <c r="H190" s="422">
        <v>7.0000000000000007E-2</v>
      </c>
      <c r="I190" s="454">
        <f t="shared" si="14"/>
        <v>0</v>
      </c>
      <c r="J190" s="15" t="s">
        <v>153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INFO'!$L$2:$M$8,2)</f>
        <v>SUN</v>
      </c>
      <c r="G191" s="213">
        <v>7.0000000000000007E-2</v>
      </c>
      <c r="H191" s="422">
        <v>7.0000000000000007E-2</v>
      </c>
      <c r="I191" s="454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INFO'!$L$2:$M$8,2)</f>
        <v>MON</v>
      </c>
      <c r="G192" s="213">
        <v>7.0000000000000007E-2</v>
      </c>
      <c r="H192" s="422">
        <v>7.0000000000000007E-2</v>
      </c>
      <c r="I192" s="454">
        <f t="shared" si="14"/>
        <v>0</v>
      </c>
      <c r="J192" s="15" t="s">
        <v>154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INFO'!$L$2:$M$8,2)</f>
        <v>TUE</v>
      </c>
      <c r="G193" s="213">
        <v>7.0000000000000007E-2</v>
      </c>
      <c r="H193" s="422">
        <v>0.08</v>
      </c>
      <c r="I193" s="454">
        <f t="shared" si="14"/>
        <v>9.999999999999995E-3</v>
      </c>
      <c r="J193" s="15" t="s">
        <v>155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INFO'!$L$2:$M$8,2)</f>
        <v>WED</v>
      </c>
      <c r="G194" s="213">
        <v>0.08</v>
      </c>
      <c r="H194" s="422">
        <v>7.0000000000000007E-2</v>
      </c>
      <c r="I194" s="454">
        <f t="shared" si="14"/>
        <v>-9.999999999999995E-3</v>
      </c>
      <c r="J194" s="15" t="s">
        <v>156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INFO'!$L$2:$M$8,2)</f>
        <v>THU</v>
      </c>
      <c r="G195" s="213">
        <v>0.08</v>
      </c>
      <c r="H195" s="422">
        <v>0.08</v>
      </c>
      <c r="I195" s="454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INFO'!$L$2:$M$8,2)</f>
        <v>FRI</v>
      </c>
      <c r="G196" s="213">
        <v>0.08</v>
      </c>
      <c r="H196" s="422">
        <v>0.08</v>
      </c>
      <c r="I196" s="454">
        <f t="shared" si="19"/>
        <v>0</v>
      </c>
      <c r="J196" s="15" t="s">
        <v>157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INFO'!$L$2:$M$8,2)</f>
        <v>SAT</v>
      </c>
      <c r="G197" s="213">
        <v>0.08</v>
      </c>
      <c r="H197" s="422">
        <v>0.08</v>
      </c>
      <c r="I197" s="454">
        <f t="shared" si="19"/>
        <v>0</v>
      </c>
      <c r="J197" s="177" t="s">
        <v>158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92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INFO'!$L$2:$M$8,2)</f>
        <v>SUN</v>
      </c>
      <c r="G198" s="213">
        <v>0.08</v>
      </c>
      <c r="H198" s="422">
        <v>0.08</v>
      </c>
      <c r="I198" s="454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76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INFO'!$L$2:$M$8,2)</f>
        <v>MON</v>
      </c>
      <c r="G199" s="213">
        <v>0.09</v>
      </c>
      <c r="H199" s="422">
        <v>0.09</v>
      </c>
      <c r="I199" s="454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INFO'!$L$2:$M$8,2)</f>
        <v>TUE</v>
      </c>
      <c r="G200" s="213">
        <v>0.09</v>
      </c>
      <c r="H200" s="422">
        <v>0.09</v>
      </c>
      <c r="I200" s="454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INFO'!$L$2:$M$8,2)</f>
        <v>WED</v>
      </c>
      <c r="G201" s="213">
        <v>0.09</v>
      </c>
      <c r="H201" s="422">
        <v>0.09</v>
      </c>
      <c r="I201" s="454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INFO'!$L$2:$M$8,2)</f>
        <v>THU</v>
      </c>
      <c r="G202" s="213">
        <v>0.09</v>
      </c>
      <c r="H202" s="422">
        <v>0.09</v>
      </c>
      <c r="I202" s="454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INFO'!$L$2:$M$8,2)</f>
        <v>FRI</v>
      </c>
      <c r="G203" s="213">
        <v>0.09</v>
      </c>
      <c r="H203" s="422">
        <v>0.09</v>
      </c>
      <c r="I203" s="454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INFO'!$L$2:$M$8,2)</f>
        <v>SAT</v>
      </c>
      <c r="G204" s="213">
        <v>0.09</v>
      </c>
      <c r="H204" s="422">
        <v>0.09</v>
      </c>
      <c r="I204" s="454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INFO'!$L$2:$M$8,2)</f>
        <v>SUN</v>
      </c>
      <c r="G205" s="213">
        <v>0.09</v>
      </c>
      <c r="H205" s="422">
        <v>0.09</v>
      </c>
      <c r="I205" s="454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INFO'!$L$2:$M$8,2)</f>
        <v>MON</v>
      </c>
      <c r="G206" s="213">
        <v>0.08</v>
      </c>
      <c r="H206" s="422">
        <v>0.08</v>
      </c>
      <c r="I206" s="454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INFO'!$L$2:$M$8,2)</f>
        <v>TUE</v>
      </c>
      <c r="G207" s="213">
        <v>0.08</v>
      </c>
      <c r="H207" s="422">
        <v>7.0000000000000007E-2</v>
      </c>
      <c r="I207" s="454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INFO'!$L$2:$M$8,2)</f>
        <v>WED</v>
      </c>
      <c r="G208" s="213">
        <v>0.08</v>
      </c>
      <c r="H208" s="422">
        <v>0.08</v>
      </c>
      <c r="I208" s="454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INFO'!$L$2:$M$8,2)</f>
        <v>THU</v>
      </c>
      <c r="G209" s="213">
        <v>0.08</v>
      </c>
      <c r="H209" s="422">
        <v>0.09</v>
      </c>
      <c r="I209" s="454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INFO'!$L$2:$M$8,2)</f>
        <v>FRI</v>
      </c>
      <c r="G210" s="213">
        <v>0.08</v>
      </c>
      <c r="H210" s="422">
        <v>0.08</v>
      </c>
      <c r="I210" s="454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92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INFO'!$L$2:$M$8,2)</f>
        <v>SAT</v>
      </c>
      <c r="G211" s="213">
        <v>0.08</v>
      </c>
      <c r="H211" s="422">
        <v>0.08</v>
      </c>
      <c r="I211" s="454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INFO'!$L$2:$M$8,2)</f>
        <v>SUN</v>
      </c>
      <c r="G212" s="213">
        <v>0.08</v>
      </c>
      <c r="H212" s="422">
        <v>0.08</v>
      </c>
      <c r="I212" s="454">
        <f t="shared" si="19"/>
        <v>0</v>
      </c>
      <c r="J212" s="430"/>
      <c r="K212" s="187"/>
      <c r="L212" s="195"/>
      <c r="M212" s="63">
        <f t="shared" si="17"/>
        <v>0</v>
      </c>
      <c r="N212" s="64">
        <f t="shared" si="20"/>
        <v>1</v>
      </c>
      <c r="O212" s="89" t="s">
        <v>75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INFO'!$L$2:$M$8,2)</f>
        <v>MON</v>
      </c>
      <c r="G213" s="213">
        <v>0.08</v>
      </c>
      <c r="H213" s="422">
        <v>0.08</v>
      </c>
      <c r="I213" s="454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INFO'!$L$2:$M$8,2)</f>
        <v>TUE</v>
      </c>
      <c r="G214" s="216">
        <v>0.08</v>
      </c>
      <c r="H214" s="423">
        <v>0.1</v>
      </c>
      <c r="I214" s="455">
        <f t="shared" si="19"/>
        <v>2.0000000000000004E-2</v>
      </c>
      <c r="J214" s="431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INFO'!$L$2:$M$8,2)</f>
        <v>WED</v>
      </c>
      <c r="G215" s="213">
        <v>0.08</v>
      </c>
      <c r="H215" s="422">
        <v>0.11</v>
      </c>
      <c r="I215" s="454">
        <f t="shared" si="19"/>
        <v>0.03</v>
      </c>
      <c r="J215" s="15" t="s">
        <v>117</v>
      </c>
      <c r="K215" s="15">
        <f>VLOOKUP(MONTH($C215),'CALENDAR INFO'!$O$2:$P$13,2)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INFO'!$L$2:$M$8,2)</f>
        <v>THU</v>
      </c>
      <c r="G216" s="213">
        <v>0.09</v>
      </c>
      <c r="H216" s="422">
        <v>0.11</v>
      </c>
      <c r="I216" s="454">
        <f t="shared" si="19"/>
        <v>2.0000000000000004E-2</v>
      </c>
      <c r="J216" s="15" t="s">
        <v>150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INFO'!$L$2:$M$8,2)</f>
        <v>FRI</v>
      </c>
      <c r="G217" s="213">
        <v>0.09</v>
      </c>
      <c r="H217" s="422">
        <v>0.11</v>
      </c>
      <c r="I217" s="454">
        <f t="shared" si="19"/>
        <v>2.0000000000000004E-2</v>
      </c>
      <c r="J217" s="15" t="s">
        <v>151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INFO'!$L$2:$M$8,2)</f>
        <v>SAT</v>
      </c>
      <c r="G218" s="213">
        <v>0.09</v>
      </c>
      <c r="H218" s="422">
        <v>0.11</v>
      </c>
      <c r="I218" s="454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INFO'!$L$2:$M$8,2)</f>
        <v>SUN</v>
      </c>
      <c r="G219" s="213">
        <v>0.09</v>
      </c>
      <c r="H219" s="422">
        <v>0.11</v>
      </c>
      <c r="I219" s="454">
        <f t="shared" si="19"/>
        <v>2.0000000000000004E-2</v>
      </c>
      <c r="J219" s="15" t="s">
        <v>152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INFO'!$L$2:$M$8,2)</f>
        <v>MON</v>
      </c>
      <c r="G220" s="213">
        <v>0.09</v>
      </c>
      <c r="H220" s="422">
        <v>0.1</v>
      </c>
      <c r="I220" s="454">
        <f t="shared" si="19"/>
        <v>1.0000000000000009E-2</v>
      </c>
      <c r="J220" s="15" t="s">
        <v>153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INFO'!$L$2:$M$8,2)</f>
        <v>TUE</v>
      </c>
      <c r="G221" s="213">
        <v>0.09</v>
      </c>
      <c r="H221" s="422">
        <v>0.1</v>
      </c>
      <c r="I221" s="454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INFO'!$L$2:$M$8,2)</f>
        <v>WED</v>
      </c>
      <c r="G222" s="213">
        <v>0.09</v>
      </c>
      <c r="H222" s="422">
        <v>0.1</v>
      </c>
      <c r="I222" s="454">
        <f t="shared" si="19"/>
        <v>1.0000000000000009E-2</v>
      </c>
      <c r="J222" s="15" t="s">
        <v>154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INFO'!$L$2:$M$8,2)</f>
        <v>THU</v>
      </c>
      <c r="G223" s="213">
        <v>0.09</v>
      </c>
      <c r="H223" s="422">
        <v>0.1</v>
      </c>
      <c r="I223" s="454">
        <f t="shared" si="19"/>
        <v>1.0000000000000009E-2</v>
      </c>
      <c r="J223" s="15" t="s">
        <v>155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INFO'!$L$2:$M$8,2)</f>
        <v>FRI</v>
      </c>
      <c r="G224" s="213">
        <v>0.09</v>
      </c>
      <c r="H224" s="422">
        <v>0.1</v>
      </c>
      <c r="I224" s="454">
        <f t="shared" si="19"/>
        <v>1.0000000000000009E-2</v>
      </c>
      <c r="J224" s="15" t="s">
        <v>156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INFO'!$L$2:$M$8,2)</f>
        <v>SAT</v>
      </c>
      <c r="G225" s="213">
        <v>0.09</v>
      </c>
      <c r="H225" s="422">
        <v>0.1</v>
      </c>
      <c r="I225" s="454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INFO'!$L$2:$M$8,2)</f>
        <v>SUN</v>
      </c>
      <c r="G226" s="213">
        <v>0.09</v>
      </c>
      <c r="H226" s="422">
        <v>0.1</v>
      </c>
      <c r="I226" s="454">
        <f t="shared" si="19"/>
        <v>1.0000000000000009E-2</v>
      </c>
      <c r="J226" s="15" t="s">
        <v>157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INFO'!$L$2:$M$8,2)</f>
        <v>MON</v>
      </c>
      <c r="G227" s="213">
        <v>0.09</v>
      </c>
      <c r="H227" s="422">
        <v>0.1</v>
      </c>
      <c r="I227" s="454">
        <f t="shared" si="19"/>
        <v>1.0000000000000009E-2</v>
      </c>
      <c r="J227" s="177" t="s">
        <v>158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INFO'!$L$2:$M$8,2)</f>
        <v>TUE</v>
      </c>
      <c r="G228" s="213">
        <v>0.09</v>
      </c>
      <c r="H228" s="422">
        <v>0.11</v>
      </c>
      <c r="I228" s="454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INFO'!$L$2:$M$8,2)</f>
        <v>WED</v>
      </c>
      <c r="G229" s="214">
        <v>0.1</v>
      </c>
      <c r="H229" s="422">
        <v>0.13</v>
      </c>
      <c r="I229" s="454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INFO'!$L$2:$M$8,2)</f>
        <v>THU</v>
      </c>
      <c r="G230" s="214">
        <v>0.1</v>
      </c>
      <c r="H230" s="422">
        <v>0.12</v>
      </c>
      <c r="I230" s="454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INFO'!$L$2:$M$8,2)</f>
        <v>FRI</v>
      </c>
      <c r="G231" s="214">
        <v>0.09</v>
      </c>
      <c r="H231" s="422">
        <v>0.12</v>
      </c>
      <c r="I231" s="454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INFO'!$L$2:$M$8,2)</f>
        <v>SAT</v>
      </c>
      <c r="G232" s="214">
        <v>0.09</v>
      </c>
      <c r="H232" s="422">
        <v>0.12</v>
      </c>
      <c r="I232" s="454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INFO'!$L$2:$M$8,2)</f>
        <v>SUN</v>
      </c>
      <c r="G233" s="214">
        <v>0.09</v>
      </c>
      <c r="H233" s="422">
        <v>0.12</v>
      </c>
      <c r="I233" s="454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INFO'!$L$2:$M$8,2)</f>
        <v>MON</v>
      </c>
      <c r="G234" s="214">
        <v>0.1</v>
      </c>
      <c r="H234" s="422">
        <v>0.12</v>
      </c>
      <c r="I234" s="454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INFO'!$L$2:$M$8,2)</f>
        <v>TUE</v>
      </c>
      <c r="G235" s="214">
        <v>0.1</v>
      </c>
      <c r="H235" s="422">
        <v>0.11</v>
      </c>
      <c r="I235" s="454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INFO'!$L$2:$M$8,2)</f>
        <v>WED</v>
      </c>
      <c r="G236" s="214">
        <v>0.09</v>
      </c>
      <c r="H236" s="422">
        <v>0.1</v>
      </c>
      <c r="I236" s="454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INFO'!$L$2:$M$8,2)</f>
        <v>THU</v>
      </c>
      <c r="G237" s="214">
        <v>0.09</v>
      </c>
      <c r="H237" s="422">
        <v>0.1</v>
      </c>
      <c r="I237" s="454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INFO'!$L$2:$M$8,2)</f>
        <v>FRI</v>
      </c>
      <c r="G238" s="214">
        <v>0.09</v>
      </c>
      <c r="H238" s="422">
        <v>0.1</v>
      </c>
      <c r="I238" s="454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INFO'!$L$2:$M$8,2)</f>
        <v>SAT</v>
      </c>
      <c r="G239" s="214">
        <v>0.09</v>
      </c>
      <c r="H239" s="422">
        <v>0.1</v>
      </c>
      <c r="I239" s="454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INFO'!$L$2:$M$8,2)</f>
        <v>SUN</v>
      </c>
      <c r="G240" s="214">
        <v>0.09</v>
      </c>
      <c r="H240" s="422">
        <v>0.1</v>
      </c>
      <c r="I240" s="454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INFO'!$L$2:$M$8,2)</f>
        <v>MON</v>
      </c>
      <c r="G241" s="214">
        <v>0.1</v>
      </c>
      <c r="H241" s="422">
        <v>0.1</v>
      </c>
      <c r="I241" s="454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92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INFO'!$L$2:$M$8,2)</f>
        <v>TUE</v>
      </c>
      <c r="G242" s="214">
        <v>0.1</v>
      </c>
      <c r="H242" s="422">
        <v>0.1</v>
      </c>
      <c r="I242" s="454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INFO'!$L$2:$M$8,2)</f>
        <v>WED</v>
      </c>
      <c r="G243" s="214">
        <v>0.1</v>
      </c>
      <c r="H243" s="422">
        <v>0.09</v>
      </c>
      <c r="I243" s="454">
        <f t="shared" si="19"/>
        <v>-1.0000000000000009E-2</v>
      </c>
      <c r="J243" s="430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75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INFO'!$L$2:$M$8,2)</f>
        <v>THU</v>
      </c>
      <c r="G244" s="214">
        <v>0.1</v>
      </c>
      <c r="H244" s="422">
        <v>0.1</v>
      </c>
      <c r="I244" s="454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INFO'!$L$2:$M$8,2)</f>
        <v>FRI</v>
      </c>
      <c r="G245" s="215">
        <v>0.1</v>
      </c>
      <c r="H245" s="423">
        <v>0.1</v>
      </c>
      <c r="I245" s="455">
        <f t="shared" si="19"/>
        <v>0</v>
      </c>
      <c r="J245" s="431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INFO'!$L$2:$M$8,2)</f>
        <v>SAT</v>
      </c>
      <c r="G246" s="214">
        <v>0.1</v>
      </c>
      <c r="H246" s="422">
        <v>0.1</v>
      </c>
      <c r="I246" s="454">
        <f t="shared" si="19"/>
        <v>0</v>
      </c>
      <c r="J246" s="15" t="s">
        <v>117</v>
      </c>
      <c r="K246" s="15">
        <f>VLOOKUP(MONTH($C246),'CALENDAR INFO'!$O$2:$P$13,2)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INFO'!$L$2:$M$8,2)</f>
        <v>SUN</v>
      </c>
      <c r="G247" s="214">
        <v>0.1</v>
      </c>
      <c r="H247" s="422">
        <v>0.1</v>
      </c>
      <c r="I247" s="454">
        <f t="shared" si="19"/>
        <v>0</v>
      </c>
      <c r="J247" s="15" t="s">
        <v>150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INFO'!$L$2:$M$8,2)</f>
        <v>MON</v>
      </c>
      <c r="G248" s="214">
        <v>0.1</v>
      </c>
      <c r="H248" s="422">
        <v>0.1</v>
      </c>
      <c r="I248" s="454">
        <f t="shared" si="19"/>
        <v>0</v>
      </c>
      <c r="J248" s="15" t="s">
        <v>151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INFO'!$L$2:$M$8,2)</f>
        <v>TUE</v>
      </c>
      <c r="G249" s="214">
        <v>0.1</v>
      </c>
      <c r="H249" s="422">
        <v>0.09</v>
      </c>
      <c r="I249" s="454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INFO'!$L$2:$M$8,2)</f>
        <v>WED</v>
      </c>
      <c r="G250" s="214">
        <v>0.1</v>
      </c>
      <c r="H250" s="422">
        <v>0.09</v>
      </c>
      <c r="I250" s="454">
        <f t="shared" si="19"/>
        <v>-1.0000000000000009E-2</v>
      </c>
      <c r="J250" s="15" t="s">
        <v>152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INFO'!$L$2:$M$8,2)</f>
        <v>THU</v>
      </c>
      <c r="G251" s="214">
        <v>0.1</v>
      </c>
      <c r="H251" s="422">
        <v>0.09</v>
      </c>
      <c r="I251" s="454">
        <f t="shared" si="19"/>
        <v>-1.0000000000000009E-2</v>
      </c>
      <c r="J251" s="15" t="s">
        <v>153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INFO'!$L$2:$M$8,2)</f>
        <v>FRI</v>
      </c>
      <c r="G252" s="214">
        <v>0.1</v>
      </c>
      <c r="H252" s="422">
        <v>0.09</v>
      </c>
      <c r="I252" s="454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INFO'!$L$2:$M$8,2)</f>
        <v>SAT</v>
      </c>
      <c r="G253" s="214">
        <v>0.1</v>
      </c>
      <c r="H253" s="422">
        <v>0.09</v>
      </c>
      <c r="I253" s="454">
        <f t="shared" si="19"/>
        <v>-1.0000000000000009E-2</v>
      </c>
      <c r="J253" s="15" t="s">
        <v>154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INFO'!$L$2:$M$8,2)</f>
        <v>SUN</v>
      </c>
      <c r="G254" s="214">
        <v>0.1</v>
      </c>
      <c r="H254" s="422">
        <v>0.09</v>
      </c>
      <c r="I254" s="454">
        <f t="shared" si="19"/>
        <v>-1.0000000000000009E-2</v>
      </c>
      <c r="J254" s="15" t="s">
        <v>155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INFO'!$L$2:$M$8,2)</f>
        <v>MON</v>
      </c>
      <c r="G255" s="214">
        <v>0.1</v>
      </c>
      <c r="H255" s="422">
        <v>0.09</v>
      </c>
      <c r="I255" s="454">
        <f t="shared" si="19"/>
        <v>-1.0000000000000009E-2</v>
      </c>
      <c r="J255" s="15" t="s">
        <v>156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INFO'!$L$2:$M$8,2)</f>
        <v>TUE</v>
      </c>
      <c r="G256" s="214">
        <v>0.1</v>
      </c>
      <c r="H256" s="422">
        <v>0.1</v>
      </c>
      <c r="I256" s="454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INFO'!$L$2:$M$8,2)</f>
        <v>WED</v>
      </c>
      <c r="G257" s="214">
        <v>0.1</v>
      </c>
      <c r="H257" s="422">
        <v>0.09</v>
      </c>
      <c r="I257" s="454">
        <f t="shared" si="19"/>
        <v>-1.0000000000000009E-2</v>
      </c>
      <c r="J257" s="15" t="s">
        <v>157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INFO'!$L$2:$M$8,2)</f>
        <v>THU</v>
      </c>
      <c r="G258" s="214">
        <v>0.1</v>
      </c>
      <c r="H258" s="422">
        <v>0.09</v>
      </c>
      <c r="I258" s="454">
        <f t="shared" si="19"/>
        <v>-1.0000000000000009E-2</v>
      </c>
      <c r="J258" s="177" t="s">
        <v>158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INFO'!$L$2:$M$8,2)</f>
        <v>FRI</v>
      </c>
      <c r="G259" s="214">
        <v>0.1</v>
      </c>
      <c r="H259" s="422">
        <v>0.09</v>
      </c>
      <c r="I259" s="454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INFO'!$L$2:$M$8,2)</f>
        <v>SAT</v>
      </c>
      <c r="G260" s="214">
        <v>0.1</v>
      </c>
      <c r="H260" s="422">
        <v>0.09</v>
      </c>
      <c r="I260" s="454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INFO'!$L$2:$M$8,2)</f>
        <v>SUN</v>
      </c>
      <c r="G261" s="214">
        <v>0.1</v>
      </c>
      <c r="H261" s="422">
        <v>0.09</v>
      </c>
      <c r="I261" s="454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INFO'!$L$2:$M$8,2)</f>
        <v>MON</v>
      </c>
      <c r="G262" s="214">
        <v>0.1</v>
      </c>
      <c r="H262" s="422">
        <v>0.1</v>
      </c>
      <c r="I262" s="454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INFO'!$L$2:$M$8,2)</f>
        <v>TUE</v>
      </c>
      <c r="G263" s="214">
        <v>0.09</v>
      </c>
      <c r="H263" s="422">
        <v>0.09</v>
      </c>
      <c r="I263" s="454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INFO'!$L$2:$M$8,2)</f>
        <v>WED</v>
      </c>
      <c r="G264" s="214">
        <v>0.09</v>
      </c>
      <c r="H264" s="422">
        <v>0.09</v>
      </c>
      <c r="I264" s="454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INFO'!$L$2:$M$8,2)</f>
        <v>THU</v>
      </c>
      <c r="G265" s="214">
        <v>0.09</v>
      </c>
      <c r="H265" s="422">
        <v>7.0000000000000007E-2</v>
      </c>
      <c r="I265" s="454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INFO'!$L$2:$M$8,2)</f>
        <v>FRI</v>
      </c>
      <c r="G266" s="214">
        <v>0.09</v>
      </c>
      <c r="H266" s="422">
        <v>7.0000000000000007E-2</v>
      </c>
      <c r="I266" s="454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INFO'!$L$2:$M$8,2)</f>
        <v>SAT</v>
      </c>
      <c r="G267" s="214">
        <v>0.09</v>
      </c>
      <c r="H267" s="422">
        <v>7.0000000000000007E-2</v>
      </c>
      <c r="I267" s="454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INFO'!$L$2:$M$8,2)</f>
        <v>SUN</v>
      </c>
      <c r="G268" s="214">
        <v>0.09</v>
      </c>
      <c r="H268" s="422">
        <v>7.0000000000000007E-2</v>
      </c>
      <c r="I268" s="454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INFO'!$L$2:$M$8,2)</f>
        <v>MON</v>
      </c>
      <c r="G269" s="214">
        <v>0.09</v>
      </c>
      <c r="H269" s="422">
        <v>0.08</v>
      </c>
      <c r="I269" s="454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INFO'!$L$2:$M$8,2)</f>
        <v>TUE</v>
      </c>
      <c r="G270" s="214">
        <v>0.09</v>
      </c>
      <c r="H270" s="422">
        <v>0.08</v>
      </c>
      <c r="I270" s="454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INFO'!$L$2:$M$8,2)</f>
        <v>WED</v>
      </c>
      <c r="G271" s="214">
        <v>0.09</v>
      </c>
      <c r="H271" s="422">
        <v>7.0000000000000007E-2</v>
      </c>
      <c r="I271" s="454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INFO'!$L$2:$M$8,2)</f>
        <v>THU</v>
      </c>
      <c r="G272" s="214">
        <v>0.08</v>
      </c>
      <c r="H272" s="422">
        <v>7.0000000000000007E-2</v>
      </c>
      <c r="I272" s="454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92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INFO'!$L$2:$M$8,2)</f>
        <v>FRI</v>
      </c>
      <c r="G273" s="214">
        <v>0.09</v>
      </c>
      <c r="H273" s="422">
        <v>7.0000000000000007E-2</v>
      </c>
      <c r="I273" s="454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INFO'!$L$2:$M$8,2)</f>
        <v>SAT</v>
      </c>
      <c r="G274" s="214">
        <v>0.09</v>
      </c>
      <c r="H274" s="422">
        <v>7.0000000000000007E-2</v>
      </c>
      <c r="I274" s="454">
        <f t="shared" si="24"/>
        <v>-1.999999999999999E-2</v>
      </c>
      <c r="J274" s="430"/>
      <c r="K274" s="183"/>
      <c r="L274" s="195"/>
      <c r="M274" s="63">
        <f t="shared" si="22"/>
        <v>0</v>
      </c>
      <c r="N274" s="64">
        <f t="shared" si="20"/>
        <v>1</v>
      </c>
      <c r="O274" s="89" t="s">
        <v>75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INFO'!$L$2:$M$8,2)</f>
        <v>SUN</v>
      </c>
      <c r="G275" s="214">
        <v>0.09</v>
      </c>
      <c r="H275" s="422">
        <v>7.0000000000000007E-2</v>
      </c>
      <c r="I275" s="454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INFO'!$L$2:$M$8,2)</f>
        <v>MON</v>
      </c>
      <c r="G276" s="215">
        <v>0.09</v>
      </c>
      <c r="H276" s="423">
        <v>0.09</v>
      </c>
      <c r="I276" s="455">
        <f t="shared" si="24"/>
        <v>0</v>
      </c>
      <c r="J276" s="431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INFO'!$L$2:$M$8,2)</f>
        <v>TUE</v>
      </c>
      <c r="G277" s="213">
        <v>0.09</v>
      </c>
      <c r="H277" s="422">
        <v>0.09</v>
      </c>
      <c r="I277" s="454">
        <f t="shared" si="24"/>
        <v>0</v>
      </c>
      <c r="J277" s="15" t="s">
        <v>117</v>
      </c>
      <c r="K277" s="15">
        <f>VLOOKUP(MONTH($C277),'CALENDAR INFO'!$O$2:$P$13,2)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INFO'!$L$2:$M$8,2)</f>
        <v>WED</v>
      </c>
      <c r="G278" s="213">
        <v>0.09</v>
      </c>
      <c r="H278" s="422">
        <v>0.09</v>
      </c>
      <c r="I278" s="454">
        <f t="shared" si="24"/>
        <v>0</v>
      </c>
      <c r="J278" s="15" t="s">
        <v>150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INFO'!$L$2:$M$8,2)</f>
        <v>THU</v>
      </c>
      <c r="G279" s="213">
        <v>0.09</v>
      </c>
      <c r="H279" s="422">
        <v>0.1</v>
      </c>
      <c r="I279" s="454">
        <f t="shared" si="24"/>
        <v>1.0000000000000009E-2</v>
      </c>
      <c r="J279" s="15" t="s">
        <v>151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INFO'!$L$2:$M$8,2)</f>
        <v>FRI</v>
      </c>
      <c r="G280" s="213">
        <v>0.09</v>
      </c>
      <c r="H280" s="422">
        <v>0.09</v>
      </c>
      <c r="I280" s="454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INFO'!$L$2:$M$8,2)</f>
        <v>SAT</v>
      </c>
      <c r="G281" s="213">
        <v>0.09</v>
      </c>
      <c r="H281" s="422">
        <v>0.09</v>
      </c>
      <c r="I281" s="454">
        <f t="shared" si="24"/>
        <v>0</v>
      </c>
      <c r="J281" s="15" t="s">
        <v>152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INFO'!$L$2:$M$8,2)</f>
        <v>SUN</v>
      </c>
      <c r="G282" s="213">
        <v>0.09</v>
      </c>
      <c r="H282" s="422">
        <v>0.09</v>
      </c>
      <c r="I282" s="454">
        <f t="shared" si="24"/>
        <v>0</v>
      </c>
      <c r="J282" s="15" t="s">
        <v>153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INFO'!$L$2:$M$8,2)</f>
        <v>MON</v>
      </c>
      <c r="G283" s="213">
        <v>0.09</v>
      </c>
      <c r="H283" s="422">
        <v>0.09</v>
      </c>
      <c r="I283" s="454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INFO'!$L$2:$M$8,2)</f>
        <v>TUE</v>
      </c>
      <c r="G284" s="213">
        <v>0.09</v>
      </c>
      <c r="H284" s="422">
        <v>0.09</v>
      </c>
      <c r="I284" s="454">
        <f t="shared" si="24"/>
        <v>0</v>
      </c>
      <c r="J284" s="15" t="s">
        <v>154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INFO'!$L$2:$M$8,2)</f>
        <v>WED</v>
      </c>
      <c r="G285" s="213">
        <v>0.09</v>
      </c>
      <c r="H285" s="422">
        <v>0.09</v>
      </c>
      <c r="I285" s="454">
        <f t="shared" si="24"/>
        <v>0</v>
      </c>
      <c r="J285" s="15" t="s">
        <v>155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INFO'!$L$2:$M$8,2)</f>
        <v>THU</v>
      </c>
      <c r="G286" s="213">
        <v>0.09</v>
      </c>
      <c r="H286" s="422">
        <v>0.09</v>
      </c>
      <c r="I286" s="454">
        <f t="shared" si="24"/>
        <v>0</v>
      </c>
      <c r="J286" s="15" t="s">
        <v>156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INFO'!$L$2:$M$8,2)</f>
        <v>FRI</v>
      </c>
      <c r="G287" s="213">
        <v>0.09</v>
      </c>
      <c r="H287" s="422">
        <v>0.09</v>
      </c>
      <c r="I287" s="454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INFO'!$L$2:$M$8,2)</f>
        <v>SAT</v>
      </c>
      <c r="G288" s="213">
        <v>0.09</v>
      </c>
      <c r="H288" s="422">
        <v>0.09</v>
      </c>
      <c r="I288" s="454">
        <f t="shared" si="24"/>
        <v>0</v>
      </c>
      <c r="J288" s="15" t="s">
        <v>157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92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INFO'!$L$2:$M$8,2)</f>
        <v>SUN</v>
      </c>
      <c r="G289" s="213">
        <v>0.09</v>
      </c>
      <c r="H289" s="422">
        <v>0.09</v>
      </c>
      <c r="I289" s="454">
        <f t="shared" si="24"/>
        <v>0</v>
      </c>
      <c r="J289" s="177" t="s">
        <v>158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76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INFO'!$L$2:$M$8,2)</f>
        <v>MON</v>
      </c>
      <c r="G290" s="213">
        <v>0.09</v>
      </c>
      <c r="H290" s="422">
        <v>0.09</v>
      </c>
      <c r="I290" s="454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INFO'!$L$2:$M$8,2)</f>
        <v>TUE</v>
      </c>
      <c r="G291" s="213">
        <v>0.09</v>
      </c>
      <c r="H291" s="422">
        <v>0.1</v>
      </c>
      <c r="I291" s="454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INFO'!$L$2:$M$8,2)</f>
        <v>WED</v>
      </c>
      <c r="G292" s="213">
        <v>0.09</v>
      </c>
      <c r="H292" s="422">
        <v>0.1</v>
      </c>
      <c r="I292" s="454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INFO'!$L$2:$M$8,2)</f>
        <v>THU</v>
      </c>
      <c r="G293" s="213">
        <v>0.09</v>
      </c>
      <c r="H293" s="422">
        <v>0.1</v>
      </c>
      <c r="I293" s="454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INFO'!$L$2:$M$8,2)</f>
        <v>FRI</v>
      </c>
      <c r="G294" s="213">
        <v>0.09</v>
      </c>
      <c r="H294" s="422">
        <v>0.09</v>
      </c>
      <c r="I294" s="454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INFO'!$L$2:$M$8,2)</f>
        <v>SAT</v>
      </c>
      <c r="G295" s="213">
        <v>0.09</v>
      </c>
      <c r="H295" s="422">
        <v>0.09</v>
      </c>
      <c r="I295" s="454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INFO'!$L$2:$M$8,2)</f>
        <v>SUN</v>
      </c>
      <c r="G296" s="213">
        <v>0.09</v>
      </c>
      <c r="H296" s="422">
        <v>0.09</v>
      </c>
      <c r="I296" s="454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INFO'!$L$2:$M$8,2)</f>
        <v>MON</v>
      </c>
      <c r="G297" s="213">
        <v>0.09</v>
      </c>
      <c r="H297" s="422">
        <v>0.08</v>
      </c>
      <c r="I297" s="454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INFO'!$L$2:$M$8,2)</f>
        <v>TUE</v>
      </c>
      <c r="G298" s="213">
        <v>0.09</v>
      </c>
      <c r="H298" s="422">
        <v>7.0000000000000007E-2</v>
      </c>
      <c r="I298" s="454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INFO'!$L$2:$M$8,2)</f>
        <v>WED</v>
      </c>
      <c r="G299" s="213">
        <v>0.09</v>
      </c>
      <c r="H299" s="422">
        <v>0.06</v>
      </c>
      <c r="I299" s="454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INFO'!$L$2:$M$8,2)</f>
        <v>THU</v>
      </c>
      <c r="G300" s="213">
        <v>0.09</v>
      </c>
      <c r="H300" s="422">
        <v>7.0000000000000007E-2</v>
      </c>
      <c r="I300" s="454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INFO'!$L$2:$M$8,2)</f>
        <v>FRI</v>
      </c>
      <c r="G301" s="213">
        <v>0.09</v>
      </c>
      <c r="H301" s="422">
        <v>0.08</v>
      </c>
      <c r="I301" s="454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INFO'!$L$2:$M$8,2)</f>
        <v>SAT</v>
      </c>
      <c r="G302" s="213">
        <v>0.09</v>
      </c>
      <c r="H302" s="422">
        <v>0.08</v>
      </c>
      <c r="I302" s="454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92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INFO'!$L$2:$M$8,2)</f>
        <v>SUN</v>
      </c>
      <c r="G303" s="213">
        <v>0.09</v>
      </c>
      <c r="H303" s="422">
        <v>0.08</v>
      </c>
      <c r="I303" s="454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INFO'!$L$2:$M$8,2)</f>
        <v>MON</v>
      </c>
      <c r="G304" s="213">
        <v>0.09</v>
      </c>
      <c r="H304" s="422">
        <v>0.08</v>
      </c>
      <c r="I304" s="454">
        <f t="shared" si="24"/>
        <v>-9.999999999999995E-3</v>
      </c>
      <c r="J304" s="430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75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INFO'!$L$2:$M$8,2)</f>
        <v>TUE</v>
      </c>
      <c r="G305" s="213">
        <v>0.09</v>
      </c>
      <c r="H305" s="422">
        <v>7.0000000000000007E-2</v>
      </c>
      <c r="I305" s="454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INFO'!$L$2:$M$8,2)</f>
        <v>WED</v>
      </c>
      <c r="G306" s="216">
        <v>0.09</v>
      </c>
      <c r="H306" s="423">
        <v>0.08</v>
      </c>
      <c r="I306" s="455">
        <f t="shared" si="24"/>
        <v>-9.999999999999995E-3</v>
      </c>
      <c r="J306" s="431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INFO'!$L$2:$M$8,2)</f>
        <v>THU</v>
      </c>
      <c r="G307" s="213">
        <v>0.09</v>
      </c>
      <c r="H307" s="422">
        <v>0.08</v>
      </c>
      <c r="I307" s="454">
        <f t="shared" si="24"/>
        <v>-9.999999999999995E-3</v>
      </c>
      <c r="J307" s="15" t="s">
        <v>117</v>
      </c>
      <c r="K307" s="15">
        <f>VLOOKUP(MONTH($C307),'CALENDAR INFO'!$O$2:$P$13,2)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INFO'!$L$2:$M$8,2)</f>
        <v>FRI</v>
      </c>
      <c r="G308" s="213">
        <v>0.09</v>
      </c>
      <c r="H308" s="422">
        <v>0.1</v>
      </c>
      <c r="I308" s="454">
        <f t="shared" si="24"/>
        <v>1.0000000000000009E-2</v>
      </c>
      <c r="J308" s="15" t="s">
        <v>150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INFO'!$L$2:$M$8,2)</f>
        <v>SAT</v>
      </c>
      <c r="G309" s="213">
        <v>0.09</v>
      </c>
      <c r="H309" s="422">
        <v>0.1</v>
      </c>
      <c r="I309" s="454">
        <f t="shared" si="24"/>
        <v>1.0000000000000009E-2</v>
      </c>
      <c r="J309" s="15" t="s">
        <v>151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INFO'!$L$2:$M$8,2)</f>
        <v>SUN</v>
      </c>
      <c r="G310" s="213">
        <v>0.09</v>
      </c>
      <c r="H310" s="422">
        <v>0.1</v>
      </c>
      <c r="I310" s="454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INFO'!$L$2:$M$8,2)</f>
        <v>MON</v>
      </c>
      <c r="G311" s="213">
        <v>0.09</v>
      </c>
      <c r="H311" s="422">
        <v>0.09</v>
      </c>
      <c r="I311" s="454">
        <f t="shared" si="24"/>
        <v>0</v>
      </c>
      <c r="J311" s="15" t="s">
        <v>152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INFO'!$L$2:$M$8,2)</f>
        <v>TUE</v>
      </c>
      <c r="G312" s="213">
        <v>0.09</v>
      </c>
      <c r="H312" s="422">
        <v>0.1</v>
      </c>
      <c r="I312" s="454">
        <f t="shared" si="24"/>
        <v>1.0000000000000009E-2</v>
      </c>
      <c r="J312" s="15" t="s">
        <v>153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INFO'!$L$2:$M$8,2)</f>
        <v>WED</v>
      </c>
      <c r="G313" s="213">
        <v>0.09</v>
      </c>
      <c r="H313" s="422">
        <v>0.09</v>
      </c>
      <c r="I313" s="454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INFO'!$L$2:$M$8,2)</f>
        <v>THU</v>
      </c>
      <c r="G314" s="213">
        <v>0.09</v>
      </c>
      <c r="H314" s="422">
        <v>0.08</v>
      </c>
      <c r="I314" s="454">
        <f t="shared" si="24"/>
        <v>-9.999999999999995E-3</v>
      </c>
      <c r="J314" s="15" t="s">
        <v>154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INFO'!$L$2:$M$8,2)</f>
        <v>FRI</v>
      </c>
      <c r="G315" s="213">
        <v>0.09</v>
      </c>
      <c r="H315" s="422">
        <v>0.09</v>
      </c>
      <c r="I315" s="454">
        <f t="shared" si="24"/>
        <v>0</v>
      </c>
      <c r="J315" s="15" t="s">
        <v>155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INFO'!$L$2:$M$8,2)</f>
        <v>SAT</v>
      </c>
      <c r="G316" s="213">
        <v>0.09</v>
      </c>
      <c r="H316" s="422">
        <v>0.09</v>
      </c>
      <c r="I316" s="454">
        <f t="shared" si="24"/>
        <v>0</v>
      </c>
      <c r="J316" s="15" t="s">
        <v>156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INFO'!$L$2:$M$8,2)</f>
        <v>SUN</v>
      </c>
      <c r="G317" s="213">
        <v>0.09</v>
      </c>
      <c r="H317" s="422">
        <v>0.09</v>
      </c>
      <c r="I317" s="454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INFO'!$L$2:$M$8,2)</f>
        <v>MON</v>
      </c>
      <c r="G318" s="213">
        <v>0.09</v>
      </c>
      <c r="H318" s="422">
        <v>0.09</v>
      </c>
      <c r="I318" s="454">
        <f t="shared" si="24"/>
        <v>0</v>
      </c>
      <c r="J318" s="15" t="s">
        <v>157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INFO'!$L$2:$M$8,2)</f>
        <v>TUE</v>
      </c>
      <c r="G319" s="213">
        <v>0.09</v>
      </c>
      <c r="H319" s="422">
        <v>0.09</v>
      </c>
      <c r="I319" s="454">
        <f t="shared" si="24"/>
        <v>0</v>
      </c>
      <c r="J319" s="177" t="s">
        <v>158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INFO'!$L$2:$M$8,2)</f>
        <v>WED</v>
      </c>
      <c r="G320" s="213">
        <v>0.09</v>
      </c>
      <c r="H320" s="422">
        <v>0.09</v>
      </c>
      <c r="I320" s="454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INFO'!$L$2:$M$8,2)</f>
        <v>THU</v>
      </c>
      <c r="G321" s="213">
        <v>0.09</v>
      </c>
      <c r="H321" s="422">
        <v>0.1</v>
      </c>
      <c r="I321" s="454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INFO'!$L$2:$M$8,2)</f>
        <v>FRI</v>
      </c>
      <c r="G322" s="213">
        <v>0.09</v>
      </c>
      <c r="H322" s="422">
        <v>0.09</v>
      </c>
      <c r="I322" s="454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INFO'!$L$2:$M$8,2)</f>
        <v>SAT</v>
      </c>
      <c r="G323" s="213">
        <v>0.09</v>
      </c>
      <c r="H323" s="422">
        <v>0.09</v>
      </c>
      <c r="I323" s="454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INFO'!$L$2:$M$8,2)</f>
        <v>SUN</v>
      </c>
      <c r="G324" s="213">
        <v>0.09</v>
      </c>
      <c r="H324" s="422">
        <v>0.09</v>
      </c>
      <c r="I324" s="454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INFO'!$L$2:$M$8,2)</f>
        <v>MON</v>
      </c>
      <c r="G325" s="213">
        <v>0.09</v>
      </c>
      <c r="H325" s="422">
        <v>0.09</v>
      </c>
      <c r="I325" s="454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INFO'!$L$2:$M$8,2)</f>
        <v>TUE</v>
      </c>
      <c r="G326" s="213">
        <v>0.09</v>
      </c>
      <c r="H326" s="422">
        <v>0.08</v>
      </c>
      <c r="I326" s="454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INFO'!$L$2:$M$8,2)</f>
        <v>WED</v>
      </c>
      <c r="G327" s="213">
        <v>0.09</v>
      </c>
      <c r="H327" s="422">
        <v>7.0000000000000007E-2</v>
      </c>
      <c r="I327" s="454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INFO'!$L$2:$M$8,2)</f>
        <v>THU</v>
      </c>
      <c r="G328" s="213">
        <v>0.09</v>
      </c>
      <c r="H328" s="422">
        <v>7.0000000000000007E-2</v>
      </c>
      <c r="I328" s="454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INFO'!$L$2:$M$8,2)</f>
        <v>FRI</v>
      </c>
      <c r="G329" s="213">
        <v>0.09</v>
      </c>
      <c r="H329" s="422">
        <v>0.08</v>
      </c>
      <c r="I329" s="454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INFO'!$L$2:$M$8,2)</f>
        <v>SAT</v>
      </c>
      <c r="G330" s="213">
        <v>0.09</v>
      </c>
      <c r="H330" s="422">
        <v>0.08</v>
      </c>
      <c r="I330" s="454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INFO'!$L$2:$M$8,2)</f>
        <v>SUN</v>
      </c>
      <c r="G331" s="213">
        <v>0.09</v>
      </c>
      <c r="H331" s="422">
        <v>0.08</v>
      </c>
      <c r="I331" s="454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INFO'!$L$2:$M$8,2)</f>
        <v>MON</v>
      </c>
      <c r="G332" s="213">
        <v>0.09</v>
      </c>
      <c r="H332" s="422">
        <v>0.09</v>
      </c>
      <c r="I332" s="454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INFO'!$L$2:$M$8,2)</f>
        <v>TUE</v>
      </c>
      <c r="G333" s="213">
        <v>0.09</v>
      </c>
      <c r="H333" s="422">
        <v>0.09</v>
      </c>
      <c r="I333" s="454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92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INFO'!$L$2:$M$8,2)</f>
        <v>WED</v>
      </c>
      <c r="G334" s="213">
        <v>0.09</v>
      </c>
      <c r="H334" s="422">
        <v>0.08</v>
      </c>
      <c r="I334" s="454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106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INFO'!$L$2:$M$8,2)</f>
        <v>THU</v>
      </c>
      <c r="G335" s="213">
        <v>0.09</v>
      </c>
      <c r="H335" s="422">
        <v>0.09</v>
      </c>
      <c r="I335" s="454">
        <f t="shared" si="29"/>
        <v>0</v>
      </c>
      <c r="J335" s="430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75</v>
      </c>
      <c r="P335" s="91">
        <v>99.912000000000006</v>
      </c>
      <c r="Q335" s="17" t="s">
        <v>106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INFO'!$L$2:$M$8,2)</f>
        <v>FRI</v>
      </c>
      <c r="G336" s="213">
        <v>0.09</v>
      </c>
      <c r="H336" s="422">
        <v>0.09</v>
      </c>
      <c r="I336" s="454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INFO'!$L$2:$M$8,2)</f>
        <v>SAT</v>
      </c>
      <c r="G337" s="216">
        <v>0.09</v>
      </c>
      <c r="H337" s="423">
        <v>0.09</v>
      </c>
      <c r="I337" s="455">
        <f t="shared" si="29"/>
        <v>0</v>
      </c>
      <c r="J337" s="431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INFO'!$L$2:$M$8,2)</f>
        <v>SUN</v>
      </c>
      <c r="G338" s="214">
        <v>0.09</v>
      </c>
      <c r="H338" s="422">
        <v>0.09</v>
      </c>
      <c r="I338" s="454">
        <f t="shared" si="29"/>
        <v>0</v>
      </c>
      <c r="J338" s="15" t="s">
        <v>117</v>
      </c>
      <c r="K338" s="15">
        <f>VLOOKUP(MONTH($C338),'CALENDAR INFO'!$O$2:$P$13,2)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INFO'!$L$2:$M$8,2)</f>
        <v>MON</v>
      </c>
      <c r="G339" s="213">
        <v>0.09</v>
      </c>
      <c r="H339" s="422">
        <v>0.11</v>
      </c>
      <c r="I339" s="454">
        <f t="shared" si="29"/>
        <v>2.0000000000000004E-2</v>
      </c>
      <c r="J339" s="15" t="s">
        <v>150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INFO'!$L$2:$M$8,2)</f>
        <v>TUE</v>
      </c>
      <c r="G340" s="213">
        <v>0.09</v>
      </c>
      <c r="H340" s="422">
        <v>0.1</v>
      </c>
      <c r="I340" s="454">
        <f t="shared" si="29"/>
        <v>1.0000000000000009E-2</v>
      </c>
      <c r="J340" s="15" t="s">
        <v>151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INFO'!$L$2:$M$8,2)</f>
        <v>WED</v>
      </c>
      <c r="G341" s="213">
        <v>0.09</v>
      </c>
      <c r="H341" s="422">
        <v>0.1</v>
      </c>
      <c r="I341" s="454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INFO'!$L$2:$M$8,2)</f>
        <v>THU</v>
      </c>
      <c r="G342" s="213">
        <v>0.09</v>
      </c>
      <c r="H342" s="422">
        <v>0.11</v>
      </c>
      <c r="I342" s="454">
        <f t="shared" si="29"/>
        <v>2.0000000000000004E-2</v>
      </c>
      <c r="J342" s="15" t="s">
        <v>152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INFO'!$L$2:$M$8,2)</f>
        <v>FRI</v>
      </c>
      <c r="G343" s="213">
        <v>0.09</v>
      </c>
      <c r="H343" s="422">
        <v>0.1</v>
      </c>
      <c r="I343" s="454">
        <f t="shared" si="29"/>
        <v>1.0000000000000009E-2</v>
      </c>
      <c r="J343" s="15" t="s">
        <v>153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INFO'!$L$2:$M$8,2)</f>
        <v>SAT</v>
      </c>
      <c r="G344" s="213">
        <v>0.09</v>
      </c>
      <c r="H344" s="422">
        <v>0.1</v>
      </c>
      <c r="I344" s="454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INFO'!$L$2:$M$8,2)</f>
        <v>SUN</v>
      </c>
      <c r="G345" s="213">
        <v>0.09</v>
      </c>
      <c r="H345" s="422">
        <v>0.1</v>
      </c>
      <c r="I345" s="454">
        <f t="shared" si="29"/>
        <v>1.0000000000000009E-2</v>
      </c>
      <c r="J345" s="15" t="s">
        <v>154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INFO'!$L$2:$M$8,2)</f>
        <v>MON</v>
      </c>
      <c r="G346" s="213">
        <v>0.09</v>
      </c>
      <c r="H346" s="422">
        <v>0.1</v>
      </c>
      <c r="I346" s="454">
        <f t="shared" si="29"/>
        <v>1.0000000000000009E-2</v>
      </c>
      <c r="J346" s="15" t="s">
        <v>155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INFO'!$L$2:$M$8,2)</f>
        <v>TUE</v>
      </c>
      <c r="G347" s="213">
        <v>0.09</v>
      </c>
      <c r="H347" s="422">
        <v>0.1</v>
      </c>
      <c r="I347" s="454">
        <f t="shared" si="29"/>
        <v>1.0000000000000009E-2</v>
      </c>
      <c r="J347" s="15" t="s">
        <v>156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INFO'!$L$2:$M$8,2)</f>
        <v>WED</v>
      </c>
      <c r="G348" s="213">
        <v>0.09</v>
      </c>
      <c r="H348" s="422">
        <v>0.1</v>
      </c>
      <c r="I348" s="454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INFO'!$L$2:$M$8,2)</f>
        <v>THU</v>
      </c>
      <c r="G349" s="213">
        <v>0.09</v>
      </c>
      <c r="H349" s="422">
        <v>0.09</v>
      </c>
      <c r="I349" s="454">
        <f t="shared" si="29"/>
        <v>0</v>
      </c>
      <c r="J349" s="15" t="s">
        <v>157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INFO'!$L$2:$M$8,2)</f>
        <v>FRI</v>
      </c>
      <c r="G350" s="213">
        <v>0.09</v>
      </c>
      <c r="H350" s="422">
        <v>0.09</v>
      </c>
      <c r="I350" s="454">
        <f t="shared" si="29"/>
        <v>0</v>
      </c>
      <c r="J350" s="177" t="s">
        <v>158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INFO'!$L$2:$M$8,2)</f>
        <v>SAT</v>
      </c>
      <c r="G351" s="213">
        <v>0.09</v>
      </c>
      <c r="H351" s="422">
        <v>0.09</v>
      </c>
      <c r="I351" s="454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INFO'!$L$2:$M$8,2)</f>
        <v>SUN</v>
      </c>
      <c r="G352" s="213">
        <v>0.09</v>
      </c>
      <c r="H352" s="422">
        <v>0.09</v>
      </c>
      <c r="I352" s="454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INFO'!$L$2:$M$8,2)</f>
        <v>MON</v>
      </c>
      <c r="G353" s="213">
        <v>0.09</v>
      </c>
      <c r="H353" s="422">
        <v>0.1</v>
      </c>
      <c r="I353" s="454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INFO'!$L$2:$M$8,2)</f>
        <v>TUE</v>
      </c>
      <c r="G354" s="213">
        <v>0.09</v>
      </c>
      <c r="H354" s="422">
        <v>0.09</v>
      </c>
      <c r="I354" s="454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INFO'!$L$2:$M$8,2)</f>
        <v>WED</v>
      </c>
      <c r="G355" s="213">
        <v>0.09</v>
      </c>
      <c r="H355" s="422">
        <v>7.0000000000000007E-2</v>
      </c>
      <c r="I355" s="454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INFO'!$L$2:$M$8,2)</f>
        <v>THU</v>
      </c>
      <c r="G356" s="213">
        <v>0.08</v>
      </c>
      <c r="H356" s="422">
        <v>0.06</v>
      </c>
      <c r="I356" s="454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INFO'!$L$2:$M$8,2)</f>
        <v>FRI</v>
      </c>
      <c r="G357" s="213">
        <v>0.08</v>
      </c>
      <c r="H357" s="422">
        <v>0.05</v>
      </c>
      <c r="I357" s="454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INFO'!$L$2:$M$8,2)</f>
        <v>SAT</v>
      </c>
      <c r="G358" s="213">
        <v>0.08</v>
      </c>
      <c r="H358" s="422">
        <v>0.05</v>
      </c>
      <c r="I358" s="454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INFO'!$L$2:$M$8,2)</f>
        <v>SUN</v>
      </c>
      <c r="G359" s="213">
        <v>0.08</v>
      </c>
      <c r="H359" s="422">
        <v>0.05</v>
      </c>
      <c r="I359" s="454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INFO'!$L$2:$M$8,2)</f>
        <v>MON</v>
      </c>
      <c r="G360" s="213">
        <v>0.08</v>
      </c>
      <c r="H360" s="422">
        <v>0.05</v>
      </c>
      <c r="I360" s="454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INFO'!$L$2:$M$8,2)</f>
        <v>TUE</v>
      </c>
      <c r="G361" s="213">
        <v>0.08</v>
      </c>
      <c r="H361" s="422">
        <v>7.0000000000000007E-2</v>
      </c>
      <c r="I361" s="454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INFO'!$L$2:$M$8,2)</f>
        <v>WED</v>
      </c>
      <c r="G362" s="213">
        <v>0.08</v>
      </c>
      <c r="H362" s="422">
        <v>0.08</v>
      </c>
      <c r="I362" s="454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INFO'!$L$2:$M$8,2)</f>
        <v>THU</v>
      </c>
      <c r="G363" s="213">
        <v>0.08</v>
      </c>
      <c r="H363" s="422">
        <v>0.08</v>
      </c>
      <c r="I363" s="454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92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INFO'!$L$2:$M$8,2)</f>
        <v>FRI</v>
      </c>
      <c r="G364" s="213">
        <v>0.08</v>
      </c>
      <c r="H364" s="422">
        <v>0.08</v>
      </c>
      <c r="I364" s="454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106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INFO'!$L$2:$M$8,2)</f>
        <v>SAT</v>
      </c>
      <c r="G365" s="213">
        <v>0.08</v>
      </c>
      <c r="H365" s="422">
        <v>0.08</v>
      </c>
      <c r="I365" s="454">
        <f t="shared" si="29"/>
        <v>0</v>
      </c>
      <c r="J365" s="430"/>
      <c r="K365" s="187"/>
      <c r="L365" s="195"/>
      <c r="M365" s="113">
        <f t="shared" si="33"/>
        <v>0</v>
      </c>
      <c r="N365" s="64">
        <f t="shared" si="31"/>
        <v>1</v>
      </c>
      <c r="O365" s="89" t="s">
        <v>75</v>
      </c>
      <c r="P365" s="91">
        <v>99.915000000000006</v>
      </c>
      <c r="Q365" s="17" t="s">
        <v>106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INFO'!$L$2:$M$8,2)</f>
        <v>SUN</v>
      </c>
      <c r="G366" s="213">
        <v>0.08</v>
      </c>
      <c r="H366" s="422">
        <v>0.08</v>
      </c>
      <c r="I366" s="454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INFO'!$L$2:$M$8,2)</f>
        <v>MON</v>
      </c>
      <c r="G367" s="216">
        <v>0.09</v>
      </c>
      <c r="H367" s="423">
        <v>0.09</v>
      </c>
      <c r="I367" s="455">
        <f t="shared" si="29"/>
        <v>0</v>
      </c>
      <c r="J367" s="431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INFO'!$L$2:$M$8,2)</f>
        <v>TUE</v>
      </c>
      <c r="G368" s="213">
        <v>0.09</v>
      </c>
      <c r="H368" s="422">
        <v>0.08</v>
      </c>
      <c r="I368" s="454">
        <f t="shared" si="29"/>
        <v>-9.999999999999995E-3</v>
      </c>
      <c r="J368" s="15" t="s">
        <v>117</v>
      </c>
      <c r="K368" s="15">
        <f>VLOOKUP(MONTH($C368),'CALENDAR INFO'!$O$2:$P$13,2)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INFO'!$L$2:$M$8,2)</f>
        <v>WED</v>
      </c>
      <c r="G369" s="213">
        <v>0.09</v>
      </c>
      <c r="H369" s="422">
        <v>0.08</v>
      </c>
      <c r="I369" s="454">
        <f t="shared" si="29"/>
        <v>-9.999999999999995E-3</v>
      </c>
      <c r="J369" s="15" t="s">
        <v>150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INFO'!$L$2:$M$8,2)</f>
        <v>THU</v>
      </c>
      <c r="G370" s="213">
        <v>0.09</v>
      </c>
      <c r="H370" s="422">
        <v>0.08</v>
      </c>
      <c r="I370" s="454">
        <f t="shared" si="29"/>
        <v>-9.999999999999995E-3</v>
      </c>
      <c r="J370" s="15" t="s">
        <v>151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INFO'!$L$2:$M$8,2)</f>
        <v>FRI</v>
      </c>
      <c r="G371" s="213">
        <v>0.09</v>
      </c>
      <c r="H371" s="422">
        <v>0.09</v>
      </c>
      <c r="I371" s="454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INFO'!$L$2:$M$8,2)</f>
        <v>SAT</v>
      </c>
      <c r="G372" s="213">
        <v>0.09</v>
      </c>
      <c r="H372" s="422">
        <v>0.09</v>
      </c>
      <c r="I372" s="454">
        <f t="shared" si="29"/>
        <v>0</v>
      </c>
      <c r="J372" s="15" t="s">
        <v>152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INFO'!$L$2:$M$8,2)</f>
        <v>SUN</v>
      </c>
      <c r="G373" s="213">
        <v>0.09</v>
      </c>
      <c r="H373" s="422">
        <v>0.09</v>
      </c>
      <c r="I373" s="454">
        <f t="shared" si="29"/>
        <v>0</v>
      </c>
      <c r="J373" s="15" t="s">
        <v>153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INFO'!$L$2:$M$8,2)</f>
        <v>MON</v>
      </c>
      <c r="G374" s="213">
        <v>0.09</v>
      </c>
      <c r="H374" s="422">
        <v>0.08</v>
      </c>
      <c r="I374" s="454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INFO'!$L$2:$M$8,2)</f>
        <v>TUE</v>
      </c>
      <c r="G375" s="213">
        <v>0.09</v>
      </c>
      <c r="H375" s="422">
        <v>7.0000000000000007E-2</v>
      </c>
      <c r="I375" s="454">
        <f t="shared" si="29"/>
        <v>-1.999999999999999E-2</v>
      </c>
      <c r="J375" s="15" t="s">
        <v>154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INFO'!$L$2:$M$8,2)</f>
        <v>WED</v>
      </c>
      <c r="G376" s="213">
        <v>0.09</v>
      </c>
      <c r="H376" s="422">
        <v>0.08</v>
      </c>
      <c r="I376" s="454">
        <f t="shared" si="29"/>
        <v>-9.999999999999995E-3</v>
      </c>
      <c r="J376" s="15" t="s">
        <v>155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INFO'!$L$2:$M$8,2)</f>
        <v>THU</v>
      </c>
      <c r="G377" s="213">
        <v>0.09</v>
      </c>
      <c r="H377" s="422">
        <v>0.08</v>
      </c>
      <c r="I377" s="454">
        <f t="shared" si="29"/>
        <v>-9.999999999999995E-3</v>
      </c>
      <c r="J377" s="15" t="s">
        <v>156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INFO'!$L$2:$M$8,2)</f>
        <v>FRI</v>
      </c>
      <c r="G378" s="213">
        <v>0.09</v>
      </c>
      <c r="H378" s="422">
        <v>0.08</v>
      </c>
      <c r="I378" s="454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INFO'!$L$2:$M$8,2)</f>
        <v>SAT</v>
      </c>
      <c r="G379" s="213">
        <v>0.09</v>
      </c>
      <c r="H379" s="422">
        <v>0.08</v>
      </c>
      <c r="I379" s="454">
        <f t="shared" si="29"/>
        <v>-9.999999999999995E-3</v>
      </c>
      <c r="J379" s="15" t="s">
        <v>157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INFO'!$L$2:$M$8,2)</f>
        <v>SUN</v>
      </c>
      <c r="G380" s="213">
        <v>0.09</v>
      </c>
      <c r="H380" s="422">
        <v>0.08</v>
      </c>
      <c r="I380" s="454">
        <f t="shared" si="29"/>
        <v>-9.999999999999995E-3</v>
      </c>
      <c r="J380" s="177" t="s">
        <v>158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INFO'!$L$2:$M$8,2)</f>
        <v>MON</v>
      </c>
      <c r="G381" s="213">
        <v>0.09</v>
      </c>
      <c r="H381" s="422">
        <v>0.08</v>
      </c>
      <c r="I381" s="454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92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INFO'!$L$2:$M$8,2)</f>
        <v>TUE</v>
      </c>
      <c r="G382" s="213">
        <v>0.09</v>
      </c>
      <c r="H382" s="422">
        <v>0.09</v>
      </c>
      <c r="I382" s="454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106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INFO'!$L$2:$M$8,2)</f>
        <v>WED</v>
      </c>
      <c r="G383" s="213">
        <v>0.09</v>
      </c>
      <c r="H383" s="422">
        <v>0.09</v>
      </c>
      <c r="I383" s="454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INFO'!$L$2:$M$8,2)</f>
        <v>THU</v>
      </c>
      <c r="G384" s="213">
        <v>0.09</v>
      </c>
      <c r="H384" s="422">
        <v>0.09</v>
      </c>
      <c r="I384" s="454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INFO'!$L$2:$M$8,2)</f>
        <v>FRI</v>
      </c>
      <c r="G385" s="213">
        <v>0.09</v>
      </c>
      <c r="H385" s="422">
        <v>0.09</v>
      </c>
      <c r="I385" s="454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INFO'!$L$2:$M$8,2)</f>
        <v>SAT</v>
      </c>
      <c r="G386" s="213">
        <v>0.09</v>
      </c>
      <c r="H386" s="422">
        <v>0.09</v>
      </c>
      <c r="I386" s="454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INFO'!$L$2:$M$8,2)</f>
        <v>SUN</v>
      </c>
      <c r="G387" s="213">
        <v>0.09</v>
      </c>
      <c r="H387" s="422">
        <v>0.09</v>
      </c>
      <c r="I387" s="454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INFO'!$L$2:$M$8,2)</f>
        <v>MON</v>
      </c>
      <c r="G388" s="213">
        <v>0.09</v>
      </c>
      <c r="H388" s="422">
        <v>0.09</v>
      </c>
      <c r="I388" s="454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INFO'!$L$2:$M$8,2)</f>
        <v>TUE</v>
      </c>
      <c r="G389" s="213">
        <v>0.09</v>
      </c>
      <c r="H389" s="422">
        <v>7.0000000000000007E-2</v>
      </c>
      <c r="I389" s="454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INFO'!$L$2:$M$8,2)</f>
        <v>WED</v>
      </c>
      <c r="G390" s="213">
        <v>0.09</v>
      </c>
      <c r="H390" s="422">
        <v>0.06</v>
      </c>
      <c r="I390" s="454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INFO'!$L$2:$M$8,2)</f>
        <v>THU</v>
      </c>
      <c r="G391" s="213">
        <v>0.09</v>
      </c>
      <c r="H391" s="422">
        <v>0.08</v>
      </c>
      <c r="I391" s="454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INFO'!$L$2:$M$8,2)</f>
        <v>FRI</v>
      </c>
      <c r="G392" s="213">
        <v>0.09</v>
      </c>
      <c r="H392" s="422">
        <v>0.08</v>
      </c>
      <c r="I392" s="454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INFO'!$L$2:$M$8,2)</f>
        <v>SAT</v>
      </c>
      <c r="G393" s="213">
        <v>0.09</v>
      </c>
      <c r="H393" s="422">
        <v>0.08</v>
      </c>
      <c r="I393" s="454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INFO'!$L$2:$M$8,2)</f>
        <v>SUN</v>
      </c>
      <c r="G394" s="213">
        <v>0.09</v>
      </c>
      <c r="H394" s="422">
        <v>0.08</v>
      </c>
      <c r="I394" s="454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92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INFO'!$L$2:$M$8,2)</f>
        <v>MON</v>
      </c>
      <c r="G395" s="213">
        <v>0.09</v>
      </c>
      <c r="H395" s="422">
        <v>0.09</v>
      </c>
      <c r="I395" s="454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106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INFO'!$L$2:$M$8,2)</f>
        <v>TUE</v>
      </c>
      <c r="G396" s="213">
        <v>0.09</v>
      </c>
      <c r="H396" s="422">
        <v>0.1</v>
      </c>
      <c r="I396" s="454">
        <f t="shared" si="35"/>
        <v>1.0000000000000009E-2</v>
      </c>
      <c r="J396" s="430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75</v>
      </c>
      <c r="P396" s="135">
        <v>99.917000000000002</v>
      </c>
      <c r="Q396" s="17" t="s">
        <v>106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INFO'!$L$2:$M$8,2)</f>
        <v>WED</v>
      </c>
      <c r="G397" s="213">
        <v>0.09</v>
      </c>
      <c r="H397" s="422">
        <v>0.09</v>
      </c>
      <c r="I397" s="454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INFO'!$L$2:$M$8,2)</f>
        <v>THU</v>
      </c>
      <c r="G398" s="216">
        <v>0.09</v>
      </c>
      <c r="H398" s="423">
        <v>7.0000000000000007E-2</v>
      </c>
      <c r="I398" s="455">
        <f t="shared" si="35"/>
        <v>-1.999999999999999E-2</v>
      </c>
      <c r="J398" s="431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114</v>
      </c>
      <c r="E399" s="107"/>
      <c r="F399" s="105" t="str">
        <f>VLOOKUP(MOD(C399,7),'CALENDAR INFO'!$L$2:$M$8,2)</f>
        <v>FRI</v>
      </c>
      <c r="G399" s="218">
        <v>0.09</v>
      </c>
      <c r="H399" s="427">
        <v>7.0000000000000007E-2</v>
      </c>
      <c r="I399" s="458">
        <f t="shared" si="35"/>
        <v>-1.999999999999999E-2</v>
      </c>
      <c r="J399" s="433" t="s">
        <v>117</v>
      </c>
      <c r="K399" s="15">
        <f>VLOOKUP(MONTH($C399),'CALENDAR INFO'!$O$2:$P$13,2)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INFO'!$L$2:$M$8,2)</f>
        <v>SAT</v>
      </c>
      <c r="G400" s="214">
        <v>0.09</v>
      </c>
      <c r="H400" s="422">
        <v>7.0000000000000007E-2</v>
      </c>
      <c r="I400" s="454">
        <f t="shared" si="35"/>
        <v>-1.999999999999999E-2</v>
      </c>
      <c r="J400" s="152" t="s">
        <v>150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INFO'!$L$2:$M$8,2)</f>
        <v>SUN</v>
      </c>
      <c r="G401" s="214">
        <v>0.09</v>
      </c>
      <c r="H401" s="422">
        <v>7.0000000000000007E-2</v>
      </c>
      <c r="I401" s="454">
        <f t="shared" si="35"/>
        <v>-1.999999999999999E-2</v>
      </c>
      <c r="J401" s="152" t="s">
        <v>151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INFO'!$L$2:$M$8,2)</f>
        <v>MON</v>
      </c>
      <c r="G402" s="214">
        <v>0.09</v>
      </c>
      <c r="H402" s="422">
        <v>0.1</v>
      </c>
      <c r="I402" s="454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INFO'!$L$2:$M$8,2)</f>
        <v>TUE</v>
      </c>
      <c r="G403" s="214">
        <v>0.09</v>
      </c>
      <c r="H403" s="422">
        <v>0.11</v>
      </c>
      <c r="I403" s="454">
        <f t="shared" si="35"/>
        <v>2.0000000000000004E-2</v>
      </c>
      <c r="J403" s="152" t="s">
        <v>152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INFO'!$L$2:$M$8,2)</f>
        <v>WED</v>
      </c>
      <c r="G404" s="214">
        <v>0.09</v>
      </c>
      <c r="H404" s="422">
        <v>0.1</v>
      </c>
      <c r="I404" s="454">
        <f t="shared" si="35"/>
        <v>1.0000000000000009E-2</v>
      </c>
      <c r="J404" s="152" t="s">
        <v>153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INFO'!$L$2:$M$8,2)</f>
        <v>THU</v>
      </c>
      <c r="G405" s="214">
        <v>0.09</v>
      </c>
      <c r="H405" s="422">
        <v>0.1</v>
      </c>
      <c r="I405" s="454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INFO'!$L$2:$M$8,2)</f>
        <v>FRI</v>
      </c>
      <c r="G406" s="214">
        <v>0.09</v>
      </c>
      <c r="H406" s="422">
        <v>0.09</v>
      </c>
      <c r="I406" s="454">
        <f t="shared" si="35"/>
        <v>0</v>
      </c>
      <c r="J406" s="152" t="s">
        <v>154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INFO'!$L$2:$M$8,2)</f>
        <v>SAT</v>
      </c>
      <c r="G407" s="214">
        <v>0.09</v>
      </c>
      <c r="H407" s="422">
        <v>0.09</v>
      </c>
      <c r="I407" s="454">
        <f t="shared" si="35"/>
        <v>0</v>
      </c>
      <c r="J407" s="152" t="s">
        <v>155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INFO'!$L$2:$M$8,2)</f>
        <v>SUN</v>
      </c>
      <c r="G408" s="214">
        <v>0.09</v>
      </c>
      <c r="H408" s="422">
        <v>0.09</v>
      </c>
      <c r="I408" s="454">
        <f t="shared" si="35"/>
        <v>0</v>
      </c>
      <c r="J408" s="152" t="s">
        <v>156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INFO'!$L$2:$M$8,2)</f>
        <v>MON</v>
      </c>
      <c r="G409" s="214">
        <v>0.09</v>
      </c>
      <c r="H409" s="422">
        <v>0.09</v>
      </c>
      <c r="I409" s="454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INFO'!$L$2:$M$8,2)</f>
        <v>TUE</v>
      </c>
      <c r="G410" s="214">
        <v>0.09</v>
      </c>
      <c r="H410" s="422">
        <v>0.08</v>
      </c>
      <c r="I410" s="454">
        <f t="shared" si="35"/>
        <v>-9.999999999999995E-3</v>
      </c>
      <c r="J410" s="152" t="s">
        <v>157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INFO'!$L$2:$M$8,2)</f>
        <v>WED</v>
      </c>
      <c r="G411" s="214">
        <v>0.09</v>
      </c>
      <c r="H411" s="422">
        <v>0.08</v>
      </c>
      <c r="I411" s="454">
        <f t="shared" si="35"/>
        <v>-9.999999999999995E-3</v>
      </c>
      <c r="J411" s="152" t="s">
        <v>158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INFO'!$L$2:$M$8,2)</f>
        <v>THU</v>
      </c>
      <c r="G412" s="214">
        <v>0.09</v>
      </c>
      <c r="H412" s="422">
        <v>0.08</v>
      </c>
      <c r="I412" s="454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INFO'!$L$2:$M$8,2)</f>
        <v>FRI</v>
      </c>
      <c r="G413" s="214">
        <v>0.09</v>
      </c>
      <c r="H413" s="422">
        <v>0.08</v>
      </c>
      <c r="I413" s="454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INFO'!$L$2:$M$8,2)</f>
        <v>SAT</v>
      </c>
      <c r="G414" s="214">
        <v>0.09</v>
      </c>
      <c r="H414" s="422">
        <v>0.08</v>
      </c>
      <c r="I414" s="454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INFO'!$L$2:$M$8,2)</f>
        <v>SUN</v>
      </c>
      <c r="G415" s="214">
        <v>0.09</v>
      </c>
      <c r="H415" s="422">
        <v>0.08</v>
      </c>
      <c r="I415" s="454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102</v>
      </c>
      <c r="E416" s="170"/>
      <c r="F416" s="58" t="str">
        <f>VLOOKUP(MOD(C416,7),'CALENDAR INFO'!$L$2:$M$8,2)</f>
        <v>MON</v>
      </c>
      <c r="G416" s="214">
        <v>0.09</v>
      </c>
      <c r="H416" s="422">
        <v>0.08</v>
      </c>
      <c r="I416" s="454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INFO'!$L$2:$M$8,2)</f>
        <v>TUE</v>
      </c>
      <c r="G417" s="214">
        <v>0.09</v>
      </c>
      <c r="H417" s="422">
        <v>7.0000000000000007E-2</v>
      </c>
      <c r="I417" s="454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INFO'!$L$2:$M$8,2)</f>
        <v>WED</v>
      </c>
      <c r="G418" s="214">
        <v>0.09</v>
      </c>
      <c r="H418" s="422">
        <v>0.06</v>
      </c>
      <c r="I418" s="454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INFO'!$L$2:$M$8,2)</f>
        <v>THU</v>
      </c>
      <c r="G419" s="214">
        <v>0.08</v>
      </c>
      <c r="H419" s="422">
        <v>0.04</v>
      </c>
      <c r="I419" s="454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INFO'!$L$2:$M$8,2)</f>
        <v>FRI</v>
      </c>
      <c r="G420" s="214">
        <v>0.08</v>
      </c>
      <c r="H420" s="422">
        <v>0.05</v>
      </c>
      <c r="I420" s="454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INFO'!$L$2:$M$8,2)</f>
        <v>SAT</v>
      </c>
      <c r="G421" s="214">
        <v>0.08</v>
      </c>
      <c r="H421" s="422">
        <v>0.05</v>
      </c>
      <c r="I421" s="454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INFO'!$L$2:$M$8,2)</f>
        <v>SUN</v>
      </c>
      <c r="G422" s="214">
        <v>0.08</v>
      </c>
      <c r="H422" s="422">
        <v>0.05</v>
      </c>
      <c r="I422" s="454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INFO'!$L$2:$M$8,2)</f>
        <v>MON</v>
      </c>
      <c r="G423" s="214">
        <v>0.08</v>
      </c>
      <c r="H423" s="422">
        <v>0.06</v>
      </c>
      <c r="I423" s="454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INFO'!$L$2:$M$8,2)</f>
        <v>TUE</v>
      </c>
      <c r="G424" s="214">
        <v>0.08</v>
      </c>
      <c r="H424" s="422">
        <v>0.03</v>
      </c>
      <c r="I424" s="454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INFO'!$L$2:$M$8,2)</f>
        <v>WED</v>
      </c>
      <c r="G425" s="214">
        <v>0.08</v>
      </c>
      <c r="H425" s="422">
        <v>0.03</v>
      </c>
      <c r="I425" s="454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92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INFO'!$L$2:$M$8,2)</f>
        <v>THU</v>
      </c>
      <c r="G426" s="214">
        <v>7.0000000000000007E-2</v>
      </c>
      <c r="H426" s="422">
        <v>0.04</v>
      </c>
      <c r="I426" s="454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106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INFO'!$L$2:$M$8,2)</f>
        <v>FRI</v>
      </c>
      <c r="G427" s="214">
        <v>7.0000000000000007E-2</v>
      </c>
      <c r="H427" s="422">
        <v>0.06</v>
      </c>
      <c r="I427" s="454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75</v>
      </c>
      <c r="P427" s="135">
        <v>99.929000000000002</v>
      </c>
      <c r="Q427" s="17" t="s">
        <v>106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INFO'!$L$2:$M$8,2)</f>
        <v>SAT</v>
      </c>
      <c r="G428" s="214">
        <v>7.0000000000000007E-2</v>
      </c>
      <c r="H428" s="422">
        <v>0.06</v>
      </c>
      <c r="I428" s="454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INFO'!$L$2:$M$8,2)</f>
        <v>SUN</v>
      </c>
      <c r="G429" s="215">
        <v>7.0000000000000007E-2</v>
      </c>
      <c r="H429" s="423">
        <v>0.06</v>
      </c>
      <c r="I429" s="455">
        <f t="shared" si="35"/>
        <v>-1.0000000000000009E-2</v>
      </c>
      <c r="J429" s="434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INFO'!$L$2:$M$8,2)</f>
        <v>MON</v>
      </c>
      <c r="G430" s="214">
        <v>0.08</v>
      </c>
      <c r="H430" s="422">
        <v>7.0000000000000007E-2</v>
      </c>
      <c r="I430" s="454">
        <f t="shared" si="35"/>
        <v>-9.999999999999995E-3</v>
      </c>
      <c r="J430" s="433" t="s">
        <v>117</v>
      </c>
      <c r="K430" s="15">
        <f>VLOOKUP(MONTH($C430),'CALENDAR INFO'!$O$2:$P$13,2)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INFO'!$L$2:$M$8,2)</f>
        <v>TUE</v>
      </c>
      <c r="G431" s="214">
        <v>0.08</v>
      </c>
      <c r="H431" s="422">
        <v>7.0000000000000007E-2</v>
      </c>
      <c r="I431" s="454">
        <f t="shared" si="35"/>
        <v>-9.999999999999995E-3</v>
      </c>
      <c r="J431" s="152" t="s">
        <v>150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INFO'!$L$2:$M$8,2)</f>
        <v>WED</v>
      </c>
      <c r="G432" s="214">
        <v>0.08</v>
      </c>
      <c r="H432" s="422">
        <v>7.0000000000000007E-2</v>
      </c>
      <c r="I432" s="454">
        <f t="shared" si="35"/>
        <v>-9.999999999999995E-3</v>
      </c>
      <c r="J432" s="152" t="s">
        <v>151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INFO'!$L$2:$M$8,2)</f>
        <v>THU</v>
      </c>
      <c r="G433" s="214">
        <v>0.08</v>
      </c>
      <c r="H433" s="422">
        <v>0.05</v>
      </c>
      <c r="I433" s="454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INFO'!$L$2:$M$8,2)</f>
        <v>FRI</v>
      </c>
      <c r="G434" s="214">
        <v>0.08</v>
      </c>
      <c r="H434" s="422">
        <v>0.02</v>
      </c>
      <c r="I434" s="454">
        <f t="shared" si="35"/>
        <v>-0.06</v>
      </c>
      <c r="J434" s="152" t="s">
        <v>152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INFO'!$L$2:$M$8,2)</f>
        <v>SAT</v>
      </c>
      <c r="G435" s="214">
        <v>0.08</v>
      </c>
      <c r="H435" s="422">
        <v>0.02</v>
      </c>
      <c r="I435" s="454">
        <f t="shared" si="35"/>
        <v>-0.06</v>
      </c>
      <c r="J435" s="152" t="s">
        <v>153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INFO'!$L$2:$M$8,2)</f>
        <v>SUN</v>
      </c>
      <c r="G436" s="214">
        <v>0.08</v>
      </c>
      <c r="H436" s="422">
        <v>0.02</v>
      </c>
      <c r="I436" s="454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INFO'!$L$2:$M$8,2)</f>
        <v>MON</v>
      </c>
      <c r="G437" s="214">
        <v>7.0000000000000007E-2</v>
      </c>
      <c r="H437" s="422">
        <v>0.02</v>
      </c>
      <c r="I437" s="454">
        <f t="shared" si="35"/>
        <v>-0.05</v>
      </c>
      <c r="J437" s="152" t="s">
        <v>154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INFO'!$L$2:$M$8,2)</f>
        <v>TUE</v>
      </c>
      <c r="G438" s="214">
        <v>0.08</v>
      </c>
      <c r="H438" s="422">
        <v>0.05</v>
      </c>
      <c r="I438" s="454">
        <f t="shared" si="35"/>
        <v>-0.03</v>
      </c>
      <c r="J438" s="152" t="s">
        <v>155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INFO'!$L$2:$M$8,2)</f>
        <v>WED</v>
      </c>
      <c r="G439" s="214">
        <v>0.08</v>
      </c>
      <c r="H439" s="422">
        <v>0.06</v>
      </c>
      <c r="I439" s="454">
        <f t="shared" si="35"/>
        <v>-2.0000000000000004E-2</v>
      </c>
      <c r="J439" s="152" t="s">
        <v>156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INFO'!$L$2:$M$8,2)</f>
        <v>THU</v>
      </c>
      <c r="G440" s="214">
        <v>0.08</v>
      </c>
      <c r="H440" s="422">
        <v>0.06</v>
      </c>
      <c r="I440" s="454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INFO'!$L$2:$M$8,2)</f>
        <v>FRI</v>
      </c>
      <c r="G441" s="214">
        <v>0.08</v>
      </c>
      <c r="H441" s="422">
        <v>0.05</v>
      </c>
      <c r="I441" s="454">
        <f t="shared" si="35"/>
        <v>-0.03</v>
      </c>
      <c r="J441" s="152" t="s">
        <v>157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INFO'!$L$2:$M$8,2)</f>
        <v>SAT</v>
      </c>
      <c r="G442" s="214">
        <v>0.08</v>
      </c>
      <c r="H442" s="422">
        <v>0.05</v>
      </c>
      <c r="I442" s="454">
        <f t="shared" si="35"/>
        <v>-0.03</v>
      </c>
      <c r="J442" s="152" t="s">
        <v>158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INFO'!$L$2:$M$8,2)</f>
        <v>SUN</v>
      </c>
      <c r="G443" s="214">
        <v>0.08</v>
      </c>
      <c r="H443" s="422">
        <v>0.05</v>
      </c>
      <c r="I443" s="454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113</v>
      </c>
      <c r="E444" s="170"/>
      <c r="F444" s="58" t="str">
        <f>VLOOKUP(MOD(C444,7),'CALENDAR INFO'!$L$2:$M$8,2)</f>
        <v>MON</v>
      </c>
      <c r="G444" s="214">
        <v>0.08</v>
      </c>
      <c r="H444" s="422">
        <v>0.05</v>
      </c>
      <c r="I444" s="454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INFO'!$L$2:$M$8,2)</f>
        <v>TUE</v>
      </c>
      <c r="G445" s="214">
        <v>0.08</v>
      </c>
      <c r="H445" s="422">
        <v>0.06</v>
      </c>
      <c r="I445" s="454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INFO'!$L$2:$M$8,2)</f>
        <v>WED</v>
      </c>
      <c r="G446" s="214">
        <v>0.08</v>
      </c>
      <c r="H446" s="422">
        <v>0.06</v>
      </c>
      <c r="I446" s="454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INFO'!$L$2:$M$8,2)</f>
        <v>THU</v>
      </c>
      <c r="G447" s="214">
        <v>7.0000000000000007E-2</v>
      </c>
      <c r="H447" s="422">
        <v>0.03</v>
      </c>
      <c r="I447" s="454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INFO'!$L$2:$M$8,2)</f>
        <v>FRI</v>
      </c>
      <c r="G448" s="214">
        <v>7.0000000000000007E-2</v>
      </c>
      <c r="H448" s="422">
        <v>0.02</v>
      </c>
      <c r="I448" s="454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INFO'!$L$2:$M$8,2)</f>
        <v>SAT</v>
      </c>
      <c r="G449" s="214">
        <v>7.0000000000000007E-2</v>
      </c>
      <c r="H449" s="422">
        <v>0.02</v>
      </c>
      <c r="I449" s="454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INFO'!$L$2:$M$8,2)</f>
        <v>SUN</v>
      </c>
      <c r="G450" s="214">
        <v>7.0000000000000007E-2</v>
      </c>
      <c r="H450" s="422">
        <v>0.02</v>
      </c>
      <c r="I450" s="454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INFO'!$L$2:$M$8,2)</f>
        <v>MON</v>
      </c>
      <c r="G451" s="214">
        <v>7.0000000000000007E-2</v>
      </c>
      <c r="H451" s="422">
        <v>0.03</v>
      </c>
      <c r="I451" s="454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INFO'!$L$2:$M$8,2)</f>
        <v>TUE</v>
      </c>
      <c r="G452" s="214">
        <v>7.0000000000000007E-2</v>
      </c>
      <c r="H452" s="422">
        <v>0.01</v>
      </c>
      <c r="I452" s="454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INFO'!$L$2:$M$8,2)</f>
        <v>WED</v>
      </c>
      <c r="G453" s="214">
        <v>7.0000000000000007E-2</v>
      </c>
      <c r="H453" s="422">
        <v>0.02</v>
      </c>
      <c r="I453" s="454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92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INFO'!$L$2:$M$8,2)</f>
        <v>THU</v>
      </c>
      <c r="G454" s="214">
        <v>7.0000000000000007E-2</v>
      </c>
      <c r="H454" s="422">
        <v>0.03</v>
      </c>
      <c r="I454" s="454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106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INFO'!$L$2:$M$8,2)</f>
        <v>FRI</v>
      </c>
      <c r="G455" s="214">
        <v>7.0000000000000007E-2</v>
      </c>
      <c r="H455" s="422">
        <v>0.01</v>
      </c>
      <c r="I455" s="454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75</v>
      </c>
      <c r="P455" s="135">
        <v>99.962999999999994</v>
      </c>
      <c r="Q455" s="17" t="s">
        <v>106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INFO'!$L$2:$M$8,2)</f>
        <v>SAT</v>
      </c>
      <c r="G456" s="214">
        <v>7.0000000000000007E-2</v>
      </c>
      <c r="H456" s="422">
        <v>0.01</v>
      </c>
      <c r="I456" s="454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INFO'!$L$2:$M$8,2)</f>
        <v>SUN</v>
      </c>
      <c r="G457" s="215">
        <v>7.0000000000000007E-2</v>
      </c>
      <c r="H457" s="423">
        <v>0.01</v>
      </c>
      <c r="I457" s="455">
        <f t="shared" si="41"/>
        <v>-6.0000000000000005E-2</v>
      </c>
      <c r="J457" s="434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INFO'!$L$2:$M$8,2)</f>
        <v>MON</v>
      </c>
      <c r="G458" s="214">
        <v>7.0000000000000007E-2</v>
      </c>
      <c r="H458" s="422">
        <v>0.02</v>
      </c>
      <c r="I458" s="454">
        <f t="shared" si="41"/>
        <v>-0.05</v>
      </c>
      <c r="J458" s="433" t="s">
        <v>117</v>
      </c>
      <c r="K458" s="15">
        <f>VLOOKUP(MONTH($C458),'CALENDAR INFO'!$O$2:$P$13,2)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INFO'!$L$2:$M$8,2)</f>
        <v>TUE</v>
      </c>
      <c r="G459" s="214">
        <v>7.0000000000000007E-2</v>
      </c>
      <c r="H459" s="422">
        <v>0.04</v>
      </c>
      <c r="I459" s="454">
        <f t="shared" si="41"/>
        <v>-3.0000000000000006E-2</v>
      </c>
      <c r="J459" s="152" t="s">
        <v>150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INFO'!$L$2:$M$8,2)</f>
        <v>WED</v>
      </c>
      <c r="G460" s="214">
        <v>7.0000000000000007E-2</v>
      </c>
      <c r="H460" s="422">
        <v>0.04</v>
      </c>
      <c r="I460" s="454">
        <f t="shared" si="41"/>
        <v>-3.0000000000000006E-2</v>
      </c>
      <c r="J460" s="152" t="s">
        <v>151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INFO'!$L$2:$M$8,2)</f>
        <v>THU</v>
      </c>
      <c r="G461" s="214">
        <v>7.0000000000000007E-2</v>
      </c>
      <c r="H461" s="422">
        <v>0.02</v>
      </c>
      <c r="I461" s="454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INFO'!$L$2:$M$8,2)</f>
        <v>FRI</v>
      </c>
      <c r="G462" s="214">
        <v>7.0000000000000007E-2</v>
      </c>
      <c r="H462" s="422">
        <v>0.02</v>
      </c>
      <c r="I462" s="454">
        <f t="shared" si="41"/>
        <v>-0.05</v>
      </c>
      <c r="J462" s="152" t="s">
        <v>152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INFO'!$L$2:$M$8,2)</f>
        <v>SAT</v>
      </c>
      <c r="G463" s="214">
        <v>7.0000000000000007E-2</v>
      </c>
      <c r="H463" s="422">
        <v>0.02</v>
      </c>
      <c r="I463" s="454">
        <f t="shared" si="41"/>
        <v>-0.05</v>
      </c>
      <c r="J463" s="152" t="s">
        <v>153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INFO'!$L$2:$M$8,2)</f>
        <v>SUN</v>
      </c>
      <c r="G464" s="214">
        <v>7.0000000000000007E-2</v>
      </c>
      <c r="H464" s="422">
        <v>0.02</v>
      </c>
      <c r="I464" s="454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INFO'!$L$2:$M$8,2)</f>
        <v>MON</v>
      </c>
      <c r="G465" s="214">
        <v>7.0000000000000007E-2</v>
      </c>
      <c r="H465" s="422">
        <v>0.02</v>
      </c>
      <c r="I465" s="454">
        <f t="shared" si="41"/>
        <v>-0.05</v>
      </c>
      <c r="J465" s="152" t="s">
        <v>154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INFO'!$L$2:$M$8,2)</f>
        <v>TUE</v>
      </c>
      <c r="G466" s="214">
        <v>7.0000000000000007E-2</v>
      </c>
      <c r="H466" s="422">
        <v>0.02</v>
      </c>
      <c r="I466" s="454">
        <f t="shared" si="41"/>
        <v>-0.05</v>
      </c>
      <c r="J466" s="152" t="s">
        <v>155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INFO'!$L$2:$M$8,2)</f>
        <v>WED</v>
      </c>
      <c r="G467" s="214">
        <v>7.0000000000000007E-2</v>
      </c>
      <c r="H467" s="422">
        <v>0.02</v>
      </c>
      <c r="I467" s="454">
        <f t="shared" si="41"/>
        <v>-0.05</v>
      </c>
      <c r="J467" s="152" t="s">
        <v>156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INFO'!$L$2:$M$8,2)</f>
        <v>THU</v>
      </c>
      <c r="G468" s="214">
        <v>7.0000000000000007E-2</v>
      </c>
      <c r="H468" s="422">
        <v>0.01</v>
      </c>
      <c r="I468" s="454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INFO'!$L$2:$M$8,2)</f>
        <v>FRI</v>
      </c>
      <c r="G469" s="214">
        <v>7.0000000000000007E-2</v>
      </c>
      <c r="H469" s="422">
        <v>0.01</v>
      </c>
      <c r="I469" s="454">
        <f t="shared" si="41"/>
        <v>-6.0000000000000005E-2</v>
      </c>
      <c r="J469" s="152" t="s">
        <v>157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INFO'!$L$2:$M$8,2)</f>
        <v>SAT</v>
      </c>
      <c r="G470" s="214">
        <v>7.0000000000000007E-2</v>
      </c>
      <c r="H470" s="422">
        <v>0.01</v>
      </c>
      <c r="I470" s="454">
        <f t="shared" si="41"/>
        <v>-6.0000000000000005E-2</v>
      </c>
      <c r="J470" s="152" t="s">
        <v>158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92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INFO'!$L$2:$M$8,2)</f>
        <v>SUN</v>
      </c>
      <c r="G471" s="214">
        <v>7.0000000000000007E-2</v>
      </c>
      <c r="H471" s="422">
        <v>0.01</v>
      </c>
      <c r="I471" s="454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76</v>
      </c>
      <c r="P471" s="132">
        <v>99.946399999999997</v>
      </c>
      <c r="Q471" s="17" t="s">
        <v>106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INFO'!$L$2:$M$8,2)</f>
        <v>MON</v>
      </c>
      <c r="G472" s="214">
        <v>7.0000000000000007E-2</v>
      </c>
      <c r="H472" s="422">
        <v>0.01</v>
      </c>
      <c r="I472" s="454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INFO'!$L$2:$M$8,2)</f>
        <v>TUE</v>
      </c>
      <c r="G473" s="214">
        <v>7.0000000000000007E-2</v>
      </c>
      <c r="H473" s="422">
        <v>0.01</v>
      </c>
      <c r="I473" s="454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INFO'!$L$2:$M$8,2)</f>
        <v>WED</v>
      </c>
      <c r="G474" s="214">
        <v>7.0000000000000007E-2</v>
      </c>
      <c r="H474" s="422">
        <v>0.01</v>
      </c>
      <c r="I474" s="454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INFO'!$L$2:$M$8,2)</f>
        <v>THU</v>
      </c>
      <c r="G475" s="214">
        <v>7.0000000000000007E-2</v>
      </c>
      <c r="H475" s="422">
        <v>0.01</v>
      </c>
      <c r="I475" s="454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INFO'!$L$2:$M$8,2)</f>
        <v>FRI</v>
      </c>
      <c r="G476" s="214">
        <v>7.0000000000000007E-2</v>
      </c>
      <c r="H476" s="422">
        <v>0.01</v>
      </c>
      <c r="I476" s="454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INFO'!$L$2:$M$8,2)</f>
        <v>SAT</v>
      </c>
      <c r="G477" s="214">
        <v>7.0000000000000007E-2</v>
      </c>
      <c r="H477" s="422">
        <v>0.01</v>
      </c>
      <c r="I477" s="454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INFO'!$L$2:$M$8,2)</f>
        <v>SUN</v>
      </c>
      <c r="G478" s="214">
        <v>7.0000000000000007E-2</v>
      </c>
      <c r="H478" s="422">
        <v>0.01</v>
      </c>
      <c r="I478" s="454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INFO'!$L$2:$M$8,2)</f>
        <v>MON</v>
      </c>
      <c r="G479" s="214">
        <v>7.0000000000000007E-2</v>
      </c>
      <c r="H479" s="422">
        <v>0.01</v>
      </c>
      <c r="I479" s="454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INFO'!$L$2:$M$8,2)</f>
        <v>TUE</v>
      </c>
      <c r="G480" s="214">
        <v>7.0000000000000007E-2</v>
      </c>
      <c r="H480" s="422">
        <v>0.01</v>
      </c>
      <c r="I480" s="454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INFO'!$L$2:$M$8,2)</f>
        <v>WED</v>
      </c>
      <c r="G481" s="214">
        <v>7.0000000000000007E-2</v>
      </c>
      <c r="H481" s="422">
        <v>0.01</v>
      </c>
      <c r="I481" s="454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INFO'!$L$2:$M$8,2)</f>
        <v>THU</v>
      </c>
      <c r="G482" s="214">
        <v>7.0000000000000007E-2</v>
      </c>
      <c r="H482" s="422">
        <v>0.01</v>
      </c>
      <c r="I482" s="454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INFO'!$L$2:$M$8,2)</f>
        <v>FRI</v>
      </c>
      <c r="G483" s="214">
        <v>7.0000000000000007E-2</v>
      </c>
      <c r="H483" s="422">
        <v>0.01</v>
      </c>
      <c r="I483" s="454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INFO'!$L$2:$M$8,2)</f>
        <v>SAT</v>
      </c>
      <c r="G484" s="214">
        <v>7.0000000000000007E-2</v>
      </c>
      <c r="H484" s="422">
        <v>0.01</v>
      </c>
      <c r="I484" s="454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92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INFO'!$L$2:$M$8,2)</f>
        <v>SUN</v>
      </c>
      <c r="G485" s="214">
        <v>7.0000000000000007E-2</v>
      </c>
      <c r="H485" s="422">
        <v>0.01</v>
      </c>
      <c r="I485" s="454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106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INFO'!$L$2:$M$8,2)</f>
        <v>MON</v>
      </c>
      <c r="G486" s="214">
        <v>7.0000000000000007E-2</v>
      </c>
      <c r="H486" s="422">
        <v>0.01</v>
      </c>
      <c r="I486" s="454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75</v>
      </c>
      <c r="P486" s="135">
        <v>99.984999999999999</v>
      </c>
      <c r="Q486" s="17" t="s">
        <v>106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INFO'!$L$2:$M$8,2)</f>
        <v>TUE</v>
      </c>
      <c r="G487" s="214">
        <v>7.0000000000000007E-2</v>
      </c>
      <c r="H487" s="422">
        <v>0.01</v>
      </c>
      <c r="I487" s="454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INFO'!$L$2:$M$8,2)</f>
        <v>WED</v>
      </c>
      <c r="G488" s="215">
        <v>0.06</v>
      </c>
      <c r="H488" s="423">
        <v>0.01</v>
      </c>
      <c r="I488" s="455">
        <f t="shared" si="41"/>
        <v>-4.9999999999999996E-2</v>
      </c>
      <c r="J488" s="434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INFO'!$L$2:$M$8,2)</f>
        <v>THU</v>
      </c>
      <c r="G489" s="214">
        <v>7.0000000000000007E-2</v>
      </c>
      <c r="H489" s="422">
        <v>0.01</v>
      </c>
      <c r="I489" s="454">
        <f t="shared" si="41"/>
        <v>-6.0000000000000005E-2</v>
      </c>
      <c r="J489" s="433" t="s">
        <v>117</v>
      </c>
      <c r="K489" s="15">
        <f>VLOOKUP(MONTH($C489),'CALENDAR INFO'!$O$2:$P$13,2)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INFO'!$L$2:$M$8,2)</f>
        <v>FRI</v>
      </c>
      <c r="G490" s="214">
        <v>7.0000000000000007E-2</v>
      </c>
      <c r="H490" s="422">
        <v>0.01</v>
      </c>
      <c r="I490" s="454">
        <f t="shared" si="41"/>
        <v>-6.0000000000000005E-2</v>
      </c>
      <c r="J490" s="152" t="s">
        <v>150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INFO'!$L$2:$M$8,2)</f>
        <v>SAT</v>
      </c>
      <c r="G491" s="214">
        <v>7.0000000000000007E-2</v>
      </c>
      <c r="H491" s="422">
        <v>0.01</v>
      </c>
      <c r="I491" s="454">
        <f t="shared" si="41"/>
        <v>-6.0000000000000005E-2</v>
      </c>
      <c r="J491" s="152" t="s">
        <v>151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INFO'!$L$2:$M$8,2)</f>
        <v>SUN</v>
      </c>
      <c r="G492" s="214">
        <v>7.0000000000000007E-2</v>
      </c>
      <c r="H492" s="422">
        <v>0.01</v>
      </c>
      <c r="I492" s="454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INFO'!$L$2:$M$8,2)</f>
        <v>MON</v>
      </c>
      <c r="G493" s="214">
        <v>7.0000000000000007E-2</v>
      </c>
      <c r="H493" s="422">
        <v>0.01</v>
      </c>
      <c r="I493" s="454">
        <f t="shared" si="41"/>
        <v>-6.0000000000000005E-2</v>
      </c>
      <c r="J493" s="152" t="s">
        <v>152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INFO'!$L$2:$M$8,2)</f>
        <v>TUE</v>
      </c>
      <c r="G494" s="214">
        <v>7.0000000000000007E-2</v>
      </c>
      <c r="H494" s="422">
        <v>0.01</v>
      </c>
      <c r="I494" s="454">
        <f t="shared" si="41"/>
        <v>-6.0000000000000005E-2</v>
      </c>
      <c r="J494" s="152" t="s">
        <v>153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INFO'!$L$2:$M$8,2)</f>
        <v>WED</v>
      </c>
      <c r="G495" s="214">
        <v>7.0000000000000007E-2</v>
      </c>
      <c r="H495" s="422">
        <v>0.01</v>
      </c>
      <c r="I495" s="454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INFO'!$L$2:$M$8,2)</f>
        <v>THU</v>
      </c>
      <c r="G496" s="214">
        <v>7.0000000000000007E-2</v>
      </c>
      <c r="H496" s="422">
        <v>0.01</v>
      </c>
      <c r="I496" s="454">
        <f t="shared" si="41"/>
        <v>-6.0000000000000005E-2</v>
      </c>
      <c r="J496" s="152" t="s">
        <v>154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INFO'!$L$2:$M$8,2)</f>
        <v>FRI</v>
      </c>
      <c r="G497" s="214">
        <v>7.0000000000000007E-2</v>
      </c>
      <c r="H497" s="422">
        <v>0.01</v>
      </c>
      <c r="I497" s="454">
        <f t="shared" si="41"/>
        <v>-6.0000000000000005E-2</v>
      </c>
      <c r="J497" s="152" t="s">
        <v>155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INFO'!$L$2:$M$8,2)</f>
        <v>SAT</v>
      </c>
      <c r="G498" s="214">
        <v>7.0000000000000007E-2</v>
      </c>
      <c r="H498" s="422">
        <v>0.01</v>
      </c>
      <c r="I498" s="454">
        <f t="shared" si="41"/>
        <v>-6.0000000000000005E-2</v>
      </c>
      <c r="J498" s="152" t="s">
        <v>156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INFO'!$L$2:$M$8,2)</f>
        <v>SUN</v>
      </c>
      <c r="G499" s="214">
        <v>7.0000000000000007E-2</v>
      </c>
      <c r="H499" s="422">
        <v>0.01</v>
      </c>
      <c r="I499" s="454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INFO'!$L$2:$M$8,2)</f>
        <v>MON</v>
      </c>
      <c r="G500" s="214">
        <v>7.0000000000000007E-2</v>
      </c>
      <c r="H500" s="422">
        <v>0.01</v>
      </c>
      <c r="I500" s="454">
        <f t="shared" si="41"/>
        <v>-6.0000000000000005E-2</v>
      </c>
      <c r="J500" s="152" t="s">
        <v>157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INFO'!$L$2:$M$8,2)</f>
        <v>TUE</v>
      </c>
      <c r="G501" s="214">
        <v>7.0000000000000007E-2</v>
      </c>
      <c r="H501" s="422">
        <v>0.01</v>
      </c>
      <c r="I501" s="454">
        <f t="shared" si="41"/>
        <v>-6.0000000000000005E-2</v>
      </c>
      <c r="J501" s="152" t="s">
        <v>158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INFO'!$L$2:$M$8,2)</f>
        <v>WED</v>
      </c>
      <c r="G502" s="214">
        <v>7.0000000000000007E-2</v>
      </c>
      <c r="H502" s="422">
        <v>0.01</v>
      </c>
      <c r="I502" s="454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INFO'!$L$2:$M$8,2)</f>
        <v>THU</v>
      </c>
      <c r="G503" s="214">
        <v>7.0000000000000007E-2</v>
      </c>
      <c r="H503" s="422">
        <v>0.01</v>
      </c>
      <c r="I503" s="454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INFO'!$L$2:$M$8,2)</f>
        <v>FRI</v>
      </c>
      <c r="G504" s="214">
        <v>7.0000000000000007E-2</v>
      </c>
      <c r="H504" s="422">
        <v>0.01</v>
      </c>
      <c r="I504" s="454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INFO'!$L$2:$M$8,2)</f>
        <v>SAT</v>
      </c>
      <c r="G505" s="214">
        <v>7.0000000000000007E-2</v>
      </c>
      <c r="H505" s="422">
        <v>0.01</v>
      </c>
      <c r="I505" s="454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INFO'!$L$2:$M$8,2)</f>
        <v>SUN</v>
      </c>
      <c r="G506" s="214">
        <v>7.0000000000000007E-2</v>
      </c>
      <c r="H506" s="422">
        <v>0.01</v>
      </c>
      <c r="I506" s="454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INFO'!$L$2:$M$8,2)</f>
        <v>MON</v>
      </c>
      <c r="G507" s="214">
        <v>7.0000000000000007E-2</v>
      </c>
      <c r="H507" s="422">
        <v>0.01</v>
      </c>
      <c r="I507" s="454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INFO'!$L$2:$M$8,2)</f>
        <v>TUE</v>
      </c>
      <c r="G508" s="214">
        <v>7.0000000000000007E-2</v>
      </c>
      <c r="H508" s="422">
        <v>0.01</v>
      </c>
      <c r="I508" s="454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INFO'!$L$2:$M$8,2)</f>
        <v>WED</v>
      </c>
      <c r="G509" s="214">
        <v>7.0000000000000007E-2</v>
      </c>
      <c r="H509" s="422">
        <v>0.01</v>
      </c>
      <c r="I509" s="454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INFO'!$L$2:$M$8,2)</f>
        <v>THU</v>
      </c>
      <c r="G510" s="214">
        <v>7.0000000000000007E-2</v>
      </c>
      <c r="H510" s="422">
        <v>0.01</v>
      </c>
      <c r="I510" s="454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INFO'!$L$2:$M$8,2)</f>
        <v>FRI</v>
      </c>
      <c r="G511" s="214">
        <v>7.0000000000000007E-2</v>
      </c>
      <c r="H511" s="422">
        <v>0.01</v>
      </c>
      <c r="I511" s="454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INFO'!$L$2:$M$8,2)</f>
        <v>SAT</v>
      </c>
      <c r="G512" s="214">
        <v>7.0000000000000007E-2</v>
      </c>
      <c r="H512" s="422">
        <v>0.01</v>
      </c>
      <c r="I512" s="454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INFO'!$L$2:$M$8,2)</f>
        <v>SUN</v>
      </c>
      <c r="G513" s="214">
        <v>7.0000000000000007E-2</v>
      </c>
      <c r="H513" s="422">
        <v>0.01</v>
      </c>
      <c r="I513" s="454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INFO'!$L$2:$M$8,2)</f>
        <v>MON</v>
      </c>
      <c r="G514" s="214">
        <v>7.0000000000000007E-2</v>
      </c>
      <c r="H514" s="422">
        <v>0.01</v>
      </c>
      <c r="I514" s="454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92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INFO'!$L$2:$M$8,2)</f>
        <v>TUE</v>
      </c>
      <c r="G515" s="214">
        <v>7.0000000000000007E-2</v>
      </c>
      <c r="H515" s="422">
        <v>0.01</v>
      </c>
      <c r="I515" s="454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106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INFO'!$L$2:$M$8,2)</f>
        <v>WED</v>
      </c>
      <c r="G516" s="214">
        <v>7.0000000000000007E-2</v>
      </c>
      <c r="H516" s="422">
        <v>0.01</v>
      </c>
      <c r="I516" s="454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75</v>
      </c>
      <c r="P516" s="135">
        <v>99.99</v>
      </c>
      <c r="Q516" s="17" t="s">
        <v>106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INFO'!$L$2:$M$8,2)</f>
        <v>THU</v>
      </c>
      <c r="G517" s="214">
        <v>0.06</v>
      </c>
      <c r="H517" s="422">
        <v>0.01</v>
      </c>
      <c r="I517" s="454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INFO'!$L$2:$M$8,2)</f>
        <v>FRI</v>
      </c>
      <c r="G518" s="215">
        <v>0.05</v>
      </c>
      <c r="H518" s="423">
        <v>0.01</v>
      </c>
      <c r="I518" s="455">
        <f t="shared" si="45"/>
        <v>-0.04</v>
      </c>
      <c r="J518" s="434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INFO'!$L$2:$M$8,2)</f>
        <v>SAT</v>
      </c>
      <c r="G519" s="218">
        <v>0.05</v>
      </c>
      <c r="H519" s="427">
        <v>0.01</v>
      </c>
      <c r="I519" s="458">
        <f t="shared" si="45"/>
        <v>-0.04</v>
      </c>
      <c r="J519" s="433" t="s">
        <v>117</v>
      </c>
      <c r="K519" s="15">
        <f>VLOOKUP(MONTH($C519),'CALENDAR INFO'!$O$2:$P$13,2)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INFO'!$L$2:$M$8,2)</f>
        <v>SUN</v>
      </c>
      <c r="G520" s="214">
        <v>0.05</v>
      </c>
      <c r="H520" s="422">
        <v>0.01</v>
      </c>
      <c r="I520" s="454">
        <f t="shared" si="45"/>
        <v>-0.04</v>
      </c>
      <c r="J520" s="152" t="s">
        <v>150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INFO'!$L$2:$M$8,2)</f>
        <v>MON</v>
      </c>
      <c r="G521" s="214">
        <v>0.06</v>
      </c>
      <c r="H521" s="422">
        <v>0.01</v>
      </c>
      <c r="I521" s="454">
        <f t="shared" si="45"/>
        <v>-4.9999999999999996E-2</v>
      </c>
      <c r="J521" s="152" t="s">
        <v>151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INFO'!$L$2:$M$8,2)</f>
        <v>TUE</v>
      </c>
      <c r="G522" s="214">
        <v>0.06</v>
      </c>
      <c r="H522" s="422">
        <v>0.01</v>
      </c>
      <c r="I522" s="454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INFO'!$L$2:$M$8,2)</f>
        <v>WED</v>
      </c>
      <c r="G523" s="214">
        <v>0.06</v>
      </c>
      <c r="H523" s="422">
        <v>0.01</v>
      </c>
      <c r="I523" s="454">
        <f t="shared" si="45"/>
        <v>-4.9999999999999996E-2</v>
      </c>
      <c r="J523" s="152" t="s">
        <v>152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INFO'!$L$2:$M$8,2)</f>
        <v>THU</v>
      </c>
      <c r="G524" s="214">
        <v>0.06</v>
      </c>
      <c r="H524" s="422">
        <v>0.01</v>
      </c>
      <c r="I524" s="454">
        <f t="shared" si="45"/>
        <v>-4.9999999999999996E-2</v>
      </c>
      <c r="J524" s="152" t="s">
        <v>153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INFO'!$L$2:$M$8,2)</f>
        <v>FRI</v>
      </c>
      <c r="G525" s="214">
        <v>0.06</v>
      </c>
      <c r="H525" s="422">
        <v>0.01</v>
      </c>
      <c r="I525" s="454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INFO'!$L$2:$M$8,2)</f>
        <v>SAT</v>
      </c>
      <c r="G526" s="214">
        <v>0.06</v>
      </c>
      <c r="H526" s="422">
        <v>0.01</v>
      </c>
      <c r="I526" s="454">
        <f t="shared" si="45"/>
        <v>-4.9999999999999996E-2</v>
      </c>
      <c r="J526" s="152" t="s">
        <v>154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INFO'!$L$2:$M$8,2)</f>
        <v>SUN</v>
      </c>
      <c r="G527" s="214">
        <v>0.06</v>
      </c>
      <c r="H527" s="422">
        <v>0.01</v>
      </c>
      <c r="I527" s="454">
        <f t="shared" si="45"/>
        <v>-4.9999999999999996E-2</v>
      </c>
      <c r="J527" s="152" t="s">
        <v>155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INFO'!$L$2:$M$8,2)</f>
        <v>MON</v>
      </c>
      <c r="G528" s="214">
        <v>0.06</v>
      </c>
      <c r="H528" s="422">
        <v>0.01</v>
      </c>
      <c r="I528" s="454">
        <f t="shared" si="45"/>
        <v>-4.9999999999999996E-2</v>
      </c>
      <c r="J528" s="152" t="s">
        <v>156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INFO'!$L$2:$M$8,2)</f>
        <v>TUE</v>
      </c>
      <c r="G529" s="214">
        <v>0.06</v>
      </c>
      <c r="H529" s="422">
        <v>0.01</v>
      </c>
      <c r="I529" s="454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INFO'!$L$2:$M$8,2)</f>
        <v>WED</v>
      </c>
      <c r="G530" s="214">
        <v>0.06</v>
      </c>
      <c r="H530" s="422">
        <v>0.01</v>
      </c>
      <c r="I530" s="454">
        <f t="shared" si="45"/>
        <v>-4.9999999999999996E-2</v>
      </c>
      <c r="J530" s="152" t="s">
        <v>157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INFO'!$L$2:$M$8,2)</f>
        <v>THU</v>
      </c>
      <c r="G531" s="214">
        <v>0.06</v>
      </c>
      <c r="H531" s="422">
        <v>0.01</v>
      </c>
      <c r="I531" s="454">
        <f t="shared" si="45"/>
        <v>-4.9999999999999996E-2</v>
      </c>
      <c r="J531" s="152" t="s">
        <v>158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INFO'!$L$2:$M$8,2)</f>
        <v>FRI</v>
      </c>
      <c r="G532" s="214">
        <v>0.06</v>
      </c>
      <c r="H532" s="422">
        <v>0.01</v>
      </c>
      <c r="I532" s="454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INFO'!$L$2:$M$8,2)</f>
        <v>SAT</v>
      </c>
      <c r="G533" s="214">
        <v>0.06</v>
      </c>
      <c r="H533" s="422">
        <v>0.01</v>
      </c>
      <c r="I533" s="454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INFO'!$L$2:$M$8,2)</f>
        <v>SUN</v>
      </c>
      <c r="G534" s="214">
        <v>0.06</v>
      </c>
      <c r="H534" s="422">
        <v>0.01</v>
      </c>
      <c r="I534" s="454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INFO'!$L$2:$M$8,2)</f>
        <v>MON</v>
      </c>
      <c r="G535" s="214">
        <v>0.06</v>
      </c>
      <c r="H535" s="422">
        <v>0.01</v>
      </c>
      <c r="I535" s="454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INFO'!$L$2:$M$8,2)</f>
        <v>TUE</v>
      </c>
      <c r="G536" s="214">
        <v>0.06</v>
      </c>
      <c r="H536" s="422">
        <v>0.01</v>
      </c>
      <c r="I536" s="454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INFO'!$L$2:$M$8,2)</f>
        <v>WED</v>
      </c>
      <c r="G537" s="214">
        <v>0.06</v>
      </c>
      <c r="H537" s="422">
        <v>0.01</v>
      </c>
      <c r="I537" s="454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INFO'!$L$2:$M$8,2)</f>
        <v>THU</v>
      </c>
      <c r="G538" s="214">
        <v>0.06</v>
      </c>
      <c r="H538" s="422">
        <v>0.01</v>
      </c>
      <c r="I538" s="454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INFO'!$L$2:$M$8,2)</f>
        <v>FRI</v>
      </c>
      <c r="G539" s="214">
        <v>0.06</v>
      </c>
      <c r="H539" s="422">
        <v>0.01</v>
      </c>
      <c r="I539" s="454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INFO'!$L$2:$M$8,2)</f>
        <v>SAT</v>
      </c>
      <c r="G540" s="214">
        <v>0.06</v>
      </c>
      <c r="H540" s="422">
        <v>0.01</v>
      </c>
      <c r="I540" s="454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INFO'!$L$2:$M$8,2)</f>
        <v>SUN</v>
      </c>
      <c r="G541" s="214">
        <v>0.06</v>
      </c>
      <c r="H541" s="422">
        <v>0.01</v>
      </c>
      <c r="I541" s="454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INFO'!$L$2:$M$8,2)</f>
        <v>MON</v>
      </c>
      <c r="G542" s="214">
        <v>0.06</v>
      </c>
      <c r="H542" s="422">
        <v>0.01</v>
      </c>
      <c r="I542" s="454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INFO'!$L$2:$M$8,2)</f>
        <v>TUE</v>
      </c>
      <c r="G543" s="214">
        <v>0.06</v>
      </c>
      <c r="H543" s="422">
        <v>0.01</v>
      </c>
      <c r="I543" s="454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INFO'!$L$2:$M$8,2)</f>
        <v>WED</v>
      </c>
      <c r="G544" s="214">
        <v>0.06</v>
      </c>
      <c r="H544" s="422">
        <v>0.01</v>
      </c>
      <c r="I544" s="454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INFO'!$L$2:$M$8,2)</f>
        <v>THU</v>
      </c>
      <c r="G545" s="214">
        <v>0.06</v>
      </c>
      <c r="H545" s="422">
        <v>0.01</v>
      </c>
      <c r="I545" s="454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92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INFO'!$L$2:$M$8,2)</f>
        <v>FRI</v>
      </c>
      <c r="G546" s="214">
        <v>0.05</v>
      </c>
      <c r="H546" s="422">
        <v>0.01</v>
      </c>
      <c r="I546" s="454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INFO'!$L$2:$M$8,2)</f>
        <v>SAT</v>
      </c>
      <c r="G547" s="214">
        <v>0.05</v>
      </c>
      <c r="H547" s="422">
        <v>0.01</v>
      </c>
      <c r="I547" s="454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75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INFO'!$L$2:$M$8,2)</f>
        <v>SUN</v>
      </c>
      <c r="G548" s="214">
        <v>0.05</v>
      </c>
      <c r="H548" s="422">
        <v>0.01</v>
      </c>
      <c r="I548" s="454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112</v>
      </c>
      <c r="E549" s="92"/>
      <c r="F549" s="71" t="str">
        <f>VLOOKUP(MOD(C549,7),'CALENDAR INFO'!$L$2:$M$8,2)</f>
        <v>MON</v>
      </c>
      <c r="G549" s="215">
        <v>0.05</v>
      </c>
      <c r="H549" s="423">
        <v>0.01</v>
      </c>
      <c r="I549" s="455">
        <f t="shared" si="45"/>
        <v>-0.04</v>
      </c>
      <c r="J549" s="434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INFO'!$L$2:$M$8,2)</f>
        <v>TUE</v>
      </c>
      <c r="G550" s="218">
        <v>0.06</v>
      </c>
      <c r="H550" s="427">
        <v>0.01</v>
      </c>
      <c r="I550" s="458">
        <f t="shared" si="45"/>
        <v>-4.9999999999999996E-2</v>
      </c>
      <c r="J550" s="433" t="s">
        <v>117</v>
      </c>
      <c r="K550" s="15">
        <f>VLOOKUP(MONTH($C550),'CALENDAR INFO'!$O$2:$P$13,2)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INFO'!$L$2:$M$8,2)</f>
        <v>WED</v>
      </c>
      <c r="G551" s="214">
        <v>0.06</v>
      </c>
      <c r="H551" s="422">
        <v>0.01</v>
      </c>
      <c r="I551" s="454">
        <f t="shared" si="45"/>
        <v>-4.9999999999999996E-2</v>
      </c>
      <c r="J551" s="152" t="s">
        <v>150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INFO'!$L$2:$M$8,2)</f>
        <v>THU</v>
      </c>
      <c r="G552" s="214">
        <v>0.06</v>
      </c>
      <c r="H552" s="422">
        <v>0.01</v>
      </c>
      <c r="I552" s="454">
        <f t="shared" si="45"/>
        <v>-4.9999999999999996E-2</v>
      </c>
      <c r="J552" s="152" t="s">
        <v>151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INFO'!$L$2:$M$8,2)</f>
        <v>FRI</v>
      </c>
      <c r="G553" s="214">
        <v>0.06</v>
      </c>
      <c r="H553" s="422">
        <v>0.01</v>
      </c>
      <c r="I553" s="454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INFO'!$L$2:$M$8,2)</f>
        <v>SAT</v>
      </c>
      <c r="G554" s="214">
        <v>0.06</v>
      </c>
      <c r="H554" s="422">
        <v>0.01</v>
      </c>
      <c r="I554" s="454">
        <f t="shared" si="45"/>
        <v>-4.9999999999999996E-2</v>
      </c>
      <c r="J554" s="152" t="s">
        <v>152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INFO'!$L$2:$M$8,2)</f>
        <v>SUN</v>
      </c>
      <c r="G555" s="214">
        <v>0.06</v>
      </c>
      <c r="H555" s="422">
        <v>0.01</v>
      </c>
      <c r="I555" s="454">
        <f t="shared" si="45"/>
        <v>-4.9999999999999996E-2</v>
      </c>
      <c r="J555" s="152" t="s">
        <v>153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INFO'!$L$2:$M$8,2)</f>
        <v>MON</v>
      </c>
      <c r="G556" s="214">
        <v>0.06</v>
      </c>
      <c r="H556" s="422">
        <v>0.01</v>
      </c>
      <c r="I556" s="454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INFO'!$L$2:$M$8,2)</f>
        <v>TUE</v>
      </c>
      <c r="G557" s="214">
        <v>0.06</v>
      </c>
      <c r="H557" s="422">
        <v>0.01</v>
      </c>
      <c r="I557" s="454">
        <f t="shared" si="45"/>
        <v>-4.9999999999999996E-2</v>
      </c>
      <c r="J557" s="152" t="s">
        <v>154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INFO'!$L$2:$M$8,2)</f>
        <v>WED</v>
      </c>
      <c r="G558" s="214">
        <v>0.06</v>
      </c>
      <c r="H558" s="422">
        <v>0.01</v>
      </c>
      <c r="I558" s="454">
        <f t="shared" si="45"/>
        <v>-4.9999999999999996E-2</v>
      </c>
      <c r="J558" s="152" t="s">
        <v>155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INFO'!$L$2:$M$8,2)</f>
        <v>THU</v>
      </c>
      <c r="G559" s="214">
        <v>0.06</v>
      </c>
      <c r="H559" s="422">
        <v>0.01</v>
      </c>
      <c r="I559" s="454">
        <f t="shared" si="45"/>
        <v>-4.9999999999999996E-2</v>
      </c>
      <c r="J559" s="152" t="s">
        <v>156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INFO'!$L$2:$M$8,2)</f>
        <v>FRI</v>
      </c>
      <c r="G560" s="214">
        <v>0.06</v>
      </c>
      <c r="H560" s="422">
        <v>0.01</v>
      </c>
      <c r="I560" s="454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INFO'!$L$2:$M$8,2)</f>
        <v>SAT</v>
      </c>
      <c r="G561" s="214">
        <v>0.06</v>
      </c>
      <c r="H561" s="422">
        <v>0.01</v>
      </c>
      <c r="I561" s="454">
        <f t="shared" si="45"/>
        <v>-4.9999999999999996E-2</v>
      </c>
      <c r="J561" s="152" t="s">
        <v>157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92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INFO'!$L$2:$M$8,2)</f>
        <v>SUN</v>
      </c>
      <c r="G562" s="214">
        <v>0.06</v>
      </c>
      <c r="H562" s="422">
        <v>0.01</v>
      </c>
      <c r="I562" s="454">
        <f t="shared" si="45"/>
        <v>-4.9999999999999996E-2</v>
      </c>
      <c r="J562" s="152" t="s">
        <v>158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76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INFO'!$L$2:$M$8,2)</f>
        <v>MON</v>
      </c>
      <c r="G563" s="214">
        <v>0.06</v>
      </c>
      <c r="H563" s="422">
        <v>0.01</v>
      </c>
      <c r="I563" s="454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INFO'!$L$2:$M$8,2)</f>
        <v>TUE</v>
      </c>
      <c r="G564" s="214">
        <v>0.06</v>
      </c>
      <c r="H564" s="422">
        <v>0.01</v>
      </c>
      <c r="I564" s="454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INFO'!$L$2:$M$8,2)</f>
        <v>WED</v>
      </c>
      <c r="G565" s="219">
        <v>0.06</v>
      </c>
      <c r="H565" s="428">
        <v>0.01</v>
      </c>
      <c r="I565" s="454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INFO'!$L$2:$M$8,2)</f>
        <v>THU</v>
      </c>
      <c r="G566" s="219">
        <v>0.1</v>
      </c>
      <c r="H566" s="428">
        <v>0.05</v>
      </c>
      <c r="I566" s="454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118</v>
      </c>
      <c r="F567" s="58" t="str">
        <f>VLOOKUP(MOD(C567,7),'CALENDAR INFO'!$L$2:$M$8,2)</f>
        <v>FRI</v>
      </c>
      <c r="G567" s="214">
        <v>0.1</v>
      </c>
      <c r="H567" s="422">
        <v>0.05</v>
      </c>
      <c r="I567" s="454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INFO'!$L$2:$M$8,2)</f>
        <v>SAT</v>
      </c>
      <c r="G568" s="214">
        <v>0.1</v>
      </c>
      <c r="H568" s="422">
        <v>0.05</v>
      </c>
      <c r="I568" s="454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INFO'!$L$2:$M$8,2)</f>
        <v>SUN</v>
      </c>
      <c r="G569" s="214">
        <v>0.1</v>
      </c>
      <c r="H569" s="422">
        <v>0.05</v>
      </c>
      <c r="I569" s="454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INFO'!$L$2:$M$8,2)</f>
        <v>MON</v>
      </c>
      <c r="G570" s="214">
        <v>0.1</v>
      </c>
      <c r="H570" s="422">
        <v>0.05</v>
      </c>
      <c r="I570" s="454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INFO'!$L$2:$M$8,2)</f>
        <v>TUE</v>
      </c>
      <c r="G571" s="214">
        <v>0.1</v>
      </c>
      <c r="H571" s="422">
        <v>0.05</v>
      </c>
      <c r="I571" s="454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INFO'!$L$2:$M$8,2)</f>
        <v>WED</v>
      </c>
      <c r="G572" s="214">
        <v>0.1</v>
      </c>
      <c r="H572" s="422">
        <v>0.05</v>
      </c>
      <c r="I572" s="454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INFO'!$L$2:$M$8,2)</f>
        <v>THU</v>
      </c>
      <c r="G573" s="214">
        <v>0.1</v>
      </c>
      <c r="H573" s="422">
        <v>0.05</v>
      </c>
      <c r="I573" s="454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INFO'!$L$2:$M$8,2)</f>
        <v>FRI</v>
      </c>
      <c r="G574" s="214">
        <v>0.1</v>
      </c>
      <c r="H574" s="422">
        <v>0.05</v>
      </c>
      <c r="I574" s="454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INFO'!$L$2:$M$8,2)</f>
        <v>SAT</v>
      </c>
      <c r="G575" s="214">
        <v>0.1</v>
      </c>
      <c r="H575" s="422">
        <v>0.05</v>
      </c>
      <c r="I575" s="454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92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INFO'!$L$2:$M$8,2)</f>
        <v>SUN</v>
      </c>
      <c r="G576" s="214">
        <v>0.1</v>
      </c>
      <c r="H576" s="422">
        <v>0.05</v>
      </c>
      <c r="I576" s="454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INFO'!$L$2:$M$8,2)</f>
        <v>MON</v>
      </c>
      <c r="G577" s="214">
        <v>0.1</v>
      </c>
      <c r="H577" s="422">
        <v>0.05</v>
      </c>
      <c r="I577" s="454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75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INFO'!$L$2:$M$8,2)</f>
        <v>TUE</v>
      </c>
      <c r="G578" s="214">
        <v>0.1</v>
      </c>
      <c r="H578" s="422">
        <v>0.05</v>
      </c>
      <c r="I578" s="454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INFO'!$L$2:$M$8,2)</f>
        <v>WED</v>
      </c>
      <c r="G579" s="215">
        <v>0.08</v>
      </c>
      <c r="H579" s="423">
        <v>0.05</v>
      </c>
      <c r="I579" s="455">
        <f t="shared" ref="I579:I642" si="50">H579-G579</f>
        <v>-0.03</v>
      </c>
      <c r="J579" s="434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INFO'!$L$2:$M$8,2)</f>
        <v>THU</v>
      </c>
      <c r="G580" s="218">
        <v>0.1</v>
      </c>
      <c r="H580" s="427">
        <v>0.05</v>
      </c>
      <c r="I580" s="458">
        <f t="shared" si="50"/>
        <v>-0.05</v>
      </c>
      <c r="J580" s="433" t="s">
        <v>117</v>
      </c>
      <c r="K580" s="15">
        <f>VLOOKUP(MONTH($C580),'CALENDAR INFO'!$O$2:$P$13,2)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INFO'!$L$2:$M$8,2)</f>
        <v>FRI</v>
      </c>
      <c r="G581" s="214">
        <v>0.1</v>
      </c>
      <c r="H581" s="422">
        <v>0.05</v>
      </c>
      <c r="I581" s="454">
        <f t="shared" si="50"/>
        <v>-0.05</v>
      </c>
      <c r="J581" s="152" t="s">
        <v>150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INFO'!$L$2:$M$8,2)</f>
        <v>SAT</v>
      </c>
      <c r="G582" s="214">
        <v>0.1</v>
      </c>
      <c r="H582" s="422">
        <v>0.05</v>
      </c>
      <c r="I582" s="454">
        <f t="shared" si="50"/>
        <v>-0.05</v>
      </c>
      <c r="J582" s="152" t="s">
        <v>151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INFO'!$L$2:$M$8,2)</f>
        <v>SUN</v>
      </c>
      <c r="G583" s="214">
        <v>0.1</v>
      </c>
      <c r="H583" s="422">
        <v>0.05</v>
      </c>
      <c r="I583" s="454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INFO'!$L$2:$M$8,2)</f>
        <v>MON</v>
      </c>
      <c r="G584" s="214">
        <v>0.1</v>
      </c>
      <c r="H584" s="422">
        <v>0.05</v>
      </c>
      <c r="I584" s="454">
        <f t="shared" si="50"/>
        <v>-0.05</v>
      </c>
      <c r="J584" s="152" t="s">
        <v>152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INFO'!$L$2:$M$8,2)</f>
        <v>TUE</v>
      </c>
      <c r="G585" s="214">
        <v>0.1</v>
      </c>
      <c r="H585" s="422">
        <v>0.05</v>
      </c>
      <c r="I585" s="454">
        <f t="shared" si="50"/>
        <v>-0.05</v>
      </c>
      <c r="J585" s="152" t="s">
        <v>153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INFO'!$L$2:$M$8,2)</f>
        <v>WED</v>
      </c>
      <c r="G586" s="214">
        <v>0.1</v>
      </c>
      <c r="H586" s="422">
        <v>0.05</v>
      </c>
      <c r="I586" s="454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INFO'!$L$2:$M$8,2)</f>
        <v>THU</v>
      </c>
      <c r="G587" s="214">
        <v>0.1</v>
      </c>
      <c r="H587" s="422">
        <v>0.05</v>
      </c>
      <c r="I587" s="454">
        <f t="shared" si="50"/>
        <v>-0.05</v>
      </c>
      <c r="J587" s="152" t="s">
        <v>154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INFO'!$L$2:$M$8,2)</f>
        <v>FRI</v>
      </c>
      <c r="G588" s="214">
        <v>0.1</v>
      </c>
      <c r="H588" s="422">
        <v>0.05</v>
      </c>
      <c r="I588" s="454">
        <f t="shared" si="50"/>
        <v>-0.05</v>
      </c>
      <c r="J588" s="152" t="s">
        <v>155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INFO'!$L$2:$M$8,2)</f>
        <v>SAT</v>
      </c>
      <c r="G589" s="214">
        <v>0.1</v>
      </c>
      <c r="H589" s="422">
        <v>0.05</v>
      </c>
      <c r="I589" s="454">
        <f t="shared" si="50"/>
        <v>-0.05</v>
      </c>
      <c r="J589" s="152" t="s">
        <v>156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INFO'!$L$2:$M$8,2)</f>
        <v>SUN</v>
      </c>
      <c r="G590" s="214">
        <v>0.1</v>
      </c>
      <c r="H590" s="422">
        <v>0.05</v>
      </c>
      <c r="I590" s="454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INFO'!$L$2:$M$8,2)</f>
        <v>MON</v>
      </c>
      <c r="G591" s="214">
        <v>0.1</v>
      </c>
      <c r="H591" s="422">
        <v>0.05</v>
      </c>
      <c r="I591" s="454">
        <f t="shared" si="50"/>
        <v>-0.05</v>
      </c>
      <c r="J591" s="152" t="s">
        <v>157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INFO'!$L$2:$M$8,2)</f>
        <v>TUE</v>
      </c>
      <c r="G592" s="214">
        <v>0.1</v>
      </c>
      <c r="H592" s="422">
        <v>0.05</v>
      </c>
      <c r="I592" s="454">
        <f t="shared" si="50"/>
        <v>-0.05</v>
      </c>
      <c r="J592" s="152" t="s">
        <v>158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INFO'!$L$2:$M$8,2)</f>
        <v>WED</v>
      </c>
      <c r="G593" s="214">
        <v>0.1</v>
      </c>
      <c r="H593" s="422">
        <v>0.05</v>
      </c>
      <c r="I593" s="454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INFO'!$L$2:$M$8,2)</f>
        <v>THU</v>
      </c>
      <c r="G594" s="214">
        <v>0.1</v>
      </c>
      <c r="H594" s="422">
        <v>0.05</v>
      </c>
      <c r="I594" s="454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INFO'!$L$2:$M$8,2)</f>
        <v>FRI</v>
      </c>
      <c r="G595" s="214">
        <v>0.1</v>
      </c>
      <c r="H595" s="422">
        <v>0.05</v>
      </c>
      <c r="I595" s="454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INFO'!$L$2:$M$8,2)</f>
        <v>SAT</v>
      </c>
      <c r="G596" s="214">
        <v>0.1</v>
      </c>
      <c r="H596" s="422">
        <v>0.05</v>
      </c>
      <c r="I596" s="454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INFO'!$L$2:$M$8,2)</f>
        <v>SUN</v>
      </c>
      <c r="G597" s="214">
        <v>0.1</v>
      </c>
      <c r="H597" s="422">
        <v>0.05</v>
      </c>
      <c r="I597" s="454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INFO'!$L$2:$M$8,2)</f>
        <v>MON</v>
      </c>
      <c r="G598" s="214">
        <v>0.1</v>
      </c>
      <c r="H598" s="422">
        <v>0.05</v>
      </c>
      <c r="I598" s="454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INFO'!$L$2:$M$8,2)</f>
        <v>TUE</v>
      </c>
      <c r="G599" s="214">
        <v>0.1</v>
      </c>
      <c r="H599" s="422">
        <v>0.05</v>
      </c>
      <c r="I599" s="454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INFO'!$L$2:$M$8,2)</f>
        <v>WED</v>
      </c>
      <c r="G600" s="214">
        <v>0.1</v>
      </c>
      <c r="H600" s="422">
        <v>0.05</v>
      </c>
      <c r="I600" s="454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INFO'!$L$2:$M$8,2)</f>
        <v>THU</v>
      </c>
      <c r="G601" s="214">
        <v>0.1</v>
      </c>
      <c r="H601" s="422">
        <v>0.05</v>
      </c>
      <c r="I601" s="454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INFO'!$L$2:$M$8,2)</f>
        <v>FRI</v>
      </c>
      <c r="G602" s="214">
        <v>0.1</v>
      </c>
      <c r="H602" s="422">
        <v>0.05</v>
      </c>
      <c r="I602" s="454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INFO'!$L$2:$M$8,2)</f>
        <v>SAT</v>
      </c>
      <c r="G603" s="214">
        <v>0.1</v>
      </c>
      <c r="H603" s="422">
        <v>0.05</v>
      </c>
      <c r="I603" s="454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INFO'!$L$2:$M$8,2)</f>
        <v>SUN</v>
      </c>
      <c r="G604" s="214">
        <v>0.1</v>
      </c>
      <c r="H604" s="422">
        <v>0.05</v>
      </c>
      <c r="I604" s="454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INFO'!$L$2:$M$8,2)</f>
        <v>MON</v>
      </c>
      <c r="G605" s="214">
        <v>0.1</v>
      </c>
      <c r="H605" s="422">
        <v>0.05</v>
      </c>
      <c r="I605" s="454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INFO'!$L$2:$M$8,2)</f>
        <v>TUE</v>
      </c>
      <c r="G606" s="214">
        <v>0.1</v>
      </c>
      <c r="H606" s="422">
        <v>0.05</v>
      </c>
      <c r="I606" s="454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92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INFO'!$L$2:$M$8,2)</f>
        <v>WED</v>
      </c>
      <c r="G607" s="214">
        <v>0.1</v>
      </c>
      <c r="H607" s="422">
        <v>0.05</v>
      </c>
      <c r="I607" s="454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INFO'!$L$2:$M$8,2)</f>
        <v>THU</v>
      </c>
      <c r="G608" s="214">
        <v>0.1</v>
      </c>
      <c r="H608" s="422">
        <v>0.05</v>
      </c>
      <c r="I608" s="454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75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INFO'!$L$2:$M$8,2)</f>
        <v>FRI</v>
      </c>
      <c r="G609" s="214">
        <v>7.0000000000000007E-2</v>
      </c>
      <c r="H609" s="422">
        <v>0.05</v>
      </c>
      <c r="I609" s="454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INFO'!$L$2:$M$8,2)</f>
        <v>SAT</v>
      </c>
      <c r="G610" s="215">
        <v>7.0000000000000007E-2</v>
      </c>
      <c r="H610" s="423">
        <v>0.05</v>
      </c>
      <c r="I610" s="455">
        <f t="shared" si="50"/>
        <v>-2.0000000000000004E-2</v>
      </c>
      <c r="J610" s="434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INFO'!$L$2:$M$8,2)</f>
        <v>SUN</v>
      </c>
      <c r="G611" s="218">
        <v>7.0000000000000007E-2</v>
      </c>
      <c r="H611" s="427">
        <v>0.05</v>
      </c>
      <c r="I611" s="458">
        <f t="shared" si="50"/>
        <v>-2.0000000000000004E-2</v>
      </c>
      <c r="J611" s="433" t="s">
        <v>117</v>
      </c>
      <c r="K611" s="15">
        <f>VLOOKUP(MONTH($C611),'CALENDAR INFO'!$O$2:$P$13,2)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INFO'!$L$2:$M$8,2)</f>
        <v>MON</v>
      </c>
      <c r="G612" s="214">
        <v>0.1</v>
      </c>
      <c r="H612" s="422">
        <v>0.05</v>
      </c>
      <c r="I612" s="454">
        <f t="shared" si="50"/>
        <v>-0.05</v>
      </c>
      <c r="J612" s="152" t="s">
        <v>150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INFO'!$L$2:$M$8,2)</f>
        <v>TUE</v>
      </c>
      <c r="G613" s="214">
        <v>0.1</v>
      </c>
      <c r="H613" s="422">
        <v>0.05</v>
      </c>
      <c r="I613" s="454">
        <f t="shared" si="50"/>
        <v>-0.05</v>
      </c>
      <c r="J613" s="152" t="s">
        <v>151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INFO'!$L$2:$M$8,2)</f>
        <v>WED</v>
      </c>
      <c r="G614" s="214">
        <v>0.1</v>
      </c>
      <c r="H614" s="422">
        <v>0.05</v>
      </c>
      <c r="I614" s="454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INFO'!$L$2:$M$8,2)</f>
        <v>THU</v>
      </c>
      <c r="G615" s="214">
        <v>0.1</v>
      </c>
      <c r="H615" s="422">
        <v>0.05</v>
      </c>
      <c r="I615" s="454">
        <f t="shared" si="50"/>
        <v>-0.05</v>
      </c>
      <c r="J615" s="152" t="s">
        <v>152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INFO'!$L$2:$M$8,2)</f>
        <v>FRI</v>
      </c>
      <c r="G616" s="214">
        <v>0.1</v>
      </c>
      <c r="H616" s="422">
        <v>0.05</v>
      </c>
      <c r="I616" s="454">
        <f t="shared" si="50"/>
        <v>-0.05</v>
      </c>
      <c r="J616" s="152" t="s">
        <v>153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INFO'!$L$2:$M$8,2)</f>
        <v>SAT</v>
      </c>
      <c r="G617" s="214">
        <v>0.1</v>
      </c>
      <c r="H617" s="422">
        <v>0.05</v>
      </c>
      <c r="I617" s="454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INFO'!$L$2:$M$8,2)</f>
        <v>SUN</v>
      </c>
      <c r="G618" s="214">
        <v>0.1</v>
      </c>
      <c r="H618" s="422">
        <v>0.05</v>
      </c>
      <c r="I618" s="454">
        <f t="shared" si="50"/>
        <v>-0.05</v>
      </c>
      <c r="J618" s="152" t="s">
        <v>154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INFO'!$L$2:$M$8,2)</f>
        <v>MON</v>
      </c>
      <c r="G619" s="214">
        <v>0.1</v>
      </c>
      <c r="H619" s="422">
        <v>0.05</v>
      </c>
      <c r="I619" s="454">
        <f t="shared" si="50"/>
        <v>-0.05</v>
      </c>
      <c r="J619" s="152" t="s">
        <v>155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INFO'!$L$2:$M$8,2)</f>
        <v>TUE</v>
      </c>
      <c r="G620" s="214">
        <v>0.1</v>
      </c>
      <c r="H620" s="422">
        <v>0.05</v>
      </c>
      <c r="I620" s="454">
        <f t="shared" si="50"/>
        <v>-0.05</v>
      </c>
      <c r="J620" s="152" t="s">
        <v>156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INFO'!$L$2:$M$8,2)</f>
        <v>WED</v>
      </c>
      <c r="G621" s="214">
        <v>0.1</v>
      </c>
      <c r="H621" s="422">
        <v>0.05</v>
      </c>
      <c r="I621" s="454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INFO'!$L$2:$M$8,2)</f>
        <v>THU</v>
      </c>
      <c r="G622" s="214">
        <v>0.1</v>
      </c>
      <c r="H622" s="422">
        <v>0.05</v>
      </c>
      <c r="I622" s="454">
        <f t="shared" si="50"/>
        <v>-0.05</v>
      </c>
      <c r="J622" s="152" t="s">
        <v>157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INFO'!$L$2:$M$8,2)</f>
        <v>FRI</v>
      </c>
      <c r="G623" s="214">
        <v>0.1</v>
      </c>
      <c r="H623" s="422">
        <v>0.05</v>
      </c>
      <c r="I623" s="454">
        <f t="shared" si="50"/>
        <v>-0.05</v>
      </c>
      <c r="J623" s="152" t="s">
        <v>158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INFO'!$L$2:$M$8,2)</f>
        <v>SAT</v>
      </c>
      <c r="G624" s="214">
        <v>0.1</v>
      </c>
      <c r="H624" s="422">
        <v>0.05</v>
      </c>
      <c r="I624" s="454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INFO'!$L$2:$M$8,2)</f>
        <v>SUN</v>
      </c>
      <c r="G625" s="214">
        <v>0.1</v>
      </c>
      <c r="H625" s="422">
        <v>0.05</v>
      </c>
      <c r="I625" s="454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INFO'!$L$2:$M$8,2)</f>
        <v>MON</v>
      </c>
      <c r="G626" s="214">
        <v>0.1</v>
      </c>
      <c r="H626" s="422">
        <v>0.05</v>
      </c>
      <c r="I626" s="454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INFO'!$L$2:$M$8,2)</f>
        <v>TUE</v>
      </c>
      <c r="G627" s="214">
        <v>0.1</v>
      </c>
      <c r="H627" s="422">
        <v>0.05</v>
      </c>
      <c r="I627" s="454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INFO'!$L$2:$M$8,2)</f>
        <v>WED</v>
      </c>
      <c r="G628" s="214">
        <v>0.09</v>
      </c>
      <c r="H628" s="422">
        <v>0.05</v>
      </c>
      <c r="I628" s="454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INFO'!$L$2:$M$8,2)</f>
        <v>THU</v>
      </c>
      <c r="G629" s="214">
        <v>0.09</v>
      </c>
      <c r="H629" s="422">
        <v>0.05</v>
      </c>
      <c r="I629" s="454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INFO'!$L$2:$M$8,2)</f>
        <v>FRI</v>
      </c>
      <c r="G630" s="214">
        <v>0.09</v>
      </c>
      <c r="H630" s="422">
        <v>0.05</v>
      </c>
      <c r="I630" s="454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INFO'!$L$2:$M$8,2)</f>
        <v>SAT</v>
      </c>
      <c r="G631" s="214">
        <v>0.09</v>
      </c>
      <c r="H631" s="422">
        <v>0.05</v>
      </c>
      <c r="I631" s="454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INFO'!$L$2:$M$8,2)</f>
        <v>SUN</v>
      </c>
      <c r="G632" s="214">
        <v>0.09</v>
      </c>
      <c r="H632" s="422">
        <v>0.05</v>
      </c>
      <c r="I632" s="454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INFO'!$L$2:$M$8,2)</f>
        <v>MON</v>
      </c>
      <c r="G633" s="214">
        <v>0.09</v>
      </c>
      <c r="H633" s="422">
        <v>0.05</v>
      </c>
      <c r="I633" s="454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INFO'!$L$2:$M$8,2)</f>
        <v>TUE</v>
      </c>
      <c r="G634" s="214">
        <v>0.09</v>
      </c>
      <c r="H634" s="422">
        <v>0.05</v>
      </c>
      <c r="I634" s="454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INFO'!$L$2:$M$8,2)</f>
        <v>WED</v>
      </c>
      <c r="G635" s="214">
        <v>0.09</v>
      </c>
      <c r="H635" s="422">
        <v>0.05</v>
      </c>
      <c r="I635" s="454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INFO'!$L$2:$M$8,2)</f>
        <v>THU</v>
      </c>
      <c r="G636" s="214">
        <v>0.09</v>
      </c>
      <c r="H636" s="422">
        <v>0.05</v>
      </c>
      <c r="I636" s="454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INFO'!$L$2:$M$8,2)</f>
        <v>FRI</v>
      </c>
      <c r="G637" s="214">
        <v>0.08</v>
      </c>
      <c r="H637" s="422">
        <v>0.05</v>
      </c>
      <c r="I637" s="454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92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INFO'!$L$2:$M$8,2)</f>
        <v>SAT</v>
      </c>
      <c r="G638" s="214">
        <v>0.08</v>
      </c>
      <c r="H638" s="422">
        <v>0.05</v>
      </c>
      <c r="I638" s="454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INFO'!$L$2:$M$8,2)</f>
        <v>SUN</v>
      </c>
      <c r="G639" s="214">
        <v>0.08</v>
      </c>
      <c r="H639" s="422">
        <v>0.05</v>
      </c>
      <c r="I639" s="454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75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INFO'!$L$2:$M$8,2)</f>
        <v>MON</v>
      </c>
      <c r="G640" s="214">
        <v>0.08</v>
      </c>
      <c r="H640" s="422">
        <v>0.05</v>
      </c>
      <c r="I640" s="454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INFO'!$L$2:$M$8,2)</f>
        <v>TUE</v>
      </c>
      <c r="G641" s="215">
        <v>0.06</v>
      </c>
      <c r="H641" s="423">
        <v>0.05</v>
      </c>
      <c r="I641" s="455">
        <f t="shared" si="50"/>
        <v>-9.999999999999995E-3</v>
      </c>
      <c r="J641" s="434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INFO'!$L$2:$M$8,2)</f>
        <v>WED</v>
      </c>
      <c r="G642" s="218">
        <v>0.08</v>
      </c>
      <c r="H642" s="427">
        <v>0.05</v>
      </c>
      <c r="I642" s="458">
        <f t="shared" si="50"/>
        <v>-0.03</v>
      </c>
      <c r="J642" s="433" t="s">
        <v>117</v>
      </c>
      <c r="K642" s="15">
        <f>VLOOKUP(MONTH($C642),'CALENDAR INFO'!$O$2:$P$13,2)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INFO'!$L$2:$M$8,2)</f>
        <v>THU</v>
      </c>
      <c r="G643" s="214">
        <v>0.08</v>
      </c>
      <c r="H643" s="422">
        <v>0.05</v>
      </c>
      <c r="I643" s="454">
        <f t="shared" ref="I643:I706" si="55">H643-G643</f>
        <v>-0.03</v>
      </c>
      <c r="J643" s="152" t="s">
        <v>150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INFO'!$L$2:$M$8,2)</f>
        <v>FRI</v>
      </c>
      <c r="G644" s="214">
        <v>0.08</v>
      </c>
      <c r="H644" s="422">
        <v>0.05</v>
      </c>
      <c r="I644" s="454">
        <f t="shared" si="55"/>
        <v>-0.03</v>
      </c>
      <c r="J644" s="152" t="s">
        <v>151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INFO'!$L$2:$M$8,2)</f>
        <v>SAT</v>
      </c>
      <c r="G645" s="214">
        <v>0.08</v>
      </c>
      <c r="H645" s="422">
        <v>0.05</v>
      </c>
      <c r="I645" s="454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INFO'!$L$2:$M$8,2)</f>
        <v>SUN</v>
      </c>
      <c r="G646" s="214">
        <v>0.08</v>
      </c>
      <c r="H646" s="422">
        <v>0.05</v>
      </c>
      <c r="I646" s="454">
        <f t="shared" si="55"/>
        <v>-0.03</v>
      </c>
      <c r="J646" s="152" t="s">
        <v>152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111</v>
      </c>
      <c r="E647" s="170"/>
      <c r="F647" s="58" t="str">
        <f>VLOOKUP(MOD(C647,7),'CALENDAR INFO'!$L$2:$M$8,2)</f>
        <v>MON</v>
      </c>
      <c r="G647" s="214">
        <v>0.08</v>
      </c>
      <c r="H647" s="422">
        <v>0.05</v>
      </c>
      <c r="I647" s="454">
        <f t="shared" si="55"/>
        <v>-0.03</v>
      </c>
      <c r="J647" s="152" t="s">
        <v>153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INFO'!$L$2:$M$8,2)</f>
        <v>TUE</v>
      </c>
      <c r="G648" s="214">
        <v>0.08</v>
      </c>
      <c r="H648" s="422">
        <v>0.05</v>
      </c>
      <c r="I648" s="454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INFO'!$L$2:$M$8,2)</f>
        <v>WED</v>
      </c>
      <c r="G649" s="214">
        <v>0.08</v>
      </c>
      <c r="H649" s="422">
        <v>0.05</v>
      </c>
      <c r="I649" s="454">
        <f t="shared" si="55"/>
        <v>-0.03</v>
      </c>
      <c r="J649" s="152" t="s">
        <v>154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INFO'!$L$2:$M$8,2)</f>
        <v>THU</v>
      </c>
      <c r="G650" s="214">
        <v>0.08</v>
      </c>
      <c r="H650" s="422">
        <v>0.05</v>
      </c>
      <c r="I650" s="454">
        <f t="shared" si="55"/>
        <v>-0.03</v>
      </c>
      <c r="J650" s="152" t="s">
        <v>155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INFO'!$L$2:$M$8,2)</f>
        <v>FRI</v>
      </c>
      <c r="G651" s="214">
        <v>0.08</v>
      </c>
      <c r="H651" s="422">
        <v>0.05</v>
      </c>
      <c r="I651" s="454">
        <f t="shared" si="55"/>
        <v>-0.03</v>
      </c>
      <c r="J651" s="152" t="s">
        <v>156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INFO'!$L$2:$M$8,2)</f>
        <v>SAT</v>
      </c>
      <c r="G652" s="214">
        <v>0.08</v>
      </c>
      <c r="H652" s="422">
        <v>0.05</v>
      </c>
      <c r="I652" s="454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92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INFO'!$L$2:$M$8,2)</f>
        <v>SUN</v>
      </c>
      <c r="G653" s="214">
        <v>0.08</v>
      </c>
      <c r="H653" s="422">
        <v>0.05</v>
      </c>
      <c r="I653" s="454">
        <f t="shared" si="55"/>
        <v>-0.03</v>
      </c>
      <c r="J653" s="152" t="s">
        <v>157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76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INFO'!$L$2:$M$8,2)</f>
        <v>MON</v>
      </c>
      <c r="G654" s="214">
        <v>0.08</v>
      </c>
      <c r="H654" s="422">
        <v>0.05</v>
      </c>
      <c r="I654" s="454">
        <f t="shared" si="55"/>
        <v>-0.03</v>
      </c>
      <c r="J654" s="152" t="s">
        <v>158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INFO'!$L$2:$M$8,2)</f>
        <v>TUE</v>
      </c>
      <c r="G655" s="214">
        <v>0.08</v>
      </c>
      <c r="H655" s="422">
        <v>0.05</v>
      </c>
      <c r="I655" s="454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INFO'!$L$2:$M$8,2)</f>
        <v>WED</v>
      </c>
      <c r="G656" s="214">
        <v>0.08</v>
      </c>
      <c r="H656" s="422">
        <v>0.05</v>
      </c>
      <c r="I656" s="454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INFO'!$L$2:$M$8,2)</f>
        <v>THU</v>
      </c>
      <c r="G657" s="214">
        <v>0.08</v>
      </c>
      <c r="H657" s="422">
        <v>0.05</v>
      </c>
      <c r="I657" s="454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INFO'!$L$2:$M$8,2)</f>
        <v>FRI</v>
      </c>
      <c r="G658" s="214">
        <v>0.08</v>
      </c>
      <c r="H658" s="422">
        <v>0.05</v>
      </c>
      <c r="I658" s="454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INFO'!$L$2:$M$8,2)</f>
        <v>SAT</v>
      </c>
      <c r="G659" s="214">
        <v>0.08</v>
      </c>
      <c r="H659" s="422">
        <v>0.05</v>
      </c>
      <c r="I659" s="454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INFO'!$L$2:$M$8,2)</f>
        <v>SUN</v>
      </c>
      <c r="G660" s="214">
        <v>0.08</v>
      </c>
      <c r="H660" s="422">
        <v>0.05</v>
      </c>
      <c r="I660" s="454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INFO'!$L$2:$M$8,2)</f>
        <v>MON</v>
      </c>
      <c r="G661" s="214">
        <v>0.08</v>
      </c>
      <c r="H661" s="422">
        <v>0.05</v>
      </c>
      <c r="I661" s="454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INFO'!$L$2:$M$8,2)</f>
        <v>TUE</v>
      </c>
      <c r="G662" s="214">
        <v>0.08</v>
      </c>
      <c r="H662" s="422">
        <v>0.05</v>
      </c>
      <c r="I662" s="454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INFO'!$L$2:$M$8,2)</f>
        <v>WED</v>
      </c>
      <c r="G663" s="214">
        <v>0.08</v>
      </c>
      <c r="H663" s="422">
        <v>0.05</v>
      </c>
      <c r="I663" s="454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INFO'!$L$2:$M$8,2)</f>
        <v>THU</v>
      </c>
      <c r="G664" s="214">
        <v>0.08</v>
      </c>
      <c r="H664" s="422">
        <v>0.05</v>
      </c>
      <c r="I664" s="454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INFO'!$L$2:$M$8,2)</f>
        <v>FRI</v>
      </c>
      <c r="G665" s="214">
        <v>0.08</v>
      </c>
      <c r="H665" s="422">
        <v>0.05</v>
      </c>
      <c r="I665" s="454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INFO'!$L$2:$M$8,2)</f>
        <v>SAT</v>
      </c>
      <c r="G666" s="214">
        <v>0.08</v>
      </c>
      <c r="H666" s="422">
        <v>0.05</v>
      </c>
      <c r="I666" s="454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INFO'!$L$2:$M$8,2)</f>
        <v>SUN</v>
      </c>
      <c r="G667" s="214">
        <v>0.08</v>
      </c>
      <c r="H667" s="422">
        <v>0.05</v>
      </c>
      <c r="I667" s="454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92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INFO'!$L$2:$M$8,2)</f>
        <v>MON</v>
      </c>
      <c r="G668" s="214">
        <v>0.08</v>
      </c>
      <c r="H668" s="422">
        <v>0.05</v>
      </c>
      <c r="I668" s="454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INFO'!$L$2:$M$8,2)</f>
        <v>TUE</v>
      </c>
      <c r="G669" s="214">
        <v>0.08</v>
      </c>
      <c r="H669" s="422">
        <v>0.05</v>
      </c>
      <c r="I669" s="454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75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INFO'!$L$2:$M$8,2)</f>
        <v>WED</v>
      </c>
      <c r="G670" s="214">
        <v>0.08</v>
      </c>
      <c r="H670" s="422">
        <v>0.05</v>
      </c>
      <c r="I670" s="454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INFO'!$L$2:$M$8,2)</f>
        <v>THU</v>
      </c>
      <c r="G671" s="215">
        <v>0.06</v>
      </c>
      <c r="H671" s="423">
        <v>0.05</v>
      </c>
      <c r="I671" s="455">
        <f t="shared" si="55"/>
        <v>-9.999999999999995E-3</v>
      </c>
      <c r="J671" s="434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INFO'!$L$2:$M$8,2)</f>
        <v>FRI</v>
      </c>
      <c r="G672" s="218">
        <v>0.08</v>
      </c>
      <c r="H672" s="427">
        <v>0.05</v>
      </c>
      <c r="I672" s="458">
        <f t="shared" si="55"/>
        <v>-0.03</v>
      </c>
      <c r="J672" s="433" t="s">
        <v>117</v>
      </c>
      <c r="K672" s="15">
        <f>VLOOKUP(MONTH($C672),'CALENDAR INFO'!$O$2:$P$13,2)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INFO'!$L$2:$M$8,2)</f>
        <v>SAT</v>
      </c>
      <c r="G673" s="214">
        <v>0.08</v>
      </c>
      <c r="H673" s="422">
        <v>0.05</v>
      </c>
      <c r="I673" s="454">
        <f t="shared" si="55"/>
        <v>-0.03</v>
      </c>
      <c r="J673" s="152" t="s">
        <v>150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INFO'!$L$2:$M$8,2)</f>
        <v>SUN</v>
      </c>
      <c r="G674" s="214">
        <v>0.08</v>
      </c>
      <c r="H674" s="422">
        <v>0.05</v>
      </c>
      <c r="I674" s="454">
        <f t="shared" si="55"/>
        <v>-0.03</v>
      </c>
      <c r="J674" s="152" t="s">
        <v>151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INFO'!$L$2:$M$8,2)</f>
        <v>MON</v>
      </c>
      <c r="G675" s="214">
        <v>0.08</v>
      </c>
      <c r="H675" s="422">
        <v>0.05</v>
      </c>
      <c r="I675" s="454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INFO'!$L$2:$M$8,2)</f>
        <v>TUE</v>
      </c>
      <c r="G676" s="214">
        <v>0.08</v>
      </c>
      <c r="H676" s="422">
        <v>0.05</v>
      </c>
      <c r="I676" s="454">
        <f t="shared" si="55"/>
        <v>-0.03</v>
      </c>
      <c r="J676" s="152" t="s">
        <v>152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INFO'!$L$2:$M$8,2)</f>
        <v>WED</v>
      </c>
      <c r="G677" s="214">
        <v>0.08</v>
      </c>
      <c r="H677" s="422">
        <v>0.05</v>
      </c>
      <c r="I677" s="454">
        <f t="shared" si="55"/>
        <v>-0.03</v>
      </c>
      <c r="J677" s="152" t="s">
        <v>153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INFO'!$L$2:$M$8,2)</f>
        <v>THU</v>
      </c>
      <c r="G678" s="214">
        <v>0.08</v>
      </c>
      <c r="H678" s="422">
        <v>0.05</v>
      </c>
      <c r="I678" s="454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INFO'!$L$2:$M$8,2)</f>
        <v>FRI</v>
      </c>
      <c r="G679" s="214">
        <v>0.08</v>
      </c>
      <c r="H679" s="422">
        <v>0.05</v>
      </c>
      <c r="I679" s="454">
        <f t="shared" si="55"/>
        <v>-0.03</v>
      </c>
      <c r="J679" s="152" t="s">
        <v>154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INFO'!$L$2:$M$8,2)</f>
        <v>SAT</v>
      </c>
      <c r="G680" s="214">
        <v>0.08</v>
      </c>
      <c r="H680" s="422">
        <v>0.05</v>
      </c>
      <c r="I680" s="454">
        <f t="shared" si="55"/>
        <v>-0.03</v>
      </c>
      <c r="J680" s="152" t="s">
        <v>155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INFO'!$L$2:$M$8,2)</f>
        <v>SUN</v>
      </c>
      <c r="G681" s="214">
        <v>0.08</v>
      </c>
      <c r="H681" s="422">
        <v>0.05</v>
      </c>
      <c r="I681" s="454">
        <f t="shared" si="55"/>
        <v>-0.03</v>
      </c>
      <c r="J681" s="152" t="s">
        <v>156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107</v>
      </c>
      <c r="E682" s="167"/>
      <c r="F682" s="58" t="str">
        <f>VLOOKUP(MOD(C682,7),'CALENDAR INFO'!$L$2:$M$8,2)</f>
        <v>MON</v>
      </c>
      <c r="G682" s="214">
        <v>0.08</v>
      </c>
      <c r="H682" s="422">
        <v>0.05</v>
      </c>
      <c r="I682" s="454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INFO'!$L$2:$M$8,2)</f>
        <v>TUE</v>
      </c>
      <c r="G683" s="214">
        <v>0.08</v>
      </c>
      <c r="H683" s="422">
        <v>0.05</v>
      </c>
      <c r="I683" s="454">
        <f t="shared" si="55"/>
        <v>-0.03</v>
      </c>
      <c r="J683" s="152" t="s">
        <v>157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INFO'!$L$2:$M$8,2)</f>
        <v>WED</v>
      </c>
      <c r="G684" s="214">
        <v>0.08</v>
      </c>
      <c r="H684" s="422">
        <v>0.05</v>
      </c>
      <c r="I684" s="454">
        <f t="shared" si="55"/>
        <v>-0.03</v>
      </c>
      <c r="J684" s="152" t="s">
        <v>158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INFO'!$L$2:$M$8,2)</f>
        <v>THU</v>
      </c>
      <c r="G685" s="214">
        <v>0.08</v>
      </c>
      <c r="H685" s="422">
        <v>0.05</v>
      </c>
      <c r="I685" s="454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INFO'!$L$2:$M$8,2)</f>
        <v>FRI</v>
      </c>
      <c r="G686" s="214">
        <v>0.08</v>
      </c>
      <c r="H686" s="422">
        <v>0.05</v>
      </c>
      <c r="I686" s="454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INFO'!$L$2:$M$8,2)</f>
        <v>SAT</v>
      </c>
      <c r="G687" s="214">
        <v>0.08</v>
      </c>
      <c r="H687" s="422">
        <v>0.05</v>
      </c>
      <c r="I687" s="454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INFO'!$L$2:$M$8,2)</f>
        <v>SUN</v>
      </c>
      <c r="G688" s="214">
        <v>0.08</v>
      </c>
      <c r="H688" s="422">
        <v>0.05</v>
      </c>
      <c r="I688" s="454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INFO'!$L$2:$M$8,2)</f>
        <v>MON</v>
      </c>
      <c r="G689" s="214">
        <v>0.08</v>
      </c>
      <c r="H689" s="422">
        <v>0.05</v>
      </c>
      <c r="I689" s="454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INFO'!$L$2:$M$8,2)</f>
        <v>TUE</v>
      </c>
      <c r="G690" s="214">
        <v>0.08</v>
      </c>
      <c r="H690" s="422">
        <v>0.03</v>
      </c>
      <c r="I690" s="454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INFO'!$L$2:$M$8,2)</f>
        <v>WED</v>
      </c>
      <c r="G691" s="214">
        <v>0.08</v>
      </c>
      <c r="H691" s="422">
        <v>0.03</v>
      </c>
      <c r="I691" s="454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INFO'!$L$2:$M$8,2)</f>
        <v>THU</v>
      </c>
      <c r="G692" s="214">
        <v>0.08</v>
      </c>
      <c r="H692" s="422">
        <v>0.03</v>
      </c>
      <c r="I692" s="454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INFO'!$L$2:$M$8,2)</f>
        <v>FRI</v>
      </c>
      <c r="G693" s="214">
        <v>0.08</v>
      </c>
      <c r="H693" s="422">
        <v>0.05</v>
      </c>
      <c r="I693" s="454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INFO'!$L$2:$M$8,2)</f>
        <v>SAT</v>
      </c>
      <c r="G694" s="214">
        <v>0.08</v>
      </c>
      <c r="H694" s="422">
        <v>0.05</v>
      </c>
      <c r="I694" s="454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INFO'!$L$2:$M$8,2)</f>
        <v>SUN</v>
      </c>
      <c r="G695" s="214">
        <v>0.08</v>
      </c>
      <c r="H695" s="422">
        <v>0.05</v>
      </c>
      <c r="I695" s="454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INFO'!$L$2:$M$8,2)</f>
        <v>MON</v>
      </c>
      <c r="G696" s="214">
        <v>0.08</v>
      </c>
      <c r="H696" s="422">
        <v>0.04</v>
      </c>
      <c r="I696" s="454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INFO'!$L$2:$M$8,2)</f>
        <v>TUE</v>
      </c>
      <c r="G697" s="214">
        <v>0.08</v>
      </c>
      <c r="H697" s="422">
        <v>0.05</v>
      </c>
      <c r="I697" s="454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INFO'!$L$2:$M$8,2)</f>
        <v>WED</v>
      </c>
      <c r="G698" s="214">
        <v>0.08</v>
      </c>
      <c r="H698" s="422">
        <v>0.05</v>
      </c>
      <c r="I698" s="454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92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INFO'!$L$2:$M$8,2)</f>
        <v>THU</v>
      </c>
      <c r="G699" s="214">
        <v>0.08</v>
      </c>
      <c r="H699" s="422">
        <v>0.05</v>
      </c>
      <c r="I699" s="454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INFO'!$L$2:$M$8,2)</f>
        <v>FRI</v>
      </c>
      <c r="G700" s="214">
        <v>7.0000000000000007E-2</v>
      </c>
      <c r="H700" s="422">
        <v>0.05</v>
      </c>
      <c r="I700" s="454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75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INFO'!$L$2:$M$8,2)</f>
        <v>SAT</v>
      </c>
      <c r="G701" s="214">
        <v>7.0000000000000007E-2</v>
      </c>
      <c r="H701" s="422">
        <v>0.05</v>
      </c>
      <c r="I701" s="454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INFO'!$L$2:$M$8,2)</f>
        <v>SUN</v>
      </c>
      <c r="G702" s="215">
        <v>7.0000000000000007E-2</v>
      </c>
      <c r="H702" s="423">
        <v>0.05</v>
      </c>
      <c r="I702" s="455">
        <f t="shared" si="55"/>
        <v>-2.0000000000000004E-2</v>
      </c>
      <c r="J702" s="434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INFO'!$L$2:$M$8,2)</f>
        <v>MON</v>
      </c>
      <c r="G703" s="218">
        <v>0.08</v>
      </c>
      <c r="H703" s="427">
        <v>0.05</v>
      </c>
      <c r="I703" s="458">
        <f t="shared" si="55"/>
        <v>-0.03</v>
      </c>
      <c r="J703" s="433" t="s">
        <v>117</v>
      </c>
      <c r="K703" s="15">
        <f>VLOOKUP(MONTH($C703),'CALENDAR INFO'!$O$2:$P$13,2)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INFO'!$L$2:$M$8,2)</f>
        <v>TUE</v>
      </c>
      <c r="G704" s="214">
        <v>0.08</v>
      </c>
      <c r="H704" s="422">
        <v>0.05</v>
      </c>
      <c r="I704" s="454">
        <f t="shared" si="55"/>
        <v>-0.03</v>
      </c>
      <c r="J704" s="152" t="s">
        <v>150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INFO'!$L$2:$M$8,2)</f>
        <v>WED</v>
      </c>
      <c r="G705" s="214">
        <v>0.08</v>
      </c>
      <c r="H705" s="422">
        <v>0.05</v>
      </c>
      <c r="I705" s="454">
        <f t="shared" si="55"/>
        <v>-0.03</v>
      </c>
      <c r="J705" s="152" t="s">
        <v>151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INFO'!$L$2:$M$8,2)</f>
        <v>THU</v>
      </c>
      <c r="G706" s="214">
        <v>0.08</v>
      </c>
      <c r="H706" s="422">
        <v>0.05</v>
      </c>
      <c r="I706" s="454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INFO'!$L$2:$M$8,2)</f>
        <v>FRI</v>
      </c>
      <c r="G707" s="214">
        <v>0.08</v>
      </c>
      <c r="H707" s="422">
        <v>0.05</v>
      </c>
      <c r="I707" s="454">
        <f t="shared" ref="I707:I770" si="60">H707-G707</f>
        <v>-0.03</v>
      </c>
      <c r="J707" s="152" t="s">
        <v>152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INFO'!$L$2:$M$8,2)</f>
        <v>SAT</v>
      </c>
      <c r="G708" s="214">
        <v>0.08</v>
      </c>
      <c r="H708" s="422">
        <v>0.05</v>
      </c>
      <c r="I708" s="454">
        <f t="shared" si="60"/>
        <v>-0.03</v>
      </c>
      <c r="J708" s="152" t="s">
        <v>153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INFO'!$L$2:$M$8,2)</f>
        <v>SUN</v>
      </c>
      <c r="G709" s="214">
        <v>0.08</v>
      </c>
      <c r="H709" s="422">
        <v>0.05</v>
      </c>
      <c r="I709" s="454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INFO'!$L$2:$M$8,2)</f>
        <v>MON</v>
      </c>
      <c r="G710" s="214">
        <v>0.08</v>
      </c>
      <c r="H710" s="422">
        <v>0.05</v>
      </c>
      <c r="I710" s="454">
        <f t="shared" si="60"/>
        <v>-0.03</v>
      </c>
      <c r="J710" s="152" t="s">
        <v>154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INFO'!$L$2:$M$8,2)</f>
        <v>TUE</v>
      </c>
      <c r="G711" s="214">
        <v>0.08</v>
      </c>
      <c r="H711" s="422">
        <v>0.05</v>
      </c>
      <c r="I711" s="454">
        <f t="shared" si="60"/>
        <v>-0.03</v>
      </c>
      <c r="J711" s="152" t="s">
        <v>155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INFO'!$L$2:$M$8,2)</f>
        <v>WED</v>
      </c>
      <c r="G712" s="214">
        <v>0.08</v>
      </c>
      <c r="H712" s="422">
        <v>0.05</v>
      </c>
      <c r="I712" s="454">
        <f t="shared" si="60"/>
        <v>-0.03</v>
      </c>
      <c r="J712" s="152" t="s">
        <v>156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108</v>
      </c>
      <c r="E713" s="167"/>
      <c r="F713" s="58" t="str">
        <f>VLOOKUP(MOD(C713,7),'CALENDAR INFO'!$L$2:$M$8,2)</f>
        <v>THU</v>
      </c>
      <c r="G713" s="214">
        <v>0.08</v>
      </c>
      <c r="H713" s="422">
        <v>0.05</v>
      </c>
      <c r="I713" s="454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INFO'!$L$2:$M$8,2)</f>
        <v>FRI</v>
      </c>
      <c r="G714" s="214">
        <v>0.08</v>
      </c>
      <c r="H714" s="422">
        <v>0.05</v>
      </c>
      <c r="I714" s="454">
        <f t="shared" si="60"/>
        <v>-0.03</v>
      </c>
      <c r="J714" s="152" t="s">
        <v>157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INFO'!$L$2:$M$8,2)</f>
        <v>SAT</v>
      </c>
      <c r="G715" s="214">
        <v>0.08</v>
      </c>
      <c r="H715" s="422">
        <v>0.05</v>
      </c>
      <c r="I715" s="454">
        <f t="shared" si="60"/>
        <v>-0.03</v>
      </c>
      <c r="J715" s="152" t="s">
        <v>158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INFO'!$L$2:$M$8,2)</f>
        <v>SUN</v>
      </c>
      <c r="G716" s="214">
        <v>0.08</v>
      </c>
      <c r="H716" s="422">
        <v>0.05</v>
      </c>
      <c r="I716" s="454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INFO'!$L$2:$M$8,2)</f>
        <v>MON</v>
      </c>
      <c r="G717" s="214">
        <v>0.08</v>
      </c>
      <c r="H717" s="422">
        <v>0.05</v>
      </c>
      <c r="I717" s="454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INFO'!$L$2:$M$8,2)</f>
        <v>TUE</v>
      </c>
      <c r="G718" s="214">
        <v>0.08</v>
      </c>
      <c r="H718" s="422">
        <v>0.05</v>
      </c>
      <c r="I718" s="454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INFO'!$L$2:$M$8,2)</f>
        <v>WED</v>
      </c>
      <c r="G719" s="214">
        <v>0.08</v>
      </c>
      <c r="H719" s="422">
        <v>0.05</v>
      </c>
      <c r="I719" s="454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INFO'!$L$2:$M$8,2)</f>
        <v>THU</v>
      </c>
      <c r="G720" s="214">
        <v>0.08</v>
      </c>
      <c r="H720" s="422">
        <v>0.05</v>
      </c>
      <c r="I720" s="454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INFO'!$L$2:$M$8,2)</f>
        <v>FRI</v>
      </c>
      <c r="G721" s="214">
        <v>0.08</v>
      </c>
      <c r="H721" s="422">
        <v>0.05</v>
      </c>
      <c r="I721" s="454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INFO'!$L$2:$M$8,2)</f>
        <v>SAT</v>
      </c>
      <c r="G722" s="214">
        <v>0.08</v>
      </c>
      <c r="H722" s="422">
        <v>0.05</v>
      </c>
      <c r="I722" s="454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INFO'!$L$2:$M$8,2)</f>
        <v>SUN</v>
      </c>
      <c r="G723" s="214">
        <v>0.08</v>
      </c>
      <c r="H723" s="422">
        <v>0.05</v>
      </c>
      <c r="I723" s="454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INFO'!$L$2:$M$8,2)</f>
        <v>MON</v>
      </c>
      <c r="G724" s="214">
        <v>0.08</v>
      </c>
      <c r="H724" s="422">
        <v>0.05</v>
      </c>
      <c r="I724" s="454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INFO'!$L$2:$M$8,2)</f>
        <v>TUE</v>
      </c>
      <c r="G725" s="214">
        <v>0.08</v>
      </c>
      <c r="H725" s="422">
        <v>0.05</v>
      </c>
      <c r="I725" s="454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INFO'!$L$2:$M$8,2)</f>
        <v>WED</v>
      </c>
      <c r="G726" s="214">
        <v>0.08</v>
      </c>
      <c r="H726" s="422">
        <v>0.05</v>
      </c>
      <c r="I726" s="454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109</v>
      </c>
      <c r="E727" s="170"/>
      <c r="F727" s="58" t="str">
        <f>VLOOKUP(MOD(C727,7),'CALENDAR INFO'!$L$2:$M$8,2)</f>
        <v>THU</v>
      </c>
      <c r="G727" s="214">
        <v>0.08</v>
      </c>
      <c r="H727" s="422">
        <v>0.05</v>
      </c>
      <c r="I727" s="454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INFO'!$L$2:$M$8,2)</f>
        <v>FRI</v>
      </c>
      <c r="G728" s="214">
        <v>0.08</v>
      </c>
      <c r="H728" s="422">
        <v>0.05</v>
      </c>
      <c r="I728" s="454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92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INFO'!$L$2:$M$8,2)</f>
        <v>SAT</v>
      </c>
      <c r="G729" s="214">
        <v>0.08</v>
      </c>
      <c r="H729" s="422">
        <v>0.05</v>
      </c>
      <c r="I729" s="454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INFO'!$L$2:$M$8,2)</f>
        <v>SUN</v>
      </c>
      <c r="G730" s="214">
        <v>0.08</v>
      </c>
      <c r="H730" s="422">
        <v>0.05</v>
      </c>
      <c r="I730" s="454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75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INFO'!$L$2:$M$8,2)</f>
        <v>MON</v>
      </c>
      <c r="G731" s="214">
        <v>0.08</v>
      </c>
      <c r="H731" s="422">
        <v>0.05</v>
      </c>
      <c r="I731" s="454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INFO'!$L$2:$M$8,2)</f>
        <v>TUE</v>
      </c>
      <c r="G732" s="215">
        <v>7.0000000000000007E-2</v>
      </c>
      <c r="H732" s="423">
        <v>0.05</v>
      </c>
      <c r="I732" s="455">
        <f t="shared" si="60"/>
        <v>-2.0000000000000004E-2</v>
      </c>
      <c r="J732" s="434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INFO'!$L$2:$M$8,2)</f>
        <v>WED</v>
      </c>
      <c r="G733" s="218">
        <v>0.08</v>
      </c>
      <c r="H733" s="427">
        <v>0.05</v>
      </c>
      <c r="I733" s="458">
        <f t="shared" si="60"/>
        <v>-0.03</v>
      </c>
      <c r="J733" s="433" t="s">
        <v>117</v>
      </c>
      <c r="K733" s="15">
        <f>VLOOKUP(MONTH($C733),'CALENDAR INFO'!$O$2:$P$13,2)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INFO'!$L$2:$M$8,2)</f>
        <v>THU</v>
      </c>
      <c r="G734" s="214">
        <v>0.08</v>
      </c>
      <c r="H734" s="422">
        <v>0.05</v>
      </c>
      <c r="I734" s="454">
        <f t="shared" si="60"/>
        <v>-0.03</v>
      </c>
      <c r="J734" s="152" t="s">
        <v>150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INFO'!$L$2:$M$8,2)</f>
        <v>FRI</v>
      </c>
      <c r="G735" s="214">
        <v>0.08</v>
      </c>
      <c r="H735" s="422">
        <v>0.05</v>
      </c>
      <c r="I735" s="454">
        <f t="shared" si="60"/>
        <v>-0.03</v>
      </c>
      <c r="J735" s="152" t="s">
        <v>151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INFO'!$L$2:$M$8,2)</f>
        <v>SAT</v>
      </c>
      <c r="G736" s="214">
        <v>0.08</v>
      </c>
      <c r="H736" s="422">
        <v>0.05</v>
      </c>
      <c r="I736" s="454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INFO'!$L$2:$M$8,2)</f>
        <v>SUN</v>
      </c>
      <c r="G737" s="214">
        <v>0.08</v>
      </c>
      <c r="H737" s="422">
        <v>0.05</v>
      </c>
      <c r="I737" s="454">
        <f t="shared" si="60"/>
        <v>-0.03</v>
      </c>
      <c r="J737" s="152" t="s">
        <v>152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INFO'!$L$2:$M$8,2)</f>
        <v>MON</v>
      </c>
      <c r="G738" s="214">
        <v>0.08</v>
      </c>
      <c r="H738" s="422">
        <v>0.05</v>
      </c>
      <c r="I738" s="454">
        <f t="shared" si="60"/>
        <v>-0.03</v>
      </c>
      <c r="J738" s="152" t="s">
        <v>153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INFO'!$L$2:$M$8,2)</f>
        <v>TUE</v>
      </c>
      <c r="G739" s="214">
        <v>0.08</v>
      </c>
      <c r="H739" s="422">
        <v>0.05</v>
      </c>
      <c r="I739" s="454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INFO'!$L$2:$M$8,2)</f>
        <v>WED</v>
      </c>
      <c r="G740" s="214">
        <v>0.08</v>
      </c>
      <c r="H740" s="422">
        <v>0.05</v>
      </c>
      <c r="I740" s="454">
        <f t="shared" si="60"/>
        <v>-0.03</v>
      </c>
      <c r="J740" s="152" t="s">
        <v>154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INFO'!$L$2:$M$8,2)</f>
        <v>THU</v>
      </c>
      <c r="G741" s="214">
        <v>0.08</v>
      </c>
      <c r="H741" s="422">
        <v>0.05</v>
      </c>
      <c r="I741" s="454">
        <f t="shared" si="60"/>
        <v>-0.03</v>
      </c>
      <c r="J741" s="152" t="s">
        <v>155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INFO'!$L$2:$M$8,2)</f>
        <v>FRI</v>
      </c>
      <c r="G742" s="214">
        <v>0.08</v>
      </c>
      <c r="H742" s="422">
        <v>0.05</v>
      </c>
      <c r="I742" s="454">
        <f t="shared" si="60"/>
        <v>-0.03</v>
      </c>
      <c r="J742" s="152" t="s">
        <v>156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INFO'!$L$2:$M$8,2)</f>
        <v>SAT</v>
      </c>
      <c r="G743" s="214">
        <v>0.08</v>
      </c>
      <c r="H743" s="422">
        <v>0.05</v>
      </c>
      <c r="I743" s="454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92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INFO'!$L$2:$M$8,2)</f>
        <v>SUN</v>
      </c>
      <c r="G744" s="214">
        <v>0.08</v>
      </c>
      <c r="H744" s="422">
        <v>0.05</v>
      </c>
      <c r="I744" s="454">
        <f t="shared" si="60"/>
        <v>-0.03</v>
      </c>
      <c r="J744" s="152" t="s">
        <v>157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76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INFO'!$L$2:$M$8,2)</f>
        <v>MON</v>
      </c>
      <c r="G745" s="214">
        <v>0.08</v>
      </c>
      <c r="H745" s="422">
        <v>0.05</v>
      </c>
      <c r="I745" s="454">
        <f t="shared" si="60"/>
        <v>-0.03</v>
      </c>
      <c r="J745" s="152" t="s">
        <v>158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INFO'!$L$2:$M$8,2)</f>
        <v>TUE</v>
      </c>
      <c r="G746" s="214">
        <v>0.08</v>
      </c>
      <c r="H746" s="422">
        <v>0.05</v>
      </c>
      <c r="I746" s="454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INFO'!$L$2:$M$8,2)</f>
        <v>WED</v>
      </c>
      <c r="G747" s="214">
        <v>0.08</v>
      </c>
      <c r="H747" s="422">
        <v>0.05</v>
      </c>
      <c r="I747" s="454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INFO'!$L$2:$M$8,2)</f>
        <v>THU</v>
      </c>
      <c r="G748" s="214">
        <v>0.08</v>
      </c>
      <c r="H748" s="422">
        <v>0.05</v>
      </c>
      <c r="I748" s="454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INFO'!$L$2:$M$8,2)</f>
        <v>FRI</v>
      </c>
      <c r="G749" s="214">
        <v>0.08</v>
      </c>
      <c r="H749" s="422">
        <v>0.05</v>
      </c>
      <c r="I749" s="454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INFO'!$L$2:$M$8,2)</f>
        <v>SAT</v>
      </c>
      <c r="G750" s="214">
        <v>0.08</v>
      </c>
      <c r="H750" s="422">
        <v>0.05</v>
      </c>
      <c r="I750" s="454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INFO'!$L$2:$M$8,2)</f>
        <v>SUN</v>
      </c>
      <c r="G751" s="214">
        <v>0.08</v>
      </c>
      <c r="H751" s="422">
        <v>0.05</v>
      </c>
      <c r="I751" s="454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INFO'!$L$2:$M$8,2)</f>
        <v>MON</v>
      </c>
      <c r="G752" s="214">
        <v>0.08</v>
      </c>
      <c r="H752" s="422">
        <v>0.04</v>
      </c>
      <c r="I752" s="454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INFO'!$L$2:$M$8,2)</f>
        <v>TUE</v>
      </c>
      <c r="G753" s="214">
        <v>0.08</v>
      </c>
      <c r="H753" s="422">
        <v>0.05</v>
      </c>
      <c r="I753" s="454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INFO'!$L$2:$M$8,2)</f>
        <v>WED</v>
      </c>
      <c r="G754" s="214">
        <v>0.08</v>
      </c>
      <c r="H754" s="422">
        <v>0.05</v>
      </c>
      <c r="I754" s="454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INFO'!$L$2:$M$8,2)</f>
        <v>THU</v>
      </c>
      <c r="G755" s="214">
        <v>0.08</v>
      </c>
      <c r="H755" s="422">
        <v>0.05</v>
      </c>
      <c r="I755" s="454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110</v>
      </c>
      <c r="E756" s="170"/>
      <c r="F756" s="58" t="str">
        <f>VLOOKUP(MOD(C756,7),'CALENDAR INFO'!$L$2:$M$8,2)</f>
        <v>FRI</v>
      </c>
      <c r="G756" s="214">
        <v>0.08</v>
      </c>
      <c r="H756" s="422">
        <v>0.05</v>
      </c>
      <c r="I756" s="454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INFO'!$L$2:$M$8,2)</f>
        <v>SAT</v>
      </c>
      <c r="G757" s="214">
        <v>0.08</v>
      </c>
      <c r="H757" s="422">
        <v>0.05</v>
      </c>
      <c r="I757" s="454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INFO'!$L$2:$M$8,2)</f>
        <v>SUN</v>
      </c>
      <c r="G758" s="214">
        <v>0.08</v>
      </c>
      <c r="H758" s="422">
        <v>0.05</v>
      </c>
      <c r="I758" s="454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INFO'!$L$2:$M$8,2)</f>
        <v>MON</v>
      </c>
      <c r="G759" s="214">
        <v>0.08</v>
      </c>
      <c r="H759" s="422">
        <v>0.05</v>
      </c>
      <c r="I759" s="454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92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INFO'!$L$2:$M$8,2)</f>
        <v>TUE</v>
      </c>
      <c r="G760" s="214">
        <v>0.08</v>
      </c>
      <c r="H760" s="422">
        <v>0.05</v>
      </c>
      <c r="I760" s="454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INFO'!$L$2:$M$8,2)</f>
        <v>WED</v>
      </c>
      <c r="G761" s="214">
        <v>0.08</v>
      </c>
      <c r="H761" s="422">
        <v>0.05</v>
      </c>
      <c r="I761" s="454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75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INFO'!$L$2:$M$8,2)</f>
        <v>THU</v>
      </c>
      <c r="G762" s="214">
        <v>0.08</v>
      </c>
      <c r="H762" s="422">
        <v>0.05</v>
      </c>
      <c r="I762" s="454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INFO'!$L$2:$M$8,2)</f>
        <v>FRI</v>
      </c>
      <c r="G763" s="215">
        <v>7.0000000000000007E-2</v>
      </c>
      <c r="H763" s="423">
        <v>0.05</v>
      </c>
      <c r="I763" s="455">
        <f t="shared" si="60"/>
        <v>-2.0000000000000004E-2</v>
      </c>
      <c r="J763" s="434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INFO'!$L$2:$M$8,2)</f>
        <v>SAT</v>
      </c>
      <c r="G764" s="218">
        <v>7.0000000000000007E-2</v>
      </c>
      <c r="H764" s="427">
        <v>0.05</v>
      </c>
      <c r="I764" s="458">
        <f t="shared" si="60"/>
        <v>-2.0000000000000004E-2</v>
      </c>
      <c r="J764" s="433" t="s">
        <v>117</v>
      </c>
      <c r="K764" s="15">
        <f>VLOOKUP(MONTH($C764),'CALENDAR INFO'!$O$2:$P$13,2)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INFO'!$L$2:$M$8,2)</f>
        <v>SUN</v>
      </c>
      <c r="G765" s="214">
        <v>7.0000000000000007E-2</v>
      </c>
      <c r="H765" s="422">
        <v>0.05</v>
      </c>
      <c r="I765" s="454">
        <f t="shared" si="60"/>
        <v>-2.0000000000000004E-2</v>
      </c>
      <c r="J765" s="152" t="s">
        <v>150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INFO'!$L$2:$M$8,2)</f>
        <v>MON</v>
      </c>
      <c r="G766" s="214">
        <v>0.08</v>
      </c>
      <c r="H766" s="422">
        <v>0.05</v>
      </c>
      <c r="I766" s="454">
        <f t="shared" si="60"/>
        <v>-0.03</v>
      </c>
      <c r="J766" s="152" t="s">
        <v>151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INFO'!$L$2:$M$8,2)</f>
        <v>TUE</v>
      </c>
      <c r="G767" s="214">
        <v>0.08</v>
      </c>
      <c r="H767" s="422">
        <v>0.05</v>
      </c>
      <c r="I767" s="454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INFO'!$L$2:$M$8,2)</f>
        <v>WED</v>
      </c>
      <c r="G768" s="214">
        <v>0.08</v>
      </c>
      <c r="H768" s="422">
        <v>0.05</v>
      </c>
      <c r="I768" s="454">
        <f t="shared" si="60"/>
        <v>-0.03</v>
      </c>
      <c r="J768" s="152" t="s">
        <v>152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INFO'!$L$2:$M$8,2)</f>
        <v>THU</v>
      </c>
      <c r="G769" s="214">
        <v>0.08</v>
      </c>
      <c r="H769" s="422">
        <v>0.05</v>
      </c>
      <c r="I769" s="454">
        <f t="shared" si="60"/>
        <v>-0.03</v>
      </c>
      <c r="J769" s="152" t="s">
        <v>153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INFO'!$L$2:$M$8,2)</f>
        <v>FRI</v>
      </c>
      <c r="G770" s="214">
        <v>0.08</v>
      </c>
      <c r="H770" s="422">
        <v>0.05</v>
      </c>
      <c r="I770" s="454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INFO'!$L$2:$M$8,2)</f>
        <v>SAT</v>
      </c>
      <c r="G771" s="214">
        <v>0.08</v>
      </c>
      <c r="H771" s="422">
        <v>0.05</v>
      </c>
      <c r="I771" s="454">
        <f t="shared" ref="I771:I834" si="66">H771-G771</f>
        <v>-0.03</v>
      </c>
      <c r="J771" s="152" t="s">
        <v>154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INFO'!$L$2:$M$8,2)</f>
        <v>SUN</v>
      </c>
      <c r="G772" s="214">
        <v>0.08</v>
      </c>
      <c r="H772" s="422">
        <v>0.05</v>
      </c>
      <c r="I772" s="454">
        <f t="shared" si="66"/>
        <v>-0.03</v>
      </c>
      <c r="J772" s="152" t="s">
        <v>155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INFO'!$L$2:$M$8,2)</f>
        <v>MON</v>
      </c>
      <c r="G773" s="214">
        <v>0.08</v>
      </c>
      <c r="H773" s="422">
        <v>0.05</v>
      </c>
      <c r="I773" s="454">
        <f t="shared" si="66"/>
        <v>-0.03</v>
      </c>
      <c r="J773" s="152" t="s">
        <v>156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INFO'!$L$2:$M$8,2)</f>
        <v>TUE</v>
      </c>
      <c r="G774" s="214">
        <v>0.08</v>
      </c>
      <c r="H774" s="422">
        <v>0.05</v>
      </c>
      <c r="I774" s="454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INFO'!$L$2:$M$8,2)</f>
        <v>WED</v>
      </c>
      <c r="G775" s="214">
        <v>0.08</v>
      </c>
      <c r="H775" s="422">
        <v>0.05</v>
      </c>
      <c r="I775" s="454">
        <f t="shared" si="66"/>
        <v>-0.03</v>
      </c>
      <c r="J775" s="152" t="s">
        <v>157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INFO'!$L$2:$M$8,2)</f>
        <v>THU</v>
      </c>
      <c r="G776" s="214">
        <v>0.08</v>
      </c>
      <c r="H776" s="422">
        <v>0.05</v>
      </c>
      <c r="I776" s="454">
        <f t="shared" si="66"/>
        <v>-0.03</v>
      </c>
      <c r="J776" s="152" t="s">
        <v>158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INFO'!$L$2:$M$8,2)</f>
        <v>FRI</v>
      </c>
      <c r="G777" s="214">
        <v>0.08</v>
      </c>
      <c r="H777" s="422">
        <v>0.05</v>
      </c>
      <c r="I777" s="454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INFO'!$L$2:$M$8,2)</f>
        <v>SAT</v>
      </c>
      <c r="G778" s="214">
        <v>0.08</v>
      </c>
      <c r="H778" s="422">
        <v>0.05</v>
      </c>
      <c r="I778" s="454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INFO'!$L$2:$M$8,2)</f>
        <v>SUN</v>
      </c>
      <c r="G779" s="214">
        <v>0.08</v>
      </c>
      <c r="H779" s="422">
        <v>0.05</v>
      </c>
      <c r="I779" s="454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102</v>
      </c>
      <c r="E780" s="170"/>
      <c r="F780" s="121" t="str">
        <f>VLOOKUP(MOD(C780,7),'CALENDAR INFO'!$L$2:$M$8,2)</f>
        <v>MON</v>
      </c>
      <c r="G780" s="214">
        <v>0.08</v>
      </c>
      <c r="H780" s="422">
        <v>0.05</v>
      </c>
      <c r="I780" s="454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INFO'!$L$2:$M$8,2)</f>
        <v>TUE</v>
      </c>
      <c r="G781" s="214">
        <v>0.08</v>
      </c>
      <c r="H781" s="422">
        <v>0.05</v>
      </c>
      <c r="I781" s="454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INFO'!$L$2:$M$8,2)</f>
        <v>WED</v>
      </c>
      <c r="G782" s="214">
        <v>0.08</v>
      </c>
      <c r="H782" s="422">
        <v>0.05</v>
      </c>
      <c r="I782" s="454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INFO'!$L$2:$M$8,2)</f>
        <v>THU</v>
      </c>
      <c r="G783" s="214">
        <v>0.08</v>
      </c>
      <c r="H783" s="422">
        <v>0.04</v>
      </c>
      <c r="I783" s="454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INFO'!$L$2:$M$8,2)</f>
        <v>FRI</v>
      </c>
      <c r="G784" s="214">
        <v>0.08</v>
      </c>
      <c r="H784" s="422">
        <v>0.05</v>
      </c>
      <c r="I784" s="454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INFO'!$L$2:$M$8,2)</f>
        <v>SAT</v>
      </c>
      <c r="G785" s="214">
        <v>0.08</v>
      </c>
      <c r="H785" s="422">
        <v>0.05</v>
      </c>
      <c r="I785" s="454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INFO'!$L$2:$M$8,2)</f>
        <v>SUN</v>
      </c>
      <c r="G786" s="214">
        <v>0.08</v>
      </c>
      <c r="H786" s="422">
        <v>0.05</v>
      </c>
      <c r="I786" s="454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INFO'!$L$2:$M$8,2)</f>
        <v>MON</v>
      </c>
      <c r="G787" s="214">
        <v>0.08</v>
      </c>
      <c r="H787" s="422">
        <v>0.04</v>
      </c>
      <c r="I787" s="454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INFO'!$L$2:$M$8,2)</f>
        <v>TUE</v>
      </c>
      <c r="G788" s="214">
        <v>0.08</v>
      </c>
      <c r="H788" s="422">
        <v>0.05</v>
      </c>
      <c r="I788" s="454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INFO'!$L$2:$M$8,2)</f>
        <v>WED</v>
      </c>
      <c r="G789" s="214">
        <v>0.08</v>
      </c>
      <c r="H789" s="422">
        <v>0.04</v>
      </c>
      <c r="I789" s="454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INFO'!$L$2:$M$8,2)</f>
        <v>THU</v>
      </c>
      <c r="G790" s="214">
        <v>0.08</v>
      </c>
      <c r="H790" s="422">
        <v>0.04</v>
      </c>
      <c r="I790" s="454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92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INFO'!$L$2:$M$8,2)</f>
        <v>FRI</v>
      </c>
      <c r="G791" s="214">
        <v>0.08</v>
      </c>
      <c r="H791" s="422">
        <v>0.05</v>
      </c>
      <c r="I791" s="454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INFO'!$L$2:$M$8,2)</f>
        <v>SAT</v>
      </c>
      <c r="G792" s="214">
        <v>0.08</v>
      </c>
      <c r="H792" s="422">
        <v>0.05</v>
      </c>
      <c r="I792" s="454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75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INFO'!$L$2:$M$8,2)</f>
        <v>SUN</v>
      </c>
      <c r="G793" s="214">
        <v>0.08</v>
      </c>
      <c r="H793" s="422">
        <v>0.05</v>
      </c>
      <c r="I793" s="454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INFO'!$L$2:$M$8,2)</f>
        <v>MON</v>
      </c>
      <c r="G794" s="215">
        <v>0.08</v>
      </c>
      <c r="H794" s="423">
        <v>0.05</v>
      </c>
      <c r="I794" s="455">
        <f t="shared" si="66"/>
        <v>-0.03</v>
      </c>
      <c r="J794" s="434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INFO'!$L$2:$M$8,2)</f>
        <v>TUE</v>
      </c>
      <c r="G795" s="214">
        <v>0.08</v>
      </c>
      <c r="H795" s="422">
        <v>0.05</v>
      </c>
      <c r="I795" s="454">
        <f t="shared" si="66"/>
        <v>-0.03</v>
      </c>
      <c r="J795" s="433" t="s">
        <v>117</v>
      </c>
      <c r="K795" s="15">
        <f>VLOOKUP(MONTH($C795),'CALENDAR INFO'!$O$2:$P$13,2)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INFO'!$L$2:$M$8,2)</f>
        <v>WED</v>
      </c>
      <c r="G796" s="214">
        <v>0.08</v>
      </c>
      <c r="H796" s="422">
        <v>0.05</v>
      </c>
      <c r="I796" s="454">
        <f t="shared" si="66"/>
        <v>-0.03</v>
      </c>
      <c r="J796" s="152" t="s">
        <v>150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INFO'!$L$2:$M$8,2)</f>
        <v>THU</v>
      </c>
      <c r="G797" s="214">
        <v>0.08</v>
      </c>
      <c r="H797" s="422">
        <v>0.05</v>
      </c>
      <c r="I797" s="454">
        <f t="shared" si="66"/>
        <v>-0.03</v>
      </c>
      <c r="J797" s="152" t="s">
        <v>151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INFO'!$L$2:$M$8,2)</f>
        <v>FRI</v>
      </c>
      <c r="G798" s="214">
        <v>0.08</v>
      </c>
      <c r="H798" s="422">
        <v>0.05</v>
      </c>
      <c r="I798" s="454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INFO'!$L$2:$M$8,2)</f>
        <v>SAT</v>
      </c>
      <c r="G799" s="214">
        <v>0.08</v>
      </c>
      <c r="H799" s="422">
        <v>0.05</v>
      </c>
      <c r="I799" s="454">
        <f t="shared" si="66"/>
        <v>-0.03</v>
      </c>
      <c r="J799" s="152" t="s">
        <v>152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INFO'!$L$2:$M$8,2)</f>
        <v>SUN</v>
      </c>
      <c r="G800" s="214">
        <v>0.08</v>
      </c>
      <c r="H800" s="422">
        <v>0.05</v>
      </c>
      <c r="I800" s="454">
        <f t="shared" si="66"/>
        <v>-0.03</v>
      </c>
      <c r="J800" s="152" t="s">
        <v>153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INFO'!$L$2:$M$8,2)</f>
        <v>MON</v>
      </c>
      <c r="G801" s="214">
        <v>0.08</v>
      </c>
      <c r="H801" s="422">
        <v>0.05</v>
      </c>
      <c r="I801" s="454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INFO'!$L$2:$M$8,2)</f>
        <v>TUE</v>
      </c>
      <c r="G802" s="214">
        <v>0.08</v>
      </c>
      <c r="H802" s="422">
        <v>0.05</v>
      </c>
      <c r="I802" s="454">
        <f t="shared" si="66"/>
        <v>-0.03</v>
      </c>
      <c r="J802" s="152" t="s">
        <v>154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INFO'!$L$2:$M$8,2)</f>
        <v>WED</v>
      </c>
      <c r="G803" s="214">
        <v>0.08</v>
      </c>
      <c r="H803" s="422">
        <v>0.04</v>
      </c>
      <c r="I803" s="454">
        <f t="shared" si="66"/>
        <v>-0.04</v>
      </c>
      <c r="J803" s="152" t="s">
        <v>155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INFO'!$L$2:$M$8,2)</f>
        <v>THU</v>
      </c>
      <c r="G804" s="214">
        <v>0.08</v>
      </c>
      <c r="H804" s="422">
        <v>0.05</v>
      </c>
      <c r="I804" s="454">
        <f t="shared" si="66"/>
        <v>-0.03</v>
      </c>
      <c r="J804" s="152" t="s">
        <v>156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INFO'!$L$2:$M$8,2)</f>
        <v>FRI</v>
      </c>
      <c r="G805" s="214">
        <v>0.08</v>
      </c>
      <c r="H805" s="422">
        <v>0.05</v>
      </c>
      <c r="I805" s="454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INFO'!$L$2:$M$8,2)</f>
        <v>SAT</v>
      </c>
      <c r="G806" s="214">
        <v>0.08</v>
      </c>
      <c r="H806" s="422">
        <v>0.05</v>
      </c>
      <c r="I806" s="454">
        <f t="shared" si="66"/>
        <v>-0.03</v>
      </c>
      <c r="J806" s="152" t="s">
        <v>157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INFO'!$L$2:$M$8,2)</f>
        <v>SUN</v>
      </c>
      <c r="G807" s="214">
        <v>0.08</v>
      </c>
      <c r="H807" s="422">
        <v>0.05</v>
      </c>
      <c r="I807" s="454">
        <f t="shared" si="66"/>
        <v>-0.03</v>
      </c>
      <c r="J807" s="152" t="s">
        <v>158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INFO'!$L$2:$M$8,2)</f>
        <v>MON</v>
      </c>
      <c r="G808" s="214">
        <v>0.08</v>
      </c>
      <c r="H808" s="422">
        <v>0.05</v>
      </c>
      <c r="I808" s="454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INFO'!$L$2:$M$8,2)</f>
        <v>TUE</v>
      </c>
      <c r="G809" s="214">
        <v>0.08</v>
      </c>
      <c r="H809" s="422">
        <v>0.05</v>
      </c>
      <c r="I809" s="454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INFO'!$L$2:$M$8,2)</f>
        <v>WED</v>
      </c>
      <c r="G810" s="214">
        <v>0.08</v>
      </c>
      <c r="H810" s="422">
        <v>0.05</v>
      </c>
      <c r="I810" s="454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INFO'!$L$2:$M$8,2)</f>
        <v>THU</v>
      </c>
      <c r="G811" s="214">
        <v>0.08</v>
      </c>
      <c r="H811" s="422">
        <v>0.05</v>
      </c>
      <c r="I811" s="454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INFO'!$L$2:$M$8,2)</f>
        <v>FRI</v>
      </c>
      <c r="G812" s="214">
        <v>0.08</v>
      </c>
      <c r="H812" s="422">
        <v>0.05</v>
      </c>
      <c r="I812" s="454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INFO'!$L$2:$M$8,2)</f>
        <v>SAT</v>
      </c>
      <c r="G813" s="214">
        <v>0.08</v>
      </c>
      <c r="H813" s="422">
        <v>0.05</v>
      </c>
      <c r="I813" s="454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INFO'!$L$2:$M$8,2)</f>
        <v>SUN</v>
      </c>
      <c r="G814" s="214">
        <v>0.08</v>
      </c>
      <c r="H814" s="422">
        <v>0.05</v>
      </c>
      <c r="I814" s="454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INFO'!$L$2:$M$8,2)</f>
        <v>MON</v>
      </c>
      <c r="G815" s="214">
        <v>0.08</v>
      </c>
      <c r="H815" s="422">
        <v>0.05</v>
      </c>
      <c r="I815" s="454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INFO'!$L$2:$M$8,2)</f>
        <v>TUE</v>
      </c>
      <c r="G816" s="214">
        <v>0.08</v>
      </c>
      <c r="H816" s="422">
        <v>0.05</v>
      </c>
      <c r="I816" s="454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INFO'!$L$2:$M$8,2)</f>
        <v>WED</v>
      </c>
      <c r="G817" s="214">
        <v>0.08</v>
      </c>
      <c r="H817" s="422">
        <v>0.05</v>
      </c>
      <c r="I817" s="454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INFO'!$L$2:$M$8,2)</f>
        <v>THU</v>
      </c>
      <c r="G818" s="214">
        <v>0.08</v>
      </c>
      <c r="H818" s="422">
        <v>0.05</v>
      </c>
      <c r="I818" s="454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92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INFO'!$L$2:$M$8,2)</f>
        <v>FRI</v>
      </c>
      <c r="G819" s="214">
        <v>0.08</v>
      </c>
      <c r="H819" s="422">
        <v>0.05</v>
      </c>
      <c r="I819" s="454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106</v>
      </c>
    </row>
    <row r="820" spans="1:17">
      <c r="C820" s="61">
        <f t="shared" si="64"/>
        <v>44618</v>
      </c>
      <c r="E820" s="167"/>
      <c r="F820" s="121" t="str">
        <f>VLOOKUP(MOD(C820,7),'CALENDAR INFO'!$L$2:$M$8,2)</f>
        <v>SAT</v>
      </c>
      <c r="G820" s="214">
        <v>0.08</v>
      </c>
      <c r="H820" s="422">
        <v>0.05</v>
      </c>
      <c r="I820" s="454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75</v>
      </c>
      <c r="P820" s="135">
        <v>99.95</v>
      </c>
      <c r="Q820" s="17" t="s">
        <v>106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INFO'!$L$2:$M$8,2)</f>
        <v>SUN</v>
      </c>
      <c r="G821" s="214">
        <v>0.08</v>
      </c>
      <c r="H821" s="422">
        <v>0.05</v>
      </c>
      <c r="I821" s="454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INFO'!$L$2:$M$8,2)</f>
        <v>MON</v>
      </c>
      <c r="G822" s="215">
        <v>0.08</v>
      </c>
      <c r="H822" s="423">
        <v>0.05</v>
      </c>
      <c r="I822" s="455">
        <f t="shared" si="66"/>
        <v>-0.03</v>
      </c>
      <c r="J822" s="434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INFO'!$L$2:$M$8,2)</f>
        <v>TUE</v>
      </c>
      <c r="G823" s="214">
        <v>0.08</v>
      </c>
      <c r="H823" s="422">
        <v>0.05</v>
      </c>
      <c r="I823" s="454">
        <f t="shared" si="66"/>
        <v>-0.03</v>
      </c>
      <c r="J823" s="433" t="s">
        <v>117</v>
      </c>
      <c r="K823" s="15">
        <f>VLOOKUP(MONTH($C823),'CALENDAR INFO'!$O$2:$P$13,2)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INFO'!$L$2:$M$8,2)</f>
        <v>WED</v>
      </c>
      <c r="G824" s="214">
        <v>0.08</v>
      </c>
      <c r="H824" s="422">
        <v>0.05</v>
      </c>
      <c r="I824" s="454">
        <f t="shared" si="66"/>
        <v>-0.03</v>
      </c>
      <c r="J824" s="152" t="s">
        <v>150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INFO'!$L$2:$M$8,2)</f>
        <v>THU</v>
      </c>
      <c r="G825" s="214">
        <v>0.08</v>
      </c>
      <c r="H825" s="422">
        <v>0.05</v>
      </c>
      <c r="I825" s="454">
        <f t="shared" si="66"/>
        <v>-0.03</v>
      </c>
      <c r="J825" s="152" t="s">
        <v>151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INFO'!$L$2:$M$8,2)</f>
        <v>FRI</v>
      </c>
      <c r="G826" s="214">
        <v>0.08</v>
      </c>
      <c r="H826" s="422">
        <v>0.05</v>
      </c>
      <c r="I826" s="454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INFO'!$L$2:$M$8,2)</f>
        <v>SAT</v>
      </c>
      <c r="G827" s="214">
        <v>0.08</v>
      </c>
      <c r="H827" s="422">
        <v>0.05</v>
      </c>
      <c r="I827" s="454">
        <f t="shared" si="66"/>
        <v>-0.03</v>
      </c>
      <c r="J827" s="152" t="s">
        <v>152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INFO'!$L$2:$M$8,2)</f>
        <v>SUN</v>
      </c>
      <c r="G828" s="214">
        <v>0.08</v>
      </c>
      <c r="H828" s="422">
        <v>0.05</v>
      </c>
      <c r="I828" s="454">
        <f t="shared" si="66"/>
        <v>-0.03</v>
      </c>
      <c r="J828" s="152" t="s">
        <v>153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INFO'!$L$2:$M$8,2)</f>
        <v>MON</v>
      </c>
      <c r="G829" s="214">
        <v>0.08</v>
      </c>
      <c r="H829" s="422">
        <v>0.05</v>
      </c>
      <c r="I829" s="454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INFO'!$L$2:$M$8,2)</f>
        <v>TUE</v>
      </c>
      <c r="G830" s="214">
        <v>0.08</v>
      </c>
      <c r="H830" s="422">
        <v>0.05</v>
      </c>
      <c r="I830" s="454">
        <f t="shared" si="66"/>
        <v>-0.03</v>
      </c>
      <c r="J830" s="152" t="s">
        <v>154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INFO'!$L$2:$M$8,2)</f>
        <v>WED</v>
      </c>
      <c r="G831" s="214">
        <v>0.08</v>
      </c>
      <c r="H831" s="422">
        <v>0.05</v>
      </c>
      <c r="I831" s="454">
        <f t="shared" si="66"/>
        <v>-0.03</v>
      </c>
      <c r="J831" s="152" t="s">
        <v>155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INFO'!$L$2:$M$8,2)</f>
        <v>THU</v>
      </c>
      <c r="G832" s="214">
        <v>0.08</v>
      </c>
      <c r="H832" s="422">
        <v>0.05</v>
      </c>
      <c r="I832" s="454">
        <f t="shared" si="66"/>
        <v>-0.03</v>
      </c>
      <c r="J832" s="152" t="s">
        <v>156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INFO'!$L$2:$M$8,2)</f>
        <v>FRI</v>
      </c>
      <c r="G833" s="214">
        <v>0.08</v>
      </c>
      <c r="H833" s="422">
        <v>0.05</v>
      </c>
      <c r="I833" s="454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INFO'!$L$2:$M$8,2)</f>
        <v>SAT</v>
      </c>
      <c r="G834" s="214">
        <v>0.08</v>
      </c>
      <c r="H834" s="422">
        <v>0.05</v>
      </c>
      <c r="I834" s="454">
        <f t="shared" si="66"/>
        <v>-0.03</v>
      </c>
      <c r="J834" s="152" t="s">
        <v>157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92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INFO'!$L$2:$M$8,2)</f>
        <v>SUN</v>
      </c>
      <c r="G835" s="214">
        <v>0.08</v>
      </c>
      <c r="H835" s="422">
        <v>0.05</v>
      </c>
      <c r="I835" s="454">
        <f t="shared" ref="I835:I898" si="71">H835-G835</f>
        <v>-0.03</v>
      </c>
      <c r="J835" s="152" t="s">
        <v>158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76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INFO'!$L$2:$M$8,2)</f>
        <v>MON</v>
      </c>
      <c r="G836" s="214">
        <v>0.08</v>
      </c>
      <c r="H836" s="422">
        <v>0.05</v>
      </c>
      <c r="I836" s="454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INFO'!$L$2:$M$8,2)</f>
        <v>TUE</v>
      </c>
      <c r="G837" s="214">
        <v>0.08</v>
      </c>
      <c r="H837" s="422">
        <v>0.05</v>
      </c>
      <c r="I837" s="454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INFO'!$L$2:$M$8,2)</f>
        <v>WED</v>
      </c>
      <c r="G838" s="214">
        <v>0.08</v>
      </c>
      <c r="H838" s="422">
        <v>0.05</v>
      </c>
      <c r="I838" s="454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INFO'!$L$2:$M$8,2)</f>
        <v>THU</v>
      </c>
      <c r="G839" s="220">
        <v>0.33</v>
      </c>
      <c r="H839" s="429">
        <v>0.3</v>
      </c>
      <c r="I839" s="454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INFO'!$L$2:$M$8,2)</f>
        <v>FRI</v>
      </c>
      <c r="G840" s="214">
        <v>0.33</v>
      </c>
      <c r="H840" s="422">
        <v>0.3</v>
      </c>
      <c r="I840" s="454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INFO'!$L$2:$M$8,2)</f>
        <v>SAT</v>
      </c>
      <c r="G841" s="214">
        <v>0.33</v>
      </c>
      <c r="H841" s="422">
        <v>0.3</v>
      </c>
      <c r="I841" s="454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INFO'!$L$2:$M$8,2)</f>
        <v>SUN</v>
      </c>
      <c r="G842" s="214">
        <v>0.33</v>
      </c>
      <c r="H842" s="422">
        <v>0.3</v>
      </c>
      <c r="I842" s="454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INFO'!$L$2:$M$8,2)</f>
        <v>MON</v>
      </c>
      <c r="G843" s="214">
        <v>0.33</v>
      </c>
      <c r="H843" s="422">
        <v>0.28999999999999998</v>
      </c>
      <c r="I843" s="454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INFO'!$L$2:$M$8,2)</f>
        <v>TUE</v>
      </c>
      <c r="G844" s="214">
        <v>0.33</v>
      </c>
      <c r="H844" s="422">
        <v>0.28000000000000003</v>
      </c>
      <c r="I844" s="454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INFO'!$L$2:$M$8,2)</f>
        <v>WED</v>
      </c>
      <c r="G845" s="214">
        <v>0.33</v>
      </c>
      <c r="H845" s="422">
        <v>0.27</v>
      </c>
      <c r="I845" s="454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INFO'!$L$2:$M$8,2)</f>
        <v>THU</v>
      </c>
      <c r="G846" s="214">
        <v>0.33</v>
      </c>
      <c r="H846" s="422">
        <v>0.27</v>
      </c>
      <c r="I846" s="454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INFO'!$L$2:$M$8,2)</f>
        <v>FRI</v>
      </c>
      <c r="G847" s="214">
        <v>0.33</v>
      </c>
      <c r="H847" s="422">
        <v>0.28000000000000003</v>
      </c>
      <c r="I847" s="454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INFO'!$L$2:$M$8,2)</f>
        <v>SAT</v>
      </c>
      <c r="G848" s="214">
        <v>0.33</v>
      </c>
      <c r="H848" s="422">
        <v>0.28000000000000003</v>
      </c>
      <c r="I848" s="454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INFO'!$L$2:$M$8,2)</f>
        <v>SUN</v>
      </c>
      <c r="G849" s="214">
        <v>0.33</v>
      </c>
      <c r="H849" s="422">
        <v>0.28000000000000003</v>
      </c>
      <c r="I849" s="454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92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INFO'!$L$2:$M$8,2)</f>
        <v>MON</v>
      </c>
      <c r="G850" s="214">
        <v>0.33</v>
      </c>
      <c r="H850" s="422">
        <v>0.28000000000000003</v>
      </c>
      <c r="I850" s="454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INFO'!$L$2:$M$8,2)</f>
        <v>TUE</v>
      </c>
      <c r="G851" s="214">
        <v>0.33</v>
      </c>
      <c r="H851" s="422">
        <v>0.28000000000000003</v>
      </c>
      <c r="I851" s="454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75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INFO'!$L$2:$M$8,2)</f>
        <v>WED</v>
      </c>
      <c r="G852" s="214">
        <v>0.33</v>
      </c>
      <c r="H852" s="422">
        <v>0.27</v>
      </c>
      <c r="I852" s="454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INFO'!$L$2:$M$8,2)</f>
        <v>THU</v>
      </c>
      <c r="G853" s="215">
        <v>0.33</v>
      </c>
      <c r="H853" s="423">
        <v>0.28999999999999998</v>
      </c>
      <c r="I853" s="455">
        <f t="shared" si="71"/>
        <v>-4.0000000000000036E-2</v>
      </c>
      <c r="J853" s="434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INFO'!$L$2:$M$8,2)</f>
        <v>FRI</v>
      </c>
      <c r="G854" s="214">
        <v>0.33</v>
      </c>
      <c r="H854" s="422">
        <v>0.3</v>
      </c>
      <c r="I854" s="454">
        <f t="shared" si="71"/>
        <v>-3.0000000000000027E-2</v>
      </c>
      <c r="J854" s="433" t="s">
        <v>117</v>
      </c>
      <c r="K854" s="15">
        <f>VLOOKUP(MONTH($C854),'CALENDAR INFO'!$O$2:$P$13,2)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INFO'!$L$2:$M$8,2)</f>
        <v>SAT</v>
      </c>
      <c r="G855" s="214">
        <v>0.33</v>
      </c>
      <c r="H855" s="422">
        <v>0.3</v>
      </c>
      <c r="I855" s="454">
        <f t="shared" si="71"/>
        <v>-3.0000000000000027E-2</v>
      </c>
      <c r="J855" s="152" t="s">
        <v>150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INFO'!$L$2:$M$8,2)</f>
        <v>SUN</v>
      </c>
      <c r="G856" s="214">
        <v>0.33</v>
      </c>
      <c r="H856" s="422">
        <v>0.3</v>
      </c>
      <c r="I856" s="454">
        <f t="shared" si="71"/>
        <v>-3.0000000000000027E-2</v>
      </c>
      <c r="J856" s="152" t="s">
        <v>151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INFO'!$L$2:$M$8,2)</f>
        <v>MON</v>
      </c>
      <c r="G857" s="214">
        <v>0.33</v>
      </c>
      <c r="H857" s="422">
        <v>0.3</v>
      </c>
      <c r="I857" s="454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INFO'!$L$2:$M$8,2)</f>
        <v>TUE</v>
      </c>
      <c r="G858" s="214">
        <v>0.33</v>
      </c>
      <c r="H858" s="422">
        <v>0.3</v>
      </c>
      <c r="I858" s="454">
        <f t="shared" si="71"/>
        <v>-3.0000000000000027E-2</v>
      </c>
      <c r="J858" s="152" t="s">
        <v>152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INFO'!$L$2:$M$8,2)</f>
        <v>WED</v>
      </c>
      <c r="G859" s="214">
        <v>0.33</v>
      </c>
      <c r="H859" s="422">
        <v>0.3</v>
      </c>
      <c r="I859" s="454">
        <f t="shared" si="71"/>
        <v>-3.0000000000000027E-2</v>
      </c>
      <c r="J859" s="152" t="s">
        <v>153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INFO'!$L$2:$M$8,2)</f>
        <v>THU</v>
      </c>
      <c r="G860" s="214">
        <v>0.33</v>
      </c>
      <c r="H860" s="422">
        <v>0.3</v>
      </c>
      <c r="I860" s="454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INFO'!$L$2:$M$8,2)</f>
        <v>FRI</v>
      </c>
      <c r="G861" s="214">
        <v>0.33</v>
      </c>
      <c r="H861" s="422">
        <v>0.3</v>
      </c>
      <c r="I861" s="454">
        <f t="shared" si="71"/>
        <v>-3.0000000000000027E-2</v>
      </c>
      <c r="J861" s="152" t="s">
        <v>154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INFO'!$L$2:$M$8,2)</f>
        <v>SAT</v>
      </c>
      <c r="G862" s="214">
        <v>0.33</v>
      </c>
      <c r="H862" s="422">
        <v>0.3</v>
      </c>
      <c r="I862" s="454">
        <f t="shared" si="71"/>
        <v>-3.0000000000000027E-2</v>
      </c>
      <c r="J862" s="152" t="s">
        <v>155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INFO'!$L$2:$M$8,2)</f>
        <v>SUN</v>
      </c>
      <c r="G863" s="214">
        <v>0.33</v>
      </c>
      <c r="H863" s="422">
        <v>0.3</v>
      </c>
      <c r="I863" s="454">
        <f t="shared" si="71"/>
        <v>-3.0000000000000027E-2</v>
      </c>
      <c r="J863" s="152" t="s">
        <v>156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INFO'!$L$2:$M$8,2)</f>
        <v>MON</v>
      </c>
      <c r="G864" s="214">
        <v>0.33</v>
      </c>
      <c r="H864" s="422">
        <v>0.3</v>
      </c>
      <c r="I864" s="454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INFO'!$L$2:$M$8,2)</f>
        <v>TUE</v>
      </c>
      <c r="G865" s="214">
        <v>0.33</v>
      </c>
      <c r="H865" s="422">
        <v>0.28999999999999998</v>
      </c>
      <c r="I865" s="454">
        <f t="shared" si="71"/>
        <v>-4.0000000000000036E-2</v>
      </c>
      <c r="J865" s="152" t="s">
        <v>157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INFO'!$L$2:$M$8,2)</f>
        <v>WED</v>
      </c>
      <c r="G866" s="214">
        <v>0.33</v>
      </c>
      <c r="H866" s="422">
        <v>0.28999999999999998</v>
      </c>
      <c r="I866" s="454">
        <f t="shared" si="71"/>
        <v>-4.0000000000000036E-2</v>
      </c>
      <c r="J866" s="152" t="s">
        <v>158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INFO'!$L$2:$M$8,2)</f>
        <v>THU</v>
      </c>
      <c r="G867" s="214">
        <v>0.33</v>
      </c>
      <c r="H867" s="422">
        <v>0.28999999999999998</v>
      </c>
      <c r="I867" s="454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INFO'!$L$2:$M$8,2)</f>
        <v>FRI</v>
      </c>
      <c r="G868" s="214">
        <v>0.33</v>
      </c>
      <c r="H868" s="422">
        <v>0.28999999999999998</v>
      </c>
      <c r="I868" s="454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INFO'!$L$2:$M$8,2)</f>
        <v>SAT</v>
      </c>
      <c r="G869" s="214">
        <v>0.33</v>
      </c>
      <c r="H869" s="422">
        <v>0.28999999999999998</v>
      </c>
      <c r="I869" s="454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INFO'!$L$2:$M$8,2)</f>
        <v>SUN</v>
      </c>
      <c r="G870" s="214">
        <v>0.33</v>
      </c>
      <c r="H870" s="422">
        <v>0.28999999999999998</v>
      </c>
      <c r="I870" s="454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INFO'!$L$2:$M$8,2)</f>
        <v>MON</v>
      </c>
      <c r="G871" s="214">
        <v>0.33</v>
      </c>
      <c r="H871" s="422">
        <v>0.28999999999999998</v>
      </c>
      <c r="I871" s="454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INFO'!$L$2:$M$8,2)</f>
        <v>TUE</v>
      </c>
      <c r="G872" s="214">
        <v>0.33</v>
      </c>
      <c r="H872" s="422">
        <v>0.28000000000000003</v>
      </c>
      <c r="I872" s="454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INFO'!$L$2:$M$8,2)</f>
        <v>WED</v>
      </c>
      <c r="G873" s="214">
        <v>0.33</v>
      </c>
      <c r="H873" s="422">
        <v>0.27</v>
      </c>
      <c r="I873" s="454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INFO'!$L$2:$M$8,2)</f>
        <v>THU</v>
      </c>
      <c r="G874" s="214">
        <v>0.33</v>
      </c>
      <c r="H874" s="422">
        <v>0.26</v>
      </c>
      <c r="I874" s="454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INFO'!$L$2:$M$8,2)</f>
        <v>FRI</v>
      </c>
      <c r="G875" s="214">
        <v>0.33</v>
      </c>
      <c r="H875" s="422">
        <v>0.27</v>
      </c>
      <c r="I875" s="454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INFO'!$L$2:$M$8,2)</f>
        <v>SAT</v>
      </c>
      <c r="G876" s="214">
        <v>0.33</v>
      </c>
      <c r="H876" s="422">
        <v>0.27</v>
      </c>
      <c r="I876" s="454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INFO'!$L$2:$M$8,2)</f>
        <v>SUN</v>
      </c>
      <c r="G877" s="214">
        <v>0.33</v>
      </c>
      <c r="H877" s="422">
        <v>0.27</v>
      </c>
      <c r="I877" s="454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INFO'!$L$2:$M$8,2)</f>
        <v>MON</v>
      </c>
      <c r="G878" s="214">
        <v>0.33</v>
      </c>
      <c r="H878" s="422">
        <v>0.27</v>
      </c>
      <c r="I878" s="454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INFO'!$L$2:$M$8,2)</f>
        <v>TUE</v>
      </c>
      <c r="G879" s="214">
        <v>0.33</v>
      </c>
      <c r="H879" s="422">
        <v>0.27</v>
      </c>
      <c r="I879" s="454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92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INFO'!$L$2:$M$8,2)</f>
        <v>WED</v>
      </c>
      <c r="G880" s="214">
        <v>0.33</v>
      </c>
      <c r="H880" s="422">
        <v>0.28000000000000003</v>
      </c>
      <c r="I880" s="454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INFO'!$L$2:$M$8,2)</f>
        <v>THU</v>
      </c>
      <c r="G881" s="214">
        <v>0.33</v>
      </c>
      <c r="H881" s="422">
        <v>0.28000000000000003</v>
      </c>
      <c r="I881" s="454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75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INFO'!$L$2:$M$8,2)</f>
        <v>FRI</v>
      </c>
      <c r="G882" s="214">
        <v>0.33</v>
      </c>
      <c r="H882" s="422">
        <v>0.28000000000000003</v>
      </c>
      <c r="I882" s="454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INFO'!$L$2:$M$8,2)</f>
        <v>SAT</v>
      </c>
      <c r="G883" s="215">
        <v>0.33</v>
      </c>
      <c r="H883" s="423">
        <v>0.28000000000000003</v>
      </c>
      <c r="I883" s="455">
        <f t="shared" si="71"/>
        <v>-4.9999999999999989E-2</v>
      </c>
      <c r="J883" s="434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INFO'!$L$2:$M$8,2)</f>
        <v>SUN</v>
      </c>
      <c r="G884" s="214">
        <v>0.33</v>
      </c>
      <c r="H884" s="422">
        <v>0.28000000000000003</v>
      </c>
      <c r="I884" s="454">
        <f t="shared" si="71"/>
        <v>-4.9999999999999989E-2</v>
      </c>
      <c r="J884" s="433" t="s">
        <v>117</v>
      </c>
      <c r="K884" s="15">
        <f>VLOOKUP(MONTH($C884),'CALENDAR INFO'!$O$2:$P$13,2)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INFO'!$L$2:$M$8,2)</f>
        <v>MON</v>
      </c>
      <c r="G885" s="214">
        <v>0.33</v>
      </c>
      <c r="H885" s="422">
        <v>0.3</v>
      </c>
      <c r="I885" s="454">
        <f t="shared" si="71"/>
        <v>-3.0000000000000027E-2</v>
      </c>
      <c r="J885" s="152" t="s">
        <v>150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INFO'!$L$2:$M$8,2)</f>
        <v>TUE</v>
      </c>
      <c r="G886" s="214">
        <v>0.33</v>
      </c>
      <c r="H886" s="422">
        <v>0.3</v>
      </c>
      <c r="I886" s="454">
        <f t="shared" si="71"/>
        <v>-3.0000000000000027E-2</v>
      </c>
      <c r="J886" s="152" t="s">
        <v>151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INFO'!$L$2:$M$8,2)</f>
        <v>WED</v>
      </c>
      <c r="G887" s="214">
        <v>0.33</v>
      </c>
      <c r="H887" s="422">
        <v>0.3</v>
      </c>
      <c r="I887" s="454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INFO'!$L$2:$M$8,2)</f>
        <v>THU</v>
      </c>
      <c r="G888" s="220">
        <v>0.83</v>
      </c>
      <c r="H888" s="429">
        <v>0.79</v>
      </c>
      <c r="I888" s="454">
        <f t="shared" si="71"/>
        <v>-3.9999999999999925E-2</v>
      </c>
      <c r="J888" s="152" t="s">
        <v>152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INFO'!$L$2:$M$8,2)</f>
        <v>FRI</v>
      </c>
      <c r="G889" s="214">
        <v>0.83</v>
      </c>
      <c r="H889" s="422">
        <v>0.78</v>
      </c>
      <c r="I889" s="454">
        <f t="shared" si="71"/>
        <v>-4.9999999999999933E-2</v>
      </c>
      <c r="J889" s="152" t="s">
        <v>153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INFO'!$L$2:$M$8,2)</f>
        <v>SAT</v>
      </c>
      <c r="G890" s="214">
        <v>0.83</v>
      </c>
      <c r="H890" s="422">
        <v>0.78</v>
      </c>
      <c r="I890" s="454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INFO'!$L$2:$M$8,2)</f>
        <v>SUN</v>
      </c>
      <c r="G891" s="214">
        <v>0.83</v>
      </c>
      <c r="H891" s="422">
        <v>0.78</v>
      </c>
      <c r="I891" s="454">
        <f t="shared" si="71"/>
        <v>-4.9999999999999933E-2</v>
      </c>
      <c r="J891" s="152" t="s">
        <v>154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INFO'!$L$2:$M$8,2)</f>
        <v>MON</v>
      </c>
      <c r="G892" s="214">
        <v>0.83</v>
      </c>
      <c r="H892" s="422">
        <v>0.78</v>
      </c>
      <c r="I892" s="454">
        <f t="shared" si="71"/>
        <v>-4.9999999999999933E-2</v>
      </c>
      <c r="J892" s="152" t="s">
        <v>155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INFO'!$L$2:$M$8,2)</f>
        <v>TUE</v>
      </c>
      <c r="G893" s="214">
        <v>0.83</v>
      </c>
      <c r="H893" s="422">
        <v>0.78</v>
      </c>
      <c r="I893" s="454">
        <f t="shared" si="71"/>
        <v>-4.9999999999999933E-2</v>
      </c>
      <c r="J893" s="152" t="s">
        <v>156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INFO'!$L$2:$M$8,2)</f>
        <v>WED</v>
      </c>
      <c r="G894" s="214">
        <v>0.83</v>
      </c>
      <c r="H894" s="422">
        <v>0.78</v>
      </c>
      <c r="I894" s="454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INFO'!$L$2:$M$8,2)</f>
        <v>THU</v>
      </c>
      <c r="G895" s="214">
        <v>0.83</v>
      </c>
      <c r="H895" s="422">
        <v>0.79</v>
      </c>
      <c r="I895" s="454">
        <f t="shared" si="71"/>
        <v>-3.9999999999999925E-2</v>
      </c>
      <c r="J895" s="152" t="s">
        <v>157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INFO'!$L$2:$M$8,2)</f>
        <v>FRI</v>
      </c>
      <c r="G896" s="214">
        <v>0.83</v>
      </c>
      <c r="H896" s="422">
        <v>0.79</v>
      </c>
      <c r="I896" s="454">
        <f t="shared" si="71"/>
        <v>-3.9999999999999925E-2</v>
      </c>
      <c r="J896" s="152" t="s">
        <v>158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INFO'!$L$2:$M$8,2)</f>
        <v>SAT</v>
      </c>
      <c r="G897" s="214">
        <v>0.83</v>
      </c>
      <c r="H897" s="422">
        <v>0.79</v>
      </c>
      <c r="I897" s="454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INFO'!$L$2:$M$8,2)</f>
        <v>SUN</v>
      </c>
      <c r="G898" s="214">
        <v>0.83</v>
      </c>
      <c r="H898" s="422">
        <v>0.79</v>
      </c>
      <c r="I898" s="454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INFO'!$L$2:$M$8,2)</f>
        <v>MON</v>
      </c>
      <c r="G899" s="214">
        <v>0.83</v>
      </c>
      <c r="H899" s="422">
        <v>0.8</v>
      </c>
      <c r="I899" s="454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INFO'!$L$2:$M$8,2)</f>
        <v>TUE</v>
      </c>
      <c r="G900" s="214">
        <v>0.83</v>
      </c>
      <c r="H900" s="422">
        <v>0.8</v>
      </c>
      <c r="I900" s="454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INFO'!$L$2:$M$8,2)</f>
        <v>WED</v>
      </c>
      <c r="G901" s="214">
        <v>0.83</v>
      </c>
      <c r="H901" s="422">
        <v>0.79</v>
      </c>
      <c r="I901" s="454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INFO'!$L$2:$M$8,2)</f>
        <v>THU</v>
      </c>
      <c r="G902" s="214">
        <v>0.83</v>
      </c>
      <c r="H902" s="422">
        <v>0.79</v>
      </c>
      <c r="I902" s="454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INFO'!$L$2:$M$8,2)</f>
        <v>FRI</v>
      </c>
      <c r="G903" s="214">
        <v>0.83</v>
      </c>
      <c r="H903" s="422">
        <v>0.78</v>
      </c>
      <c r="I903" s="454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INFO'!$L$2:$M$8,2)</f>
        <v>SAT</v>
      </c>
      <c r="G904" s="214">
        <v>0.83</v>
      </c>
      <c r="H904" s="422">
        <v>0.78</v>
      </c>
      <c r="I904" s="454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INFO'!$L$2:$M$8,2)</f>
        <v>SUN</v>
      </c>
      <c r="G905" s="214">
        <v>0.83</v>
      </c>
      <c r="H905" s="422">
        <v>0.78</v>
      </c>
      <c r="I905" s="454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INFO'!$L$2:$M$8,2)</f>
        <v>MON</v>
      </c>
      <c r="G906" s="214">
        <v>0.83</v>
      </c>
      <c r="H906" s="422">
        <v>0.78</v>
      </c>
      <c r="I906" s="454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INFO'!$L$2:$M$8,2)</f>
        <v>TUE</v>
      </c>
      <c r="G907" s="214">
        <v>0.83</v>
      </c>
      <c r="H907" s="422">
        <v>0.78</v>
      </c>
      <c r="I907" s="454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INFO'!$L$2:$M$8,2)</f>
        <v>WED</v>
      </c>
      <c r="G908" s="214">
        <v>0.83</v>
      </c>
      <c r="H908" s="422">
        <v>0.78</v>
      </c>
      <c r="I908" s="454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INFO'!$L$2:$M$8,2)</f>
        <v>THU</v>
      </c>
      <c r="G909" s="214">
        <v>0.83</v>
      </c>
      <c r="H909" s="422">
        <v>0.78</v>
      </c>
      <c r="I909" s="454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INFO'!$L$2:$M$8,2)</f>
        <v>FRI</v>
      </c>
      <c r="G910" s="214">
        <v>0.83</v>
      </c>
      <c r="H910" s="422">
        <v>0.78</v>
      </c>
      <c r="I910" s="454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92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INFO'!$L$2:$M$8,2)</f>
        <v>SAT</v>
      </c>
      <c r="G911" s="214">
        <v>0.83</v>
      </c>
      <c r="H911" s="422">
        <v>0.78</v>
      </c>
      <c r="I911" s="454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INFO'!$L$2:$M$8,2)</f>
        <v>SUN</v>
      </c>
      <c r="G912" s="214">
        <v>0.83</v>
      </c>
      <c r="H912" s="422">
        <v>0.78</v>
      </c>
      <c r="I912" s="454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75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INFO'!$L$2:$M$8,2)</f>
        <v>MON</v>
      </c>
      <c r="G913" s="214">
        <v>0.83</v>
      </c>
      <c r="H913" s="422">
        <v>0.78</v>
      </c>
      <c r="I913" s="454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INFO'!$L$2:$M$8,2)</f>
        <v>TUE</v>
      </c>
      <c r="G914" s="215">
        <v>0.83</v>
      </c>
      <c r="H914" s="423">
        <v>0.79</v>
      </c>
      <c r="I914" s="455">
        <f t="shared" si="76"/>
        <v>-3.9999999999999925E-2</v>
      </c>
      <c r="J914" s="434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INFO'!$L$2:$M$8,2)</f>
        <v>WED</v>
      </c>
      <c r="G915" s="214">
        <v>0.83</v>
      </c>
      <c r="H915" s="422">
        <v>0.8</v>
      </c>
      <c r="I915" s="454">
        <f t="shared" si="76"/>
        <v>-2.9999999999999916E-2</v>
      </c>
      <c r="J915" s="433" t="s">
        <v>117</v>
      </c>
      <c r="K915" s="15">
        <f>VLOOKUP(MONTH($C915),'CALENDAR INFO'!$O$2:$P$13,2)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INFO'!$L$2:$M$8,2)</f>
        <v>THU</v>
      </c>
      <c r="G916" s="214">
        <v>0.83</v>
      </c>
      <c r="H916" s="422">
        <v>0.79</v>
      </c>
      <c r="I916" s="454">
        <f t="shared" si="76"/>
        <v>-3.9999999999999925E-2</v>
      </c>
      <c r="J916" s="152" t="s">
        <v>150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INFO'!$L$2:$M$8,2)</f>
        <v>FRI</v>
      </c>
      <c r="G917" s="214">
        <v>0.83</v>
      </c>
      <c r="H917" s="422">
        <v>0.78</v>
      </c>
      <c r="I917" s="454">
        <f t="shared" si="76"/>
        <v>-4.9999999999999933E-2</v>
      </c>
      <c r="J917" s="152" t="s">
        <v>151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INFO'!$L$2:$M$8,2)</f>
        <v>SAT</v>
      </c>
      <c r="G918" s="214">
        <v>0.83</v>
      </c>
      <c r="H918" s="422">
        <v>0.78</v>
      </c>
      <c r="I918" s="454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INFO'!$L$2:$M$8,2)</f>
        <v>SUN</v>
      </c>
      <c r="G919" s="214">
        <v>0.83</v>
      </c>
      <c r="H919" s="422">
        <v>0.78</v>
      </c>
      <c r="I919" s="454">
        <f t="shared" si="76"/>
        <v>-4.9999999999999933E-2</v>
      </c>
      <c r="J919" s="152" t="s">
        <v>152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INFO'!$L$2:$M$8,2)</f>
        <v>MON</v>
      </c>
      <c r="G920" s="214">
        <v>0.83</v>
      </c>
      <c r="H920" s="422">
        <v>0.78</v>
      </c>
      <c r="I920" s="454">
        <f t="shared" si="76"/>
        <v>-4.9999999999999933E-2</v>
      </c>
      <c r="J920" s="152" t="s">
        <v>153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INFO'!$L$2:$M$8,2)</f>
        <v>TUE</v>
      </c>
      <c r="G921" s="214">
        <v>0.83</v>
      </c>
      <c r="H921" s="422">
        <v>0.77</v>
      </c>
      <c r="I921" s="454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INFO'!$L$2:$M$8,2)</f>
        <v>WED</v>
      </c>
      <c r="G922" s="214">
        <v>0.83</v>
      </c>
      <c r="H922" s="422">
        <v>0.76</v>
      </c>
      <c r="I922" s="454">
        <f t="shared" si="76"/>
        <v>-6.9999999999999951E-2</v>
      </c>
      <c r="J922" s="152" t="s">
        <v>154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INFO'!$L$2:$M$8,2)</f>
        <v>THU</v>
      </c>
      <c r="G923" s="214">
        <v>0.83</v>
      </c>
      <c r="H923" s="422">
        <v>0.75</v>
      </c>
      <c r="I923" s="454">
        <f t="shared" si="76"/>
        <v>-7.999999999999996E-2</v>
      </c>
      <c r="J923" s="152" t="s">
        <v>155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INFO'!$L$2:$M$8,2)</f>
        <v>FRI</v>
      </c>
      <c r="G924" s="214">
        <v>0.83</v>
      </c>
      <c r="H924" s="422">
        <v>0.75</v>
      </c>
      <c r="I924" s="454">
        <f t="shared" si="76"/>
        <v>-7.999999999999996E-2</v>
      </c>
      <c r="J924" s="152" t="s">
        <v>156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INFO'!$L$2:$M$8,2)</f>
        <v>SAT</v>
      </c>
      <c r="G925" s="214">
        <v>0.83</v>
      </c>
      <c r="H925" s="422">
        <v>0.75</v>
      </c>
      <c r="I925" s="454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92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INFO'!$L$2:$M$8,2)</f>
        <v>SUN</v>
      </c>
      <c r="G926" s="214">
        <v>0.83</v>
      </c>
      <c r="H926" s="422">
        <v>0.75</v>
      </c>
      <c r="I926" s="454">
        <f t="shared" si="76"/>
        <v>-7.999999999999996E-2</v>
      </c>
      <c r="J926" s="152" t="s">
        <v>157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76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INFO'!$L$2:$M$8,2)</f>
        <v>MON</v>
      </c>
      <c r="G927" s="214">
        <v>0.83</v>
      </c>
      <c r="H927" s="422">
        <v>0.73</v>
      </c>
      <c r="I927" s="454">
        <f t="shared" si="76"/>
        <v>-9.9999999999999978E-2</v>
      </c>
      <c r="J927" s="152" t="s">
        <v>158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INFO'!$L$2:$M$8,2)</f>
        <v>TUE</v>
      </c>
      <c r="G928" s="214">
        <v>0.83</v>
      </c>
      <c r="H928" s="422">
        <v>0.69</v>
      </c>
      <c r="I928" s="454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INFO'!$L$2:$M$8,2)</f>
        <v>WED</v>
      </c>
      <c r="G929" s="214">
        <v>0.83</v>
      </c>
      <c r="H929" s="422">
        <v>0.7</v>
      </c>
      <c r="I929" s="454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INFO'!$L$2:$M$8,2)</f>
        <v>THU</v>
      </c>
      <c r="G930" s="220">
        <v>1.58</v>
      </c>
      <c r="H930" s="429">
        <v>1.45</v>
      </c>
      <c r="I930" s="454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INFO'!$L$2:$M$8,2)</f>
        <v>FRI</v>
      </c>
      <c r="G931" s="214">
        <v>1.58</v>
      </c>
      <c r="H931" s="422">
        <v>1.45</v>
      </c>
      <c r="I931" s="454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INFO'!$L$2:$M$8,2)</f>
        <v>SAT</v>
      </c>
      <c r="G932" s="214">
        <v>1.58</v>
      </c>
      <c r="H932" s="422">
        <v>1.45</v>
      </c>
      <c r="I932" s="454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INFO'!$L$2:$M$8,2)</f>
        <v>SUN</v>
      </c>
      <c r="G933" s="214">
        <v>1.58</v>
      </c>
      <c r="H933" s="422">
        <v>1.45</v>
      </c>
      <c r="I933" s="454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126</v>
      </c>
      <c r="E934" s="167"/>
      <c r="F934" s="121" t="str">
        <f>VLOOKUP(MOD(C934,7),'CALENDAR INFO'!$L$2:$M$8,2)</f>
        <v>MON</v>
      </c>
      <c r="G934" s="214">
        <v>1.58</v>
      </c>
      <c r="H934" s="422">
        <v>1.45</v>
      </c>
      <c r="I934" s="454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INFO'!$L$2:$M$8,2)</f>
        <v>TUE</v>
      </c>
      <c r="G935" s="214">
        <v>1.58</v>
      </c>
      <c r="H935" s="422">
        <v>1.45</v>
      </c>
      <c r="I935" s="454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INFO'!$L$2:$M$8,2)</f>
        <v>WED</v>
      </c>
      <c r="G936" s="214">
        <v>1.58</v>
      </c>
      <c r="H936" s="422">
        <v>1.45</v>
      </c>
      <c r="I936" s="454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INFO'!$L$2:$M$8,2)</f>
        <v>THU</v>
      </c>
      <c r="G937" s="214">
        <v>1.58</v>
      </c>
      <c r="H937" s="422">
        <v>1.44</v>
      </c>
      <c r="I937" s="454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INFO'!$L$2:$M$8,2)</f>
        <v>FRI</v>
      </c>
      <c r="G938" s="214">
        <v>1.58</v>
      </c>
      <c r="H938" s="422">
        <v>1.46</v>
      </c>
      <c r="I938" s="454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INFO'!$L$2:$M$8,2)</f>
        <v>SAT</v>
      </c>
      <c r="G939" s="214">
        <v>1.58</v>
      </c>
      <c r="H939" s="422">
        <v>1.46</v>
      </c>
      <c r="I939" s="454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INFO'!$L$2:$M$8,2)</f>
        <v>SUN</v>
      </c>
      <c r="G940" s="214">
        <v>1.58</v>
      </c>
      <c r="H940" s="422">
        <v>1.46</v>
      </c>
      <c r="I940" s="454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92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INFO'!$L$2:$M$8,2)</f>
        <v>MON</v>
      </c>
      <c r="G941" s="214">
        <v>1.58</v>
      </c>
      <c r="H941" s="422">
        <v>1.5</v>
      </c>
      <c r="I941" s="454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INFO'!$L$2:$M$8,2)</f>
        <v>TUE</v>
      </c>
      <c r="G942" s="214">
        <v>1.58</v>
      </c>
      <c r="H942" s="422">
        <v>1.52</v>
      </c>
      <c r="I942" s="454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75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INFO'!$L$2:$M$8,2)</f>
        <v>WED</v>
      </c>
      <c r="G943" s="214">
        <v>1.58</v>
      </c>
      <c r="H943" s="422">
        <v>1.51</v>
      </c>
      <c r="I943" s="454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INFO'!$L$2:$M$8,2)</f>
        <v>THU</v>
      </c>
      <c r="G944" s="215">
        <v>1.58</v>
      </c>
      <c r="H944" s="423">
        <v>1.5</v>
      </c>
      <c r="I944" s="455">
        <f t="shared" si="76"/>
        <v>-8.0000000000000071E-2</v>
      </c>
      <c r="J944" s="434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INFO'!$L$2:$M$8,2)</f>
        <v>FRI</v>
      </c>
      <c r="G945" s="214">
        <v>1.58</v>
      </c>
      <c r="H945" s="422">
        <v>1.52</v>
      </c>
      <c r="I945" s="454">
        <f t="shared" si="76"/>
        <v>-6.0000000000000053E-2</v>
      </c>
      <c r="J945" s="433" t="s">
        <v>117</v>
      </c>
      <c r="K945" s="15">
        <f>VLOOKUP(MONTH($C945),'CALENDAR INFO'!$O$2:$P$13,2)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INFO'!$L$2:$M$8,2)</f>
        <v>SAT</v>
      </c>
      <c r="G946" s="214">
        <v>1.58</v>
      </c>
      <c r="H946" s="422">
        <v>1.52</v>
      </c>
      <c r="I946" s="454">
        <f t="shared" si="76"/>
        <v>-6.0000000000000053E-2</v>
      </c>
      <c r="J946" s="152" t="s">
        <v>150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INFO'!$L$2:$M$8,2)</f>
        <v>SUN</v>
      </c>
      <c r="G947" s="214">
        <v>1.58</v>
      </c>
      <c r="H947" s="422">
        <v>1.52</v>
      </c>
      <c r="I947" s="454">
        <f t="shared" si="76"/>
        <v>-6.0000000000000053E-2</v>
      </c>
      <c r="J947" s="152" t="s">
        <v>151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INFO'!$L$2:$M$8,2)</f>
        <v>MON</v>
      </c>
      <c r="G948" s="214">
        <v>1.58</v>
      </c>
      <c r="H948" s="422">
        <v>1.52</v>
      </c>
      <c r="I948" s="454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INFO'!$L$2:$M$8,2)</f>
        <v>TUE</v>
      </c>
      <c r="G949" s="214">
        <v>1.58</v>
      </c>
      <c r="H949" s="422">
        <v>1.54</v>
      </c>
      <c r="I949" s="454">
        <f t="shared" si="76"/>
        <v>-4.0000000000000036E-2</v>
      </c>
      <c r="J949" s="152" t="s">
        <v>152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INFO'!$L$2:$M$8,2)</f>
        <v>WED</v>
      </c>
      <c r="G950" s="214">
        <v>1.58</v>
      </c>
      <c r="H950" s="422">
        <v>1.54</v>
      </c>
      <c r="I950" s="454">
        <f t="shared" si="76"/>
        <v>-4.0000000000000036E-2</v>
      </c>
      <c r="J950" s="152" t="s">
        <v>153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INFO'!$L$2:$M$8,2)</f>
        <v>THU</v>
      </c>
      <c r="G951" s="214">
        <v>1.58</v>
      </c>
      <c r="H951" s="422">
        <v>1.54</v>
      </c>
      <c r="I951" s="454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INFO'!$L$2:$M$8,2)</f>
        <v>FRI</v>
      </c>
      <c r="G952" s="214">
        <v>1.58</v>
      </c>
      <c r="H952" s="422">
        <v>1.53</v>
      </c>
      <c r="I952" s="454">
        <f t="shared" si="76"/>
        <v>-5.0000000000000044E-2</v>
      </c>
      <c r="J952" s="152" t="s">
        <v>154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INFO'!$L$2:$M$8,2)</f>
        <v>SAT</v>
      </c>
      <c r="G953" s="214">
        <v>1.58</v>
      </c>
      <c r="H953" s="422">
        <v>1.53</v>
      </c>
      <c r="I953" s="454">
        <f t="shared" si="76"/>
        <v>-5.0000000000000044E-2</v>
      </c>
      <c r="J953" s="152" t="s">
        <v>155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INFO'!$L$2:$M$8,2)</f>
        <v>SUN</v>
      </c>
      <c r="G954" s="214">
        <v>1.58</v>
      </c>
      <c r="H954" s="422">
        <v>1.53</v>
      </c>
      <c r="I954" s="454">
        <f t="shared" si="76"/>
        <v>-5.0000000000000044E-2</v>
      </c>
      <c r="J954" s="152" t="s">
        <v>156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INFO'!$L$2:$M$8,2)</f>
        <v>MON</v>
      </c>
      <c r="G955" s="214">
        <v>1.58</v>
      </c>
      <c r="H955" s="422">
        <v>1.53</v>
      </c>
      <c r="I955" s="454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INFO'!$L$2:$M$8,2)</f>
        <v>TUE</v>
      </c>
      <c r="G956" s="214">
        <v>1.58</v>
      </c>
      <c r="H956" s="422">
        <v>1.54</v>
      </c>
      <c r="I956" s="454">
        <f t="shared" si="76"/>
        <v>-4.0000000000000036E-2</v>
      </c>
      <c r="J956" s="152" t="s">
        <v>157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INFO'!$L$2:$M$8,2)</f>
        <v>WED</v>
      </c>
      <c r="G957" s="214">
        <v>1.58</v>
      </c>
      <c r="H957" s="422">
        <v>1.53</v>
      </c>
      <c r="I957" s="454">
        <f t="shared" si="76"/>
        <v>-5.0000000000000044E-2</v>
      </c>
      <c r="J957" s="152" t="s">
        <v>158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INFO'!$L$2:$M$8,2)</f>
        <v>THU</v>
      </c>
      <c r="G958" s="214">
        <v>1.58</v>
      </c>
      <c r="H958" s="422">
        <v>1.53</v>
      </c>
      <c r="I958" s="454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INFO'!$L$2:$M$8,2)</f>
        <v>FRI</v>
      </c>
      <c r="G959" s="214">
        <v>1.58</v>
      </c>
      <c r="H959" s="422">
        <v>1.54</v>
      </c>
      <c r="I959" s="454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INFO'!$L$2:$M$8,2)</f>
        <v>SAT</v>
      </c>
      <c r="G960" s="214">
        <v>1.58</v>
      </c>
      <c r="H960" s="422">
        <v>1.54</v>
      </c>
      <c r="I960" s="454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INFO'!$L$2:$M$8,2)</f>
        <v>SUN</v>
      </c>
      <c r="G961" s="214">
        <v>1.58</v>
      </c>
      <c r="H961" s="422">
        <v>1.54</v>
      </c>
      <c r="I961" s="454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INFO'!$L$2:$M$8,2)</f>
        <v>MON</v>
      </c>
      <c r="G962" s="214">
        <v>1.58</v>
      </c>
      <c r="H962" s="422">
        <v>1.54</v>
      </c>
      <c r="I962" s="454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INFO'!$L$2:$M$8,2)</f>
        <v>TUE</v>
      </c>
      <c r="G963" s="214">
        <v>1.58</v>
      </c>
      <c r="H963" s="422">
        <v>1.54</v>
      </c>
      <c r="I963" s="454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INFO'!$L$2:$M$8,2)</f>
        <v>WED</v>
      </c>
      <c r="G964" s="214">
        <v>1.58</v>
      </c>
      <c r="H964" s="422">
        <v>1.53</v>
      </c>
      <c r="I964" s="454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INFO'!$L$2:$M$8,2)</f>
        <v>THU</v>
      </c>
      <c r="G965" s="214">
        <v>1.58</v>
      </c>
      <c r="H965" s="422">
        <v>1.53</v>
      </c>
      <c r="I965" s="454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INFO'!$L$2:$M$8,2)</f>
        <v>FRI</v>
      </c>
      <c r="G966" s="214">
        <v>1.58</v>
      </c>
      <c r="H966" s="422">
        <v>1.52</v>
      </c>
      <c r="I966" s="454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INFO'!$L$2:$M$8,2)</f>
        <v>SAT</v>
      </c>
      <c r="G967" s="214">
        <v>1.58</v>
      </c>
      <c r="H967" s="422">
        <v>1.52</v>
      </c>
      <c r="I967" s="454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INFO'!$L$2:$M$8,2)</f>
        <v>SUN</v>
      </c>
      <c r="G968" s="214">
        <v>1.58</v>
      </c>
      <c r="H968" s="422">
        <v>1.52</v>
      </c>
      <c r="I968" s="454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INFO'!$L$2:$M$8,2)</f>
        <v>MON</v>
      </c>
      <c r="G969" s="214">
        <v>1.58</v>
      </c>
      <c r="H969" s="422">
        <v>1.53</v>
      </c>
      <c r="I969" s="454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INFO'!$L$2:$M$8,2)</f>
        <v>TUE</v>
      </c>
      <c r="G970" s="214">
        <v>1.58</v>
      </c>
      <c r="H970" s="422">
        <v>1.53</v>
      </c>
      <c r="I970" s="454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INFO'!$L$2:$M$8,2)</f>
        <v>WED</v>
      </c>
      <c r="G971" s="214">
        <v>1.58</v>
      </c>
      <c r="H971" s="422">
        <v>1.53</v>
      </c>
      <c r="I971" s="454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92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INFO'!$L$2:$M$8,2)</f>
        <v>THU</v>
      </c>
      <c r="G972" s="220">
        <v>2.33</v>
      </c>
      <c r="H972" s="429">
        <v>2.2799999999999998</v>
      </c>
      <c r="I972" s="454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INFO'!$L$2:$M$8,2)</f>
        <v>FRI</v>
      </c>
      <c r="G973" s="214">
        <v>2.3199999999999998</v>
      </c>
      <c r="H973" s="422">
        <v>2.27</v>
      </c>
      <c r="I973" s="454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75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INFO'!$L$2:$M$8,2)</f>
        <v>SAT</v>
      </c>
      <c r="G974" s="214">
        <v>2.3199999999999998</v>
      </c>
      <c r="H974" s="422">
        <v>2.27</v>
      </c>
      <c r="I974" s="454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INFO'!$L$2:$M$8,2)</f>
        <v>SUN</v>
      </c>
      <c r="G975" s="215">
        <v>2.3199999999999998</v>
      </c>
      <c r="H975" s="423">
        <v>2.27</v>
      </c>
      <c r="I975" s="455">
        <f t="shared" si="82"/>
        <v>-4.9999999999999822E-2</v>
      </c>
      <c r="J975" s="434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INFO'!$L$2:$M$8,2)</f>
        <v>MON</v>
      </c>
      <c r="G976" s="214">
        <v>2.33</v>
      </c>
      <c r="H976" s="422">
        <v>2.2799999999999998</v>
      </c>
      <c r="I976" s="454">
        <f t="shared" si="82"/>
        <v>-5.0000000000000266E-2</v>
      </c>
      <c r="J976" s="433" t="s">
        <v>117</v>
      </c>
      <c r="K976" s="15">
        <f>VLOOKUP(MONTH($C976),'CALENDAR INFO'!$O$2:$P$13,2)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INFO'!$L$2:$M$8,2)</f>
        <v>TUE</v>
      </c>
      <c r="G977" s="214">
        <v>2.33</v>
      </c>
      <c r="H977" s="422">
        <v>2.2999999999999998</v>
      </c>
      <c r="I977" s="454">
        <f t="shared" si="82"/>
        <v>-3.0000000000000249E-2</v>
      </c>
      <c r="J977" s="152" t="s">
        <v>150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INFO'!$L$2:$M$8,2)</f>
        <v>WED</v>
      </c>
      <c r="G978" s="214">
        <v>2.33</v>
      </c>
      <c r="H978" s="422">
        <v>2.29</v>
      </c>
      <c r="I978" s="454">
        <f t="shared" si="82"/>
        <v>-4.0000000000000036E-2</v>
      </c>
      <c r="J978" s="152" t="s">
        <v>151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INFO'!$L$2:$M$8,2)</f>
        <v>THU</v>
      </c>
      <c r="G979" s="214">
        <v>2.33</v>
      </c>
      <c r="H979" s="422">
        <v>2.29</v>
      </c>
      <c r="I979" s="454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INFO'!$L$2:$M$8,2)</f>
        <v>FRI</v>
      </c>
      <c r="G980" s="214">
        <v>2.33</v>
      </c>
      <c r="H980" s="422">
        <v>2.2799999999999998</v>
      </c>
      <c r="I980" s="454">
        <f t="shared" si="82"/>
        <v>-5.0000000000000266E-2</v>
      </c>
      <c r="J980" s="152" t="s">
        <v>152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INFO'!$L$2:$M$8,2)</f>
        <v>SAT</v>
      </c>
      <c r="G981" s="214">
        <v>2.33</v>
      </c>
      <c r="H981" s="422">
        <v>2.2799999999999998</v>
      </c>
      <c r="I981" s="454">
        <f t="shared" si="82"/>
        <v>-5.0000000000000266E-2</v>
      </c>
      <c r="J981" s="152" t="s">
        <v>153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INFO'!$L$2:$M$8,2)</f>
        <v>SUN</v>
      </c>
      <c r="G982" s="214">
        <v>2.33</v>
      </c>
      <c r="H982" s="422">
        <v>2.2799999999999998</v>
      </c>
      <c r="I982" s="454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INFO'!$L$2:$M$8,2)</f>
        <v>MON</v>
      </c>
      <c r="G983" s="214">
        <v>2.33</v>
      </c>
      <c r="H983" s="422">
        <v>2.2799999999999998</v>
      </c>
      <c r="I983" s="454">
        <f t="shared" si="82"/>
        <v>-5.0000000000000266E-2</v>
      </c>
      <c r="J983" s="152" t="s">
        <v>154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INFO'!$L$2:$M$8,2)</f>
        <v>TUE</v>
      </c>
      <c r="G984" s="214">
        <v>2.33</v>
      </c>
      <c r="H984" s="422">
        <v>2.29</v>
      </c>
      <c r="I984" s="454">
        <f t="shared" si="82"/>
        <v>-4.0000000000000036E-2</v>
      </c>
      <c r="J984" s="152" t="s">
        <v>155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INFO'!$L$2:$M$8,2)</f>
        <v>WED</v>
      </c>
      <c r="G985" s="214">
        <v>2.33</v>
      </c>
      <c r="H985" s="422">
        <v>2.2799999999999998</v>
      </c>
      <c r="I985" s="454">
        <f t="shared" si="82"/>
        <v>-5.0000000000000266E-2</v>
      </c>
      <c r="J985" s="152" t="s">
        <v>156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INFO'!$L$2:$M$8,2)</f>
        <v>THU</v>
      </c>
      <c r="G986" s="214">
        <v>2.33</v>
      </c>
      <c r="H986" s="422">
        <v>2.2799999999999998</v>
      </c>
      <c r="I986" s="454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INFO'!$L$2:$M$8,2)</f>
        <v>FRI</v>
      </c>
      <c r="G987" s="214">
        <v>2.33</v>
      </c>
      <c r="H987" s="422">
        <v>2.2799999999999998</v>
      </c>
      <c r="I987" s="454">
        <f t="shared" si="82"/>
        <v>-5.0000000000000266E-2</v>
      </c>
      <c r="J987" s="152" t="s">
        <v>157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INFO'!$L$2:$M$8,2)</f>
        <v>SAT</v>
      </c>
      <c r="G988" s="214">
        <v>2.33</v>
      </c>
      <c r="H988" s="422">
        <v>2.2799999999999998</v>
      </c>
      <c r="I988" s="454">
        <f t="shared" si="82"/>
        <v>-5.0000000000000266E-2</v>
      </c>
      <c r="J988" s="152" t="s">
        <v>158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INFO'!$L$2:$M$8,2)</f>
        <v>SUN</v>
      </c>
      <c r="G989" s="214">
        <v>2.33</v>
      </c>
      <c r="H989" s="422">
        <v>2.2799999999999998</v>
      </c>
      <c r="I989" s="454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INFO'!$L$2:$M$8,2)</f>
        <v>MON</v>
      </c>
      <c r="G990" s="214">
        <v>2.33</v>
      </c>
      <c r="H990" s="422">
        <v>2.29</v>
      </c>
      <c r="I990" s="454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INFO'!$L$2:$M$8,2)</f>
        <v>TUE</v>
      </c>
      <c r="G991" s="214">
        <v>2.33</v>
      </c>
      <c r="H991" s="422">
        <v>2.29</v>
      </c>
      <c r="I991" s="454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INFO'!$L$2:$M$8,2)</f>
        <v>WED</v>
      </c>
      <c r="G992" s="214">
        <v>2.33</v>
      </c>
      <c r="H992" s="422">
        <v>2.29</v>
      </c>
      <c r="I992" s="454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INFO'!$L$2:$M$8,2)</f>
        <v>THU</v>
      </c>
      <c r="G993" s="214">
        <v>2.33</v>
      </c>
      <c r="H993" s="422">
        <v>2.2799999999999998</v>
      </c>
      <c r="I993" s="454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INFO'!$L$2:$M$8,2)</f>
        <v>FRI</v>
      </c>
      <c r="G994" s="214">
        <v>2.33</v>
      </c>
      <c r="H994" s="422">
        <v>2.2799999999999998</v>
      </c>
      <c r="I994" s="454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INFO'!$L$2:$M$8,2)</f>
        <v>SAT</v>
      </c>
      <c r="G995" s="214">
        <v>2.33</v>
      </c>
      <c r="H995" s="422">
        <v>2.2799999999999998</v>
      </c>
      <c r="I995" s="454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INFO'!$L$2:$M$8,2)</f>
        <v>SUN</v>
      </c>
      <c r="G996" s="214">
        <v>2.33</v>
      </c>
      <c r="H996" s="422">
        <v>2.2799999999999998</v>
      </c>
      <c r="I996" s="454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INFO'!$L$2:$M$8,2)</f>
        <v>MON</v>
      </c>
      <c r="G997" s="214">
        <v>2.33</v>
      </c>
      <c r="H997" s="422">
        <v>2.2799999999999998</v>
      </c>
      <c r="I997" s="454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INFO'!$L$2:$M$8,2)</f>
        <v>TUE</v>
      </c>
      <c r="G998" s="214">
        <v>2.33</v>
      </c>
      <c r="H998" s="422">
        <v>2.27</v>
      </c>
      <c r="I998" s="454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INFO'!$L$2:$M$8,2)</f>
        <v>WED</v>
      </c>
      <c r="G999" s="214">
        <v>2.33</v>
      </c>
      <c r="H999" s="422">
        <v>2.27</v>
      </c>
      <c r="I999" s="454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INFO'!$L$2:$M$8,2)</f>
        <v>THU</v>
      </c>
      <c r="G1000" s="214">
        <v>2.33</v>
      </c>
      <c r="H1000" s="422">
        <v>2.2799999999999998</v>
      </c>
      <c r="I1000" s="454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INFO'!$L$2:$M$8,2)</f>
        <v>FRI</v>
      </c>
      <c r="G1001" s="214">
        <v>2.33</v>
      </c>
      <c r="H1001" s="422">
        <v>2.2799999999999998</v>
      </c>
      <c r="I1001" s="454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INFO'!$L$2:$M$8,2)</f>
        <v>SAT</v>
      </c>
      <c r="G1002" s="214">
        <v>2.33</v>
      </c>
      <c r="H1002" s="422">
        <v>2.2799999999999998</v>
      </c>
      <c r="I1002" s="454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92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INFO'!$L$2:$M$8,2)</f>
        <v>SUN</v>
      </c>
      <c r="G1003" s="214">
        <v>2.33</v>
      </c>
      <c r="H1003" s="422">
        <v>2.2799999999999998</v>
      </c>
      <c r="I1003" s="454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INFO'!$L$2:$M$8,2)</f>
        <v>MON</v>
      </c>
      <c r="G1004" s="214">
        <v>2.33</v>
      </c>
      <c r="H1004" s="422">
        <v>2.2799999999999998</v>
      </c>
      <c r="I1004" s="454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75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INFO'!$L$2:$M$8,2)</f>
        <v>TUE</v>
      </c>
      <c r="G1005" s="214">
        <v>2.33</v>
      </c>
      <c r="H1005" s="422">
        <v>2.29</v>
      </c>
      <c r="I1005" s="454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INFO'!$L$2:$M$8,2)</f>
        <v>WED</v>
      </c>
      <c r="G1006" s="215">
        <v>2.33</v>
      </c>
      <c r="H1006" s="423">
        <v>2.29</v>
      </c>
      <c r="I1006" s="455">
        <f t="shared" si="82"/>
        <v>-4.0000000000000036E-2</v>
      </c>
      <c r="J1006" s="434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INFO'!$L$2:$M$8,2)</f>
        <v>THU</v>
      </c>
      <c r="G1007" s="214">
        <v>2.33</v>
      </c>
      <c r="H1007" s="422">
        <v>2.29</v>
      </c>
      <c r="I1007" s="454">
        <f t="shared" si="82"/>
        <v>-4.0000000000000036E-2</v>
      </c>
      <c r="J1007" s="433" t="s">
        <v>117</v>
      </c>
      <c r="K1007" s="15">
        <f>VLOOKUP(MONTH($C1007),'CALENDAR INFO'!$O$2:$P$13,2)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INFO'!$L$2:$M$8,2)</f>
        <v>FRI</v>
      </c>
      <c r="G1008" s="214">
        <v>2.33</v>
      </c>
      <c r="H1008" s="422">
        <v>2.29</v>
      </c>
      <c r="I1008" s="454">
        <f t="shared" si="82"/>
        <v>-4.0000000000000036E-2</v>
      </c>
      <c r="J1008" s="152" t="s">
        <v>150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INFO'!$L$2:$M$8,2)</f>
        <v>SAT</v>
      </c>
      <c r="G1009" s="214">
        <v>2.33</v>
      </c>
      <c r="H1009" s="422">
        <v>2.29</v>
      </c>
      <c r="I1009" s="454">
        <f t="shared" si="82"/>
        <v>-4.0000000000000036E-2</v>
      </c>
      <c r="J1009" s="152" t="s">
        <v>151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INFO'!$L$2:$M$8,2)</f>
        <v>SUN</v>
      </c>
      <c r="G1010" s="214">
        <v>2.33</v>
      </c>
      <c r="H1010" s="422">
        <v>2.29</v>
      </c>
      <c r="I1010" s="454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111</v>
      </c>
      <c r="E1011" s="170"/>
      <c r="F1011" s="121" t="str">
        <f>VLOOKUP(MOD(C1011,7),'CALENDAR INFO'!$L$2:$M$8,2)</f>
        <v>MON</v>
      </c>
      <c r="G1011" s="214">
        <v>2.33</v>
      </c>
      <c r="H1011" s="422">
        <v>2.29</v>
      </c>
      <c r="I1011" s="454">
        <f t="shared" si="82"/>
        <v>-4.0000000000000036E-2</v>
      </c>
      <c r="J1011" s="152" t="s">
        <v>152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INFO'!$L$2:$M$8,2)</f>
        <v>TUE</v>
      </c>
      <c r="G1012" s="214">
        <v>2.33</v>
      </c>
      <c r="H1012" s="422">
        <v>2.29</v>
      </c>
      <c r="I1012" s="454">
        <f t="shared" si="82"/>
        <v>-4.0000000000000036E-2</v>
      </c>
      <c r="J1012" s="152" t="s">
        <v>153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INFO'!$L$2:$M$8,2)</f>
        <v>WED</v>
      </c>
      <c r="G1013" s="214">
        <v>2.33</v>
      </c>
      <c r="H1013" s="422">
        <v>2.2799999999999998</v>
      </c>
      <c r="I1013" s="454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INFO'!$L$2:$M$8,2)</f>
        <v>THU</v>
      </c>
      <c r="G1014" s="214">
        <v>2.33</v>
      </c>
      <c r="H1014" s="422">
        <v>2.2799999999999998</v>
      </c>
      <c r="I1014" s="454">
        <f t="shared" si="82"/>
        <v>-5.0000000000000266E-2</v>
      </c>
      <c r="J1014" s="152" t="s">
        <v>154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INFO'!$L$2:$M$8,2)</f>
        <v>FRI</v>
      </c>
      <c r="G1015" s="214">
        <v>2.33</v>
      </c>
      <c r="H1015" s="422">
        <v>2.2799999999999998</v>
      </c>
      <c r="I1015" s="454">
        <f t="shared" si="82"/>
        <v>-5.0000000000000266E-2</v>
      </c>
      <c r="J1015" s="152" t="s">
        <v>155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INFO'!$L$2:$M$8,2)</f>
        <v>SAT</v>
      </c>
      <c r="G1016" s="214">
        <v>2.33</v>
      </c>
      <c r="H1016" s="422">
        <v>2.2799999999999998</v>
      </c>
      <c r="I1016" s="454">
        <f t="shared" si="82"/>
        <v>-5.0000000000000266E-2</v>
      </c>
      <c r="J1016" s="152" t="s">
        <v>156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INFO'!$L$2:$M$8,2)</f>
        <v>SUN</v>
      </c>
      <c r="G1017" s="214">
        <v>2.33</v>
      </c>
      <c r="H1017" s="422">
        <v>2.2799999999999998</v>
      </c>
      <c r="I1017" s="454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INFO'!$L$2:$M$8,2)</f>
        <v>MON</v>
      </c>
      <c r="G1018" s="214">
        <v>2.33</v>
      </c>
      <c r="H1018" s="422">
        <v>2.2799999999999998</v>
      </c>
      <c r="I1018" s="454">
        <f t="shared" si="82"/>
        <v>-5.0000000000000266E-2</v>
      </c>
      <c r="J1018" s="152" t="s">
        <v>157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INFO'!$L$2:$M$8,2)</f>
        <v>TUE</v>
      </c>
      <c r="G1019" s="214">
        <v>2.33</v>
      </c>
      <c r="H1019" s="422">
        <v>2.2799999999999998</v>
      </c>
      <c r="I1019" s="454">
        <f t="shared" si="82"/>
        <v>-5.0000000000000266E-2</v>
      </c>
      <c r="J1019" s="152" t="s">
        <v>158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INFO'!$L$2:$M$8,2)</f>
        <v>WED</v>
      </c>
      <c r="G1020" s="214">
        <v>2.33</v>
      </c>
      <c r="H1020" s="422">
        <v>2.27</v>
      </c>
      <c r="I1020" s="454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INFO'!$L$2:$M$8,2)</f>
        <v>THU</v>
      </c>
      <c r="G1021" s="214">
        <v>2.33</v>
      </c>
      <c r="H1021" s="422">
        <v>2.2799999999999998</v>
      </c>
      <c r="I1021" s="454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INFO'!$L$2:$M$8,2)</f>
        <v>FRI</v>
      </c>
      <c r="G1022" s="214">
        <v>2.33</v>
      </c>
      <c r="H1022" s="422">
        <v>2.27</v>
      </c>
      <c r="I1022" s="454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INFO'!$L$2:$M$8,2)</f>
        <v>SAT</v>
      </c>
      <c r="G1023" s="214">
        <v>2.33</v>
      </c>
      <c r="H1023" s="422">
        <v>2.27</v>
      </c>
      <c r="I1023" s="454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INFO'!$L$2:$M$8,2)</f>
        <v>SUN</v>
      </c>
      <c r="G1024" s="214">
        <v>2.33</v>
      </c>
      <c r="H1024" s="422">
        <v>2.27</v>
      </c>
      <c r="I1024" s="454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INFO'!$L$2:$M$8,2)</f>
        <v>MON</v>
      </c>
      <c r="G1025" s="214">
        <v>2.33</v>
      </c>
      <c r="H1025" s="422">
        <v>2.27</v>
      </c>
      <c r="I1025" s="454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INFO'!$L$2:$M$8,2)</f>
        <v>TUE</v>
      </c>
      <c r="G1026" s="214">
        <v>2.33</v>
      </c>
      <c r="H1026" s="422">
        <v>2.2599999999999998</v>
      </c>
      <c r="I1026" s="454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INFO'!$L$2:$M$8,2)</f>
        <v>WED</v>
      </c>
      <c r="G1027" s="214">
        <v>2.33</v>
      </c>
      <c r="H1027" s="422">
        <v>2.25</v>
      </c>
      <c r="I1027" s="454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INFO'!$L$2:$M$8,2)</f>
        <v>THU</v>
      </c>
      <c r="G1028" s="220">
        <v>3.08</v>
      </c>
      <c r="H1028" s="429">
        <v>2.99</v>
      </c>
      <c r="I1028" s="454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INFO'!$L$2:$M$8,2)</f>
        <v>FRI</v>
      </c>
      <c r="G1029" s="214">
        <v>3.08</v>
      </c>
      <c r="H1029" s="422">
        <v>2.99</v>
      </c>
      <c r="I1029" s="454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INFO'!$L$2:$M$8,2)</f>
        <v>SAT</v>
      </c>
      <c r="G1030" s="214">
        <v>3.08</v>
      </c>
      <c r="H1030" s="422">
        <v>2.99</v>
      </c>
      <c r="I1030" s="454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INFO'!$L$2:$M$8,2)</f>
        <v>SUN</v>
      </c>
      <c r="G1031" s="214">
        <v>3.08</v>
      </c>
      <c r="H1031" s="422">
        <v>2.99</v>
      </c>
      <c r="I1031" s="454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INFO'!$L$2:$M$8,2)</f>
        <v>MON</v>
      </c>
      <c r="G1032" s="214">
        <v>3.08</v>
      </c>
      <c r="H1032" s="422">
        <v>2.99</v>
      </c>
      <c r="I1032" s="454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INFO'!$L$2:$M$8,2)</f>
        <v>TUE</v>
      </c>
      <c r="G1033" s="214">
        <v>3.08</v>
      </c>
      <c r="H1033" s="422">
        <v>2.98</v>
      </c>
      <c r="I1033" s="454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INFO'!$L$2:$M$8,2)</f>
        <v>WED</v>
      </c>
      <c r="G1034" s="214">
        <v>3.08</v>
      </c>
      <c r="H1034" s="422">
        <v>2.98</v>
      </c>
      <c r="I1034" s="454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INFO'!$L$2:$M$8,2)</f>
        <v>THU</v>
      </c>
      <c r="G1035" s="214">
        <v>3.08</v>
      </c>
      <c r="H1035" s="422">
        <v>2.96</v>
      </c>
      <c r="I1035" s="454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INFO'!$L$2:$M$8,2)</f>
        <v>FRI</v>
      </c>
      <c r="G1036" s="215">
        <v>3.08</v>
      </c>
      <c r="H1036" s="423">
        <v>2.98</v>
      </c>
      <c r="I1036" s="455">
        <f t="shared" si="87"/>
        <v>-0.10000000000000009</v>
      </c>
      <c r="J1036" s="434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INFO'!$L$2:$M$8,2)</f>
        <v>SAT</v>
      </c>
      <c r="G1037" s="214">
        <v>3.08</v>
      </c>
      <c r="H1037" s="422">
        <v>2.98</v>
      </c>
      <c r="I1037" s="454">
        <f t="shared" si="87"/>
        <v>-0.10000000000000009</v>
      </c>
      <c r="J1037" s="433" t="s">
        <v>117</v>
      </c>
      <c r="K1037" s="15">
        <f>VLOOKUP(MONTH($C1037),'CALENDAR INFO'!$O$2:$P$13,2)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INFO'!$L$2:$M$8,2)</f>
        <v>SUN</v>
      </c>
      <c r="G1038" s="214">
        <v>3.08</v>
      </c>
      <c r="H1038" s="422">
        <v>2.98</v>
      </c>
      <c r="I1038" s="454">
        <f t="shared" si="87"/>
        <v>-0.10000000000000009</v>
      </c>
      <c r="J1038" s="152" t="s">
        <v>150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INFO'!$L$2:$M$8,2)</f>
        <v>MON</v>
      </c>
      <c r="G1039" s="214">
        <v>3.08</v>
      </c>
      <c r="H1039" s="422">
        <v>3</v>
      </c>
      <c r="I1039" s="454">
        <f t="shared" si="87"/>
        <v>-8.0000000000000071E-2</v>
      </c>
      <c r="J1039" s="152" t="s">
        <v>151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INFO'!$L$2:$M$8,2)</f>
        <v>TUE</v>
      </c>
      <c r="G1040" s="214">
        <v>3.08</v>
      </c>
      <c r="H1040" s="422">
        <v>3.04</v>
      </c>
      <c r="I1040" s="454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INFO'!$L$2:$M$8,2)</f>
        <v>WED</v>
      </c>
      <c r="G1041" s="214">
        <v>3.08</v>
      </c>
      <c r="H1041" s="422">
        <v>3.04</v>
      </c>
      <c r="I1041" s="454">
        <f t="shared" si="87"/>
        <v>-4.0000000000000036E-2</v>
      </c>
      <c r="J1041" s="152" t="s">
        <v>152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INFO'!$L$2:$M$8,2)</f>
        <v>THU</v>
      </c>
      <c r="G1042" s="214">
        <v>3.08</v>
      </c>
      <c r="H1042" s="422">
        <v>3.05</v>
      </c>
      <c r="I1042" s="454">
        <f t="shared" si="87"/>
        <v>-3.0000000000000249E-2</v>
      </c>
      <c r="J1042" s="152" t="s">
        <v>153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INFO'!$L$2:$M$8,2)</f>
        <v>FRI</v>
      </c>
      <c r="G1043" s="214">
        <v>3.08</v>
      </c>
      <c r="H1043" s="422">
        <v>3.05</v>
      </c>
      <c r="I1043" s="454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INFO'!$L$2:$M$8,2)</f>
        <v>SAT</v>
      </c>
      <c r="G1044" s="214">
        <v>3.08</v>
      </c>
      <c r="H1044" s="422">
        <v>3.05</v>
      </c>
      <c r="I1044" s="454">
        <f t="shared" si="87"/>
        <v>-3.0000000000000249E-2</v>
      </c>
      <c r="J1044" s="152" t="s">
        <v>154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INFO'!$L$2:$M$8,2)</f>
        <v>SUN</v>
      </c>
      <c r="G1045" s="214">
        <v>3.08</v>
      </c>
      <c r="H1045" s="422">
        <v>3.05</v>
      </c>
      <c r="I1045" s="454">
        <f t="shared" si="87"/>
        <v>-3.0000000000000249E-2</v>
      </c>
      <c r="J1045" s="152" t="s">
        <v>155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107</v>
      </c>
      <c r="E1046" s="167"/>
      <c r="F1046" s="121" t="str">
        <f>VLOOKUP(MOD(C1046,7),'CALENDAR INFO'!$L$2:$M$8,2)</f>
        <v>MON</v>
      </c>
      <c r="G1046" s="214">
        <v>3.08</v>
      </c>
      <c r="H1046" s="422">
        <v>3.05</v>
      </c>
      <c r="I1046" s="454">
        <f t="shared" si="87"/>
        <v>-3.0000000000000249E-2</v>
      </c>
      <c r="J1046" s="152" t="s">
        <v>156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INFO'!$L$2:$M$8,2)</f>
        <v>TUE</v>
      </c>
      <c r="G1047" s="214">
        <v>3.08</v>
      </c>
      <c r="H1047" s="422">
        <v>3.05</v>
      </c>
      <c r="I1047" s="454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INFO'!$L$2:$M$8,2)</f>
        <v>WED</v>
      </c>
      <c r="G1048" s="214">
        <v>3.08</v>
      </c>
      <c r="H1048" s="422">
        <v>3.04</v>
      </c>
      <c r="I1048" s="454">
        <f t="shared" si="87"/>
        <v>-4.0000000000000036E-2</v>
      </c>
      <c r="J1048" s="152" t="s">
        <v>157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INFO'!$L$2:$M$8,2)</f>
        <v>THU</v>
      </c>
      <c r="G1049" s="214">
        <v>3.08</v>
      </c>
      <c r="H1049" s="422">
        <v>3.04</v>
      </c>
      <c r="I1049" s="454">
        <f t="shared" si="87"/>
        <v>-4.0000000000000036E-2</v>
      </c>
      <c r="J1049" s="152" t="s">
        <v>158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INFO'!$L$2:$M$8,2)</f>
        <v>FRI</v>
      </c>
      <c r="G1050" s="214">
        <v>3.08</v>
      </c>
      <c r="H1050" s="422">
        <v>3.04</v>
      </c>
      <c r="I1050" s="454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INFO'!$L$2:$M$8,2)</f>
        <v>SAT</v>
      </c>
      <c r="G1051" s="214">
        <v>3.08</v>
      </c>
      <c r="H1051" s="422">
        <v>3.04</v>
      </c>
      <c r="I1051" s="454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INFO'!$L$2:$M$8,2)</f>
        <v>SUN</v>
      </c>
      <c r="G1052" s="214">
        <v>3.08</v>
      </c>
      <c r="H1052" s="422">
        <v>3.04</v>
      </c>
      <c r="I1052" s="454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INFO'!$L$2:$M$8,2)</f>
        <v>MON</v>
      </c>
      <c r="G1053" s="214">
        <v>3.08</v>
      </c>
      <c r="H1053" s="422">
        <v>3.05</v>
      </c>
      <c r="I1053" s="454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INFO'!$L$2:$M$8,2)</f>
        <v>TUE</v>
      </c>
      <c r="G1054" s="214">
        <v>3.08</v>
      </c>
      <c r="H1054" s="422">
        <v>3.04</v>
      </c>
      <c r="I1054" s="454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INFO'!$L$2:$M$8,2)</f>
        <v>WED</v>
      </c>
      <c r="G1055" s="214">
        <v>3.08</v>
      </c>
      <c r="H1055" s="422">
        <v>3.04</v>
      </c>
      <c r="I1055" s="454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INFO'!$L$2:$M$8,2)</f>
        <v>THU</v>
      </c>
      <c r="G1056" s="214">
        <v>3.08</v>
      </c>
      <c r="H1056" s="422">
        <v>3.03</v>
      </c>
      <c r="I1056" s="454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INFO'!$L$2:$M$8,2)</f>
        <v>FRI</v>
      </c>
      <c r="G1057" s="214">
        <v>3.08</v>
      </c>
      <c r="H1057" s="422">
        <v>3.02</v>
      </c>
      <c r="I1057" s="454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INFO'!$L$2:$M$8,2)</f>
        <v>SAT</v>
      </c>
      <c r="G1058" s="214">
        <v>3.08</v>
      </c>
      <c r="H1058" s="422">
        <v>3.02</v>
      </c>
      <c r="I1058" s="454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INFO'!$L$2:$M$8,2)</f>
        <v>SUN</v>
      </c>
      <c r="G1059" s="214">
        <v>3.08</v>
      </c>
      <c r="H1059" s="422">
        <v>3.02</v>
      </c>
      <c r="I1059" s="454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INFO'!$L$2:$M$8,2)</f>
        <v>MON</v>
      </c>
      <c r="G1060" s="214">
        <v>3.08</v>
      </c>
      <c r="H1060" s="422">
        <v>3.01</v>
      </c>
      <c r="I1060" s="454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INFO'!$L$2:$M$8,2)</f>
        <v>TUE</v>
      </c>
      <c r="G1061" s="214">
        <v>3.08</v>
      </c>
      <c r="H1061" s="422">
        <v>3.02</v>
      </c>
      <c r="I1061" s="454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INFO'!$L$2:$M$8,2)</f>
        <v>WED</v>
      </c>
      <c r="G1062" s="214">
        <v>3.08</v>
      </c>
      <c r="H1062" s="422">
        <v>3.03</v>
      </c>
      <c r="I1062" s="454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INFO'!$L$2:$M$8,2)</f>
        <v>THU</v>
      </c>
      <c r="G1063" s="214">
        <v>3.08</v>
      </c>
      <c r="H1063" s="422">
        <v>3.04</v>
      </c>
      <c r="I1063" s="454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INFO'!$L$2:$M$8,2)</f>
        <v>FRI</v>
      </c>
      <c r="G1064" s="214">
        <v>3.08</v>
      </c>
      <c r="H1064" s="422">
        <v>3.05</v>
      </c>
      <c r="I1064" s="454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INFO'!$L$2:$M$8,2)</f>
        <v>SAT</v>
      </c>
      <c r="G1065" s="214">
        <v>3.08</v>
      </c>
      <c r="H1065" s="422">
        <v>3.05</v>
      </c>
      <c r="I1065" s="454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INFO'!$L$2:$M$8,2)</f>
        <v>SUN</v>
      </c>
      <c r="G1066" s="214">
        <v>3.08</v>
      </c>
      <c r="H1066" s="422">
        <v>3.05</v>
      </c>
      <c r="I1066" s="454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INFO'!$L$2:$M$8,2)</f>
        <v>MON</v>
      </c>
      <c r="G1067" s="215">
        <v>3.08</v>
      </c>
      <c r="H1067" s="423">
        <v>3.05</v>
      </c>
      <c r="I1067" s="455">
        <f t="shared" si="87"/>
        <v>-3.0000000000000249E-2</v>
      </c>
      <c r="J1067" s="434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INFO'!$L$2:$M$8,2)</f>
        <v>TUE</v>
      </c>
      <c r="G1068" s="214">
        <v>3.08</v>
      </c>
      <c r="H1068" s="422">
        <v>3.05</v>
      </c>
      <c r="I1068" s="454">
        <f t="shared" si="87"/>
        <v>-3.0000000000000249E-2</v>
      </c>
      <c r="J1068" s="433" t="s">
        <v>117</v>
      </c>
      <c r="K1068" s="15">
        <f>VLOOKUP(MONTH($C1068),'CALENDAR INFO'!$O$2:$P$13,2)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INFO'!$L$2:$M$8,2)</f>
        <v>WED</v>
      </c>
      <c r="G1069" s="214">
        <v>3.08</v>
      </c>
      <c r="H1069" s="422">
        <v>3.05</v>
      </c>
      <c r="I1069" s="454">
        <f t="shared" si="87"/>
        <v>-3.0000000000000249E-2</v>
      </c>
      <c r="J1069" s="152" t="s">
        <v>150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INFO'!$L$2:$M$8,2)</f>
        <v>THU</v>
      </c>
      <c r="G1070" s="214">
        <v>3.83</v>
      </c>
      <c r="H1070" s="422">
        <v>3.8</v>
      </c>
      <c r="I1070" s="454">
        <f t="shared" si="87"/>
        <v>-3.0000000000000249E-2</v>
      </c>
      <c r="J1070" s="152" t="s">
        <v>151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INFO'!$L$2:$M$8,2)</f>
        <v>FRI</v>
      </c>
      <c r="G1071" s="214">
        <v>3.83</v>
      </c>
      <c r="H1071" s="422">
        <v>3.8</v>
      </c>
      <c r="I1071" s="454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INFO'!$L$2:$M$8,2)</f>
        <v>SAT</v>
      </c>
      <c r="G1072" s="214">
        <v>3.83</v>
      </c>
      <c r="H1072" s="422">
        <v>3.8</v>
      </c>
      <c r="I1072" s="454">
        <f t="shared" si="87"/>
        <v>-3.0000000000000249E-2</v>
      </c>
      <c r="J1072" s="152" t="s">
        <v>152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INFO'!$L$2:$M$8,2)</f>
        <v>SUN</v>
      </c>
      <c r="G1073" s="214">
        <v>3.83</v>
      </c>
      <c r="H1073" s="422">
        <v>3.8</v>
      </c>
      <c r="I1073" s="454">
        <f t="shared" si="87"/>
        <v>-3.0000000000000249E-2</v>
      </c>
      <c r="J1073" s="152" t="s">
        <v>153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INFO'!$L$2:$M$8,2)</f>
        <v>MON</v>
      </c>
      <c r="G1074" s="214">
        <v>3.83</v>
      </c>
      <c r="H1074" s="422">
        <v>3.78</v>
      </c>
      <c r="I1074" s="454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INFO'!$L$2:$M$8,2)</f>
        <v>TUE</v>
      </c>
      <c r="G1075" s="214">
        <v>3.83</v>
      </c>
      <c r="H1075" s="422">
        <v>3.78</v>
      </c>
      <c r="I1075" s="454">
        <f t="shared" si="87"/>
        <v>-5.0000000000000266E-2</v>
      </c>
      <c r="J1075" s="152" t="s">
        <v>154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INFO'!$L$2:$M$8,2)</f>
        <v>WED</v>
      </c>
      <c r="G1076" s="214">
        <v>3.83</v>
      </c>
      <c r="H1076" s="422">
        <v>3.78</v>
      </c>
      <c r="I1076" s="454">
        <f t="shared" si="87"/>
        <v>-5.0000000000000266E-2</v>
      </c>
      <c r="J1076" s="152" t="s">
        <v>155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INFO'!$L$2:$M$8,2)</f>
        <v>THU</v>
      </c>
      <c r="G1077" s="214">
        <v>3.83</v>
      </c>
      <c r="H1077" s="422">
        <v>3.78</v>
      </c>
      <c r="I1077" s="454">
        <f t="shared" si="87"/>
        <v>-5.0000000000000266E-2</v>
      </c>
      <c r="J1077" s="152" t="s">
        <v>156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108</v>
      </c>
      <c r="E1078" s="167"/>
      <c r="F1078" s="121" t="str">
        <f>VLOOKUP(MOD(C1078,7),'CALENDAR INFO'!$L$2:$M$8,2)</f>
        <v>FRI</v>
      </c>
      <c r="G1078" s="214">
        <v>3.83</v>
      </c>
      <c r="H1078" s="422">
        <v>3.78</v>
      </c>
      <c r="I1078" s="454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INFO'!$L$2:$M$8,2)</f>
        <v>SAT</v>
      </c>
      <c r="G1079" s="214">
        <v>3.83</v>
      </c>
      <c r="H1079" s="422">
        <v>3.78</v>
      </c>
      <c r="I1079" s="454">
        <f t="shared" si="87"/>
        <v>-5.0000000000000266E-2</v>
      </c>
      <c r="J1079" s="152" t="s">
        <v>157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INFO'!$L$2:$M$8,2)</f>
        <v>SUN</v>
      </c>
      <c r="G1080" s="214">
        <v>3.83</v>
      </c>
      <c r="H1080" s="422">
        <v>3.78</v>
      </c>
      <c r="I1080" s="454">
        <f t="shared" si="87"/>
        <v>-5.0000000000000266E-2</v>
      </c>
      <c r="J1080" s="152" t="s">
        <v>158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INFO'!$L$2:$M$8,2)</f>
        <v>MON</v>
      </c>
      <c r="G1081" s="214">
        <v>3.83</v>
      </c>
      <c r="H1081" s="422">
        <v>3.79</v>
      </c>
      <c r="I1081" s="454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INFO'!$L$2:$M$8,2)</f>
        <v>TUE</v>
      </c>
      <c r="G1082" s="214">
        <v>3.83</v>
      </c>
      <c r="H1082" s="422">
        <v>3.8</v>
      </c>
      <c r="I1082" s="454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INFO'!$L$2:$M$8,2)</f>
        <v>WED</v>
      </c>
      <c r="G1083" s="214">
        <v>3.83</v>
      </c>
      <c r="H1083" s="422">
        <v>3.81</v>
      </c>
      <c r="I1083" s="454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INFO'!$L$2:$M$8,2)</f>
        <v>THU</v>
      </c>
      <c r="G1084" s="214">
        <v>3.83</v>
      </c>
      <c r="H1084" s="422">
        <v>3.8</v>
      </c>
      <c r="I1084" s="454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INFO'!$L$2:$M$8,2)</f>
        <v>FRI</v>
      </c>
      <c r="G1085" s="214">
        <v>3.83</v>
      </c>
      <c r="H1085" s="422">
        <v>3.8</v>
      </c>
      <c r="I1085" s="454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INFO'!$L$2:$M$8,2)</f>
        <v>SAT</v>
      </c>
      <c r="G1086" s="214">
        <v>3.83</v>
      </c>
      <c r="H1086" s="422">
        <v>3.8</v>
      </c>
      <c r="I1086" s="454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INFO'!$L$2:$M$8,2)</f>
        <v>SUN</v>
      </c>
      <c r="G1087" s="214">
        <v>3.83</v>
      </c>
      <c r="H1087" s="422">
        <v>3.8</v>
      </c>
      <c r="I1087" s="454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INFO'!$L$2:$M$8,2)</f>
        <v>MON</v>
      </c>
      <c r="G1088" s="214">
        <v>3.83</v>
      </c>
      <c r="H1088" s="422">
        <v>3.8</v>
      </c>
      <c r="I1088" s="454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INFO'!$L$2:$M$8,2)</f>
        <v>TUE</v>
      </c>
      <c r="G1089" s="214">
        <v>3.83</v>
      </c>
      <c r="H1089" s="422">
        <v>3.8</v>
      </c>
      <c r="I1089" s="454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INFO'!$L$2:$M$8,2)</f>
        <v>WED</v>
      </c>
      <c r="G1090" s="214">
        <v>3.83</v>
      </c>
      <c r="H1090" s="422">
        <v>3.79</v>
      </c>
      <c r="I1090" s="454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INFO'!$L$2:$M$8,2)</f>
        <v>THU</v>
      </c>
      <c r="G1091" s="214">
        <v>3.83</v>
      </c>
      <c r="H1091" s="422">
        <v>3.79</v>
      </c>
      <c r="I1091" s="454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INFO'!$L$2:$M$8,2)</f>
        <v>FRI</v>
      </c>
      <c r="G1092" s="214">
        <v>3.83</v>
      </c>
      <c r="H1092" s="422">
        <v>3.8</v>
      </c>
      <c r="I1092" s="454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INFO'!$L$2:$M$8,2)</f>
        <v>SAT</v>
      </c>
      <c r="G1093" s="214">
        <v>3.83</v>
      </c>
      <c r="H1093" s="422">
        <v>3.8</v>
      </c>
      <c r="I1093" s="454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INFO'!$L$2:$M$8,2)</f>
        <v>SUN</v>
      </c>
      <c r="G1094" s="214">
        <v>3.83</v>
      </c>
      <c r="H1094" s="422">
        <v>3.8</v>
      </c>
      <c r="I1094" s="454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INFO'!$L$2:$M$8,2)</f>
        <v>MON</v>
      </c>
      <c r="G1095" s="214">
        <v>3.83</v>
      </c>
      <c r="H1095" s="422">
        <v>3.8</v>
      </c>
      <c r="I1095" s="454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INFO'!$L$2:$M$8,2)</f>
        <v>TUE</v>
      </c>
      <c r="G1096" s="214">
        <v>3.83</v>
      </c>
      <c r="H1096" s="422">
        <v>3.81</v>
      </c>
      <c r="I1096" s="454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INFO'!$L$2:$M$8,2)</f>
        <v>WED</v>
      </c>
      <c r="G1097" s="215">
        <v>3.83</v>
      </c>
      <c r="H1097" s="423">
        <v>3.82</v>
      </c>
      <c r="I1097" s="455">
        <f t="shared" si="92"/>
        <v>-1.0000000000000231E-2</v>
      </c>
      <c r="J1097" s="434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INFO'!$L$2:$M$8,2)</f>
        <v>THU</v>
      </c>
      <c r="G1098" s="214">
        <v>3.83</v>
      </c>
      <c r="H1098" s="422">
        <v>3.82</v>
      </c>
      <c r="I1098" s="454">
        <f t="shared" si="92"/>
        <v>-1.0000000000000231E-2</v>
      </c>
      <c r="J1098" s="433" t="s">
        <v>117</v>
      </c>
      <c r="K1098" s="15">
        <f>VLOOKUP(MONTH($C1098),'CALENDAR INFO'!$O$2:$P$13,2)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INFO'!$L$2:$M$8,2)</f>
        <v>FRI</v>
      </c>
      <c r="G1099" s="214">
        <v>3.83</v>
      </c>
      <c r="H1099" s="422">
        <v>3.81</v>
      </c>
      <c r="I1099" s="454">
        <f t="shared" si="92"/>
        <v>-2.0000000000000018E-2</v>
      </c>
      <c r="J1099" s="152" t="s">
        <v>150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INFO'!$L$2:$M$8,2)</f>
        <v>SAT</v>
      </c>
      <c r="G1100" s="214">
        <v>3.83</v>
      </c>
      <c r="H1100" s="422">
        <v>3.81</v>
      </c>
      <c r="I1100" s="454">
        <f t="shared" si="92"/>
        <v>-2.0000000000000018E-2</v>
      </c>
      <c r="J1100" s="152" t="s">
        <v>151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INFO'!$L$2:$M$8,2)</f>
        <v>SUN</v>
      </c>
      <c r="G1101" s="214">
        <v>3.83</v>
      </c>
      <c r="H1101" s="422">
        <v>3.81</v>
      </c>
      <c r="I1101" s="454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INFO'!$L$2:$M$8,2)</f>
        <v>MON</v>
      </c>
      <c r="G1102" s="214">
        <v>3.83</v>
      </c>
      <c r="H1102" s="422">
        <v>3.81</v>
      </c>
      <c r="I1102" s="454">
        <f t="shared" si="92"/>
        <v>-2.0000000000000018E-2</v>
      </c>
      <c r="J1102" s="152" t="s">
        <v>152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INFO'!$L$2:$M$8,2)</f>
        <v>TUE</v>
      </c>
      <c r="G1103" s="214">
        <v>3.83</v>
      </c>
      <c r="H1103" s="422">
        <v>3.8</v>
      </c>
      <c r="I1103" s="454">
        <f t="shared" si="92"/>
        <v>-3.0000000000000249E-2</v>
      </c>
      <c r="J1103" s="152" t="s">
        <v>153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INFO'!$L$2:$M$8,2)</f>
        <v>WED</v>
      </c>
      <c r="G1104" s="214">
        <v>3.83</v>
      </c>
      <c r="H1104" s="422">
        <v>3.8</v>
      </c>
      <c r="I1104" s="454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INFO'!$L$2:$M$8,2)</f>
        <v>THU</v>
      </c>
      <c r="G1105" s="214">
        <v>3.83</v>
      </c>
      <c r="H1105" s="422">
        <v>3.8</v>
      </c>
      <c r="I1105" s="454">
        <f t="shared" si="92"/>
        <v>-3.0000000000000249E-2</v>
      </c>
      <c r="J1105" s="152" t="s">
        <v>154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INFO'!$L$2:$M$8,2)</f>
        <v>FRI</v>
      </c>
      <c r="G1106" s="214">
        <v>3.83</v>
      </c>
      <c r="H1106" s="422">
        <v>3.8</v>
      </c>
      <c r="I1106" s="454">
        <f t="shared" si="92"/>
        <v>-3.0000000000000249E-2</v>
      </c>
      <c r="J1106" s="152" t="s">
        <v>155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INFO'!$L$2:$M$8,2)</f>
        <v>SAT</v>
      </c>
      <c r="G1107" s="214">
        <v>3.83</v>
      </c>
      <c r="H1107" s="422">
        <v>3.8</v>
      </c>
      <c r="I1107" s="454">
        <f t="shared" si="92"/>
        <v>-3.0000000000000249E-2</v>
      </c>
      <c r="J1107" s="152" t="s">
        <v>156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INFO'!$L$2:$M$8,2)</f>
        <v>SUN</v>
      </c>
      <c r="G1108" s="214">
        <v>3.83</v>
      </c>
      <c r="H1108" s="422">
        <v>3.8</v>
      </c>
      <c r="I1108" s="454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INFO'!$L$2:$M$8,2)</f>
        <v>MON</v>
      </c>
      <c r="G1109" s="214">
        <v>3.83</v>
      </c>
      <c r="H1109" s="422">
        <v>3.8</v>
      </c>
      <c r="I1109" s="454">
        <f t="shared" si="92"/>
        <v>-3.0000000000000249E-2</v>
      </c>
      <c r="J1109" s="152" t="s">
        <v>157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INFO'!$L$2:$M$8,2)</f>
        <v>TUE</v>
      </c>
      <c r="G1110" s="214">
        <v>3.83</v>
      </c>
      <c r="H1110" s="422">
        <v>3.8</v>
      </c>
      <c r="I1110" s="454">
        <f t="shared" si="92"/>
        <v>-3.0000000000000249E-2</v>
      </c>
      <c r="J1110" s="152" t="s">
        <v>158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INFO'!$L$2:$M$8,2)</f>
        <v>WED</v>
      </c>
      <c r="G1111" s="214">
        <v>3.83</v>
      </c>
      <c r="H1111" s="422">
        <v>3.8</v>
      </c>
      <c r="I1111" s="454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INFO'!$L$2:$M$8,2)</f>
        <v>THU</v>
      </c>
      <c r="G1112" s="214">
        <v>4.33</v>
      </c>
      <c r="H1112" s="422">
        <v>4.32</v>
      </c>
      <c r="I1112" s="454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INFO'!$L$2:$M$8,2)</f>
        <v>FRI</v>
      </c>
      <c r="G1113" s="214">
        <v>4.33</v>
      </c>
      <c r="H1113" s="422">
        <v>4.32</v>
      </c>
      <c r="I1113" s="454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INFO'!$L$2:$M$8,2)</f>
        <v>SAT</v>
      </c>
      <c r="G1114" s="214">
        <v>4.33</v>
      </c>
      <c r="H1114" s="422">
        <v>4.32</v>
      </c>
      <c r="I1114" s="454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INFO'!$L$2:$M$8,2)</f>
        <v>SUN</v>
      </c>
      <c r="G1115" s="214">
        <v>4.33</v>
      </c>
      <c r="H1115" s="422">
        <v>4.32</v>
      </c>
      <c r="I1115" s="454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INFO'!$L$2:$M$8,2)</f>
        <v>MON</v>
      </c>
      <c r="G1116" s="214">
        <v>4.33</v>
      </c>
      <c r="H1116" s="422">
        <v>4.3</v>
      </c>
      <c r="I1116" s="454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INFO'!$L$2:$M$8,2)</f>
        <v>TUE</v>
      </c>
      <c r="G1117" s="214">
        <v>4.33</v>
      </c>
      <c r="H1117" s="422">
        <v>4.3</v>
      </c>
      <c r="I1117" s="454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INFO'!$L$2:$M$8,2)</f>
        <v>WED</v>
      </c>
      <c r="G1118" s="214">
        <v>4.33</v>
      </c>
      <c r="H1118" s="422">
        <v>4.3</v>
      </c>
      <c r="I1118" s="454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INFO'!$L$2:$M$8,2)</f>
        <v>THU</v>
      </c>
      <c r="G1119" s="214">
        <v>4.33</v>
      </c>
      <c r="H1119" s="422">
        <v>4.3</v>
      </c>
      <c r="I1119" s="454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INFO'!$L$2:$M$8,2)</f>
        <v>FRI</v>
      </c>
      <c r="G1120" s="214">
        <v>4.33</v>
      </c>
      <c r="H1120" s="422">
        <v>4.3</v>
      </c>
      <c r="I1120" s="454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INFO'!$L$2:$M$8,2)</f>
        <v>SAT</v>
      </c>
      <c r="G1121" s="214">
        <v>4.33</v>
      </c>
      <c r="H1121" s="422">
        <v>4.3</v>
      </c>
      <c r="I1121" s="454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INFO'!$L$2:$M$8,2)</f>
        <v>SUN</v>
      </c>
      <c r="G1122" s="214">
        <v>4.33</v>
      </c>
      <c r="H1122" s="422">
        <v>4.3</v>
      </c>
      <c r="I1122" s="454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110</v>
      </c>
      <c r="E1123" s="170"/>
      <c r="F1123" s="121" t="str">
        <f>VLOOKUP(MOD(C1123,7),'CALENDAR INFO'!$L$2:$M$8,2)</f>
        <v>MON</v>
      </c>
      <c r="G1123" s="214">
        <v>4.33</v>
      </c>
      <c r="H1123" s="422">
        <v>4.3</v>
      </c>
      <c r="I1123" s="454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INFO'!$L$2:$M$8,2)</f>
        <v>TUE</v>
      </c>
      <c r="G1124" s="214">
        <v>4.33</v>
      </c>
      <c r="H1124" s="422">
        <v>4.3</v>
      </c>
      <c r="I1124" s="454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INFO'!$L$2:$M$8,2)</f>
        <v>WED</v>
      </c>
      <c r="G1125" s="214">
        <v>4.33</v>
      </c>
      <c r="H1125" s="422">
        <v>4.3</v>
      </c>
      <c r="I1125" s="454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INFO'!$L$2:$M$8,2)</f>
        <v>THU</v>
      </c>
      <c r="G1126" s="214">
        <v>4.33</v>
      </c>
      <c r="H1126" s="422">
        <v>4.3</v>
      </c>
      <c r="I1126" s="454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INFO'!$L$2:$M$8,2)</f>
        <v>FRI</v>
      </c>
      <c r="G1127" s="214">
        <v>4.33</v>
      </c>
      <c r="H1127" s="422">
        <v>4.3</v>
      </c>
      <c r="I1127" s="454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INFO'!$L$2:$M$8,2)</f>
        <v>SAT</v>
      </c>
      <c r="G1128" s="215">
        <v>4.33</v>
      </c>
      <c r="H1128" s="423">
        <v>4.3</v>
      </c>
      <c r="I1128" s="455">
        <f t="shared" si="92"/>
        <v>-3.0000000000000249E-2</v>
      </c>
      <c r="J1128" s="434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INFO'!$L$2:$M$8,2)</f>
        <v>SUN</v>
      </c>
      <c r="G1129" s="214">
        <v>4.33</v>
      </c>
      <c r="H1129" s="422">
        <v>4.3</v>
      </c>
      <c r="I1129" s="454">
        <f t="shared" si="92"/>
        <v>-3.0000000000000249E-2</v>
      </c>
      <c r="J1129" s="433" t="s">
        <v>117</v>
      </c>
      <c r="K1129" s="15">
        <f>VLOOKUP(MONTH($C1129),'CALENDAR INFO'!$O$2:$P$13,2)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164</v>
      </c>
      <c r="E1130" s="167"/>
      <c r="F1130" s="58" t="str">
        <f>VLOOKUP(MOD(C1130,7),'CALENDAR INFO'!$L$2:$M$8,2)</f>
        <v>MON</v>
      </c>
      <c r="G1130" s="214">
        <v>4.33</v>
      </c>
      <c r="H1130" s="422">
        <v>4.3</v>
      </c>
      <c r="I1130" s="454">
        <f t="shared" si="92"/>
        <v>-3.0000000000000249E-2</v>
      </c>
      <c r="J1130" s="152" t="s">
        <v>150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INFO'!$L$2:$M$8,2)</f>
        <v>TUE</v>
      </c>
      <c r="G1131" s="214">
        <v>4.33</v>
      </c>
      <c r="H1131" s="422">
        <v>4.3099999999999996</v>
      </c>
      <c r="I1131" s="454">
        <f t="shared" si="92"/>
        <v>-2.0000000000000462E-2</v>
      </c>
      <c r="J1131" s="152" t="s">
        <v>151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INFO'!$L$2:$M$8,2)</f>
        <v>WED</v>
      </c>
      <c r="G1132" s="214">
        <v>4.33</v>
      </c>
      <c r="H1132" s="422">
        <v>4.3</v>
      </c>
      <c r="I1132" s="454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INFO'!$L$2:$M$8,2)</f>
        <v>THU</v>
      </c>
      <c r="G1133" s="214">
        <v>4.33</v>
      </c>
      <c r="H1133" s="422">
        <v>4.3099999999999996</v>
      </c>
      <c r="I1133" s="454">
        <f t="shared" si="92"/>
        <v>-2.0000000000000462E-2</v>
      </c>
      <c r="J1133" s="152" t="s">
        <v>152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INFO'!$L$2:$M$8,2)</f>
        <v>FRI</v>
      </c>
      <c r="G1134" s="214">
        <v>4.33</v>
      </c>
      <c r="H1134" s="422">
        <v>4.3099999999999996</v>
      </c>
      <c r="I1134" s="454">
        <f t="shared" si="92"/>
        <v>-2.0000000000000462E-2</v>
      </c>
      <c r="J1134" s="152" t="s">
        <v>153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INFO'!$L$2:$M$8,2)</f>
        <v>SAT</v>
      </c>
      <c r="G1135" s="214">
        <v>4.33</v>
      </c>
      <c r="H1135" s="422">
        <v>4.3099999999999996</v>
      </c>
      <c r="I1135" s="454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INFO'!$L$2:$M$8,2)</f>
        <v>SUN</v>
      </c>
      <c r="G1136" s="214">
        <v>4.33</v>
      </c>
      <c r="H1136" s="422">
        <v>4.3099999999999996</v>
      </c>
      <c r="I1136" s="454">
        <f t="shared" si="92"/>
        <v>-2.0000000000000462E-2</v>
      </c>
      <c r="J1136" s="152" t="s">
        <v>154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INFO'!$L$2:$M$8,2)</f>
        <v>MON</v>
      </c>
      <c r="G1137" s="214">
        <v>4.33</v>
      </c>
      <c r="H1137" s="422">
        <v>4.3099999999999996</v>
      </c>
      <c r="I1137" s="454">
        <f t="shared" si="92"/>
        <v>-2.0000000000000462E-2</v>
      </c>
      <c r="J1137" s="152" t="s">
        <v>155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INFO'!$L$2:$M$8,2)</f>
        <v>TUE</v>
      </c>
      <c r="G1138" s="214">
        <v>4.33</v>
      </c>
      <c r="H1138" s="422">
        <v>4.3099999999999996</v>
      </c>
      <c r="I1138" s="454">
        <f t="shared" si="92"/>
        <v>-2.0000000000000462E-2</v>
      </c>
      <c r="J1138" s="152" t="s">
        <v>156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INFO'!$L$2:$M$8,2)</f>
        <v>WED</v>
      </c>
      <c r="G1139" s="214">
        <v>4.33</v>
      </c>
      <c r="H1139" s="422">
        <v>4.3</v>
      </c>
      <c r="I1139" s="454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INFO'!$L$2:$M$8,2)</f>
        <v>THU</v>
      </c>
      <c r="G1140" s="214">
        <v>4.33</v>
      </c>
      <c r="H1140" s="422">
        <v>4.3</v>
      </c>
      <c r="I1140" s="454">
        <f t="shared" si="92"/>
        <v>-3.0000000000000249E-2</v>
      </c>
      <c r="J1140" s="152" t="s">
        <v>157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INFO'!$L$2:$M$8,2)</f>
        <v>FRI</v>
      </c>
      <c r="G1141" s="214">
        <v>4.33</v>
      </c>
      <c r="H1141" s="422">
        <v>4.3</v>
      </c>
      <c r="I1141" s="454">
        <f t="shared" si="92"/>
        <v>-3.0000000000000249E-2</v>
      </c>
      <c r="J1141" s="152" t="s">
        <v>158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INFO'!$L$2:$M$8,2)</f>
        <v>SAT</v>
      </c>
      <c r="G1142" s="214">
        <v>4.33</v>
      </c>
      <c r="H1142" s="422">
        <v>4.3</v>
      </c>
      <c r="I1142" s="454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INFO'!$L$2:$M$8,2)</f>
        <v>SUN</v>
      </c>
      <c r="G1143" s="214">
        <v>4.33</v>
      </c>
      <c r="H1143" s="422">
        <v>4.3</v>
      </c>
      <c r="I1143" s="454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102</v>
      </c>
      <c r="E1144" s="170"/>
      <c r="F1144" s="58" t="str">
        <f>VLOOKUP(MOD(C1144,7),'CALENDAR INFO'!$L$2:$M$8,2)</f>
        <v>MON</v>
      </c>
      <c r="G1144" s="214">
        <v>4.33</v>
      </c>
      <c r="H1144" s="422">
        <v>4.3</v>
      </c>
      <c r="I1144" s="454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INFO'!$L$2:$M$8,2)</f>
        <v>TUE</v>
      </c>
      <c r="G1145" s="214">
        <v>4.33</v>
      </c>
      <c r="H1145" s="422">
        <v>4.3099999999999996</v>
      </c>
      <c r="I1145" s="454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INFO'!$L$2:$M$8,2)</f>
        <v>WED</v>
      </c>
      <c r="G1146" s="214">
        <v>4.33</v>
      </c>
      <c r="H1146" s="422">
        <v>4.3</v>
      </c>
      <c r="I1146" s="454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INFO'!$L$2:$M$8,2)</f>
        <v>THU</v>
      </c>
      <c r="G1147" s="214">
        <v>4.33</v>
      </c>
      <c r="H1147" s="422">
        <v>4.3099999999999996</v>
      </c>
      <c r="I1147" s="454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INFO'!$L$2:$M$8,2)</f>
        <v>FRI</v>
      </c>
      <c r="G1148" s="214">
        <v>4.33</v>
      </c>
      <c r="H1148" s="422">
        <v>4.3</v>
      </c>
      <c r="I1148" s="454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INFO'!$L$2:$M$8,2)</f>
        <v>SAT</v>
      </c>
      <c r="G1149" s="214">
        <v>4.33</v>
      </c>
      <c r="H1149" s="422">
        <v>4.3</v>
      </c>
      <c r="I1149" s="454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INFO'!$L$2:$M$8,2)</f>
        <v>SUN</v>
      </c>
      <c r="G1150" s="214">
        <v>4.33</v>
      </c>
      <c r="H1150" s="422">
        <v>4.3</v>
      </c>
      <c r="I1150" s="454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INFO'!$L$2:$M$8,2)</f>
        <v>MON</v>
      </c>
      <c r="G1151" s="214">
        <v>4.33</v>
      </c>
      <c r="H1151" s="422">
        <v>4.3</v>
      </c>
      <c r="I1151" s="454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INFO'!$L$2:$M$8,2)</f>
        <v>TUE</v>
      </c>
      <c r="G1152" s="214">
        <v>4.33</v>
      </c>
      <c r="H1152" s="422">
        <v>4.3</v>
      </c>
      <c r="I1152" s="454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INFO'!$L$2:$M$8,2)</f>
        <v>WED</v>
      </c>
      <c r="G1153" s="214">
        <v>4.33</v>
      </c>
      <c r="H1153" s="422">
        <v>4.3099999999999996</v>
      </c>
      <c r="I1153" s="454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INFO'!$L$2:$M$8,2)</f>
        <v>THU</v>
      </c>
      <c r="G1154" s="214">
        <v>4.33</v>
      </c>
      <c r="H1154" s="422">
        <v>4.3</v>
      </c>
      <c r="I1154" s="454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INFO'!$L$2:$M$8,2)</f>
        <v>FRI</v>
      </c>
      <c r="G1155" s="214">
        <v>4.33</v>
      </c>
      <c r="H1155" s="422">
        <v>4.3</v>
      </c>
      <c r="I1155" s="454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INFO'!$L$2:$M$8,2)</f>
        <v>SAT</v>
      </c>
      <c r="G1156" s="214">
        <v>4.33</v>
      </c>
      <c r="H1156" s="422">
        <v>4.3</v>
      </c>
      <c r="I1156" s="454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INFO'!$L$2:$M$8,2)</f>
        <v>SUN</v>
      </c>
      <c r="G1157" s="214">
        <v>4.33</v>
      </c>
      <c r="H1157" s="422">
        <v>4.3</v>
      </c>
      <c r="I1157" s="454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INFO'!$L$2:$M$8,2)</f>
        <v>MON</v>
      </c>
      <c r="G1158" s="214">
        <v>4.33</v>
      </c>
      <c r="H1158" s="422">
        <v>4.3</v>
      </c>
      <c r="I1158" s="454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INFO'!$L$2:$M$8,2)</f>
        <v>TUE</v>
      </c>
      <c r="G1159" s="215">
        <v>4.33</v>
      </c>
      <c r="H1159" s="423">
        <v>4.3099999999999996</v>
      </c>
      <c r="I1159" s="455">
        <f t="shared" si="98"/>
        <v>-2.0000000000000462E-2</v>
      </c>
      <c r="J1159" s="434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INFO'!$L$2:$M$8,2)</f>
        <v>WED</v>
      </c>
      <c r="G1160" s="214">
        <v>4.33</v>
      </c>
      <c r="H1160" s="422">
        <v>4.3099999999999996</v>
      </c>
      <c r="I1160" s="454">
        <f t="shared" si="98"/>
        <v>-2.0000000000000462E-2</v>
      </c>
      <c r="J1160" s="433" t="s">
        <v>117</v>
      </c>
      <c r="K1160" s="15">
        <f>VLOOKUP(MONTH($C1160),'CALENDAR INFO'!$O$2:$P$13,2)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INFO'!$L$2:$M$8,2)</f>
        <v>THU</v>
      </c>
      <c r="G1161" s="214">
        <v>4.58</v>
      </c>
      <c r="H1161" s="422">
        <v>4.5599999999999996</v>
      </c>
      <c r="I1161" s="454">
        <f t="shared" si="98"/>
        <v>-2.0000000000000462E-2</v>
      </c>
      <c r="J1161" s="152" t="s">
        <v>150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INFO'!$L$2:$M$8,2)</f>
        <v>FRI</v>
      </c>
      <c r="G1162" s="214">
        <v>4.58</v>
      </c>
      <c r="H1162" s="422">
        <v>4.55</v>
      </c>
      <c r="I1162" s="454">
        <f t="shared" si="98"/>
        <v>-3.0000000000000249E-2</v>
      </c>
      <c r="J1162" s="152" t="s">
        <v>151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INFO'!$L$2:$M$8,2)</f>
        <v>SAT</v>
      </c>
      <c r="G1163" s="214">
        <v>4.58</v>
      </c>
      <c r="H1163" s="422">
        <v>4.55</v>
      </c>
      <c r="I1163" s="454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INFO'!$L$2:$M$8,2)</f>
        <v>SUN</v>
      </c>
      <c r="G1164" s="214">
        <v>4.58</v>
      </c>
      <c r="H1164" s="422">
        <v>4.55</v>
      </c>
      <c r="I1164" s="454">
        <f t="shared" si="98"/>
        <v>-3.0000000000000249E-2</v>
      </c>
      <c r="J1164" s="152" t="s">
        <v>152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INFO'!$L$2:$M$8,2)</f>
        <v>MON</v>
      </c>
      <c r="G1165" s="214">
        <v>4.58</v>
      </c>
      <c r="H1165" s="422">
        <v>4.55</v>
      </c>
      <c r="I1165" s="454">
        <f t="shared" si="98"/>
        <v>-3.0000000000000249E-2</v>
      </c>
      <c r="J1165" s="152" t="s">
        <v>153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INFO'!$L$2:$M$8,2)</f>
        <v>TUE</v>
      </c>
      <c r="G1166" s="214">
        <v>4.58</v>
      </c>
      <c r="H1166" s="422">
        <v>4.55</v>
      </c>
      <c r="I1166" s="454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INFO'!$L$2:$M$8,2)</f>
        <v>WED</v>
      </c>
      <c r="G1167" s="214">
        <v>4.58</v>
      </c>
      <c r="H1167" s="422">
        <v>4.55</v>
      </c>
      <c r="I1167" s="454">
        <f t="shared" si="98"/>
        <v>-3.0000000000000249E-2</v>
      </c>
      <c r="J1167" s="152" t="s">
        <v>154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INFO'!$L$2:$M$8,2)</f>
        <v>THU</v>
      </c>
      <c r="G1168" s="214">
        <v>4.57</v>
      </c>
      <c r="H1168" s="422">
        <v>4.55</v>
      </c>
      <c r="I1168" s="454">
        <f t="shared" si="98"/>
        <v>-2.0000000000000462E-2</v>
      </c>
      <c r="J1168" s="152" t="s">
        <v>155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INFO'!$L$2:$M$8,2)</f>
        <v>FRI</v>
      </c>
      <c r="G1169" s="214">
        <v>4.58</v>
      </c>
      <c r="H1169" s="422">
        <v>4.55</v>
      </c>
      <c r="I1169" s="454">
        <f t="shared" si="98"/>
        <v>-3.0000000000000249E-2</v>
      </c>
      <c r="J1169" s="152" t="s">
        <v>156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INFO'!$L$2:$M$8,2)</f>
        <v>SAT</v>
      </c>
      <c r="G1170" s="214">
        <v>4.58</v>
      </c>
      <c r="H1170" s="422">
        <v>4.55</v>
      </c>
      <c r="I1170" s="454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INFO'!$L$2:$M$8,2)</f>
        <v>SUN</v>
      </c>
      <c r="G1171" s="214">
        <v>4.58</v>
      </c>
      <c r="H1171" s="422">
        <v>4.55</v>
      </c>
      <c r="I1171" s="454">
        <f t="shared" si="98"/>
        <v>-3.0000000000000249E-2</v>
      </c>
      <c r="J1171" s="152" t="s">
        <v>157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INFO'!$L$2:$M$8,2)</f>
        <v>MON</v>
      </c>
      <c r="G1172" s="214">
        <v>4.58</v>
      </c>
      <c r="H1172" s="422">
        <v>4.55</v>
      </c>
      <c r="I1172" s="454">
        <f t="shared" si="98"/>
        <v>-3.0000000000000249E-2</v>
      </c>
      <c r="J1172" s="152" t="s">
        <v>158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INFO'!$L$2:$M$8,2)</f>
        <v>TUE</v>
      </c>
      <c r="G1173" s="214">
        <v>4.58</v>
      </c>
      <c r="H1173" s="422">
        <v>4.55</v>
      </c>
      <c r="I1173" s="454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INFO'!$L$2:$M$8,2)</f>
        <v>WED</v>
      </c>
      <c r="G1174" s="214">
        <v>4.58</v>
      </c>
      <c r="H1174" s="422">
        <v>4.55</v>
      </c>
      <c r="I1174" s="454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INFO'!$L$2:$M$8,2)</f>
        <v>THU</v>
      </c>
      <c r="G1175" s="214">
        <v>4.58</v>
      </c>
      <c r="H1175" s="422">
        <v>4.55</v>
      </c>
      <c r="I1175" s="454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INFO'!$L$2:$M$8,2)</f>
        <v>FRI</v>
      </c>
      <c r="G1176" s="214">
        <v>4.58</v>
      </c>
      <c r="H1176" s="422">
        <v>4.55</v>
      </c>
      <c r="I1176" s="454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INFO'!$L$2:$M$8,2)</f>
        <v>SAT</v>
      </c>
      <c r="G1177" s="214">
        <v>4.58</v>
      </c>
      <c r="H1177" s="422">
        <v>4.55</v>
      </c>
      <c r="I1177" s="454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INFO'!$L$2:$M$8,2)</f>
        <v>SUN</v>
      </c>
      <c r="G1178" s="214">
        <v>4.58</v>
      </c>
      <c r="H1178" s="422">
        <v>4.55</v>
      </c>
      <c r="I1178" s="454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INFO'!$L$2:$M$8,2)</f>
        <v>MON</v>
      </c>
      <c r="G1179" s="214">
        <v>4.58</v>
      </c>
      <c r="H1179" s="422">
        <v>4.55</v>
      </c>
      <c r="I1179" s="454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INFO'!$L$2:$M$8,2)</f>
        <v>TUE</v>
      </c>
      <c r="G1180" s="214">
        <v>4.58</v>
      </c>
      <c r="H1180" s="422">
        <v>4.55</v>
      </c>
      <c r="I1180" s="454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INFO'!$L$2:$M$8,2)</f>
        <v>WED</v>
      </c>
      <c r="G1181" s="214">
        <v>4.58</v>
      </c>
      <c r="H1181" s="422">
        <v>4.55</v>
      </c>
      <c r="I1181" s="454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INFO'!$L$2:$M$8,2)</f>
        <v>THU</v>
      </c>
      <c r="G1182" s="214">
        <v>4.58</v>
      </c>
      <c r="H1182" s="422">
        <v>4.55</v>
      </c>
      <c r="I1182" s="454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INFO'!$L$2:$M$8,2)</f>
        <v>FRI</v>
      </c>
      <c r="G1183" s="214">
        <v>4.58</v>
      </c>
      <c r="H1183" s="422">
        <v>4.55</v>
      </c>
      <c r="I1183" s="454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INFO'!$L$2:$M$8,2)</f>
        <v>SAT</v>
      </c>
      <c r="G1184" s="214">
        <v>4.58</v>
      </c>
      <c r="H1184" s="422">
        <v>4.55</v>
      </c>
      <c r="I1184" s="454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INFO'!$L$2:$M$8,2)</f>
        <v>SUN</v>
      </c>
      <c r="G1185" s="214">
        <v>4.58</v>
      </c>
      <c r="H1185" s="422">
        <v>4.55</v>
      </c>
      <c r="I1185" s="454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INFO'!$L$2:$M$8,2)</f>
        <v>MON</v>
      </c>
      <c r="G1186" s="214">
        <v>4.57</v>
      </c>
      <c r="H1186" s="422">
        <v>4.55</v>
      </c>
      <c r="I1186" s="454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INFO'!$L$2:$M$8,2)</f>
        <v>TUE</v>
      </c>
      <c r="G1187" s="215">
        <v>4.57</v>
      </c>
      <c r="H1187" s="423">
        <v>4.55</v>
      </c>
      <c r="I1187" s="455">
        <f t="shared" si="98"/>
        <v>-2.0000000000000462E-2</v>
      </c>
      <c r="J1187" s="434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INFO'!$L$2:$M$8,2)</f>
        <v>WED</v>
      </c>
      <c r="G1188" s="214">
        <v>4.58</v>
      </c>
      <c r="H1188" s="422">
        <v>4.55</v>
      </c>
      <c r="I1188" s="454">
        <f t="shared" si="98"/>
        <v>-3.0000000000000249E-2</v>
      </c>
      <c r="J1188" s="433" t="s">
        <v>117</v>
      </c>
      <c r="K1188" s="15">
        <f>VLOOKUP(MONTH($C1188),'CALENDAR INFO'!$O$2:$P$13,2)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INFO'!$L$2:$M$8,2)</f>
        <v>THU</v>
      </c>
      <c r="G1189" s="214">
        <v>4.57</v>
      </c>
      <c r="H1189" s="422">
        <v>4.55</v>
      </c>
      <c r="I1189" s="454">
        <f t="shared" si="98"/>
        <v>-2.0000000000000462E-2</v>
      </c>
      <c r="J1189" s="152" t="s">
        <v>150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INFO'!$L$2:$M$8,2)</f>
        <v>FRI</v>
      </c>
      <c r="G1190" s="214">
        <v>4.57</v>
      </c>
      <c r="H1190" s="422">
        <v>4.55</v>
      </c>
      <c r="I1190" s="454">
        <f t="shared" si="98"/>
        <v>-2.0000000000000462E-2</v>
      </c>
      <c r="J1190" s="152" t="s">
        <v>151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INFO'!$L$2:$M$8,2)</f>
        <v>SAT</v>
      </c>
      <c r="G1191" s="214">
        <v>4.57</v>
      </c>
      <c r="H1191" s="422">
        <v>4.55</v>
      </c>
      <c r="I1191" s="454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INFO'!$L$2:$M$8,2)</f>
        <v>SUN</v>
      </c>
      <c r="G1192" s="214">
        <v>4.57</v>
      </c>
      <c r="H1192" s="422">
        <v>4.55</v>
      </c>
      <c r="I1192" s="454">
        <f t="shared" si="98"/>
        <v>-2.0000000000000462E-2</v>
      </c>
      <c r="J1192" s="152" t="s">
        <v>152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INFO'!$L$2:$M$8,2)</f>
        <v>MON</v>
      </c>
      <c r="G1193" s="214">
        <v>4.57</v>
      </c>
      <c r="H1193" s="422">
        <v>4.55</v>
      </c>
      <c r="I1193" s="454">
        <f t="shared" si="98"/>
        <v>-2.0000000000000462E-2</v>
      </c>
      <c r="J1193" s="152" t="s">
        <v>153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INFO'!$L$2:$M$8,2)</f>
        <v>TUE</v>
      </c>
      <c r="G1194" s="214">
        <v>4.57</v>
      </c>
      <c r="H1194" s="422">
        <v>4.55</v>
      </c>
      <c r="I1194" s="454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INFO'!$L$2:$M$8,2)</f>
        <v>WED</v>
      </c>
      <c r="G1195" s="214">
        <v>4.57</v>
      </c>
      <c r="H1195" s="422">
        <v>4.55</v>
      </c>
      <c r="I1195" s="454">
        <f t="shared" si="98"/>
        <v>-2.0000000000000462E-2</v>
      </c>
      <c r="J1195" s="152" t="s">
        <v>154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INFO'!$L$2:$M$8,2)</f>
        <v>THU</v>
      </c>
      <c r="G1196" s="214">
        <v>4.57</v>
      </c>
      <c r="H1196" s="422">
        <v>4.55</v>
      </c>
      <c r="I1196" s="454">
        <f t="shared" si="98"/>
        <v>-2.0000000000000462E-2</v>
      </c>
      <c r="J1196" s="152" t="s">
        <v>155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INFO'!$L$2:$M$8,2)</f>
        <v>FRI</v>
      </c>
      <c r="G1197" s="214">
        <v>4.57</v>
      </c>
      <c r="H1197" s="422">
        <v>4.55</v>
      </c>
      <c r="I1197" s="454">
        <f t="shared" si="98"/>
        <v>-2.0000000000000462E-2</v>
      </c>
      <c r="J1197" s="152" t="s">
        <v>156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INFO'!$L$2:$M$8,2)</f>
        <v>SAT</v>
      </c>
      <c r="G1198" s="214">
        <v>4.57</v>
      </c>
      <c r="H1198" s="422">
        <v>4.55</v>
      </c>
      <c r="I1198" s="454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INFO'!$L$2:$M$8,2)</f>
        <v>SUN</v>
      </c>
      <c r="G1199" s="214">
        <v>4.57</v>
      </c>
      <c r="H1199" s="422">
        <v>4.55</v>
      </c>
      <c r="I1199" s="454">
        <f t="shared" si="98"/>
        <v>-2.0000000000000462E-2</v>
      </c>
      <c r="J1199" s="152" t="s">
        <v>157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INFO'!$L$2:$M$8,2)</f>
        <v>MON</v>
      </c>
      <c r="G1200" s="214">
        <v>4.58</v>
      </c>
      <c r="H1200" s="422">
        <v>4.55</v>
      </c>
      <c r="I1200" s="454">
        <f t="shared" si="98"/>
        <v>-3.0000000000000249E-2</v>
      </c>
      <c r="J1200" s="152" t="s">
        <v>158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INFO'!$L$2:$M$8,2)</f>
        <v>TUE</v>
      </c>
      <c r="G1201" s="214">
        <v>4.58</v>
      </c>
      <c r="H1201" s="422">
        <v>4.55</v>
      </c>
      <c r="I1201" s="454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INFO'!$L$2:$M$8,2)</f>
        <v>WED</v>
      </c>
      <c r="G1202" s="214">
        <v>4.58</v>
      </c>
      <c r="H1202" s="422">
        <v>4.58</v>
      </c>
      <c r="I1202" s="454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INFO'!$L$2:$M$8,2)</f>
        <v>THU</v>
      </c>
      <c r="G1203" s="214">
        <v>4.58</v>
      </c>
      <c r="H1203" s="422">
        <v>4.57</v>
      </c>
      <c r="I1203" s="454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INFO'!$L$2:$M$8,2)</f>
        <v>FRI</v>
      </c>
      <c r="G1204" s="214">
        <v>4.58</v>
      </c>
      <c r="H1204" s="422">
        <v>4.55</v>
      </c>
      <c r="I1204" s="454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INFO'!$L$2:$M$8,2)</f>
        <v>SAT</v>
      </c>
      <c r="G1205" s="214">
        <v>4.58</v>
      </c>
      <c r="H1205" s="422">
        <v>4.55</v>
      </c>
      <c r="I1205" s="454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INFO'!$L$2:$M$8,2)</f>
        <v>SUN</v>
      </c>
      <c r="G1206" s="214">
        <v>4.58</v>
      </c>
      <c r="H1206" s="422">
        <v>4.55</v>
      </c>
      <c r="I1206" s="454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INFO'!$L$2:$M$8,2)</f>
        <v>MON</v>
      </c>
      <c r="G1207" s="214">
        <v>4.58</v>
      </c>
      <c r="H1207" s="422">
        <v>4.55</v>
      </c>
      <c r="I1207" s="454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INFO'!$L$2:$M$8,2)</f>
        <v>TUE</v>
      </c>
      <c r="G1208" s="214">
        <v>4.58</v>
      </c>
      <c r="H1208" s="422">
        <v>4.55</v>
      </c>
      <c r="I1208" s="454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INFO'!$L$2:$M$8,2)</f>
        <v>WED</v>
      </c>
      <c r="G1209" s="214">
        <v>4.58</v>
      </c>
      <c r="H1209" s="422">
        <v>4.55</v>
      </c>
      <c r="I1209" s="454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INFO'!$L$2:$M$8,2)</f>
        <v>THU</v>
      </c>
      <c r="G1210" s="214">
        <v>4.83</v>
      </c>
      <c r="H1210" s="422">
        <v>4.8</v>
      </c>
      <c r="I1210" s="454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INFO'!$L$2:$M$8,2)</f>
        <v>FRI</v>
      </c>
      <c r="G1211" s="214">
        <v>4.83</v>
      </c>
      <c r="H1211" s="422">
        <v>4.8</v>
      </c>
      <c r="I1211" s="454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INFO'!$L$2:$M$8,2)</f>
        <v>SAT</v>
      </c>
      <c r="G1212" s="214">
        <v>4.83</v>
      </c>
      <c r="H1212" s="422">
        <v>4.8</v>
      </c>
      <c r="I1212" s="454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INFO'!$L$2:$M$8,2)</f>
        <v>SUN</v>
      </c>
      <c r="G1213" s="214">
        <v>4.83</v>
      </c>
      <c r="H1213" s="422">
        <v>4.8</v>
      </c>
      <c r="I1213" s="454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INFO'!$L$2:$M$8,2)</f>
        <v>MON</v>
      </c>
      <c r="G1214" s="214">
        <v>4.83</v>
      </c>
      <c r="H1214" s="422">
        <v>4.8099999999999996</v>
      </c>
      <c r="I1214" s="454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INFO'!$L$2:$M$8,2)</f>
        <v>TUE</v>
      </c>
      <c r="G1215" s="214">
        <v>4.83</v>
      </c>
      <c r="H1215" s="422">
        <v>4.84</v>
      </c>
      <c r="I1215" s="454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INFO'!$L$2:$M$8,2)</f>
        <v>WED</v>
      </c>
      <c r="G1216" s="214">
        <v>4.83</v>
      </c>
      <c r="H1216" s="422">
        <v>4.83</v>
      </c>
      <c r="I1216" s="454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INFO'!$L$2:$M$8,2)</f>
        <v>THU</v>
      </c>
      <c r="G1217" s="214">
        <v>4.83</v>
      </c>
      <c r="H1217" s="422">
        <v>4.82</v>
      </c>
      <c r="I1217" s="454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INFO'!$L$2:$M$8,2)</f>
        <v>FRI</v>
      </c>
      <c r="G1218" s="215">
        <v>4.83</v>
      </c>
      <c r="H1218" s="423">
        <v>4.87</v>
      </c>
      <c r="I1218" s="455">
        <f t="shared" si="98"/>
        <v>4.0000000000000036E-2</v>
      </c>
      <c r="J1218" s="434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INFO'!$L$2:$M$8,2)</f>
        <v>SAT</v>
      </c>
      <c r="G1219" s="214">
        <v>4.83</v>
      </c>
      <c r="H1219" s="422">
        <v>4.87</v>
      </c>
      <c r="I1219" s="454">
        <f t="shared" ref="I1219:I1282" si="103">H1219-G1219</f>
        <v>4.0000000000000036E-2</v>
      </c>
      <c r="J1219" s="433" t="s">
        <v>117</v>
      </c>
      <c r="K1219" s="15">
        <f>VLOOKUP(MONTH($C1219),'CALENDAR INFO'!$O$2:$P$13,2)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INFO'!$L$2:$M$8,2)</f>
        <v>SUN</v>
      </c>
      <c r="G1220" s="214">
        <v>4.83</v>
      </c>
      <c r="H1220" s="422">
        <v>4.87</v>
      </c>
      <c r="I1220" s="454">
        <f t="shared" si="103"/>
        <v>4.0000000000000036E-2</v>
      </c>
      <c r="J1220" s="152" t="s">
        <v>150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INFO'!$L$2:$M$8,2)</f>
        <v>MON</v>
      </c>
      <c r="G1221" s="214">
        <v>4.83</v>
      </c>
      <c r="H1221" s="422">
        <v>4.84</v>
      </c>
      <c r="I1221" s="454">
        <f t="shared" si="103"/>
        <v>9.9999999999997868E-3</v>
      </c>
      <c r="J1221" s="152" t="s">
        <v>151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INFO'!$L$2:$M$8,2)</f>
        <v>TUE</v>
      </c>
      <c r="G1222" s="214">
        <v>4.83</v>
      </c>
      <c r="H1222" s="422">
        <v>4.83</v>
      </c>
      <c r="I1222" s="454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INFO'!$L$2:$M$8,2)</f>
        <v>WED</v>
      </c>
      <c r="G1223" s="214">
        <v>4.83</v>
      </c>
      <c r="H1223" s="422">
        <v>4.8099999999999996</v>
      </c>
      <c r="I1223" s="454">
        <f t="shared" si="103"/>
        <v>-2.0000000000000462E-2</v>
      </c>
      <c r="J1223" s="152" t="s">
        <v>152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INFO'!$L$2:$M$8,2)</f>
        <v>THU</v>
      </c>
      <c r="G1224" s="214">
        <v>4.83</v>
      </c>
      <c r="H1224" s="422">
        <v>4.8099999999999996</v>
      </c>
      <c r="I1224" s="454">
        <f t="shared" si="103"/>
        <v>-2.0000000000000462E-2</v>
      </c>
      <c r="J1224" s="152" t="s">
        <v>153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INFO'!$L$2:$M$8,2)</f>
        <v>FRI</v>
      </c>
      <c r="G1225" s="214">
        <v>4.83</v>
      </c>
      <c r="H1225" s="422">
        <v>4.8099999999999996</v>
      </c>
      <c r="I1225" s="454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INFO'!$L$2:$M$8,2)</f>
        <v>SAT</v>
      </c>
      <c r="G1226" s="214">
        <v>4.83</v>
      </c>
      <c r="H1226" s="422">
        <v>4.8099999999999996</v>
      </c>
      <c r="I1226" s="454">
        <f t="shared" si="103"/>
        <v>-2.0000000000000462E-2</v>
      </c>
      <c r="J1226" s="152" t="s">
        <v>154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INFO'!$L$2:$M$8,2)</f>
        <v>SUN</v>
      </c>
      <c r="G1227" s="214">
        <v>4.83</v>
      </c>
      <c r="H1227" s="422">
        <v>4.8099999999999996</v>
      </c>
      <c r="I1227" s="454">
        <f t="shared" si="103"/>
        <v>-2.0000000000000462E-2</v>
      </c>
      <c r="J1227" s="152" t="s">
        <v>155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INFO'!$L$2:$M$8,2)</f>
        <v>MON</v>
      </c>
      <c r="G1228" s="214">
        <v>4.83</v>
      </c>
      <c r="H1228" s="422">
        <v>4.8099999999999996</v>
      </c>
      <c r="I1228" s="454">
        <f t="shared" si="103"/>
        <v>-2.0000000000000462E-2</v>
      </c>
      <c r="J1228" s="152" t="s">
        <v>156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INFO'!$L$2:$M$8,2)</f>
        <v>TUE</v>
      </c>
      <c r="G1229" s="214">
        <v>4.83</v>
      </c>
      <c r="H1229" s="422">
        <v>4.8</v>
      </c>
      <c r="I1229" s="454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INFO'!$L$2:$M$8,2)</f>
        <v>WED</v>
      </c>
      <c r="G1230" s="214">
        <v>4.83</v>
      </c>
      <c r="H1230" s="422">
        <v>4.8</v>
      </c>
      <c r="I1230" s="454">
        <f t="shared" si="103"/>
        <v>-3.0000000000000249E-2</v>
      </c>
      <c r="J1230" s="152" t="s">
        <v>157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INFO'!$L$2:$M$8,2)</f>
        <v>THU</v>
      </c>
      <c r="G1231" s="214">
        <v>4.83</v>
      </c>
      <c r="H1231" s="422">
        <v>4.8</v>
      </c>
      <c r="I1231" s="454">
        <f t="shared" si="103"/>
        <v>-3.0000000000000249E-2</v>
      </c>
      <c r="J1231" s="152" t="s">
        <v>158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INFO'!$L$2:$M$8,2)</f>
        <v>FRI</v>
      </c>
      <c r="G1232" s="214">
        <v>4.83</v>
      </c>
      <c r="H1232" s="422">
        <v>4.8</v>
      </c>
      <c r="I1232" s="454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INFO'!$L$2:$M$8,2)</f>
        <v>SAT</v>
      </c>
      <c r="G1233" s="214">
        <v>4.83</v>
      </c>
      <c r="H1233" s="422">
        <v>4.8</v>
      </c>
      <c r="I1233" s="454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INFO'!$L$2:$M$8,2)</f>
        <v>SUN</v>
      </c>
      <c r="G1234" s="214">
        <v>4.83</v>
      </c>
      <c r="H1234" s="422">
        <v>4.8</v>
      </c>
      <c r="I1234" s="454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INFO'!$L$2:$M$8,2)</f>
        <v>MON</v>
      </c>
      <c r="G1235" s="214">
        <v>4.83</v>
      </c>
      <c r="H1235" s="422">
        <v>4.8</v>
      </c>
      <c r="I1235" s="454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INFO'!$L$2:$M$8,2)</f>
        <v>TUE</v>
      </c>
      <c r="G1236" s="214">
        <v>4.83</v>
      </c>
      <c r="H1236" s="422">
        <v>4.8</v>
      </c>
      <c r="I1236" s="454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INFO'!$L$2:$M$8,2)</f>
        <v>WED</v>
      </c>
      <c r="G1237" s="214">
        <v>4.83</v>
      </c>
      <c r="H1237" s="422">
        <v>4.8</v>
      </c>
      <c r="I1237" s="454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INFO'!$L$2:$M$8,2)</f>
        <v>THU</v>
      </c>
      <c r="G1238" s="214">
        <v>4.83</v>
      </c>
      <c r="H1238" s="422">
        <v>4.8</v>
      </c>
      <c r="I1238" s="454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INFO'!$L$2:$M$8,2)</f>
        <v>FRI</v>
      </c>
      <c r="G1239" s="214">
        <v>4.83</v>
      </c>
      <c r="H1239" s="422">
        <v>4.8</v>
      </c>
      <c r="I1239" s="454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INFO'!$L$2:$M$8,2)</f>
        <v>SAT</v>
      </c>
      <c r="G1240" s="214">
        <v>4.83</v>
      </c>
      <c r="H1240" s="422">
        <v>4.8</v>
      </c>
      <c r="I1240" s="454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INFO'!$L$2:$M$8,2)</f>
        <v>SUN</v>
      </c>
      <c r="G1241" s="214">
        <v>4.83</v>
      </c>
      <c r="H1241" s="422">
        <v>4.8</v>
      </c>
      <c r="I1241" s="454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INFO'!$L$2:$M$8,2)</f>
        <v>MON</v>
      </c>
      <c r="G1242" s="214">
        <v>4.83</v>
      </c>
      <c r="H1242" s="422">
        <v>4.8</v>
      </c>
      <c r="I1242" s="454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INFO'!$L$2:$M$8,2)</f>
        <v>TUE</v>
      </c>
      <c r="G1243" s="214">
        <v>4.83</v>
      </c>
      <c r="H1243" s="422">
        <v>4.8</v>
      </c>
      <c r="I1243" s="454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INFO'!$L$2:$M$8,2)</f>
        <v>WED</v>
      </c>
      <c r="G1244" s="214">
        <v>4.83</v>
      </c>
      <c r="H1244" s="422">
        <v>4.8</v>
      </c>
      <c r="I1244" s="454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INFO'!$L$2:$M$8,2)</f>
        <v>THU</v>
      </c>
      <c r="G1245" s="214">
        <v>4.83</v>
      </c>
      <c r="H1245" s="422">
        <v>4.8099999999999996</v>
      </c>
      <c r="I1245" s="454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INFO'!$L$2:$M$8,2)</f>
        <v>FRI</v>
      </c>
      <c r="G1246" s="214">
        <v>4.83</v>
      </c>
      <c r="H1246" s="422">
        <v>4.8099999999999996</v>
      </c>
      <c r="I1246" s="454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INFO'!$L$2:$M$8,2)</f>
        <v>SAT</v>
      </c>
      <c r="G1247" s="214">
        <v>4.83</v>
      </c>
      <c r="H1247" s="422">
        <v>4.8099999999999996</v>
      </c>
      <c r="I1247" s="454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INFO'!$L$2:$M$8,2)</f>
        <v>SUN</v>
      </c>
      <c r="G1248" s="215">
        <v>4.83</v>
      </c>
      <c r="H1248" s="423">
        <v>4.8099999999999996</v>
      </c>
      <c r="I1248" s="455">
        <f t="shared" si="103"/>
        <v>-2.0000000000000462E-2</v>
      </c>
      <c r="J1248" s="434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INFO'!$L$2:$M$8,2)</f>
        <v>MON</v>
      </c>
      <c r="G1249" s="218">
        <v>4.83</v>
      </c>
      <c r="H1249" s="427">
        <v>4.8099999999999996</v>
      </c>
      <c r="I1249" s="458">
        <f t="shared" si="103"/>
        <v>-2.0000000000000462E-2</v>
      </c>
      <c r="J1249" s="433" t="s">
        <v>117</v>
      </c>
      <c r="K1249" s="15">
        <f>VLOOKUP(MONTH($C1249),'CALENDAR INFO'!$O$2:$P$13,2)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INFO'!$L$2:$M$8,2)</f>
        <v>TUE</v>
      </c>
      <c r="G1250" s="214">
        <v>4.83</v>
      </c>
      <c r="H1250" s="422">
        <v>4.8099999999999996</v>
      </c>
      <c r="I1250" s="454">
        <f t="shared" si="103"/>
        <v>-2.0000000000000462E-2</v>
      </c>
      <c r="J1250" s="152" t="s">
        <v>150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INFO'!$L$2:$M$8,2)</f>
        <v>WED</v>
      </c>
      <c r="G1251" s="214">
        <v>4.83</v>
      </c>
      <c r="H1251" s="422">
        <v>4.8099999999999996</v>
      </c>
      <c r="I1251" s="454">
        <f t="shared" si="103"/>
        <v>-2.0000000000000462E-2</v>
      </c>
      <c r="J1251" s="152" t="s">
        <v>151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INFO'!$L$2:$M$8,2)</f>
        <v>THU</v>
      </c>
      <c r="G1252" s="214">
        <v>5.08</v>
      </c>
      <c r="H1252" s="422">
        <v>5.0599999999999996</v>
      </c>
      <c r="I1252" s="454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INFO'!$L$2:$M$8,2)</f>
        <v>FRI</v>
      </c>
      <c r="G1253" s="214">
        <v>5.08</v>
      </c>
      <c r="H1253" s="422">
        <v>5.0599999999999996</v>
      </c>
      <c r="I1253" s="454">
        <f t="shared" si="103"/>
        <v>-2.0000000000000462E-2</v>
      </c>
      <c r="J1253" s="152" t="s">
        <v>152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INFO'!$L$2:$M$8,2)</f>
        <v>SAT</v>
      </c>
      <c r="G1254" s="214">
        <v>5.08</v>
      </c>
      <c r="H1254" s="422">
        <v>5.0599999999999996</v>
      </c>
      <c r="I1254" s="454">
        <f t="shared" si="103"/>
        <v>-2.0000000000000462E-2</v>
      </c>
      <c r="J1254" s="152" t="s">
        <v>153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INFO'!$L$2:$M$8,2)</f>
        <v>SUN</v>
      </c>
      <c r="G1255" s="214">
        <v>5.08</v>
      </c>
      <c r="H1255" s="422">
        <v>5.0599999999999996</v>
      </c>
      <c r="I1255" s="454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INFO'!$L$2:$M$8,2)</f>
        <v>MON</v>
      </c>
      <c r="G1256" s="214">
        <v>5.08</v>
      </c>
      <c r="H1256" s="422">
        <v>5.0599999999999996</v>
      </c>
      <c r="I1256" s="454">
        <f t="shared" si="103"/>
        <v>-2.0000000000000462E-2</v>
      </c>
      <c r="J1256" s="152" t="s">
        <v>154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INFO'!$L$2:$M$8,2)</f>
        <v>TUE</v>
      </c>
      <c r="G1257" s="214">
        <v>5.08</v>
      </c>
      <c r="H1257" s="422">
        <v>5.0599999999999996</v>
      </c>
      <c r="I1257" s="454">
        <f t="shared" si="103"/>
        <v>-2.0000000000000462E-2</v>
      </c>
      <c r="J1257" s="152" t="s">
        <v>155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INFO'!$L$2:$M$8,2)</f>
        <v>WED</v>
      </c>
      <c r="G1258" s="214">
        <v>5.08</v>
      </c>
      <c r="H1258" s="422">
        <v>5.0599999999999996</v>
      </c>
      <c r="I1258" s="454">
        <f t="shared" si="103"/>
        <v>-2.0000000000000462E-2</v>
      </c>
      <c r="J1258" s="152" t="s">
        <v>156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INFO'!$L$2:$M$8,2)</f>
        <v>THU</v>
      </c>
      <c r="G1259" s="214">
        <v>5.08</v>
      </c>
      <c r="H1259" s="422">
        <v>5.05</v>
      </c>
      <c r="I1259" s="454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INFO'!$L$2:$M$8,2)</f>
        <v>FRI</v>
      </c>
      <c r="G1260" s="214">
        <v>5.08</v>
      </c>
      <c r="H1260" s="422">
        <v>5.05</v>
      </c>
      <c r="I1260" s="454">
        <f t="shared" si="103"/>
        <v>-3.0000000000000249E-2</v>
      </c>
      <c r="J1260" s="152" t="s">
        <v>157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INFO'!$L$2:$M$8,2)</f>
        <v>SAT</v>
      </c>
      <c r="G1261" s="214">
        <v>5.08</v>
      </c>
      <c r="H1261" s="422">
        <v>5.05</v>
      </c>
      <c r="I1261" s="454">
        <f t="shared" si="103"/>
        <v>-3.0000000000000249E-2</v>
      </c>
      <c r="J1261" s="152" t="s">
        <v>158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INFO'!$L$2:$M$8,2)</f>
        <v>SUN</v>
      </c>
      <c r="G1262" s="214">
        <v>5.08</v>
      </c>
      <c r="H1262" s="422">
        <v>5.05</v>
      </c>
      <c r="I1262" s="454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INFO'!$L$2:$M$8,2)</f>
        <v>MON</v>
      </c>
      <c r="G1263" s="214">
        <v>5.08</v>
      </c>
      <c r="H1263" s="422">
        <v>5.0599999999999996</v>
      </c>
      <c r="I1263" s="454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INFO'!$L$2:$M$8,2)</f>
        <v>TUE</v>
      </c>
      <c r="G1264" s="214">
        <v>5.08</v>
      </c>
      <c r="H1264" s="422">
        <v>5.05</v>
      </c>
      <c r="I1264" s="454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INFO'!$L$2:$M$8,2)</f>
        <v>WED</v>
      </c>
      <c r="G1265" s="214">
        <v>5.08</v>
      </c>
      <c r="H1265" s="422">
        <v>5.05</v>
      </c>
      <c r="I1265" s="454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INFO'!$L$2:$M$8,2)</f>
        <v>THU</v>
      </c>
      <c r="G1266" s="214">
        <v>5.08</v>
      </c>
      <c r="H1266" s="422">
        <v>5.05</v>
      </c>
      <c r="I1266" s="454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INFO'!$L$2:$M$8,2)</f>
        <v>FRI</v>
      </c>
      <c r="G1267" s="214">
        <v>5.08</v>
      </c>
      <c r="H1267" s="422">
        <v>5.05</v>
      </c>
      <c r="I1267" s="454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INFO'!$L$2:$M$8,2)</f>
        <v>SAT</v>
      </c>
      <c r="G1268" s="214">
        <v>5.08</v>
      </c>
      <c r="H1268" s="422">
        <v>5.05</v>
      </c>
      <c r="I1268" s="454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INFO'!$L$2:$M$8,2)</f>
        <v>SUN</v>
      </c>
      <c r="G1269" s="214">
        <v>5.08</v>
      </c>
      <c r="H1269" s="422">
        <v>5.05</v>
      </c>
      <c r="I1269" s="454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INFO'!$L$2:$M$8,2)</f>
        <v>MON</v>
      </c>
      <c r="G1270" s="214">
        <v>5.08</v>
      </c>
      <c r="H1270" s="422">
        <v>5.05</v>
      </c>
      <c r="I1270" s="454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INFO'!$L$2:$M$8,2)</f>
        <v>TUE</v>
      </c>
      <c r="G1271" s="214">
        <v>5.08</v>
      </c>
      <c r="H1271" s="422">
        <v>5.05</v>
      </c>
      <c r="I1271" s="454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INFO'!$L$2:$M$8,2)</f>
        <v>WED</v>
      </c>
      <c r="G1272" s="214">
        <v>5.08</v>
      </c>
      <c r="H1272" s="422">
        <v>5.05</v>
      </c>
      <c r="I1272" s="454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INFO'!$L$2:$M$8,2)</f>
        <v>THU</v>
      </c>
      <c r="G1273" s="214">
        <v>5.08</v>
      </c>
      <c r="H1273" s="422">
        <v>5.0599999999999996</v>
      </c>
      <c r="I1273" s="454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INFO'!$L$2:$M$8,2)</f>
        <v>FRI</v>
      </c>
      <c r="G1274" s="214">
        <v>5.08</v>
      </c>
      <c r="H1274" s="422">
        <v>5.0599999999999996</v>
      </c>
      <c r="I1274" s="454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INFO'!$L$2:$M$8,2)</f>
        <v>SAT</v>
      </c>
      <c r="G1275" s="214">
        <v>5.08</v>
      </c>
      <c r="H1275" s="422">
        <v>5.0599999999999996</v>
      </c>
      <c r="I1275" s="454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INFO'!$L$2:$M$8,2)</f>
        <v>SUN</v>
      </c>
      <c r="G1276" s="214">
        <v>5.08</v>
      </c>
      <c r="H1276" s="422">
        <v>5.0599999999999996</v>
      </c>
      <c r="I1276" s="454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INFO'!$L$2:$M$8,2)</f>
        <v>MON</v>
      </c>
      <c r="G1277" s="214">
        <v>5.08</v>
      </c>
      <c r="H1277" s="422">
        <v>5.0599999999999996</v>
      </c>
      <c r="I1277" s="454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INFO'!$L$2:$M$8,2)</f>
        <v>TUE</v>
      </c>
      <c r="G1278" s="214">
        <v>5.08</v>
      </c>
      <c r="H1278" s="422">
        <v>5.0599999999999996</v>
      </c>
      <c r="I1278" s="454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INFO'!$L$2:$M$8,2)</f>
        <v>WED</v>
      </c>
      <c r="G1279" s="215">
        <v>5.08</v>
      </c>
      <c r="H1279" s="423">
        <v>5.08</v>
      </c>
      <c r="I1279" s="455">
        <f t="shared" si="103"/>
        <v>0</v>
      </c>
      <c r="J1279" s="434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INFO'!$L$2:$M$8,2)</f>
        <v>THU</v>
      </c>
      <c r="G1280" s="218">
        <v>5.08</v>
      </c>
      <c r="H1280" s="427">
        <v>5.08</v>
      </c>
      <c r="I1280" s="458">
        <f t="shared" si="103"/>
        <v>0</v>
      </c>
      <c r="J1280" s="433" t="s">
        <v>117</v>
      </c>
      <c r="K1280" s="15">
        <f>VLOOKUP(MONTH($C1280),'CALENDAR INFO'!$O$2:$P$13,2)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INFO'!$L$2:$M$8,2)</f>
        <v>FRI</v>
      </c>
      <c r="G1281" s="214">
        <v>5.08</v>
      </c>
      <c r="H1281" s="422">
        <v>5.07</v>
      </c>
      <c r="I1281" s="454">
        <f t="shared" si="103"/>
        <v>-9.9999999999997868E-3</v>
      </c>
      <c r="J1281" s="152" t="s">
        <v>150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INFO'!$L$2:$M$8,2)</f>
        <v>SAT</v>
      </c>
      <c r="G1282" s="214">
        <v>5.08</v>
      </c>
      <c r="H1282" s="422">
        <v>5.07</v>
      </c>
      <c r="I1282" s="454">
        <f t="shared" si="103"/>
        <v>-9.9999999999997868E-3</v>
      </c>
      <c r="J1282" s="152" t="s">
        <v>151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INFO'!$L$2:$M$8,2)</f>
        <v>SUN</v>
      </c>
      <c r="G1283" s="214">
        <v>5.08</v>
      </c>
      <c r="H1283" s="422">
        <v>5.07</v>
      </c>
      <c r="I1283" s="454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INFO'!$L$2:$M$8,2)</f>
        <v>MON</v>
      </c>
      <c r="G1284" s="214">
        <v>5.08</v>
      </c>
      <c r="H1284" s="422">
        <v>5.0599999999999996</v>
      </c>
      <c r="I1284" s="454">
        <f t="shared" si="108"/>
        <v>-2.0000000000000462E-2</v>
      </c>
      <c r="J1284" s="152" t="s">
        <v>152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INFO'!$L$2:$M$8,2)</f>
        <v>TUE</v>
      </c>
      <c r="G1285" s="214">
        <v>5.08</v>
      </c>
      <c r="H1285" s="422">
        <v>5.05</v>
      </c>
      <c r="I1285" s="454">
        <f t="shared" si="108"/>
        <v>-3.0000000000000249E-2</v>
      </c>
      <c r="J1285" s="152" t="s">
        <v>153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INFO'!$L$2:$M$8,2)</f>
        <v>WED</v>
      </c>
      <c r="G1286" s="214">
        <v>5.08</v>
      </c>
      <c r="H1286" s="422">
        <v>5.05</v>
      </c>
      <c r="I1286" s="454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INFO'!$L$2:$M$8,2)</f>
        <v>THU</v>
      </c>
      <c r="G1287" s="214">
        <v>5.08</v>
      </c>
      <c r="H1287" s="422">
        <v>5.05</v>
      </c>
      <c r="I1287" s="454">
        <f t="shared" si="108"/>
        <v>-3.0000000000000249E-2</v>
      </c>
      <c r="J1287" s="152" t="s">
        <v>154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INFO'!$L$2:$M$8,2)</f>
        <v>FRI</v>
      </c>
      <c r="G1288" s="214">
        <v>5.08</v>
      </c>
      <c r="H1288" s="422">
        <v>5.05</v>
      </c>
      <c r="I1288" s="454">
        <f t="shared" si="108"/>
        <v>-3.0000000000000249E-2</v>
      </c>
      <c r="J1288" s="152" t="s">
        <v>155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INFO'!$L$2:$M$8,2)</f>
        <v>SAT</v>
      </c>
      <c r="G1289" s="214">
        <v>5.08</v>
      </c>
      <c r="H1289" s="422">
        <v>5.05</v>
      </c>
      <c r="I1289" s="454">
        <f t="shared" si="108"/>
        <v>-3.0000000000000249E-2</v>
      </c>
      <c r="J1289" s="152" t="s">
        <v>156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INFO'!$L$2:$M$8,2)</f>
        <v>SUN</v>
      </c>
      <c r="G1290" s="214">
        <v>5.08</v>
      </c>
      <c r="H1290" s="422">
        <v>5.05</v>
      </c>
      <c r="I1290" s="454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INFO'!$L$2:$M$8,2)</f>
        <v>MON</v>
      </c>
      <c r="G1291" s="214">
        <v>5.08</v>
      </c>
      <c r="H1291" s="422">
        <v>5.05</v>
      </c>
      <c r="I1291" s="454">
        <f t="shared" si="108"/>
        <v>-3.0000000000000249E-2</v>
      </c>
      <c r="J1291" s="152" t="s">
        <v>157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INFO'!$L$2:$M$8,2)</f>
        <v>TUE</v>
      </c>
      <c r="G1292" s="214">
        <v>5.08</v>
      </c>
      <c r="H1292" s="422">
        <v>5.05</v>
      </c>
      <c r="I1292" s="454">
        <f t="shared" si="108"/>
        <v>-3.0000000000000249E-2</v>
      </c>
      <c r="J1292" s="152" t="s">
        <v>158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INFO'!$L$2:$M$8,2)</f>
        <v>WED</v>
      </c>
      <c r="G1293" s="214">
        <v>5.08</v>
      </c>
      <c r="H1293" s="422">
        <v>5.05</v>
      </c>
      <c r="I1293" s="454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INFO'!$L$2:$M$8,2)</f>
        <v>THU</v>
      </c>
      <c r="G1294" s="214">
        <v>5.07</v>
      </c>
      <c r="H1294" s="422">
        <v>5.0599999999999996</v>
      </c>
      <c r="I1294" s="454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INFO'!$L$2:$M$8,2)</f>
        <v>FRI</v>
      </c>
      <c r="G1295" s="219">
        <v>5.08</v>
      </c>
      <c r="H1295" s="428">
        <v>5.05</v>
      </c>
      <c r="I1295" s="454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INFO'!$L$2:$M$8,2)</f>
        <v>SAT</v>
      </c>
      <c r="G1296" s="219">
        <v>5.08</v>
      </c>
      <c r="H1296" s="428">
        <v>5.05</v>
      </c>
      <c r="I1296" s="454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INFO'!$L$2:$M$8,2)</f>
        <v>SUN</v>
      </c>
      <c r="G1297" s="214">
        <v>5.08</v>
      </c>
      <c r="H1297" s="422">
        <v>5.05</v>
      </c>
      <c r="I1297" s="454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126</v>
      </c>
      <c r="E1298" s="167"/>
      <c r="F1298" s="58" t="str">
        <f>VLOOKUP(MOD(C1298,7),'CALENDAR INFO'!$L$2:$M$8,2)</f>
        <v>MON</v>
      </c>
      <c r="G1298" s="214">
        <v>5.08</v>
      </c>
      <c r="H1298" s="422">
        <v>5.05</v>
      </c>
      <c r="I1298" s="454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INFO'!$L$2:$M$8,2)</f>
        <v>TUE</v>
      </c>
      <c r="G1299" s="214">
        <v>5.07</v>
      </c>
      <c r="H1299" s="422">
        <v>5.05</v>
      </c>
      <c r="I1299" s="454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INFO'!$L$2:$M$8,2)</f>
        <v>WED</v>
      </c>
      <c r="G1300" s="214">
        <v>5.07</v>
      </c>
      <c r="H1300" s="422">
        <v>5.05</v>
      </c>
      <c r="I1300" s="454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INFO'!$L$2:$M$8,2)</f>
        <v>THU</v>
      </c>
      <c r="G1301" s="214">
        <v>5.07</v>
      </c>
      <c r="H1301" s="422">
        <v>5.05</v>
      </c>
      <c r="I1301" s="454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INFO'!$L$2:$M$8,2)</f>
        <v>FRI</v>
      </c>
      <c r="G1302" s="214">
        <v>5.07</v>
      </c>
      <c r="H1302" s="422">
        <v>5.05</v>
      </c>
      <c r="I1302" s="454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INFO'!$L$2:$M$8,2)</f>
        <v>SAT</v>
      </c>
      <c r="G1303" s="214">
        <v>5.07</v>
      </c>
      <c r="H1303" s="422">
        <v>5.05</v>
      </c>
      <c r="I1303" s="454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INFO'!$L$2:$M$8,2)</f>
        <v>SUN</v>
      </c>
      <c r="G1304" s="214">
        <v>5.07</v>
      </c>
      <c r="H1304" s="422">
        <v>5.05</v>
      </c>
      <c r="I1304" s="454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INFO'!$L$2:$M$8,2)</f>
        <v>MON</v>
      </c>
      <c r="G1305" s="214">
        <v>5.07</v>
      </c>
      <c r="H1305" s="422">
        <v>5.05</v>
      </c>
      <c r="I1305" s="454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INFO'!$L$2:$M$8,2)</f>
        <v>TUE</v>
      </c>
      <c r="G1306" s="214">
        <v>5.07</v>
      </c>
      <c r="H1306" s="422">
        <v>5.05</v>
      </c>
      <c r="I1306" s="454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INFO'!$L$2:$M$8,2)</f>
        <v>WED</v>
      </c>
      <c r="G1307" s="214">
        <v>5.07</v>
      </c>
      <c r="H1307" s="422">
        <v>5.0599999999999996</v>
      </c>
      <c r="I1307" s="454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INFO'!$L$2:$M$8,2)</f>
        <v>THU</v>
      </c>
      <c r="G1308" s="214">
        <v>5.07</v>
      </c>
      <c r="H1308" s="422">
        <v>5.0599999999999996</v>
      </c>
      <c r="I1308" s="454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INFO'!$L$2:$M$8,2)</f>
        <v>FRI</v>
      </c>
      <c r="G1309" s="215">
        <v>5.08</v>
      </c>
      <c r="H1309" s="423">
        <v>5.09</v>
      </c>
      <c r="I1309" s="455">
        <f t="shared" si="108"/>
        <v>9.9999999999997868E-3</v>
      </c>
      <c r="J1309" s="434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INFO'!$L$2:$M$8,2)</f>
        <v>SAT</v>
      </c>
      <c r="G1310" s="214">
        <v>5.08</v>
      </c>
      <c r="H1310" s="422">
        <v>5.09</v>
      </c>
      <c r="I1310" s="454">
        <f t="shared" si="108"/>
        <v>9.9999999999997868E-3</v>
      </c>
      <c r="J1310" s="433" t="s">
        <v>117</v>
      </c>
      <c r="K1310" s="15">
        <f>VLOOKUP(MONTH($C1310),'CALENDAR INFO'!$O$2:$P$13,2)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INFO'!$L$2:$M$8,2)</f>
        <v>SUN</v>
      </c>
      <c r="G1311" s="214">
        <v>5.08</v>
      </c>
      <c r="H1311" s="422">
        <v>5.09</v>
      </c>
      <c r="I1311" s="454">
        <f t="shared" si="108"/>
        <v>9.9999999999997868E-3</v>
      </c>
      <c r="J1311" s="152" t="s">
        <v>150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INFO'!$L$2:$M$8,2)</f>
        <v>MON</v>
      </c>
      <c r="G1312" s="214">
        <v>5.08</v>
      </c>
      <c r="H1312" s="422">
        <v>5.0599999999999996</v>
      </c>
      <c r="I1312" s="454">
        <f t="shared" si="108"/>
        <v>-2.0000000000000462E-2</v>
      </c>
      <c r="J1312" s="152" t="s">
        <v>151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INFO'!$L$2:$M$8,2)</f>
        <v>TUE</v>
      </c>
      <c r="G1313" s="214">
        <v>5.08</v>
      </c>
      <c r="H1313" s="422">
        <v>5.0599999999999996</v>
      </c>
      <c r="I1313" s="454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INFO'!$L$2:$M$8,2)</f>
        <v>WED</v>
      </c>
      <c r="G1314" s="214">
        <v>5.08</v>
      </c>
      <c r="H1314" s="422">
        <v>5.0599999999999996</v>
      </c>
      <c r="I1314" s="454">
        <f t="shared" si="108"/>
        <v>-2.0000000000000462E-2</v>
      </c>
      <c r="J1314" s="152" t="s">
        <v>152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INFO'!$L$2:$M$8,2)</f>
        <v>THU</v>
      </c>
      <c r="G1315" s="214">
        <v>5.08</v>
      </c>
      <c r="H1315" s="422">
        <v>5.0599999999999996</v>
      </c>
      <c r="I1315" s="454">
        <f t="shared" si="108"/>
        <v>-2.0000000000000462E-2</v>
      </c>
      <c r="J1315" s="152" t="s">
        <v>153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INFO'!$L$2:$M$8,2)</f>
        <v>FRI</v>
      </c>
      <c r="G1316" s="214">
        <v>5.08</v>
      </c>
      <c r="H1316" s="422">
        <v>5.0599999999999996</v>
      </c>
      <c r="I1316" s="454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INFO'!$L$2:$M$8,2)</f>
        <v>SAT</v>
      </c>
      <c r="G1317" s="214">
        <v>5.08</v>
      </c>
      <c r="H1317" s="422">
        <v>5.0599999999999996</v>
      </c>
      <c r="I1317" s="454">
        <f t="shared" si="108"/>
        <v>-2.0000000000000462E-2</v>
      </c>
      <c r="J1317" s="152" t="s">
        <v>154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INFO'!$L$2:$M$8,2)</f>
        <v>SUN</v>
      </c>
      <c r="G1318" s="214">
        <v>5.08</v>
      </c>
      <c r="H1318" s="422">
        <v>5.0599999999999996</v>
      </c>
      <c r="I1318" s="454">
        <f t="shared" si="108"/>
        <v>-2.0000000000000462E-2</v>
      </c>
      <c r="J1318" s="152" t="s">
        <v>155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INFO'!$L$2:$M$8,2)</f>
        <v>MON</v>
      </c>
      <c r="G1319" s="214">
        <v>5.07</v>
      </c>
      <c r="H1319" s="422">
        <v>5.0599999999999996</v>
      </c>
      <c r="I1319" s="454">
        <f t="shared" si="108"/>
        <v>-1.0000000000000675E-2</v>
      </c>
      <c r="J1319" s="152" t="s">
        <v>156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INFO'!$L$2:$M$8,2)</f>
        <v>TUE</v>
      </c>
      <c r="G1320" s="214">
        <v>5.08</v>
      </c>
      <c r="H1320" s="422">
        <v>5.0599999999999996</v>
      </c>
      <c r="I1320" s="454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INFO'!$L$2:$M$8,2)</f>
        <v>WED</v>
      </c>
      <c r="G1321" s="214">
        <v>5.08</v>
      </c>
      <c r="H1321" s="422">
        <v>5.05</v>
      </c>
      <c r="I1321" s="454">
        <f t="shared" si="108"/>
        <v>-3.0000000000000249E-2</v>
      </c>
      <c r="J1321" s="152" t="s">
        <v>157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INFO'!$L$2:$M$8,2)</f>
        <v>THU</v>
      </c>
      <c r="G1322" s="214">
        <v>5.08</v>
      </c>
      <c r="H1322" s="422">
        <v>5.0599999999999996</v>
      </c>
      <c r="I1322" s="454">
        <f t="shared" si="108"/>
        <v>-2.0000000000000462E-2</v>
      </c>
      <c r="J1322" s="152" t="s">
        <v>158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INFO'!$L$2:$M$8,2)</f>
        <v>FRI</v>
      </c>
      <c r="G1323" s="214">
        <v>5.08</v>
      </c>
      <c r="H1323" s="422">
        <v>5.05</v>
      </c>
      <c r="I1323" s="454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INFO'!$L$2:$M$8,2)</f>
        <v>SAT</v>
      </c>
      <c r="G1324" s="214">
        <v>5.08</v>
      </c>
      <c r="H1324" s="422">
        <v>5.05</v>
      </c>
      <c r="I1324" s="454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INFO'!$L$2:$M$8,2)</f>
        <v>SUN</v>
      </c>
      <c r="G1325" s="214">
        <v>5.08</v>
      </c>
      <c r="H1325" s="422">
        <v>5.05</v>
      </c>
      <c r="I1325" s="454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INFO'!$L$2:$M$8,2)</f>
        <v>MON</v>
      </c>
      <c r="G1326" s="214">
        <v>5.08</v>
      </c>
      <c r="H1326" s="422">
        <v>5.0599999999999996</v>
      </c>
      <c r="I1326" s="454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INFO'!$L$2:$M$8,2)</f>
        <v>TUE</v>
      </c>
      <c r="G1327" s="214">
        <v>5.08</v>
      </c>
      <c r="H1327" s="422">
        <v>5.0599999999999996</v>
      </c>
      <c r="I1327" s="454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INFO'!$L$2:$M$8,2)</f>
        <v>WED</v>
      </c>
      <c r="G1328" s="214">
        <v>5.08</v>
      </c>
      <c r="H1328" s="422">
        <v>5.05</v>
      </c>
      <c r="I1328" s="454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INFO'!$L$2:$M$8,2)</f>
        <v>THU</v>
      </c>
      <c r="G1329" s="214">
        <v>5.08</v>
      </c>
      <c r="H1329" s="422">
        <v>5.0599999999999996</v>
      </c>
      <c r="I1329" s="454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INFO'!$L$2:$M$8,2)</f>
        <v>FRI</v>
      </c>
      <c r="G1330" s="214">
        <v>5.08</v>
      </c>
      <c r="H1330" s="422">
        <v>5.05</v>
      </c>
      <c r="I1330" s="454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INFO'!$L$2:$M$8,2)</f>
        <v>SAT</v>
      </c>
      <c r="G1331" s="214">
        <v>5.08</v>
      </c>
      <c r="H1331" s="422">
        <v>5.05</v>
      </c>
      <c r="I1331" s="454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INFO'!$L$2:$M$8,2)</f>
        <v>SUN</v>
      </c>
      <c r="G1332" s="214">
        <v>5.08</v>
      </c>
      <c r="H1332" s="422">
        <v>5.05</v>
      </c>
      <c r="I1332" s="454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INFO'!$L$2:$M$8,2)</f>
        <v>MON</v>
      </c>
      <c r="G1333" s="214">
        <v>5.08</v>
      </c>
      <c r="H1333" s="422">
        <v>5.05</v>
      </c>
      <c r="I1333" s="454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INFO'!$L$2:$M$8,2)</f>
        <v>TUE</v>
      </c>
      <c r="G1334" s="214">
        <v>5.08</v>
      </c>
      <c r="H1334" s="422">
        <v>5.0599999999999996</v>
      </c>
      <c r="I1334" s="454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INFO'!$L$2:$M$8,2)</f>
        <v>WED</v>
      </c>
      <c r="G1335" s="214">
        <v>5.08</v>
      </c>
      <c r="H1335" s="422">
        <v>5.0599999999999996</v>
      </c>
      <c r="I1335" s="454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INFO'!$L$2:$M$8,2)</f>
        <v>THU</v>
      </c>
      <c r="G1336" s="214">
        <v>5.33</v>
      </c>
      <c r="H1336" s="422">
        <v>5.31</v>
      </c>
      <c r="I1336" s="454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INFO'!$L$2:$M$8,2)</f>
        <v>FRI</v>
      </c>
      <c r="G1337" s="214">
        <v>5.33</v>
      </c>
      <c r="H1337" s="422">
        <v>5.3</v>
      </c>
      <c r="I1337" s="454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INFO'!$L$2:$M$8,2)</f>
        <v>SAT</v>
      </c>
      <c r="G1338" s="214">
        <v>5.33</v>
      </c>
      <c r="H1338" s="422">
        <v>5.3</v>
      </c>
      <c r="I1338" s="454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INFO'!$L$2:$M$8,2)</f>
        <v>SUN</v>
      </c>
      <c r="G1339" s="214">
        <v>5.33</v>
      </c>
      <c r="H1339" s="422">
        <v>5.3</v>
      </c>
      <c r="I1339" s="454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INFO'!$L$2:$M$8,2)</f>
        <v>MON</v>
      </c>
      <c r="G1340" s="215">
        <v>5.33</v>
      </c>
      <c r="H1340" s="423">
        <v>5.31</v>
      </c>
      <c r="I1340" s="455">
        <f t="shared" si="108"/>
        <v>-2.0000000000000462E-2</v>
      </c>
      <c r="J1340" s="434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INFO'!$L$2:$M$8,2)</f>
        <v>TUE</v>
      </c>
      <c r="G1341" s="218">
        <v>5.33</v>
      </c>
      <c r="H1341" s="427">
        <v>5.31</v>
      </c>
      <c r="I1341" s="458">
        <f t="shared" si="108"/>
        <v>-2.0000000000000462E-2</v>
      </c>
      <c r="J1341" s="433" t="s">
        <v>117</v>
      </c>
      <c r="K1341" s="15">
        <f>VLOOKUP(MONTH($C1341),'CALENDAR INFO'!$O$2:$P$13,2)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INFO'!$L$2:$M$8,2)</f>
        <v>WED</v>
      </c>
      <c r="G1342" s="214">
        <v>5.33</v>
      </c>
      <c r="H1342" s="422">
        <v>5.3</v>
      </c>
      <c r="I1342" s="454">
        <f t="shared" si="108"/>
        <v>-3.0000000000000249E-2</v>
      </c>
      <c r="J1342" s="152" t="s">
        <v>150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INFO'!$L$2:$M$8,2)</f>
        <v>THU</v>
      </c>
      <c r="G1343" s="214">
        <v>5.33</v>
      </c>
      <c r="H1343" s="422">
        <v>5.3</v>
      </c>
      <c r="I1343" s="454">
        <f t="shared" si="108"/>
        <v>-3.0000000000000249E-2</v>
      </c>
      <c r="J1343" s="152" t="s">
        <v>151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INFO'!$L$2:$M$8,2)</f>
        <v>FRI</v>
      </c>
      <c r="G1344" s="214">
        <v>5.33</v>
      </c>
      <c r="H1344" s="422">
        <v>5.3</v>
      </c>
      <c r="I1344" s="454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INFO'!$L$2:$M$8,2)</f>
        <v>SAT</v>
      </c>
      <c r="G1345" s="214">
        <v>5.33</v>
      </c>
      <c r="H1345" s="422">
        <v>5.3</v>
      </c>
      <c r="I1345" s="454">
        <f t="shared" si="108"/>
        <v>-3.0000000000000249E-2</v>
      </c>
      <c r="J1345" s="152" t="s">
        <v>152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INFO'!$L$2:$M$8,2)</f>
        <v>SUN</v>
      </c>
      <c r="G1346" s="214">
        <v>5.33</v>
      </c>
      <c r="H1346" s="422">
        <v>5.3</v>
      </c>
      <c r="I1346" s="454">
        <f t="shared" si="108"/>
        <v>-3.0000000000000249E-2</v>
      </c>
      <c r="J1346" s="152" t="s">
        <v>153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INFO'!$L$2:$M$8,2)</f>
        <v>MON</v>
      </c>
      <c r="G1347" s="214">
        <v>5.33</v>
      </c>
      <c r="H1347" s="422">
        <v>5.3</v>
      </c>
      <c r="I1347" s="454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INFO'!$L$2:$M$8,2)</f>
        <v>TUE</v>
      </c>
      <c r="G1348" s="214">
        <v>5.33</v>
      </c>
      <c r="H1348" s="422">
        <v>5.3</v>
      </c>
      <c r="I1348" s="454">
        <f t="shared" si="114"/>
        <v>-3.0000000000000249E-2</v>
      </c>
      <c r="J1348" s="152" t="s">
        <v>154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INFO'!$L$2:$M$8,2)</f>
        <v>WED</v>
      </c>
      <c r="G1349" s="214">
        <v>5.33</v>
      </c>
      <c r="H1349" s="422">
        <v>5.3</v>
      </c>
      <c r="I1349" s="454">
        <f t="shared" si="114"/>
        <v>-3.0000000000000249E-2</v>
      </c>
      <c r="J1349" s="152" t="s">
        <v>155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INFO'!$L$2:$M$8,2)</f>
        <v>THU</v>
      </c>
      <c r="G1350" s="214">
        <v>5.33</v>
      </c>
      <c r="H1350" s="422">
        <v>5.3</v>
      </c>
      <c r="I1350" s="454">
        <f t="shared" si="114"/>
        <v>-3.0000000000000249E-2</v>
      </c>
      <c r="J1350" s="152" t="s">
        <v>156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INFO'!$L$2:$M$8,2)</f>
        <v>FRI</v>
      </c>
      <c r="G1351" s="214">
        <v>5.33</v>
      </c>
      <c r="H1351" s="422">
        <v>5.3</v>
      </c>
      <c r="I1351" s="454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INFO'!$L$2:$M$8,2)</f>
        <v>SAT</v>
      </c>
      <c r="G1352" s="214">
        <v>5.33</v>
      </c>
      <c r="H1352" s="422">
        <v>5.3</v>
      </c>
      <c r="I1352" s="454">
        <f t="shared" si="114"/>
        <v>-3.0000000000000249E-2</v>
      </c>
      <c r="J1352" s="152" t="s">
        <v>157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INFO'!$L$2:$M$8,2)</f>
        <v>SUN</v>
      </c>
      <c r="G1353" s="214">
        <v>5.33</v>
      </c>
      <c r="H1353" s="422">
        <v>5.3</v>
      </c>
      <c r="I1353" s="454">
        <f t="shared" si="114"/>
        <v>-3.0000000000000249E-2</v>
      </c>
      <c r="J1353" s="152" t="s">
        <v>158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INFO'!$L$2:$M$8,2)</f>
        <v>MON</v>
      </c>
      <c r="G1354" s="214">
        <v>5.33</v>
      </c>
      <c r="H1354" s="422">
        <v>5.3</v>
      </c>
      <c r="I1354" s="454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INFO'!$L$2:$M$8,2)</f>
        <v>TUE</v>
      </c>
      <c r="G1355" s="214">
        <v>5.33</v>
      </c>
      <c r="H1355" s="422">
        <v>5.3</v>
      </c>
      <c r="I1355" s="454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INFO'!$L$2:$M$8,2)</f>
        <v>WED</v>
      </c>
      <c r="G1356" s="214">
        <v>5.33</v>
      </c>
      <c r="H1356" s="422">
        <v>5.3</v>
      </c>
      <c r="I1356" s="454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INFO'!$L$2:$M$8,2)</f>
        <v>THU</v>
      </c>
      <c r="G1357" s="214">
        <v>5.33</v>
      </c>
      <c r="H1357" s="422">
        <v>5.3</v>
      </c>
      <c r="I1357" s="454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INFO'!$L$2:$M$8,2)</f>
        <v>FRI</v>
      </c>
      <c r="G1358" s="214">
        <v>5.33</v>
      </c>
      <c r="H1358" s="422">
        <v>5.3</v>
      </c>
      <c r="I1358" s="454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INFO'!$L$2:$M$8,2)</f>
        <v>SAT</v>
      </c>
      <c r="G1359" s="214">
        <v>5.33</v>
      </c>
      <c r="H1359" s="422">
        <v>5.3</v>
      </c>
      <c r="I1359" s="454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INFO'!$L$2:$M$8,2)</f>
        <v>SUN</v>
      </c>
      <c r="G1360" s="214">
        <v>5.33</v>
      </c>
      <c r="H1360" s="422">
        <v>5.3</v>
      </c>
      <c r="I1360" s="454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INFO'!$L$2:$M$8,2)</f>
        <v>MON</v>
      </c>
      <c r="G1361" s="214">
        <v>5.33</v>
      </c>
      <c r="H1361" s="422">
        <v>5.3</v>
      </c>
      <c r="I1361" s="454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INFO'!$L$2:$M$8,2)</f>
        <v>TUE</v>
      </c>
      <c r="G1362" s="214">
        <v>5.33</v>
      </c>
      <c r="H1362" s="422">
        <v>5.3</v>
      </c>
      <c r="I1362" s="454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INFO'!$L$2:$M$8,2)</f>
        <v>WED</v>
      </c>
      <c r="G1363" s="214">
        <v>5.33</v>
      </c>
      <c r="H1363" s="422">
        <v>5.3</v>
      </c>
      <c r="I1363" s="454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INFO'!$L$2:$M$8,2)</f>
        <v>THU</v>
      </c>
      <c r="G1364" s="214">
        <v>5.33</v>
      </c>
      <c r="H1364" s="422">
        <v>5.3</v>
      </c>
      <c r="I1364" s="454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INFO'!$L$2:$M$8,2)</f>
        <v>FRI</v>
      </c>
      <c r="G1365" s="214">
        <v>5.33</v>
      </c>
      <c r="H1365" s="422">
        <v>5.3</v>
      </c>
      <c r="I1365" s="454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INFO'!$L$2:$M$8,2)</f>
        <v>SAT</v>
      </c>
      <c r="G1366" s="214">
        <v>5.33</v>
      </c>
      <c r="H1366" s="422">
        <v>5.3</v>
      </c>
      <c r="I1366" s="454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INFO'!$L$2:$M$8,2)</f>
        <v>SUN</v>
      </c>
      <c r="G1367" s="214">
        <v>5.33</v>
      </c>
      <c r="H1367" s="422">
        <v>5.3</v>
      </c>
      <c r="I1367" s="454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INFO'!$L$2:$M$8,2)</f>
        <v>MON</v>
      </c>
      <c r="G1368" s="214">
        <v>5.33</v>
      </c>
      <c r="H1368" s="422">
        <v>5.3</v>
      </c>
      <c r="I1368" s="454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INFO'!$L$2:$M$8,2)</f>
        <v>TUE</v>
      </c>
      <c r="G1369" s="214">
        <v>5.33</v>
      </c>
      <c r="H1369" s="422">
        <v>5.3</v>
      </c>
      <c r="I1369" s="454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INFO'!$L$2:$M$8,2)</f>
        <v>WED</v>
      </c>
      <c r="G1370" s="214">
        <v>5.33</v>
      </c>
      <c r="H1370" s="422">
        <v>5.3</v>
      </c>
      <c r="I1370" s="454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INFO'!$L$2:$M$8,2)</f>
        <v>THU</v>
      </c>
      <c r="G1371" s="215">
        <v>5.33</v>
      </c>
      <c r="H1371" s="423">
        <v>5.31</v>
      </c>
      <c r="I1371" s="455">
        <f t="shared" si="114"/>
        <v>-2.0000000000000462E-2</v>
      </c>
      <c r="J1371" s="434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INFO'!$L$2:$M$8,2)</f>
        <v>FRI</v>
      </c>
      <c r="G1372" s="218">
        <v>5.33</v>
      </c>
      <c r="H1372" s="427">
        <v>5.31</v>
      </c>
      <c r="I1372" s="458">
        <f t="shared" si="114"/>
        <v>-2.0000000000000462E-2</v>
      </c>
      <c r="J1372" s="433" t="s">
        <v>117</v>
      </c>
      <c r="K1372" s="15">
        <f>VLOOKUP(MONTH($C1372),'CALENDAR INFO'!$O$2:$P$13,2)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INFO'!$L$2:$M$8,2)</f>
        <v>SAT</v>
      </c>
      <c r="G1373" s="214">
        <v>5.33</v>
      </c>
      <c r="H1373" s="422">
        <v>5.31</v>
      </c>
      <c r="I1373" s="454">
        <f t="shared" si="114"/>
        <v>-2.0000000000000462E-2</v>
      </c>
      <c r="J1373" s="152" t="s">
        <v>150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INFO'!$L$2:$M$8,2)</f>
        <v>SUN</v>
      </c>
      <c r="G1374" s="214">
        <v>5.33</v>
      </c>
      <c r="H1374" s="422">
        <v>5.31</v>
      </c>
      <c r="I1374" s="454">
        <f t="shared" si="114"/>
        <v>-2.0000000000000462E-2</v>
      </c>
      <c r="J1374" s="152" t="s">
        <v>151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111</v>
      </c>
      <c r="E1375" s="170"/>
      <c r="F1375" s="58" t="str">
        <f>VLOOKUP(MOD(C1375,7),'CALENDAR INFO'!$L$2:$M$8,2)</f>
        <v>MON</v>
      </c>
      <c r="G1375" s="214">
        <v>5.33</v>
      </c>
      <c r="H1375" s="422">
        <v>5.31</v>
      </c>
      <c r="I1375" s="454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INFO'!$L$2:$M$8,2)</f>
        <v>TUE</v>
      </c>
      <c r="G1376" s="214">
        <v>5.33</v>
      </c>
      <c r="H1376" s="422">
        <v>5.31</v>
      </c>
      <c r="I1376" s="454">
        <f t="shared" si="114"/>
        <v>-2.0000000000000462E-2</v>
      </c>
      <c r="J1376" s="152" t="s">
        <v>152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INFO'!$L$2:$M$8,2)</f>
        <v>WED</v>
      </c>
      <c r="G1377" s="214">
        <v>5.33</v>
      </c>
      <c r="H1377" s="422">
        <v>5.3</v>
      </c>
      <c r="I1377" s="454">
        <f t="shared" si="114"/>
        <v>-3.0000000000000249E-2</v>
      </c>
      <c r="J1377" s="152" t="s">
        <v>153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INFO'!$L$2:$M$8,2)</f>
        <v>THU</v>
      </c>
      <c r="G1378" s="214">
        <v>5.33</v>
      </c>
      <c r="H1378" s="422">
        <v>5.31</v>
      </c>
      <c r="I1378" s="454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INFO'!$L$2:$M$8,2)</f>
        <v>FRI</v>
      </c>
      <c r="G1379" s="214">
        <v>5.33</v>
      </c>
      <c r="H1379" s="422">
        <v>5.3</v>
      </c>
      <c r="I1379" s="454">
        <f t="shared" si="114"/>
        <v>-3.0000000000000249E-2</v>
      </c>
      <c r="J1379" s="152" t="s">
        <v>154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INFO'!$L$2:$M$8,2)</f>
        <v>SAT</v>
      </c>
      <c r="G1380" s="214">
        <v>5.33</v>
      </c>
      <c r="H1380" s="422">
        <v>5.3</v>
      </c>
      <c r="I1380" s="454">
        <f t="shared" si="114"/>
        <v>-3.0000000000000249E-2</v>
      </c>
      <c r="J1380" s="152" t="s">
        <v>155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INFO'!$L$2:$M$8,2)</f>
        <v>SUN</v>
      </c>
      <c r="G1381" s="214">
        <v>5.33</v>
      </c>
      <c r="H1381" s="422">
        <v>5.3</v>
      </c>
      <c r="I1381" s="454">
        <f t="shared" si="114"/>
        <v>-3.0000000000000249E-2</v>
      </c>
      <c r="J1381" s="152" t="s">
        <v>156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INFO'!$L$2:$M$8,2)</f>
        <v>MON</v>
      </c>
      <c r="G1382" s="214">
        <v>5.33</v>
      </c>
      <c r="H1382" s="422">
        <v>5.3</v>
      </c>
      <c r="I1382" s="454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INFO'!$L$2:$M$8,2)</f>
        <v>TUE</v>
      </c>
      <c r="G1383" s="214">
        <v>5.33</v>
      </c>
      <c r="H1383" s="422">
        <v>5.3</v>
      </c>
      <c r="I1383" s="454">
        <f t="shared" si="114"/>
        <v>-3.0000000000000249E-2</v>
      </c>
      <c r="J1383" s="152" t="s">
        <v>157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INFO'!$L$2:$M$8,2)</f>
        <v>WED</v>
      </c>
      <c r="G1384" s="214">
        <v>5.33</v>
      </c>
      <c r="H1384" s="422">
        <v>5.3</v>
      </c>
      <c r="I1384" s="454">
        <f t="shared" si="114"/>
        <v>-3.0000000000000249E-2</v>
      </c>
      <c r="J1384" s="152" t="s">
        <v>158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INFO'!$L$2:$M$8,2)</f>
        <v>THU</v>
      </c>
      <c r="G1385" s="214">
        <v>5.33</v>
      </c>
      <c r="H1385" s="422">
        <v>5.3</v>
      </c>
      <c r="I1385" s="454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INFO'!$L$2:$M$8,2)</f>
        <v>FRI</v>
      </c>
      <c r="G1386" s="214">
        <v>5.33</v>
      </c>
      <c r="H1386" s="422">
        <v>5.31</v>
      </c>
      <c r="I1386" s="454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INFO'!$L$2:$M$8,2)</f>
        <v>SAT</v>
      </c>
      <c r="G1387" s="214">
        <v>5.33</v>
      </c>
      <c r="H1387" s="422">
        <v>5.31</v>
      </c>
      <c r="I1387" s="454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INFO'!$L$2:$M$8,2)</f>
        <v>SUN</v>
      </c>
      <c r="G1388" s="214">
        <v>5.33</v>
      </c>
      <c r="H1388" s="422">
        <v>5.31</v>
      </c>
      <c r="I1388" s="454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INFO'!$L$2:$M$8,2)</f>
        <v>MON</v>
      </c>
      <c r="G1389" s="214">
        <v>5.33</v>
      </c>
      <c r="H1389" s="422">
        <v>5.31</v>
      </c>
      <c r="I1389" s="454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INFO'!$L$2:$M$8,2)</f>
        <v>TUE</v>
      </c>
      <c r="G1390" s="214">
        <v>5.33</v>
      </c>
      <c r="H1390" s="422">
        <v>5.31</v>
      </c>
      <c r="I1390" s="454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INFO'!$L$2:$M$8,2)</f>
        <v>WED</v>
      </c>
      <c r="G1391" s="214">
        <v>5.33</v>
      </c>
      <c r="H1391" s="422">
        <v>5.3</v>
      </c>
      <c r="I1391" s="454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INFO'!$L$2:$M$8,2)</f>
        <v>THU</v>
      </c>
      <c r="G1392" s="214">
        <v>5.33</v>
      </c>
      <c r="H1392" s="422">
        <v>5.3</v>
      </c>
      <c r="I1392" s="454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INFO'!$L$2:$M$8,2)</f>
        <v>FRI</v>
      </c>
      <c r="G1393" s="214">
        <v>5.33</v>
      </c>
      <c r="H1393" s="422">
        <v>5.3</v>
      </c>
      <c r="I1393" s="454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INFO'!$L$2:$M$8,2)</f>
        <v>SAT</v>
      </c>
      <c r="G1394" s="214">
        <v>5.33</v>
      </c>
      <c r="H1394" s="422">
        <v>5.3</v>
      </c>
      <c r="I1394" s="454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INFO'!$L$2:$M$8,2)</f>
        <v>SUN</v>
      </c>
      <c r="G1395" s="214">
        <v>5.33</v>
      </c>
      <c r="H1395" s="422">
        <v>5.3</v>
      </c>
      <c r="I1395" s="454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INFO'!$L$2:$M$8,2)</f>
        <v>MON</v>
      </c>
      <c r="G1396" s="214">
        <v>5.33</v>
      </c>
      <c r="H1396" s="422">
        <v>5.31</v>
      </c>
      <c r="I1396" s="454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INFO'!$L$2:$M$8,2)</f>
        <v>TUE</v>
      </c>
      <c r="G1397" s="214">
        <v>5.33</v>
      </c>
      <c r="H1397" s="422">
        <v>5.31</v>
      </c>
      <c r="I1397" s="454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INFO'!$L$2:$M$8,2)</f>
        <v>WED</v>
      </c>
      <c r="G1398" s="214">
        <v>5.33</v>
      </c>
      <c r="H1398" s="422">
        <v>5.32</v>
      </c>
      <c r="I1398" s="454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INFO'!$L$2:$M$8,2)</f>
        <v>THU</v>
      </c>
      <c r="G1399" s="214">
        <v>5.33</v>
      </c>
      <c r="H1399" s="422">
        <v>5.31</v>
      </c>
      <c r="I1399" s="454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INFO'!$L$2:$M$8,2)</f>
        <v>FRI</v>
      </c>
      <c r="G1400" s="214">
        <v>5.33</v>
      </c>
      <c r="H1400" s="422">
        <v>5.31</v>
      </c>
      <c r="I1400" s="454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INFO'!$L$2:$M$8,2)</f>
        <v>SAT</v>
      </c>
      <c r="G1401" s="215">
        <v>5.33</v>
      </c>
      <c r="H1401" s="423">
        <v>5.31</v>
      </c>
      <c r="I1401" s="455">
        <f t="shared" si="114"/>
        <v>-2.0000000000000462E-2</v>
      </c>
      <c r="J1401" s="434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INFO'!$L$2:$M$8,2)</f>
        <v>SUN</v>
      </c>
      <c r="G1402" s="214">
        <v>5.33</v>
      </c>
      <c r="H1402" s="428">
        <v>5.31</v>
      </c>
      <c r="I1402" s="454">
        <f t="shared" si="114"/>
        <v>-2.0000000000000462E-2</v>
      </c>
      <c r="J1402" s="433" t="s">
        <v>150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INFO'!$L$2:$M$8,2)</f>
        <v>MON</v>
      </c>
      <c r="G1403" s="214">
        <v>5.33</v>
      </c>
      <c r="H1403" s="422">
        <v>5.32</v>
      </c>
      <c r="I1403" s="454">
        <f t="shared" si="114"/>
        <v>-9.9999999999997868E-3</v>
      </c>
      <c r="J1403" s="152" t="s">
        <v>117</v>
      </c>
      <c r="K1403" s="15">
        <f>VLOOKUP(MONTH($C1402),'CALENDAR INFO'!$O$2:$P$13,2)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INFO'!$L$2:$M$8,2)</f>
        <v>TUE</v>
      </c>
      <c r="G1404" s="214">
        <v>5.33</v>
      </c>
      <c r="H1404" s="422">
        <v>5.33</v>
      </c>
      <c r="I1404" s="454">
        <f t="shared" si="114"/>
        <v>0</v>
      </c>
      <c r="J1404" s="152" t="s">
        <v>151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INFO'!$L$2:$M$8,2)</f>
        <v>WED</v>
      </c>
      <c r="G1405" s="214">
        <v>5.33</v>
      </c>
      <c r="H1405" s="422">
        <v>5.32</v>
      </c>
      <c r="I1405" s="454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INFO'!$L$2:$M$8,2)</f>
        <v>THU</v>
      </c>
      <c r="G1406" s="214">
        <v>5.33</v>
      </c>
      <c r="H1406" s="422">
        <v>5.32</v>
      </c>
      <c r="I1406" s="454">
        <f t="shared" si="114"/>
        <v>-9.9999999999997868E-3</v>
      </c>
      <c r="J1406" s="152" t="s">
        <v>191</v>
      </c>
      <c r="K1406" s="310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INFO'!$L$2:$M$8,2)</f>
        <v>FRI</v>
      </c>
      <c r="G1407" s="214">
        <v>5.33</v>
      </c>
      <c r="H1407" s="422">
        <v>5.31</v>
      </c>
      <c r="I1407" s="454">
        <f t="shared" si="114"/>
        <v>-2.0000000000000462E-2</v>
      </c>
      <c r="J1407" s="152" t="s">
        <v>192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INFO'!$L$2:$M$8,2)</f>
        <v>SAT</v>
      </c>
      <c r="G1408" s="214">
        <v>5.33</v>
      </c>
      <c r="H1408" s="422">
        <v>5.31</v>
      </c>
      <c r="I1408" s="454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INFO'!$L$2:$M$8,2)</f>
        <v>SUN</v>
      </c>
      <c r="G1409" s="214">
        <v>5.33</v>
      </c>
      <c r="H1409" s="422">
        <v>5.31</v>
      </c>
      <c r="I1409" s="454">
        <f t="shared" si="114"/>
        <v>-2.0000000000000462E-2</v>
      </c>
      <c r="J1409" s="152" t="s">
        <v>152</v>
      </c>
      <c r="K1409" s="311" t="str">
        <f>_xlfn.CONCAT("A",TEXT(K1402,0),":","A",TEXT(K1404,0))</f>
        <v>A1402:A1432</v>
      </c>
      <c r="L1409" s="312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107</v>
      </c>
      <c r="E1410" s="167"/>
      <c r="F1410" s="58" t="str">
        <f>VLOOKUP(MOD(C1410,7),'CALENDAR INFO'!$L$2:$M$8,2)</f>
        <v>MON</v>
      </c>
      <c r="G1410" s="214">
        <v>5.33</v>
      </c>
      <c r="H1410" s="422">
        <v>5.31</v>
      </c>
      <c r="I1410" s="454">
        <f t="shared" si="114"/>
        <v>-2.0000000000000462E-2</v>
      </c>
      <c r="J1410" s="152" t="s">
        <v>189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INFO'!$L$2:$M$8,2)</f>
        <v>TUE</v>
      </c>
      <c r="G1411" s="214">
        <v>5.33</v>
      </c>
      <c r="H1411" s="422">
        <v>5.31</v>
      </c>
      <c r="I1411" s="454">
        <f t="shared" ref="I1411:I1474" si="118">H1411-G1411</f>
        <v>-2.0000000000000462E-2</v>
      </c>
      <c r="J1411" s="152" t="s">
        <v>190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INFO'!$L$2:$M$8,2)</f>
        <v>WED</v>
      </c>
      <c r="G1412" s="214">
        <v>5.33</v>
      </c>
      <c r="H1412" s="422">
        <v>5.31</v>
      </c>
      <c r="I1412" s="454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INFO'!$L$2:$M$8,2)</f>
        <v>THU</v>
      </c>
      <c r="G1413" s="214">
        <v>5.33</v>
      </c>
      <c r="H1413" s="422">
        <v>5.31</v>
      </c>
      <c r="I1413" s="454">
        <f t="shared" si="118"/>
        <v>-2.0000000000000462E-2</v>
      </c>
      <c r="J1413" s="15" t="s">
        <v>193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INFO'!$L$2:$M$8,2)</f>
        <v>FRI</v>
      </c>
      <c r="G1414" s="214">
        <v>5.33</v>
      </c>
      <c r="H1414" s="422">
        <v>5.31</v>
      </c>
      <c r="I1414" s="454">
        <f t="shared" si="118"/>
        <v>-2.0000000000000462E-2</v>
      </c>
      <c r="J1414" s="152" t="s">
        <v>194</v>
      </c>
      <c r="K1414" s="305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INFO'!$L$2:$M$8,2)</f>
        <v>SAT</v>
      </c>
      <c r="G1415" s="214">
        <v>5.33</v>
      </c>
      <c r="H1415" s="422">
        <v>5.31</v>
      </c>
      <c r="I1415" s="454">
        <f t="shared" si="118"/>
        <v>-2.0000000000000462E-2</v>
      </c>
      <c r="J1415" s="15" t="s">
        <v>195</v>
      </c>
      <c r="K1415" s="305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INFO'!$L$2:$M$8,2)</f>
        <v>SUN</v>
      </c>
      <c r="G1416" s="214">
        <v>5.33</v>
      </c>
      <c r="H1416" s="422">
        <v>5.31</v>
      </c>
      <c r="I1416" s="454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INFO'!$L$2:$M$8,2)</f>
        <v>MON</v>
      </c>
      <c r="G1417" s="214">
        <v>5.33</v>
      </c>
      <c r="H1417" s="422">
        <v>5.31</v>
      </c>
      <c r="I1417" s="454">
        <f t="shared" si="118"/>
        <v>-2.0000000000000462E-2</v>
      </c>
      <c r="J1417" s="152" t="s">
        <v>196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INFO'!$L$2:$M$8,2)</f>
        <v>TUE</v>
      </c>
      <c r="G1418" s="214">
        <v>5.33</v>
      </c>
      <c r="H1418" s="422">
        <v>5.31</v>
      </c>
      <c r="I1418" s="454">
        <f t="shared" si="118"/>
        <v>-2.0000000000000462E-2</v>
      </c>
      <c r="J1418" s="152" t="s">
        <v>117</v>
      </c>
      <c r="K1418" s="313">
        <f>K1403</f>
        <v>31</v>
      </c>
      <c r="L1418" s="314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INFO'!$L$2:$M$8,2)</f>
        <v>WED</v>
      </c>
      <c r="G1419" s="214">
        <v>5.33</v>
      </c>
      <c r="H1419" s="422">
        <v>5.3</v>
      </c>
      <c r="I1419" s="454">
        <f t="shared" si="118"/>
        <v>-3.0000000000000249E-2</v>
      </c>
      <c r="J1419" s="152" t="s">
        <v>183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INFO'!$L$2:$M$8,2)</f>
        <v>THU</v>
      </c>
      <c r="G1420" s="214">
        <v>5.33</v>
      </c>
      <c r="H1420" s="422">
        <v>5.3</v>
      </c>
      <c r="I1420" s="454">
        <f t="shared" si="118"/>
        <v>-3.0000000000000249E-2</v>
      </c>
      <c r="J1420" s="152"/>
      <c r="K1420" s="305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INFO'!$L$2:$M$8,2)</f>
        <v>FRI</v>
      </c>
      <c r="G1421" s="214">
        <v>5.33</v>
      </c>
      <c r="H1421" s="422">
        <v>5.3</v>
      </c>
      <c r="I1421" s="454">
        <f t="shared" si="118"/>
        <v>-3.0000000000000249E-2</v>
      </c>
      <c r="J1421" s="152" t="s">
        <v>186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INFO'!$L$2:$M$8,2)</f>
        <v>SAT</v>
      </c>
      <c r="G1422" s="214">
        <v>5.33</v>
      </c>
      <c r="H1422" s="422">
        <v>5.3</v>
      </c>
      <c r="I1422" s="454">
        <f t="shared" si="118"/>
        <v>-3.0000000000000249E-2</v>
      </c>
      <c r="J1422" s="15" t="s">
        <v>154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INFO'!$L$2:$M$8,2)</f>
        <v>SUN</v>
      </c>
      <c r="G1423" s="214">
        <v>5.33</v>
      </c>
      <c r="H1423" s="422">
        <v>5.3</v>
      </c>
      <c r="I1423" s="454">
        <f t="shared" si="118"/>
        <v>-3.0000000000000249E-2</v>
      </c>
      <c r="J1423" s="15" t="s">
        <v>184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INFO'!$L$2:$M$8,2)</f>
        <v>MON</v>
      </c>
      <c r="G1424" s="214">
        <v>5.33</v>
      </c>
      <c r="H1424" s="422">
        <v>5.3</v>
      </c>
      <c r="I1424" s="454">
        <f t="shared" si="118"/>
        <v>-3.0000000000000249E-2</v>
      </c>
      <c r="J1424" s="15" t="s">
        <v>185</v>
      </c>
      <c r="K1424" s="327">
        <f ca="1">K1421-K1422-K1423</f>
        <v>165.23</v>
      </c>
      <c r="L1424" s="328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INFO'!$L$2:$M$8,2)</f>
        <v>TUE</v>
      </c>
      <c r="G1425" s="214">
        <v>5.33</v>
      </c>
      <c r="H1425" s="422">
        <v>5.3</v>
      </c>
      <c r="I1425" s="454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INFO'!$L$2:$M$8,2)</f>
        <v>WED</v>
      </c>
      <c r="G1426" s="214">
        <v>5.33</v>
      </c>
      <c r="H1426" s="422">
        <v>5.3</v>
      </c>
      <c r="I1426" s="454">
        <f t="shared" si="118"/>
        <v>-3.0000000000000249E-2</v>
      </c>
      <c r="J1426" s="15" t="s">
        <v>187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INFO'!$L$2:$M$8,2)</f>
        <v>THU</v>
      </c>
      <c r="G1427" s="214">
        <v>5.33</v>
      </c>
      <c r="H1427" s="422">
        <v>5.31</v>
      </c>
      <c r="I1427" s="454">
        <f t="shared" si="118"/>
        <v>-2.0000000000000462E-2</v>
      </c>
      <c r="J1427" s="15" t="s">
        <v>188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INFO'!$L$2:$M$8,2)</f>
        <v>FRI</v>
      </c>
      <c r="G1428" s="214">
        <v>5.33</v>
      </c>
      <c r="H1428" s="422">
        <v>5.31</v>
      </c>
      <c r="I1428" s="454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INFO'!$L$2:$M$8,2)</f>
        <v>SAT</v>
      </c>
      <c r="G1429" s="214">
        <v>5.33</v>
      </c>
      <c r="H1429" s="422">
        <v>5.31</v>
      </c>
      <c r="I1429" s="454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INFO'!$L$2:$M$8,2)</f>
        <v>SUN</v>
      </c>
      <c r="G1430" s="214">
        <v>5.33</v>
      </c>
      <c r="H1430" s="422">
        <v>5.31</v>
      </c>
      <c r="I1430" s="454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INFO'!$L$2:$M$8,2)</f>
        <v>MON</v>
      </c>
      <c r="G1431" s="214">
        <v>5.33</v>
      </c>
      <c r="H1431" s="422">
        <v>5.31</v>
      </c>
      <c r="I1431" s="454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INFO'!$L$2:$M$8,2)</f>
        <v>TUE</v>
      </c>
      <c r="G1432" s="215">
        <v>5.33</v>
      </c>
      <c r="H1432" s="423">
        <v>5.35</v>
      </c>
      <c r="I1432" s="455">
        <f t="shared" si="118"/>
        <v>1.9999999999999574E-2</v>
      </c>
      <c r="J1432" s="434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INFO'!$L$2:$M$8,2)</f>
        <v>WED</v>
      </c>
      <c r="G1433" s="218">
        <v>5.33</v>
      </c>
      <c r="H1433" s="427">
        <v>5.32</v>
      </c>
      <c r="I1433" s="458">
        <f t="shared" si="118"/>
        <v>-9.9999999999997868E-3</v>
      </c>
      <c r="J1433" s="435" t="s">
        <v>150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INFO'!$L$2:$M$8,2)</f>
        <v>THU</v>
      </c>
      <c r="G1434" s="214">
        <v>5.33</v>
      </c>
      <c r="H1434" s="422">
        <v>5.33</v>
      </c>
      <c r="I1434" s="454">
        <f t="shared" si="118"/>
        <v>0</v>
      </c>
      <c r="J1434" s="152" t="s">
        <v>117</v>
      </c>
      <c r="K1434" s="15">
        <f>VLOOKUP(MONTH($C1433),'CALENDAR INFO'!$O$2:$P$13,2)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INFO'!$L$2:$M$8,2)</f>
        <v>FRI</v>
      </c>
      <c r="G1435" s="219">
        <v>5.33</v>
      </c>
      <c r="H1435" s="422">
        <v>5.32</v>
      </c>
      <c r="I1435" s="454">
        <f t="shared" si="118"/>
        <v>-9.9999999999997868E-3</v>
      </c>
      <c r="J1435" s="15" t="s">
        <v>151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INFO'!$L$2:$M$8,2)</f>
        <v>SAT</v>
      </c>
      <c r="G1436" s="214">
        <v>5.33</v>
      </c>
      <c r="H1436" s="422">
        <v>5.32</v>
      </c>
      <c r="I1436" s="454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INFO'!$L$2:$M$8,2)</f>
        <v>SUN</v>
      </c>
      <c r="G1437" s="214">
        <v>5.33</v>
      </c>
      <c r="H1437" s="422">
        <v>5.32</v>
      </c>
      <c r="I1437" s="454">
        <f t="shared" si="118"/>
        <v>-9.9999999999997868E-3</v>
      </c>
      <c r="J1437" s="15" t="s">
        <v>191</v>
      </c>
      <c r="K1437" s="309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INFO'!$L$2:$M$8,2)</f>
        <v>MON</v>
      </c>
      <c r="G1438" s="214">
        <v>5.33</v>
      </c>
      <c r="H1438" s="422">
        <v>5.32</v>
      </c>
      <c r="I1438" s="454">
        <f t="shared" si="118"/>
        <v>-9.9999999999997868E-3</v>
      </c>
      <c r="J1438" s="15" t="s">
        <v>192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INFO'!$L$2:$M$8,2)</f>
        <v>TUE</v>
      </c>
      <c r="G1439" s="214">
        <v>5.33</v>
      </c>
      <c r="H1439" s="422">
        <v>5.32</v>
      </c>
      <c r="I1439" s="454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INFO'!$L$2:$M$8,2)</f>
        <v>WED</v>
      </c>
      <c r="G1440" s="214">
        <v>5.33</v>
      </c>
      <c r="H1440" s="422">
        <v>5.32</v>
      </c>
      <c r="I1440" s="454">
        <f t="shared" si="118"/>
        <v>-9.9999999999997868E-3</v>
      </c>
      <c r="J1440" s="15" t="s">
        <v>152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INFO'!$L$2:$M$8,2)</f>
        <v>THU</v>
      </c>
      <c r="G1441" s="214">
        <v>5.33</v>
      </c>
      <c r="H1441" s="422">
        <v>5.32</v>
      </c>
      <c r="I1441" s="454">
        <f t="shared" si="118"/>
        <v>-9.9999999999997868E-3</v>
      </c>
      <c r="J1441" s="15" t="s">
        <v>189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INFO'!$L$2:$M$8,2)</f>
        <v>FRI</v>
      </c>
      <c r="G1442" s="214">
        <v>5.33</v>
      </c>
      <c r="H1442" s="422">
        <v>5.32</v>
      </c>
      <c r="I1442" s="454">
        <f t="shared" si="118"/>
        <v>-9.9999999999997868E-3</v>
      </c>
      <c r="J1442" s="15" t="s">
        <v>190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INFO'!$L$2:$M$8,2)</f>
        <v>SAT</v>
      </c>
      <c r="G1443" s="214">
        <v>5.33</v>
      </c>
      <c r="H1443" s="422">
        <v>5.32</v>
      </c>
      <c r="I1443" s="454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INFO'!$L$2:$M$8,2)</f>
        <v>SUN</v>
      </c>
      <c r="G1444" s="214">
        <v>5.33</v>
      </c>
      <c r="H1444" s="422">
        <v>5.32</v>
      </c>
      <c r="I1444" s="454">
        <f t="shared" si="118"/>
        <v>-9.9999999999997868E-3</v>
      </c>
      <c r="J1444" s="152" t="s">
        <v>193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INFO'!$L$2:$M$8,2)</f>
        <v>MON</v>
      </c>
      <c r="G1445" s="214">
        <v>5.33</v>
      </c>
      <c r="H1445" s="422">
        <v>5.32</v>
      </c>
      <c r="I1445" s="454">
        <f t="shared" si="118"/>
        <v>-9.9999999999997868E-3</v>
      </c>
      <c r="J1445" s="152" t="s">
        <v>194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INFO'!$L$2:$M$8,2)</f>
        <v>TUE</v>
      </c>
      <c r="G1446" s="214">
        <v>5.33</v>
      </c>
      <c r="H1446" s="422">
        <v>5.32</v>
      </c>
      <c r="I1446" s="454">
        <f t="shared" si="118"/>
        <v>-9.9999999999997868E-3</v>
      </c>
      <c r="J1446" s="152" t="s">
        <v>195</v>
      </c>
      <c r="K1446" s="290">
        <f t="shared" ca="1" si="122"/>
        <v>29</v>
      </c>
      <c r="L1446" s="307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INFO'!$L$2:$M$8,2)</f>
        <v>WED</v>
      </c>
      <c r="G1447" s="214">
        <v>5.33</v>
      </c>
      <c r="H1447" s="422">
        <v>5.32</v>
      </c>
      <c r="I1447" s="454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INFO'!$L$2:$M$8,2)</f>
        <v>THU</v>
      </c>
      <c r="G1448" s="214">
        <v>5.33</v>
      </c>
      <c r="H1448" s="422">
        <v>5.32</v>
      </c>
      <c r="I1448" s="454">
        <f t="shared" si="118"/>
        <v>-9.9999999999997868E-3</v>
      </c>
      <c r="J1448" s="152" t="s">
        <v>196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INFO'!$L$2:$M$8,2)</f>
        <v>FRI</v>
      </c>
      <c r="G1449" s="214">
        <v>5.33</v>
      </c>
      <c r="H1449" s="422">
        <v>5.32</v>
      </c>
      <c r="I1449" s="454">
        <f t="shared" si="118"/>
        <v>-9.9999999999997868E-3</v>
      </c>
      <c r="J1449" s="152" t="s">
        <v>117</v>
      </c>
      <c r="K1449" s="306">
        <f>K1434</f>
        <v>30</v>
      </c>
      <c r="L1449" s="308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INFO'!$L$2:$M$8,2)</f>
        <v>SAT</v>
      </c>
      <c r="G1450" s="214">
        <v>5.33</v>
      </c>
      <c r="H1450" s="422">
        <v>5.32</v>
      </c>
      <c r="I1450" s="454">
        <f t="shared" si="118"/>
        <v>-9.9999999999997868E-3</v>
      </c>
      <c r="J1450" s="152" t="s">
        <v>183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INFO'!$L$2:$M$8,2)</f>
        <v>SUN</v>
      </c>
      <c r="G1451" s="214">
        <v>5.33</v>
      </c>
      <c r="H1451" s="422">
        <v>5.32</v>
      </c>
      <c r="I1451" s="454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INFO'!$L$2:$M$8,2)</f>
        <v>MON</v>
      </c>
      <c r="G1452" s="214">
        <v>5.33</v>
      </c>
      <c r="H1452" s="422">
        <v>5.31</v>
      </c>
      <c r="I1452" s="454">
        <f t="shared" si="118"/>
        <v>-2.0000000000000462E-2</v>
      </c>
      <c r="J1452" s="15" t="s">
        <v>186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INFO'!$L$2:$M$8,2)</f>
        <v>TUE</v>
      </c>
      <c r="G1453" s="214">
        <v>5.33</v>
      </c>
      <c r="H1453" s="422">
        <v>5.31</v>
      </c>
      <c r="I1453" s="454">
        <f t="shared" si="118"/>
        <v>-2.0000000000000462E-2</v>
      </c>
      <c r="J1453" s="152" t="s">
        <v>154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INFO'!$L$2:$M$8,2)</f>
        <v>WED</v>
      </c>
      <c r="G1454" s="214">
        <v>5.33</v>
      </c>
      <c r="H1454" s="422">
        <v>5.31</v>
      </c>
      <c r="I1454" s="454">
        <f t="shared" si="118"/>
        <v>-2.0000000000000462E-2</v>
      </c>
      <c r="J1454" s="15" t="s">
        <v>184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INFO'!$L$2:$M$8,2)</f>
        <v>THU</v>
      </c>
      <c r="G1455" s="214">
        <v>5.33</v>
      </c>
      <c r="H1455" s="422">
        <v>5.31</v>
      </c>
      <c r="I1455" s="454">
        <f t="shared" si="118"/>
        <v>-2.0000000000000462E-2</v>
      </c>
      <c r="J1455" s="152" t="s">
        <v>185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INFO'!$L$2:$M$8,2)</f>
        <v>FRI</v>
      </c>
      <c r="G1456" s="214">
        <v>5.33</v>
      </c>
      <c r="H1456" s="422">
        <v>5.32</v>
      </c>
      <c r="I1456" s="454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INFO'!$L$2:$M$8,2)</f>
        <v>SAT</v>
      </c>
      <c r="G1457" s="214">
        <v>5.33</v>
      </c>
      <c r="H1457" s="422">
        <v>5.32</v>
      </c>
      <c r="I1457" s="454">
        <f t="shared" si="118"/>
        <v>-9.9999999999997868E-3</v>
      </c>
      <c r="J1457" s="152" t="s">
        <v>187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INFO'!$L$2:$M$8,2)</f>
        <v>SUN</v>
      </c>
      <c r="G1458" s="214">
        <v>5.33</v>
      </c>
      <c r="H1458" s="422">
        <v>5.32</v>
      </c>
      <c r="I1458" s="454">
        <f t="shared" si="118"/>
        <v>-9.9999999999997868E-3</v>
      </c>
      <c r="J1458" s="152" t="s">
        <v>188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INFO'!$L$2:$M$8,2)</f>
        <v>MON</v>
      </c>
      <c r="G1459" s="214">
        <v>5.33</v>
      </c>
      <c r="H1459" s="422">
        <v>5.32</v>
      </c>
      <c r="I1459" s="454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INFO'!$L$2:$M$8,2)</f>
        <v>TUE</v>
      </c>
      <c r="G1460" s="214">
        <v>5.33</v>
      </c>
      <c r="H1460" s="422">
        <v>5.32</v>
      </c>
      <c r="I1460" s="454">
        <f t="shared" si="118"/>
        <v>-9.9999999999997868E-3</v>
      </c>
      <c r="J1460" s="436" t="s">
        <v>200</v>
      </c>
      <c r="K1460" s="332" t="e">
        <f ca="1">100-K1453/K1444</f>
        <v>#DIV/0!</v>
      </c>
      <c r="L1460" s="333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INFO'!$L$2:$M$8,2)</f>
        <v>WED</v>
      </c>
      <c r="G1461" s="214">
        <v>5.33</v>
      </c>
      <c r="H1461" s="422">
        <v>5.31</v>
      </c>
      <c r="I1461" s="454">
        <f t="shared" si="118"/>
        <v>-2.0000000000000462E-2</v>
      </c>
      <c r="J1461" s="437" t="s">
        <v>199</v>
      </c>
      <c r="K1461" s="332">
        <v>94.67</v>
      </c>
      <c r="L1461" s="333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INFO'!$L$2:$M$8,2)</f>
        <v>THU</v>
      </c>
      <c r="G1462" s="215">
        <v>5.33</v>
      </c>
      <c r="H1462" s="423">
        <v>5.33</v>
      </c>
      <c r="I1462" s="455">
        <f t="shared" si="118"/>
        <v>0</v>
      </c>
      <c r="J1462" s="434"/>
      <c r="K1462" s="334" t="s">
        <v>201</v>
      </c>
      <c r="L1462" s="335" t="s">
        <v>201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INFO'!$L$2:$M$8,2)</f>
        <v>FRI</v>
      </c>
      <c r="G1463" s="218">
        <v>5.33</v>
      </c>
      <c r="H1463" s="427">
        <v>5.39</v>
      </c>
      <c r="I1463" s="458">
        <f t="shared" si="118"/>
        <v>5.9999999999999609E-2</v>
      </c>
      <c r="J1463" s="433" t="s">
        <v>150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3"/>
      <c r="B1464" s="304"/>
      <c r="C1464" s="103">
        <f t="shared" si="124"/>
        <v>45262</v>
      </c>
      <c r="E1464" s="167"/>
      <c r="F1464" s="58" t="str">
        <f>VLOOKUP(MOD(C1464,7),'CALENDAR INFO'!$L$2:$M$8,2)</f>
        <v>SAT</v>
      </c>
      <c r="G1464" s="214">
        <v>5.33</v>
      </c>
      <c r="H1464" s="422">
        <v>5.39</v>
      </c>
      <c r="I1464" s="454">
        <f t="shared" si="118"/>
        <v>5.9999999999999609E-2</v>
      </c>
      <c r="J1464" s="152" t="s">
        <v>117</v>
      </c>
      <c r="K1464" s="15">
        <f>VLOOKUP(MONTH($C1463),'CALENDAR INFO'!$O$2:$P$13,2)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3"/>
      <c r="B1465" s="304"/>
      <c r="C1465" s="103">
        <f t="shared" si="124"/>
        <v>45263</v>
      </c>
      <c r="E1465" s="167"/>
      <c r="F1465" s="58" t="str">
        <f>VLOOKUP(MOD(C1465,7),'CALENDAR INFO'!$L$2:$M$8,2)</f>
        <v>SUN</v>
      </c>
      <c r="G1465" s="214">
        <v>5.33</v>
      </c>
      <c r="H1465" s="422">
        <v>5.39</v>
      </c>
      <c r="I1465" s="454">
        <f t="shared" si="118"/>
        <v>5.9999999999999609E-2</v>
      </c>
      <c r="J1465" s="152" t="s">
        <v>151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3"/>
      <c r="B1466" s="304"/>
      <c r="C1466" s="103">
        <f t="shared" si="124"/>
        <v>45264</v>
      </c>
      <c r="E1466" s="167"/>
      <c r="F1466" s="58" t="str">
        <f>VLOOKUP(MOD(C1466,7),'CALENDAR INFO'!$L$2:$M$8,2)</f>
        <v>MON</v>
      </c>
      <c r="G1466" s="214">
        <v>5.33</v>
      </c>
      <c r="H1466" s="422">
        <v>5.37</v>
      </c>
      <c r="I1466" s="454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3"/>
      <c r="B1467" s="304"/>
      <c r="C1467" s="103">
        <f t="shared" si="124"/>
        <v>45265</v>
      </c>
      <c r="E1467" s="167"/>
      <c r="F1467" s="58" t="str">
        <f>VLOOKUP(MOD(C1467,7),'CALENDAR INFO'!$L$2:$M$8,2)</f>
        <v>TUE</v>
      </c>
      <c r="G1467" s="214">
        <v>5.33</v>
      </c>
      <c r="H1467" s="422">
        <v>5.33</v>
      </c>
      <c r="I1467" s="454">
        <f t="shared" si="118"/>
        <v>0</v>
      </c>
      <c r="J1467" s="152" t="s">
        <v>191</v>
      </c>
      <c r="K1467" s="310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3"/>
      <c r="B1468" s="304"/>
      <c r="C1468" s="103">
        <f t="shared" si="124"/>
        <v>45266</v>
      </c>
      <c r="E1468" s="167"/>
      <c r="F1468" s="58" t="str">
        <f>VLOOKUP(MOD(C1468,7),'CALENDAR INFO'!$L$2:$M$8,2)</f>
        <v>WED</v>
      </c>
      <c r="G1468" s="214">
        <v>5.33</v>
      </c>
      <c r="H1468" s="422">
        <v>5.32</v>
      </c>
      <c r="I1468" s="454">
        <f t="shared" si="118"/>
        <v>-9.9999999999997868E-3</v>
      </c>
      <c r="J1468" s="152" t="s">
        <v>192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3"/>
      <c r="B1469" s="304"/>
      <c r="C1469" s="103">
        <f t="shared" si="124"/>
        <v>45267</v>
      </c>
      <c r="E1469" s="167"/>
      <c r="F1469" s="58" t="str">
        <f>VLOOKUP(MOD(C1469,7),'CALENDAR INFO'!$L$2:$M$8,2)</f>
        <v>THU</v>
      </c>
      <c r="G1469" s="214">
        <v>5.33</v>
      </c>
      <c r="H1469" s="422">
        <v>5.32</v>
      </c>
      <c r="I1469" s="454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3"/>
      <c r="B1470" s="304"/>
      <c r="C1470" s="103">
        <f t="shared" si="124"/>
        <v>45268</v>
      </c>
      <c r="E1470" s="167"/>
      <c r="F1470" s="58" t="str">
        <f>VLOOKUP(MOD(C1470,7),'CALENDAR INFO'!$L$2:$M$8,2)</f>
        <v>FRI</v>
      </c>
      <c r="G1470" s="214">
        <v>5.33</v>
      </c>
      <c r="H1470" s="422">
        <v>5.32</v>
      </c>
      <c r="I1470" s="454">
        <f t="shared" si="118"/>
        <v>-9.9999999999997868E-3</v>
      </c>
      <c r="J1470" s="152" t="s">
        <v>152</v>
      </c>
      <c r="K1470" s="311" t="str">
        <f>_xlfn.CONCAT("A",TEXT(K1463,0),":","A",TEXT(K1465,0))</f>
        <v>A1463:A1493</v>
      </c>
      <c r="L1470" s="312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3"/>
      <c r="B1471" s="304"/>
      <c r="C1471" s="103">
        <f t="shared" si="124"/>
        <v>45269</v>
      </c>
      <c r="E1471" s="167"/>
      <c r="F1471" s="58" t="str">
        <f>VLOOKUP(MOD(C1471,7),'CALENDAR INFO'!$L$2:$M$8,2)</f>
        <v>SAT</v>
      </c>
      <c r="G1471" s="214">
        <v>5.33</v>
      </c>
      <c r="H1471" s="422">
        <v>5.32</v>
      </c>
      <c r="I1471" s="454">
        <f t="shared" si="118"/>
        <v>-9.9999999999997868E-3</v>
      </c>
      <c r="J1471" s="152" t="s">
        <v>189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3"/>
      <c r="B1472" s="304"/>
      <c r="C1472" s="103">
        <f t="shared" si="124"/>
        <v>45270</v>
      </c>
      <c r="E1472" s="167"/>
      <c r="F1472" s="58" t="str">
        <f>VLOOKUP(MOD(C1472,7),'CALENDAR INFO'!$L$2:$M$8,2)</f>
        <v>SUN</v>
      </c>
      <c r="G1472" s="214">
        <v>5.33</v>
      </c>
      <c r="H1472" s="422">
        <v>5.32</v>
      </c>
      <c r="I1472" s="454">
        <f t="shared" si="118"/>
        <v>-9.9999999999997868E-3</v>
      </c>
      <c r="J1472" s="152" t="s">
        <v>190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3"/>
      <c r="B1473" s="304"/>
      <c r="C1473" s="103">
        <f t="shared" si="124"/>
        <v>45271</v>
      </c>
      <c r="E1473" s="167"/>
      <c r="F1473" s="58" t="str">
        <f>VLOOKUP(MOD(C1473,7),'CALENDAR INFO'!$L$2:$M$8,2)</f>
        <v>MON</v>
      </c>
      <c r="G1473" s="214">
        <v>5.33</v>
      </c>
      <c r="H1473" s="422">
        <v>5.32</v>
      </c>
      <c r="I1473" s="454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3"/>
      <c r="B1474" s="304"/>
      <c r="C1474" s="103">
        <f t="shared" si="124"/>
        <v>45272</v>
      </c>
      <c r="D1474" s="153" t="s">
        <v>20</v>
      </c>
      <c r="E1474" s="167"/>
      <c r="F1474" s="58" t="str">
        <f>VLOOKUP(MOD(C1474,7),'CALENDAR INFO'!$L$2:$M$8,2)</f>
        <v>TUE</v>
      </c>
      <c r="G1474" s="214">
        <v>5.33</v>
      </c>
      <c r="H1474" s="422">
        <v>5.31</v>
      </c>
      <c r="I1474" s="454">
        <f t="shared" si="118"/>
        <v>-2.0000000000000462E-2</v>
      </c>
      <c r="J1474" s="15" t="s">
        <v>193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3"/>
      <c r="B1475" s="304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INFO'!$L$2:$M$8,2)</f>
        <v>WED</v>
      </c>
      <c r="G1475" s="214">
        <v>5.33</v>
      </c>
      <c r="H1475" s="422">
        <v>5.31</v>
      </c>
      <c r="I1475" s="454">
        <f t="shared" ref="I1475:I1538" si="126">H1475-G1475</f>
        <v>-2.0000000000000462E-2</v>
      </c>
      <c r="J1475" s="152" t="s">
        <v>194</v>
      </c>
      <c r="K1475" s="305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INFO'!$L$2:$M$8,2)</f>
        <v>THU</v>
      </c>
      <c r="G1476" s="214">
        <v>5.33</v>
      </c>
      <c r="H1476" s="422">
        <v>5.31</v>
      </c>
      <c r="I1476" s="454">
        <f t="shared" si="126"/>
        <v>-2.0000000000000462E-2</v>
      </c>
      <c r="J1476" s="15" t="s">
        <v>195</v>
      </c>
      <c r="K1476" s="305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INFO'!$L$2:$M$8,2)</f>
        <v>FRI</v>
      </c>
      <c r="G1477" s="214">
        <v>5.33</v>
      </c>
      <c r="H1477" s="422">
        <v>5.32</v>
      </c>
      <c r="I1477" s="454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INFO'!$L$2:$M$8,2)</f>
        <v>SAT</v>
      </c>
      <c r="G1478" s="214">
        <v>5.33</v>
      </c>
      <c r="H1478" s="422">
        <v>5.32</v>
      </c>
      <c r="I1478" s="454">
        <f t="shared" si="126"/>
        <v>-9.9999999999997868E-3</v>
      </c>
      <c r="J1478" s="152" t="s">
        <v>196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INFO'!$L$2:$M$8,2)</f>
        <v>SUN</v>
      </c>
      <c r="G1479" s="214">
        <v>5.33</v>
      </c>
      <c r="H1479" s="422">
        <v>5.32</v>
      </c>
      <c r="I1479" s="454">
        <f t="shared" si="126"/>
        <v>-9.9999999999997868E-3</v>
      </c>
      <c r="J1479" s="152" t="s">
        <v>117</v>
      </c>
      <c r="K1479" s="313">
        <f>K1464</f>
        <v>31</v>
      </c>
      <c r="L1479" s="314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INFO'!$L$2:$M$8,2)</f>
        <v>MON</v>
      </c>
      <c r="G1480" s="214">
        <v>5.33</v>
      </c>
      <c r="H1480" s="422">
        <v>5.32</v>
      </c>
      <c r="I1480" s="454">
        <f t="shared" si="126"/>
        <v>-9.9999999999997868E-3</v>
      </c>
      <c r="J1480" s="152" t="s">
        <v>183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INFO'!$L$2:$M$8,2)</f>
        <v>TUE</v>
      </c>
      <c r="G1481" s="214">
        <v>5.33</v>
      </c>
      <c r="H1481" s="422">
        <v>5.31</v>
      </c>
      <c r="I1481" s="454">
        <f t="shared" si="126"/>
        <v>-2.0000000000000462E-2</v>
      </c>
      <c r="J1481" s="152"/>
      <c r="K1481" s="305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INFO'!$L$2:$M$8,2)</f>
        <v>WED</v>
      </c>
      <c r="G1482" s="214">
        <v>5.33</v>
      </c>
      <c r="H1482" s="422">
        <v>5.31</v>
      </c>
      <c r="I1482" s="454">
        <f t="shared" si="126"/>
        <v>-2.0000000000000462E-2</v>
      </c>
      <c r="J1482" s="152" t="s">
        <v>186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INFO'!$L$2:$M$8,2)</f>
        <v>THU</v>
      </c>
      <c r="G1483" s="214">
        <v>5.33</v>
      </c>
      <c r="H1483" s="422">
        <v>5.31</v>
      </c>
      <c r="I1483" s="454">
        <f t="shared" si="126"/>
        <v>-2.0000000000000462E-2</v>
      </c>
      <c r="J1483" s="15" t="s">
        <v>154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INFO'!$L$2:$M$8,2)</f>
        <v>FRI</v>
      </c>
      <c r="G1484" s="214">
        <v>5.33</v>
      </c>
      <c r="H1484" s="422">
        <v>5.32</v>
      </c>
      <c r="I1484" s="454">
        <f t="shared" si="126"/>
        <v>-9.9999999999997868E-3</v>
      </c>
      <c r="J1484" s="15" t="s">
        <v>184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INFO'!$L$2:$M$8,2)</f>
        <v>SAT</v>
      </c>
      <c r="G1485" s="214">
        <v>5.33</v>
      </c>
      <c r="H1485" s="422">
        <v>5.32</v>
      </c>
      <c r="I1485" s="454">
        <f t="shared" si="126"/>
        <v>-9.9999999999997868E-3</v>
      </c>
      <c r="J1485" s="15" t="s">
        <v>185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INFO'!$L$2:$M$8,2)</f>
        <v>SUN</v>
      </c>
      <c r="G1486" s="214">
        <v>5.33</v>
      </c>
      <c r="H1486" s="422">
        <v>5.32</v>
      </c>
      <c r="I1486" s="454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110</v>
      </c>
      <c r="E1487" s="170"/>
      <c r="F1487" s="58" t="str">
        <f>VLOOKUP(MOD(C1487,7),'CALENDAR INFO'!$L$2:$M$8,2)</f>
        <v>MON</v>
      </c>
      <c r="G1487" s="214">
        <v>5.33</v>
      </c>
      <c r="H1487" s="422">
        <v>5.32</v>
      </c>
      <c r="I1487" s="454">
        <f t="shared" si="126"/>
        <v>-9.9999999999997868E-3</v>
      </c>
      <c r="J1487" s="15" t="s">
        <v>187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INFO'!$L$2:$M$8,2)</f>
        <v>TUE</v>
      </c>
      <c r="G1488" s="214">
        <v>5.33</v>
      </c>
      <c r="H1488" s="422">
        <v>5.35</v>
      </c>
      <c r="I1488" s="454">
        <f t="shared" si="126"/>
        <v>1.9999999999999574E-2</v>
      </c>
      <c r="J1488" s="15" t="s">
        <v>188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INFO'!$L$2:$M$8,2)</f>
        <v>WED</v>
      </c>
      <c r="G1489" s="214">
        <v>5.33</v>
      </c>
      <c r="H1489" s="422">
        <v>5.39</v>
      </c>
      <c r="I1489" s="454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INFO'!$L$2:$M$8,2)</f>
        <v>THU</v>
      </c>
      <c r="G1490" s="214">
        <v>5.33</v>
      </c>
      <c r="H1490" s="422">
        <v>5.4</v>
      </c>
      <c r="I1490" s="454">
        <f t="shared" si="126"/>
        <v>7.0000000000000284E-2</v>
      </c>
      <c r="J1490" s="436" t="s">
        <v>200</v>
      </c>
      <c r="K1490" s="332" t="e">
        <f ca="1">100-K1483/K1474</f>
        <v>#DIV/0!</v>
      </c>
      <c r="L1490" s="333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INFO'!$L$2:$M$8,2)</f>
        <v>FRI</v>
      </c>
      <c r="G1491" s="214">
        <v>5.33</v>
      </c>
      <c r="H1491" s="422">
        <v>5.38</v>
      </c>
      <c r="I1491" s="454">
        <f t="shared" si="126"/>
        <v>4.9999999999999822E-2</v>
      </c>
      <c r="J1491" s="437" t="s">
        <v>199</v>
      </c>
      <c r="K1491" s="332">
        <v>94.67</v>
      </c>
      <c r="L1491" s="333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INFO'!$L$2:$M$8,2)</f>
        <v>SAT</v>
      </c>
      <c r="G1492" s="214">
        <v>5.33</v>
      </c>
      <c r="H1492" s="422">
        <v>5.38</v>
      </c>
      <c r="I1492" s="454">
        <f t="shared" si="126"/>
        <v>4.9999999999999822E-2</v>
      </c>
      <c r="J1492" s="152"/>
      <c r="K1492" s="183" t="s">
        <v>201</v>
      </c>
      <c r="L1492" s="193" t="s">
        <v>201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INFO'!$L$2:$M$8,2)</f>
        <v>SUN</v>
      </c>
      <c r="G1493" s="215">
        <v>5.33</v>
      </c>
      <c r="H1493" s="423">
        <v>5.38</v>
      </c>
      <c r="I1493" s="455">
        <f t="shared" si="126"/>
        <v>4.9999999999999822E-2</v>
      </c>
      <c r="J1493" s="434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3"/>
      <c r="B1494" s="304"/>
      <c r="C1494" s="109">
        <f t="shared" si="124"/>
        <v>45292</v>
      </c>
      <c r="D1494" s="108" t="s">
        <v>114</v>
      </c>
      <c r="E1494" s="107"/>
      <c r="F1494" s="105" t="str">
        <f>VLOOKUP(MOD(C1494,7),'CALENDAR INFO'!$L$2:$M$8,2)</f>
        <v>MON</v>
      </c>
      <c r="G1494" s="214">
        <v>5.33</v>
      </c>
      <c r="H1494" s="422">
        <v>5.38</v>
      </c>
      <c r="I1494" s="454">
        <f t="shared" si="126"/>
        <v>4.9999999999999822E-2</v>
      </c>
      <c r="J1494" s="435" t="s">
        <v>150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INFO'!$L$2:$M$8,2)</f>
        <v>TUE</v>
      </c>
      <c r="G1495" s="214">
        <v>5.33</v>
      </c>
      <c r="H1495" s="422">
        <v>5.4</v>
      </c>
      <c r="I1495" s="454">
        <f t="shared" si="126"/>
        <v>7.0000000000000284E-2</v>
      </c>
      <c r="J1495" s="152" t="s">
        <v>117</v>
      </c>
      <c r="K1495" s="15">
        <f>VLOOKUP(MONTH($C1494),'CALENDAR INFO'!$O$2:$P$13,2)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INFO'!$L$2:$M$8,2)</f>
        <v>WED</v>
      </c>
      <c r="G1496" s="214">
        <v>5.33</v>
      </c>
      <c r="H1496" s="422">
        <v>5.39</v>
      </c>
      <c r="I1496" s="454">
        <f t="shared" si="126"/>
        <v>5.9999999999999609E-2</v>
      </c>
      <c r="J1496" s="15" t="s">
        <v>151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INFO'!$L$2:$M$8,2)</f>
        <v>THU</v>
      </c>
      <c r="G1497" s="214">
        <v>5.33</v>
      </c>
      <c r="H1497" s="422">
        <v>5.32</v>
      </c>
      <c r="I1497" s="454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INFO'!$L$2:$M$8,2)</f>
        <v>FRI</v>
      </c>
      <c r="G1498" s="214">
        <v>5.33</v>
      </c>
      <c r="H1498" s="422">
        <v>5.31</v>
      </c>
      <c r="I1498" s="454">
        <f t="shared" si="126"/>
        <v>-2.0000000000000462E-2</v>
      </c>
      <c r="J1498" s="15" t="s">
        <v>191</v>
      </c>
      <c r="K1498" s="309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INFO'!$L$2:$M$8,2)</f>
        <v>SAT</v>
      </c>
      <c r="G1499" s="214">
        <v>5.33</v>
      </c>
      <c r="H1499" s="422">
        <v>5.31</v>
      </c>
      <c r="I1499" s="454">
        <f t="shared" si="126"/>
        <v>-2.0000000000000462E-2</v>
      </c>
      <c r="J1499" s="15" t="s">
        <v>192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INFO'!$L$2:$M$8,2)</f>
        <v>SUN</v>
      </c>
      <c r="G1500" s="214">
        <v>5.33</v>
      </c>
      <c r="H1500" s="422">
        <v>5.31</v>
      </c>
      <c r="I1500" s="454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INFO'!$L$2:$M$8,2)</f>
        <v>MON</v>
      </c>
      <c r="G1501" s="214">
        <v>5.33</v>
      </c>
      <c r="H1501" s="422">
        <v>5.31</v>
      </c>
      <c r="I1501" s="454">
        <f t="shared" si="126"/>
        <v>-2.0000000000000462E-2</v>
      </c>
      <c r="J1501" s="15" t="s">
        <v>152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INFO'!$L$2:$M$8,2)</f>
        <v>TUE</v>
      </c>
      <c r="G1502" s="214">
        <v>5.33</v>
      </c>
      <c r="H1502" s="422">
        <v>5.31</v>
      </c>
      <c r="I1502" s="454">
        <f t="shared" si="126"/>
        <v>-2.0000000000000462E-2</v>
      </c>
      <c r="J1502" s="15" t="s">
        <v>189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INFO'!$L$2:$M$8,2)</f>
        <v>WED</v>
      </c>
      <c r="G1503" s="214">
        <v>5.33</v>
      </c>
      <c r="H1503" s="422">
        <v>5.31</v>
      </c>
      <c r="I1503" s="454">
        <f t="shared" si="126"/>
        <v>-2.0000000000000462E-2</v>
      </c>
      <c r="J1503" s="15" t="s">
        <v>190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INFO'!$L$2:$M$8,2)</f>
        <v>THU</v>
      </c>
      <c r="G1504" s="214">
        <v>5.33</v>
      </c>
      <c r="H1504" s="422">
        <v>5.31</v>
      </c>
      <c r="I1504" s="454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INFO'!$L$2:$M$8,2)</f>
        <v>FRI</v>
      </c>
      <c r="G1505" s="214">
        <v>5.33</v>
      </c>
      <c r="H1505" s="422">
        <v>5.31</v>
      </c>
      <c r="I1505" s="454">
        <f t="shared" si="126"/>
        <v>-2.0000000000000462E-2</v>
      </c>
      <c r="J1505" s="152" t="s">
        <v>193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INFO'!$L$2:$M$8,2)</f>
        <v>SAT</v>
      </c>
      <c r="G1506" s="214">
        <v>5.33</v>
      </c>
      <c r="H1506" s="422">
        <v>5.31</v>
      </c>
      <c r="I1506" s="454">
        <f t="shared" si="126"/>
        <v>-2.0000000000000462E-2</v>
      </c>
      <c r="J1506" s="152" t="s">
        <v>194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INFO'!$L$2:$M$8,2)</f>
        <v>SUN</v>
      </c>
      <c r="G1507" s="214">
        <v>5.33</v>
      </c>
      <c r="H1507" s="422">
        <v>5.31</v>
      </c>
      <c r="I1507" s="454">
        <f t="shared" si="126"/>
        <v>-2.0000000000000462E-2</v>
      </c>
      <c r="J1507" s="152" t="s">
        <v>195</v>
      </c>
      <c r="K1507" s="290">
        <f t="shared" ca="1" si="129"/>
        <v>30</v>
      </c>
      <c r="L1507" s="307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102</v>
      </c>
      <c r="E1508" s="170"/>
      <c r="F1508" s="58" t="str">
        <f>VLOOKUP(MOD(C1508,7),'CALENDAR INFO'!$L$2:$M$8,2)</f>
        <v>MON</v>
      </c>
      <c r="G1508" s="214">
        <v>5.33</v>
      </c>
      <c r="H1508" s="422">
        <v>5.31</v>
      </c>
      <c r="I1508" s="454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INFO'!$L$2:$M$8,2)</f>
        <v>TUE</v>
      </c>
      <c r="G1509" s="214">
        <v>5.33</v>
      </c>
      <c r="H1509" s="422">
        <v>5.32</v>
      </c>
      <c r="I1509" s="454">
        <f t="shared" si="126"/>
        <v>-9.9999999999997868E-3</v>
      </c>
      <c r="J1509" s="152" t="s">
        <v>196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INFO'!$L$2:$M$8,2)</f>
        <v>WED</v>
      </c>
      <c r="G1510" s="214">
        <v>5.33</v>
      </c>
      <c r="H1510" s="422">
        <v>5.32</v>
      </c>
      <c r="I1510" s="454">
        <f t="shared" si="126"/>
        <v>-9.9999999999997868E-3</v>
      </c>
      <c r="J1510" s="152" t="s">
        <v>117</v>
      </c>
      <c r="K1510" s="306">
        <f>K1495</f>
        <v>31</v>
      </c>
      <c r="L1510" s="308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INFO'!$L$2:$M$8,2)</f>
        <v>THU</v>
      </c>
      <c r="G1511" s="214">
        <v>5.33</v>
      </c>
      <c r="H1511" s="422">
        <v>5.31</v>
      </c>
      <c r="I1511" s="454">
        <f t="shared" si="126"/>
        <v>-2.0000000000000462E-2</v>
      </c>
      <c r="J1511" s="152" t="s">
        <v>183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INFO'!$L$2:$M$8,2)</f>
        <v>FRI</v>
      </c>
      <c r="G1512" s="214">
        <v>5.33</v>
      </c>
      <c r="H1512" s="422">
        <v>5.31</v>
      </c>
      <c r="I1512" s="454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INFO'!$L$2:$M$8,2)</f>
        <v>SAT</v>
      </c>
      <c r="G1513" s="214">
        <v>5.33</v>
      </c>
      <c r="H1513" s="422">
        <v>5.31</v>
      </c>
      <c r="I1513" s="454">
        <f t="shared" si="126"/>
        <v>-2.0000000000000462E-2</v>
      </c>
      <c r="J1513" s="15" t="s">
        <v>186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INFO'!$L$2:$M$8,2)</f>
        <v>SUN</v>
      </c>
      <c r="G1514" s="214">
        <v>5.33</v>
      </c>
      <c r="H1514" s="422">
        <v>5.31</v>
      </c>
      <c r="I1514" s="454">
        <f t="shared" si="126"/>
        <v>-2.0000000000000462E-2</v>
      </c>
      <c r="J1514" s="152" t="s">
        <v>154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INFO'!$L$2:$M$8,2)</f>
        <v>MON</v>
      </c>
      <c r="G1515" s="214">
        <v>5.33</v>
      </c>
      <c r="H1515" s="422">
        <v>5.31</v>
      </c>
      <c r="I1515" s="454">
        <f t="shared" si="126"/>
        <v>-2.0000000000000462E-2</v>
      </c>
      <c r="J1515" s="15" t="s">
        <v>184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INFO'!$L$2:$M$8,2)</f>
        <v>TUE</v>
      </c>
      <c r="G1516" s="214">
        <v>5.33</v>
      </c>
      <c r="H1516" s="422">
        <v>5.31</v>
      </c>
      <c r="I1516" s="454">
        <f t="shared" si="126"/>
        <v>-2.0000000000000462E-2</v>
      </c>
      <c r="J1516" s="152" t="s">
        <v>185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INFO'!$L$2:$M$8,2)</f>
        <v>WED</v>
      </c>
      <c r="G1517" s="214">
        <v>5.33</v>
      </c>
      <c r="H1517" s="422">
        <v>5.31</v>
      </c>
      <c r="I1517" s="454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INFO'!$L$2:$M$8,2)</f>
        <v>THU</v>
      </c>
      <c r="G1518" s="214">
        <v>5.33</v>
      </c>
      <c r="H1518" s="422">
        <v>5.32</v>
      </c>
      <c r="I1518" s="454">
        <f t="shared" si="126"/>
        <v>-9.9999999999997868E-3</v>
      </c>
      <c r="J1518" s="152" t="s">
        <v>187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INFO'!$L$2:$M$8,2)</f>
        <v>FRI</v>
      </c>
      <c r="G1519" s="214">
        <v>5.33</v>
      </c>
      <c r="H1519" s="422">
        <v>5.32</v>
      </c>
      <c r="I1519" s="454">
        <f t="shared" si="126"/>
        <v>-9.9999999999997868E-3</v>
      </c>
      <c r="J1519" s="152" t="s">
        <v>188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INFO'!$L$2:$M$8,2)</f>
        <v>SAT</v>
      </c>
      <c r="G1520" s="214">
        <v>5.33</v>
      </c>
      <c r="H1520" s="422">
        <v>5.32</v>
      </c>
      <c r="I1520" s="454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INFO'!$L$2:$M$8,2)</f>
        <v>SUN</v>
      </c>
      <c r="G1521" s="214">
        <v>5.33</v>
      </c>
      <c r="H1521" s="422">
        <v>5.32</v>
      </c>
      <c r="I1521" s="454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INFO'!$L$2:$M$8,2)</f>
        <v>MON</v>
      </c>
      <c r="G1522" s="214">
        <v>5.33</v>
      </c>
      <c r="H1522" s="422">
        <v>5.31</v>
      </c>
      <c r="I1522" s="454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INFO'!$L$2:$M$8,2)</f>
        <v>TUE</v>
      </c>
      <c r="G1523" s="214">
        <v>5.33</v>
      </c>
      <c r="H1523" s="422">
        <v>5.31</v>
      </c>
      <c r="I1523" s="454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INFO'!$L$2:$M$8,2)</f>
        <v>WED</v>
      </c>
      <c r="G1524" s="215">
        <v>5.33</v>
      </c>
      <c r="H1524" s="423">
        <v>5.32</v>
      </c>
      <c r="I1524" s="455">
        <f t="shared" si="126"/>
        <v>-9.9999999999997868E-3</v>
      </c>
      <c r="J1524" s="434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3"/>
      <c r="B1525" s="304"/>
      <c r="C1525" s="103">
        <f t="shared" ref="C1525:C1588" si="131">C1524+1</f>
        <v>45323</v>
      </c>
      <c r="E1525" s="167"/>
      <c r="F1525" s="58" t="str">
        <f>VLOOKUP(MOD(C1525,7),'CALENDAR INFO'!$L$2:$M$8,2)</f>
        <v>THU</v>
      </c>
      <c r="G1525" s="214">
        <v>5.33</v>
      </c>
      <c r="H1525" s="422">
        <v>5.32</v>
      </c>
      <c r="I1525" s="454">
        <f t="shared" si="126"/>
        <v>-9.9999999999997868E-3</v>
      </c>
      <c r="J1525" s="433" t="s">
        <v>150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INFO'!$L$2:$M$8,2)</f>
        <v>FRI</v>
      </c>
      <c r="G1526" s="214">
        <v>5.33</v>
      </c>
      <c r="H1526" s="422">
        <v>5.32</v>
      </c>
      <c r="I1526" s="454">
        <f t="shared" si="126"/>
        <v>-9.9999999999997868E-3</v>
      </c>
      <c r="J1526" s="152" t="s">
        <v>117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INFO'!$L$2:$M$8,2)</f>
        <v>SAT</v>
      </c>
      <c r="G1527" s="214">
        <v>5.33</v>
      </c>
      <c r="H1527" s="422">
        <v>5.32</v>
      </c>
      <c r="I1527" s="454">
        <f t="shared" si="126"/>
        <v>-9.9999999999997868E-3</v>
      </c>
      <c r="J1527" s="152" t="s">
        <v>151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INFO'!$L$2:$M$8,2)</f>
        <v>SUN</v>
      </c>
      <c r="G1528" s="214">
        <v>5.33</v>
      </c>
      <c r="H1528" s="422">
        <v>5.32</v>
      </c>
      <c r="I1528" s="454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INFO'!$L$2:$M$8,2)</f>
        <v>MON</v>
      </c>
      <c r="G1529" s="214">
        <v>5.33</v>
      </c>
      <c r="H1529" s="422">
        <v>5.31</v>
      </c>
      <c r="I1529" s="454">
        <f t="shared" si="126"/>
        <v>-2.0000000000000462E-2</v>
      </c>
      <c r="J1529" s="152" t="s">
        <v>191</v>
      </c>
      <c r="K1529" s="310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INFO'!$L$2:$M$8,2)</f>
        <v>TUE</v>
      </c>
      <c r="G1530" s="214">
        <v>5.33</v>
      </c>
      <c r="H1530" s="422">
        <v>5.31</v>
      </c>
      <c r="I1530" s="454">
        <f t="shared" si="126"/>
        <v>-2.0000000000000462E-2</v>
      </c>
      <c r="J1530" s="152" t="s">
        <v>192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INFO'!$L$2:$M$8,2)</f>
        <v>WED</v>
      </c>
      <c r="G1531" s="214">
        <v>5.33</v>
      </c>
      <c r="H1531" s="422">
        <v>5.31</v>
      </c>
      <c r="I1531" s="454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INFO'!$L$2:$M$8,2)</f>
        <v>THU</v>
      </c>
      <c r="G1532" s="214">
        <v>5.33</v>
      </c>
      <c r="H1532" s="422">
        <v>5.31</v>
      </c>
      <c r="I1532" s="454">
        <f t="shared" si="126"/>
        <v>-2.0000000000000462E-2</v>
      </c>
      <c r="J1532" s="152" t="s">
        <v>152</v>
      </c>
      <c r="K1532" s="311" t="str">
        <f>_xlfn.CONCAT("A",TEXT(K1525,0),":","A",TEXT(K1527,0))</f>
        <v>A1525:A1553</v>
      </c>
      <c r="L1532" s="312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INFO'!$L$2:$M$8,2)</f>
        <v>FRI</v>
      </c>
      <c r="G1533" s="214">
        <v>5.33</v>
      </c>
      <c r="H1533" s="422">
        <v>5.31</v>
      </c>
      <c r="I1533" s="454">
        <f t="shared" si="126"/>
        <v>-2.0000000000000462E-2</v>
      </c>
      <c r="J1533" s="152" t="s">
        <v>189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INFO'!$L$2:$M$8,2)</f>
        <v>SAT</v>
      </c>
      <c r="G1534" s="214">
        <v>5.33</v>
      </c>
      <c r="H1534" s="422">
        <v>5.31</v>
      </c>
      <c r="I1534" s="454">
        <f t="shared" si="126"/>
        <v>-2.0000000000000462E-2</v>
      </c>
      <c r="J1534" s="152" t="s">
        <v>190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INFO'!$L$2:$M$8,2)</f>
        <v>SUN</v>
      </c>
      <c r="G1535" s="214">
        <v>5.33</v>
      </c>
      <c r="H1535" s="422">
        <v>5.31</v>
      </c>
      <c r="I1535" s="454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INFO'!$L$2:$M$8,2)</f>
        <v>MON</v>
      </c>
      <c r="G1536" s="214">
        <v>5.33</v>
      </c>
      <c r="H1536" s="422">
        <v>5.31</v>
      </c>
      <c r="I1536" s="454">
        <f t="shared" si="126"/>
        <v>-2.0000000000000462E-2</v>
      </c>
      <c r="J1536" s="15" t="s">
        <v>193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INFO'!$L$2:$M$8,2)</f>
        <v>TUE</v>
      </c>
      <c r="G1537" s="214">
        <v>5.33</v>
      </c>
      <c r="H1537" s="422">
        <v>5.31</v>
      </c>
      <c r="I1537" s="454">
        <f t="shared" si="126"/>
        <v>-2.0000000000000462E-2</v>
      </c>
      <c r="J1537" s="152" t="s">
        <v>194</v>
      </c>
      <c r="K1537" s="305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INFO'!$L$2:$M$8,2)</f>
        <v>WED</v>
      </c>
      <c r="G1538" s="214">
        <v>5.33</v>
      </c>
      <c r="H1538" s="422">
        <v>5.3</v>
      </c>
      <c r="I1538" s="454">
        <f t="shared" si="126"/>
        <v>-3.0000000000000249E-2</v>
      </c>
      <c r="J1538" s="15" t="s">
        <v>195</v>
      </c>
      <c r="K1538" s="305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INFO'!$L$2:$M$8,2)</f>
        <v>THU</v>
      </c>
      <c r="G1539" s="214">
        <v>5.33</v>
      </c>
      <c r="H1539" s="422">
        <v>5.31</v>
      </c>
      <c r="I1539" s="454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INFO'!$L$2:$M$8,2)</f>
        <v>FRI</v>
      </c>
      <c r="G1540" s="214">
        <v>5.33</v>
      </c>
      <c r="H1540" s="422">
        <v>5.3</v>
      </c>
      <c r="I1540" s="454">
        <f t="shared" si="133"/>
        <v>-3.0000000000000249E-2</v>
      </c>
      <c r="J1540" s="152" t="s">
        <v>196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INFO'!$L$2:$M$8,2)</f>
        <v>SAT</v>
      </c>
      <c r="G1541" s="214">
        <v>5.33</v>
      </c>
      <c r="H1541" s="422">
        <v>5.3</v>
      </c>
      <c r="I1541" s="454">
        <f t="shared" si="133"/>
        <v>-3.0000000000000249E-2</v>
      </c>
      <c r="J1541" s="152" t="s">
        <v>117</v>
      </c>
      <c r="K1541" s="313">
        <f>K1526</f>
        <v>29</v>
      </c>
      <c r="L1541" s="314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INFO'!$L$2:$M$8,2)</f>
        <v>SUN</v>
      </c>
      <c r="G1542" s="214">
        <v>5.33</v>
      </c>
      <c r="H1542" s="422">
        <v>5.3</v>
      </c>
      <c r="I1542" s="454">
        <f t="shared" si="133"/>
        <v>-3.0000000000000249E-2</v>
      </c>
      <c r="J1542" s="152" t="s">
        <v>183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INFO'!$L$2:$M$8,2)</f>
        <v>MON</v>
      </c>
      <c r="G1543" s="214">
        <v>5.33</v>
      </c>
      <c r="H1543" s="422">
        <v>5.3</v>
      </c>
      <c r="I1543" s="454">
        <f t="shared" si="133"/>
        <v>-3.0000000000000249E-2</v>
      </c>
      <c r="J1543" s="152"/>
      <c r="K1543" s="305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INFO'!$L$2:$M$8,2)</f>
        <v>TUE</v>
      </c>
      <c r="G1544" s="214">
        <v>5.33</v>
      </c>
      <c r="H1544" s="422">
        <v>5.3</v>
      </c>
      <c r="I1544" s="454">
        <f t="shared" si="133"/>
        <v>-3.0000000000000249E-2</v>
      </c>
      <c r="J1544" s="152" t="s">
        <v>186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INFO'!$L$2:$M$8,2)</f>
        <v>WED</v>
      </c>
      <c r="G1545" s="214">
        <v>5.33</v>
      </c>
      <c r="H1545" s="422">
        <v>5.3</v>
      </c>
      <c r="I1545" s="454">
        <f t="shared" si="133"/>
        <v>-3.0000000000000249E-2</v>
      </c>
      <c r="J1545" s="15" t="s">
        <v>154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INFO'!$L$2:$M$8,2)</f>
        <v>THU</v>
      </c>
      <c r="G1546" s="214">
        <v>5.33</v>
      </c>
      <c r="H1546" s="422">
        <v>5.3</v>
      </c>
      <c r="I1546" s="454">
        <f t="shared" si="133"/>
        <v>-3.0000000000000249E-2</v>
      </c>
      <c r="J1546" s="15" t="s">
        <v>184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INFO'!$L$2:$M$8,2)</f>
        <v>FRI</v>
      </c>
      <c r="G1547" s="214">
        <v>5.33</v>
      </c>
      <c r="H1547" s="422">
        <v>5.31</v>
      </c>
      <c r="I1547" s="454">
        <f t="shared" si="133"/>
        <v>-2.0000000000000462E-2</v>
      </c>
      <c r="J1547" s="15" t="s">
        <v>185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INFO'!$L$2:$M$8,2)</f>
        <v>SAT</v>
      </c>
      <c r="G1548" s="214">
        <v>5.33</v>
      </c>
      <c r="H1548" s="422">
        <v>5.31</v>
      </c>
      <c r="I1548" s="454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INFO'!$L$2:$M$8,2)</f>
        <v>SUN</v>
      </c>
      <c r="G1549" s="214">
        <v>5.33</v>
      </c>
      <c r="H1549" s="422">
        <v>5.31</v>
      </c>
      <c r="I1549" s="454">
        <f t="shared" si="133"/>
        <v>-2.0000000000000462E-2</v>
      </c>
      <c r="J1549" s="15" t="s">
        <v>187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INFO'!$L$2:$M$8,2)</f>
        <v>MON</v>
      </c>
      <c r="G1550" s="214">
        <v>5.33</v>
      </c>
      <c r="H1550" s="422">
        <v>5.31</v>
      </c>
      <c r="I1550" s="454">
        <f t="shared" si="133"/>
        <v>-2.0000000000000462E-2</v>
      </c>
      <c r="J1550" s="15" t="s">
        <v>188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INFO'!$L$2:$M$8,2)</f>
        <v>TUE</v>
      </c>
      <c r="G1551" s="214">
        <v>5.33</v>
      </c>
      <c r="H1551" s="422">
        <v>5.31</v>
      </c>
      <c r="I1551" s="454">
        <f t="shared" si="133"/>
        <v>-2.0000000000000462E-2</v>
      </c>
      <c r="J1551" s="152"/>
      <c r="K1551" s="183" t="s">
        <v>201</v>
      </c>
      <c r="L1551" s="199" t="s">
        <v>201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INFO'!$L$2:$M$8,2)</f>
        <v>WED</v>
      </c>
      <c r="G1552" s="214">
        <v>5.33</v>
      </c>
      <c r="H1552" s="422">
        <v>5.31</v>
      </c>
      <c r="I1552" s="454">
        <f t="shared" si="133"/>
        <v>-2.0000000000000462E-2</v>
      </c>
      <c r="J1552" s="436" t="s">
        <v>200</v>
      </c>
      <c r="K1552" s="183">
        <f ca="1">100-K1545/K1526</f>
        <v>100</v>
      </c>
      <c r="L1552" s="338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INFO'!$L$2:$M$8,2)</f>
        <v>THU</v>
      </c>
      <c r="G1553" s="215">
        <v>5.33</v>
      </c>
      <c r="H1553" s="423">
        <v>5.31</v>
      </c>
      <c r="I1553" s="454">
        <f t="shared" si="133"/>
        <v>-2.0000000000000462E-2</v>
      </c>
      <c r="J1553" s="437" t="s">
        <v>199</v>
      </c>
      <c r="K1553" s="339">
        <v>94.67</v>
      </c>
      <c r="L1553" s="340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3"/>
      <c r="B1554" s="304"/>
      <c r="C1554" s="103">
        <f t="shared" si="131"/>
        <v>45352</v>
      </c>
      <c r="E1554" s="167"/>
      <c r="F1554" s="58" t="str">
        <f>VLOOKUP(MOD(C1554,7),'CALENDAR INFO'!$L$2:$M$8,2)</f>
        <v>FRI</v>
      </c>
      <c r="G1554" s="214">
        <v>5.33</v>
      </c>
      <c r="H1554" s="422">
        <v>5.31</v>
      </c>
      <c r="I1554" s="454">
        <f t="shared" si="133"/>
        <v>-2.0000000000000462E-2</v>
      </c>
      <c r="J1554" s="435" t="s">
        <v>150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3"/>
      <c r="B1555" s="304"/>
      <c r="C1555" s="103">
        <f t="shared" si="131"/>
        <v>45353</v>
      </c>
      <c r="E1555" s="167"/>
      <c r="F1555" s="58" t="str">
        <f>VLOOKUP(MOD(C1555,7),'CALENDAR INFO'!$L$2:$M$8,2)</f>
        <v>SAT</v>
      </c>
      <c r="G1555" s="214">
        <v>5.33</v>
      </c>
      <c r="H1555" s="422">
        <v>5.31</v>
      </c>
      <c r="I1555" s="454">
        <f t="shared" si="133"/>
        <v>-2.0000000000000462E-2</v>
      </c>
      <c r="J1555" s="152" t="s">
        <v>117</v>
      </c>
      <c r="K1555" s="15">
        <f>VLOOKUP(MONTH($C1554),'CALENDAR INFO'!$O$2:$P$13,2)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3"/>
      <c r="B1556" s="304"/>
      <c r="C1556" s="103">
        <f t="shared" si="131"/>
        <v>45354</v>
      </c>
      <c r="E1556" s="167"/>
      <c r="F1556" s="58" t="str">
        <f>VLOOKUP(MOD(C1556,7),'CALENDAR INFO'!$L$2:$M$8,2)</f>
        <v>SUN</v>
      </c>
      <c r="G1556" s="214">
        <v>5.33</v>
      </c>
      <c r="H1556" s="422">
        <v>5.31</v>
      </c>
      <c r="I1556" s="454">
        <f t="shared" si="133"/>
        <v>-2.0000000000000462E-2</v>
      </c>
      <c r="J1556" s="15" t="s">
        <v>151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3"/>
      <c r="B1557" s="304"/>
      <c r="C1557" s="103">
        <f t="shared" si="131"/>
        <v>45355</v>
      </c>
      <c r="E1557" s="167"/>
      <c r="F1557" s="58" t="str">
        <f>VLOOKUP(MOD(C1557,7),'CALENDAR INFO'!$L$2:$M$8,2)</f>
        <v>MON</v>
      </c>
      <c r="G1557" s="214">
        <v>5.33</v>
      </c>
      <c r="H1557" s="422">
        <v>5.31</v>
      </c>
      <c r="I1557" s="454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3"/>
      <c r="B1558" s="304"/>
      <c r="C1558" s="103">
        <f t="shared" si="131"/>
        <v>45356</v>
      </c>
      <c r="E1558" s="167"/>
      <c r="F1558" s="58" t="str">
        <f>VLOOKUP(MOD(C1558,7),'CALENDAR INFO'!$L$2:$M$8,2)</f>
        <v>TUE</v>
      </c>
      <c r="G1558" s="214">
        <v>5.33</v>
      </c>
      <c r="H1558" s="422">
        <v>5.31</v>
      </c>
      <c r="I1558" s="454">
        <f t="shared" si="133"/>
        <v>-2.0000000000000462E-2</v>
      </c>
      <c r="J1558" s="15" t="s">
        <v>191</v>
      </c>
      <c r="K1558" s="309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3"/>
      <c r="B1559" s="304"/>
      <c r="C1559" s="103">
        <f t="shared" si="131"/>
        <v>45357</v>
      </c>
      <c r="E1559" s="167" t="s">
        <v>19</v>
      </c>
      <c r="F1559" s="58" t="str">
        <f>VLOOKUP(MOD(C1559,7),'CALENDAR INFO'!$L$2:$M$8,2)</f>
        <v>WED</v>
      </c>
      <c r="G1559" s="214">
        <v>5.33</v>
      </c>
      <c r="H1559" s="422">
        <v>5.31</v>
      </c>
      <c r="I1559" s="454">
        <f t="shared" si="133"/>
        <v>-2.0000000000000462E-2</v>
      </c>
      <c r="J1559" s="15" t="s">
        <v>192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3"/>
      <c r="B1560" s="304"/>
      <c r="C1560" s="103">
        <f t="shared" si="131"/>
        <v>45358</v>
      </c>
      <c r="E1560" s="170" t="s">
        <v>18</v>
      </c>
      <c r="F1560" s="58" t="str">
        <f>VLOOKUP(MOD(C1560,7),'CALENDAR INFO'!$L$2:$M$8,2)</f>
        <v>THU</v>
      </c>
      <c r="G1560" s="219">
        <v>5.33</v>
      </c>
      <c r="H1560" s="428">
        <v>5.31</v>
      </c>
      <c r="I1560" s="454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3"/>
      <c r="B1561" s="304"/>
      <c r="C1561" s="103">
        <f t="shared" si="131"/>
        <v>45359</v>
      </c>
      <c r="E1561" s="170"/>
      <c r="F1561" s="58" t="str">
        <f>VLOOKUP(MOD(C1561,7),'CALENDAR INFO'!$L$2:$M$8,2)</f>
        <v>FRI</v>
      </c>
      <c r="G1561" s="219">
        <v>5.33</v>
      </c>
      <c r="H1561" s="428">
        <v>5.31</v>
      </c>
      <c r="I1561" s="454">
        <f t="shared" si="133"/>
        <v>-2.0000000000000462E-2</v>
      </c>
      <c r="J1561" s="15" t="s">
        <v>152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3"/>
      <c r="B1562" s="304"/>
      <c r="C1562" s="103">
        <f t="shared" si="131"/>
        <v>45360</v>
      </c>
      <c r="E1562" s="170"/>
      <c r="F1562" s="58" t="str">
        <f>VLOOKUP(MOD(C1562,7),'CALENDAR INFO'!$L$2:$M$8,2)</f>
        <v>SAT</v>
      </c>
      <c r="G1562" s="219">
        <v>5.33</v>
      </c>
      <c r="H1562" s="428">
        <v>5.31</v>
      </c>
      <c r="I1562" s="454">
        <f t="shared" si="133"/>
        <v>-2.0000000000000462E-2</v>
      </c>
      <c r="J1562" s="15" t="s">
        <v>189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3"/>
      <c r="B1563" s="304"/>
      <c r="C1563" s="103">
        <f t="shared" si="131"/>
        <v>45361</v>
      </c>
      <c r="E1563" s="170"/>
      <c r="F1563" s="58" t="str">
        <f>VLOOKUP(MOD(C1563,7),'CALENDAR INFO'!$L$2:$M$8,2)</f>
        <v>SUN</v>
      </c>
      <c r="G1563" s="219">
        <v>5.33</v>
      </c>
      <c r="H1563" s="428">
        <v>5.31</v>
      </c>
      <c r="I1563" s="454">
        <f t="shared" si="133"/>
        <v>-2.0000000000000462E-2</v>
      </c>
      <c r="J1563" s="15" t="s">
        <v>190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3"/>
      <c r="B1564" s="304"/>
      <c r="C1564" s="103">
        <f t="shared" si="131"/>
        <v>45362</v>
      </c>
      <c r="E1564" s="170"/>
      <c r="F1564" s="58" t="str">
        <f>VLOOKUP(MOD(C1564,7),'CALENDAR INFO'!$L$2:$M$8,2)</f>
        <v>MON</v>
      </c>
      <c r="G1564" s="219">
        <v>5.33</v>
      </c>
      <c r="H1564" s="428">
        <v>5.31</v>
      </c>
      <c r="I1564" s="454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3"/>
      <c r="B1565" s="304"/>
      <c r="C1565" s="103">
        <f t="shared" si="131"/>
        <v>45363</v>
      </c>
      <c r="E1565" s="170"/>
      <c r="F1565" s="58" t="str">
        <f>VLOOKUP(MOD(C1565,7),'CALENDAR INFO'!$L$2:$M$8,2)</f>
        <v>TUE</v>
      </c>
      <c r="G1565" s="219">
        <v>5.33</v>
      </c>
      <c r="H1565" s="428">
        <v>5.31</v>
      </c>
      <c r="I1565" s="454">
        <f t="shared" si="133"/>
        <v>-2.0000000000000462E-2</v>
      </c>
      <c r="J1565" s="152" t="s">
        <v>193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3"/>
      <c r="B1566" s="304"/>
      <c r="C1566" s="103">
        <f t="shared" si="131"/>
        <v>45364</v>
      </c>
      <c r="E1566" s="170"/>
      <c r="F1566" s="58" t="str">
        <f>VLOOKUP(MOD(C1566,7),'CALENDAR INFO'!$L$2:$M$8,2)</f>
        <v>WED</v>
      </c>
      <c r="G1566" s="219">
        <v>5.33</v>
      </c>
      <c r="H1566" s="428">
        <v>5.31</v>
      </c>
      <c r="I1566" s="454">
        <f t="shared" si="133"/>
        <v>-2.0000000000000462E-2</v>
      </c>
      <c r="J1566" s="152" t="s">
        <v>194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3"/>
      <c r="B1567" s="304"/>
      <c r="C1567" s="103">
        <f t="shared" si="131"/>
        <v>45365</v>
      </c>
      <c r="E1567" s="170"/>
      <c r="F1567" s="58" t="str">
        <f>VLOOKUP(MOD(C1567,7),'CALENDAR INFO'!$L$2:$M$8,2)</f>
        <v>THU</v>
      </c>
      <c r="G1567" s="219">
        <v>5.33</v>
      </c>
      <c r="H1567" s="428">
        <v>5.31</v>
      </c>
      <c r="I1567" s="454">
        <f t="shared" si="133"/>
        <v>-2.0000000000000462E-2</v>
      </c>
      <c r="J1567" s="152" t="s">
        <v>195</v>
      </c>
      <c r="K1567" s="290">
        <f t="shared" ca="1" si="136"/>
        <v>11</v>
      </c>
      <c r="L1567" s="307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3"/>
      <c r="B1568" s="304"/>
      <c r="C1568" s="103">
        <f t="shared" si="131"/>
        <v>45366</v>
      </c>
      <c r="E1568" s="170"/>
      <c r="F1568" s="58" t="str">
        <f>VLOOKUP(MOD(C1568,7),'CALENDAR INFO'!$L$2:$M$8,2)</f>
        <v>FRI</v>
      </c>
      <c r="G1568" s="219">
        <v>5.33</v>
      </c>
      <c r="H1568" s="428">
        <v>5.31</v>
      </c>
      <c r="I1568" s="454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3"/>
      <c r="B1569" s="304"/>
      <c r="C1569" s="103">
        <f t="shared" si="131"/>
        <v>45367</v>
      </c>
      <c r="E1569" s="170"/>
      <c r="F1569" s="58" t="str">
        <f>VLOOKUP(MOD(C1569,7),'CALENDAR INFO'!$L$2:$M$8,2)</f>
        <v>SAT</v>
      </c>
      <c r="G1569" s="219">
        <v>5.33</v>
      </c>
      <c r="H1569" s="428">
        <v>5.31</v>
      </c>
      <c r="I1569" s="454">
        <f t="shared" si="133"/>
        <v>-2.0000000000000462E-2</v>
      </c>
      <c r="J1569" s="152" t="s">
        <v>196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3"/>
      <c r="B1570" s="304"/>
      <c r="C1570" s="103">
        <f t="shared" si="131"/>
        <v>45368</v>
      </c>
      <c r="E1570" s="170"/>
      <c r="F1570" s="58" t="str">
        <f>VLOOKUP(MOD(C1570,7),'CALENDAR INFO'!$L$2:$M$8,2)</f>
        <v>SUN</v>
      </c>
      <c r="G1570" s="219">
        <v>5.33</v>
      </c>
      <c r="H1570" s="428">
        <v>5.31</v>
      </c>
      <c r="I1570" s="454">
        <f t="shared" si="133"/>
        <v>-2.0000000000000462E-2</v>
      </c>
      <c r="J1570" s="152" t="s">
        <v>117</v>
      </c>
      <c r="K1570" s="306">
        <f>K1555</f>
        <v>31</v>
      </c>
      <c r="L1570" s="308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3"/>
      <c r="B1571" s="304"/>
      <c r="C1571" s="103">
        <f t="shared" si="131"/>
        <v>45369</v>
      </c>
      <c r="E1571" s="170"/>
      <c r="F1571" s="58" t="str">
        <f>VLOOKUP(MOD(C1571,7),'CALENDAR INFO'!$L$2:$M$8,2)</f>
        <v>MON</v>
      </c>
      <c r="G1571" s="219">
        <v>5.33</v>
      </c>
      <c r="H1571" s="428">
        <v>5.31</v>
      </c>
      <c r="I1571" s="454">
        <f t="shared" si="133"/>
        <v>-2.0000000000000462E-2</v>
      </c>
      <c r="J1571" s="152" t="s">
        <v>183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3"/>
      <c r="B1572" s="304"/>
      <c r="C1572" s="103">
        <f t="shared" si="131"/>
        <v>45370</v>
      </c>
      <c r="D1572" s="153" t="s">
        <v>20</v>
      </c>
      <c r="E1572" s="170"/>
      <c r="F1572" s="58" t="str">
        <f>VLOOKUP(MOD(C1572,7),'CALENDAR INFO'!$L$2:$M$8,2)</f>
        <v>TUE</v>
      </c>
      <c r="G1572" s="219">
        <v>5.33</v>
      </c>
      <c r="H1572" s="428">
        <v>5.31</v>
      </c>
      <c r="I1572" s="454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3"/>
      <c r="B1573" s="304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INFO'!$L$2:$M$8,2)</f>
        <v>WED</v>
      </c>
      <c r="G1573" s="219">
        <v>5.33</v>
      </c>
      <c r="H1573" s="428">
        <v>5.31</v>
      </c>
      <c r="I1573" s="454">
        <f t="shared" si="133"/>
        <v>-2.0000000000000462E-2</v>
      </c>
      <c r="J1573" s="15" t="s">
        <v>186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INFO'!$L$2:$M$8,2)</f>
        <v>THU</v>
      </c>
      <c r="G1574" s="219">
        <v>5.33</v>
      </c>
      <c r="H1574" s="428">
        <v>5.31</v>
      </c>
      <c r="I1574" s="454">
        <f t="shared" si="133"/>
        <v>-2.0000000000000462E-2</v>
      </c>
      <c r="J1574" s="152" t="s">
        <v>154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INFO'!$L$2:$M$8,2)</f>
        <v>FRI</v>
      </c>
      <c r="G1575" s="219">
        <v>5.33</v>
      </c>
      <c r="H1575" s="428">
        <v>5.31</v>
      </c>
      <c r="I1575" s="454">
        <f t="shared" si="133"/>
        <v>-2.0000000000000462E-2</v>
      </c>
      <c r="J1575" s="15" t="s">
        <v>184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INFO'!$L$2:$M$8,2)</f>
        <v>SAT</v>
      </c>
      <c r="G1576" s="219">
        <v>5.33</v>
      </c>
      <c r="H1576" s="428">
        <v>5.31</v>
      </c>
      <c r="I1576" s="454">
        <f t="shared" si="133"/>
        <v>-2.0000000000000462E-2</v>
      </c>
      <c r="J1576" s="152" t="s">
        <v>185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INFO'!$L$2:$M$8,2)</f>
        <v>SUN</v>
      </c>
      <c r="G1577" s="219">
        <v>5.33</v>
      </c>
      <c r="H1577" s="428">
        <v>5.31</v>
      </c>
      <c r="I1577" s="454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INFO'!$L$2:$M$8,2)</f>
        <v>MON</v>
      </c>
      <c r="G1578" s="219">
        <v>5.33</v>
      </c>
      <c r="H1578" s="428">
        <v>5.31</v>
      </c>
      <c r="I1578" s="454">
        <f t="shared" si="133"/>
        <v>-2.0000000000000462E-2</v>
      </c>
      <c r="J1578" s="152" t="s">
        <v>187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INFO'!$L$2:$M$8,2)</f>
        <v>TUE</v>
      </c>
      <c r="G1579" s="214">
        <v>5.33</v>
      </c>
      <c r="H1579" s="422">
        <v>5.32</v>
      </c>
      <c r="I1579" s="454">
        <f t="shared" si="133"/>
        <v>-9.9999999999997868E-3</v>
      </c>
      <c r="J1579" s="152" t="s">
        <v>188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INFO'!$L$2:$M$8,2)</f>
        <v>WED</v>
      </c>
      <c r="G1580" s="214">
        <v>5.33</v>
      </c>
      <c r="H1580" s="422">
        <v>5.33</v>
      </c>
      <c r="I1580" s="454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INFO'!$L$2:$M$8,2)</f>
        <v>THU</v>
      </c>
      <c r="G1581" s="214">
        <v>5.33</v>
      </c>
      <c r="H1581" s="422">
        <v>5.34</v>
      </c>
      <c r="I1581" s="454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INFO'!$L$2:$M$8,2)</f>
        <v>FRI</v>
      </c>
      <c r="G1582" s="214">
        <v>5.33</v>
      </c>
      <c r="H1582" s="422">
        <v>5.34</v>
      </c>
      <c r="I1582" s="454">
        <f t="shared" si="133"/>
        <v>9.9999999999997868E-3</v>
      </c>
      <c r="J1582" s="152"/>
      <c r="K1582" s="187" t="s">
        <v>201</v>
      </c>
      <c r="L1582" s="338" t="s">
        <v>201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INFO'!$L$2:$M$8,2)</f>
        <v>SAT</v>
      </c>
      <c r="G1583" s="214">
        <v>5.33</v>
      </c>
      <c r="H1583" s="422">
        <v>5.34</v>
      </c>
      <c r="I1583" s="454">
        <f t="shared" si="133"/>
        <v>9.9999999999997868E-3</v>
      </c>
      <c r="J1583" s="436" t="s">
        <v>200</v>
      </c>
      <c r="K1583" s="183">
        <f ca="1">100-K1574/K1555</f>
        <v>100</v>
      </c>
      <c r="L1583" s="338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INFO'!$L$2:$M$8,2)</f>
        <v>SUN</v>
      </c>
      <c r="G1584" s="215">
        <v>5.33</v>
      </c>
      <c r="H1584" s="423">
        <v>5.34</v>
      </c>
      <c r="I1584" s="454">
        <f t="shared" si="133"/>
        <v>9.9999999999997868E-3</v>
      </c>
      <c r="J1584" s="437" t="s">
        <v>199</v>
      </c>
      <c r="K1584" s="339">
        <v>94.67</v>
      </c>
      <c r="L1584" s="340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3"/>
      <c r="B1585" s="304"/>
      <c r="C1585" s="103">
        <f t="shared" si="131"/>
        <v>45383</v>
      </c>
      <c r="E1585" s="167"/>
      <c r="F1585" s="58" t="str">
        <f>VLOOKUP(MOD(C1585,7),'CALENDAR INFO'!$L$2:$M$8,2)</f>
        <v>MON</v>
      </c>
      <c r="G1585" s="214">
        <v>5.33</v>
      </c>
      <c r="H1585" s="422">
        <v>5.35</v>
      </c>
      <c r="I1585" s="454">
        <f t="shared" si="133"/>
        <v>1.9999999999999574E-2</v>
      </c>
      <c r="J1585" s="433" t="s">
        <v>150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INFO'!$L$2:$M$8,2)</f>
        <v>TUE</v>
      </c>
      <c r="G1586" s="214">
        <v>5.33</v>
      </c>
      <c r="H1586" s="422">
        <v>5.34</v>
      </c>
      <c r="I1586" s="454">
        <f t="shared" si="133"/>
        <v>9.9999999999997868E-3</v>
      </c>
      <c r="J1586" s="152" t="s">
        <v>117</v>
      </c>
      <c r="K1586" s="15">
        <f>VLOOKUP(MONTH($C1585),'CALENDAR INFO'!$O$2:$P$13,2)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INFO'!$L$2:$M$8,2)</f>
        <v>WED</v>
      </c>
      <c r="G1587" s="214">
        <v>5.33</v>
      </c>
      <c r="H1587" s="422">
        <v>5.32</v>
      </c>
      <c r="I1587" s="454">
        <f t="shared" si="133"/>
        <v>-9.9999999999997868E-3</v>
      </c>
      <c r="J1587" s="152" t="s">
        <v>151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INFO'!$L$2:$M$8,2)</f>
        <v>THU</v>
      </c>
      <c r="G1588" s="214">
        <v>5.33</v>
      </c>
      <c r="H1588" s="422">
        <v>5.32</v>
      </c>
      <c r="I1588" s="454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INFO'!$L$2:$M$8,2)</f>
        <v>FRI</v>
      </c>
      <c r="G1589" s="214">
        <v>5.33</v>
      </c>
      <c r="H1589" s="422">
        <v>5.32</v>
      </c>
      <c r="I1589" s="454">
        <f t="shared" si="133"/>
        <v>-9.9999999999997868E-3</v>
      </c>
      <c r="J1589" s="152" t="s">
        <v>191</v>
      </c>
      <c r="K1589" s="310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INFO'!$L$2:$M$8,2)</f>
        <v>SAT</v>
      </c>
      <c r="G1590" s="214">
        <v>5.33</v>
      </c>
      <c r="H1590" s="422">
        <v>5.32</v>
      </c>
      <c r="I1590" s="454">
        <f t="shared" si="133"/>
        <v>-9.9999999999997868E-3</v>
      </c>
      <c r="J1590" s="152" t="s">
        <v>192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INFO'!$L$2:$M$8,2)</f>
        <v>SUN</v>
      </c>
      <c r="G1591" s="214">
        <v>5.33</v>
      </c>
      <c r="H1591" s="422">
        <v>5.32</v>
      </c>
      <c r="I1591" s="454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INFO'!$L$2:$M$8,2)</f>
        <v>MON</v>
      </c>
      <c r="G1592" s="214">
        <v>5.33</v>
      </c>
      <c r="H1592" s="422">
        <v>5.31</v>
      </c>
      <c r="I1592" s="454">
        <f t="shared" si="133"/>
        <v>-2.0000000000000462E-2</v>
      </c>
      <c r="J1592" s="152" t="s">
        <v>152</v>
      </c>
      <c r="K1592" s="311" t="str">
        <f>_xlfn.CONCAT("A",TEXT(K1585,0),":","A",TEXT(K1587,0))</f>
        <v>A1585:A1614</v>
      </c>
      <c r="L1592" s="312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INFO'!$L$2:$M$8,2)</f>
        <v>TUE</v>
      </c>
      <c r="G1593" s="214">
        <v>5.33</v>
      </c>
      <c r="H1593" s="422">
        <v>5.31</v>
      </c>
      <c r="I1593" s="454">
        <f t="shared" si="133"/>
        <v>-2.0000000000000462E-2</v>
      </c>
      <c r="J1593" s="152" t="s">
        <v>189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INFO'!$L$2:$M$8,2)</f>
        <v>WED</v>
      </c>
      <c r="G1594" s="214">
        <v>5.33</v>
      </c>
      <c r="H1594" s="422">
        <v>5.31</v>
      </c>
      <c r="I1594" s="454">
        <f t="shared" si="133"/>
        <v>-2.0000000000000462E-2</v>
      </c>
      <c r="J1594" s="152" t="s">
        <v>190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INFO'!$L$2:$M$8,2)</f>
        <v>THU</v>
      </c>
      <c r="G1595" s="214">
        <v>5.33</v>
      </c>
      <c r="H1595" s="422">
        <v>5.31</v>
      </c>
      <c r="I1595" s="454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INFO'!$L$2:$M$8,2)</f>
        <v>FRI</v>
      </c>
      <c r="G1596" s="214">
        <v>5.33</v>
      </c>
      <c r="H1596" s="422">
        <v>5.31</v>
      </c>
      <c r="I1596" s="454">
        <f t="shared" si="133"/>
        <v>-2.0000000000000462E-2</v>
      </c>
      <c r="J1596" s="15" t="s">
        <v>193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INFO'!$L$2:$M$8,2)</f>
        <v>SAT</v>
      </c>
      <c r="G1597" s="214">
        <v>5.33</v>
      </c>
      <c r="H1597" s="422">
        <v>5.31</v>
      </c>
      <c r="I1597" s="454">
        <f t="shared" si="133"/>
        <v>-2.0000000000000462E-2</v>
      </c>
      <c r="J1597" s="152" t="s">
        <v>194</v>
      </c>
      <c r="K1597" s="305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INFO'!$L$2:$M$8,2)</f>
        <v>SUN</v>
      </c>
      <c r="G1598" s="214">
        <v>5.33</v>
      </c>
      <c r="H1598" s="422">
        <v>5.31</v>
      </c>
      <c r="I1598" s="454">
        <f t="shared" si="133"/>
        <v>-2.0000000000000462E-2</v>
      </c>
      <c r="J1598" s="15" t="s">
        <v>195</v>
      </c>
      <c r="K1598" s="305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INFO'!$L$2:$M$8,2)</f>
        <v>MON</v>
      </c>
      <c r="G1599" s="214">
        <v>5.33</v>
      </c>
      <c r="H1599" s="422">
        <v>5.32</v>
      </c>
      <c r="I1599" s="454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INFO'!$L$2:$M$8,2)</f>
        <v>TUE</v>
      </c>
      <c r="G1600" s="214">
        <v>5.33</v>
      </c>
      <c r="H1600" s="422">
        <v>5.31</v>
      </c>
      <c r="I1600" s="454">
        <f t="shared" si="133"/>
        <v>-2.0000000000000462E-2</v>
      </c>
      <c r="J1600" s="152" t="s">
        <v>196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INFO'!$L$2:$M$8,2)</f>
        <v>WED</v>
      </c>
      <c r="G1601" s="214">
        <v>5.33</v>
      </c>
      <c r="H1601" s="422">
        <v>5.31</v>
      </c>
      <c r="I1601" s="454">
        <f t="shared" si="133"/>
        <v>-2.0000000000000462E-2</v>
      </c>
      <c r="J1601" s="152" t="s">
        <v>117</v>
      </c>
      <c r="K1601" s="313">
        <f>K1586</f>
        <v>30</v>
      </c>
      <c r="L1601" s="314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INFO'!$L$2:$M$8,2)</f>
        <v>THU</v>
      </c>
      <c r="G1602" s="214">
        <v>5.33</v>
      </c>
      <c r="H1602" s="422">
        <v>5.3</v>
      </c>
      <c r="I1602" s="454">
        <f t="shared" si="133"/>
        <v>-3.0000000000000249E-2</v>
      </c>
      <c r="J1602" s="152" t="s">
        <v>183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INFO'!$L$2:$M$8,2)</f>
        <v>FRI</v>
      </c>
      <c r="G1603" s="214">
        <v>5.33</v>
      </c>
      <c r="H1603" s="422">
        <v>5.31</v>
      </c>
      <c r="I1603" s="454">
        <f t="shared" ref="I1603:I1666" si="140">H1603-G1603</f>
        <v>-2.0000000000000462E-2</v>
      </c>
      <c r="J1603" s="152"/>
      <c r="K1603" s="305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INFO'!$L$2:$M$8,2)</f>
        <v>SAT</v>
      </c>
      <c r="G1604" s="214">
        <v>5.33</v>
      </c>
      <c r="H1604" s="422">
        <v>5.31</v>
      </c>
      <c r="I1604" s="454">
        <f t="shared" si="140"/>
        <v>-2.0000000000000462E-2</v>
      </c>
      <c r="J1604" s="152" t="s">
        <v>186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INFO'!$L$2:$M$8,2)</f>
        <v>SUN</v>
      </c>
      <c r="G1605" s="214">
        <v>5.33</v>
      </c>
      <c r="H1605" s="422">
        <v>5.31</v>
      </c>
      <c r="I1605" s="454">
        <f t="shared" si="140"/>
        <v>-2.0000000000000462E-2</v>
      </c>
      <c r="J1605" s="15" t="s">
        <v>154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INFO'!$L$2:$M$8,2)</f>
        <v>MON</v>
      </c>
      <c r="G1606" s="214">
        <v>5.33</v>
      </c>
      <c r="H1606" s="422">
        <v>5.31</v>
      </c>
      <c r="I1606" s="454">
        <f t="shared" si="140"/>
        <v>-2.0000000000000462E-2</v>
      </c>
      <c r="J1606" s="15" t="s">
        <v>184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INFO'!$L$2:$M$8,2)</f>
        <v>TUE</v>
      </c>
      <c r="G1607" s="214">
        <v>5.33</v>
      </c>
      <c r="H1607" s="422">
        <v>5.31</v>
      </c>
      <c r="I1607" s="454">
        <f t="shared" si="140"/>
        <v>-2.0000000000000462E-2</v>
      </c>
      <c r="J1607" s="15" t="s">
        <v>185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INFO'!$L$2:$M$8,2)</f>
        <v>WED</v>
      </c>
      <c r="G1608" s="214">
        <v>5.33</v>
      </c>
      <c r="H1608" s="422">
        <v>5.31</v>
      </c>
      <c r="I1608" s="454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INFO'!$L$2:$M$8,2)</f>
        <v>THU</v>
      </c>
      <c r="G1609" s="214">
        <v>5.33</v>
      </c>
      <c r="H1609" s="422">
        <v>5.31</v>
      </c>
      <c r="I1609" s="454">
        <f t="shared" si="140"/>
        <v>-2.0000000000000462E-2</v>
      </c>
      <c r="J1609" s="15" t="s">
        <v>187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INFO'!$L$2:$M$8,2)</f>
        <v>FRI</v>
      </c>
      <c r="G1610" s="214">
        <v>5.33</v>
      </c>
      <c r="H1610" s="422">
        <v>5.32</v>
      </c>
      <c r="I1610" s="454">
        <f t="shared" si="140"/>
        <v>-9.9999999999997868E-3</v>
      </c>
      <c r="J1610" s="15" t="s">
        <v>188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INFO'!$L$2:$M$8,2)</f>
        <v>SAT</v>
      </c>
      <c r="G1611" s="214">
        <v>5.33</v>
      </c>
      <c r="H1611" s="422">
        <v>5.32</v>
      </c>
      <c r="I1611" s="454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INFO'!$L$2:$M$8,2)</f>
        <v>SUN</v>
      </c>
      <c r="G1612" s="214">
        <v>5.33</v>
      </c>
      <c r="H1612" s="422">
        <v>5.32</v>
      </c>
      <c r="I1612" s="454">
        <f t="shared" si="140"/>
        <v>-9.9999999999997868E-3</v>
      </c>
      <c r="J1612" s="430"/>
      <c r="K1612" s="183" t="s">
        <v>201</v>
      </c>
      <c r="L1612" s="199" t="s">
        <v>201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INFO'!$L$2:$M$8,2)</f>
        <v>MON</v>
      </c>
      <c r="G1613" s="214">
        <v>5.33</v>
      </c>
      <c r="H1613" s="422">
        <v>5.32</v>
      </c>
      <c r="I1613" s="454">
        <f t="shared" si="140"/>
        <v>-9.9999999999997868E-3</v>
      </c>
      <c r="J1613" s="430" t="s">
        <v>200</v>
      </c>
      <c r="K1613" s="187">
        <f ca="1">100-K1605/K1586</f>
        <v>100</v>
      </c>
      <c r="L1613" s="338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INFO'!$L$2:$M$8,2)</f>
        <v>TUE</v>
      </c>
      <c r="G1614" s="215">
        <v>5.33</v>
      </c>
      <c r="H1614" s="423">
        <v>5.34</v>
      </c>
      <c r="I1614" s="455">
        <f t="shared" si="140"/>
        <v>9.9999999999997868E-3</v>
      </c>
      <c r="J1614" s="421" t="s">
        <v>199</v>
      </c>
      <c r="K1614" s="339">
        <v>94.67</v>
      </c>
      <c r="L1614" s="340">
        <v>94.683999999999997</v>
      </c>
      <c r="M1614" s="113">
        <f t="shared" si="137"/>
        <v>1</v>
      </c>
      <c r="N1614" s="77">
        <f t="shared" si="135"/>
        <v>1.0001483333333334</v>
      </c>
      <c r="O1614" s="330"/>
    </row>
    <row r="1615" spans="1:16">
      <c r="A1615" s="303"/>
      <c r="B1615" s="304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INFO'!$L$2:$M$8,2)</f>
        <v>WED</v>
      </c>
      <c r="G1615" s="214">
        <v>5.33</v>
      </c>
      <c r="H1615" s="422">
        <v>5.32</v>
      </c>
      <c r="I1615" s="454">
        <f t="shared" si="140"/>
        <v>-9.9999999999997868E-3</v>
      </c>
      <c r="J1615" s="435" t="s">
        <v>150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INFO'!$L$2:$M$8,2)</f>
        <v>THU</v>
      </c>
      <c r="G1616" s="214">
        <v>5.33</v>
      </c>
      <c r="H1616" s="422">
        <v>5.31</v>
      </c>
      <c r="I1616" s="454">
        <f t="shared" si="140"/>
        <v>-2.0000000000000462E-2</v>
      </c>
      <c r="J1616" s="152" t="s">
        <v>117</v>
      </c>
      <c r="K1616" s="15">
        <f>VLOOKUP(MONTH($C1615),'CALENDAR INFO'!$O$2:$P$13,2)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INFO'!$L$2:$M$8,2)</f>
        <v>FRI</v>
      </c>
      <c r="G1617" s="214">
        <v>5.33</v>
      </c>
      <c r="H1617" s="422">
        <v>5.31</v>
      </c>
      <c r="I1617" s="454">
        <f t="shared" si="140"/>
        <v>-2.0000000000000462E-2</v>
      </c>
      <c r="J1617" s="15" t="s">
        <v>151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INFO'!$L$2:$M$8,2)</f>
        <v>SAT</v>
      </c>
      <c r="G1618" s="214">
        <v>5.33</v>
      </c>
      <c r="H1618" s="422">
        <v>5.31</v>
      </c>
      <c r="I1618" s="454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INFO'!$L$2:$M$8,2)</f>
        <v>SUN</v>
      </c>
      <c r="G1619" s="214">
        <v>5.33</v>
      </c>
      <c r="H1619" s="422">
        <v>5.31</v>
      </c>
      <c r="I1619" s="454">
        <f t="shared" si="140"/>
        <v>-2.0000000000000462E-2</v>
      </c>
      <c r="J1619" s="15" t="s">
        <v>191</v>
      </c>
      <c r="K1619" s="309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INFO'!$L$2:$M$8,2)</f>
        <v>MON</v>
      </c>
      <c r="G1620" s="214">
        <v>5.33</v>
      </c>
      <c r="H1620" s="422">
        <v>5.31</v>
      </c>
      <c r="I1620" s="454">
        <f t="shared" si="140"/>
        <v>-2.0000000000000462E-2</v>
      </c>
      <c r="J1620" s="15" t="s">
        <v>192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INFO'!$L$2:$M$8,2)</f>
        <v>TUE</v>
      </c>
      <c r="G1621" s="214">
        <v>5.33</v>
      </c>
      <c r="H1621" s="422">
        <v>5.31</v>
      </c>
      <c r="I1621" s="454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INFO'!$L$2:$M$8,2)</f>
        <v>WED</v>
      </c>
      <c r="G1622" s="214">
        <v>5.33</v>
      </c>
      <c r="H1622" s="422">
        <v>5.31</v>
      </c>
      <c r="I1622" s="454">
        <f t="shared" si="140"/>
        <v>-2.0000000000000462E-2</v>
      </c>
      <c r="J1622" s="15" t="s">
        <v>152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INFO'!$L$2:$M$8,2)</f>
        <v>THU</v>
      </c>
      <c r="G1623" s="214">
        <v>5.33</v>
      </c>
      <c r="H1623" s="422">
        <v>5.31</v>
      </c>
      <c r="I1623" s="454">
        <f t="shared" si="140"/>
        <v>-2.0000000000000462E-2</v>
      </c>
      <c r="J1623" s="15" t="s">
        <v>189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INFO'!$L$2:$M$8,2)</f>
        <v>FRI</v>
      </c>
      <c r="G1624" s="214">
        <v>5.33</v>
      </c>
      <c r="H1624" s="422">
        <v>5.31</v>
      </c>
      <c r="I1624" s="454">
        <f t="shared" si="140"/>
        <v>-2.0000000000000462E-2</v>
      </c>
      <c r="J1624" s="15" t="s">
        <v>190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INFO'!$L$2:$M$8,2)</f>
        <v>SAT</v>
      </c>
      <c r="G1625" s="214">
        <v>5.33</v>
      </c>
      <c r="H1625" s="422">
        <v>5.31</v>
      </c>
      <c r="I1625" s="454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INFO'!$L$2:$M$8,2)</f>
        <v>SUN</v>
      </c>
      <c r="G1626" s="214">
        <v>5.33</v>
      </c>
      <c r="H1626" s="422">
        <v>5.31</v>
      </c>
      <c r="I1626" s="454">
        <f t="shared" si="140"/>
        <v>-2.0000000000000462E-2</v>
      </c>
      <c r="J1626" s="152" t="s">
        <v>193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INFO'!$L$2:$M$8,2)</f>
        <v>MON</v>
      </c>
      <c r="G1627" s="214">
        <v>5.33</v>
      </c>
      <c r="H1627" s="422">
        <v>5.31</v>
      </c>
      <c r="I1627" s="454">
        <f t="shared" si="140"/>
        <v>-2.0000000000000462E-2</v>
      </c>
      <c r="J1627" s="152" t="s">
        <v>194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INFO'!$L$2:$M$8,2)</f>
        <v>TUE</v>
      </c>
      <c r="G1628" s="214">
        <v>5.33</v>
      </c>
      <c r="H1628" s="422">
        <v>5.31</v>
      </c>
      <c r="I1628" s="454">
        <f t="shared" si="140"/>
        <v>-2.0000000000000462E-2</v>
      </c>
      <c r="J1628" s="152" t="s">
        <v>195</v>
      </c>
      <c r="K1628" s="290">
        <f t="shared" ca="1" si="143"/>
        <v>30</v>
      </c>
      <c r="L1628" s="307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INFO'!$L$2:$M$8,2)</f>
        <v>WED</v>
      </c>
      <c r="G1629" s="214">
        <v>5.33</v>
      </c>
      <c r="H1629" s="422">
        <v>5.31</v>
      </c>
      <c r="I1629" s="454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INFO'!$L$2:$M$8,2)</f>
        <v>THU</v>
      </c>
      <c r="G1630" s="214">
        <v>5.33</v>
      </c>
      <c r="H1630" s="422">
        <v>5.31</v>
      </c>
      <c r="I1630" s="454">
        <f t="shared" si="140"/>
        <v>-2.0000000000000462E-2</v>
      </c>
      <c r="J1630" s="152" t="s">
        <v>196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INFO'!$L$2:$M$8,2)</f>
        <v>FRI</v>
      </c>
      <c r="G1631" s="214">
        <v>5.33</v>
      </c>
      <c r="H1631" s="422">
        <v>5.31</v>
      </c>
      <c r="I1631" s="454">
        <f t="shared" si="140"/>
        <v>-2.0000000000000462E-2</v>
      </c>
      <c r="J1631" s="152" t="s">
        <v>117</v>
      </c>
      <c r="K1631" s="306">
        <f>K1616</f>
        <v>31</v>
      </c>
      <c r="L1631" s="308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INFO'!$L$2:$M$8,2)</f>
        <v>SAT</v>
      </c>
      <c r="G1632" s="214">
        <v>5.33</v>
      </c>
      <c r="H1632" s="422">
        <v>5.31</v>
      </c>
      <c r="I1632" s="454">
        <f t="shared" si="140"/>
        <v>-2.0000000000000462E-2</v>
      </c>
      <c r="J1632" s="152" t="s">
        <v>183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INFO'!$L$2:$M$8,2)</f>
        <v>SUN</v>
      </c>
      <c r="G1633" s="214">
        <v>5.33</v>
      </c>
      <c r="H1633" s="422">
        <v>5.31</v>
      </c>
      <c r="I1633" s="454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INFO'!$L$2:$M$8,2)</f>
        <v>MON</v>
      </c>
      <c r="G1634" s="214">
        <v>5.33</v>
      </c>
      <c r="H1634" s="422">
        <v>5.31</v>
      </c>
      <c r="I1634" s="454">
        <f t="shared" si="140"/>
        <v>-2.0000000000000462E-2</v>
      </c>
      <c r="J1634" s="15" t="s">
        <v>186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INFO'!$L$2:$M$8,2)</f>
        <v>TUE</v>
      </c>
      <c r="G1635" s="214">
        <v>5.33</v>
      </c>
      <c r="H1635" s="422">
        <v>5.31</v>
      </c>
      <c r="I1635" s="454">
        <f t="shared" si="140"/>
        <v>-2.0000000000000462E-2</v>
      </c>
      <c r="J1635" s="152" t="s">
        <v>154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INFO'!$L$2:$M$8,2)</f>
        <v>WED</v>
      </c>
      <c r="G1636" s="214">
        <v>5.33</v>
      </c>
      <c r="H1636" s="422">
        <v>5.31</v>
      </c>
      <c r="I1636" s="454">
        <f t="shared" si="140"/>
        <v>-2.0000000000000462E-2</v>
      </c>
      <c r="J1636" s="15" t="s">
        <v>184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INFO'!$L$2:$M$8,2)</f>
        <v>THU</v>
      </c>
      <c r="G1637" s="214">
        <v>5.33</v>
      </c>
      <c r="H1637" s="422">
        <v>5.31</v>
      </c>
      <c r="I1637" s="454">
        <f t="shared" si="140"/>
        <v>-2.0000000000000462E-2</v>
      </c>
      <c r="J1637" s="152" t="s">
        <v>185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INFO'!$L$2:$M$8,2)</f>
        <v>FRI</v>
      </c>
      <c r="G1638" s="214">
        <v>5.33</v>
      </c>
      <c r="H1638" s="422">
        <v>5.32</v>
      </c>
      <c r="I1638" s="454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INFO'!$L$2:$M$8,2)</f>
        <v>SAT</v>
      </c>
      <c r="G1639" s="214">
        <v>5.33</v>
      </c>
      <c r="H1639" s="422">
        <v>5.32</v>
      </c>
      <c r="I1639" s="454">
        <f t="shared" si="140"/>
        <v>-9.9999999999997868E-3</v>
      </c>
      <c r="J1639" s="152" t="s">
        <v>187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INFO'!$L$2:$M$8,2)</f>
        <v>SUN</v>
      </c>
      <c r="G1640" s="214">
        <v>5.33</v>
      </c>
      <c r="H1640" s="422">
        <v>5.32</v>
      </c>
      <c r="I1640" s="454">
        <f t="shared" si="140"/>
        <v>-9.9999999999997868E-3</v>
      </c>
      <c r="J1640" s="152" t="s">
        <v>188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INFO'!$L$2:$M$8,2)</f>
        <v>MON</v>
      </c>
      <c r="G1641" s="214">
        <v>5.33</v>
      </c>
      <c r="H1641" s="422">
        <v>5.32</v>
      </c>
      <c r="I1641" s="454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INFO'!$L$2:$M$8,2)</f>
        <v>TUE</v>
      </c>
      <c r="G1642" s="214">
        <v>5.33</v>
      </c>
      <c r="H1642" s="422">
        <v>5.32</v>
      </c>
      <c r="I1642" s="454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INFO'!$L$2:$M$8,2)</f>
        <v>WED</v>
      </c>
      <c r="G1643" s="214">
        <v>5.33</v>
      </c>
      <c r="H1643" s="422">
        <v>5.33</v>
      </c>
      <c r="I1643" s="454">
        <f t="shared" si="140"/>
        <v>0</v>
      </c>
      <c r="J1643" s="430"/>
      <c r="K1643" s="183" t="s">
        <v>201</v>
      </c>
      <c r="L1643" s="199" t="s">
        <v>201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INFO'!$L$2:$M$8,2)</f>
        <v>THU</v>
      </c>
      <c r="G1644" s="214">
        <v>5.33</v>
      </c>
      <c r="H1644" s="422">
        <v>5.33</v>
      </c>
      <c r="I1644" s="454">
        <f t="shared" si="140"/>
        <v>0</v>
      </c>
      <c r="J1644" s="430" t="s">
        <v>200</v>
      </c>
      <c r="K1644" s="187">
        <f ca="1">100-K1635/K1616</f>
        <v>100</v>
      </c>
      <c r="L1644" s="338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INFO'!$L$2:$M$8,2)</f>
        <v>FRI</v>
      </c>
      <c r="G1645" s="215">
        <v>5.33</v>
      </c>
      <c r="H1645" s="423">
        <v>5.34</v>
      </c>
      <c r="I1645" s="455">
        <f t="shared" si="140"/>
        <v>9.9999999999997868E-3</v>
      </c>
      <c r="J1645" s="421" t="s">
        <v>199</v>
      </c>
      <c r="K1645" s="339">
        <v>94.67</v>
      </c>
      <c r="L1645" s="340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3"/>
      <c r="B1646" s="304"/>
      <c r="C1646" s="103">
        <f t="shared" si="138"/>
        <v>45444</v>
      </c>
      <c r="E1646" s="170"/>
      <c r="F1646" s="58" t="str">
        <f>VLOOKUP(MOD(C1646,7),'CALENDAR INFO'!$L$2:$M$8,2)</f>
        <v>SAT</v>
      </c>
      <c r="G1646" s="214">
        <v>5.33</v>
      </c>
      <c r="H1646" s="422">
        <v>5.34</v>
      </c>
      <c r="I1646" s="454">
        <f t="shared" si="140"/>
        <v>9.9999999999997868E-3</v>
      </c>
      <c r="J1646" s="433" t="s">
        <v>150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3"/>
      <c r="B1647" s="304"/>
      <c r="C1647" s="103">
        <f t="shared" si="138"/>
        <v>45445</v>
      </c>
      <c r="E1647" s="170"/>
      <c r="F1647" s="58" t="str">
        <f>VLOOKUP(MOD(C1647,7),'CALENDAR INFO'!$L$2:$M$8,2)</f>
        <v>SUN</v>
      </c>
      <c r="G1647" s="214">
        <v>5.33</v>
      </c>
      <c r="H1647" s="422">
        <v>5.34</v>
      </c>
      <c r="I1647" s="454">
        <f t="shared" si="140"/>
        <v>9.9999999999997868E-3</v>
      </c>
      <c r="J1647" s="152" t="s">
        <v>117</v>
      </c>
      <c r="K1647" s="15">
        <f>VLOOKUP(MONTH($C1646),'CALENDAR INFO'!$O$2:$P$13,2)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3"/>
      <c r="B1648" s="304"/>
      <c r="C1648" s="103">
        <f t="shared" si="138"/>
        <v>45446</v>
      </c>
      <c r="E1648" s="170"/>
      <c r="F1648" s="58" t="str">
        <f>VLOOKUP(MOD(C1648,7),'CALENDAR INFO'!$L$2:$M$8,2)</f>
        <v>MON</v>
      </c>
      <c r="G1648" s="214">
        <v>5.33</v>
      </c>
      <c r="H1648" s="422">
        <v>5.35</v>
      </c>
      <c r="I1648" s="454">
        <f t="shared" si="140"/>
        <v>1.9999999999999574E-2</v>
      </c>
      <c r="J1648" s="152" t="s">
        <v>151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3"/>
      <c r="B1649" s="304"/>
      <c r="C1649" s="103">
        <f t="shared" si="138"/>
        <v>45447</v>
      </c>
      <c r="E1649" s="170"/>
      <c r="F1649" s="58" t="str">
        <f>VLOOKUP(MOD(C1649,7),'CALENDAR INFO'!$L$2:$M$8,2)</f>
        <v>TUE</v>
      </c>
      <c r="G1649" s="214">
        <v>5.33</v>
      </c>
      <c r="H1649" s="422">
        <v>5.33</v>
      </c>
      <c r="I1649" s="454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3"/>
      <c r="B1650" s="304"/>
      <c r="C1650" s="103">
        <f t="shared" si="138"/>
        <v>45448</v>
      </c>
      <c r="E1650" s="170"/>
      <c r="F1650" s="58" t="str">
        <f>VLOOKUP(MOD(C1650,7),'CALENDAR INFO'!$L$2:$M$8,2)</f>
        <v>WED</v>
      </c>
      <c r="G1650" s="214">
        <v>5.33</v>
      </c>
      <c r="H1650" s="422">
        <v>5.33</v>
      </c>
      <c r="I1650" s="454">
        <f t="shared" si="140"/>
        <v>0</v>
      </c>
      <c r="J1650" s="152" t="s">
        <v>191</v>
      </c>
      <c r="K1650" s="310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3"/>
      <c r="B1651" s="304"/>
      <c r="C1651" s="103">
        <f t="shared" si="138"/>
        <v>45449</v>
      </c>
      <c r="E1651" s="170"/>
      <c r="F1651" s="58" t="str">
        <f>VLOOKUP(MOD(C1651,7),'CALENDAR INFO'!$L$2:$M$8,2)</f>
        <v>THU</v>
      </c>
      <c r="G1651" s="214">
        <v>5.33</v>
      </c>
      <c r="H1651" s="422">
        <v>5.33</v>
      </c>
      <c r="I1651" s="454">
        <f t="shared" si="140"/>
        <v>0</v>
      </c>
      <c r="J1651" s="152" t="s">
        <v>192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3"/>
      <c r="B1652" s="304"/>
      <c r="C1652" s="103">
        <f t="shared" si="138"/>
        <v>45450</v>
      </c>
      <c r="E1652" s="170"/>
      <c r="F1652" s="58" t="str">
        <f>VLOOKUP(MOD(C1652,7),'CALENDAR INFO'!$L$2:$M$8,2)</f>
        <v>FRI</v>
      </c>
      <c r="G1652" s="214">
        <v>5.33</v>
      </c>
      <c r="H1652" s="422">
        <v>5.33</v>
      </c>
      <c r="I1652" s="454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3"/>
      <c r="B1653" s="304"/>
      <c r="C1653" s="103">
        <f t="shared" ref="C1653:C1716" si="145">C1652+1</f>
        <v>45451</v>
      </c>
      <c r="E1653" s="170"/>
      <c r="F1653" s="58" t="str">
        <f>VLOOKUP(MOD(C1653,7),'CALENDAR INFO'!$L$2:$M$8,2)</f>
        <v>SAT</v>
      </c>
      <c r="G1653" s="214">
        <v>5.33</v>
      </c>
      <c r="H1653" s="422">
        <v>5.33</v>
      </c>
      <c r="I1653" s="454">
        <f t="shared" si="140"/>
        <v>0</v>
      </c>
      <c r="J1653" s="152" t="s">
        <v>152</v>
      </c>
      <c r="K1653" s="311" t="str">
        <f>_xlfn.CONCAT("A",TEXT(K1646,0),":","A",TEXT(K1648,0))</f>
        <v>A1646:A1675</v>
      </c>
      <c r="L1653" s="312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3"/>
      <c r="B1654" s="304"/>
      <c r="C1654" s="103">
        <f t="shared" si="145"/>
        <v>45452</v>
      </c>
      <c r="E1654" s="170"/>
      <c r="F1654" s="58" t="str">
        <f>VLOOKUP(MOD(C1654,7),'CALENDAR INFO'!$L$2:$M$8,2)</f>
        <v>SUN</v>
      </c>
      <c r="G1654" s="214">
        <v>5.33</v>
      </c>
      <c r="H1654" s="422">
        <v>5.33</v>
      </c>
      <c r="I1654" s="454">
        <f t="shared" si="140"/>
        <v>0</v>
      </c>
      <c r="J1654" s="152" t="s">
        <v>189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3"/>
      <c r="B1655" s="304"/>
      <c r="C1655" s="103">
        <f t="shared" si="145"/>
        <v>45453</v>
      </c>
      <c r="E1655" s="170"/>
      <c r="F1655" s="58" t="str">
        <f>VLOOKUP(MOD(C1655,7),'CALENDAR INFO'!$L$2:$M$8,2)</f>
        <v>MON</v>
      </c>
      <c r="G1655" s="214">
        <v>5.33</v>
      </c>
      <c r="H1655" s="422">
        <v>5.32</v>
      </c>
      <c r="I1655" s="454">
        <f t="shared" si="140"/>
        <v>-9.9999999999997868E-3</v>
      </c>
      <c r="J1655" s="152" t="s">
        <v>190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3"/>
      <c r="B1656" s="304"/>
      <c r="C1656" s="103">
        <f t="shared" si="145"/>
        <v>45454</v>
      </c>
      <c r="D1656" s="153" t="s">
        <v>20</v>
      </c>
      <c r="E1656" s="170"/>
      <c r="F1656" s="58" t="str">
        <f>VLOOKUP(MOD(C1656,7),'CALENDAR INFO'!$L$2:$M$8,2)</f>
        <v>TUE</v>
      </c>
      <c r="G1656" s="214">
        <v>5.33</v>
      </c>
      <c r="H1656" s="422">
        <v>5.32</v>
      </c>
      <c r="I1656" s="454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3"/>
      <c r="B1657" s="304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INFO'!$L$2:$M$8,2)</f>
        <v>WED</v>
      </c>
      <c r="G1657" s="214">
        <v>5.33</v>
      </c>
      <c r="H1657" s="422">
        <v>5.31</v>
      </c>
      <c r="I1657" s="454">
        <f t="shared" si="140"/>
        <v>-2.0000000000000462E-2</v>
      </c>
      <c r="J1657" s="15" t="s">
        <v>193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INFO'!$L$2:$M$8,2)</f>
        <v>THU</v>
      </c>
      <c r="G1658" s="214">
        <v>5.33</v>
      </c>
      <c r="H1658" s="422">
        <v>5.31</v>
      </c>
      <c r="I1658" s="454">
        <f t="shared" si="140"/>
        <v>-2.0000000000000462E-2</v>
      </c>
      <c r="J1658" s="152" t="s">
        <v>194</v>
      </c>
      <c r="K1658" s="305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INFO'!$L$2:$M$8,2)</f>
        <v>FRI</v>
      </c>
      <c r="G1659" s="214">
        <v>5.33</v>
      </c>
      <c r="H1659" s="422">
        <v>5.31</v>
      </c>
      <c r="I1659" s="454">
        <f t="shared" si="140"/>
        <v>-2.0000000000000462E-2</v>
      </c>
      <c r="J1659" s="15" t="s">
        <v>195</v>
      </c>
      <c r="K1659" s="305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INFO'!$L$2:$M$8,2)</f>
        <v>SAT</v>
      </c>
      <c r="G1660" s="214">
        <v>5.33</v>
      </c>
      <c r="H1660" s="422">
        <v>5.31</v>
      </c>
      <c r="I1660" s="454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INFO'!$L$2:$M$8,2)</f>
        <v>SUN</v>
      </c>
      <c r="G1661" s="214">
        <v>5.33</v>
      </c>
      <c r="H1661" s="422">
        <v>5.31</v>
      </c>
      <c r="I1661" s="454">
        <f t="shared" si="140"/>
        <v>-2.0000000000000462E-2</v>
      </c>
      <c r="J1661" s="152" t="s">
        <v>196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INFO'!$L$2:$M$8,2)</f>
        <v>MON</v>
      </c>
      <c r="G1662" s="214">
        <v>5.33</v>
      </c>
      <c r="H1662" s="422">
        <v>5.33</v>
      </c>
      <c r="I1662" s="454">
        <f t="shared" si="140"/>
        <v>0</v>
      </c>
      <c r="J1662" s="152" t="s">
        <v>117</v>
      </c>
      <c r="K1662" s="313">
        <f>K1647</f>
        <v>30</v>
      </c>
      <c r="L1662" s="314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INFO'!$L$2:$M$8,2)</f>
        <v>TUE</v>
      </c>
      <c r="G1663" s="214">
        <v>5.33</v>
      </c>
      <c r="H1663" s="422">
        <v>5.33</v>
      </c>
      <c r="I1663" s="454">
        <f t="shared" si="140"/>
        <v>0</v>
      </c>
      <c r="J1663" s="152" t="s">
        <v>183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126</v>
      </c>
      <c r="E1664" s="167"/>
      <c r="F1664" s="58" t="str">
        <f>VLOOKUP(MOD(C1664,7),'CALENDAR INFO'!$L$2:$M$8,2)</f>
        <v>WED</v>
      </c>
      <c r="G1664" s="214">
        <v>5.33</v>
      </c>
      <c r="H1664" s="422">
        <v>5.33</v>
      </c>
      <c r="I1664" s="454">
        <f t="shared" si="140"/>
        <v>0</v>
      </c>
      <c r="J1664" s="152"/>
      <c r="K1664" s="305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INFO'!$L$2:$M$8,2)</f>
        <v>THU</v>
      </c>
      <c r="G1665" s="214">
        <v>5.33</v>
      </c>
      <c r="H1665" s="422">
        <v>5.32</v>
      </c>
      <c r="I1665" s="454">
        <f t="shared" si="140"/>
        <v>-9.9999999999997868E-3</v>
      </c>
      <c r="J1665" s="152" t="s">
        <v>186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INFO'!$L$2:$M$8,2)</f>
        <v>FRI</v>
      </c>
      <c r="G1666" s="214">
        <v>5.33</v>
      </c>
      <c r="H1666" s="422">
        <v>5.31</v>
      </c>
      <c r="I1666" s="454">
        <f t="shared" si="140"/>
        <v>-2.0000000000000462E-2</v>
      </c>
      <c r="J1666" s="15" t="s">
        <v>154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INFO'!$L$2:$M$8,2)</f>
        <v>SAT</v>
      </c>
      <c r="G1667" s="214">
        <v>5.33</v>
      </c>
      <c r="H1667" s="422">
        <v>5.31</v>
      </c>
      <c r="I1667" s="454">
        <f t="shared" ref="I1667:I1730" si="148">H1667-G1667</f>
        <v>-2.0000000000000462E-2</v>
      </c>
      <c r="J1667" s="15" t="s">
        <v>184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INFO'!$L$2:$M$8,2)</f>
        <v>SUN</v>
      </c>
      <c r="G1668" s="214">
        <v>5.33</v>
      </c>
      <c r="H1668" s="422">
        <v>5.31</v>
      </c>
      <c r="I1668" s="454">
        <f t="shared" si="148"/>
        <v>-2.0000000000000462E-2</v>
      </c>
      <c r="J1668" s="15" t="s">
        <v>185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INFO'!$L$2:$M$8,2)</f>
        <v>MON</v>
      </c>
      <c r="G1669" s="214">
        <v>5.33</v>
      </c>
      <c r="H1669" s="422">
        <v>5.31</v>
      </c>
      <c r="I1669" s="454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INFO'!$L$2:$M$8,2)</f>
        <v>TUE</v>
      </c>
      <c r="G1670" s="214">
        <v>5.33</v>
      </c>
      <c r="H1670" s="422">
        <v>5.33</v>
      </c>
      <c r="I1670" s="454">
        <f t="shared" si="148"/>
        <v>0</v>
      </c>
      <c r="J1670" s="15" t="s">
        <v>187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INFO'!$L$2:$M$8,2)</f>
        <v>WED</v>
      </c>
      <c r="G1671" s="214">
        <v>5.33</v>
      </c>
      <c r="H1671" s="422">
        <v>5.34</v>
      </c>
      <c r="I1671" s="454">
        <f t="shared" si="148"/>
        <v>9.9999999999997868E-3</v>
      </c>
      <c r="J1671" s="15" t="s">
        <v>188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INFO'!$L$2:$M$8,2)</f>
        <v>THU</v>
      </c>
      <c r="G1672" s="214">
        <v>5.33</v>
      </c>
      <c r="H1672" s="422">
        <v>5.34</v>
      </c>
      <c r="I1672" s="454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INFO'!$L$2:$M$8,2)</f>
        <v>FRI</v>
      </c>
      <c r="G1673" s="214">
        <v>5.33</v>
      </c>
      <c r="H1673" s="422">
        <v>5.33</v>
      </c>
      <c r="I1673" s="454">
        <f t="shared" si="148"/>
        <v>0</v>
      </c>
      <c r="J1673" s="152"/>
      <c r="K1673" s="183" t="s">
        <v>201</v>
      </c>
      <c r="L1673" s="199" t="s">
        <v>201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INFO'!$L$2:$M$8,2)</f>
        <v>SAT</v>
      </c>
      <c r="G1674" s="214">
        <v>5.33</v>
      </c>
      <c r="H1674" s="422">
        <v>5.33</v>
      </c>
      <c r="I1674" s="454">
        <f t="shared" si="148"/>
        <v>0</v>
      </c>
      <c r="J1674" s="430" t="s">
        <v>200</v>
      </c>
      <c r="K1674" s="187">
        <f ca="1">100-K1666/K1647</f>
        <v>100</v>
      </c>
      <c r="L1674" s="338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INFO'!$L$2:$M$8,2)</f>
        <v>SUN</v>
      </c>
      <c r="G1675" s="215">
        <v>5.33</v>
      </c>
      <c r="H1675" s="423">
        <v>5.33</v>
      </c>
      <c r="I1675" s="455">
        <f t="shared" si="148"/>
        <v>0</v>
      </c>
      <c r="J1675" s="421" t="s">
        <v>199</v>
      </c>
      <c r="K1675" s="339">
        <v>94.67</v>
      </c>
      <c r="L1675" s="340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3"/>
      <c r="B1676" s="304"/>
      <c r="C1676" s="103">
        <f t="shared" si="145"/>
        <v>45474</v>
      </c>
      <c r="E1676" s="170"/>
      <c r="F1676" s="58" t="str">
        <f>VLOOKUP(MOD(C1676,7),'CALENDAR INFO'!$L$2:$M$8,2)</f>
        <v>MON</v>
      </c>
      <c r="G1676" s="214">
        <v>5.33</v>
      </c>
      <c r="H1676" s="422">
        <v>5.4</v>
      </c>
      <c r="I1676" s="454">
        <f t="shared" si="148"/>
        <v>7.0000000000000284E-2</v>
      </c>
      <c r="J1676" s="435" t="s">
        <v>150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INFO'!$L$2:$M$8,2)</f>
        <v>TUE</v>
      </c>
      <c r="G1677" s="214">
        <v>5.33</v>
      </c>
      <c r="H1677" s="422">
        <v>5.35</v>
      </c>
      <c r="I1677" s="454">
        <f t="shared" si="148"/>
        <v>1.9999999999999574E-2</v>
      </c>
      <c r="J1677" s="152" t="s">
        <v>117</v>
      </c>
      <c r="K1677" s="15">
        <f>VLOOKUP(MONTH($C1676),'CALENDAR INFO'!$O$2:$P$13,2)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INFO'!$L$2:$M$8,2)</f>
        <v>WED</v>
      </c>
      <c r="G1678" s="214">
        <v>5.33</v>
      </c>
      <c r="H1678" s="422">
        <v>5.33</v>
      </c>
      <c r="I1678" s="454">
        <f t="shared" si="148"/>
        <v>0</v>
      </c>
      <c r="J1678" s="15" t="s">
        <v>151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INFO'!$L$2:$M$8,2)</f>
        <v>THU</v>
      </c>
      <c r="G1679" s="214">
        <v>5.33</v>
      </c>
      <c r="H1679" s="422">
        <v>5.33</v>
      </c>
      <c r="I1679" s="454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INFO'!$L$2:$M$8,2)</f>
        <v>FRI</v>
      </c>
      <c r="G1680" s="214">
        <v>5.33</v>
      </c>
      <c r="H1680" s="422">
        <v>5.32</v>
      </c>
      <c r="I1680" s="454">
        <f t="shared" si="148"/>
        <v>-9.9999999999997868E-3</v>
      </c>
      <c r="J1680" s="15" t="s">
        <v>191</v>
      </c>
      <c r="K1680" s="309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INFO'!$L$2:$M$8,2)</f>
        <v>SAT</v>
      </c>
      <c r="G1681" s="214">
        <v>5.33</v>
      </c>
      <c r="H1681" s="422">
        <v>5.32</v>
      </c>
      <c r="I1681" s="454">
        <f t="shared" si="148"/>
        <v>-9.9999999999997868E-3</v>
      </c>
      <c r="J1681" s="15" t="s">
        <v>192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INFO'!$L$2:$M$8,2)</f>
        <v>SUN</v>
      </c>
      <c r="G1682" s="214">
        <v>5.33</v>
      </c>
      <c r="H1682" s="422">
        <v>5.32</v>
      </c>
      <c r="I1682" s="454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INFO'!$L$2:$M$8,2)</f>
        <v>MON</v>
      </c>
      <c r="G1683" s="214">
        <v>5.33</v>
      </c>
      <c r="H1683" s="422">
        <v>5.32</v>
      </c>
      <c r="I1683" s="454">
        <f t="shared" si="148"/>
        <v>-9.9999999999997868E-3</v>
      </c>
      <c r="J1683" s="15" t="s">
        <v>152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INFO'!$L$2:$M$8,2)</f>
        <v>TUE</v>
      </c>
      <c r="G1684" s="214">
        <v>5.33</v>
      </c>
      <c r="H1684" s="422">
        <v>5.34</v>
      </c>
      <c r="I1684" s="454">
        <f t="shared" si="148"/>
        <v>9.9999999999997868E-3</v>
      </c>
      <c r="J1684" s="15" t="s">
        <v>189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INFO'!$L$2:$M$8,2)</f>
        <v>WED</v>
      </c>
      <c r="G1685" s="214">
        <v>5.33</v>
      </c>
      <c r="H1685" s="422">
        <v>5.34</v>
      </c>
      <c r="I1685" s="454">
        <f t="shared" si="148"/>
        <v>9.9999999999997868E-3</v>
      </c>
      <c r="J1685" s="15" t="s">
        <v>190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INFO'!$L$2:$M$8,2)</f>
        <v>THU</v>
      </c>
      <c r="G1686" s="214">
        <v>5.33</v>
      </c>
      <c r="H1686" s="422">
        <v>5.34</v>
      </c>
      <c r="I1686" s="454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INFO'!$L$2:$M$8,2)</f>
        <v>FRI</v>
      </c>
      <c r="G1687" s="214">
        <v>5.33</v>
      </c>
      <c r="H1687" s="422">
        <v>5.34</v>
      </c>
      <c r="I1687" s="454">
        <f t="shared" si="148"/>
        <v>9.9999999999997868E-3</v>
      </c>
      <c r="J1687" s="152" t="s">
        <v>193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INFO'!$L$2:$M$8,2)</f>
        <v>SAT</v>
      </c>
      <c r="G1688" s="214">
        <v>5.33</v>
      </c>
      <c r="H1688" s="422">
        <v>5.34</v>
      </c>
      <c r="I1688" s="454">
        <f t="shared" si="148"/>
        <v>9.9999999999997868E-3</v>
      </c>
      <c r="J1688" s="152" t="s">
        <v>194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INFO'!$L$2:$M$8,2)</f>
        <v>SUN</v>
      </c>
      <c r="G1689" s="214">
        <v>5.33</v>
      </c>
      <c r="H1689" s="422">
        <v>5.34</v>
      </c>
      <c r="I1689" s="454">
        <f t="shared" si="148"/>
        <v>9.9999999999997868E-3</v>
      </c>
      <c r="J1689" s="152" t="s">
        <v>195</v>
      </c>
      <c r="K1689" s="290">
        <f t="shared" ca="1" si="151"/>
        <v>30</v>
      </c>
      <c r="L1689" s="307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INFO'!$L$2:$M$8,2)</f>
        <v>MON</v>
      </c>
      <c r="G1690" s="214">
        <v>5.33</v>
      </c>
      <c r="H1690" s="422">
        <v>5.34</v>
      </c>
      <c r="I1690" s="454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INFO'!$L$2:$M$8,2)</f>
        <v>TUE</v>
      </c>
      <c r="G1691" s="214">
        <v>5.33</v>
      </c>
      <c r="H1691" s="422">
        <v>5.35</v>
      </c>
      <c r="I1691" s="454">
        <f t="shared" si="148"/>
        <v>1.9999999999999574E-2</v>
      </c>
      <c r="J1691" s="152" t="s">
        <v>196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INFO'!$L$2:$M$8,2)</f>
        <v>WED</v>
      </c>
      <c r="G1692" s="214">
        <v>5.33</v>
      </c>
      <c r="H1692" s="422">
        <v>5.35</v>
      </c>
      <c r="I1692" s="454">
        <f t="shared" si="148"/>
        <v>1.9999999999999574E-2</v>
      </c>
      <c r="J1692" s="152" t="s">
        <v>117</v>
      </c>
      <c r="K1692" s="306">
        <f>K1677</f>
        <v>31</v>
      </c>
      <c r="L1692" s="308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INFO'!$L$2:$M$8,2)</f>
        <v>THU</v>
      </c>
      <c r="G1693" s="214">
        <v>5.33</v>
      </c>
      <c r="H1693" s="422">
        <v>5.34</v>
      </c>
      <c r="I1693" s="454">
        <f t="shared" si="148"/>
        <v>9.9999999999997868E-3</v>
      </c>
      <c r="J1693" s="152" t="s">
        <v>183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INFO'!$L$2:$M$8,2)</f>
        <v>FRI</v>
      </c>
      <c r="G1694" s="214">
        <v>5.33</v>
      </c>
      <c r="H1694" s="422">
        <v>5.34</v>
      </c>
      <c r="I1694" s="454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INFO'!$L$2:$M$8,2)</f>
        <v>SAT</v>
      </c>
      <c r="G1695" s="214">
        <v>5.33</v>
      </c>
      <c r="H1695" s="422">
        <v>5.34</v>
      </c>
      <c r="I1695" s="454">
        <f t="shared" si="148"/>
        <v>9.9999999999997868E-3</v>
      </c>
      <c r="J1695" s="15" t="s">
        <v>186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INFO'!$L$2:$M$8,2)</f>
        <v>SUN</v>
      </c>
      <c r="G1696" s="214">
        <v>5.33</v>
      </c>
      <c r="H1696" s="422">
        <v>5.34</v>
      </c>
      <c r="I1696" s="454">
        <f t="shared" si="148"/>
        <v>9.9999999999997868E-3</v>
      </c>
      <c r="J1696" s="152" t="s">
        <v>154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INFO'!$L$2:$M$8,2)</f>
        <v>MON</v>
      </c>
      <c r="G1697" s="214">
        <v>5.33</v>
      </c>
      <c r="H1697" s="422">
        <v>5.33</v>
      </c>
      <c r="I1697" s="454">
        <f t="shared" si="148"/>
        <v>0</v>
      </c>
      <c r="J1697" s="15" t="s">
        <v>184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INFO'!$L$2:$M$8,2)</f>
        <v>TUE</v>
      </c>
      <c r="G1698" s="214">
        <v>5.33</v>
      </c>
      <c r="H1698" s="422">
        <v>5.34</v>
      </c>
      <c r="I1698" s="454">
        <f t="shared" si="148"/>
        <v>9.9999999999997868E-3</v>
      </c>
      <c r="J1698" s="152" t="s">
        <v>185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INFO'!$L$2:$M$8,2)</f>
        <v>WED</v>
      </c>
      <c r="G1699" s="214">
        <v>5.33</v>
      </c>
      <c r="H1699" s="422">
        <v>5.34</v>
      </c>
      <c r="I1699" s="454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INFO'!$L$2:$M$8,2)</f>
        <v>THU</v>
      </c>
      <c r="G1700" s="214">
        <v>5.33</v>
      </c>
      <c r="H1700" s="422">
        <v>5.35</v>
      </c>
      <c r="I1700" s="454">
        <f t="shared" si="148"/>
        <v>1.9999999999999574E-2</v>
      </c>
      <c r="J1700" s="152" t="s">
        <v>187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INFO'!$L$2:$M$8,2)</f>
        <v>FRI</v>
      </c>
      <c r="G1701" s="214">
        <v>5.33</v>
      </c>
      <c r="H1701" s="422">
        <v>5.35</v>
      </c>
      <c r="I1701" s="454">
        <f t="shared" si="148"/>
        <v>1.9999999999999574E-2</v>
      </c>
      <c r="J1701" s="152" t="s">
        <v>188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INFO'!$L$2:$M$8,2)</f>
        <v>SAT</v>
      </c>
      <c r="G1702" s="214">
        <v>5.33</v>
      </c>
      <c r="H1702" s="422">
        <v>5.35</v>
      </c>
      <c r="I1702" s="454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INFO'!$L$2:$M$8,2)</f>
        <v>SUN</v>
      </c>
      <c r="G1703" s="214">
        <v>5.33</v>
      </c>
      <c r="H1703" s="422">
        <v>5.35</v>
      </c>
      <c r="I1703" s="454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INFO'!$L$2:$M$8,2)</f>
        <v>MON</v>
      </c>
      <c r="G1704" s="214">
        <v>5.33</v>
      </c>
      <c r="H1704" s="422">
        <v>5.33</v>
      </c>
      <c r="I1704" s="454">
        <f t="shared" si="148"/>
        <v>0</v>
      </c>
      <c r="J1704" s="152"/>
      <c r="K1704" s="183" t="s">
        <v>201</v>
      </c>
      <c r="L1704" s="199" t="s">
        <v>201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INFO'!$L$2:$M$8,2)</f>
        <v>TUE</v>
      </c>
      <c r="G1705" s="214">
        <v>5.33</v>
      </c>
      <c r="H1705" s="422">
        <v>5.33</v>
      </c>
      <c r="I1705" s="454">
        <f t="shared" si="148"/>
        <v>0</v>
      </c>
      <c r="J1705" s="430" t="s">
        <v>200</v>
      </c>
      <c r="K1705" s="187">
        <f ca="1">100-K1696/K1677</f>
        <v>100</v>
      </c>
      <c r="L1705" s="338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INFO'!$L$2:$M$8,2)</f>
        <v>WED</v>
      </c>
      <c r="G1706" s="215">
        <v>5.33</v>
      </c>
      <c r="H1706" s="423">
        <v>5.38</v>
      </c>
      <c r="I1706" s="455">
        <f t="shared" si="148"/>
        <v>4.9999999999999822E-2</v>
      </c>
      <c r="J1706" s="421" t="s">
        <v>199</v>
      </c>
      <c r="K1706" s="339">
        <v>94.67</v>
      </c>
      <c r="L1706" s="340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3"/>
      <c r="B1707" s="304"/>
      <c r="C1707" s="103">
        <f t="shared" si="145"/>
        <v>45505</v>
      </c>
      <c r="E1707" s="170"/>
      <c r="F1707" s="58" t="str">
        <f>VLOOKUP(MOD(C1707,7),'CALENDAR INFO'!$L$2:$M$8,2)</f>
        <v>THU</v>
      </c>
      <c r="G1707" s="214">
        <v>5.33</v>
      </c>
      <c r="H1707" s="422">
        <v>5.35</v>
      </c>
      <c r="I1707" s="454">
        <f t="shared" si="148"/>
        <v>1.9999999999999574E-2</v>
      </c>
      <c r="J1707" s="433" t="s">
        <v>150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INFO'!$L$2:$M$8,2)</f>
        <v>FRI</v>
      </c>
      <c r="G1708" s="214">
        <v>5.33</v>
      </c>
      <c r="H1708" s="422">
        <v>5.35</v>
      </c>
      <c r="I1708" s="454">
        <f t="shared" si="148"/>
        <v>1.9999999999999574E-2</v>
      </c>
      <c r="J1708" s="152" t="s">
        <v>117</v>
      </c>
      <c r="K1708" s="15">
        <f>VLOOKUP(MONTH($C1707),'CALENDAR INFO'!$O$2:$P$13,2)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INFO'!$L$2:$M$8,2)</f>
        <v>SAT</v>
      </c>
      <c r="G1709" s="214">
        <v>5.33</v>
      </c>
      <c r="H1709" s="422">
        <v>5.35</v>
      </c>
      <c r="I1709" s="454">
        <f t="shared" si="148"/>
        <v>1.9999999999999574E-2</v>
      </c>
      <c r="J1709" s="152" t="s">
        <v>151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INFO'!$L$2:$M$8,2)</f>
        <v>SUN</v>
      </c>
      <c r="G1710" s="214">
        <v>5.33</v>
      </c>
      <c r="H1710" s="422">
        <v>5.35</v>
      </c>
      <c r="I1710" s="454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INFO'!$L$2:$M$8,2)</f>
        <v>MON</v>
      </c>
      <c r="G1711" s="214">
        <v>5.33</v>
      </c>
      <c r="H1711" s="422">
        <v>5.32</v>
      </c>
      <c r="I1711" s="454">
        <f t="shared" si="148"/>
        <v>-9.9999999999997868E-3</v>
      </c>
      <c r="J1711" s="152" t="s">
        <v>191</v>
      </c>
      <c r="K1711" s="310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1"/>
      <c r="B1712" s="317"/>
      <c r="C1712" s="103">
        <f t="shared" si="145"/>
        <v>45510</v>
      </c>
      <c r="E1712" s="170"/>
      <c r="F1712" s="58" t="str">
        <f>VLOOKUP(MOD(C1712,7),'CALENDAR INFO'!$L$2:$M$8,2)</f>
        <v>TUE</v>
      </c>
      <c r="G1712" s="214">
        <v>5.33</v>
      </c>
      <c r="H1712" s="422">
        <v>5.33</v>
      </c>
      <c r="I1712" s="454">
        <f t="shared" si="148"/>
        <v>0</v>
      </c>
      <c r="J1712" s="152" t="s">
        <v>192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1"/>
      <c r="B1713" s="317"/>
      <c r="C1713" s="103">
        <f t="shared" si="145"/>
        <v>45511</v>
      </c>
      <c r="E1713" s="170" t="s">
        <v>19</v>
      </c>
      <c r="F1713" s="58" t="str">
        <f>VLOOKUP(MOD(C1713,7),'CALENDAR INFO'!$L$2:$M$8,2)</f>
        <v>WED</v>
      </c>
      <c r="G1713" s="214">
        <v>5.33</v>
      </c>
      <c r="H1713" s="422">
        <v>5.33</v>
      </c>
      <c r="I1713" s="454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INFO'!$L$2:$M$8,2)</f>
        <v>THU</v>
      </c>
      <c r="G1714" s="214">
        <v>5.33</v>
      </c>
      <c r="H1714" s="422">
        <v>5.34</v>
      </c>
      <c r="I1714" s="454">
        <f t="shared" si="148"/>
        <v>9.9999999999997868E-3</v>
      </c>
      <c r="J1714" s="152" t="s">
        <v>152</v>
      </c>
      <c r="K1714" s="311" t="str">
        <f>_xlfn.CONCAT("A",TEXT(K1707,0),":","A",TEXT(K1709,0))</f>
        <v>A1707:A1737</v>
      </c>
      <c r="L1714" s="312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INFO'!$L$2:$M$8,2)</f>
        <v>FRI</v>
      </c>
      <c r="G1715" s="214">
        <v>5.33</v>
      </c>
      <c r="H1715" s="422">
        <v>5.34</v>
      </c>
      <c r="I1715" s="454">
        <f t="shared" si="148"/>
        <v>9.9999999999997868E-3</v>
      </c>
      <c r="J1715" s="152" t="s">
        <v>189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INFO'!$L$2:$M$8,2)</f>
        <v>SAT</v>
      </c>
      <c r="G1716" s="214">
        <v>5.33</v>
      </c>
      <c r="H1716" s="422">
        <v>5.34</v>
      </c>
      <c r="I1716" s="454">
        <f t="shared" si="148"/>
        <v>9.9999999999997868E-3</v>
      </c>
      <c r="J1716" s="152" t="s">
        <v>190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INFO'!$L$2:$M$8,2)</f>
        <v>SUN</v>
      </c>
      <c r="G1717" s="214">
        <v>5.33</v>
      </c>
      <c r="H1717" s="422">
        <v>5.34</v>
      </c>
      <c r="I1717" s="454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INFO'!$L$2:$M$8,2)</f>
        <v>MON</v>
      </c>
      <c r="G1718" s="214">
        <v>5.33</v>
      </c>
      <c r="H1718" s="422">
        <v>5.34</v>
      </c>
      <c r="I1718" s="454">
        <f t="shared" si="148"/>
        <v>9.9999999999997868E-3</v>
      </c>
      <c r="J1718" s="15" t="s">
        <v>193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INFO'!$L$2:$M$8,2)</f>
        <v>TUE</v>
      </c>
      <c r="G1719" s="214">
        <v>5.33</v>
      </c>
      <c r="H1719" s="422">
        <v>5.34</v>
      </c>
      <c r="I1719" s="454">
        <f t="shared" si="148"/>
        <v>9.9999999999997868E-3</v>
      </c>
      <c r="J1719" s="152" t="s">
        <v>194</v>
      </c>
      <c r="K1719" s="305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INFO'!$L$2:$M$8,2)</f>
        <v>WED</v>
      </c>
      <c r="G1720" s="214">
        <v>5.33</v>
      </c>
      <c r="H1720" s="422">
        <v>5.33</v>
      </c>
      <c r="I1720" s="454">
        <f t="shared" si="148"/>
        <v>0</v>
      </c>
      <c r="J1720" s="15" t="s">
        <v>195</v>
      </c>
      <c r="K1720" s="305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INFO'!$L$2:$M$8,2)</f>
        <v>THU</v>
      </c>
      <c r="G1721" s="214">
        <v>5.33</v>
      </c>
      <c r="H1721" s="422">
        <v>5.35</v>
      </c>
      <c r="I1721" s="454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INFO'!$L$2:$M$8,2)</f>
        <v>FRI</v>
      </c>
      <c r="G1722" s="214">
        <v>5.33</v>
      </c>
      <c r="H1722" s="422">
        <v>5.32</v>
      </c>
      <c r="I1722" s="454">
        <f t="shared" si="148"/>
        <v>-9.9999999999997868E-3</v>
      </c>
      <c r="J1722" s="152" t="s">
        <v>196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INFO'!$L$2:$M$8,2)</f>
        <v>SAT</v>
      </c>
      <c r="G1723" s="214">
        <v>5.33</v>
      </c>
      <c r="H1723" s="422">
        <v>5.32</v>
      </c>
      <c r="I1723" s="454">
        <f t="shared" si="148"/>
        <v>-9.9999999999997868E-3</v>
      </c>
      <c r="J1723" s="152" t="s">
        <v>117</v>
      </c>
      <c r="K1723" s="313">
        <f>K1708</f>
        <v>31</v>
      </c>
      <c r="L1723" s="314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INFO'!$L$2:$M$8,2)</f>
        <v>SUN</v>
      </c>
      <c r="G1724" s="214">
        <v>5.33</v>
      </c>
      <c r="H1724" s="422">
        <v>5.32</v>
      </c>
      <c r="I1724" s="454">
        <f t="shared" si="148"/>
        <v>-9.9999999999997868E-3</v>
      </c>
      <c r="J1724" s="152" t="s">
        <v>183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INFO'!$L$2:$M$8,2)</f>
        <v>MON</v>
      </c>
      <c r="G1725" s="214">
        <v>5.33</v>
      </c>
      <c r="H1725" s="422">
        <v>5.32</v>
      </c>
      <c r="I1725" s="454">
        <f t="shared" si="148"/>
        <v>-9.9999999999997868E-3</v>
      </c>
      <c r="J1725" s="152"/>
      <c r="K1725" s="305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INFO'!$L$2:$M$8,2)</f>
        <v>TUE</v>
      </c>
      <c r="G1726" s="214">
        <v>5.33</v>
      </c>
      <c r="H1726" s="422">
        <v>5.32</v>
      </c>
      <c r="I1726" s="454">
        <f t="shared" si="148"/>
        <v>-9.9999999999997868E-3</v>
      </c>
      <c r="J1726" s="152" t="s">
        <v>186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INFO'!$L$2:$M$8,2)</f>
        <v>WED</v>
      </c>
      <c r="G1727" s="214">
        <v>5.33</v>
      </c>
      <c r="H1727" s="422">
        <v>5.31</v>
      </c>
      <c r="I1727" s="454">
        <f t="shared" si="148"/>
        <v>-2.0000000000000462E-2</v>
      </c>
      <c r="J1727" s="15" t="s">
        <v>154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INFO'!$L$2:$M$8,2)</f>
        <v>THU</v>
      </c>
      <c r="G1728" s="214">
        <v>5.33</v>
      </c>
      <c r="H1728" s="422">
        <v>5.31</v>
      </c>
      <c r="I1728" s="454">
        <f t="shared" si="148"/>
        <v>-2.0000000000000462E-2</v>
      </c>
      <c r="J1728" s="15" t="s">
        <v>184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INFO'!$L$2:$M$8,2)</f>
        <v>FRI</v>
      </c>
      <c r="G1729" s="214">
        <v>5.33</v>
      </c>
      <c r="H1729" s="422">
        <v>5.33</v>
      </c>
      <c r="I1729" s="454">
        <f t="shared" si="148"/>
        <v>0</v>
      </c>
      <c r="J1729" s="15" t="s">
        <v>185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INFO'!$L$2:$M$8,2)</f>
        <v>SAT</v>
      </c>
      <c r="G1730" s="214">
        <v>5.33</v>
      </c>
      <c r="H1730" s="422">
        <v>5.33</v>
      </c>
      <c r="I1730" s="454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INFO'!$L$2:$M$8,2)</f>
        <v>SUN</v>
      </c>
      <c r="G1731" s="214">
        <v>5.33</v>
      </c>
      <c r="H1731" s="422">
        <v>5.33</v>
      </c>
      <c r="I1731" s="454">
        <f t="shared" ref="I1731:I1794" si="155">H1731-G1731</f>
        <v>0</v>
      </c>
      <c r="J1731" s="15" t="s">
        <v>187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INFO'!$L$2:$M$8,2)</f>
        <v>MON</v>
      </c>
      <c r="G1732" s="214">
        <v>5.33</v>
      </c>
      <c r="H1732" s="422">
        <v>5.34</v>
      </c>
      <c r="I1732" s="454">
        <f t="shared" si="155"/>
        <v>9.9999999999997868E-3</v>
      </c>
      <c r="J1732" s="15" t="s">
        <v>188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INFO'!$L$2:$M$8,2)</f>
        <v>TUE</v>
      </c>
      <c r="G1733" s="214">
        <v>5.33</v>
      </c>
      <c r="H1733" s="422">
        <v>5.35</v>
      </c>
      <c r="I1733" s="454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INFO'!$L$2:$M$8,2)</f>
        <v>WED</v>
      </c>
      <c r="G1734" s="214">
        <v>5.33</v>
      </c>
      <c r="H1734" s="422">
        <v>5.35</v>
      </c>
      <c r="I1734" s="454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INFO'!$L$2:$M$8,2)</f>
        <v>THU</v>
      </c>
      <c r="G1735" s="214">
        <v>5.33</v>
      </c>
      <c r="H1735" s="422">
        <v>5.33</v>
      </c>
      <c r="I1735" s="454">
        <f t="shared" si="155"/>
        <v>0</v>
      </c>
      <c r="J1735" s="152"/>
      <c r="K1735" s="183" t="s">
        <v>201</v>
      </c>
      <c r="L1735" s="199" t="s">
        <v>201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INFO'!$L$2:$M$8,2)</f>
        <v>FRI</v>
      </c>
      <c r="G1736" s="214">
        <v>5.33</v>
      </c>
      <c r="H1736" s="422">
        <v>5.32</v>
      </c>
      <c r="I1736" s="454">
        <f t="shared" si="155"/>
        <v>-9.9999999999997868E-3</v>
      </c>
      <c r="J1736" s="430" t="s">
        <v>200</v>
      </c>
      <c r="K1736" s="187">
        <f ca="1">100-K1727/K1708</f>
        <v>100</v>
      </c>
      <c r="L1736" s="338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7"/>
      <c r="B1737" s="358"/>
      <c r="C1737" s="104">
        <f t="shared" si="153"/>
        <v>45535</v>
      </c>
      <c r="D1737" s="112"/>
      <c r="E1737" s="245"/>
      <c r="F1737" s="71" t="str">
        <f>VLOOKUP(MOD(C1737,7),'CALENDAR INFO'!$L$2:$M$8,2)</f>
        <v>SAT</v>
      </c>
      <c r="G1737" s="215">
        <v>5.33</v>
      </c>
      <c r="H1737" s="423">
        <v>5.32</v>
      </c>
      <c r="I1737" s="455">
        <f t="shared" si="155"/>
        <v>-9.9999999999997868E-3</v>
      </c>
      <c r="J1737" s="421" t="s">
        <v>199</v>
      </c>
      <c r="K1737" s="339">
        <v>94.67</v>
      </c>
      <c r="L1737" s="340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3"/>
      <c r="B1738" s="304"/>
      <c r="C1738" s="103">
        <f t="shared" si="153"/>
        <v>45536</v>
      </c>
      <c r="E1738" s="170"/>
      <c r="F1738" s="58" t="str">
        <f>VLOOKUP(MOD(C1738,7),'CALENDAR INFO'!$L$2:$M$8,2)</f>
        <v>SUN</v>
      </c>
      <c r="G1738" s="214">
        <v>5.33</v>
      </c>
      <c r="H1738" s="422">
        <v>5.32</v>
      </c>
      <c r="I1738" s="454">
        <f t="shared" si="155"/>
        <v>-9.9999999999997868E-3</v>
      </c>
      <c r="J1738" s="435" t="s">
        <v>150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3"/>
      <c r="B1739" s="304"/>
      <c r="C1739" s="103">
        <f t="shared" si="153"/>
        <v>45537</v>
      </c>
      <c r="D1739" s="173" t="s">
        <v>111</v>
      </c>
      <c r="E1739" s="170"/>
      <c r="F1739" s="58" t="str">
        <f>VLOOKUP(MOD(C1739,7),'CALENDAR INFO'!$L$2:$M$8,2)</f>
        <v>MON</v>
      </c>
      <c r="G1739" s="214">
        <v>5.33</v>
      </c>
      <c r="H1739" s="422">
        <v>5.32</v>
      </c>
      <c r="I1739" s="454">
        <f t="shared" si="155"/>
        <v>-9.9999999999997868E-3</v>
      </c>
      <c r="J1739" s="152" t="s">
        <v>117</v>
      </c>
      <c r="K1739" s="15">
        <f>VLOOKUP(MONTH($C1738),'CALENDAR INFO'!$O$2:$P$13,2)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3"/>
      <c r="B1740" s="304"/>
      <c r="C1740" s="103">
        <f t="shared" si="153"/>
        <v>45538</v>
      </c>
      <c r="E1740" s="170"/>
      <c r="F1740" s="58" t="str">
        <f>VLOOKUP(MOD(C1740,7),'CALENDAR INFO'!$L$2:$M$8,2)</f>
        <v>TUE</v>
      </c>
      <c r="G1740" s="214">
        <v>5.33</v>
      </c>
      <c r="H1740" s="422">
        <v>5.34</v>
      </c>
      <c r="I1740" s="454">
        <f t="shared" si="155"/>
        <v>9.9999999999997868E-3</v>
      </c>
      <c r="J1740" s="15" t="s">
        <v>151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3"/>
      <c r="B1741" s="304"/>
      <c r="C1741" s="103">
        <f t="shared" si="153"/>
        <v>45539</v>
      </c>
      <c r="E1741" s="170" t="s">
        <v>19</v>
      </c>
      <c r="F1741" s="58" t="str">
        <f>VLOOKUP(MOD(C1741,7),'CALENDAR INFO'!$L$2:$M$8,2)</f>
        <v>WED</v>
      </c>
      <c r="G1741" s="214">
        <v>5.33</v>
      </c>
      <c r="H1741" s="422">
        <v>5.35</v>
      </c>
      <c r="I1741" s="454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3"/>
      <c r="B1742" s="304"/>
      <c r="C1742" s="103">
        <f t="shared" si="153"/>
        <v>45540</v>
      </c>
      <c r="D1742" s="175"/>
      <c r="E1742" s="167" t="s">
        <v>18</v>
      </c>
      <c r="F1742" s="58" t="str">
        <f>VLOOKUP(MOD(C1742,7),'CALENDAR INFO'!$L$2:$M$8,2)</f>
        <v>THU</v>
      </c>
      <c r="G1742" s="214">
        <v>5.33</v>
      </c>
      <c r="H1742" s="422">
        <v>5.35</v>
      </c>
      <c r="I1742" s="454">
        <f t="shared" si="155"/>
        <v>1.9999999999999574E-2</v>
      </c>
      <c r="J1742" s="15" t="s">
        <v>191</v>
      </c>
      <c r="K1742" s="309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3"/>
      <c r="B1743" s="304"/>
      <c r="C1743" s="103">
        <f t="shared" si="153"/>
        <v>45541</v>
      </c>
      <c r="E1743" s="167"/>
      <c r="F1743" s="58" t="str">
        <f>VLOOKUP(MOD(C1743,7),'CALENDAR INFO'!$L$2:$M$8,2)</f>
        <v>FRI</v>
      </c>
      <c r="G1743" s="214">
        <v>5.33</v>
      </c>
      <c r="H1743" s="422">
        <v>5.34</v>
      </c>
      <c r="I1743" s="454">
        <f t="shared" si="155"/>
        <v>9.9999999999997868E-3</v>
      </c>
      <c r="J1743" s="15" t="s">
        <v>192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3"/>
      <c r="B1744" s="304"/>
      <c r="C1744" s="103">
        <f t="shared" si="153"/>
        <v>45542</v>
      </c>
      <c r="E1744" s="167"/>
      <c r="F1744" s="58" t="str">
        <f>VLOOKUP(MOD(C1744,7),'CALENDAR INFO'!$L$2:$M$8,2)</f>
        <v>SAT</v>
      </c>
      <c r="G1744" s="214">
        <v>5.33</v>
      </c>
      <c r="H1744" s="422">
        <v>5.34</v>
      </c>
      <c r="I1744" s="454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3"/>
      <c r="B1745" s="304"/>
      <c r="C1745" s="103">
        <f t="shared" si="153"/>
        <v>45543</v>
      </c>
      <c r="E1745" s="167"/>
      <c r="F1745" s="58" t="str">
        <f>VLOOKUP(MOD(C1745,7),'CALENDAR INFO'!$L$2:$M$8,2)</f>
        <v>SUN</v>
      </c>
      <c r="G1745" s="214">
        <v>5.33</v>
      </c>
      <c r="H1745" s="422">
        <v>5.34</v>
      </c>
      <c r="I1745" s="454">
        <f t="shared" si="155"/>
        <v>9.9999999999997868E-3</v>
      </c>
      <c r="J1745" s="15" t="s">
        <v>212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3"/>
      <c r="B1746" s="304"/>
      <c r="C1746" s="103">
        <f t="shared" si="153"/>
        <v>45544</v>
      </c>
      <c r="E1746" s="167"/>
      <c r="F1746" s="58" t="str">
        <f>VLOOKUP(MOD(C1746,7),'CALENDAR INFO'!$L$2:$M$8,2)</f>
        <v>MON</v>
      </c>
      <c r="G1746" s="214">
        <v>5.33</v>
      </c>
      <c r="H1746" s="422">
        <v>5.34</v>
      </c>
      <c r="I1746" s="454">
        <f t="shared" si="155"/>
        <v>9.9999999999997868E-3</v>
      </c>
      <c r="J1746" s="15" t="s">
        <v>213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3"/>
      <c r="B1747" s="304"/>
      <c r="C1747" s="103">
        <f t="shared" si="153"/>
        <v>45545</v>
      </c>
      <c r="E1747" s="167"/>
      <c r="F1747" s="58" t="str">
        <f>VLOOKUP(MOD(C1747,7),'CALENDAR INFO'!$L$2:$M$8,2)</f>
        <v>TUE</v>
      </c>
      <c r="G1747" s="214">
        <v>5.33</v>
      </c>
      <c r="H1747" s="422">
        <v>5.33</v>
      </c>
      <c r="I1747" s="454">
        <f t="shared" si="155"/>
        <v>0</v>
      </c>
      <c r="J1747" s="15" t="s">
        <v>152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3"/>
      <c r="B1748" s="304"/>
      <c r="C1748" s="103">
        <f t="shared" si="153"/>
        <v>45546</v>
      </c>
      <c r="E1748" s="167"/>
      <c r="F1748" s="58" t="str">
        <f>VLOOKUP(MOD(C1748,7),'CALENDAR INFO'!$L$2:$M$8,2)</f>
        <v>WED</v>
      </c>
      <c r="G1748" s="214">
        <v>5.33</v>
      </c>
      <c r="H1748" s="422">
        <v>5.32</v>
      </c>
      <c r="I1748" s="454">
        <f t="shared" si="155"/>
        <v>-9.9999999999997868E-3</v>
      </c>
      <c r="J1748" s="15" t="s">
        <v>189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3"/>
      <c r="B1749" s="304"/>
      <c r="C1749" s="103">
        <f t="shared" si="153"/>
        <v>45547</v>
      </c>
      <c r="E1749" s="167"/>
      <c r="F1749" s="58" t="str">
        <f>VLOOKUP(MOD(C1749,7),'CALENDAR INFO'!$L$2:$M$8,2)</f>
        <v>THU</v>
      </c>
      <c r="G1749" s="214">
        <v>5.33</v>
      </c>
      <c r="H1749" s="422">
        <v>5.33</v>
      </c>
      <c r="I1749" s="454">
        <f t="shared" si="155"/>
        <v>0</v>
      </c>
      <c r="J1749" s="15" t="s">
        <v>190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3"/>
      <c r="B1750" s="304"/>
      <c r="C1750" s="103">
        <f t="shared" si="153"/>
        <v>45548</v>
      </c>
      <c r="E1750" s="167"/>
      <c r="F1750" s="58" t="str">
        <f>VLOOKUP(MOD(C1750,7),'CALENDAR INFO'!$L$2:$M$8,2)</f>
        <v>FRI</v>
      </c>
      <c r="G1750" s="214">
        <v>5.33</v>
      </c>
      <c r="H1750" s="422">
        <v>5.33</v>
      </c>
      <c r="I1750" s="454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3"/>
      <c r="B1751" s="304"/>
      <c r="C1751" s="103">
        <f t="shared" si="153"/>
        <v>45549</v>
      </c>
      <c r="E1751" s="167"/>
      <c r="F1751" s="58" t="str">
        <f>VLOOKUP(MOD(C1751,7),'CALENDAR INFO'!$L$2:$M$8,2)</f>
        <v>SAT</v>
      </c>
      <c r="G1751" s="214">
        <v>5.33</v>
      </c>
      <c r="H1751" s="422">
        <v>5.33</v>
      </c>
      <c r="I1751" s="454">
        <f t="shared" si="155"/>
        <v>0</v>
      </c>
      <c r="J1751" s="152" t="s">
        <v>193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3"/>
      <c r="B1752" s="304"/>
      <c r="C1752" s="103">
        <f t="shared" si="153"/>
        <v>45550</v>
      </c>
      <c r="E1752" s="167"/>
      <c r="F1752" s="58" t="str">
        <f>VLOOKUP(MOD(C1752,7),'CALENDAR INFO'!$L$2:$M$8,2)</f>
        <v>SUN</v>
      </c>
      <c r="G1752" s="214">
        <v>5.33</v>
      </c>
      <c r="H1752" s="422">
        <v>5.33</v>
      </c>
      <c r="I1752" s="454">
        <f t="shared" si="155"/>
        <v>0</v>
      </c>
      <c r="J1752" s="152" t="s">
        <v>194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3"/>
      <c r="B1753" s="304"/>
      <c r="C1753" s="103">
        <f t="shared" si="153"/>
        <v>45551</v>
      </c>
      <c r="E1753" s="167"/>
      <c r="F1753" s="58" t="str">
        <f>VLOOKUP(MOD(C1753,7),'CALENDAR INFO'!$L$2:$M$8,2)</f>
        <v>MON</v>
      </c>
      <c r="G1753" s="214">
        <v>5.33</v>
      </c>
      <c r="H1753" s="422">
        <v>5.38</v>
      </c>
      <c r="I1753" s="454">
        <f t="shared" si="155"/>
        <v>4.9999999999999822E-2</v>
      </c>
      <c r="J1753" s="152" t="s">
        <v>195</v>
      </c>
      <c r="K1753" s="290">
        <f t="shared" ca="1" si="158"/>
        <v>12</v>
      </c>
      <c r="L1753" s="307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3"/>
      <c r="B1754" s="304"/>
      <c r="C1754" s="103">
        <f t="shared" si="153"/>
        <v>45552</v>
      </c>
      <c r="D1754" s="153" t="s">
        <v>20</v>
      </c>
      <c r="E1754" s="167"/>
      <c r="F1754" s="58" t="str">
        <f>VLOOKUP(MOD(C1754,7),'CALENDAR INFO'!$L$2:$M$8,2)</f>
        <v>TUE</v>
      </c>
      <c r="G1754" s="214">
        <v>5.33</v>
      </c>
      <c r="H1754" s="422">
        <v>5.38</v>
      </c>
      <c r="I1754" s="454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3"/>
      <c r="B1755" s="304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INFO'!$L$2:$M$8,2)</f>
        <v>WED</v>
      </c>
      <c r="G1755" s="214">
        <v>5.33</v>
      </c>
      <c r="H1755" s="422">
        <v>5.33</v>
      </c>
      <c r="I1755" s="454">
        <f t="shared" si="155"/>
        <v>0</v>
      </c>
      <c r="J1755" s="152" t="s">
        <v>196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INFO'!$L$2:$M$8,2)</f>
        <v>THU</v>
      </c>
      <c r="G1756" s="214">
        <v>4.83</v>
      </c>
      <c r="H1756" s="422">
        <v>4.82</v>
      </c>
      <c r="I1756" s="454">
        <f t="shared" si="155"/>
        <v>-9.9999999999997868E-3</v>
      </c>
      <c r="J1756" s="152" t="s">
        <v>117</v>
      </c>
      <c r="K1756" s="306">
        <f>K1739</f>
        <v>30</v>
      </c>
      <c r="L1756" s="308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INFO'!$L$2:$M$8,2)</f>
        <v>FRI</v>
      </c>
      <c r="G1757" s="214">
        <v>4.83</v>
      </c>
      <c r="H1757" s="422">
        <v>4.83</v>
      </c>
      <c r="I1757" s="454">
        <f t="shared" si="155"/>
        <v>0</v>
      </c>
      <c r="J1757" s="152" t="s">
        <v>183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INFO'!$L$2:$M$8,2)</f>
        <v>SAT</v>
      </c>
      <c r="G1758" s="214">
        <v>4.83</v>
      </c>
      <c r="H1758" s="422">
        <v>4.83</v>
      </c>
      <c r="I1758" s="454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INFO'!$L$2:$M$8,2)</f>
        <v>SUN</v>
      </c>
      <c r="G1759" s="214">
        <v>4.83</v>
      </c>
      <c r="H1759" s="422">
        <v>4.83</v>
      </c>
      <c r="I1759" s="454">
        <f t="shared" si="155"/>
        <v>0</v>
      </c>
      <c r="J1759" s="15" t="s">
        <v>186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INFO'!$L$2:$M$8,2)</f>
        <v>MON</v>
      </c>
      <c r="G1760" s="214">
        <v>4.83</v>
      </c>
      <c r="H1760" s="422">
        <v>4.83</v>
      </c>
      <c r="I1760" s="454">
        <f t="shared" si="155"/>
        <v>0</v>
      </c>
      <c r="J1760" s="152" t="s">
        <v>154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INFO'!$L$2:$M$8,2)</f>
        <v>TUE</v>
      </c>
      <c r="G1761" s="214">
        <v>4.83</v>
      </c>
      <c r="H1761" s="422">
        <v>4.84</v>
      </c>
      <c r="I1761" s="454">
        <f t="shared" si="155"/>
        <v>9.9999999999997868E-3</v>
      </c>
      <c r="J1761" s="15" t="s">
        <v>184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INFO'!$L$2:$M$8,2)</f>
        <v>WED</v>
      </c>
      <c r="G1762" s="214">
        <v>4.83</v>
      </c>
      <c r="H1762" s="422">
        <v>4.84</v>
      </c>
      <c r="I1762" s="454">
        <f t="shared" si="155"/>
        <v>9.9999999999997868E-3</v>
      </c>
      <c r="J1762" s="152" t="s">
        <v>185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INFO'!$L$2:$M$8,2)</f>
        <v>THU</v>
      </c>
      <c r="G1763" s="214">
        <v>4.83</v>
      </c>
      <c r="H1763" s="422">
        <v>4.83</v>
      </c>
      <c r="I1763" s="454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INFO'!$L$2:$M$8,2)</f>
        <v>FRI</v>
      </c>
      <c r="G1764" s="214">
        <v>4.83</v>
      </c>
      <c r="H1764" s="422">
        <v>4.84</v>
      </c>
      <c r="I1764" s="454">
        <f t="shared" si="155"/>
        <v>9.9999999999997868E-3</v>
      </c>
      <c r="J1764" s="152" t="s">
        <v>187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INFO'!$L$2:$M$8,2)</f>
        <v>SAT</v>
      </c>
      <c r="G1765" s="214">
        <v>4.83</v>
      </c>
      <c r="H1765" s="422">
        <v>4.84</v>
      </c>
      <c r="I1765" s="454">
        <f t="shared" si="155"/>
        <v>9.9999999999997868E-3</v>
      </c>
      <c r="J1765" s="152" t="s">
        <v>188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INFO'!$L$2:$M$8,2)</f>
        <v>SUN</v>
      </c>
      <c r="G1766" s="214">
        <v>4.83</v>
      </c>
      <c r="H1766" s="422">
        <v>4.84</v>
      </c>
      <c r="I1766" s="454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INFO'!$L$2:$M$8,2)</f>
        <v>MON</v>
      </c>
      <c r="G1767" s="215">
        <v>4.83</v>
      </c>
      <c r="H1767" s="423">
        <v>4.96</v>
      </c>
      <c r="I1767" s="455">
        <f t="shared" si="155"/>
        <v>0.12999999999999989</v>
      </c>
      <c r="J1767" s="421" t="s">
        <v>201</v>
      </c>
      <c r="K1767" s="339">
        <f ca="1">100-K1760/K1756</f>
        <v>100</v>
      </c>
      <c r="L1767" s="340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3"/>
      <c r="B1768" s="364"/>
      <c r="C1768" s="103">
        <f t="shared" si="153"/>
        <v>45566</v>
      </c>
      <c r="E1768" s="170"/>
      <c r="F1768" s="58" t="str">
        <f>VLOOKUP(MOD(C1768,7),'CALENDAR INFO'!$L$2:$M$8,2)</f>
        <v>TUE</v>
      </c>
      <c r="G1768" s="214">
        <v>4.83</v>
      </c>
      <c r="H1768" s="422">
        <v>5.05</v>
      </c>
      <c r="I1768" s="454">
        <f t="shared" si="155"/>
        <v>0.21999999999999975</v>
      </c>
      <c r="J1768" s="433" t="s">
        <v>150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INFO'!$L$2:$M$8,2)</f>
        <v>WED</v>
      </c>
      <c r="G1769" s="214">
        <v>4.83</v>
      </c>
      <c r="H1769" s="422">
        <v>4.92</v>
      </c>
      <c r="I1769" s="454">
        <f t="shared" si="155"/>
        <v>8.9999999999999858E-2</v>
      </c>
      <c r="J1769" s="152" t="s">
        <v>117</v>
      </c>
      <c r="K1769" s="15">
        <f>VLOOKUP(MONTH($C1768),'CALENDAR INFO'!$O$2:$P$13,2)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INFO'!$L$2:$M$8,2)</f>
        <v>THU</v>
      </c>
      <c r="G1770" s="214">
        <v>4.83</v>
      </c>
      <c r="H1770" s="422">
        <v>4.8499999999999996</v>
      </c>
      <c r="I1770" s="454">
        <f t="shared" si="155"/>
        <v>1.9999999999999574E-2</v>
      </c>
      <c r="J1770" s="152" t="s">
        <v>151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INFO'!$L$2:$M$8,2)</f>
        <v>FRI</v>
      </c>
      <c r="G1771" s="214">
        <v>4.83</v>
      </c>
      <c r="H1771" s="422">
        <v>4.83</v>
      </c>
      <c r="I1771" s="454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INFO'!$L$2:$M$8,2)</f>
        <v>SAT</v>
      </c>
      <c r="G1772" s="214">
        <v>4.83</v>
      </c>
      <c r="H1772" s="422">
        <v>4.83</v>
      </c>
      <c r="I1772" s="454">
        <f t="shared" si="155"/>
        <v>0</v>
      </c>
      <c r="J1772" s="152" t="s">
        <v>191</v>
      </c>
      <c r="K1772" s="365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INFO'!$L$2:$M$8,2)</f>
        <v>SUN</v>
      </c>
      <c r="G1773" s="214">
        <v>4.83</v>
      </c>
      <c r="H1773" s="422">
        <v>4.83</v>
      </c>
      <c r="I1773" s="454">
        <f t="shared" si="155"/>
        <v>0</v>
      </c>
      <c r="J1773" s="152" t="s">
        <v>192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INFO'!$L$2:$M$8,2)</f>
        <v>MON</v>
      </c>
      <c r="G1774" s="214">
        <v>4.83</v>
      </c>
      <c r="H1774" s="422">
        <v>4.83</v>
      </c>
      <c r="I1774" s="454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INFO'!$L$2:$M$8,2)</f>
        <v>TUE</v>
      </c>
      <c r="G1775" s="214">
        <v>4.83</v>
      </c>
      <c r="H1775" s="422">
        <v>4.84</v>
      </c>
      <c r="I1775" s="454">
        <f t="shared" si="155"/>
        <v>9.9999999999997868E-3</v>
      </c>
      <c r="J1775" s="15" t="s">
        <v>212</v>
      </c>
      <c r="K1775" s="367" t="s">
        <v>214</v>
      </c>
      <c r="L1775" s="368" t="s">
        <v>215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INFO'!$L$2:$M$8,2)</f>
        <v>WED</v>
      </c>
      <c r="G1776" s="214">
        <v>4.83</v>
      </c>
      <c r="H1776" s="422">
        <v>4.83</v>
      </c>
      <c r="I1776" s="454">
        <f t="shared" si="155"/>
        <v>0</v>
      </c>
      <c r="J1776" s="15" t="s">
        <v>213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INFO'!$L$2:$M$8,2)</f>
        <v>THU</v>
      </c>
      <c r="G1777" s="214">
        <v>4.83</v>
      </c>
      <c r="H1777" s="422">
        <v>4.82</v>
      </c>
      <c r="I1777" s="454">
        <f t="shared" si="155"/>
        <v>-9.9999999999997868E-3</v>
      </c>
      <c r="J1777" s="152" t="s">
        <v>152</v>
      </c>
      <c r="K1777" s="311" t="str">
        <f>_xlfn.CONCAT("A",TEXT(K1768,0),":","A",TEXT(K1770,0))</f>
        <v>A1768:A1798</v>
      </c>
      <c r="L1777" s="312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INFO'!$L$2:$M$8,2)</f>
        <v>FRI</v>
      </c>
      <c r="G1778" s="214">
        <v>4.83</v>
      </c>
      <c r="H1778" s="422">
        <v>4.8099999999999996</v>
      </c>
      <c r="I1778" s="454">
        <f t="shared" si="155"/>
        <v>-2.0000000000000462E-2</v>
      </c>
      <c r="J1778" s="152" t="s">
        <v>189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INFO'!$L$2:$M$8,2)</f>
        <v>SAT</v>
      </c>
      <c r="G1779" s="214">
        <v>4.83</v>
      </c>
      <c r="H1779" s="422">
        <v>4.8099999999999996</v>
      </c>
      <c r="I1779" s="454">
        <f t="shared" si="155"/>
        <v>-2.0000000000000462E-2</v>
      </c>
      <c r="J1779" s="152" t="s">
        <v>190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INFO'!$L$2:$M$8,2)</f>
        <v>SUN</v>
      </c>
      <c r="G1780" s="214">
        <v>4.83</v>
      </c>
      <c r="H1780" s="422">
        <v>4.8099999999999996</v>
      </c>
      <c r="I1780" s="454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107</v>
      </c>
      <c r="E1781" s="167"/>
      <c r="F1781" s="58" t="str">
        <f>VLOOKUP(MOD(C1781,7),'CALENDAR INFO'!$L$2:$M$8,2)</f>
        <v>MON</v>
      </c>
      <c r="G1781" s="214">
        <v>4.83</v>
      </c>
      <c r="H1781" s="422">
        <v>4.8099999999999996</v>
      </c>
      <c r="I1781" s="454">
        <f t="shared" si="155"/>
        <v>-2.0000000000000462E-2</v>
      </c>
      <c r="J1781" s="15" t="s">
        <v>193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INFO'!$L$2:$M$8,2)</f>
        <v>TUE</v>
      </c>
      <c r="G1782" s="214">
        <v>4.83</v>
      </c>
      <c r="H1782" s="422">
        <v>4.8600000000000003</v>
      </c>
      <c r="I1782" s="454">
        <f t="shared" si="155"/>
        <v>3.0000000000000249E-2</v>
      </c>
      <c r="J1782" s="152" t="s">
        <v>194</v>
      </c>
      <c r="K1782" s="305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INFO'!$L$2:$M$8,2)</f>
        <v>WED</v>
      </c>
      <c r="G1783" s="214">
        <v>4.83</v>
      </c>
      <c r="H1783" s="422">
        <v>4.8600000000000003</v>
      </c>
      <c r="I1783" s="454">
        <f t="shared" si="155"/>
        <v>3.0000000000000249E-2</v>
      </c>
      <c r="J1783" s="15" t="s">
        <v>195</v>
      </c>
      <c r="K1783" s="305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INFO'!$L$2:$M$8,2)</f>
        <v>THU</v>
      </c>
      <c r="G1784" s="214">
        <v>4.83</v>
      </c>
      <c r="H1784" s="422">
        <v>4.8499999999999996</v>
      </c>
      <c r="I1784" s="454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INFO'!$L$2:$M$8,2)</f>
        <v>FRI</v>
      </c>
      <c r="G1785" s="214">
        <v>4.83</v>
      </c>
      <c r="H1785" s="422">
        <v>4.84</v>
      </c>
      <c r="I1785" s="454">
        <f t="shared" si="155"/>
        <v>9.9999999999997868E-3</v>
      </c>
      <c r="J1785" s="152" t="s">
        <v>196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INFO'!$L$2:$M$8,2)</f>
        <v>SAT</v>
      </c>
      <c r="G1786" s="214">
        <v>4.83</v>
      </c>
      <c r="H1786" s="422">
        <v>4.84</v>
      </c>
      <c r="I1786" s="454">
        <f t="shared" si="155"/>
        <v>9.9999999999997868E-3</v>
      </c>
      <c r="J1786" s="152" t="s">
        <v>117</v>
      </c>
      <c r="K1786" s="313">
        <f>K1769</f>
        <v>31</v>
      </c>
      <c r="L1786" s="314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INFO'!$L$2:$M$8,2)</f>
        <v>SUN</v>
      </c>
      <c r="G1787" s="214">
        <v>4.83</v>
      </c>
      <c r="H1787" s="422">
        <v>4.84</v>
      </c>
      <c r="I1787" s="454">
        <f t="shared" si="155"/>
        <v>9.9999999999997868E-3</v>
      </c>
      <c r="J1787" s="152" t="s">
        <v>183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INFO'!$L$2:$M$8,2)</f>
        <v>MON</v>
      </c>
      <c r="G1788" s="214">
        <v>4.83</v>
      </c>
      <c r="H1788" s="422">
        <v>4.82</v>
      </c>
      <c r="I1788" s="454">
        <f t="shared" si="155"/>
        <v>-9.9999999999997868E-3</v>
      </c>
      <c r="J1788" s="152"/>
      <c r="K1788" s="305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INFO'!$L$2:$M$8,2)</f>
        <v>TUE</v>
      </c>
      <c r="G1789" s="214">
        <v>4.83</v>
      </c>
      <c r="H1789" s="422">
        <v>4.83</v>
      </c>
      <c r="I1789" s="454">
        <f t="shared" si="155"/>
        <v>0</v>
      </c>
      <c r="J1789" s="152" t="s">
        <v>186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INFO'!$L$2:$M$8,2)</f>
        <v>WED</v>
      </c>
      <c r="G1790" s="214">
        <v>4.83</v>
      </c>
      <c r="H1790" s="422">
        <v>4.83</v>
      </c>
      <c r="I1790" s="454">
        <f t="shared" si="155"/>
        <v>0</v>
      </c>
      <c r="J1790" s="15" t="s">
        <v>154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INFO'!$L$2:$M$8,2)</f>
        <v>THU</v>
      </c>
      <c r="G1791" s="214">
        <v>4.83</v>
      </c>
      <c r="H1791" s="422">
        <v>4.83</v>
      </c>
      <c r="I1791" s="454">
        <f t="shared" si="155"/>
        <v>0</v>
      </c>
      <c r="J1791" s="15" t="s">
        <v>184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INFO'!$L$2:$M$8,2)</f>
        <v>FRI</v>
      </c>
      <c r="G1792" s="214">
        <v>4.83</v>
      </c>
      <c r="H1792" s="422">
        <v>4.83</v>
      </c>
      <c r="I1792" s="454">
        <f t="shared" si="155"/>
        <v>0</v>
      </c>
      <c r="J1792" s="15" t="s">
        <v>185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INFO'!$L$2:$M$8,2)</f>
        <v>SAT</v>
      </c>
      <c r="G1793" s="214">
        <v>4.83</v>
      </c>
      <c r="H1793" s="422">
        <v>4.83</v>
      </c>
      <c r="I1793" s="454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INFO'!$L$2:$M$8,2)</f>
        <v>SUN</v>
      </c>
      <c r="G1794" s="214">
        <v>4.83</v>
      </c>
      <c r="H1794" s="422">
        <v>4.83</v>
      </c>
      <c r="I1794" s="454">
        <f t="shared" si="155"/>
        <v>0</v>
      </c>
      <c r="J1794" s="15" t="s">
        <v>187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INFO'!$L$2:$M$8,2)</f>
        <v>MON</v>
      </c>
      <c r="G1795" s="214">
        <v>4.83</v>
      </c>
      <c r="H1795" s="422">
        <v>4.82</v>
      </c>
      <c r="I1795" s="454">
        <f t="shared" ref="I1795:I1858" si="162">H1795-G1795</f>
        <v>-9.9999999999997868E-3</v>
      </c>
      <c r="J1795" s="15" t="s">
        <v>188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INFO'!$L$2:$M$8,2)</f>
        <v>TUE</v>
      </c>
      <c r="G1796" s="214">
        <v>4.83</v>
      </c>
      <c r="H1796" s="422">
        <v>4.82</v>
      </c>
      <c r="I1796" s="454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INFO'!$L$2:$M$8,2)</f>
        <v>WED</v>
      </c>
      <c r="G1797" s="214">
        <v>4.83</v>
      </c>
      <c r="H1797" s="422">
        <v>4.8099999999999996</v>
      </c>
      <c r="I1797" s="454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INFO'!$L$2:$M$8,2)</f>
        <v>THU</v>
      </c>
      <c r="G1798" s="215">
        <v>4.83</v>
      </c>
      <c r="H1798" s="423">
        <v>4.9000000000000004</v>
      </c>
      <c r="I1798" s="455">
        <f t="shared" si="162"/>
        <v>7.0000000000000284E-2</v>
      </c>
      <c r="J1798" s="421" t="s">
        <v>201</v>
      </c>
      <c r="K1798" s="339">
        <f ca="1">100-K1790/K1786</f>
        <v>100</v>
      </c>
      <c r="L1798" s="340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3"/>
      <c r="B1799" s="364"/>
      <c r="C1799" s="103">
        <f t="shared" si="159"/>
        <v>45597</v>
      </c>
      <c r="E1799" s="167"/>
      <c r="F1799" s="58" t="str">
        <f>VLOOKUP(MOD(C1799,7),'CALENDAR INFO'!$L$2:$M$8,2)</f>
        <v>FRI</v>
      </c>
      <c r="G1799" s="214">
        <v>4.83</v>
      </c>
      <c r="H1799" s="422">
        <v>4.8600000000000003</v>
      </c>
      <c r="I1799" s="454">
        <f t="shared" si="162"/>
        <v>3.0000000000000249E-2</v>
      </c>
      <c r="J1799" s="435" t="s">
        <v>150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3"/>
      <c r="B1800" s="364"/>
      <c r="C1800" s="103">
        <f t="shared" si="159"/>
        <v>45598</v>
      </c>
      <c r="E1800" s="167"/>
      <c r="F1800" s="58" t="str">
        <f>VLOOKUP(MOD(C1800,7),'CALENDAR INFO'!$L$2:$M$8,2)</f>
        <v>SAT</v>
      </c>
      <c r="G1800" s="214">
        <v>4.83</v>
      </c>
      <c r="H1800" s="422">
        <v>4.8600000000000003</v>
      </c>
      <c r="I1800" s="454">
        <f t="shared" si="162"/>
        <v>3.0000000000000249E-2</v>
      </c>
      <c r="J1800" s="152" t="s">
        <v>117</v>
      </c>
      <c r="K1800" s="15">
        <f>VLOOKUP(MONTH($C1799),'CALENDAR INFO'!$O$2:$P$13,2)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3"/>
      <c r="B1801" s="364"/>
      <c r="C1801" s="103">
        <f t="shared" si="159"/>
        <v>45599</v>
      </c>
      <c r="E1801" s="167"/>
      <c r="F1801" s="58" t="str">
        <f>VLOOKUP(MOD(C1801,7),'CALENDAR INFO'!$L$2:$M$8,2)</f>
        <v>SUN</v>
      </c>
      <c r="G1801" s="214">
        <v>4.83</v>
      </c>
      <c r="H1801" s="422">
        <v>4.8600000000000003</v>
      </c>
      <c r="I1801" s="454">
        <f t="shared" si="162"/>
        <v>3.0000000000000249E-2</v>
      </c>
      <c r="J1801" s="15" t="s">
        <v>151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3"/>
      <c r="B1802" s="364"/>
      <c r="C1802" s="103">
        <f t="shared" si="159"/>
        <v>45600</v>
      </c>
      <c r="E1802" s="167"/>
      <c r="F1802" s="58" t="str">
        <f>VLOOKUP(MOD(C1802,7),'CALENDAR INFO'!$L$2:$M$8,2)</f>
        <v>MON</v>
      </c>
      <c r="G1802" s="214">
        <v>4.83</v>
      </c>
      <c r="H1802" s="422">
        <v>4.82</v>
      </c>
      <c r="I1802" s="454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3"/>
      <c r="B1803" s="364"/>
      <c r="C1803" s="103">
        <f t="shared" si="159"/>
        <v>45601</v>
      </c>
      <c r="E1803" s="167"/>
      <c r="F1803" s="58" t="str">
        <f>VLOOKUP(MOD(C1803,7),'CALENDAR INFO'!$L$2:$M$8,2)</f>
        <v>TUE</v>
      </c>
      <c r="G1803" s="214">
        <v>4.83</v>
      </c>
      <c r="H1803" s="422">
        <v>4.82</v>
      </c>
      <c r="I1803" s="454">
        <f t="shared" si="162"/>
        <v>-9.9999999999997868E-3</v>
      </c>
      <c r="J1803" s="15" t="s">
        <v>191</v>
      </c>
      <c r="K1803" s="366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3"/>
      <c r="B1804" s="364"/>
      <c r="C1804" s="103">
        <f t="shared" si="159"/>
        <v>45602</v>
      </c>
      <c r="D1804" s="288" t="s">
        <v>20</v>
      </c>
      <c r="E1804" s="167"/>
      <c r="F1804" s="58" t="str">
        <f>VLOOKUP(MOD(C1804,7),'CALENDAR INFO'!$L$2:$M$8,2)</f>
        <v>WED</v>
      </c>
      <c r="G1804" s="214">
        <v>4.83</v>
      </c>
      <c r="H1804" s="422">
        <v>4.8099999999999996</v>
      </c>
      <c r="I1804" s="454">
        <f t="shared" si="162"/>
        <v>-2.0000000000000462E-2</v>
      </c>
      <c r="J1804" s="15" t="s">
        <v>192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3"/>
      <c r="B1805" s="364"/>
      <c r="C1805" s="103">
        <f t="shared" si="159"/>
        <v>45603</v>
      </c>
      <c r="D1805" s="288" t="s">
        <v>20</v>
      </c>
      <c r="E1805" s="167"/>
      <c r="F1805" s="58" t="str">
        <f>VLOOKUP(MOD(C1805,7),'CALENDAR INFO'!$L$2:$M$8,2)</f>
        <v>THU</v>
      </c>
      <c r="G1805" s="214">
        <v>4.83</v>
      </c>
      <c r="H1805" s="422">
        <v>4.82</v>
      </c>
      <c r="I1805" s="454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INFO'!$L$2:$M$8,2)</f>
        <v>FRI</v>
      </c>
      <c r="G1806" s="214">
        <v>4.58</v>
      </c>
      <c r="H1806" s="422">
        <v>4.5999999999999996</v>
      </c>
      <c r="I1806" s="454">
        <f t="shared" si="162"/>
        <v>1.9999999999999574E-2</v>
      </c>
      <c r="J1806" s="15" t="s">
        <v>212</v>
      </c>
      <c r="K1806" s="367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INFO'!$L$2:$M$8,2)</f>
        <v>SAT</v>
      </c>
      <c r="G1807" s="214">
        <v>4.58</v>
      </c>
      <c r="H1807" s="422">
        <v>4.5999999999999996</v>
      </c>
      <c r="I1807" s="454">
        <f t="shared" si="162"/>
        <v>1.9999999999999574E-2</v>
      </c>
      <c r="J1807" s="15" t="s">
        <v>213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INFO'!$L$2:$M$8,2)</f>
        <v>SUN</v>
      </c>
      <c r="G1808" s="214">
        <v>4.58</v>
      </c>
      <c r="H1808" s="422">
        <v>4.5999999999999996</v>
      </c>
      <c r="I1808" s="454">
        <f t="shared" si="162"/>
        <v>1.9999999999999574E-2</v>
      </c>
      <c r="J1808" s="15" t="s">
        <v>152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180</v>
      </c>
      <c r="E1809" s="167"/>
      <c r="F1809" s="58" t="str">
        <f>VLOOKUP(MOD(C1809,7),'CALENDAR INFO'!$L$2:$M$8,2)</f>
        <v>MON</v>
      </c>
      <c r="G1809" s="214">
        <v>4.58</v>
      </c>
      <c r="H1809" s="422">
        <v>4.5999999999999996</v>
      </c>
      <c r="I1809" s="454">
        <f t="shared" si="162"/>
        <v>1.9999999999999574E-2</v>
      </c>
      <c r="J1809" s="15" t="s">
        <v>189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INFO'!$L$2:$M$8,2)</f>
        <v>TUE</v>
      </c>
      <c r="G1810" s="214">
        <v>4.58</v>
      </c>
      <c r="H1810" s="422">
        <v>4.5999999999999996</v>
      </c>
      <c r="I1810" s="454">
        <f t="shared" si="162"/>
        <v>1.9999999999999574E-2</v>
      </c>
      <c r="J1810" s="15" t="s">
        <v>190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INFO'!$L$2:$M$8,2)</f>
        <v>WED</v>
      </c>
      <c r="G1811" s="214">
        <v>4.58</v>
      </c>
      <c r="H1811" s="422">
        <v>4.59</v>
      </c>
      <c r="I1811" s="454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INFO'!$L$2:$M$8,2)</f>
        <v>THU</v>
      </c>
      <c r="G1812" s="214">
        <v>4.58</v>
      </c>
      <c r="H1812" s="422">
        <v>4.58</v>
      </c>
      <c r="I1812" s="454">
        <f t="shared" si="162"/>
        <v>0</v>
      </c>
      <c r="J1812" s="152" t="s">
        <v>193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INFO'!$L$2:$M$8,2)</f>
        <v>FRI</v>
      </c>
      <c r="G1813" s="214">
        <v>4.58</v>
      </c>
      <c r="H1813" s="422">
        <v>4.57</v>
      </c>
      <c r="I1813" s="454">
        <f t="shared" si="162"/>
        <v>-9.9999999999997868E-3</v>
      </c>
      <c r="J1813" s="152" t="s">
        <v>194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INFO'!$L$2:$M$8,2)</f>
        <v>SAT</v>
      </c>
      <c r="G1814" s="214">
        <v>4.58</v>
      </c>
      <c r="H1814" s="422">
        <v>4.57</v>
      </c>
      <c r="I1814" s="454">
        <f t="shared" si="162"/>
        <v>-9.9999999999997868E-3</v>
      </c>
      <c r="J1814" s="152" t="s">
        <v>195</v>
      </c>
      <c r="K1814" s="290">
        <f t="shared" ca="1" si="165"/>
        <v>23</v>
      </c>
      <c r="L1814" s="307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INFO'!$L$2:$M$8,2)</f>
        <v>SUN</v>
      </c>
      <c r="G1815" s="214">
        <v>4.58</v>
      </c>
      <c r="H1815" s="422">
        <v>4.57</v>
      </c>
      <c r="I1815" s="454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INFO'!$L$2:$M$8,2)</f>
        <v>MON</v>
      </c>
      <c r="G1816" s="214">
        <v>4.58</v>
      </c>
      <c r="H1816" s="422">
        <v>4.57</v>
      </c>
      <c r="I1816" s="454">
        <f t="shared" si="162"/>
        <v>-9.9999999999997868E-3</v>
      </c>
      <c r="J1816" s="152" t="s">
        <v>196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INFO'!$L$2:$M$8,2)</f>
        <v>TUE</v>
      </c>
      <c r="G1817" s="214">
        <v>4.58</v>
      </c>
      <c r="H1817" s="422">
        <v>4.57</v>
      </c>
      <c r="I1817" s="454">
        <f t="shared" si="162"/>
        <v>-9.9999999999997868E-3</v>
      </c>
      <c r="J1817" s="152" t="s">
        <v>117</v>
      </c>
      <c r="K1817" s="306">
        <f>K1800</f>
        <v>30</v>
      </c>
      <c r="L1817" s="308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INFO'!$L$2:$M$8,2)</f>
        <v>WED</v>
      </c>
      <c r="G1818" s="214">
        <v>4.58</v>
      </c>
      <c r="H1818" s="422">
        <v>4.5599999999999996</v>
      </c>
      <c r="I1818" s="454">
        <f t="shared" si="162"/>
        <v>-2.0000000000000462E-2</v>
      </c>
      <c r="J1818" s="152" t="s">
        <v>183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INFO'!$L$2:$M$8,2)</f>
        <v>THU</v>
      </c>
      <c r="G1819" s="214">
        <v>4.58</v>
      </c>
      <c r="H1819" s="422">
        <v>4.57</v>
      </c>
      <c r="I1819" s="454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INFO'!$L$2:$M$8,2)</f>
        <v>FRI</v>
      </c>
      <c r="G1820" s="214">
        <v>4.58</v>
      </c>
      <c r="H1820" s="422">
        <v>4.57</v>
      </c>
      <c r="I1820" s="454">
        <f t="shared" si="162"/>
        <v>-9.9999999999997868E-3</v>
      </c>
      <c r="J1820" s="15" t="s">
        <v>186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INFO'!$L$2:$M$8,2)</f>
        <v>SAT</v>
      </c>
      <c r="G1821" s="214">
        <v>4.58</v>
      </c>
      <c r="H1821" s="422">
        <v>4.57</v>
      </c>
      <c r="I1821" s="454">
        <f t="shared" si="162"/>
        <v>-9.9999999999997868E-3</v>
      </c>
      <c r="J1821" s="152" t="s">
        <v>154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INFO'!$L$2:$M$8,2)</f>
        <v>SUN</v>
      </c>
      <c r="G1822" s="214">
        <v>4.58</v>
      </c>
      <c r="H1822" s="422">
        <v>4.57</v>
      </c>
      <c r="I1822" s="454">
        <f t="shared" si="162"/>
        <v>-9.9999999999997868E-3</v>
      </c>
      <c r="J1822" s="15" t="s">
        <v>184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INFO'!$L$2:$M$8,2)</f>
        <v>MON</v>
      </c>
      <c r="G1823" s="214">
        <v>4.58</v>
      </c>
      <c r="H1823" s="422">
        <v>4.58</v>
      </c>
      <c r="I1823" s="454">
        <f t="shared" si="162"/>
        <v>0</v>
      </c>
      <c r="J1823" s="152" t="s">
        <v>185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INFO'!$L$2:$M$8,2)</f>
        <v>TUE</v>
      </c>
      <c r="G1824" s="214">
        <v>4.58</v>
      </c>
      <c r="H1824" s="422">
        <v>4.58</v>
      </c>
      <c r="I1824" s="454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INFO'!$L$2:$M$8,2)</f>
        <v>WED</v>
      </c>
      <c r="G1825" s="214">
        <v>4.58</v>
      </c>
      <c r="H1825" s="422">
        <v>4.57</v>
      </c>
      <c r="I1825" s="454">
        <f t="shared" si="162"/>
        <v>-9.9999999999997868E-3</v>
      </c>
      <c r="J1825" s="152" t="s">
        <v>187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INFO'!$L$2:$M$8,2)</f>
        <v>THU</v>
      </c>
      <c r="G1826" s="214">
        <v>4.58</v>
      </c>
      <c r="H1826" s="422">
        <v>4.57</v>
      </c>
      <c r="I1826" s="454">
        <f t="shared" si="162"/>
        <v>-9.9999999999997868E-3</v>
      </c>
      <c r="J1826" s="152" t="s">
        <v>188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INFO'!$L$2:$M$8,2)</f>
        <v>FRI</v>
      </c>
      <c r="G1827" s="214">
        <v>4.58</v>
      </c>
      <c r="H1827" s="422">
        <v>4.59</v>
      </c>
      <c r="I1827" s="454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INFO'!$L$2:$M$8,2)</f>
        <v>SAT</v>
      </c>
      <c r="G1828" s="215">
        <v>4.58</v>
      </c>
      <c r="H1828" s="423">
        <v>4.59</v>
      </c>
      <c r="I1828" s="455">
        <f t="shared" si="162"/>
        <v>9.9999999999997868E-3</v>
      </c>
      <c r="J1828" s="421" t="s">
        <v>201</v>
      </c>
      <c r="K1828" s="339">
        <f ca="1">100-K1821/K1817</f>
        <v>100</v>
      </c>
      <c r="L1828" s="340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3"/>
      <c r="B1829" s="364"/>
      <c r="C1829" s="103">
        <f t="shared" si="159"/>
        <v>45627</v>
      </c>
      <c r="E1829" s="167"/>
      <c r="F1829" s="58" t="str">
        <f>VLOOKUP(MOD(C1829,7),'CALENDAR INFO'!$L$2:$M$8,2)</f>
        <v>SUN</v>
      </c>
      <c r="G1829" s="214">
        <v>4.58</v>
      </c>
      <c r="H1829" s="422">
        <v>4.59</v>
      </c>
      <c r="I1829" s="454">
        <f t="shared" si="162"/>
        <v>9.9999999999997868E-3</v>
      </c>
      <c r="J1829" s="433" t="s">
        <v>150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3"/>
      <c r="B1830" s="364"/>
      <c r="C1830" s="103">
        <f t="shared" si="159"/>
        <v>45628</v>
      </c>
      <c r="E1830" s="167"/>
      <c r="F1830" s="58" t="str">
        <f>VLOOKUP(MOD(C1830,7),'CALENDAR INFO'!$L$2:$M$8,2)</f>
        <v>MON</v>
      </c>
      <c r="G1830" s="214">
        <v>4.58</v>
      </c>
      <c r="H1830" s="422">
        <v>4.6399999999999997</v>
      </c>
      <c r="I1830" s="454">
        <f t="shared" si="162"/>
        <v>5.9999999999999609E-2</v>
      </c>
      <c r="J1830" s="152" t="s">
        <v>117</v>
      </c>
      <c r="K1830" s="15">
        <f>VLOOKUP(MONTH($C1829),'CALENDAR INFO'!$O$2:$P$13,2)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3"/>
      <c r="B1831" s="364"/>
      <c r="C1831" s="103">
        <f t="shared" si="159"/>
        <v>45629</v>
      </c>
      <c r="E1831" s="167"/>
      <c r="F1831" s="58" t="str">
        <f>VLOOKUP(MOD(C1831,7),'CALENDAR INFO'!$L$2:$M$8,2)</f>
        <v>TUE</v>
      </c>
      <c r="G1831" s="214">
        <v>4.58</v>
      </c>
      <c r="H1831" s="422">
        <v>4.6399999999999997</v>
      </c>
      <c r="I1831" s="454">
        <f t="shared" si="162"/>
        <v>5.9999999999999609E-2</v>
      </c>
      <c r="J1831" s="152" t="s">
        <v>151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3"/>
      <c r="B1832" s="364"/>
      <c r="C1832" s="103">
        <f t="shared" si="159"/>
        <v>45630</v>
      </c>
      <c r="E1832" s="167"/>
      <c r="F1832" s="58" t="str">
        <f>VLOOKUP(MOD(C1832,7),'CALENDAR INFO'!$L$2:$M$8,2)</f>
        <v>WED</v>
      </c>
      <c r="G1832" s="214">
        <v>4.58</v>
      </c>
      <c r="H1832" s="422">
        <v>4.59</v>
      </c>
      <c r="I1832" s="454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3"/>
      <c r="B1833" s="364"/>
      <c r="C1833" s="103">
        <f t="shared" si="159"/>
        <v>45631</v>
      </c>
      <c r="E1833" s="167"/>
      <c r="F1833" s="58" t="str">
        <f>VLOOKUP(MOD(C1833,7),'CALENDAR INFO'!$L$2:$M$8,2)</f>
        <v>THU</v>
      </c>
      <c r="G1833" s="214">
        <v>4.58</v>
      </c>
      <c r="H1833" s="422">
        <v>4.59</v>
      </c>
      <c r="I1833" s="454">
        <f t="shared" si="162"/>
        <v>9.9999999999997868E-3</v>
      </c>
      <c r="J1833" s="152" t="s">
        <v>191</v>
      </c>
      <c r="K1833" s="365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3"/>
      <c r="B1834" s="364"/>
      <c r="C1834" s="103">
        <f t="shared" si="159"/>
        <v>45632</v>
      </c>
      <c r="E1834" s="167"/>
      <c r="F1834" s="58" t="str">
        <f>VLOOKUP(MOD(C1834,7),'CALENDAR INFO'!$L$2:$M$8,2)</f>
        <v>FRI</v>
      </c>
      <c r="G1834" s="214">
        <v>4.58</v>
      </c>
      <c r="H1834" s="422">
        <v>4.5999999999999996</v>
      </c>
      <c r="I1834" s="454">
        <f t="shared" si="162"/>
        <v>1.9999999999999574E-2</v>
      </c>
      <c r="J1834" s="152" t="s">
        <v>192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3"/>
      <c r="B1835" s="364"/>
      <c r="C1835" s="103">
        <f t="shared" si="159"/>
        <v>45633</v>
      </c>
      <c r="E1835" s="167"/>
      <c r="F1835" s="58" t="str">
        <f>VLOOKUP(MOD(C1835,7),'CALENDAR INFO'!$L$2:$M$8,2)</f>
        <v>SAT</v>
      </c>
      <c r="G1835" s="214">
        <v>4.58</v>
      </c>
      <c r="H1835" s="422">
        <v>4.5999999999999996</v>
      </c>
      <c r="I1835" s="454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3"/>
      <c r="B1836" s="364"/>
      <c r="C1836" s="103">
        <f t="shared" si="159"/>
        <v>45634</v>
      </c>
      <c r="E1836" s="167"/>
      <c r="F1836" s="58" t="str">
        <f>VLOOKUP(MOD(C1836,7),'CALENDAR INFO'!$L$2:$M$8,2)</f>
        <v>SUN</v>
      </c>
      <c r="G1836" s="214">
        <v>4.58</v>
      </c>
      <c r="H1836" s="422">
        <v>4.5999999999999996</v>
      </c>
      <c r="I1836" s="454">
        <f t="shared" si="162"/>
        <v>1.9999999999999574E-2</v>
      </c>
      <c r="J1836" s="15" t="s">
        <v>212</v>
      </c>
      <c r="K1836" s="15" t="s">
        <v>226</v>
      </c>
      <c r="L1836" s="179" t="s">
        <v>227</v>
      </c>
      <c r="M1836" s="211">
        <f t="shared" si="166"/>
        <v>0</v>
      </c>
      <c r="N1836" s="64">
        <f t="shared" si="164"/>
        <v>1</v>
      </c>
    </row>
    <row r="1837" spans="1:16">
      <c r="A1837" s="363"/>
      <c r="B1837" s="364"/>
      <c r="C1837" s="103">
        <f t="shared" si="159"/>
        <v>45635</v>
      </c>
      <c r="E1837" s="167"/>
      <c r="F1837" s="58" t="str">
        <f>VLOOKUP(MOD(C1837,7),'CALENDAR INFO'!$L$2:$M$8,2)</f>
        <v>MON</v>
      </c>
      <c r="G1837" s="214">
        <v>4.58</v>
      </c>
      <c r="H1837" s="422">
        <v>4.63</v>
      </c>
      <c r="I1837" s="454">
        <f t="shared" si="162"/>
        <v>4.9999999999999822E-2</v>
      </c>
      <c r="J1837" s="15" t="s">
        <v>213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3"/>
      <c r="B1838" s="364"/>
      <c r="C1838" s="103">
        <f t="shared" si="159"/>
        <v>45636</v>
      </c>
      <c r="E1838" s="167"/>
      <c r="F1838" s="58" t="str">
        <f>VLOOKUP(MOD(C1838,7),'CALENDAR INFO'!$L$2:$M$8,2)</f>
        <v>TUE</v>
      </c>
      <c r="G1838" s="214">
        <v>4.58</v>
      </c>
      <c r="H1838" s="422">
        <v>4.6399999999999997</v>
      </c>
      <c r="I1838" s="454">
        <f t="shared" si="162"/>
        <v>5.9999999999999609E-2</v>
      </c>
      <c r="J1838" s="152" t="s">
        <v>152</v>
      </c>
      <c r="K1838" s="311" t="str">
        <f>_xlfn.CONCAT("A",TEXT(K1829,0),":","A",TEXT(K1831,0))</f>
        <v>A1829:A1859</v>
      </c>
      <c r="L1838" s="312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3"/>
      <c r="B1839" s="364"/>
      <c r="C1839" s="103">
        <f t="shared" si="159"/>
        <v>45637</v>
      </c>
      <c r="E1839" s="167" t="s">
        <v>19</v>
      </c>
      <c r="F1839" s="58" t="str">
        <f>VLOOKUP(MOD(C1839,7),'CALENDAR INFO'!$L$2:$M$8,2)</f>
        <v>WED</v>
      </c>
      <c r="G1839" s="214">
        <v>4.58</v>
      </c>
      <c r="H1839" s="422">
        <v>4.62</v>
      </c>
      <c r="I1839" s="454">
        <f t="shared" si="162"/>
        <v>4.0000000000000036E-2</v>
      </c>
      <c r="J1839" s="152" t="s">
        <v>189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3"/>
      <c r="B1840" s="364"/>
      <c r="C1840" s="103">
        <f t="shared" si="159"/>
        <v>45638</v>
      </c>
      <c r="E1840" s="170" t="s">
        <v>18</v>
      </c>
      <c r="F1840" s="58" t="str">
        <f>VLOOKUP(MOD(C1840,7),'CALENDAR INFO'!$L$2:$M$8,2)</f>
        <v>THU</v>
      </c>
      <c r="G1840" s="214">
        <v>4.58</v>
      </c>
      <c r="H1840" s="422">
        <v>4.62</v>
      </c>
      <c r="I1840" s="454">
        <f t="shared" si="162"/>
        <v>4.0000000000000036E-2</v>
      </c>
      <c r="J1840" s="152" t="s">
        <v>190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3"/>
      <c r="B1841" s="364"/>
      <c r="C1841" s="103">
        <f t="shared" si="159"/>
        <v>45639</v>
      </c>
      <c r="E1841" s="170"/>
      <c r="F1841" s="58" t="str">
        <f>VLOOKUP(MOD(C1841,7),'CALENDAR INFO'!$L$2:$M$8,2)</f>
        <v>FRI</v>
      </c>
      <c r="G1841" s="214">
        <v>4.58</v>
      </c>
      <c r="H1841" s="422">
        <v>4.5999999999999996</v>
      </c>
      <c r="I1841" s="454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3"/>
      <c r="B1842" s="364"/>
      <c r="C1842" s="103">
        <f t="shared" si="159"/>
        <v>45640</v>
      </c>
      <c r="E1842" s="170"/>
      <c r="F1842" s="58" t="str">
        <f>VLOOKUP(MOD(C1842,7),'CALENDAR INFO'!$L$2:$M$8,2)</f>
        <v>SAT</v>
      </c>
      <c r="G1842" s="214">
        <v>4.58</v>
      </c>
      <c r="H1842" s="422">
        <v>4.5999999999999996</v>
      </c>
      <c r="I1842" s="454">
        <f t="shared" si="162"/>
        <v>1.9999999999999574E-2</v>
      </c>
      <c r="J1842" s="15" t="s">
        <v>193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3"/>
      <c r="B1843" s="364"/>
      <c r="C1843" s="103">
        <f t="shared" si="159"/>
        <v>45641</v>
      </c>
      <c r="E1843" s="170"/>
      <c r="F1843" s="58" t="str">
        <f>VLOOKUP(MOD(C1843,7),'CALENDAR INFO'!$L$2:$M$8,2)</f>
        <v>SUN</v>
      </c>
      <c r="G1843" s="214">
        <v>4.58</v>
      </c>
      <c r="H1843" s="422">
        <v>4.5999999999999996</v>
      </c>
      <c r="I1843" s="454">
        <f t="shared" si="162"/>
        <v>1.9999999999999574E-2</v>
      </c>
      <c r="J1843" s="152" t="s">
        <v>194</v>
      </c>
      <c r="K1843" s="305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3"/>
      <c r="B1844" s="364"/>
      <c r="C1844" s="103">
        <f t="shared" si="159"/>
        <v>45642</v>
      </c>
      <c r="E1844" s="170"/>
      <c r="F1844" s="58" t="str">
        <f>VLOOKUP(MOD(C1844,7),'CALENDAR INFO'!$L$2:$M$8,2)</f>
        <v>MON</v>
      </c>
      <c r="G1844" s="214">
        <v>4.58</v>
      </c>
      <c r="H1844" s="422">
        <v>4.6500000000000004</v>
      </c>
      <c r="I1844" s="454">
        <f t="shared" si="162"/>
        <v>7.0000000000000284E-2</v>
      </c>
      <c r="J1844" s="15" t="s">
        <v>195</v>
      </c>
      <c r="K1844" s="305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3"/>
      <c r="B1845" s="364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INFO'!$L$2:$M$8,2)</f>
        <v>TUE</v>
      </c>
      <c r="G1845" s="214">
        <v>4.58</v>
      </c>
      <c r="H1845" s="422">
        <v>4.62</v>
      </c>
      <c r="I1845" s="454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3"/>
      <c r="B1846" s="364"/>
      <c r="C1846" s="103">
        <f t="shared" si="168"/>
        <v>45644</v>
      </c>
      <c r="D1846" s="153" t="s">
        <v>20</v>
      </c>
      <c r="E1846" s="170"/>
      <c r="F1846" s="58" t="str">
        <f>VLOOKUP(MOD(C1846,7),'CALENDAR INFO'!$L$2:$M$8,2)</f>
        <v>WED</v>
      </c>
      <c r="G1846" s="214">
        <v>4.58</v>
      </c>
      <c r="H1846" s="422">
        <v>4.57</v>
      </c>
      <c r="I1846" s="454">
        <f t="shared" si="162"/>
        <v>-9.9999999999997868E-3</v>
      </c>
      <c r="J1846" s="152" t="s">
        <v>196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INFO'!$L$2:$M$8,2)</f>
        <v>THU</v>
      </c>
      <c r="G1847" s="214">
        <v>4.33</v>
      </c>
      <c r="H1847" s="422">
        <v>4.3</v>
      </c>
      <c r="I1847" s="454">
        <f t="shared" si="162"/>
        <v>-3.0000000000000249E-2</v>
      </c>
      <c r="J1847" s="152" t="s">
        <v>117</v>
      </c>
      <c r="K1847" s="313">
        <f>K1830</f>
        <v>31</v>
      </c>
      <c r="L1847" s="314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INFO'!$L$2:$M$8,2)</f>
        <v>FRI</v>
      </c>
      <c r="G1848" s="214">
        <v>4.33</v>
      </c>
      <c r="H1848" s="422">
        <v>4.3</v>
      </c>
      <c r="I1848" s="454">
        <f t="shared" si="162"/>
        <v>-3.0000000000000249E-2</v>
      </c>
      <c r="J1848" s="152" t="s">
        <v>183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INFO'!$L$2:$M$8,2)</f>
        <v>SAT</v>
      </c>
      <c r="G1849" s="214">
        <v>4.33</v>
      </c>
      <c r="H1849" s="422">
        <v>4.3</v>
      </c>
      <c r="I1849" s="454">
        <f t="shared" si="162"/>
        <v>-3.0000000000000249E-2</v>
      </c>
      <c r="J1849" s="152"/>
      <c r="K1849" s="305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INFO'!$L$2:$M$8,2)</f>
        <v>SUN</v>
      </c>
      <c r="G1850" s="214">
        <v>4.33</v>
      </c>
      <c r="H1850" s="422">
        <v>4.3</v>
      </c>
      <c r="I1850" s="454">
        <f t="shared" si="162"/>
        <v>-3.0000000000000249E-2</v>
      </c>
      <c r="J1850" s="152" t="s">
        <v>186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INFO'!$L$2:$M$8,2)</f>
        <v>MON</v>
      </c>
      <c r="G1851" s="214">
        <v>4.33</v>
      </c>
      <c r="H1851" s="422">
        <v>4.3099999999999996</v>
      </c>
      <c r="I1851" s="454">
        <f t="shared" si="162"/>
        <v>-2.0000000000000462E-2</v>
      </c>
      <c r="J1851" s="15" t="s">
        <v>154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INFO'!$L$2:$M$8,2)</f>
        <v>TUE</v>
      </c>
      <c r="G1852" s="214">
        <v>4.33</v>
      </c>
      <c r="H1852" s="422">
        <v>4.4000000000000004</v>
      </c>
      <c r="I1852" s="454">
        <f t="shared" si="162"/>
        <v>7.0000000000000284E-2</v>
      </c>
      <c r="J1852" s="15" t="s">
        <v>184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110</v>
      </c>
      <c r="E1853" s="170" t="s">
        <v>19</v>
      </c>
      <c r="F1853" s="58" t="str">
        <f>VLOOKUP(MOD(C1853,7),'CALENDAR INFO'!$L$2:$M$8,2)</f>
        <v>WED</v>
      </c>
      <c r="G1853" s="214">
        <v>4.33</v>
      </c>
      <c r="H1853" s="422">
        <v>4.4000000000000004</v>
      </c>
      <c r="I1853" s="454">
        <f t="shared" si="162"/>
        <v>7.0000000000000284E-2</v>
      </c>
      <c r="J1853" s="15" t="s">
        <v>185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INFO'!$L$2:$M$8,2)</f>
        <v>THU</v>
      </c>
      <c r="G1854" s="214">
        <v>4.33</v>
      </c>
      <c r="H1854" s="422">
        <v>4.53</v>
      </c>
      <c r="I1854" s="454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INFO'!$L$2:$M$8,2)</f>
        <v>FRI</v>
      </c>
      <c r="G1855" s="214">
        <v>4.33</v>
      </c>
      <c r="H1855" s="422">
        <v>4.46</v>
      </c>
      <c r="I1855" s="454">
        <f t="shared" si="162"/>
        <v>0.12999999999999989</v>
      </c>
      <c r="J1855" s="15" t="s">
        <v>187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INFO'!$L$2:$M$8,2)</f>
        <v>SAT</v>
      </c>
      <c r="G1856" s="214">
        <v>4.33</v>
      </c>
      <c r="H1856" s="422">
        <v>4.46</v>
      </c>
      <c r="I1856" s="454">
        <f t="shared" si="162"/>
        <v>0.12999999999999989</v>
      </c>
      <c r="J1856" s="15" t="s">
        <v>188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INFO'!$L$2:$M$8,2)</f>
        <v>SUN</v>
      </c>
      <c r="G1857" s="214">
        <v>4.33</v>
      </c>
      <c r="H1857" s="422">
        <v>4.46</v>
      </c>
      <c r="I1857" s="454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INFO'!$L$2:$M$8,2)</f>
        <v>MON</v>
      </c>
      <c r="G1858" s="214">
        <v>4.33</v>
      </c>
      <c r="H1858" s="422">
        <v>4.37</v>
      </c>
      <c r="I1858" s="454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INFO'!$L$2:$M$8,2)</f>
        <v>TUE</v>
      </c>
      <c r="G1859" s="215">
        <v>4.33</v>
      </c>
      <c r="H1859" s="423">
        <v>4.49</v>
      </c>
      <c r="I1859" s="455">
        <f t="shared" ref="I1859:I1922" si="169">H1859-G1859</f>
        <v>0.16000000000000014</v>
      </c>
      <c r="J1859" s="421" t="s">
        <v>201</v>
      </c>
      <c r="K1859" s="339">
        <f ca="1">100-K1851/K1847</f>
        <v>100</v>
      </c>
      <c r="L1859" s="340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3"/>
      <c r="B1860" s="364"/>
      <c r="C1860" s="103">
        <f t="shared" ref="C1860:C1923" si="170">C1859+1</f>
        <v>45658</v>
      </c>
      <c r="D1860" s="173" t="s">
        <v>114</v>
      </c>
      <c r="E1860" s="167"/>
      <c r="F1860" s="58" t="str">
        <f>VLOOKUP(MOD(C1860,7),'CALENDAR INFO'!$L$2:$M$8,2)</f>
        <v>WED</v>
      </c>
      <c r="G1860" s="214">
        <v>4.33</v>
      </c>
      <c r="H1860" s="422">
        <v>4.49</v>
      </c>
      <c r="I1860" s="454">
        <f t="shared" si="169"/>
        <v>0.16000000000000014</v>
      </c>
      <c r="J1860" s="15" t="s">
        <v>150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3"/>
      <c r="B1861" s="364"/>
      <c r="C1861" s="103">
        <f t="shared" si="170"/>
        <v>45659</v>
      </c>
      <c r="E1861" s="167"/>
      <c r="F1861" s="58" t="str">
        <f>VLOOKUP(MOD(C1861,7),'CALENDAR INFO'!$L$2:$M$8,2)</f>
        <v>THU</v>
      </c>
      <c r="G1861" s="214">
        <v>4.33</v>
      </c>
      <c r="H1861" s="422">
        <v>4.4000000000000004</v>
      </c>
      <c r="I1861" s="454">
        <f t="shared" si="169"/>
        <v>7.0000000000000284E-2</v>
      </c>
      <c r="J1861" s="15" t="s">
        <v>117</v>
      </c>
      <c r="K1861" s="15">
        <f>VLOOKUP(MONTH($C1860),'CALENDAR INFO'!$O$2:$P$13,2)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3"/>
      <c r="B1862" s="364"/>
      <c r="C1862" s="103">
        <f t="shared" si="170"/>
        <v>45660</v>
      </c>
      <c r="E1862" s="167"/>
      <c r="F1862" s="58" t="str">
        <f>VLOOKUP(MOD(C1862,7),'CALENDAR INFO'!$L$2:$M$8,2)</f>
        <v>FRI</v>
      </c>
      <c r="G1862" s="214">
        <v>4.33</v>
      </c>
      <c r="H1862" s="422">
        <v>4.3099999999999996</v>
      </c>
      <c r="I1862" s="454">
        <f t="shared" si="169"/>
        <v>-2.0000000000000462E-2</v>
      </c>
      <c r="J1862" s="15" t="s">
        <v>151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3"/>
      <c r="B1863" s="364"/>
      <c r="C1863" s="103">
        <f t="shared" si="170"/>
        <v>45661</v>
      </c>
      <c r="E1863" s="167"/>
      <c r="F1863" s="58" t="str">
        <f>VLOOKUP(MOD(C1863,7),'CALENDAR INFO'!$L$2:$M$8,2)</f>
        <v>SAT</v>
      </c>
      <c r="G1863" s="214">
        <v>4.33</v>
      </c>
      <c r="H1863" s="422">
        <v>4.3099999999999996</v>
      </c>
      <c r="I1863" s="454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3"/>
      <c r="B1864" s="364"/>
      <c r="C1864" s="103">
        <f t="shared" si="170"/>
        <v>45662</v>
      </c>
      <c r="E1864" s="167"/>
      <c r="F1864" s="58" t="str">
        <f>VLOOKUP(MOD(C1864,7),'CALENDAR INFO'!$L$2:$M$8,2)</f>
        <v>SUN</v>
      </c>
      <c r="G1864" s="214">
        <v>4.33</v>
      </c>
      <c r="H1864" s="422">
        <v>4.3099999999999996</v>
      </c>
      <c r="I1864" s="454">
        <f t="shared" si="169"/>
        <v>-2.0000000000000462E-2</v>
      </c>
      <c r="J1864" s="15" t="s">
        <v>191</v>
      </c>
      <c r="K1864" s="366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3"/>
      <c r="B1865" s="364"/>
      <c r="C1865" s="103">
        <f t="shared" si="170"/>
        <v>45663</v>
      </c>
      <c r="E1865" s="167"/>
      <c r="F1865" s="58" t="str">
        <f>VLOOKUP(MOD(C1865,7),'CALENDAR INFO'!$L$2:$M$8,2)</f>
        <v>MON</v>
      </c>
      <c r="G1865" s="214">
        <v>4.33</v>
      </c>
      <c r="H1865" s="422">
        <v>4.2699999999999996</v>
      </c>
      <c r="I1865" s="454">
        <f t="shared" si="169"/>
        <v>-6.0000000000000497E-2</v>
      </c>
      <c r="J1865" s="15" t="s">
        <v>192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3"/>
      <c r="B1866" s="364"/>
      <c r="C1866" s="103">
        <f t="shared" si="170"/>
        <v>45664</v>
      </c>
      <c r="E1866" s="167"/>
      <c r="F1866" s="58" t="str">
        <f>VLOOKUP(MOD(C1866,7),'CALENDAR INFO'!$L$2:$M$8,2)</f>
        <v>TUE</v>
      </c>
      <c r="G1866" s="214">
        <v>4.33</v>
      </c>
      <c r="H1866" s="422">
        <v>4.2699999999999996</v>
      </c>
      <c r="I1866" s="454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3"/>
      <c r="B1867" s="364"/>
      <c r="C1867" s="103">
        <f t="shared" si="170"/>
        <v>45665</v>
      </c>
      <c r="E1867" s="167" t="s">
        <v>19</v>
      </c>
      <c r="F1867" s="58" t="str">
        <f>VLOOKUP(MOD(C1867,7),'CALENDAR INFO'!$L$2:$M$8,2)</f>
        <v>WED</v>
      </c>
      <c r="G1867" s="214">
        <v>4.33</v>
      </c>
      <c r="H1867" s="422">
        <v>4.29</v>
      </c>
      <c r="I1867" s="454">
        <f t="shared" si="169"/>
        <v>-4.0000000000000036E-2</v>
      </c>
      <c r="J1867" s="15" t="s">
        <v>212</v>
      </c>
      <c r="K1867" s="15" t="s">
        <v>222</v>
      </c>
      <c r="L1867" s="179" t="s">
        <v>223</v>
      </c>
      <c r="M1867" s="113">
        <f t="shared" si="171"/>
        <v>1</v>
      </c>
      <c r="N1867" s="64">
        <f t="shared" si="164"/>
        <v>1.0001191666666667</v>
      </c>
    </row>
    <row r="1868" spans="1:14">
      <c r="A1868" s="363"/>
      <c r="B1868" s="364"/>
      <c r="C1868" s="103">
        <f t="shared" si="170"/>
        <v>45666</v>
      </c>
      <c r="E1868" s="170" t="s">
        <v>18</v>
      </c>
      <c r="F1868" s="58" t="str">
        <f>VLOOKUP(MOD(C1868,7),'CALENDAR INFO'!$L$2:$M$8,2)</f>
        <v>THU</v>
      </c>
      <c r="G1868" s="214">
        <v>4.33</v>
      </c>
      <c r="H1868" s="422">
        <v>4.3</v>
      </c>
      <c r="I1868" s="454">
        <f t="shared" si="169"/>
        <v>-3.0000000000000249E-2</v>
      </c>
      <c r="J1868" s="15" t="s">
        <v>213</v>
      </c>
      <c r="K1868" s="177" t="s">
        <v>216</v>
      </c>
      <c r="L1868" s="197" t="s">
        <v>219</v>
      </c>
      <c r="M1868" s="113">
        <f t="shared" si="171"/>
        <v>1</v>
      </c>
      <c r="N1868" s="64">
        <f t="shared" si="164"/>
        <v>1.0001194444444443</v>
      </c>
    </row>
    <row r="1869" spans="1:14">
      <c r="A1869" s="363"/>
      <c r="B1869" s="364"/>
      <c r="C1869" s="103">
        <f t="shared" si="170"/>
        <v>45667</v>
      </c>
      <c r="E1869" s="170"/>
      <c r="F1869" s="58" t="str">
        <f>VLOOKUP(MOD(C1869,7),'CALENDAR INFO'!$L$2:$M$8,2)</f>
        <v>FRI</v>
      </c>
      <c r="G1869" s="214">
        <v>4.33</v>
      </c>
      <c r="H1869" s="422">
        <v>4.3</v>
      </c>
      <c r="I1869" s="454">
        <f t="shared" si="169"/>
        <v>-3.0000000000000249E-2</v>
      </c>
      <c r="J1869" s="15" t="s">
        <v>152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3"/>
      <c r="B1870" s="364"/>
      <c r="C1870" s="103">
        <f t="shared" si="170"/>
        <v>45668</v>
      </c>
      <c r="E1870" s="170"/>
      <c r="F1870" s="58" t="str">
        <f>VLOOKUP(MOD(C1870,7),'CALENDAR INFO'!$L$2:$M$8,2)</f>
        <v>SAT</v>
      </c>
      <c r="G1870" s="214">
        <v>4.33</v>
      </c>
      <c r="H1870" s="422">
        <v>4.3</v>
      </c>
      <c r="I1870" s="454">
        <f t="shared" si="169"/>
        <v>-3.0000000000000249E-2</v>
      </c>
      <c r="J1870" s="15" t="s">
        <v>189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3"/>
      <c r="B1871" s="364"/>
      <c r="C1871" s="103">
        <f t="shared" si="170"/>
        <v>45669</v>
      </c>
      <c r="E1871" s="170"/>
      <c r="F1871" s="58" t="str">
        <f>VLOOKUP(MOD(C1871,7),'CALENDAR INFO'!$L$2:$M$8,2)</f>
        <v>SUN</v>
      </c>
      <c r="G1871" s="214">
        <v>4.33</v>
      </c>
      <c r="H1871" s="422">
        <v>4.3</v>
      </c>
      <c r="I1871" s="454">
        <f t="shared" si="169"/>
        <v>-3.0000000000000249E-2</v>
      </c>
      <c r="J1871" s="15" t="s">
        <v>190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3"/>
      <c r="B1872" s="364"/>
      <c r="C1872" s="103">
        <f t="shared" si="170"/>
        <v>45670</v>
      </c>
      <c r="E1872" s="170"/>
      <c r="F1872" s="58" t="str">
        <f>VLOOKUP(MOD(C1872,7),'CALENDAR INFO'!$L$2:$M$8,2)</f>
        <v>MON</v>
      </c>
      <c r="G1872" s="214">
        <v>4.33</v>
      </c>
      <c r="H1872" s="422">
        <v>4.29</v>
      </c>
      <c r="I1872" s="454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3"/>
      <c r="B1873" s="364"/>
      <c r="C1873" s="103">
        <f t="shared" si="170"/>
        <v>45671</v>
      </c>
      <c r="E1873" s="170"/>
      <c r="F1873" s="58" t="str">
        <f>VLOOKUP(MOD(C1873,7),'CALENDAR INFO'!$L$2:$M$8,2)</f>
        <v>TUE</v>
      </c>
      <c r="G1873" s="214">
        <v>4.33</v>
      </c>
      <c r="H1873" s="422">
        <v>4.28</v>
      </c>
      <c r="I1873" s="454">
        <f t="shared" si="169"/>
        <v>-4.9999999999999822E-2</v>
      </c>
      <c r="J1873" s="15" t="s">
        <v>193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3"/>
      <c r="B1874" s="364"/>
      <c r="C1874" s="103">
        <f t="shared" si="170"/>
        <v>45672</v>
      </c>
      <c r="E1874" s="170"/>
      <c r="F1874" s="58" t="str">
        <f>VLOOKUP(MOD(C1874,7),'CALENDAR INFO'!$L$2:$M$8,2)</f>
        <v>WED</v>
      </c>
      <c r="G1874" s="214">
        <v>4.33</v>
      </c>
      <c r="H1874" s="422">
        <v>4.28</v>
      </c>
      <c r="I1874" s="454">
        <f t="shared" si="169"/>
        <v>-4.9999999999999822E-2</v>
      </c>
      <c r="J1874" s="15" t="s">
        <v>194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3"/>
      <c r="B1875" s="364"/>
      <c r="C1875" s="103">
        <f t="shared" si="170"/>
        <v>45673</v>
      </c>
      <c r="E1875" s="170"/>
      <c r="F1875" s="58" t="str">
        <f>VLOOKUP(MOD(C1875,7),'CALENDAR INFO'!$L$2:$M$8,2)</f>
        <v>THU</v>
      </c>
      <c r="G1875" s="214">
        <v>4.33</v>
      </c>
      <c r="H1875" s="422">
        <v>4.29</v>
      </c>
      <c r="I1875" s="454">
        <f t="shared" si="169"/>
        <v>-4.0000000000000036E-2</v>
      </c>
      <c r="J1875" s="15" t="s">
        <v>195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3"/>
      <c r="B1876" s="364"/>
      <c r="C1876" s="103">
        <f t="shared" si="170"/>
        <v>45674</v>
      </c>
      <c r="E1876" s="170"/>
      <c r="F1876" s="58" t="str">
        <f>VLOOKUP(MOD(C1876,7),'CALENDAR INFO'!$L$2:$M$8,2)</f>
        <v>FRI</v>
      </c>
      <c r="G1876" s="214">
        <v>4.33</v>
      </c>
      <c r="H1876" s="422">
        <v>4.29</v>
      </c>
      <c r="I1876" s="454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3"/>
      <c r="B1877" s="364"/>
      <c r="C1877" s="103">
        <f t="shared" si="170"/>
        <v>45675</v>
      </c>
      <c r="E1877" s="170"/>
      <c r="F1877" s="58" t="str">
        <f>VLOOKUP(MOD(C1877,7),'CALENDAR INFO'!$L$2:$M$8,2)</f>
        <v>SAT</v>
      </c>
      <c r="G1877" s="214">
        <v>4.33</v>
      </c>
      <c r="H1877" s="422">
        <v>4.29</v>
      </c>
      <c r="I1877" s="454">
        <f t="shared" si="169"/>
        <v>-4.0000000000000036E-2</v>
      </c>
      <c r="J1877" s="15" t="s">
        <v>196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3"/>
      <c r="B1878" s="364"/>
      <c r="C1878" s="103">
        <f t="shared" si="170"/>
        <v>45676</v>
      </c>
      <c r="E1878" s="170"/>
      <c r="F1878" s="58" t="str">
        <f>VLOOKUP(MOD(C1878,7),'CALENDAR INFO'!$L$2:$M$8,2)</f>
        <v>SUN</v>
      </c>
      <c r="G1878" s="214">
        <v>4.33</v>
      </c>
      <c r="H1878" s="422">
        <v>4.29</v>
      </c>
      <c r="I1878" s="454">
        <f t="shared" si="169"/>
        <v>-4.0000000000000036E-2</v>
      </c>
      <c r="J1878" s="15" t="s">
        <v>117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3"/>
      <c r="B1879" s="364"/>
      <c r="C1879" s="103">
        <f t="shared" si="170"/>
        <v>45677</v>
      </c>
      <c r="D1879" s="173" t="s">
        <v>102</v>
      </c>
      <c r="E1879" s="170"/>
      <c r="F1879" s="58" t="str">
        <f>VLOOKUP(MOD(C1879,7),'CALENDAR INFO'!$L$2:$M$8,2)</f>
        <v>MON</v>
      </c>
      <c r="G1879" s="214">
        <v>4.33</v>
      </c>
      <c r="H1879" s="422">
        <v>4.29</v>
      </c>
      <c r="I1879" s="454">
        <f t="shared" si="169"/>
        <v>-4.0000000000000036E-2</v>
      </c>
      <c r="J1879" s="15" t="s">
        <v>183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3"/>
      <c r="B1880" s="364"/>
      <c r="C1880" s="103">
        <f t="shared" si="170"/>
        <v>45678</v>
      </c>
      <c r="E1880" s="170"/>
      <c r="F1880" s="58" t="str">
        <f>VLOOKUP(MOD(C1880,7),'CALENDAR INFO'!$L$2:$M$8,2)</f>
        <v>TUE</v>
      </c>
      <c r="G1880" s="214">
        <v>4.33</v>
      </c>
      <c r="H1880" s="422">
        <v>4.29</v>
      </c>
      <c r="I1880" s="454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3"/>
      <c r="B1881" s="364"/>
      <c r="C1881" s="103">
        <f t="shared" si="170"/>
        <v>45679</v>
      </c>
      <c r="E1881" s="170" t="s">
        <v>19</v>
      </c>
      <c r="F1881" s="58" t="str">
        <f>VLOOKUP(MOD(C1881,7),'CALENDAR INFO'!$L$2:$M$8,2)</f>
        <v>WED</v>
      </c>
      <c r="G1881" s="214">
        <v>4.33</v>
      </c>
      <c r="H1881" s="422">
        <v>4.3</v>
      </c>
      <c r="I1881" s="454">
        <f t="shared" si="169"/>
        <v>-3.0000000000000249E-2</v>
      </c>
      <c r="J1881" s="15" t="s">
        <v>186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3"/>
      <c r="B1882" s="364"/>
      <c r="C1882" s="103">
        <f t="shared" si="170"/>
        <v>45680</v>
      </c>
      <c r="E1882" s="167" t="s">
        <v>18</v>
      </c>
      <c r="F1882" s="58" t="str">
        <f>VLOOKUP(MOD(C1882,7),'CALENDAR INFO'!$L$2:$M$8,2)</f>
        <v>THU</v>
      </c>
      <c r="G1882" s="214">
        <v>4.33</v>
      </c>
      <c r="H1882" s="422">
        <v>4.3499999999999996</v>
      </c>
      <c r="I1882" s="454">
        <f t="shared" si="169"/>
        <v>1.9999999999999574E-2</v>
      </c>
      <c r="J1882" s="15" t="s">
        <v>154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3"/>
      <c r="B1883" s="364"/>
      <c r="C1883" s="103">
        <f t="shared" si="170"/>
        <v>45681</v>
      </c>
      <c r="E1883" s="167"/>
      <c r="F1883" s="58" t="str">
        <f>VLOOKUP(MOD(C1883,7),'CALENDAR INFO'!$L$2:$M$8,2)</f>
        <v>FRI</v>
      </c>
      <c r="G1883" s="214">
        <v>4.33</v>
      </c>
      <c r="H1883" s="422">
        <v>4.34</v>
      </c>
      <c r="I1883" s="454">
        <f t="shared" si="169"/>
        <v>9.9999999999997868E-3</v>
      </c>
      <c r="J1883" s="15" t="s">
        <v>184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3"/>
      <c r="B1884" s="364"/>
      <c r="C1884" s="103">
        <f t="shared" si="170"/>
        <v>45682</v>
      </c>
      <c r="E1884" s="167"/>
      <c r="F1884" s="58" t="str">
        <f>VLOOKUP(MOD(C1884,7),'CALENDAR INFO'!$L$2:$M$8,2)</f>
        <v>SAT</v>
      </c>
      <c r="G1884" s="214">
        <v>4.33</v>
      </c>
      <c r="H1884" s="422">
        <v>4.34</v>
      </c>
      <c r="I1884" s="454">
        <f t="shared" si="169"/>
        <v>9.9999999999997868E-3</v>
      </c>
      <c r="J1884" s="15" t="s">
        <v>185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3"/>
      <c r="B1885" s="364"/>
      <c r="C1885" s="103">
        <f t="shared" si="170"/>
        <v>45683</v>
      </c>
      <c r="E1885" s="167"/>
      <c r="F1885" s="58" t="str">
        <f>VLOOKUP(MOD(C1885,7),'CALENDAR INFO'!$L$2:$M$8,2)</f>
        <v>SUN</v>
      </c>
      <c r="G1885" s="214">
        <v>4.33</v>
      </c>
      <c r="H1885" s="422">
        <v>4.34</v>
      </c>
      <c r="I1885" s="454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3"/>
      <c r="B1886" s="364"/>
      <c r="C1886" s="103">
        <f t="shared" si="170"/>
        <v>45684</v>
      </c>
      <c r="E1886" s="167"/>
      <c r="F1886" s="58" t="str">
        <f>VLOOKUP(MOD(C1886,7),'CALENDAR INFO'!$L$2:$M$8,2)</f>
        <v>MON</v>
      </c>
      <c r="G1886" s="214">
        <v>4.33</v>
      </c>
      <c r="H1886" s="422">
        <v>4.34</v>
      </c>
      <c r="I1886" s="454">
        <f t="shared" si="169"/>
        <v>9.9999999999997868E-3</v>
      </c>
      <c r="J1886" s="15" t="s">
        <v>220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3"/>
      <c r="B1887" s="364"/>
      <c r="C1887" s="103">
        <f t="shared" si="170"/>
        <v>45685</v>
      </c>
      <c r="D1887" s="153" t="s">
        <v>20</v>
      </c>
      <c r="E1887" s="167"/>
      <c r="F1887" s="58" t="str">
        <f>VLOOKUP(MOD(C1887,7),'CALENDAR INFO'!$L$2:$M$8,2)</f>
        <v>TUE</v>
      </c>
      <c r="G1887" s="214">
        <v>4.33</v>
      </c>
      <c r="H1887" s="422">
        <v>4.3499999999999996</v>
      </c>
      <c r="I1887" s="454">
        <f t="shared" si="169"/>
        <v>1.9999999999999574E-2</v>
      </c>
      <c r="J1887" s="15" t="s">
        <v>221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3"/>
      <c r="B1888" s="364"/>
      <c r="C1888" s="103">
        <f t="shared" si="170"/>
        <v>45686</v>
      </c>
      <c r="D1888" s="153" t="s">
        <v>20</v>
      </c>
      <c r="E1888" s="167"/>
      <c r="F1888" s="58" t="str">
        <f>VLOOKUP(MOD(C1888,7),'CALENDAR INFO'!$L$2:$M$8,2)</f>
        <v>WED</v>
      </c>
      <c r="G1888" s="214">
        <v>4.33</v>
      </c>
      <c r="H1888" s="422">
        <v>4.3499999999999996</v>
      </c>
      <c r="I1888" s="454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INFO'!$L$2:$M$8,2)</f>
        <v>THU</v>
      </c>
      <c r="G1889" s="214">
        <v>4.33</v>
      </c>
      <c r="H1889" s="422">
        <v>4.3600000000000003</v>
      </c>
      <c r="I1889" s="454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INFO'!$L$2:$M$8,2)</f>
        <v>FRI</v>
      </c>
      <c r="G1890" s="215">
        <v>4.33</v>
      </c>
      <c r="H1890" s="423">
        <v>4.38</v>
      </c>
      <c r="I1890" s="455">
        <f t="shared" si="169"/>
        <v>4.9999999999999822E-2</v>
      </c>
      <c r="J1890" s="421" t="s">
        <v>201</v>
      </c>
      <c r="K1890" s="339">
        <f ca="1">100-K1882/K1878</f>
        <v>100</v>
      </c>
      <c r="L1890" s="340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3"/>
      <c r="B1891" s="364"/>
      <c r="C1891" s="103">
        <f t="shared" si="170"/>
        <v>45689</v>
      </c>
      <c r="E1891" s="167"/>
      <c r="F1891" s="58" t="str">
        <f>VLOOKUP(MOD(C1891,7),'CALENDAR INFO'!$L$2:$M$8,2)</f>
        <v>SAT</v>
      </c>
      <c r="G1891" s="214">
        <v>4.33</v>
      </c>
      <c r="H1891" s="422">
        <v>4.38</v>
      </c>
      <c r="I1891" s="454">
        <f t="shared" si="169"/>
        <v>4.9999999999999822E-2</v>
      </c>
      <c r="J1891" s="435" t="s">
        <v>150</v>
      </c>
      <c r="K1891" s="359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69"/>
      <c r="B1892" s="370"/>
      <c r="C1892" s="103">
        <f t="shared" si="170"/>
        <v>45690</v>
      </c>
      <c r="E1892" s="167"/>
      <c r="F1892" s="58" t="str">
        <f>VLOOKUP(MOD(C1892,7),'CALENDAR INFO'!$L$2:$M$8,2)</f>
        <v>SUN</v>
      </c>
      <c r="G1892" s="214">
        <v>4.33</v>
      </c>
      <c r="H1892" s="422">
        <v>4.38</v>
      </c>
      <c r="I1892" s="454">
        <f t="shared" si="169"/>
        <v>4.9999999999999822E-2</v>
      </c>
      <c r="J1892" s="15" t="s">
        <v>117</v>
      </c>
      <c r="K1892" s="15">
        <f>VLOOKUP(MONTH($C1891),'CALENDAR INFO'!$O$2:$P$13,2)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INFO'!$L$2:$M$8,2)</f>
        <v>MON</v>
      </c>
      <c r="G1893" s="214">
        <v>4.33</v>
      </c>
      <c r="H1893" s="422">
        <v>4.3499999999999996</v>
      </c>
      <c r="I1893" s="454">
        <f t="shared" si="169"/>
        <v>1.9999999999999574E-2</v>
      </c>
      <c r="J1893" s="15" t="s">
        <v>151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INFO'!$L$2:$M$8,2)</f>
        <v>TUE</v>
      </c>
      <c r="G1894" s="214">
        <v>4.33</v>
      </c>
      <c r="H1894" s="422">
        <v>4.33</v>
      </c>
      <c r="I1894" s="454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INFO'!$L$2:$M$8,2)</f>
        <v>WED</v>
      </c>
      <c r="G1895" s="214">
        <v>4.33</v>
      </c>
      <c r="H1895" s="422">
        <v>4.33</v>
      </c>
      <c r="I1895" s="454">
        <f t="shared" si="169"/>
        <v>0</v>
      </c>
      <c r="J1895" s="15" t="s">
        <v>191</v>
      </c>
      <c r="K1895" s="310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INFO'!$L$2:$M$8,2)</f>
        <v>THU</v>
      </c>
      <c r="G1896" s="214">
        <v>4.33</v>
      </c>
      <c r="H1896" s="422">
        <v>4.3600000000000003</v>
      </c>
      <c r="I1896" s="454">
        <f t="shared" si="169"/>
        <v>3.0000000000000249E-2</v>
      </c>
      <c r="J1896" s="15" t="s">
        <v>192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INFO'!$L$2:$M$8,2)</f>
        <v>FRI</v>
      </c>
      <c r="G1897" s="214">
        <v>4.33</v>
      </c>
      <c r="H1897" s="422">
        <v>4.3499999999999996</v>
      </c>
      <c r="I1897" s="454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INFO'!$L$2:$M$8,2)</f>
        <v>SAT</v>
      </c>
      <c r="G1898" s="214">
        <v>4.33</v>
      </c>
      <c r="H1898" s="422">
        <v>4.3499999999999996</v>
      </c>
      <c r="I1898" s="454">
        <f t="shared" si="169"/>
        <v>1.9999999999999574E-2</v>
      </c>
      <c r="J1898" s="15" t="s">
        <v>212</v>
      </c>
      <c r="K1898" s="177" t="s">
        <v>216</v>
      </c>
      <c r="L1898" s="197" t="s">
        <v>219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INFO'!$L$2:$M$8,2)</f>
        <v>SUN</v>
      </c>
      <c r="G1899" s="214">
        <v>4.33</v>
      </c>
      <c r="H1899" s="422">
        <v>4.3499999999999996</v>
      </c>
      <c r="I1899" s="454">
        <f t="shared" si="169"/>
        <v>1.9999999999999574E-2</v>
      </c>
      <c r="J1899" s="15" t="s">
        <v>213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INFO'!$L$2:$M$8,2)</f>
        <v>MON</v>
      </c>
      <c r="G1900" s="214">
        <v>4.33</v>
      </c>
      <c r="H1900" s="422">
        <v>4.3499999999999996</v>
      </c>
      <c r="I1900" s="454">
        <f t="shared" si="169"/>
        <v>1.9999999999999574E-2</v>
      </c>
      <c r="J1900" s="15" t="s">
        <v>152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INFO'!$L$2:$M$8,2)</f>
        <v>TUE</v>
      </c>
      <c r="G1901" s="214">
        <v>4.33</v>
      </c>
      <c r="H1901" s="422">
        <v>4.34</v>
      </c>
      <c r="I1901" s="454">
        <f t="shared" si="169"/>
        <v>9.9999999999997868E-3</v>
      </c>
      <c r="J1901" s="15" t="s">
        <v>189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INFO'!$L$2:$M$8,2)</f>
        <v>WED</v>
      </c>
      <c r="G1902" s="214">
        <v>4.33</v>
      </c>
      <c r="H1902" s="422">
        <v>4.32</v>
      </c>
      <c r="I1902" s="454">
        <f t="shared" si="169"/>
        <v>-9.9999999999997868E-3</v>
      </c>
      <c r="J1902" s="15" t="s">
        <v>190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INFO'!$L$2:$M$8,2)</f>
        <v>THU</v>
      </c>
      <c r="G1903" s="214">
        <v>4.33</v>
      </c>
      <c r="H1903" s="422">
        <v>4.33</v>
      </c>
      <c r="I1903" s="454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INFO'!$L$2:$M$8,2)</f>
        <v>FRI</v>
      </c>
      <c r="G1904" s="214">
        <v>4.33</v>
      </c>
      <c r="H1904" s="422">
        <v>4.33</v>
      </c>
      <c r="I1904" s="454">
        <f t="shared" si="169"/>
        <v>0</v>
      </c>
      <c r="J1904" s="15" t="s">
        <v>193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INFO'!$L$2:$M$8,2)</f>
        <v>SAT</v>
      </c>
      <c r="G1905" s="214">
        <v>4.33</v>
      </c>
      <c r="H1905" s="422">
        <v>4.33</v>
      </c>
      <c r="I1905" s="454">
        <f t="shared" si="169"/>
        <v>0</v>
      </c>
      <c r="J1905" s="15" t="s">
        <v>194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INFO'!$L$2:$M$8,2)</f>
        <v>SUN</v>
      </c>
      <c r="G1906" s="214">
        <v>4.33</v>
      </c>
      <c r="H1906" s="422">
        <v>4.33</v>
      </c>
      <c r="I1906" s="454">
        <f t="shared" si="169"/>
        <v>0</v>
      </c>
      <c r="J1906" s="15" t="s">
        <v>195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205</v>
      </c>
      <c r="E1907" s="170"/>
      <c r="F1907" s="58" t="str">
        <f>VLOOKUP(MOD(C1907,7),'CALENDAR INFO'!$L$2:$M$8,2)</f>
        <v>MON</v>
      </c>
      <c r="G1907" s="214">
        <v>4.33</v>
      </c>
      <c r="H1907" s="422">
        <v>4.33</v>
      </c>
      <c r="I1907" s="454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INFO'!$L$2:$M$8,2)</f>
        <v>TUE</v>
      </c>
      <c r="G1908" s="214">
        <v>4.33</v>
      </c>
      <c r="H1908" s="422">
        <v>4.37</v>
      </c>
      <c r="I1908" s="454">
        <f t="shared" si="169"/>
        <v>4.0000000000000036E-2</v>
      </c>
      <c r="J1908" s="15" t="s">
        <v>196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INFO'!$L$2:$M$8,2)</f>
        <v>WED</v>
      </c>
      <c r="G1909" s="214">
        <v>4.33</v>
      </c>
      <c r="H1909" s="422">
        <v>4.3499999999999996</v>
      </c>
      <c r="I1909" s="454">
        <f t="shared" si="169"/>
        <v>1.9999999999999574E-2</v>
      </c>
      <c r="J1909" s="15" t="s">
        <v>117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INFO'!$L$2:$M$8,2)</f>
        <v>THU</v>
      </c>
      <c r="G1910" s="214">
        <v>4.33</v>
      </c>
      <c r="H1910" s="422">
        <v>4.33</v>
      </c>
      <c r="I1910" s="454">
        <f t="shared" si="169"/>
        <v>0</v>
      </c>
      <c r="J1910" s="15" t="s">
        <v>183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INFO'!$L$2:$M$8,2)</f>
        <v>FRI</v>
      </c>
      <c r="G1911" s="214">
        <v>4.33</v>
      </c>
      <c r="H1911" s="422">
        <v>4.34</v>
      </c>
      <c r="I1911" s="454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INFO'!$L$2:$M$8,2)</f>
        <v>SAT</v>
      </c>
      <c r="G1912" s="214">
        <v>4.33</v>
      </c>
      <c r="H1912" s="422">
        <v>4.34</v>
      </c>
      <c r="I1912" s="454">
        <f t="shared" si="169"/>
        <v>9.9999999999997868E-3</v>
      </c>
      <c r="J1912" s="15" t="s">
        <v>186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INFO'!$L$2:$M$8,2)</f>
        <v>SUN</v>
      </c>
      <c r="G1913" s="214">
        <v>4.33</v>
      </c>
      <c r="H1913" s="422">
        <v>4.34</v>
      </c>
      <c r="I1913" s="454">
        <f t="shared" si="169"/>
        <v>9.9999999999997868E-3</v>
      </c>
      <c r="J1913" s="15" t="s">
        <v>154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INFO'!$L$2:$M$8,2)</f>
        <v>MON</v>
      </c>
      <c r="G1914" s="214">
        <v>4.33</v>
      </c>
      <c r="H1914" s="422">
        <v>4.34</v>
      </c>
      <c r="I1914" s="454">
        <f t="shared" si="169"/>
        <v>9.9999999999997868E-3</v>
      </c>
      <c r="J1914" s="15" t="s">
        <v>184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INFO'!$L$2:$M$8,2)</f>
        <v>TUE</v>
      </c>
      <c r="G1915" s="214">
        <v>4.33</v>
      </c>
      <c r="H1915" s="422">
        <v>4.33</v>
      </c>
      <c r="I1915" s="454">
        <f t="shared" si="169"/>
        <v>0</v>
      </c>
      <c r="J1915" s="15" t="s">
        <v>185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INFO'!$L$2:$M$8,2)</f>
        <v>WED</v>
      </c>
      <c r="G1916" s="214">
        <v>4.33</v>
      </c>
      <c r="H1916" s="422">
        <v>4.33</v>
      </c>
      <c r="I1916" s="454">
        <f t="shared" si="169"/>
        <v>0</v>
      </c>
      <c r="J1916" s="177" t="s">
        <v>201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INFO'!$L$2:$M$8,2)</f>
        <v>THU</v>
      </c>
      <c r="G1917" s="214">
        <v>4.33</v>
      </c>
      <c r="H1917" s="422">
        <v>4.3600000000000003</v>
      </c>
      <c r="I1917" s="454">
        <f t="shared" si="169"/>
        <v>3.0000000000000249E-2</v>
      </c>
      <c r="J1917" s="15" t="s">
        <v>187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INFO'!$L$2:$M$8,2)</f>
        <v>FRI</v>
      </c>
      <c r="G1918" s="215">
        <v>4.33</v>
      </c>
      <c r="H1918" s="423">
        <v>4.3899999999999997</v>
      </c>
      <c r="I1918" s="454">
        <f t="shared" si="169"/>
        <v>5.9999999999999609E-2</v>
      </c>
      <c r="J1918" s="15" t="s">
        <v>188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3"/>
      <c r="B1919" s="304"/>
      <c r="C1919" s="103">
        <f t="shared" si="170"/>
        <v>45717</v>
      </c>
      <c r="E1919" s="167"/>
      <c r="F1919" s="58" t="str">
        <f>VLOOKUP(MOD(C1919,7),'CALENDAR INFO'!$L$2:$M$8,2)</f>
        <v>SAT</v>
      </c>
      <c r="G1919" s="214">
        <v>4.33</v>
      </c>
      <c r="H1919" s="422">
        <v>4.3899999999999997</v>
      </c>
      <c r="I1919" s="454">
        <f t="shared" si="169"/>
        <v>5.9999999999999609E-2</v>
      </c>
      <c r="J1919" s="435" t="s">
        <v>150</v>
      </c>
      <c r="K1919" s="359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3"/>
      <c r="B1920" s="304"/>
      <c r="C1920" s="103">
        <f t="shared" si="170"/>
        <v>45718</v>
      </c>
      <c r="E1920" s="167"/>
      <c r="F1920" s="58" t="str">
        <f>VLOOKUP(MOD(C1920,7),'CALENDAR INFO'!$L$2:$M$8,2)</f>
        <v>SUN</v>
      </c>
      <c r="G1920" s="214">
        <v>4.33</v>
      </c>
      <c r="H1920" s="422">
        <v>4.3899999999999997</v>
      </c>
      <c r="I1920" s="454">
        <f t="shared" si="169"/>
        <v>5.9999999999999609E-2</v>
      </c>
      <c r="J1920" s="15" t="s">
        <v>117</v>
      </c>
      <c r="K1920" s="15">
        <f>VLOOKUP(MONTH($C1919),'CALENDAR INFO'!$O$2:$P$13,2)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3"/>
      <c r="B1921" s="304"/>
      <c r="C1921" s="103">
        <f t="shared" si="170"/>
        <v>45719</v>
      </c>
      <c r="E1921" s="167"/>
      <c r="F1921" s="58" t="str">
        <f>VLOOKUP(MOD(C1921,7),'CALENDAR INFO'!$L$2:$M$8,2)</f>
        <v>MON</v>
      </c>
      <c r="G1921" s="214">
        <v>4.33</v>
      </c>
      <c r="H1921" s="422">
        <v>4.33</v>
      </c>
      <c r="I1921" s="454">
        <f t="shared" si="169"/>
        <v>0</v>
      </c>
      <c r="J1921" s="15" t="s">
        <v>151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3"/>
      <c r="B1922" s="304"/>
      <c r="C1922" s="103">
        <f t="shared" si="170"/>
        <v>45720</v>
      </c>
      <c r="E1922" s="167"/>
      <c r="F1922" s="58" t="str">
        <f>VLOOKUP(MOD(C1922,7),'CALENDAR INFO'!$L$2:$M$8,2)</f>
        <v>TUE</v>
      </c>
      <c r="G1922" s="214">
        <v>4.33</v>
      </c>
      <c r="H1922" s="422">
        <v>4.33</v>
      </c>
      <c r="I1922" s="454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3"/>
      <c r="B1923" s="304"/>
      <c r="C1923" s="103">
        <f t="shared" si="170"/>
        <v>45721</v>
      </c>
      <c r="E1923" s="167" t="s">
        <v>19</v>
      </c>
      <c r="F1923" s="58" t="str">
        <f>VLOOKUP(MOD(C1923,7),'CALENDAR INFO'!$L$2:$M$8,2)</f>
        <v>WED</v>
      </c>
      <c r="G1923" s="214">
        <v>4.33</v>
      </c>
      <c r="H1923" s="422">
        <v>4.34</v>
      </c>
      <c r="I1923" s="454">
        <f t="shared" ref="I1923:I1986" si="177">H1923-G1923</f>
        <v>9.9999999999997868E-3</v>
      </c>
      <c r="J1923" s="15" t="s">
        <v>191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3"/>
      <c r="B1924" s="304"/>
      <c r="C1924" s="103">
        <f t="shared" ref="C1924:C1987" si="178">C1923+1</f>
        <v>45722</v>
      </c>
      <c r="E1924" s="170" t="s">
        <v>18</v>
      </c>
      <c r="F1924" s="58" t="str">
        <f>VLOOKUP(MOD(C1924,7),'CALENDAR INFO'!$L$2:$M$8,2)</f>
        <v>THU</v>
      </c>
      <c r="G1924" s="214">
        <v>4.33</v>
      </c>
      <c r="H1924" s="422">
        <v>4.3499999999999996</v>
      </c>
      <c r="I1924" s="454">
        <f t="shared" si="177"/>
        <v>1.9999999999999574E-2</v>
      </c>
      <c r="J1924" s="15" t="s">
        <v>192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3"/>
      <c r="B1925" s="304"/>
      <c r="C1925" s="103">
        <f t="shared" si="178"/>
        <v>45723</v>
      </c>
      <c r="E1925" s="170"/>
      <c r="F1925" s="58" t="str">
        <f>VLOOKUP(MOD(C1925,7),'CALENDAR INFO'!$L$2:$M$8,2)</f>
        <v>FRI</v>
      </c>
      <c r="G1925" s="214">
        <v>4.33</v>
      </c>
      <c r="H1925" s="422">
        <v>4.34</v>
      </c>
      <c r="I1925" s="454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3"/>
      <c r="B1926" s="304"/>
      <c r="C1926" s="103">
        <f t="shared" si="178"/>
        <v>45724</v>
      </c>
      <c r="E1926" s="170"/>
      <c r="F1926" s="58" t="str">
        <f>VLOOKUP(MOD(C1926,7),'CALENDAR INFO'!$L$2:$M$8,2)</f>
        <v>SAT</v>
      </c>
      <c r="G1926" s="214">
        <v>4.33</v>
      </c>
      <c r="H1926" s="422">
        <v>4.34</v>
      </c>
      <c r="I1926" s="454">
        <f t="shared" si="177"/>
        <v>9.9999999999997868E-3</v>
      </c>
      <c r="J1926" s="15" t="s">
        <v>212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3"/>
      <c r="B1927" s="304"/>
      <c r="C1927" s="103">
        <f t="shared" si="178"/>
        <v>45725</v>
      </c>
      <c r="E1927" s="170"/>
      <c r="F1927" s="58" t="str">
        <f>VLOOKUP(MOD(C1927,7),'CALENDAR INFO'!$L$2:$M$8,2)</f>
        <v>SUN</v>
      </c>
      <c r="G1927" s="214">
        <v>4.33</v>
      </c>
      <c r="H1927" s="422">
        <v>4.34</v>
      </c>
      <c r="I1927" s="454">
        <f t="shared" si="177"/>
        <v>9.9999999999997868E-3</v>
      </c>
      <c r="J1927" s="15" t="s">
        <v>213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3"/>
      <c r="B1928" s="304"/>
      <c r="C1928" s="103">
        <f t="shared" si="178"/>
        <v>45726</v>
      </c>
      <c r="E1928" s="170"/>
      <c r="F1928" s="58" t="str">
        <f>VLOOKUP(MOD(C1928,7),'CALENDAR INFO'!$L$2:$M$8,2)</f>
        <v>MON</v>
      </c>
      <c r="G1928" s="214">
        <v>4.33</v>
      </c>
      <c r="H1928" s="422">
        <v>4.33</v>
      </c>
      <c r="I1928" s="454">
        <f t="shared" si="177"/>
        <v>0</v>
      </c>
      <c r="J1928" s="15" t="s">
        <v>152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3"/>
      <c r="B1929" s="304"/>
      <c r="C1929" s="103">
        <f t="shared" si="178"/>
        <v>45727</v>
      </c>
      <c r="E1929" s="170"/>
      <c r="F1929" s="58" t="str">
        <f>VLOOKUP(MOD(C1929,7),'CALENDAR INFO'!$L$2:$M$8,2)</f>
        <v>TUE</v>
      </c>
      <c r="G1929" s="214">
        <v>4.33</v>
      </c>
      <c r="H1929" s="422">
        <v>4.32</v>
      </c>
      <c r="I1929" s="454">
        <f t="shared" si="177"/>
        <v>-9.9999999999997868E-3</v>
      </c>
      <c r="J1929" s="15" t="s">
        <v>189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3"/>
      <c r="B1930" s="304"/>
      <c r="C1930" s="103">
        <f t="shared" si="178"/>
        <v>45728</v>
      </c>
      <c r="E1930" s="170"/>
      <c r="F1930" s="58" t="str">
        <f>VLOOKUP(MOD(C1930,7),'CALENDAR INFO'!$L$2:$M$8,2)</f>
        <v>WED</v>
      </c>
      <c r="G1930" s="214">
        <v>4.33</v>
      </c>
      <c r="H1930" s="422">
        <v>4.3099999999999996</v>
      </c>
      <c r="I1930" s="454">
        <f t="shared" si="177"/>
        <v>-2.0000000000000462E-2</v>
      </c>
      <c r="J1930" s="15" t="s">
        <v>190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3"/>
      <c r="B1931" s="304"/>
      <c r="C1931" s="103">
        <f t="shared" si="178"/>
        <v>45729</v>
      </c>
      <c r="E1931" s="170"/>
      <c r="F1931" s="58" t="str">
        <f>VLOOKUP(MOD(C1931,7),'CALENDAR INFO'!$L$2:$M$8,2)</f>
        <v>THU</v>
      </c>
      <c r="G1931" s="214">
        <v>4.33</v>
      </c>
      <c r="H1931" s="422">
        <v>4.3</v>
      </c>
      <c r="I1931" s="454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3"/>
      <c r="B1932" s="304"/>
      <c r="C1932" s="103">
        <f t="shared" si="178"/>
        <v>45730</v>
      </c>
      <c r="E1932" s="170"/>
      <c r="F1932" s="58" t="str">
        <f>VLOOKUP(MOD(C1932,7),'CALENDAR INFO'!$L$2:$M$8,2)</f>
        <v>FRI</v>
      </c>
      <c r="G1932" s="214">
        <v>4.33</v>
      </c>
      <c r="H1932" s="422">
        <v>4.3</v>
      </c>
      <c r="I1932" s="454">
        <f t="shared" si="177"/>
        <v>-3.0000000000000249E-2</v>
      </c>
      <c r="J1932" s="15" t="s">
        <v>193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3"/>
      <c r="B1933" s="304"/>
      <c r="C1933" s="103">
        <f t="shared" si="178"/>
        <v>45731</v>
      </c>
      <c r="E1933" s="170"/>
      <c r="F1933" s="58" t="str">
        <f>VLOOKUP(MOD(C1933,7),'CALENDAR INFO'!$L$2:$M$8,2)</f>
        <v>SAT</v>
      </c>
      <c r="G1933" s="214">
        <v>4.33</v>
      </c>
      <c r="H1933" s="422">
        <v>4.3</v>
      </c>
      <c r="I1933" s="454">
        <f t="shared" si="177"/>
        <v>-3.0000000000000249E-2</v>
      </c>
      <c r="J1933" s="15" t="s">
        <v>194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3"/>
      <c r="B1934" s="304"/>
      <c r="C1934" s="103">
        <f t="shared" si="178"/>
        <v>45732</v>
      </c>
      <c r="E1934" s="170"/>
      <c r="F1934" s="58" t="str">
        <f>VLOOKUP(MOD(C1934,7),'CALENDAR INFO'!$L$2:$M$8,2)</f>
        <v>SUN</v>
      </c>
      <c r="G1934" s="214">
        <v>4.33</v>
      </c>
      <c r="H1934" s="422">
        <v>4.3</v>
      </c>
      <c r="I1934" s="454">
        <f t="shared" si="177"/>
        <v>-3.0000000000000249E-2</v>
      </c>
      <c r="J1934" s="15" t="s">
        <v>195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3"/>
      <c r="B1935" s="304"/>
      <c r="C1935" s="103">
        <f t="shared" si="178"/>
        <v>45733</v>
      </c>
      <c r="E1935" s="170"/>
      <c r="F1935" s="58" t="str">
        <f>VLOOKUP(MOD(C1935,7),'CALENDAR INFO'!$L$2:$M$8,2)</f>
        <v>MON</v>
      </c>
      <c r="G1935" s="214">
        <v>4.33</v>
      </c>
      <c r="H1935" s="422">
        <v>4.32</v>
      </c>
      <c r="I1935" s="454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3"/>
      <c r="B1936" s="304"/>
      <c r="C1936" s="103">
        <f t="shared" si="178"/>
        <v>45734</v>
      </c>
      <c r="D1936" s="153" t="s">
        <v>20</v>
      </c>
      <c r="E1936" s="170"/>
      <c r="F1936" s="58" t="str">
        <f>VLOOKUP(MOD(C1936,7),'CALENDAR INFO'!$L$2:$M$8,2)</f>
        <v>TUE</v>
      </c>
      <c r="G1936" s="214">
        <v>4.33</v>
      </c>
      <c r="H1936" s="422">
        <v>4.3099999999999996</v>
      </c>
      <c r="I1936" s="454">
        <f t="shared" si="177"/>
        <v>-2.0000000000000462E-2</v>
      </c>
      <c r="J1936" s="15" t="s">
        <v>196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3"/>
      <c r="B1937" s="304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INFO'!$L$2:$M$8,2)</f>
        <v>WED</v>
      </c>
      <c r="G1937" s="214">
        <v>4.33</v>
      </c>
      <c r="H1937" s="422">
        <v>4.29</v>
      </c>
      <c r="I1937" s="454">
        <f t="shared" si="177"/>
        <v>-4.0000000000000036E-2</v>
      </c>
      <c r="J1937" s="15" t="s">
        <v>117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INFO'!$L$2:$M$8,2)</f>
        <v>THU</v>
      </c>
      <c r="G1938" s="214">
        <v>4.33</v>
      </c>
      <c r="H1938" s="422">
        <v>4.29</v>
      </c>
      <c r="I1938" s="454">
        <f t="shared" si="177"/>
        <v>-4.0000000000000036E-2</v>
      </c>
      <c r="J1938" s="15" t="s">
        <v>183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INFO'!$L$2:$M$8,2)</f>
        <v>FRI</v>
      </c>
      <c r="G1939" s="214">
        <v>4.33</v>
      </c>
      <c r="H1939" s="422">
        <v>4.3</v>
      </c>
      <c r="I1939" s="454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INFO'!$L$2:$M$8,2)</f>
        <v>SAT</v>
      </c>
      <c r="G1940" s="214">
        <v>4.33</v>
      </c>
      <c r="H1940" s="422">
        <v>4.3</v>
      </c>
      <c r="I1940" s="454">
        <f t="shared" si="177"/>
        <v>-3.0000000000000249E-2</v>
      </c>
      <c r="J1940" s="15" t="s">
        <v>186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INFO'!$L$2:$M$8,2)</f>
        <v>SUN</v>
      </c>
      <c r="G1941" s="214">
        <v>4.33</v>
      </c>
      <c r="H1941" s="422">
        <v>4.3</v>
      </c>
      <c r="I1941" s="454">
        <f t="shared" si="177"/>
        <v>-3.0000000000000249E-2</v>
      </c>
      <c r="J1941" s="15" t="s">
        <v>154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INFO'!$L$2:$M$8,2)</f>
        <v>MON</v>
      </c>
      <c r="G1942" s="214">
        <v>4.33</v>
      </c>
      <c r="H1942" s="422">
        <v>4.3099999999999996</v>
      </c>
      <c r="I1942" s="454">
        <f t="shared" si="177"/>
        <v>-2.0000000000000462E-2</v>
      </c>
      <c r="J1942" s="15" t="s">
        <v>184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INFO'!$L$2:$M$8,2)</f>
        <v>TUE</v>
      </c>
      <c r="G1943" s="214">
        <v>4.33</v>
      </c>
      <c r="H1943" s="422">
        <v>4.33</v>
      </c>
      <c r="I1943" s="454">
        <f t="shared" si="177"/>
        <v>0</v>
      </c>
      <c r="J1943" s="15" t="s">
        <v>185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INFO'!$L$2:$M$8,2)</f>
        <v>WED</v>
      </c>
      <c r="G1944" s="214">
        <v>4.33</v>
      </c>
      <c r="H1944" s="422">
        <v>4.3499999999999996</v>
      </c>
      <c r="I1944" s="454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INFO'!$L$2:$M$8,2)</f>
        <v>THU</v>
      </c>
      <c r="G1945" s="214">
        <v>4.33</v>
      </c>
      <c r="H1945" s="422">
        <v>4.3600000000000003</v>
      </c>
      <c r="I1945" s="454">
        <f t="shared" si="177"/>
        <v>3.0000000000000249E-2</v>
      </c>
      <c r="J1945" s="15" t="s">
        <v>220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INFO'!$L$2:$M$8,2)</f>
        <v>FRI</v>
      </c>
      <c r="G1946" s="214">
        <v>4.33</v>
      </c>
      <c r="H1946" s="422">
        <v>4.34</v>
      </c>
      <c r="I1946" s="454">
        <f t="shared" si="177"/>
        <v>9.9999999999997868E-3</v>
      </c>
      <c r="J1946" s="15" t="s">
        <v>221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INFO'!$L$2:$M$8,2)</f>
        <v>SAT</v>
      </c>
      <c r="G1947" s="214">
        <v>4.33</v>
      </c>
      <c r="H1947" s="422">
        <v>4.34</v>
      </c>
      <c r="I1947" s="454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INFO'!$L$2:$M$8,2)</f>
        <v>SUN</v>
      </c>
      <c r="G1948" s="214">
        <v>4.33</v>
      </c>
      <c r="H1948" s="422">
        <v>4.34</v>
      </c>
      <c r="I1948" s="454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INFO'!$L$2:$M$8,2)</f>
        <v>MON</v>
      </c>
      <c r="G1949" s="215">
        <v>4.33</v>
      </c>
      <c r="H1949" s="423">
        <v>4.41</v>
      </c>
      <c r="I1949" s="455">
        <f t="shared" si="177"/>
        <v>8.0000000000000071E-2</v>
      </c>
      <c r="J1949" s="421" t="s">
        <v>201</v>
      </c>
      <c r="K1949" s="339">
        <f ca="1">100-K1941/K1937</f>
        <v>100</v>
      </c>
      <c r="L1949" s="340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3"/>
      <c r="B1950" s="304"/>
      <c r="C1950" s="103">
        <f t="shared" si="178"/>
        <v>45748</v>
      </c>
      <c r="E1950" s="167"/>
      <c r="F1950" s="58" t="str">
        <f>VLOOKUP(MOD(C1950,7),'CALENDAR INFO'!$L$2:$M$8,2)</f>
        <v>TUE</v>
      </c>
      <c r="G1950" s="214">
        <v>4.33</v>
      </c>
      <c r="H1950" s="422">
        <v>4.3899999999999997</v>
      </c>
      <c r="I1950" s="454">
        <f t="shared" si="177"/>
        <v>5.9999999999999609E-2</v>
      </c>
      <c r="J1950" s="15" t="s">
        <v>150</v>
      </c>
      <c r="K1950" s="359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INFO'!$L$2:$M$8,2)</f>
        <v>WED</v>
      </c>
      <c r="G1951" s="214">
        <v>4.33</v>
      </c>
      <c r="H1951" s="422">
        <v>4.37</v>
      </c>
      <c r="I1951" s="454">
        <f t="shared" si="177"/>
        <v>4.0000000000000036E-2</v>
      </c>
      <c r="J1951" s="15" t="s">
        <v>117</v>
      </c>
      <c r="K1951" s="15">
        <f>VLOOKUP(MONTH($C1950),'CALENDAR INFO'!$O$2:$P$13,2)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INFO'!$L$2:$M$8,2)</f>
        <v>THU</v>
      </c>
      <c r="G1952" s="214">
        <v>4.33</v>
      </c>
      <c r="H1952" s="422">
        <v>4.3899999999999997</v>
      </c>
      <c r="I1952" s="454">
        <f t="shared" si="177"/>
        <v>5.9999999999999609E-2</v>
      </c>
      <c r="J1952" s="15" t="s">
        <v>151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INFO'!$L$2:$M$8,2)</f>
        <v>FRI</v>
      </c>
      <c r="G1953" s="214">
        <v>4.33</v>
      </c>
      <c r="H1953" s="422">
        <v>4.3499999999999996</v>
      </c>
      <c r="I1953" s="454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INFO'!$L$2:$M$8,2)</f>
        <v>SAT</v>
      </c>
      <c r="G1954" s="214">
        <v>4.33</v>
      </c>
      <c r="H1954" s="422">
        <v>4.3499999999999996</v>
      </c>
      <c r="I1954" s="454">
        <f t="shared" si="177"/>
        <v>1.9999999999999574E-2</v>
      </c>
      <c r="J1954" s="15" t="s">
        <v>191</v>
      </c>
      <c r="K1954" s="310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INFO'!$L$2:$M$8,2)</f>
        <v>SUN</v>
      </c>
      <c r="G1955" s="214">
        <v>4.33</v>
      </c>
      <c r="H1955" s="422">
        <v>4.3499999999999996</v>
      </c>
      <c r="I1955" s="454">
        <f t="shared" si="177"/>
        <v>1.9999999999999574E-2</v>
      </c>
      <c r="J1955" s="15" t="s">
        <v>192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INFO'!$L$2:$M$8,2)</f>
        <v>MON</v>
      </c>
      <c r="G1956" s="214">
        <v>4.33</v>
      </c>
      <c r="H1956" s="422">
        <v>4.33</v>
      </c>
      <c r="I1956" s="454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INFO'!$L$2:$M$8,2)</f>
        <v>TUE</v>
      </c>
      <c r="G1957" s="214">
        <v>4.33</v>
      </c>
      <c r="H1957" s="422">
        <v>4.4000000000000004</v>
      </c>
      <c r="I1957" s="454">
        <f t="shared" si="177"/>
        <v>7.0000000000000284E-2</v>
      </c>
      <c r="J1957" s="15" t="s">
        <v>212</v>
      </c>
      <c r="K1957" s="15" t="s">
        <v>217</v>
      </c>
      <c r="L1957" s="179" t="s">
        <v>218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INFO'!$L$2:$M$8,2)</f>
        <v>WED</v>
      </c>
      <c r="G1958" s="214">
        <v>4.33</v>
      </c>
      <c r="H1958" s="422">
        <v>4.42</v>
      </c>
      <c r="I1958" s="454">
        <f t="shared" si="177"/>
        <v>8.9999999999999858E-2</v>
      </c>
      <c r="J1958" s="15" t="s">
        <v>213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INFO'!$L$2:$M$8,2)</f>
        <v>THU</v>
      </c>
      <c r="G1959" s="214">
        <v>4.33</v>
      </c>
      <c r="H1959" s="422">
        <v>4.37</v>
      </c>
      <c r="I1959" s="454">
        <f t="shared" si="177"/>
        <v>4.0000000000000036E-2</v>
      </c>
      <c r="J1959" s="15" t="s">
        <v>152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INFO'!$L$2:$M$8,2)</f>
        <v>FRI</v>
      </c>
      <c r="G1960" s="214">
        <v>4.33</v>
      </c>
      <c r="H1960" s="422">
        <v>4.33</v>
      </c>
      <c r="I1960" s="454">
        <f t="shared" si="177"/>
        <v>0</v>
      </c>
      <c r="J1960" s="15" t="s">
        <v>189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INFO'!$L$2:$M$8,2)</f>
        <v>SAT</v>
      </c>
      <c r="G1961" s="214">
        <v>4.33</v>
      </c>
      <c r="H1961" s="422">
        <v>4.33</v>
      </c>
      <c r="I1961" s="454">
        <f t="shared" si="177"/>
        <v>0</v>
      </c>
      <c r="J1961" s="15" t="s">
        <v>190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INFO'!$L$2:$M$8,2)</f>
        <v>SUN</v>
      </c>
      <c r="G1962" s="214">
        <v>4.33</v>
      </c>
      <c r="H1962" s="422">
        <v>4.33</v>
      </c>
      <c r="I1962" s="454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INFO'!$L$2:$M$8,2)</f>
        <v>MON</v>
      </c>
      <c r="G1963" s="214">
        <v>4.33</v>
      </c>
      <c r="H1963" s="422">
        <v>4.33</v>
      </c>
      <c r="I1963" s="454">
        <f t="shared" si="177"/>
        <v>0</v>
      </c>
      <c r="J1963" s="15" t="s">
        <v>193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INFO'!$L$2:$M$8,2)</f>
        <v>TUE</v>
      </c>
      <c r="G1964" s="214">
        <v>4.33</v>
      </c>
      <c r="H1964" s="422">
        <v>4.3600000000000003</v>
      </c>
      <c r="I1964" s="454">
        <f t="shared" si="177"/>
        <v>3.0000000000000249E-2</v>
      </c>
      <c r="J1964" s="15" t="s">
        <v>194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INFO'!$L$2:$M$8,2)</f>
        <v>WED</v>
      </c>
      <c r="G1965" s="214">
        <v>4.33</v>
      </c>
      <c r="H1965" s="422">
        <v>4.3099999999999996</v>
      </c>
      <c r="I1965" s="454">
        <f t="shared" si="177"/>
        <v>-2.0000000000000462E-2</v>
      </c>
      <c r="J1965" s="15" t="s">
        <v>195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INFO'!$L$2:$M$8,2)</f>
        <v>THU</v>
      </c>
      <c r="G1966" s="214">
        <v>4.33</v>
      </c>
      <c r="H1966" s="422">
        <v>4.32</v>
      </c>
      <c r="I1966" s="454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INFO'!$L$2:$M$8,2)</f>
        <v>FRI</v>
      </c>
      <c r="G1967" s="214">
        <v>4.33</v>
      </c>
      <c r="H1967" s="422">
        <v>4.32</v>
      </c>
      <c r="I1967" s="454">
        <f t="shared" si="177"/>
        <v>-9.9999999999997868E-3</v>
      </c>
      <c r="J1967" s="15" t="s">
        <v>196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INFO'!$L$2:$M$8,2)</f>
        <v>SAT</v>
      </c>
      <c r="G1968" s="214">
        <v>4.33</v>
      </c>
      <c r="H1968" s="422">
        <v>4.32</v>
      </c>
      <c r="I1968" s="454">
        <f t="shared" si="177"/>
        <v>-9.9999999999997868E-3</v>
      </c>
      <c r="J1968" s="15" t="s">
        <v>117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INFO'!$L$2:$M$8,2)</f>
        <v>SUN</v>
      </c>
      <c r="G1969" s="214">
        <v>4.33</v>
      </c>
      <c r="H1969" s="422">
        <v>4.32</v>
      </c>
      <c r="I1969" s="454">
        <f t="shared" si="177"/>
        <v>-9.9999999999997868E-3</v>
      </c>
      <c r="J1969" s="15" t="s">
        <v>183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INFO'!$L$2:$M$8,2)</f>
        <v>MON</v>
      </c>
      <c r="G1970" s="214">
        <v>4.33</v>
      </c>
      <c r="H1970" s="422">
        <v>4.32</v>
      </c>
      <c r="I1970" s="454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INFO'!$L$2:$M$8,2)</f>
        <v>TUE</v>
      </c>
      <c r="G1971" s="214">
        <v>4.33</v>
      </c>
      <c r="H1971" s="422">
        <v>4.3</v>
      </c>
      <c r="I1971" s="454">
        <f t="shared" si="177"/>
        <v>-3.0000000000000249E-2</v>
      </c>
      <c r="J1971" s="15" t="s">
        <v>186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INFO'!$L$2:$M$8,2)</f>
        <v>WED</v>
      </c>
      <c r="G1972" s="214">
        <v>4.33</v>
      </c>
      <c r="H1972" s="422">
        <v>4.28</v>
      </c>
      <c r="I1972" s="454">
        <f t="shared" si="177"/>
        <v>-4.9999999999999822E-2</v>
      </c>
      <c r="J1972" s="15" t="s">
        <v>154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INFO'!$L$2:$M$8,2)</f>
        <v>THU</v>
      </c>
      <c r="G1973" s="214">
        <v>4.33</v>
      </c>
      <c r="H1973" s="422">
        <v>4.29</v>
      </c>
      <c r="I1973" s="454">
        <f t="shared" si="177"/>
        <v>-4.0000000000000036E-2</v>
      </c>
      <c r="J1973" s="15" t="s">
        <v>184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INFO'!$L$2:$M$8,2)</f>
        <v>FRI</v>
      </c>
      <c r="G1974" s="214">
        <v>4.33</v>
      </c>
      <c r="H1974" s="422">
        <v>4.33</v>
      </c>
      <c r="I1974" s="454">
        <f t="shared" si="177"/>
        <v>0</v>
      </c>
      <c r="J1974" s="15" t="s">
        <v>185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INFO'!$L$2:$M$8,2)</f>
        <v>SAT</v>
      </c>
      <c r="G1975" s="214">
        <v>4.33</v>
      </c>
      <c r="H1975" s="422">
        <v>4.33</v>
      </c>
      <c r="I1975" s="454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INFO'!$L$2:$M$8,2)</f>
        <v>SUN</v>
      </c>
      <c r="G1976" s="214">
        <v>4.33</v>
      </c>
      <c r="H1976" s="422">
        <v>4.33</v>
      </c>
      <c r="I1976" s="454">
        <f t="shared" si="177"/>
        <v>0</v>
      </c>
      <c r="J1976" s="15" t="s">
        <v>187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INFO'!$L$2:$M$8,2)</f>
        <v>MON</v>
      </c>
      <c r="G1977" s="214">
        <v>4.33</v>
      </c>
      <c r="H1977" s="422">
        <v>4.3600000000000003</v>
      </c>
      <c r="I1977" s="454">
        <f t="shared" si="177"/>
        <v>3.0000000000000249E-2</v>
      </c>
      <c r="J1977" s="15" t="s">
        <v>188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INFO'!$L$2:$M$8,2)</f>
        <v>TUE</v>
      </c>
      <c r="G1978" s="214">
        <v>4.33</v>
      </c>
      <c r="H1978" s="422">
        <v>4.3600000000000003</v>
      </c>
      <c r="I1978" s="454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INFO'!$L$2:$M$8,2)</f>
        <v>WED</v>
      </c>
      <c r="G1979" s="215">
        <v>4.33</v>
      </c>
      <c r="H1979" s="423">
        <v>4.41</v>
      </c>
      <c r="I1979" s="455">
        <f t="shared" si="177"/>
        <v>8.0000000000000071E-2</v>
      </c>
      <c r="J1979" s="438" t="s">
        <v>201</v>
      </c>
      <c r="K1979" s="386" t="e">
        <f ca="1">100-K1972/K1963</f>
        <v>#DIV/0!</v>
      </c>
      <c r="L1979" s="387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3"/>
      <c r="B1980" s="304"/>
      <c r="C1980" s="103">
        <f t="shared" si="178"/>
        <v>45778</v>
      </c>
      <c r="E1980" s="170" t="s">
        <v>18</v>
      </c>
      <c r="F1980" s="58" t="str">
        <f>VLOOKUP(MOD(C1980,7),'CALENDAR INFO'!$L$2:$M$8,2)</f>
        <v>THU</v>
      </c>
      <c r="G1980" s="214">
        <v>4.33</v>
      </c>
      <c r="H1980" s="422">
        <v>4.3899999999999997</v>
      </c>
      <c r="I1980" s="454">
        <f t="shared" si="177"/>
        <v>5.9999999999999609E-2</v>
      </c>
      <c r="J1980" s="15" t="s">
        <v>150</v>
      </c>
      <c r="K1980" s="359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3"/>
      <c r="B1981" s="304"/>
      <c r="C1981" s="103">
        <f t="shared" si="178"/>
        <v>45779</v>
      </c>
      <c r="E1981" s="170"/>
      <c r="F1981" s="58" t="str">
        <f>VLOOKUP(MOD(C1981,7),'CALENDAR INFO'!$L$2:$M$8,2)</f>
        <v>FRI</v>
      </c>
      <c r="G1981" s="214">
        <v>4.33</v>
      </c>
      <c r="H1981" s="422">
        <v>4.3600000000000003</v>
      </c>
      <c r="I1981" s="454">
        <f t="shared" si="177"/>
        <v>3.0000000000000249E-2</v>
      </c>
      <c r="J1981" s="15" t="s">
        <v>117</v>
      </c>
      <c r="K1981" s="15">
        <f>VLOOKUP(MONTH($C1980),'CALENDAR INFO'!$O$2:$P$13,2)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3"/>
      <c r="B1982" s="304"/>
      <c r="C1982" s="103">
        <f t="shared" si="178"/>
        <v>45780</v>
      </c>
      <c r="E1982" s="170"/>
      <c r="F1982" s="58" t="str">
        <f>VLOOKUP(MOD(C1982,7),'CALENDAR INFO'!$L$2:$M$8,2)</f>
        <v>SAT</v>
      </c>
      <c r="G1982" s="214">
        <v>4.33</v>
      </c>
      <c r="H1982" s="422">
        <v>4.3600000000000003</v>
      </c>
      <c r="I1982" s="454">
        <f t="shared" si="177"/>
        <v>3.0000000000000249E-2</v>
      </c>
      <c r="J1982" s="15" t="s">
        <v>151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3"/>
      <c r="B1983" s="304"/>
      <c r="C1983" s="103">
        <f t="shared" si="178"/>
        <v>45781</v>
      </c>
      <c r="E1983" s="170"/>
      <c r="F1983" s="58" t="str">
        <f>VLOOKUP(MOD(C1983,7),'CALENDAR INFO'!$L$2:$M$8,2)</f>
        <v>SUN</v>
      </c>
      <c r="G1983" s="214">
        <v>4.33</v>
      </c>
      <c r="H1983" s="422">
        <v>4.3600000000000003</v>
      </c>
      <c r="I1983" s="454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3"/>
      <c r="B1984" s="304"/>
      <c r="C1984" s="103">
        <f t="shared" si="178"/>
        <v>45782</v>
      </c>
      <c r="E1984" s="170"/>
      <c r="F1984" s="58" t="str">
        <f>VLOOKUP(MOD(C1984,7),'CALENDAR INFO'!$L$2:$M$8,2)</f>
        <v>MON</v>
      </c>
      <c r="G1984" s="214">
        <v>4.33</v>
      </c>
      <c r="H1984" s="422">
        <v>4.33</v>
      </c>
      <c r="I1984" s="454">
        <f t="shared" si="177"/>
        <v>0</v>
      </c>
      <c r="J1984" s="15" t="s">
        <v>191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3"/>
      <c r="B1985" s="304"/>
      <c r="C1985" s="103">
        <f t="shared" si="178"/>
        <v>45783</v>
      </c>
      <c r="D1985" s="247" t="s">
        <v>20</v>
      </c>
      <c r="E1985" s="170"/>
      <c r="F1985" s="58" t="str">
        <f>VLOOKUP(MOD(C1985,7),'CALENDAR INFO'!$L$2:$M$8,2)</f>
        <v>TUE</v>
      </c>
      <c r="G1985" s="214">
        <v>4.33</v>
      </c>
      <c r="H1985" s="422">
        <v>4.32</v>
      </c>
      <c r="I1985" s="454">
        <f t="shared" si="177"/>
        <v>-9.9999999999997868E-3</v>
      </c>
      <c r="J1985" s="15" t="s">
        <v>192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3"/>
      <c r="B1986" s="304"/>
      <c r="C1986" s="103">
        <f t="shared" si="178"/>
        <v>45784</v>
      </c>
      <c r="D1986" s="247" t="s">
        <v>20</v>
      </c>
      <c r="E1986" s="170"/>
      <c r="F1986" s="58" t="str">
        <f>VLOOKUP(MOD(C1986,7),'CALENDAR INFO'!$L$2:$M$8,2)</f>
        <v>WED</v>
      </c>
      <c r="G1986" s="214">
        <v>4.33</v>
      </c>
      <c r="H1986" s="422">
        <v>4.3</v>
      </c>
      <c r="I1986" s="454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INFO'!$L$2:$M$8,2)</f>
        <v>THU</v>
      </c>
      <c r="G1987" s="214">
        <v>4.33</v>
      </c>
      <c r="H1987" s="422">
        <v>4.29</v>
      </c>
      <c r="I1987" s="454">
        <f t="shared" ref="I1987:I2050" si="184">H1987-G1987</f>
        <v>-4.0000000000000036E-2</v>
      </c>
      <c r="J1987" s="15" t="s">
        <v>212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INFO'!$L$2:$M$8,2)</f>
        <v>FRI</v>
      </c>
      <c r="G1988" s="214">
        <v>4.33</v>
      </c>
      <c r="H1988" s="422">
        <v>4.28</v>
      </c>
      <c r="I1988" s="454">
        <f t="shared" si="184"/>
        <v>-4.9999999999999822E-2</v>
      </c>
      <c r="J1988" s="15" t="s">
        <v>213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INFO'!$L$2:$M$8,2)</f>
        <v>SAT</v>
      </c>
      <c r="G1989" s="214">
        <v>4.33</v>
      </c>
      <c r="H1989" s="422">
        <v>4.28</v>
      </c>
      <c r="I1989" s="454">
        <f t="shared" si="184"/>
        <v>-4.9999999999999822E-2</v>
      </c>
      <c r="J1989" s="15" t="s">
        <v>152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INFO'!$L$2:$M$8,2)</f>
        <v>SUN</v>
      </c>
      <c r="G1990" s="214">
        <v>4.33</v>
      </c>
      <c r="H1990" s="422">
        <v>4.28</v>
      </c>
      <c r="I1990" s="454">
        <f t="shared" si="184"/>
        <v>-4.9999999999999822E-2</v>
      </c>
      <c r="J1990" s="15" t="s">
        <v>189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INFO'!$L$2:$M$8,2)</f>
        <v>MON</v>
      </c>
      <c r="G1991" s="214">
        <v>4.33</v>
      </c>
      <c r="H1991" s="422">
        <v>4.28</v>
      </c>
      <c r="I1991" s="454">
        <f t="shared" si="184"/>
        <v>-4.9999999999999822E-2</v>
      </c>
      <c r="J1991" s="15" t="s">
        <v>190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INFO'!$L$2:$M$8,2)</f>
        <v>TUE</v>
      </c>
      <c r="G1992" s="214">
        <v>4.33</v>
      </c>
      <c r="H1992" s="422">
        <v>4.3</v>
      </c>
      <c r="I1992" s="454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INFO'!$L$2:$M$8,2)</f>
        <v>WED</v>
      </c>
      <c r="G1993" s="214">
        <v>4.33</v>
      </c>
      <c r="H1993" s="422">
        <v>4.29</v>
      </c>
      <c r="I1993" s="454">
        <f t="shared" si="184"/>
        <v>-4.0000000000000036E-2</v>
      </c>
      <c r="J1993" s="15" t="s">
        <v>193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INFO'!$L$2:$M$8,2)</f>
        <v>THU</v>
      </c>
      <c r="G1994" s="214">
        <v>4.33</v>
      </c>
      <c r="H1994" s="422">
        <v>4.3099999999999996</v>
      </c>
      <c r="I1994" s="454">
        <f t="shared" si="184"/>
        <v>-2.0000000000000462E-2</v>
      </c>
      <c r="J1994" s="15" t="s">
        <v>194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INFO'!$L$2:$M$8,2)</f>
        <v>FRI</v>
      </c>
      <c r="G1995" s="214">
        <v>4.33</v>
      </c>
      <c r="H1995" s="422">
        <v>4.3</v>
      </c>
      <c r="I1995" s="454">
        <f t="shared" si="184"/>
        <v>-3.0000000000000249E-2</v>
      </c>
      <c r="J1995" s="15" t="s">
        <v>195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INFO'!$L$2:$M$8,2)</f>
        <v>SAT</v>
      </c>
      <c r="G1996" s="214">
        <v>4.33</v>
      </c>
      <c r="H1996" s="422">
        <v>4.3</v>
      </c>
      <c r="I1996" s="454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INFO'!$L$2:$M$8,2)</f>
        <v>SUN</v>
      </c>
      <c r="G1997" s="214">
        <v>4.33</v>
      </c>
      <c r="H1997" s="422">
        <v>4.3</v>
      </c>
      <c r="I1997" s="454">
        <f t="shared" si="184"/>
        <v>-3.0000000000000249E-2</v>
      </c>
      <c r="J1997" s="15" t="s">
        <v>196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INFO'!$L$2:$M$8,2)</f>
        <v>MON</v>
      </c>
      <c r="G1998" s="214">
        <v>4.33</v>
      </c>
      <c r="H1998" s="422">
        <v>4.29</v>
      </c>
      <c r="I1998" s="454">
        <f t="shared" si="184"/>
        <v>-4.0000000000000036E-2</v>
      </c>
      <c r="J1998" s="15" t="s">
        <v>117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INFO'!$L$2:$M$8,2)</f>
        <v>TUE</v>
      </c>
      <c r="G1999" s="214">
        <v>4.33</v>
      </c>
      <c r="H1999" s="422">
        <v>4.2699999999999996</v>
      </c>
      <c r="I1999" s="454">
        <f t="shared" si="184"/>
        <v>-6.0000000000000497E-2</v>
      </c>
      <c r="J1999" s="15" t="s">
        <v>183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INFO'!$L$2:$M$8,2)</f>
        <v>WED</v>
      </c>
      <c r="G2000" s="214">
        <v>4.33</v>
      </c>
      <c r="H2000" s="422">
        <v>4.26</v>
      </c>
      <c r="I2000" s="454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INFO'!$L$2:$M$8,2)</f>
        <v>THU</v>
      </c>
      <c r="G2001" s="214">
        <v>4.33</v>
      </c>
      <c r="H2001" s="422">
        <v>4.26</v>
      </c>
      <c r="I2001" s="454">
        <f t="shared" si="184"/>
        <v>-7.0000000000000284E-2</v>
      </c>
      <c r="J2001" s="15" t="s">
        <v>186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INFO'!$L$2:$M$8,2)</f>
        <v>FRI</v>
      </c>
      <c r="G2002" s="214">
        <v>4.33</v>
      </c>
      <c r="H2002" s="422">
        <v>4.26</v>
      </c>
      <c r="I2002" s="454">
        <f t="shared" si="184"/>
        <v>-7.0000000000000284E-2</v>
      </c>
      <c r="J2002" s="15" t="s">
        <v>154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INFO'!$L$2:$M$8,2)</f>
        <v>SAT</v>
      </c>
      <c r="G2003" s="214">
        <v>4.33</v>
      </c>
      <c r="H2003" s="422">
        <v>4.26</v>
      </c>
      <c r="I2003" s="454">
        <f t="shared" si="184"/>
        <v>-7.0000000000000284E-2</v>
      </c>
      <c r="J2003" s="15" t="s">
        <v>184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INFO'!$L$2:$M$8,2)</f>
        <v>SUN</v>
      </c>
      <c r="G2004" s="214">
        <v>4.33</v>
      </c>
      <c r="H2004" s="422">
        <v>4.26</v>
      </c>
      <c r="I2004" s="454">
        <f t="shared" si="184"/>
        <v>-7.0000000000000284E-2</v>
      </c>
      <c r="J2004" s="15" t="s">
        <v>185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112</v>
      </c>
      <c r="E2005" s="167"/>
      <c r="F2005" s="58" t="str">
        <f>VLOOKUP(MOD(C2005,7),'CALENDAR INFO'!$L$2:$M$8,2)</f>
        <v>MON</v>
      </c>
      <c r="G2005" s="214">
        <v>4.33</v>
      </c>
      <c r="H2005" s="422">
        <v>4.26</v>
      </c>
      <c r="I2005" s="454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INFO'!$L$2:$M$8,2)</f>
        <v>TUE</v>
      </c>
      <c r="G2006" s="214">
        <v>4.33</v>
      </c>
      <c r="H2006" s="422">
        <v>4.3099999999999996</v>
      </c>
      <c r="I2006" s="454">
        <f t="shared" si="184"/>
        <v>-2.0000000000000462E-2</v>
      </c>
      <c r="J2006" s="15" t="s">
        <v>187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INFO'!$L$2:$M$8,2)</f>
        <v>WED</v>
      </c>
      <c r="G2007" s="214">
        <v>4.33</v>
      </c>
      <c r="H2007" s="422">
        <v>4.33</v>
      </c>
      <c r="I2007" s="454">
        <f t="shared" si="184"/>
        <v>0</v>
      </c>
      <c r="J2007" s="15" t="s">
        <v>188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0">
        <f t="shared" si="185"/>
        <v>45806</v>
      </c>
      <c r="E2008" s="170" t="s">
        <v>18</v>
      </c>
      <c r="F2008" s="58" t="str">
        <f>VLOOKUP(MOD(C2008,7),'CALENDAR INFO'!$L$2:$M$8,2)</f>
        <v>THU</v>
      </c>
      <c r="G2008" s="214">
        <v>4.33</v>
      </c>
      <c r="H2008" s="422">
        <v>4.33</v>
      </c>
      <c r="I2008" s="454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0">
        <f t="shared" si="185"/>
        <v>45807</v>
      </c>
      <c r="E2009" s="170"/>
      <c r="F2009" s="58" t="str">
        <f>VLOOKUP(MOD(C2009,7),'CALENDAR INFO'!$L$2:$M$8,2)</f>
        <v>FRI</v>
      </c>
      <c r="G2009" s="214">
        <v>4.33</v>
      </c>
      <c r="H2009" s="422">
        <v>4.3499999999999996</v>
      </c>
      <c r="I2009" s="454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1">
        <f t="shared" si="185"/>
        <v>45808</v>
      </c>
      <c r="D2010" s="112"/>
      <c r="E2010" s="101"/>
      <c r="F2010" s="71" t="str">
        <f>VLOOKUP(MOD(C2010,7),'CALENDAR INFO'!$L$2:$M$8,2)</f>
        <v>SAT</v>
      </c>
      <c r="G2010" s="215">
        <v>4.33</v>
      </c>
      <c r="H2010" s="423">
        <v>4.3499999999999996</v>
      </c>
      <c r="I2010" s="455">
        <f t="shared" si="184"/>
        <v>1.9999999999999574E-2</v>
      </c>
      <c r="J2010" s="421" t="s">
        <v>201</v>
      </c>
      <c r="K2010" s="339">
        <f ca="1">100-K2002/K1998</f>
        <v>100</v>
      </c>
      <c r="L2010" s="340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3"/>
      <c r="B2011" s="304"/>
      <c r="C2011" s="390">
        <f t="shared" si="185"/>
        <v>45809</v>
      </c>
      <c r="E2011" s="170"/>
      <c r="F2011" s="58" t="str">
        <f>VLOOKUP(MOD(C2011,7),'CALENDAR INFO'!$L$2:$M$8,2)</f>
        <v>SUN</v>
      </c>
      <c r="G2011" s="214">
        <v>4.33</v>
      </c>
      <c r="H2011" s="422">
        <v>4.3499999999999996</v>
      </c>
      <c r="I2011" s="454">
        <f t="shared" si="184"/>
        <v>1.9999999999999574E-2</v>
      </c>
      <c r="J2011" s="15" t="s">
        <v>150</v>
      </c>
      <c r="K2011" s="359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3"/>
      <c r="B2012" s="304"/>
      <c r="C2012" s="390">
        <f t="shared" si="185"/>
        <v>45810</v>
      </c>
      <c r="E2012" s="170"/>
      <c r="F2012" s="58" t="str">
        <f>VLOOKUP(MOD(C2012,7),'CALENDAR INFO'!$L$2:$M$8,2)</f>
        <v>MON</v>
      </c>
      <c r="G2012" s="214">
        <v>4.33</v>
      </c>
      <c r="H2012" s="422">
        <v>4.3499999999999996</v>
      </c>
      <c r="I2012" s="454">
        <f t="shared" si="184"/>
        <v>1.9999999999999574E-2</v>
      </c>
      <c r="J2012" s="15" t="s">
        <v>117</v>
      </c>
      <c r="K2012" s="15">
        <f>VLOOKUP(MONTH($C2011),'CALENDAR INFO'!$O$2:$P$13,2)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3"/>
      <c r="B2013" s="304"/>
      <c r="C2013" s="390">
        <f t="shared" si="185"/>
        <v>45811</v>
      </c>
      <c r="E2013" s="170"/>
      <c r="F2013" s="58" t="str">
        <f>VLOOKUP(MOD(C2013,7),'CALENDAR INFO'!$L$2:$M$8,2)</f>
        <v>TUE</v>
      </c>
      <c r="G2013" s="214">
        <v>4.33</v>
      </c>
      <c r="H2013" s="422">
        <v>4.32</v>
      </c>
      <c r="I2013" s="454">
        <f t="shared" si="184"/>
        <v>-9.9999999999997868E-3</v>
      </c>
      <c r="J2013" s="15" t="s">
        <v>151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3"/>
      <c r="B2014" s="304"/>
      <c r="C2014" s="390">
        <f t="shared" si="185"/>
        <v>45812</v>
      </c>
      <c r="E2014" s="170"/>
      <c r="F2014" s="58" t="str">
        <f>VLOOKUP(MOD(C2014,7),'CALENDAR INFO'!$L$2:$M$8,2)</f>
        <v>WED</v>
      </c>
      <c r="G2014" s="214">
        <v>4.33</v>
      </c>
      <c r="H2014" s="422">
        <v>4.28</v>
      </c>
      <c r="I2014" s="454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3"/>
      <c r="B2015" s="304"/>
      <c r="C2015" s="390">
        <f t="shared" si="185"/>
        <v>45813</v>
      </c>
      <c r="E2015" s="170"/>
      <c r="F2015" s="58" t="str">
        <f>VLOOKUP(MOD(C2015,7),'CALENDAR INFO'!$L$2:$M$8,2)</f>
        <v>THU</v>
      </c>
      <c r="G2015" s="214">
        <v>4.33</v>
      </c>
      <c r="H2015" s="422">
        <v>4.29</v>
      </c>
      <c r="I2015" s="454">
        <f t="shared" si="184"/>
        <v>-4.0000000000000036E-2</v>
      </c>
      <c r="J2015" s="15" t="s">
        <v>191</v>
      </c>
      <c r="K2015" s="310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3"/>
      <c r="B2016" s="304"/>
      <c r="C2016" s="390">
        <f t="shared" si="185"/>
        <v>45814</v>
      </c>
      <c r="E2016" s="170"/>
      <c r="F2016" s="58" t="str">
        <f>VLOOKUP(MOD(C2016,7),'CALENDAR INFO'!$L$2:$M$8,2)</f>
        <v>FRI</v>
      </c>
      <c r="G2016" s="214">
        <v>4.33</v>
      </c>
      <c r="H2016" s="422">
        <v>4.29</v>
      </c>
      <c r="I2016" s="454">
        <f t="shared" si="184"/>
        <v>-4.0000000000000036E-2</v>
      </c>
      <c r="J2016" s="15" t="s">
        <v>192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3"/>
      <c r="B2017" s="304"/>
      <c r="C2017" s="390">
        <f t="shared" si="185"/>
        <v>45815</v>
      </c>
      <c r="E2017" s="170"/>
      <c r="F2017" s="58" t="str">
        <f>VLOOKUP(MOD(C2017,7),'CALENDAR INFO'!$L$2:$M$8,2)</f>
        <v>SAT</v>
      </c>
      <c r="G2017" s="214">
        <v>4.33</v>
      </c>
      <c r="H2017" s="422">
        <v>4.29</v>
      </c>
      <c r="I2017" s="454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3"/>
      <c r="B2018" s="304"/>
      <c r="C2018" s="390">
        <f t="shared" si="185"/>
        <v>45816</v>
      </c>
      <c r="E2018" s="170"/>
      <c r="F2018" s="58" t="str">
        <f>VLOOKUP(MOD(C2018,7),'CALENDAR INFO'!$L$2:$M$8,2)</f>
        <v>SUN</v>
      </c>
      <c r="G2018" s="214">
        <v>4.33</v>
      </c>
      <c r="H2018" s="422">
        <v>4.29</v>
      </c>
      <c r="I2018" s="454">
        <f t="shared" si="184"/>
        <v>-4.0000000000000036E-2</v>
      </c>
      <c r="J2018" s="15" t="s">
        <v>212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3"/>
      <c r="B2019" s="304"/>
      <c r="C2019" s="103">
        <f t="shared" si="185"/>
        <v>45817</v>
      </c>
      <c r="E2019" s="170"/>
      <c r="F2019" s="58" t="str">
        <f>VLOOKUP(MOD(C2019,7),'CALENDAR INFO'!$L$2:$M$8,2)</f>
        <v>MON</v>
      </c>
      <c r="G2019" s="214">
        <v>4.33</v>
      </c>
      <c r="H2019" s="422">
        <v>4.29</v>
      </c>
      <c r="I2019" s="454">
        <f t="shared" si="184"/>
        <v>-4.0000000000000036E-2</v>
      </c>
      <c r="J2019" s="15" t="s">
        <v>213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3"/>
      <c r="B2020" s="304"/>
      <c r="C2020" s="103">
        <f t="shared" si="185"/>
        <v>45818</v>
      </c>
      <c r="E2020" s="170"/>
      <c r="F2020" s="58" t="str">
        <f>VLOOKUP(MOD(C2020,7),'CALENDAR INFO'!$L$2:$M$8,2)</f>
        <v>TUE</v>
      </c>
      <c r="G2020" s="214">
        <v>4.33</v>
      </c>
      <c r="H2020" s="422">
        <v>4.28</v>
      </c>
      <c r="I2020" s="454">
        <f t="shared" si="184"/>
        <v>-4.9999999999999822E-2</v>
      </c>
      <c r="J2020" s="15" t="s">
        <v>152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3"/>
      <c r="B2021" s="304"/>
      <c r="C2021" s="103">
        <f t="shared" si="185"/>
        <v>45819</v>
      </c>
      <c r="E2021" s="170" t="s">
        <v>19</v>
      </c>
      <c r="F2021" s="58" t="str">
        <f>VLOOKUP(MOD(C2021,7),'CALENDAR INFO'!$L$2:$M$8,2)</f>
        <v>WED</v>
      </c>
      <c r="G2021" s="214">
        <v>4.33</v>
      </c>
      <c r="H2021" s="422">
        <v>4.28</v>
      </c>
      <c r="I2021" s="454">
        <f t="shared" si="184"/>
        <v>-4.9999999999999822E-2</v>
      </c>
      <c r="J2021" s="15" t="s">
        <v>189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3"/>
      <c r="B2022" s="304"/>
      <c r="C2022" s="103">
        <f t="shared" si="185"/>
        <v>45820</v>
      </c>
      <c r="E2022" s="167" t="s">
        <v>18</v>
      </c>
      <c r="F2022" s="58" t="str">
        <f>VLOOKUP(MOD(C2022,7),'CALENDAR INFO'!$L$2:$M$8,2)</f>
        <v>THU</v>
      </c>
      <c r="G2022" s="214">
        <v>4.33</v>
      </c>
      <c r="H2022" s="422">
        <v>4.28</v>
      </c>
      <c r="I2022" s="454">
        <f t="shared" si="184"/>
        <v>-4.9999999999999822E-2</v>
      </c>
      <c r="J2022" s="15" t="s">
        <v>190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3"/>
      <c r="B2023" s="304"/>
      <c r="C2023" s="103">
        <f t="shared" si="185"/>
        <v>45821</v>
      </c>
      <c r="E2023" s="167"/>
      <c r="F2023" s="58" t="str">
        <f>VLOOKUP(MOD(C2023,7),'CALENDAR INFO'!$L$2:$M$8,2)</f>
        <v>FRI</v>
      </c>
      <c r="G2023" s="214">
        <v>4.33</v>
      </c>
      <c r="H2023" s="422">
        <v>4.28</v>
      </c>
      <c r="I2023" s="454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3"/>
      <c r="B2024" s="304"/>
      <c r="C2024" s="103">
        <f t="shared" si="185"/>
        <v>45822</v>
      </c>
      <c r="E2024" s="167"/>
      <c r="F2024" s="58" t="str">
        <f>VLOOKUP(MOD(C2024,7),'CALENDAR INFO'!$L$2:$M$8,2)</f>
        <v>SAT</v>
      </c>
      <c r="G2024" s="214">
        <v>4.33</v>
      </c>
      <c r="H2024" s="422">
        <v>4.28</v>
      </c>
      <c r="I2024" s="454">
        <f t="shared" si="184"/>
        <v>-4.9999999999999822E-2</v>
      </c>
      <c r="J2024" s="15" t="s">
        <v>193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3"/>
      <c r="B2025" s="304"/>
      <c r="C2025" s="103">
        <f t="shared" si="185"/>
        <v>45823</v>
      </c>
      <c r="E2025" s="167"/>
      <c r="F2025" s="58" t="str">
        <f>VLOOKUP(MOD(C2025,7),'CALENDAR INFO'!$L$2:$M$8,2)</f>
        <v>SUN</v>
      </c>
      <c r="G2025" s="214">
        <v>4.33</v>
      </c>
      <c r="H2025" s="422">
        <v>4.28</v>
      </c>
      <c r="I2025" s="454">
        <f t="shared" si="184"/>
        <v>-4.9999999999999822E-2</v>
      </c>
      <c r="J2025" s="15" t="s">
        <v>194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3"/>
      <c r="B2026" s="304"/>
      <c r="C2026" s="103">
        <f t="shared" si="185"/>
        <v>45824</v>
      </c>
      <c r="E2026" s="167"/>
      <c r="F2026" s="58" t="str">
        <f>VLOOKUP(MOD(C2026,7),'CALENDAR INFO'!$L$2:$M$8,2)</f>
        <v>MON</v>
      </c>
      <c r="G2026" s="214">
        <v>4.33</v>
      </c>
      <c r="H2026" s="422">
        <v>4.32</v>
      </c>
      <c r="I2026" s="454">
        <f t="shared" si="184"/>
        <v>-9.9999999999997868E-3</v>
      </c>
      <c r="J2026" s="15" t="s">
        <v>195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3"/>
      <c r="B2027" s="304"/>
      <c r="C2027" s="103">
        <f t="shared" si="185"/>
        <v>45825</v>
      </c>
      <c r="D2027" s="153" t="s">
        <v>20</v>
      </c>
      <c r="E2027" s="167"/>
      <c r="F2027" s="58" t="str">
        <f>VLOOKUP(MOD(C2027,7),'CALENDAR INFO'!$L$2:$M$8,2)</f>
        <v>TUE</v>
      </c>
      <c r="G2027" s="214">
        <v>4.33</v>
      </c>
      <c r="H2027" s="422">
        <v>4.3099999999999996</v>
      </c>
      <c r="I2027" s="454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3"/>
      <c r="B2028" s="304"/>
      <c r="C2028" s="103">
        <f t="shared" si="185"/>
        <v>45826</v>
      </c>
      <c r="D2028" s="153" t="s">
        <v>20</v>
      </c>
      <c r="E2028" s="167"/>
      <c r="F2028" s="58" t="str">
        <f>VLOOKUP(MOD(C2028,7),'CALENDAR INFO'!$L$2:$M$8,2)</f>
        <v>WED</v>
      </c>
      <c r="G2028" s="214">
        <v>4.33</v>
      </c>
      <c r="H2028" s="422">
        <v>4.28</v>
      </c>
      <c r="I2028" s="454">
        <f t="shared" si="184"/>
        <v>-4.9999999999999822E-2</v>
      </c>
      <c r="J2028" s="15" t="s">
        <v>196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0"/>
      <c r="B2029" s="361"/>
      <c r="C2029" s="103">
        <f t="shared" si="185"/>
        <v>45827</v>
      </c>
      <c r="D2029" s="173" t="s">
        <v>197</v>
      </c>
      <c r="E2029" s="167"/>
      <c r="F2029" s="58" t="str">
        <f>VLOOKUP(MOD(C2029,7),'CALENDAR INFO'!$L$2:$M$8,2)</f>
        <v>THU</v>
      </c>
      <c r="G2029" s="214">
        <v>4.33</v>
      </c>
      <c r="H2029" s="422">
        <v>4.28</v>
      </c>
      <c r="I2029" s="454">
        <f t="shared" si="184"/>
        <v>-4.9999999999999822E-2</v>
      </c>
      <c r="J2029" s="15" t="s">
        <v>117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INFO'!$L$2:$M$8,2)</f>
        <v>FRI</v>
      </c>
      <c r="G2030" s="214">
        <v>4.33</v>
      </c>
      <c r="H2030" s="422">
        <v>4.29</v>
      </c>
      <c r="I2030" s="454">
        <f t="shared" si="184"/>
        <v>-4.0000000000000036E-2</v>
      </c>
      <c r="J2030" s="15" t="s">
        <v>183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INFO'!$L$2:$M$8,2)</f>
        <v>SAT</v>
      </c>
      <c r="G2031" s="214">
        <v>4.33</v>
      </c>
      <c r="H2031" s="422">
        <v>4.29</v>
      </c>
      <c r="I2031" s="454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INFO'!$L$2:$M$8,2)</f>
        <v>SUN</v>
      </c>
      <c r="G2032" s="214">
        <v>4.33</v>
      </c>
      <c r="H2032" s="422">
        <v>4.29</v>
      </c>
      <c r="I2032" s="454">
        <f t="shared" si="184"/>
        <v>-4.0000000000000036E-2</v>
      </c>
      <c r="J2032" s="15" t="s">
        <v>186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INFO'!$L$2:$M$8,2)</f>
        <v>MON</v>
      </c>
      <c r="G2033" s="214">
        <v>4.33</v>
      </c>
      <c r="H2033" s="422">
        <v>4.29</v>
      </c>
      <c r="I2033" s="454">
        <f t="shared" si="184"/>
        <v>-4.0000000000000036E-2</v>
      </c>
      <c r="J2033" s="15" t="s">
        <v>154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INFO'!$L$2:$M$8,2)</f>
        <v>TUE</v>
      </c>
      <c r="G2034" s="214">
        <v>4.33</v>
      </c>
      <c r="H2034" s="422">
        <v>4.3</v>
      </c>
      <c r="I2034" s="454">
        <f t="shared" si="184"/>
        <v>-3.0000000000000249E-2</v>
      </c>
      <c r="J2034" s="15" t="s">
        <v>184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INFO'!$L$2:$M$8,2)</f>
        <v>WED</v>
      </c>
      <c r="G2035" s="214">
        <v>4.33</v>
      </c>
      <c r="H2035" s="422">
        <v>4.3600000000000003</v>
      </c>
      <c r="I2035" s="454">
        <f t="shared" si="184"/>
        <v>3.0000000000000249E-2</v>
      </c>
      <c r="J2035" s="15" t="s">
        <v>185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INFO'!$L$2:$M$8,2)</f>
        <v>THU</v>
      </c>
      <c r="G2036" s="214">
        <v>4.33</v>
      </c>
      <c r="H2036" s="422">
        <v>4.4000000000000004</v>
      </c>
      <c r="I2036" s="454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INFO'!$L$2:$M$8,2)</f>
        <v>FRI</v>
      </c>
      <c r="G2037" s="214">
        <v>4.33</v>
      </c>
      <c r="H2037" s="422">
        <v>4.3899999999999997</v>
      </c>
      <c r="I2037" s="454">
        <f t="shared" si="184"/>
        <v>5.9999999999999609E-2</v>
      </c>
      <c r="J2037" s="15" t="s">
        <v>187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INFO'!$L$2:$M$8,2)</f>
        <v>SAT</v>
      </c>
      <c r="G2038" s="214">
        <v>4.33</v>
      </c>
      <c r="H2038" s="422">
        <v>4.3899999999999997</v>
      </c>
      <c r="I2038" s="454">
        <f t="shared" si="184"/>
        <v>5.9999999999999609E-2</v>
      </c>
      <c r="J2038" s="15" t="s">
        <v>188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INFO'!$L$2:$M$8,2)</f>
        <v>SUN</v>
      </c>
      <c r="G2039" s="214">
        <v>4.33</v>
      </c>
      <c r="H2039" s="422">
        <v>4.3899999999999997</v>
      </c>
      <c r="I2039" s="454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INFO'!$L$2:$M$8,2)</f>
        <v>MON</v>
      </c>
      <c r="G2040" s="215">
        <v>4.33</v>
      </c>
      <c r="H2040" s="423">
        <v>4.45</v>
      </c>
      <c r="I2040" s="455">
        <f t="shared" si="184"/>
        <v>0.12000000000000011</v>
      </c>
      <c r="J2040" s="421" t="s">
        <v>201</v>
      </c>
      <c r="K2040" s="339">
        <f ca="1">100-K2033/K2029</f>
        <v>100</v>
      </c>
      <c r="L2040" s="340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3"/>
      <c r="B2041" s="304"/>
      <c r="C2041" s="103">
        <f t="shared" si="185"/>
        <v>45839</v>
      </c>
      <c r="E2041" s="170"/>
      <c r="F2041" s="58" t="str">
        <f>VLOOKUP(MOD(C2041,7),'CALENDAR INFO'!$L$2:$M$8,2)</f>
        <v>TUE</v>
      </c>
      <c r="G2041" s="214">
        <v>4.33</v>
      </c>
      <c r="H2041" s="422">
        <v>4.4400000000000004</v>
      </c>
      <c r="I2041" s="454">
        <f t="shared" si="184"/>
        <v>0.11000000000000032</v>
      </c>
      <c r="J2041" s="15" t="s">
        <v>150</v>
      </c>
      <c r="K2041" s="359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3"/>
      <c r="B2042" s="304"/>
      <c r="C2042" s="103">
        <f t="shared" si="185"/>
        <v>45840</v>
      </c>
      <c r="E2042" s="170"/>
      <c r="F2042" s="58" t="str">
        <f>VLOOKUP(MOD(C2042,7),'CALENDAR INFO'!$L$2:$M$8,2)</f>
        <v>WED</v>
      </c>
      <c r="G2042" s="214">
        <v>4.33</v>
      </c>
      <c r="H2042" s="422">
        <v>4.4000000000000004</v>
      </c>
      <c r="I2042" s="454">
        <f t="shared" si="184"/>
        <v>7.0000000000000284E-2</v>
      </c>
      <c r="J2042" s="15" t="s">
        <v>117</v>
      </c>
      <c r="K2042" s="15">
        <f>VLOOKUP(MONTH($C2041),'CALENDAR INFO'!$O$2:$P$13,2)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3"/>
      <c r="B2043" s="304"/>
      <c r="C2043" s="103">
        <f t="shared" si="185"/>
        <v>45841</v>
      </c>
      <c r="E2043" s="170"/>
      <c r="F2043" s="58" t="str">
        <f>VLOOKUP(MOD(C2043,7),'CALENDAR INFO'!$L$2:$M$8,2)</f>
        <v>THU</v>
      </c>
      <c r="G2043" s="214">
        <v>4.33</v>
      </c>
      <c r="H2043" s="422">
        <v>4.3499999999999996</v>
      </c>
      <c r="I2043" s="454">
        <f t="shared" si="184"/>
        <v>1.9999999999999574E-2</v>
      </c>
      <c r="J2043" s="15" t="s">
        <v>151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3"/>
      <c r="B2044" s="304"/>
      <c r="C2044" s="103">
        <f t="shared" si="185"/>
        <v>45842</v>
      </c>
      <c r="D2044" s="173" t="s">
        <v>49</v>
      </c>
      <c r="E2044" s="170"/>
      <c r="F2044" s="58" t="str">
        <f>VLOOKUP(MOD(C2044,7),'CALENDAR INFO'!$L$2:$M$8,2)</f>
        <v>FRI</v>
      </c>
      <c r="G2044" s="214">
        <v>4.33</v>
      </c>
      <c r="H2044" s="422">
        <v>4.3499999999999996</v>
      </c>
      <c r="I2044" s="454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3"/>
      <c r="B2045" s="304"/>
      <c r="C2045" s="103">
        <f t="shared" si="185"/>
        <v>45843</v>
      </c>
      <c r="E2045" s="170"/>
      <c r="F2045" s="58" t="str">
        <f>VLOOKUP(MOD(C2045,7),'CALENDAR INFO'!$L$2:$M$8,2)</f>
        <v>SAT</v>
      </c>
      <c r="G2045" s="214">
        <v>4.33</v>
      </c>
      <c r="H2045" s="422">
        <v>4.3499999999999996</v>
      </c>
      <c r="I2045" s="454">
        <f t="shared" si="184"/>
        <v>1.9999999999999574E-2</v>
      </c>
      <c r="J2045" s="15" t="s">
        <v>191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3"/>
      <c r="B2046" s="304"/>
      <c r="C2046" s="103">
        <f t="shared" si="185"/>
        <v>45844</v>
      </c>
      <c r="E2046" s="170"/>
      <c r="F2046" s="58" t="str">
        <f>VLOOKUP(MOD(C2046,7),'CALENDAR INFO'!$L$2:$M$8,2)</f>
        <v>SUN</v>
      </c>
      <c r="G2046" s="214">
        <v>4.33</v>
      </c>
      <c r="H2046" s="422">
        <v>4.3499999999999996</v>
      </c>
      <c r="I2046" s="454">
        <f t="shared" si="184"/>
        <v>1.9999999999999574E-2</v>
      </c>
      <c r="J2046" s="15" t="s">
        <v>192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3"/>
      <c r="B2047" s="304"/>
      <c r="C2047" s="103">
        <f t="shared" si="185"/>
        <v>45845</v>
      </c>
      <c r="E2047" s="170"/>
      <c r="F2047" s="58" t="str">
        <f>VLOOKUP(MOD(C2047,7),'CALENDAR INFO'!$L$2:$M$8,2)</f>
        <v>MON</v>
      </c>
      <c r="G2047" s="214">
        <v>4.33</v>
      </c>
      <c r="H2047" s="422">
        <v>4.33</v>
      </c>
      <c r="I2047" s="454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3"/>
      <c r="B2048" s="304"/>
      <c r="C2048" s="103">
        <f t="shared" si="185"/>
        <v>45846</v>
      </c>
      <c r="E2048" s="170"/>
      <c r="F2048" s="58" t="str">
        <f>VLOOKUP(MOD(C2048,7),'CALENDAR INFO'!$L$2:$M$8,2)</f>
        <v>TUE</v>
      </c>
      <c r="G2048" s="214">
        <v>4.33</v>
      </c>
      <c r="H2048" s="422">
        <v>4.34</v>
      </c>
      <c r="I2048" s="454">
        <f t="shared" si="184"/>
        <v>9.9999999999997868E-3</v>
      </c>
      <c r="J2048" s="15" t="s">
        <v>212</v>
      </c>
      <c r="K2048" s="15" t="s">
        <v>224</v>
      </c>
      <c r="L2048" s="179" t="s">
        <v>225</v>
      </c>
      <c r="M2048" s="113">
        <f t="shared" si="191"/>
        <v>1</v>
      </c>
      <c r="N2048" s="64">
        <f t="shared" si="187"/>
        <v>1.0001205555555555</v>
      </c>
    </row>
    <row r="2049" spans="1:14">
      <c r="A2049" s="303"/>
      <c r="B2049" s="304"/>
      <c r="C2049" s="103">
        <f t="shared" si="185"/>
        <v>45847</v>
      </c>
      <c r="E2049" s="170" t="s">
        <v>19</v>
      </c>
      <c r="F2049" s="58" t="str">
        <f>VLOOKUP(MOD(C2049,7),'CALENDAR INFO'!$L$2:$M$8,2)</f>
        <v>WED</v>
      </c>
      <c r="G2049" s="214">
        <v>4.33</v>
      </c>
      <c r="H2049" s="422">
        <v>4.32</v>
      </c>
      <c r="I2049" s="454">
        <f t="shared" si="184"/>
        <v>-9.9999999999997868E-3</v>
      </c>
      <c r="J2049" s="15" t="s">
        <v>213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3"/>
      <c r="B2050" s="304"/>
      <c r="C2050" s="103">
        <f t="shared" si="185"/>
        <v>45848</v>
      </c>
      <c r="E2050" s="167" t="s">
        <v>18</v>
      </c>
      <c r="F2050" s="58" t="str">
        <f>VLOOKUP(MOD(C2050,7),'CALENDAR INFO'!$L$2:$M$8,2)</f>
        <v>THU</v>
      </c>
      <c r="G2050" s="214">
        <v>4.33</v>
      </c>
      <c r="H2050" s="422">
        <v>4.3099999999999996</v>
      </c>
      <c r="I2050" s="454">
        <f t="shared" si="184"/>
        <v>-2.0000000000000462E-2</v>
      </c>
      <c r="J2050" s="15" t="s">
        <v>152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3"/>
      <c r="B2051" s="304"/>
      <c r="C2051" s="103">
        <f t="shared" si="185"/>
        <v>45849</v>
      </c>
      <c r="E2051" s="167"/>
      <c r="F2051" s="58" t="str">
        <f>VLOOKUP(MOD(C2051,7),'CALENDAR INFO'!$L$2:$M$8,2)</f>
        <v>FRI</v>
      </c>
      <c r="G2051" s="214">
        <v>4.33</v>
      </c>
      <c r="H2051" s="422">
        <v>4.3099999999999996</v>
      </c>
      <c r="I2051" s="454">
        <f t="shared" ref="I2051:I2114" si="192">H2051-G2051</f>
        <v>-2.0000000000000462E-2</v>
      </c>
      <c r="J2051" s="15" t="s">
        <v>189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3"/>
      <c r="B2052" s="304"/>
      <c r="C2052" s="103">
        <f t="shared" ref="C2052:C2115" si="193">C2051+1</f>
        <v>45850</v>
      </c>
      <c r="E2052" s="167"/>
      <c r="F2052" s="58" t="str">
        <f>VLOOKUP(MOD(C2052,7),'CALENDAR INFO'!$L$2:$M$8,2)</f>
        <v>SAT</v>
      </c>
      <c r="G2052" s="214">
        <v>4.33</v>
      </c>
      <c r="H2052" s="422">
        <v>4.3099999999999996</v>
      </c>
      <c r="I2052" s="454">
        <f t="shared" si="192"/>
        <v>-2.0000000000000462E-2</v>
      </c>
      <c r="J2052" s="15" t="s">
        <v>190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3"/>
      <c r="B2053" s="304"/>
      <c r="C2053" s="103">
        <f t="shared" si="193"/>
        <v>45851</v>
      </c>
      <c r="E2053" s="167"/>
      <c r="F2053" s="58" t="str">
        <f>VLOOKUP(MOD(C2053,7),'CALENDAR INFO'!$L$2:$M$8,2)</f>
        <v>SUN</v>
      </c>
      <c r="G2053" s="214">
        <v>4.33</v>
      </c>
      <c r="H2053" s="422">
        <v>4.3099999999999996</v>
      </c>
      <c r="I2053" s="454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3"/>
      <c r="B2054" s="304"/>
      <c r="C2054" s="103">
        <f t="shared" si="193"/>
        <v>45852</v>
      </c>
      <c r="E2054" s="167"/>
      <c r="F2054" s="58" t="str">
        <f>VLOOKUP(MOD(C2054,7),'CALENDAR INFO'!$L$2:$M$8,2)</f>
        <v>MON</v>
      </c>
      <c r="G2054" s="214">
        <v>4.33</v>
      </c>
      <c r="H2054" s="422">
        <v>4.33</v>
      </c>
      <c r="I2054" s="454">
        <f t="shared" si="192"/>
        <v>0</v>
      </c>
      <c r="J2054" s="15" t="s">
        <v>193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3"/>
      <c r="B2055" s="304"/>
      <c r="C2055" s="103">
        <f t="shared" si="193"/>
        <v>45853</v>
      </c>
      <c r="E2055" s="167"/>
      <c r="F2055" s="58" t="str">
        <f>VLOOKUP(MOD(C2055,7),'CALENDAR INFO'!$L$2:$M$8,2)</f>
        <v>TUE</v>
      </c>
      <c r="G2055" s="214">
        <v>4.33</v>
      </c>
      <c r="H2055" s="422">
        <v>4.37</v>
      </c>
      <c r="I2055" s="454">
        <f t="shared" si="192"/>
        <v>4.0000000000000036E-2</v>
      </c>
      <c r="J2055" s="15" t="s">
        <v>194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3"/>
      <c r="B2056" s="304"/>
      <c r="C2056" s="103">
        <f t="shared" si="193"/>
        <v>45854</v>
      </c>
      <c r="E2056" s="167"/>
      <c r="F2056" s="58" t="str">
        <f>VLOOKUP(MOD(C2056,7),'CALENDAR INFO'!$L$2:$M$8,2)</f>
        <v>WED</v>
      </c>
      <c r="G2056" s="214">
        <v>4.33</v>
      </c>
      <c r="H2056" s="422">
        <v>4.34</v>
      </c>
      <c r="I2056" s="454">
        <f t="shared" si="192"/>
        <v>9.9999999999997868E-3</v>
      </c>
      <c r="J2056" s="15" t="s">
        <v>195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3"/>
      <c r="B2057" s="304"/>
      <c r="C2057" s="103">
        <f t="shared" si="193"/>
        <v>45855</v>
      </c>
      <c r="E2057" s="167"/>
      <c r="F2057" s="58" t="str">
        <f>VLOOKUP(MOD(C2057,7),'CALENDAR INFO'!$L$2:$M$8,2)</f>
        <v>THU</v>
      </c>
      <c r="G2057" s="214">
        <v>4.33</v>
      </c>
      <c r="H2057" s="422">
        <v>4.34</v>
      </c>
      <c r="I2057" s="454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3"/>
      <c r="B2058" s="304"/>
      <c r="C2058" s="103">
        <f t="shared" si="193"/>
        <v>45856</v>
      </c>
      <c r="E2058" s="167"/>
      <c r="F2058" s="58" t="str">
        <f>VLOOKUP(MOD(C2058,7),'CALENDAR INFO'!$L$2:$M$8,2)</f>
        <v>FRI</v>
      </c>
      <c r="G2058" s="214">
        <v>4.33</v>
      </c>
      <c r="H2058" s="422">
        <v>4.3</v>
      </c>
      <c r="I2058" s="454">
        <f t="shared" si="192"/>
        <v>-3.0000000000000249E-2</v>
      </c>
      <c r="J2058" s="15" t="s">
        <v>196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3"/>
      <c r="B2059" s="304"/>
      <c r="C2059" s="103">
        <f t="shared" si="193"/>
        <v>45857</v>
      </c>
      <c r="E2059" s="167"/>
      <c r="F2059" s="58" t="str">
        <f>VLOOKUP(MOD(C2059,7),'CALENDAR INFO'!$L$2:$M$8,2)</f>
        <v>SAT</v>
      </c>
      <c r="G2059" s="214">
        <v>4.33</v>
      </c>
      <c r="H2059" s="422">
        <v>4.3</v>
      </c>
      <c r="I2059" s="454">
        <f t="shared" si="192"/>
        <v>-3.0000000000000249E-2</v>
      </c>
      <c r="J2059" s="15" t="s">
        <v>117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3"/>
      <c r="B2060" s="304"/>
      <c r="C2060" s="103">
        <f t="shared" si="193"/>
        <v>45858</v>
      </c>
      <c r="E2060" s="167"/>
      <c r="F2060" s="58" t="str">
        <f>VLOOKUP(MOD(C2060,7),'CALENDAR INFO'!$L$2:$M$8,2)</f>
        <v>SUN</v>
      </c>
      <c r="G2060" s="214">
        <v>4.33</v>
      </c>
      <c r="H2060" s="422">
        <v>4.3</v>
      </c>
      <c r="I2060" s="454">
        <f t="shared" si="192"/>
        <v>-3.0000000000000249E-2</v>
      </c>
      <c r="J2060" s="15" t="s">
        <v>183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3"/>
      <c r="B2061" s="304"/>
      <c r="C2061" s="103">
        <f t="shared" si="193"/>
        <v>45859</v>
      </c>
      <c r="E2061" s="167"/>
      <c r="F2061" s="58" t="str">
        <f>VLOOKUP(MOD(C2061,7),'CALENDAR INFO'!$L$2:$M$8,2)</f>
        <v>MON</v>
      </c>
      <c r="G2061" s="214">
        <v>4.33</v>
      </c>
      <c r="H2061" s="422">
        <v>4.28</v>
      </c>
      <c r="I2061" s="454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3"/>
      <c r="B2062" s="304"/>
      <c r="C2062" s="103">
        <f t="shared" si="193"/>
        <v>45860</v>
      </c>
      <c r="E2062" s="167"/>
      <c r="F2062" s="58" t="str">
        <f>VLOOKUP(MOD(C2062,7),'CALENDAR INFO'!$L$2:$M$8,2)</f>
        <v>TUE</v>
      </c>
      <c r="G2062" s="214">
        <v>4.33</v>
      </c>
      <c r="H2062" s="422">
        <v>4.28</v>
      </c>
      <c r="I2062" s="454">
        <f t="shared" si="192"/>
        <v>-4.9999999999999822E-2</v>
      </c>
      <c r="J2062" s="15" t="s">
        <v>186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3"/>
      <c r="B2063" s="304"/>
      <c r="C2063" s="103">
        <f t="shared" si="193"/>
        <v>45861</v>
      </c>
      <c r="E2063" s="167" t="s">
        <v>19</v>
      </c>
      <c r="F2063" s="58" t="str">
        <f>VLOOKUP(MOD(C2063,7),'CALENDAR INFO'!$L$2:$M$8,2)</f>
        <v>WED</v>
      </c>
      <c r="G2063" s="214">
        <v>4.33</v>
      </c>
      <c r="H2063" s="422">
        <v>4.28</v>
      </c>
      <c r="I2063" s="454">
        <f t="shared" si="192"/>
        <v>-4.9999999999999822E-2</v>
      </c>
      <c r="J2063" s="15" t="s">
        <v>154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3"/>
      <c r="B2064" s="304"/>
      <c r="C2064" s="103">
        <f t="shared" si="193"/>
        <v>45862</v>
      </c>
      <c r="E2064" s="170" t="s">
        <v>18</v>
      </c>
      <c r="F2064" s="58" t="str">
        <f>VLOOKUP(MOD(C2064,7),'CALENDAR INFO'!$L$2:$M$8,2)</f>
        <v>THU</v>
      </c>
      <c r="G2064" s="214">
        <v>4.33</v>
      </c>
      <c r="H2064" s="422">
        <v>4.3</v>
      </c>
      <c r="I2064" s="454">
        <f t="shared" si="192"/>
        <v>-3.0000000000000249E-2</v>
      </c>
      <c r="J2064" s="15" t="s">
        <v>184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3"/>
      <c r="B2065" s="304"/>
      <c r="C2065" s="103">
        <f t="shared" si="193"/>
        <v>45863</v>
      </c>
      <c r="E2065" s="170"/>
      <c r="F2065" s="58" t="str">
        <f>VLOOKUP(MOD(C2065,7),'CALENDAR INFO'!$L$2:$M$8,2)</f>
        <v>FRI</v>
      </c>
      <c r="G2065" s="214">
        <v>4.33</v>
      </c>
      <c r="H2065" s="422">
        <v>4.3600000000000003</v>
      </c>
      <c r="I2065" s="454">
        <f t="shared" si="192"/>
        <v>3.0000000000000249E-2</v>
      </c>
      <c r="J2065" s="15" t="s">
        <v>185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3"/>
      <c r="B2066" s="304"/>
      <c r="C2066" s="103">
        <f t="shared" si="193"/>
        <v>45864</v>
      </c>
      <c r="E2066" s="170"/>
      <c r="F2066" s="58" t="str">
        <f>VLOOKUP(MOD(C2066,7),'CALENDAR INFO'!$L$2:$M$8,2)</f>
        <v>SAT</v>
      </c>
      <c r="G2066" s="214">
        <v>4.33</v>
      </c>
      <c r="H2066" s="422">
        <v>4.3600000000000003</v>
      </c>
      <c r="I2066" s="454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3"/>
      <c r="B2067" s="304"/>
      <c r="C2067" s="103">
        <f t="shared" si="193"/>
        <v>45865</v>
      </c>
      <c r="E2067" s="170"/>
      <c r="F2067" s="58" t="str">
        <f>VLOOKUP(MOD(C2067,7),'CALENDAR INFO'!$L$2:$M$8,2)</f>
        <v>SUN</v>
      </c>
      <c r="G2067" s="214">
        <v>4.33</v>
      </c>
      <c r="H2067" s="422">
        <v>4.3600000000000003</v>
      </c>
      <c r="I2067" s="454">
        <f t="shared" si="192"/>
        <v>3.0000000000000249E-2</v>
      </c>
      <c r="J2067" s="15" t="s">
        <v>220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3"/>
      <c r="B2068" s="304"/>
      <c r="C2068" s="103">
        <f t="shared" si="193"/>
        <v>45866</v>
      </c>
      <c r="E2068" s="170"/>
      <c r="F2068" s="58" t="str">
        <f>VLOOKUP(MOD(C2068,7),'CALENDAR INFO'!$L$2:$M$8,2)</f>
        <v>MON</v>
      </c>
      <c r="G2068" s="214">
        <v>4.33</v>
      </c>
      <c r="H2068" s="422">
        <v>4.3600000000000003</v>
      </c>
      <c r="I2068" s="454">
        <f t="shared" si="192"/>
        <v>3.0000000000000249E-2</v>
      </c>
      <c r="J2068" s="15" t="s">
        <v>221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3"/>
      <c r="B2069" s="304"/>
      <c r="C2069" s="103">
        <f t="shared" si="193"/>
        <v>45867</v>
      </c>
      <c r="D2069" s="153" t="s">
        <v>20</v>
      </c>
      <c r="E2069" s="170"/>
      <c r="F2069" s="58" t="str">
        <f>VLOOKUP(MOD(C2069,7),'CALENDAR INFO'!$L$2:$M$8,2)</f>
        <v>TUE</v>
      </c>
      <c r="G2069" s="214">
        <v>4.33</v>
      </c>
      <c r="H2069" s="422">
        <v>4.3600000000000003</v>
      </c>
      <c r="I2069" s="454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3"/>
      <c r="B2070" s="304"/>
      <c r="C2070" s="103">
        <f t="shared" si="193"/>
        <v>45868</v>
      </c>
      <c r="D2070" s="153" t="s">
        <v>20</v>
      </c>
      <c r="E2070" s="170"/>
      <c r="F2070" s="58" t="str">
        <f>VLOOKUP(MOD(C2070,7),'CALENDAR INFO'!$L$2:$M$8,2)</f>
        <v>WED</v>
      </c>
      <c r="G2070" s="214">
        <v>4.33</v>
      </c>
      <c r="H2070" s="422">
        <v>4.32</v>
      </c>
      <c r="I2070" s="454">
        <f t="shared" si="192"/>
        <v>-9.9999999999997868E-3</v>
      </c>
      <c r="K2070" s="189">
        <f>100-AVERAGE(G2041:G2071)</f>
        <v>95.67</v>
      </c>
      <c r="L2070" s="412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7"/>
      <c r="B2071" s="358"/>
      <c r="C2071" s="104">
        <f t="shared" si="193"/>
        <v>45869</v>
      </c>
      <c r="D2071" s="112"/>
      <c r="E2071" s="101"/>
      <c r="F2071" s="71" t="str">
        <f>VLOOKUP(MOD(C2071,7),'CALENDAR INFO'!$L$2:$M$8,2)</f>
        <v>THU</v>
      </c>
      <c r="G2071" s="215">
        <v>4.33</v>
      </c>
      <c r="H2071" s="423">
        <v>4.3899999999999997</v>
      </c>
      <c r="I2071" s="455">
        <f t="shared" si="192"/>
        <v>5.9999999999999609E-2</v>
      </c>
      <c r="J2071" s="421" t="s">
        <v>201</v>
      </c>
      <c r="K2071" s="339" t="e">
        <f ca="1">100-K2063/K2054</f>
        <v>#DIV/0!</v>
      </c>
      <c r="L2071" s="340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3"/>
      <c r="B2072" s="304"/>
      <c r="C2072" s="103">
        <f t="shared" si="193"/>
        <v>45870</v>
      </c>
      <c r="E2072" s="170"/>
      <c r="F2072" s="58" t="str">
        <f>VLOOKUP(MOD(C2072,7),'CALENDAR INFO'!$L$2:$M$8,2)</f>
        <v>FRI</v>
      </c>
      <c r="G2072" s="214">
        <v>4.33</v>
      </c>
      <c r="H2072" s="422">
        <v>4.34</v>
      </c>
      <c r="I2072" s="454">
        <f t="shared" si="192"/>
        <v>9.9999999999997868E-3</v>
      </c>
      <c r="J2072" s="15" t="s">
        <v>150</v>
      </c>
      <c r="K2072" s="359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INFO'!$L$2:$M$8,2)</f>
        <v>SAT</v>
      </c>
      <c r="G2073" s="214">
        <v>4.33</v>
      </c>
      <c r="H2073" s="422">
        <v>4.34</v>
      </c>
      <c r="I2073" s="454">
        <f t="shared" si="192"/>
        <v>9.9999999999997868E-3</v>
      </c>
      <c r="J2073" s="15" t="s">
        <v>117</v>
      </c>
      <c r="K2073" s="15">
        <f>VLOOKUP(MONTH($C2072),'CALENDAR INFO'!$O$2:$P$13,2)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INFO'!$L$2:$M$8,2)</f>
        <v>SUN</v>
      </c>
      <c r="G2074" s="214">
        <v>4.33</v>
      </c>
      <c r="H2074" s="422">
        <v>4.34</v>
      </c>
      <c r="I2074" s="454">
        <f t="shared" si="192"/>
        <v>9.9999999999997868E-3</v>
      </c>
      <c r="J2074" s="15" t="s">
        <v>151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INFO'!$L$2:$M$8,2)</f>
        <v>MON</v>
      </c>
      <c r="G2075" s="214">
        <v>4.33</v>
      </c>
      <c r="H2075" s="422">
        <v>4.33</v>
      </c>
      <c r="I2075" s="454">
        <f t="shared" si="192"/>
        <v>0</v>
      </c>
      <c r="J2075" s="15" t="s">
        <v>243</v>
      </c>
      <c r="K2075" s="310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INFO'!$L$2:$M$8,2)</f>
        <v>TUE</v>
      </c>
      <c r="G2076" s="214">
        <v>4.33</v>
      </c>
      <c r="H2076" s="422">
        <v>4.34</v>
      </c>
      <c r="I2076" s="454">
        <f t="shared" si="192"/>
        <v>9.9999999999997868E-3</v>
      </c>
      <c r="K2076" s="310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INFO'!$L$2:$M$8,2)</f>
        <v>WED</v>
      </c>
      <c r="G2077" s="214">
        <v>4.33</v>
      </c>
      <c r="H2077" s="422">
        <v>4.34</v>
      </c>
      <c r="I2077" s="454">
        <f t="shared" si="192"/>
        <v>9.9999999999997868E-3</v>
      </c>
      <c r="J2077" s="15" t="s">
        <v>152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INFO'!$L$2:$M$8,2)</f>
        <v>THU</v>
      </c>
      <c r="G2078" s="214">
        <v>4.33</v>
      </c>
      <c r="H2078" s="422">
        <v>4.3499999999999996</v>
      </c>
      <c r="I2078" s="454">
        <f t="shared" si="192"/>
        <v>1.9999999999999574E-2</v>
      </c>
      <c r="J2078" s="176" t="s">
        <v>234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INFO'!$L$2:$M$8,2)</f>
        <v>FRI</v>
      </c>
      <c r="G2079" s="214">
        <v>4.33</v>
      </c>
      <c r="H2079" s="422">
        <v>4.3499999999999996</v>
      </c>
      <c r="I2079" s="454">
        <f t="shared" si="192"/>
        <v>1.9999999999999574E-2</v>
      </c>
      <c r="J2079" s="176" t="s">
        <v>235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INFO'!$L$2:$M$8,2)</f>
        <v>SAT</v>
      </c>
      <c r="G2080" s="214">
        <v>4.33</v>
      </c>
      <c r="H2080" s="422">
        <v>4.3499999999999996</v>
      </c>
      <c r="I2080" s="454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INFO'!$L$2:$M$8,2)</f>
        <v>SUN</v>
      </c>
      <c r="G2081" s="214">
        <v>4.33</v>
      </c>
      <c r="H2081" s="422">
        <v>4.3499999999999996</v>
      </c>
      <c r="I2081" s="454">
        <f t="shared" si="192"/>
        <v>1.9999999999999574E-2</v>
      </c>
      <c r="J2081" s="15" t="s">
        <v>240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INFO'!$L$2:$M$8,2)</f>
        <v>MON</v>
      </c>
      <c r="G2082" s="214">
        <v>4.33</v>
      </c>
      <c r="H2082" s="422">
        <v>4.34</v>
      </c>
      <c r="I2082" s="454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INFO'!$L$2:$M$8,2)</f>
        <v>TUE</v>
      </c>
      <c r="G2083" s="214">
        <v>4.33</v>
      </c>
      <c r="H2083" s="422">
        <v>4.3600000000000003</v>
      </c>
      <c r="I2083" s="454">
        <f t="shared" si="192"/>
        <v>3.0000000000000249E-2</v>
      </c>
      <c r="J2083" s="15" t="s">
        <v>196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INFO'!$L$2:$M$8,2)</f>
        <v>WED</v>
      </c>
      <c r="G2084" s="214">
        <v>4.33</v>
      </c>
      <c r="H2084" s="422">
        <v>4.33</v>
      </c>
      <c r="I2084" s="454">
        <f t="shared" si="192"/>
        <v>0</v>
      </c>
      <c r="J2084" s="15" t="s">
        <v>117</v>
      </c>
      <c r="K2084" s="221">
        <f>VLOOKUP(MONTH($C2078),'CALENDAR INFO'!$O$2:$P$13,2)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INFO'!$L$2:$M$8,2)</f>
        <v>THU</v>
      </c>
      <c r="G2085" s="214">
        <v>4.33</v>
      </c>
      <c r="H2085" s="422">
        <v>4.34</v>
      </c>
      <c r="I2085" s="454">
        <f t="shared" si="192"/>
        <v>9.9999999999997868E-3</v>
      </c>
      <c r="J2085" s="15" t="s">
        <v>233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INFO'!$L$2:$M$8,2)</f>
        <v>FRI</v>
      </c>
      <c r="G2086" s="214">
        <v>4.33</v>
      </c>
      <c r="H2086" s="422">
        <v>4.3600000000000003</v>
      </c>
      <c r="I2086" s="454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INFO'!$L$2:$M$8,2)</f>
        <v>SAT</v>
      </c>
      <c r="G2087" s="214">
        <v>4.33</v>
      </c>
      <c r="H2087" s="422">
        <v>4.3600000000000003</v>
      </c>
      <c r="I2087" s="454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INFO'!$L$2:$M$8,2)</f>
        <v>SUN</v>
      </c>
      <c r="G2088" s="214">
        <v>4.33</v>
      </c>
      <c r="H2088" s="422">
        <v>4.3600000000000003</v>
      </c>
      <c r="I2088" s="454">
        <f t="shared" si="192"/>
        <v>3.0000000000000249E-2</v>
      </c>
      <c r="J2088" s="15" t="s">
        <v>154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INFO'!$L$2:$M$8,2)</f>
        <v>MON</v>
      </c>
      <c r="G2089" s="214">
        <v>4.33</v>
      </c>
      <c r="H2089" s="422">
        <v>4.34</v>
      </c>
      <c r="I2089" s="454">
        <f t="shared" si="192"/>
        <v>9.9999999999997868E-3</v>
      </c>
      <c r="J2089" s="15" t="s">
        <v>236</v>
      </c>
      <c r="K2089" s="397">
        <f ca="1">SUM(INDIRECT(K2078))</f>
        <v>0</v>
      </c>
      <c r="L2089" s="398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INFO'!$L$2:$M$8,2)</f>
        <v>TUE</v>
      </c>
      <c r="G2090" s="214">
        <v>4.33</v>
      </c>
      <c r="H2090" s="422">
        <v>4.33</v>
      </c>
      <c r="I2090" s="454">
        <f t="shared" si="192"/>
        <v>0</v>
      </c>
      <c r="J2090" s="15" t="s">
        <v>237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INFO'!$L$2:$M$8,2)</f>
        <v>WED</v>
      </c>
      <c r="G2091" s="214">
        <v>4.33</v>
      </c>
      <c r="H2091" s="422">
        <v>4.3099999999999996</v>
      </c>
      <c r="I2091" s="454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INFO'!$L$2:$M$8,2)</f>
        <v>THU</v>
      </c>
      <c r="G2092" s="214">
        <v>4.33</v>
      </c>
      <c r="H2092" s="422">
        <v>4.32</v>
      </c>
      <c r="I2092" s="454">
        <f t="shared" si="192"/>
        <v>-9.9999999999997868E-3</v>
      </c>
      <c r="J2092" s="15" t="s">
        <v>241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INFO'!$L$2:$M$8,2)</f>
        <v>FRI</v>
      </c>
      <c r="G2093" s="214">
        <v>4.33</v>
      </c>
      <c r="H2093" s="422">
        <v>4.3600000000000003</v>
      </c>
      <c r="I2093" s="454">
        <f t="shared" si="192"/>
        <v>3.0000000000000249E-2</v>
      </c>
      <c r="J2093" s="15" t="s">
        <v>193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INFO'!$L$2:$M$8,2)</f>
        <v>SAT</v>
      </c>
      <c r="G2094" s="214">
        <v>4.33</v>
      </c>
      <c r="H2094" s="422">
        <v>4.3600000000000003</v>
      </c>
      <c r="I2094" s="454">
        <f t="shared" si="192"/>
        <v>3.0000000000000249E-2</v>
      </c>
      <c r="J2094" s="15" t="s">
        <v>242</v>
      </c>
      <c r="K2094" s="399">
        <f ca="1">COUNTA(INDIRECT(K2078))</f>
        <v>0</v>
      </c>
      <c r="L2094" s="400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INFO'!$L$2:$M$8,2)</f>
        <v>SUN</v>
      </c>
      <c r="G2095" s="214">
        <v>4.33</v>
      </c>
      <c r="H2095" s="422">
        <v>4.3600000000000003</v>
      </c>
      <c r="I2095" s="454">
        <f t="shared" si="192"/>
        <v>3.0000000000000249E-2</v>
      </c>
      <c r="J2095" s="15" t="s">
        <v>238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INFO'!$L$2:$M$8,2)</f>
        <v>MON</v>
      </c>
      <c r="G2096" s="214">
        <v>4.33</v>
      </c>
      <c r="H2096" s="422">
        <v>4.37</v>
      </c>
      <c r="I2096" s="454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INFO'!$L$2:$M$8,2)</f>
        <v>TUE</v>
      </c>
      <c r="G2097" s="214">
        <v>4.33</v>
      </c>
      <c r="H2097" s="422">
        <v>4.38</v>
      </c>
      <c r="I2097" s="454">
        <f t="shared" si="192"/>
        <v>4.9999999999999822E-2</v>
      </c>
      <c r="J2097" s="15" t="s">
        <v>237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INFO'!$L$2:$M$8,2)</f>
        <v>WED</v>
      </c>
      <c r="G2098" s="214">
        <v>4.33</v>
      </c>
      <c r="H2098" s="422">
        <v>4.3600000000000003</v>
      </c>
      <c r="I2098" s="454">
        <f t="shared" si="192"/>
        <v>3.0000000000000249E-2</v>
      </c>
      <c r="J2098" s="15" t="s">
        <v>238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INFO'!$L$2:$M$8,2)</f>
        <v>THU</v>
      </c>
      <c r="G2099" s="214">
        <v>4.33</v>
      </c>
      <c r="H2099" s="422">
        <v>4.34</v>
      </c>
      <c r="I2099" s="454">
        <f t="shared" si="192"/>
        <v>9.9999999999997868E-3</v>
      </c>
      <c r="J2099" s="15" t="s">
        <v>239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INFO'!$L$2:$M$8,2)</f>
        <v>FRI</v>
      </c>
      <c r="G2100" s="214">
        <v>4.33</v>
      </c>
      <c r="H2100" s="422">
        <v>4.34</v>
      </c>
      <c r="I2100" s="454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INFO'!$L$2:$M$8,2)</f>
        <v>SAT</v>
      </c>
      <c r="G2101" s="214">
        <v>4.33</v>
      </c>
      <c r="H2101" s="422">
        <v>4.34</v>
      </c>
      <c r="I2101" s="454">
        <f t="shared" si="192"/>
        <v>9.9999999999997868E-3</v>
      </c>
      <c r="K2101" s="189">
        <f>100-AVERAGE(G2072:G2102)</f>
        <v>95.67</v>
      </c>
      <c r="L2101" s="412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INFO'!$L$2:$M$8,2)</f>
        <v>SUN</v>
      </c>
      <c r="G2102" s="215">
        <v>4.33</v>
      </c>
      <c r="H2102" s="423">
        <v>4.34</v>
      </c>
      <c r="I2102" s="455">
        <f t="shared" si="192"/>
        <v>9.9999999999997868E-3</v>
      </c>
      <c r="J2102" s="347"/>
      <c r="K2102" s="347"/>
      <c r="L2102" s="348"/>
      <c r="M2102" s="281">
        <f>IF(MOD(C2102,7)&lt;2,0,IF(MOD(C2102,7)=6,3,1))</f>
        <v>0</v>
      </c>
      <c r="N2102" s="292">
        <f t="shared" si="195"/>
        <v>1</v>
      </c>
    </row>
    <row r="2103" spans="1:14">
      <c r="A2103" s="303"/>
      <c r="B2103" s="304"/>
      <c r="C2103" s="103">
        <f t="shared" si="193"/>
        <v>45901</v>
      </c>
      <c r="D2103" s="173" t="s">
        <v>111</v>
      </c>
      <c r="E2103" s="170"/>
      <c r="F2103" s="58" t="str">
        <f>VLOOKUP(MOD(C2103,7),'CALENDAR INFO'!$L$2:$M$8,2)</f>
        <v>MON</v>
      </c>
      <c r="G2103" s="214">
        <v>4.33</v>
      </c>
      <c r="H2103" s="422">
        <v>4.34</v>
      </c>
      <c r="I2103" s="454">
        <f t="shared" si="192"/>
        <v>9.9999999999997868E-3</v>
      </c>
      <c r="J2103" s="15" t="s">
        <v>150</v>
      </c>
      <c r="K2103" s="359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3"/>
      <c r="B2104" s="304"/>
      <c r="C2104" s="103">
        <f t="shared" si="193"/>
        <v>45902</v>
      </c>
      <c r="E2104" s="170"/>
      <c r="F2104" s="58" t="str">
        <f>VLOOKUP(MOD(C2104,7),'CALENDAR INFO'!$L$2:$M$8,2)</f>
        <v>TUE</v>
      </c>
      <c r="G2104" s="214">
        <v>4.33</v>
      </c>
      <c r="H2104" s="422">
        <v>4.3899999999999997</v>
      </c>
      <c r="I2104" s="454">
        <f t="shared" si="192"/>
        <v>5.9999999999999609E-2</v>
      </c>
      <c r="J2104" s="15" t="s">
        <v>117</v>
      </c>
      <c r="K2104" s="15">
        <f>VLOOKUP(MONTH($C2103),'CALENDAR INFO'!$O$2:$P$13,2)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3"/>
      <c r="B2105" s="304"/>
      <c r="C2105" s="103">
        <f t="shared" si="193"/>
        <v>45903</v>
      </c>
      <c r="E2105" s="170" t="s">
        <v>19</v>
      </c>
      <c r="F2105" s="58" t="str">
        <f>VLOOKUP(MOD(C2105,7),'CALENDAR INFO'!$L$2:$M$8,2)</f>
        <v>WED</v>
      </c>
      <c r="G2105" s="214">
        <v>4.33</v>
      </c>
      <c r="H2105" s="422">
        <v>4.3899999999999997</v>
      </c>
      <c r="I2105" s="454">
        <f t="shared" si="192"/>
        <v>5.9999999999999609E-2</v>
      </c>
      <c r="J2105" s="15" t="s">
        <v>151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3"/>
      <c r="B2106" s="304"/>
      <c r="C2106" s="103">
        <f t="shared" si="193"/>
        <v>45904</v>
      </c>
      <c r="E2106" s="167" t="s">
        <v>18</v>
      </c>
      <c r="F2106" s="58" t="str">
        <f>VLOOKUP(MOD(C2106,7),'CALENDAR INFO'!$L$2:$M$8,2)</f>
        <v>THU</v>
      </c>
      <c r="G2106" s="214">
        <v>4.33</v>
      </c>
      <c r="H2106" s="422">
        <v>4.41</v>
      </c>
      <c r="I2106" s="454">
        <f t="shared" si="192"/>
        <v>8.0000000000000071E-2</v>
      </c>
      <c r="J2106" s="15" t="s">
        <v>243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3"/>
      <c r="B2107" s="304"/>
      <c r="C2107" s="103">
        <f t="shared" si="193"/>
        <v>45905</v>
      </c>
      <c r="E2107" s="167"/>
      <c r="F2107" s="58" t="str">
        <f>VLOOKUP(MOD(C2107,7),'CALENDAR INFO'!$L$2:$M$8,2)</f>
        <v>FRI</v>
      </c>
      <c r="G2107" s="214">
        <v>4.33</v>
      </c>
      <c r="H2107" s="422">
        <v>4.42</v>
      </c>
      <c r="I2107" s="454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3"/>
      <c r="B2108" s="304"/>
      <c r="C2108" s="103">
        <f t="shared" si="193"/>
        <v>45906</v>
      </c>
      <c r="E2108" s="167"/>
      <c r="F2108" s="58" t="str">
        <f>VLOOKUP(MOD(C2108,7),'CALENDAR INFO'!$L$2:$M$8,2)</f>
        <v>SAT</v>
      </c>
      <c r="G2108" s="214">
        <v>4.33</v>
      </c>
      <c r="H2108" s="422">
        <v>4.42</v>
      </c>
      <c r="I2108" s="454">
        <f t="shared" si="192"/>
        <v>8.9999999999999858E-2</v>
      </c>
      <c r="J2108" s="15" t="s">
        <v>152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3"/>
      <c r="B2109" s="304"/>
      <c r="C2109" s="103">
        <f t="shared" si="193"/>
        <v>45907</v>
      </c>
      <c r="E2109" s="167"/>
      <c r="F2109" s="58" t="str">
        <f>VLOOKUP(MOD(C2109,7),'CALENDAR INFO'!$L$2:$M$8,2)</f>
        <v>SUN</v>
      </c>
      <c r="G2109" s="214">
        <v>4.33</v>
      </c>
      <c r="H2109" s="422">
        <v>4.42</v>
      </c>
      <c r="I2109" s="454">
        <f t="shared" si="192"/>
        <v>8.9999999999999858E-2</v>
      </c>
      <c r="J2109" s="176" t="s">
        <v>234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3"/>
      <c r="B2110" s="304"/>
      <c r="C2110" s="103">
        <f t="shared" si="193"/>
        <v>45908</v>
      </c>
      <c r="E2110" s="167"/>
      <c r="F2110" s="58" t="str">
        <f>VLOOKUP(MOD(C2110,7),'CALENDAR INFO'!$L$2:$M$8,2)</f>
        <v>MON</v>
      </c>
      <c r="G2110" s="214">
        <v>4.33</v>
      </c>
      <c r="H2110" s="422">
        <v>4.4000000000000004</v>
      </c>
      <c r="I2110" s="454">
        <f t="shared" si="192"/>
        <v>7.0000000000000284E-2</v>
      </c>
      <c r="J2110" s="176" t="s">
        <v>235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3"/>
      <c r="B2111" s="304"/>
      <c r="C2111" s="103">
        <f t="shared" si="193"/>
        <v>45909</v>
      </c>
      <c r="E2111" s="167"/>
      <c r="F2111" s="58" t="str">
        <f>VLOOKUP(MOD(C2111,7),'CALENDAR INFO'!$L$2:$M$8,2)</f>
        <v>TUE</v>
      </c>
      <c r="G2111" s="214">
        <v>4.33</v>
      </c>
      <c r="H2111" s="422">
        <v>4.4000000000000004</v>
      </c>
      <c r="I2111" s="454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3"/>
      <c r="B2112" s="304"/>
      <c r="C2112" s="103">
        <f t="shared" si="193"/>
        <v>45910</v>
      </c>
      <c r="E2112" s="167"/>
      <c r="F2112" s="58" t="str">
        <f>VLOOKUP(MOD(C2112,7),'CALENDAR INFO'!$L$2:$M$8,2)</f>
        <v>WED</v>
      </c>
      <c r="G2112" s="214">
        <v>4.33</v>
      </c>
      <c r="H2112" s="422">
        <v>4.3899999999999997</v>
      </c>
      <c r="I2112" s="454">
        <f t="shared" si="192"/>
        <v>5.9999999999999609E-2</v>
      </c>
      <c r="J2112" s="15" t="s">
        <v>240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3"/>
      <c r="B2113" s="304"/>
      <c r="C2113" s="103">
        <f t="shared" si="193"/>
        <v>45911</v>
      </c>
      <c r="E2113" s="167"/>
      <c r="F2113" s="58" t="str">
        <f>VLOOKUP(MOD(C2113,7),'CALENDAR INFO'!$L$2:$M$8,2)</f>
        <v>THU</v>
      </c>
      <c r="G2113" s="214">
        <v>4.33</v>
      </c>
      <c r="H2113" s="422">
        <v>4.41</v>
      </c>
      <c r="I2113" s="454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3"/>
      <c r="B2114" s="304"/>
      <c r="C2114" s="103">
        <f t="shared" si="193"/>
        <v>45912</v>
      </c>
      <c r="E2114" s="167"/>
      <c r="F2114" s="58" t="str">
        <f>VLOOKUP(MOD(C2114,7),'CALENDAR INFO'!$L$2:$M$8,2)</f>
        <v>FRI</v>
      </c>
      <c r="G2114" s="214">
        <v>4.33</v>
      </c>
      <c r="H2114" s="422">
        <v>4.42</v>
      </c>
      <c r="I2114" s="454">
        <f t="shared" si="192"/>
        <v>8.9999999999999858E-2</v>
      </c>
      <c r="J2114" s="15" t="s">
        <v>196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3"/>
      <c r="B2115" s="304"/>
      <c r="C2115" s="103">
        <f t="shared" si="193"/>
        <v>45913</v>
      </c>
      <c r="E2115" s="167"/>
      <c r="F2115" s="58" t="str">
        <f>VLOOKUP(MOD(C2115,7),'CALENDAR INFO'!$L$2:$M$8,2)</f>
        <v>SAT</v>
      </c>
      <c r="G2115" s="214">
        <v>4.33</v>
      </c>
      <c r="H2115" s="422">
        <v>4.42</v>
      </c>
      <c r="I2115" s="454">
        <f t="shared" ref="I2115:I2178" si="198">H2115-G2115</f>
        <v>8.9999999999999858E-2</v>
      </c>
      <c r="J2115" s="15" t="s">
        <v>117</v>
      </c>
      <c r="K2115" s="221">
        <f>VLOOKUP(MONTH($C2109),'CALENDAR INFO'!$O$2:$P$13,2)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3"/>
      <c r="B2116" s="304"/>
      <c r="C2116" s="103">
        <f t="shared" ref="C2116:C2179" si="199">C2115+1</f>
        <v>45914</v>
      </c>
      <c r="E2116" s="167"/>
      <c r="F2116" s="58" t="str">
        <f>VLOOKUP(MOD(C2116,7),'CALENDAR INFO'!$L$2:$M$8,2)</f>
        <v>SUN</v>
      </c>
      <c r="G2116" s="214">
        <v>4.33</v>
      </c>
      <c r="H2116" s="422">
        <v>4.42</v>
      </c>
      <c r="I2116" s="454">
        <f t="shared" si="198"/>
        <v>8.9999999999999858E-2</v>
      </c>
      <c r="J2116" s="15" t="s">
        <v>233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3"/>
      <c r="B2117" s="304"/>
      <c r="C2117" s="103">
        <f t="shared" si="199"/>
        <v>45915</v>
      </c>
      <c r="E2117" s="167"/>
      <c r="F2117" s="58" t="str">
        <f>VLOOKUP(MOD(C2117,7),'CALENDAR INFO'!$L$2:$M$8,2)</f>
        <v>MON</v>
      </c>
      <c r="G2117" s="214">
        <v>4.33</v>
      </c>
      <c r="H2117" s="422">
        <v>4.51</v>
      </c>
      <c r="I2117" s="454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3"/>
      <c r="B2118" s="304"/>
      <c r="C2118" s="103">
        <f t="shared" si="199"/>
        <v>45916</v>
      </c>
      <c r="D2118" s="153" t="s">
        <v>20</v>
      </c>
      <c r="E2118" s="167"/>
      <c r="F2118" s="58" t="str">
        <f>VLOOKUP(MOD(C2118,7),'CALENDAR INFO'!$L$2:$M$8,2)</f>
        <v>TUE</v>
      </c>
      <c r="G2118" s="214">
        <v>4.33</v>
      </c>
      <c r="H2118" s="422">
        <v>4.3899999999999997</v>
      </c>
      <c r="I2118" s="454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3"/>
      <c r="B2119" s="304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INFO'!$L$2:$M$8,2)</f>
        <v>WED</v>
      </c>
      <c r="G2119" s="214">
        <v>4.33</v>
      </c>
      <c r="H2119" s="422">
        <v>4.38</v>
      </c>
      <c r="I2119" s="454">
        <f t="shared" si="198"/>
        <v>4.9999999999999822E-2</v>
      </c>
      <c r="J2119" s="15" t="s">
        <v>154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INFO'!$L$2:$M$8,2)</f>
        <v>THU</v>
      </c>
      <c r="G2120" s="214">
        <v>4.08</v>
      </c>
      <c r="H2120" s="422">
        <v>4.1399999999999997</v>
      </c>
      <c r="I2120" s="454">
        <f t="shared" si="198"/>
        <v>5.9999999999999609E-2</v>
      </c>
      <c r="J2120" s="15" t="s">
        <v>236</v>
      </c>
      <c r="K2120" s="397">
        <f ca="1">SUM(INDIRECT(K2109))</f>
        <v>0</v>
      </c>
      <c r="L2120" s="398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INFO'!$L$2:$M$8,2)</f>
        <v>FRI</v>
      </c>
      <c r="G2121" s="214">
        <v>4.08</v>
      </c>
      <c r="H2121" s="422">
        <v>4.1399999999999997</v>
      </c>
      <c r="I2121" s="454">
        <f t="shared" si="198"/>
        <v>5.9999999999999609E-2</v>
      </c>
      <c r="J2121" s="15" t="s">
        <v>237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INFO'!$L$2:$M$8,2)</f>
        <v>SAT</v>
      </c>
      <c r="G2122" s="214">
        <v>4.08</v>
      </c>
      <c r="H2122" s="422">
        <v>4.1399999999999997</v>
      </c>
      <c r="I2122" s="454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INFO'!$L$2:$M$8,2)</f>
        <v>SUN</v>
      </c>
      <c r="G2123" s="214">
        <v>4.08</v>
      </c>
      <c r="H2123" s="422">
        <v>4.1399999999999997</v>
      </c>
      <c r="I2123" s="454">
        <f t="shared" si="198"/>
        <v>5.9999999999999609E-2</v>
      </c>
      <c r="J2123" s="15" t="s">
        <v>241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INFO'!$L$2:$M$8,2)</f>
        <v>MON</v>
      </c>
      <c r="G2124" s="214">
        <v>4.09</v>
      </c>
      <c r="H2124" s="422">
        <v>4.1399999999999997</v>
      </c>
      <c r="I2124" s="454">
        <f t="shared" si="198"/>
        <v>4.9999999999999822E-2</v>
      </c>
      <c r="J2124" s="15" t="s">
        <v>193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INFO'!$L$2:$M$8,2)</f>
        <v>TUE</v>
      </c>
      <c r="G2125" s="214">
        <v>4.09</v>
      </c>
      <c r="H2125" s="422">
        <v>4.12</v>
      </c>
      <c r="I2125" s="454">
        <f t="shared" si="198"/>
        <v>3.0000000000000249E-2</v>
      </c>
      <c r="J2125" s="15" t="s">
        <v>242</v>
      </c>
      <c r="K2125" s="399">
        <f ca="1">COUNTA(INDIRECT(K2109))</f>
        <v>0</v>
      </c>
      <c r="L2125" s="400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INFO'!$L$2:$M$8,2)</f>
        <v>WED</v>
      </c>
      <c r="G2126" s="214">
        <v>4.09</v>
      </c>
      <c r="H2126" s="422">
        <v>4.13</v>
      </c>
      <c r="I2126" s="454">
        <f t="shared" si="198"/>
        <v>4.0000000000000036E-2</v>
      </c>
      <c r="J2126" s="15" t="s">
        <v>238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INFO'!$L$2:$M$8,2)</f>
        <v>THU</v>
      </c>
      <c r="G2127" s="214">
        <v>4.09</v>
      </c>
      <c r="H2127" s="422">
        <v>4.18</v>
      </c>
      <c r="I2127" s="454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INFO'!$L$2:$M$8,2)</f>
        <v>FRI</v>
      </c>
      <c r="G2128" s="214">
        <v>4.09</v>
      </c>
      <c r="H2128" s="422">
        <v>4.16</v>
      </c>
      <c r="I2128" s="454">
        <f t="shared" si="198"/>
        <v>7.0000000000000284E-2</v>
      </c>
      <c r="J2128" s="15" t="s">
        <v>237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INFO'!$L$2:$M$8,2)</f>
        <v>SAT</v>
      </c>
      <c r="G2129" s="214">
        <v>4.09</v>
      </c>
      <c r="H2129" s="422">
        <v>4.16</v>
      </c>
      <c r="I2129" s="454">
        <f t="shared" si="198"/>
        <v>7.0000000000000284E-2</v>
      </c>
      <c r="J2129" s="15" t="s">
        <v>238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INFO'!$L$2:$M$8,2)</f>
        <v>SUN</v>
      </c>
      <c r="G2130" s="214">
        <v>4.09</v>
      </c>
      <c r="H2130" s="422">
        <v>4.16</v>
      </c>
      <c r="I2130" s="454">
        <f t="shared" si="198"/>
        <v>7.0000000000000284E-2</v>
      </c>
      <c r="J2130" s="15" t="s">
        <v>239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INFO'!$L$2:$M$8,2)</f>
        <v>MON</v>
      </c>
      <c r="G2131" s="214">
        <v>4.09</v>
      </c>
      <c r="H2131" s="422">
        <v>4.13</v>
      </c>
      <c r="I2131" s="454">
        <f t="shared" si="198"/>
        <v>4.0000000000000036E-2</v>
      </c>
      <c r="K2131" s="189">
        <f>100-AVERAGE(G2103:G2132)</f>
        <v>95.775333333333336</v>
      </c>
      <c r="L2131" s="412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INFO'!$L$2:$M$8,2)</f>
        <v>TUE</v>
      </c>
      <c r="G2132" s="215">
        <v>4.09</v>
      </c>
      <c r="H2132" s="423">
        <v>4.24</v>
      </c>
      <c r="I2132" s="455">
        <f t="shared" si="198"/>
        <v>0.15000000000000036</v>
      </c>
      <c r="J2132" s="347"/>
      <c r="K2132" s="347" t="s">
        <v>244</v>
      </c>
      <c r="L2132" s="348" t="s">
        <v>244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1"/>
      <c r="C2133" s="103">
        <f t="shared" si="199"/>
        <v>45931</v>
      </c>
      <c r="E2133" s="170" t="s">
        <v>19</v>
      </c>
      <c r="F2133" s="58" t="str">
        <f>VLOOKUP(MOD(C2133,7),'CALENDAR INFO'!$L$2:$M$8,2)</f>
        <v>WED</v>
      </c>
      <c r="G2133" s="214">
        <v>4.09</v>
      </c>
      <c r="H2133" s="422">
        <v>4.2</v>
      </c>
      <c r="I2133" s="454">
        <f t="shared" si="198"/>
        <v>0.11000000000000032</v>
      </c>
      <c r="J2133" s="15" t="s">
        <v>150</v>
      </c>
      <c r="K2133" s="359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INFO'!$L$2:$M$8,2)</f>
        <v>THU</v>
      </c>
      <c r="G2134" s="214">
        <v>4.09</v>
      </c>
      <c r="H2134" s="422">
        <v>4.2</v>
      </c>
      <c r="I2134" s="454">
        <f t="shared" si="198"/>
        <v>0.11000000000000032</v>
      </c>
      <c r="J2134" s="15" t="s">
        <v>117</v>
      </c>
      <c r="K2134" s="15">
        <f>VLOOKUP(MONTH($C2133),'CALENDAR INFO'!$O$2:$P$13,2)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INFO'!$L$2:$M$8,2)</f>
        <v>FRI</v>
      </c>
      <c r="G2135" s="214">
        <v>4.09</v>
      </c>
      <c r="H2135" s="422">
        <v>4.18</v>
      </c>
      <c r="I2135" s="454">
        <f t="shared" si="198"/>
        <v>8.9999999999999858E-2</v>
      </c>
      <c r="J2135" s="15" t="s">
        <v>151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INFO'!$L$2:$M$8,2)</f>
        <v>SAT</v>
      </c>
      <c r="G2136" s="214">
        <v>4.09</v>
      </c>
      <c r="H2136" s="422">
        <v>4.18</v>
      </c>
      <c r="I2136" s="454">
        <f t="shared" si="198"/>
        <v>8.9999999999999858E-2</v>
      </c>
      <c r="J2136" s="15" t="s">
        <v>243</v>
      </c>
      <c r="K2136" s="310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INFO'!$L$2:$M$8,2)</f>
        <v>SUN</v>
      </c>
      <c r="G2137" s="214">
        <v>4.09</v>
      </c>
      <c r="H2137" s="422">
        <v>4.18</v>
      </c>
      <c r="I2137" s="454">
        <f t="shared" si="198"/>
        <v>8.9999999999999858E-2</v>
      </c>
      <c r="K2137" s="310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INFO'!$L$2:$M$8,2)</f>
        <v>MON</v>
      </c>
      <c r="G2138" s="214">
        <v>4.09</v>
      </c>
      <c r="H2138" s="422">
        <v>4.1500000000000004</v>
      </c>
      <c r="I2138" s="454">
        <f t="shared" si="198"/>
        <v>6.0000000000000497E-2</v>
      </c>
      <c r="J2138" s="15" t="s">
        <v>152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INFO'!$L$2:$M$8,2)</f>
        <v>TUE</v>
      </c>
      <c r="G2139" s="214">
        <v>4.09</v>
      </c>
      <c r="H2139" s="422">
        <v>4.1399999999999997</v>
      </c>
      <c r="I2139" s="454">
        <f t="shared" si="198"/>
        <v>4.9999999999999822E-2</v>
      </c>
      <c r="J2139" s="176" t="s">
        <v>235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INFO'!$L$2:$M$8,2)</f>
        <v>WED</v>
      </c>
      <c r="G2140" s="214">
        <v>4.0999999999999996</v>
      </c>
      <c r="H2140" s="422">
        <v>4.12</v>
      </c>
      <c r="I2140" s="454">
        <f t="shared" si="198"/>
        <v>2.0000000000000462E-2</v>
      </c>
      <c r="J2140" s="176" t="s">
        <v>234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INFO'!$L$2:$M$8,2)</f>
        <v>THU</v>
      </c>
      <c r="G2141" s="214">
        <v>4.0999999999999996</v>
      </c>
      <c r="H2141" s="422">
        <v>4.13</v>
      </c>
      <c r="I2141" s="454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INFO'!$L$2:$M$8,2)</f>
        <v>FRI</v>
      </c>
      <c r="G2142" s="214">
        <v>4.0999999999999996</v>
      </c>
      <c r="H2142" s="422">
        <v>4.1500000000000004</v>
      </c>
      <c r="I2142" s="454">
        <f t="shared" si="198"/>
        <v>5.0000000000000711E-2</v>
      </c>
      <c r="J2142" s="15" t="s">
        <v>240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INFO'!$L$2:$M$8,2)</f>
        <v>SAT</v>
      </c>
      <c r="G2143" s="214">
        <v>4.0999999999999996</v>
      </c>
      <c r="H2143" s="422">
        <v>4.1500000000000004</v>
      </c>
      <c r="I2143" s="454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INFO'!$L$2:$M$8,2)</f>
        <v>SUN</v>
      </c>
      <c r="G2144" s="214">
        <v>4.0999999999999996</v>
      </c>
      <c r="H2144" s="422">
        <v>4.1500000000000004</v>
      </c>
      <c r="I2144" s="454">
        <f t="shared" si="198"/>
        <v>5.0000000000000711E-2</v>
      </c>
      <c r="J2144" s="15" t="s">
        <v>196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107</v>
      </c>
      <c r="E2145" s="167"/>
      <c r="F2145" s="58" t="str">
        <f>VLOOKUP(MOD(C2145,7),'CALENDAR INFO'!$L$2:$M$8,2)</f>
        <v>MON</v>
      </c>
      <c r="G2145" s="214">
        <v>4.0999999999999996</v>
      </c>
      <c r="H2145" s="422">
        <v>4.1500000000000004</v>
      </c>
      <c r="I2145" s="454">
        <f t="shared" si="198"/>
        <v>5.0000000000000711E-2</v>
      </c>
      <c r="J2145" s="15" t="s">
        <v>117</v>
      </c>
      <c r="K2145" s="221">
        <f>VLOOKUP(MONTH($C2139),'CALENDAR INFO'!$O$2:$P$13,2)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INFO'!$L$2:$M$8,2)</f>
        <v>TUE</v>
      </c>
      <c r="G2146" s="214">
        <v>4.0999999999999996</v>
      </c>
      <c r="H2146" s="422">
        <v>4.1900000000000004</v>
      </c>
      <c r="I2146" s="454">
        <f t="shared" si="198"/>
        <v>9.0000000000000746E-2</v>
      </c>
      <c r="J2146" s="15" t="s">
        <v>233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INFO'!$L$2:$M$8,2)</f>
        <v>WED</v>
      </c>
      <c r="G2147" s="214">
        <v>4.0999999999999996</v>
      </c>
      <c r="H2147" s="422">
        <v>4.29</v>
      </c>
      <c r="I2147" s="454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INFO'!$L$2:$M$8,2)</f>
        <v>THU</v>
      </c>
      <c r="G2148" s="214">
        <v>4.1100000000000003</v>
      </c>
      <c r="H2148" s="422">
        <v>4.3</v>
      </c>
      <c r="I2148" s="454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INFO'!$L$2:$M$8,2)</f>
        <v>FRI</v>
      </c>
      <c r="G2149" s="214">
        <v>4.1100000000000003</v>
      </c>
      <c r="H2149" s="422">
        <v>4.18</v>
      </c>
      <c r="I2149" s="454">
        <f t="shared" si="198"/>
        <v>6.9999999999999396E-2</v>
      </c>
      <c r="J2149" s="15" t="s">
        <v>154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INFO'!$L$2:$M$8,2)</f>
        <v>SAT</v>
      </c>
      <c r="G2150" s="214">
        <v>4.1100000000000003</v>
      </c>
      <c r="H2150" s="422">
        <v>4.18</v>
      </c>
      <c r="I2150" s="454">
        <f t="shared" si="198"/>
        <v>6.9999999999999396E-2</v>
      </c>
      <c r="J2150" s="15" t="s">
        <v>236</v>
      </c>
      <c r="K2150" s="397">
        <f ca="1">SUM(INDIRECT(K2140))</f>
        <v>0</v>
      </c>
      <c r="L2150" s="398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INFO'!$L$2:$M$8,2)</f>
        <v>SUN</v>
      </c>
      <c r="G2151" s="214">
        <v>4.1100000000000003</v>
      </c>
      <c r="H2151" s="422">
        <v>4.18</v>
      </c>
      <c r="I2151" s="454">
        <f t="shared" si="198"/>
        <v>6.9999999999999396E-2</v>
      </c>
      <c r="J2151" s="15" t="s">
        <v>237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INFO'!$L$2:$M$8,2)</f>
        <v>MON</v>
      </c>
      <c r="G2152" s="214">
        <v>4.1100000000000003</v>
      </c>
      <c r="H2152" s="422">
        <v>4.16</v>
      </c>
      <c r="I2152" s="454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INFO'!$L$2:$M$8,2)</f>
        <v>TUE</v>
      </c>
      <c r="G2153" s="214">
        <v>4.1100000000000003</v>
      </c>
      <c r="H2153" s="422">
        <v>4.2300000000000004</v>
      </c>
      <c r="I2153" s="454">
        <f t="shared" si="198"/>
        <v>0.12000000000000011</v>
      </c>
      <c r="J2153" s="15" t="s">
        <v>241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INFO'!$L$2:$M$8,2)</f>
        <v>WED</v>
      </c>
      <c r="G2154" s="214">
        <v>4.1100000000000003</v>
      </c>
      <c r="H2154" s="422">
        <v>4.21</v>
      </c>
      <c r="I2154" s="454">
        <f t="shared" si="198"/>
        <v>9.9999999999999645E-2</v>
      </c>
      <c r="J2154" s="15" t="s">
        <v>193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INFO'!$L$2:$M$8,2)</f>
        <v>THU</v>
      </c>
      <c r="G2155" s="214">
        <v>4.1100000000000003</v>
      </c>
      <c r="H2155" s="422">
        <v>4.24</v>
      </c>
      <c r="I2155" s="454">
        <f t="shared" si="198"/>
        <v>0.12999999999999989</v>
      </c>
      <c r="J2155" s="15" t="s">
        <v>242</v>
      </c>
      <c r="K2155" s="399">
        <f ca="1">COUNTA(INDIRECT(K2140))</f>
        <v>0</v>
      </c>
      <c r="L2155" s="400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INFO'!$L$2:$M$8,2)</f>
        <v>FRI</v>
      </c>
      <c r="G2156" s="214">
        <v>4.1100000000000003</v>
      </c>
      <c r="H2156" s="422">
        <v>4.24</v>
      </c>
      <c r="I2156" s="454">
        <f t="shared" si="198"/>
        <v>0.12999999999999989</v>
      </c>
      <c r="J2156" s="15" t="s">
        <v>238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INFO'!$L$2:$M$8,2)</f>
        <v>SAT</v>
      </c>
      <c r="G2157" s="214">
        <v>4.1100000000000003</v>
      </c>
      <c r="H2157" s="422">
        <v>4.24</v>
      </c>
      <c r="I2157" s="454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INFO'!$L$2:$M$8,2)</f>
        <v>SUN</v>
      </c>
      <c r="G2158" s="214">
        <v>4.1100000000000003</v>
      </c>
      <c r="H2158" s="422">
        <v>4.24</v>
      </c>
      <c r="I2158" s="454">
        <f t="shared" si="198"/>
        <v>0.12999999999999989</v>
      </c>
      <c r="J2158" s="15" t="s">
        <v>237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INFO'!$L$2:$M$8,2)</f>
        <v>MON</v>
      </c>
      <c r="G2159" s="214">
        <v>4.12</v>
      </c>
      <c r="H2159" s="422">
        <v>4.2699999999999996</v>
      </c>
      <c r="I2159" s="454">
        <f t="shared" si="198"/>
        <v>0.14999999999999947</v>
      </c>
      <c r="J2159" s="15" t="s">
        <v>238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INFO'!$L$2:$M$8,2)</f>
        <v>TUE</v>
      </c>
      <c r="G2160" s="214">
        <v>4.12</v>
      </c>
      <c r="H2160" s="422">
        <v>4.3099999999999996</v>
      </c>
      <c r="I2160" s="454">
        <f t="shared" si="198"/>
        <v>0.1899999999999995</v>
      </c>
      <c r="J2160" s="15" t="s">
        <v>239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INFO'!$L$2:$M$8,2)</f>
        <v>WED</v>
      </c>
      <c r="G2161" s="214">
        <v>4.12</v>
      </c>
      <c r="H2161" s="422">
        <v>4.2699999999999996</v>
      </c>
      <c r="I2161" s="454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3"/>
      <c r="B2162" s="304"/>
      <c r="C2162" s="103">
        <f t="shared" si="199"/>
        <v>45960</v>
      </c>
      <c r="E2162" s="167" t="s">
        <v>18</v>
      </c>
      <c r="F2162" s="58" t="str">
        <f>VLOOKUP(MOD(C2162,7),'CALENDAR INFO'!$L$2:$M$8,2)</f>
        <v>THU</v>
      </c>
      <c r="G2162" s="214">
        <v>3.87</v>
      </c>
      <c r="H2162" s="422">
        <v>4.04</v>
      </c>
      <c r="I2162" s="454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2"/>
      <c r="B2163" s="403"/>
      <c r="C2163" s="104">
        <f t="shared" si="199"/>
        <v>45961</v>
      </c>
      <c r="D2163" s="112"/>
      <c r="E2163" s="92"/>
      <c r="F2163" s="71" t="str">
        <f>VLOOKUP(MOD(C2163,7),'CALENDAR INFO'!$L$2:$M$8,2)</f>
        <v>FRI</v>
      </c>
      <c r="G2163" s="215">
        <v>3.86</v>
      </c>
      <c r="H2163" s="423">
        <v>4.22</v>
      </c>
      <c r="I2163" s="455">
        <f t="shared" si="198"/>
        <v>0.35999999999999988</v>
      </c>
      <c r="J2163" s="347"/>
      <c r="K2163" s="347"/>
      <c r="L2163" s="348"/>
      <c r="M2163" s="114">
        <f t="shared" si="201"/>
        <v>3</v>
      </c>
      <c r="N2163" s="292">
        <f t="shared" si="200"/>
        <v>1.0003516666666668</v>
      </c>
    </row>
    <row r="2164" spans="1:14">
      <c r="A2164" s="303"/>
      <c r="B2164" s="297"/>
      <c r="C2164" s="103">
        <f t="shared" si="199"/>
        <v>45962</v>
      </c>
      <c r="E2164" s="167"/>
      <c r="F2164" s="58" t="str">
        <f>VLOOKUP(MOD(C2164,7),'CALENDAR INFO'!$L$2:$M$8,2)</f>
        <v>SAT</v>
      </c>
      <c r="G2164" s="214">
        <v>3.86</v>
      </c>
      <c r="H2164" s="422">
        <v>4.22</v>
      </c>
      <c r="I2164" s="454">
        <f t="shared" si="198"/>
        <v>0.35999999999999988</v>
      </c>
      <c r="J2164" s="15" t="s">
        <v>150</v>
      </c>
      <c r="K2164" s="359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INFO'!$L$2:$M$8,2)</f>
        <v>SUN</v>
      </c>
      <c r="G2165" s="214">
        <v>3.86</v>
      </c>
      <c r="H2165" s="422">
        <v>4.22</v>
      </c>
      <c r="I2165" s="454">
        <f t="shared" si="198"/>
        <v>0.35999999999999988</v>
      </c>
      <c r="J2165" s="15" t="s">
        <v>117</v>
      </c>
      <c r="K2165" s="15">
        <f>VLOOKUP(MONTH($C2164),'CALENDAR INFO'!$O$2:$P$13,2)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INFO'!$L$2:$M$8,2)</f>
        <v>MON</v>
      </c>
      <c r="G2166" s="214">
        <v>3.87</v>
      </c>
      <c r="H2166" s="422">
        <v>4.13</v>
      </c>
      <c r="I2166" s="454">
        <f t="shared" si="198"/>
        <v>0.25999999999999979</v>
      </c>
      <c r="J2166" s="15" t="s">
        <v>151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INFO'!$L$2:$M$8,2)</f>
        <v>TUE</v>
      </c>
      <c r="G2167" s="214">
        <v>3.87</v>
      </c>
      <c r="H2167" s="422">
        <v>4</v>
      </c>
      <c r="I2167" s="454">
        <f t="shared" si="198"/>
        <v>0.12999999999999989</v>
      </c>
      <c r="J2167" s="15" t="s">
        <v>243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INFO'!$L$2:$M$8,2)</f>
        <v>WED</v>
      </c>
      <c r="G2168" s="214">
        <v>3.87</v>
      </c>
      <c r="H2168" s="422">
        <v>3.91</v>
      </c>
      <c r="I2168" s="454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INFO'!$L$2:$M$8,2)</f>
        <v>THU</v>
      </c>
      <c r="G2169" s="214">
        <v>3.87</v>
      </c>
      <c r="H2169" s="422">
        <v>3.92</v>
      </c>
      <c r="I2169" s="454">
        <f t="shared" si="198"/>
        <v>4.9999999999999822E-2</v>
      </c>
      <c r="J2169" s="15" t="s">
        <v>152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INFO'!$L$2:$M$8,2)</f>
        <v>FRI</v>
      </c>
      <c r="G2170" s="214">
        <v>3.87</v>
      </c>
      <c r="H2170" s="422">
        <v>3.93</v>
      </c>
      <c r="I2170" s="454">
        <f t="shared" si="198"/>
        <v>6.0000000000000053E-2</v>
      </c>
      <c r="J2170" s="176" t="s">
        <v>234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INFO'!$L$2:$M$8,2)</f>
        <v>SAT</v>
      </c>
      <c r="G2171" s="214">
        <v>3.87</v>
      </c>
      <c r="H2171" s="422">
        <v>3.93</v>
      </c>
      <c r="I2171" s="454">
        <f t="shared" si="198"/>
        <v>6.0000000000000053E-2</v>
      </c>
      <c r="J2171" s="176" t="s">
        <v>235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INFO'!$L$2:$M$8,2)</f>
        <v>SUN</v>
      </c>
      <c r="G2172" s="214">
        <v>3.87</v>
      </c>
      <c r="H2172" s="422">
        <v>3.93</v>
      </c>
      <c r="I2172" s="454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INFO'!$L$2:$M$8,2)</f>
        <v>MON</v>
      </c>
      <c r="G2173" s="214">
        <v>3.87</v>
      </c>
      <c r="H2173" s="422">
        <v>3.95</v>
      </c>
      <c r="I2173" s="454">
        <f t="shared" si="198"/>
        <v>8.0000000000000071E-2</v>
      </c>
      <c r="J2173" s="15" t="s">
        <v>240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108</v>
      </c>
      <c r="E2174" s="167"/>
      <c r="F2174" s="58" t="str">
        <f>VLOOKUP(MOD(C2174,7),'CALENDAR INFO'!$L$2:$M$8,2)</f>
        <v>TUE</v>
      </c>
      <c r="G2174" s="214">
        <v>3.87</v>
      </c>
      <c r="H2174" s="422">
        <v>3.95</v>
      </c>
      <c r="I2174" s="454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INFO'!$L$2:$M$8,2)</f>
        <v>WED</v>
      </c>
      <c r="G2175" s="214">
        <v>3.87</v>
      </c>
      <c r="H2175" s="422">
        <v>3.98</v>
      </c>
      <c r="I2175" s="454">
        <f t="shared" si="198"/>
        <v>0.10999999999999988</v>
      </c>
      <c r="J2175" s="15" t="s">
        <v>196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INFO'!$L$2:$M$8,2)</f>
        <v>THU</v>
      </c>
      <c r="G2176" s="214">
        <v>3.88</v>
      </c>
      <c r="H2176" s="422">
        <v>4</v>
      </c>
      <c r="I2176" s="454">
        <f t="shared" si="198"/>
        <v>0.12000000000000011</v>
      </c>
      <c r="J2176" s="15" t="s">
        <v>117</v>
      </c>
      <c r="K2176" s="221">
        <f>VLOOKUP(MONTH($C2170),'CALENDAR INFO'!$O$2:$P$13,2)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INFO'!$L$2:$M$8,2)</f>
        <v>FRI</v>
      </c>
      <c r="G2177" s="214">
        <v>3.88</v>
      </c>
      <c r="H2177" s="422">
        <v>3.95</v>
      </c>
      <c r="I2177" s="454">
        <f t="shared" si="198"/>
        <v>7.0000000000000284E-2</v>
      </c>
      <c r="J2177" s="15" t="s">
        <v>233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INFO'!$L$2:$M$8,2)</f>
        <v>SAT</v>
      </c>
      <c r="G2178" s="214">
        <v>3.88</v>
      </c>
      <c r="H2178" s="422">
        <v>3.95</v>
      </c>
      <c r="I2178" s="454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INFO'!$L$2:$M$8,2)</f>
        <v>SUN</v>
      </c>
      <c r="G2179" s="214">
        <v>3.88</v>
      </c>
      <c r="H2179" s="422">
        <v>3.95</v>
      </c>
      <c r="I2179" s="454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INFO'!$L$2:$M$8,2)</f>
        <v>MON</v>
      </c>
      <c r="G2180" s="214">
        <v>3.88</v>
      </c>
      <c r="H2180" s="422">
        <v>4</v>
      </c>
      <c r="I2180" s="454">
        <f t="shared" si="203"/>
        <v>0.12000000000000011</v>
      </c>
      <c r="J2180" s="15" t="s">
        <v>154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INFO'!$L$2:$M$8,2)</f>
        <v>TUE</v>
      </c>
      <c r="G2181" s="214">
        <v>3.88</v>
      </c>
      <c r="H2181" s="422">
        <v>3.94</v>
      </c>
      <c r="I2181" s="454">
        <f t="shared" si="203"/>
        <v>6.0000000000000053E-2</v>
      </c>
      <c r="J2181" s="15" t="s">
        <v>236</v>
      </c>
      <c r="K2181" s="397">
        <f ca="1">SUM(INDIRECT(K2170))</f>
        <v>0</v>
      </c>
      <c r="L2181" s="398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INFO'!$L$2:$M$8,2)</f>
        <v>WED</v>
      </c>
      <c r="G2182" s="214">
        <v>3.88</v>
      </c>
      <c r="H2182" s="422">
        <v>3.91</v>
      </c>
      <c r="I2182" s="454">
        <f t="shared" si="203"/>
        <v>3.0000000000000249E-2</v>
      </c>
      <c r="J2182" s="15" t="s">
        <v>237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INFO'!$L$2:$M$8,2)</f>
        <v>THU</v>
      </c>
      <c r="G2183" s="214">
        <v>3.88</v>
      </c>
      <c r="H2183" s="422">
        <v>3.91</v>
      </c>
      <c r="I2183" s="454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INFO'!$L$2:$M$8,2)</f>
        <v>FRI</v>
      </c>
      <c r="G2184" s="214">
        <v>3.88</v>
      </c>
      <c r="H2184" s="422">
        <v>3.93</v>
      </c>
      <c r="I2184" s="454">
        <f t="shared" si="203"/>
        <v>5.0000000000000266E-2</v>
      </c>
      <c r="J2184" s="15" t="s">
        <v>241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INFO'!$L$2:$M$8,2)</f>
        <v>SAT</v>
      </c>
      <c r="G2185" s="214">
        <v>3.88</v>
      </c>
      <c r="H2185" s="422">
        <v>3.93</v>
      </c>
      <c r="I2185" s="454">
        <f t="shared" si="203"/>
        <v>5.0000000000000266E-2</v>
      </c>
      <c r="J2185" s="15" t="s">
        <v>193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INFO'!$L$2:$M$8,2)</f>
        <v>SUN</v>
      </c>
      <c r="G2186" s="214">
        <v>3.88</v>
      </c>
      <c r="H2186" s="422">
        <v>3.93</v>
      </c>
      <c r="I2186" s="454">
        <f t="shared" si="203"/>
        <v>5.0000000000000266E-2</v>
      </c>
      <c r="J2186" s="15" t="s">
        <v>242</v>
      </c>
      <c r="K2186" s="399">
        <f ca="1">COUNTA(INDIRECT(K2170))</f>
        <v>0</v>
      </c>
      <c r="L2186" s="400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INFO'!$L$2:$M$8,2)</f>
        <v>MON</v>
      </c>
      <c r="G2187" s="214">
        <v>3.88</v>
      </c>
      <c r="H2187" s="422">
        <v>3.96</v>
      </c>
      <c r="I2187" s="454">
        <f t="shared" si="203"/>
        <v>8.0000000000000071E-2</v>
      </c>
      <c r="J2187" s="15" t="s">
        <v>238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INFO'!$L$2:$M$8,2)</f>
        <v>TUE</v>
      </c>
      <c r="G2188" s="214">
        <v>3.88</v>
      </c>
      <c r="H2188" s="422">
        <v>4.01</v>
      </c>
      <c r="I2188" s="454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INFO'!$L$2:$M$8,2)</f>
        <v>WED</v>
      </c>
      <c r="G2189" s="214">
        <v>3.88</v>
      </c>
      <c r="H2189" s="422">
        <v>4.05</v>
      </c>
      <c r="I2189" s="454">
        <f t="shared" si="203"/>
        <v>0.16999999999999993</v>
      </c>
      <c r="J2189" s="15" t="s">
        <v>237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109</v>
      </c>
      <c r="E2190" s="167" t="s">
        <v>18</v>
      </c>
      <c r="F2190" s="58" t="str">
        <f>VLOOKUP(MOD(C2190,7),'CALENDAR INFO'!$L$2:$M$8,2)</f>
        <v>THU</v>
      </c>
      <c r="G2190" s="214">
        <v>3.88</v>
      </c>
      <c r="H2190" s="422">
        <v>4.05</v>
      </c>
      <c r="I2190" s="454">
        <f t="shared" si="203"/>
        <v>0.16999999999999993</v>
      </c>
      <c r="J2190" s="15" t="s">
        <v>238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INFO'!$L$2:$M$8,2)</f>
        <v>FRI</v>
      </c>
      <c r="G2191" s="214">
        <v>3.89</v>
      </c>
      <c r="H2191" s="422">
        <v>4.12</v>
      </c>
      <c r="I2191" s="454">
        <f t="shared" si="203"/>
        <v>0.22999999999999998</v>
      </c>
      <c r="J2191" s="15" t="s">
        <v>239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INFO'!$L$2:$M$8,2)</f>
        <v>SAT</v>
      </c>
      <c r="G2192" s="214">
        <v>3.89</v>
      </c>
      <c r="H2192" s="422">
        <v>4.12</v>
      </c>
      <c r="I2192" s="454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INFO'!$L$2:$M$8,2)</f>
        <v>SUN</v>
      </c>
      <c r="G2193" s="215">
        <v>3.89</v>
      </c>
      <c r="H2193" s="423">
        <v>4.12</v>
      </c>
      <c r="I2193" s="455">
        <f t="shared" si="203"/>
        <v>0.22999999999999998</v>
      </c>
      <c r="J2193" s="347"/>
      <c r="K2193" s="347"/>
      <c r="L2193" s="348"/>
      <c r="M2193" s="114">
        <f t="shared" si="205"/>
        <v>0</v>
      </c>
      <c r="N2193" s="292">
        <f t="shared" si="200"/>
        <v>1</v>
      </c>
    </row>
    <row r="2194" spans="1:14">
      <c r="A2194" s="303"/>
      <c r="B2194" s="304"/>
      <c r="C2194" s="103">
        <f t="shared" si="204"/>
        <v>45992</v>
      </c>
      <c r="E2194" s="167"/>
      <c r="F2194" s="58" t="str">
        <f>VLOOKUP(MOD(C2194,7),'CALENDAR INFO'!$L$2:$M$8,2)</f>
        <v>MON</v>
      </c>
      <c r="G2194" s="214">
        <v>3.89</v>
      </c>
      <c r="H2194" s="422">
        <v>4.12</v>
      </c>
      <c r="I2194" s="454">
        <f t="shared" si="203"/>
        <v>0.22999999999999998</v>
      </c>
      <c r="J2194" s="15" t="s">
        <v>150</v>
      </c>
      <c r="K2194" s="359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3"/>
      <c r="B2195" s="304"/>
      <c r="C2195" s="103">
        <f t="shared" si="204"/>
        <v>45993</v>
      </c>
      <c r="E2195" s="167"/>
      <c r="F2195" s="58" t="str">
        <f>VLOOKUP(MOD(C2195,7),'CALENDAR INFO'!$L$2:$M$8,2)</f>
        <v>TUE</v>
      </c>
      <c r="G2195" s="214">
        <v>3.89</v>
      </c>
      <c r="H2195" s="422">
        <v>4.01</v>
      </c>
      <c r="I2195" s="454">
        <f t="shared" si="203"/>
        <v>0.11999999999999966</v>
      </c>
      <c r="J2195" s="15" t="s">
        <v>117</v>
      </c>
      <c r="K2195" s="15">
        <f>VLOOKUP(MONTH($C2194),'CALENDAR INFO'!$O$2:$P$13,2)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3"/>
      <c r="B2196" s="304"/>
      <c r="C2196" s="103">
        <f t="shared" si="204"/>
        <v>45994</v>
      </c>
      <c r="E2196" s="167"/>
      <c r="F2196" s="58" t="str">
        <f>VLOOKUP(MOD(C2196,7),'CALENDAR INFO'!$L$2:$M$8,2)</f>
        <v>WED</v>
      </c>
      <c r="G2196" s="214">
        <v>3.89</v>
      </c>
      <c r="H2196" s="422">
        <v>3.95</v>
      </c>
      <c r="I2196" s="454">
        <f t="shared" si="203"/>
        <v>6.0000000000000053E-2</v>
      </c>
      <c r="J2196" s="15" t="s">
        <v>151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3"/>
      <c r="B2197" s="304"/>
      <c r="C2197" s="103">
        <f t="shared" si="204"/>
        <v>45995</v>
      </c>
      <c r="E2197" s="167"/>
      <c r="F2197" s="58" t="str">
        <f>VLOOKUP(MOD(C2197,7),'CALENDAR INFO'!$L$2:$M$8,2)</f>
        <v>THU</v>
      </c>
      <c r="G2197" s="214">
        <v>3.89</v>
      </c>
      <c r="H2197" s="422">
        <v>3.92</v>
      </c>
      <c r="I2197" s="454">
        <f t="shared" si="203"/>
        <v>2.9999999999999805E-2</v>
      </c>
      <c r="J2197" s="15" t="s">
        <v>243</v>
      </c>
      <c r="K2197" s="310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3"/>
      <c r="B2198" s="304"/>
      <c r="C2198" s="103">
        <f t="shared" si="204"/>
        <v>45996</v>
      </c>
      <c r="E2198" s="167"/>
      <c r="F2198" s="58" t="str">
        <f>VLOOKUP(MOD(C2198,7),'CALENDAR INFO'!$L$2:$M$8,2)</f>
        <v>FRI</v>
      </c>
      <c r="G2198" s="214">
        <v>3.89</v>
      </c>
      <c r="H2198" s="422">
        <v>3.93</v>
      </c>
      <c r="I2198" s="454">
        <f t="shared" si="203"/>
        <v>4.0000000000000036E-2</v>
      </c>
      <c r="K2198" s="310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3"/>
      <c r="B2199" s="304"/>
      <c r="C2199" s="103">
        <f t="shared" si="204"/>
        <v>45997</v>
      </c>
      <c r="E2199" s="167"/>
      <c r="F2199" s="58" t="str">
        <f>VLOOKUP(MOD(C2199,7),'CALENDAR INFO'!$L$2:$M$8,2)</f>
        <v>SAT</v>
      </c>
      <c r="G2199" s="214">
        <v>3.89</v>
      </c>
      <c r="H2199" s="422">
        <v>3.93</v>
      </c>
      <c r="I2199" s="454">
        <f t="shared" si="203"/>
        <v>4.0000000000000036E-2</v>
      </c>
      <c r="J2199" s="15" t="s">
        <v>152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3"/>
      <c r="B2200" s="304"/>
      <c r="C2200" s="103">
        <f t="shared" si="204"/>
        <v>45998</v>
      </c>
      <c r="E2200" s="167"/>
      <c r="F2200" s="58" t="str">
        <f>VLOOKUP(MOD(C2200,7),'CALENDAR INFO'!$L$2:$M$8,2)</f>
        <v>SUN</v>
      </c>
      <c r="G2200" s="214">
        <v>3.89</v>
      </c>
      <c r="H2200" s="422">
        <v>3.93</v>
      </c>
      <c r="I2200" s="454">
        <f t="shared" si="203"/>
        <v>4.0000000000000036E-2</v>
      </c>
      <c r="J2200" s="176" t="s">
        <v>234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3"/>
      <c r="B2201" s="304"/>
      <c r="C2201" s="103">
        <f t="shared" si="204"/>
        <v>45999</v>
      </c>
      <c r="E2201" s="167"/>
      <c r="F2201" s="58" t="str">
        <f>VLOOKUP(MOD(C2201,7),'CALENDAR INFO'!$L$2:$M$8,2)</f>
        <v>MON</v>
      </c>
      <c r="G2201" s="214">
        <v>3.89</v>
      </c>
      <c r="H2201" s="422">
        <v>3.95</v>
      </c>
      <c r="I2201" s="454">
        <f t="shared" si="203"/>
        <v>6.0000000000000053E-2</v>
      </c>
      <c r="J2201" s="176" t="s">
        <v>235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3"/>
      <c r="B2202" s="304"/>
      <c r="C2202" s="103">
        <f t="shared" si="204"/>
        <v>46000</v>
      </c>
      <c r="D2202" s="153" t="s">
        <v>20</v>
      </c>
      <c r="E2202" s="167"/>
      <c r="F2202" s="58" t="str">
        <f>VLOOKUP(MOD(C2202,7),'CALENDAR INFO'!$L$2:$M$8,2)</f>
        <v>TUE</v>
      </c>
      <c r="G2202" s="214">
        <v>3.89</v>
      </c>
      <c r="H2202" s="422">
        <v>3.93</v>
      </c>
      <c r="I2202" s="454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3"/>
      <c r="B2203" s="304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INFO'!$L$2:$M$8,2)</f>
        <v>WED</v>
      </c>
      <c r="G2203" s="214">
        <v>3.89</v>
      </c>
      <c r="H2203" s="422">
        <v>3.9</v>
      </c>
      <c r="I2203" s="454">
        <f t="shared" si="203"/>
        <v>9.9999999999997868E-3</v>
      </c>
      <c r="J2203" s="15" t="s">
        <v>240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INFO'!$L$2:$M$8,2)</f>
        <v>THU</v>
      </c>
      <c r="G2204" s="214">
        <v>3.64</v>
      </c>
      <c r="H2204" s="422">
        <v>3.66</v>
      </c>
      <c r="I2204" s="454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INFO'!$L$2:$M$8,2)</f>
        <v>FRI</v>
      </c>
      <c r="G2205" s="214">
        <v>3.64</v>
      </c>
      <c r="H2205" s="422">
        <v>3.67</v>
      </c>
      <c r="I2205" s="454">
        <f t="shared" si="203"/>
        <v>2.9999999999999805E-2</v>
      </c>
      <c r="J2205" s="15" t="s">
        <v>196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INFO'!$L$2:$M$8,2)</f>
        <v>SAT</v>
      </c>
      <c r="G2206" s="214">
        <v>3.64</v>
      </c>
      <c r="H2206" s="422">
        <v>3.67</v>
      </c>
      <c r="I2206" s="454">
        <f t="shared" si="203"/>
        <v>2.9999999999999805E-2</v>
      </c>
      <c r="J2206" s="15" t="s">
        <v>117</v>
      </c>
      <c r="K2206" s="221">
        <f>VLOOKUP(MONTH($C2200),'CALENDAR INFO'!$O$2:$P$13,2)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INFO'!$L$2:$M$8,2)</f>
        <v>SUN</v>
      </c>
      <c r="G2207" s="214">
        <v>3.64</v>
      </c>
      <c r="H2207" s="422">
        <v>3.67</v>
      </c>
      <c r="I2207" s="454">
        <f t="shared" si="203"/>
        <v>2.9999999999999805E-2</v>
      </c>
      <c r="J2207" s="15" t="s">
        <v>233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INFO'!$L$2:$M$8,2)</f>
        <v>MON</v>
      </c>
      <c r="G2208" s="214">
        <v>3.64</v>
      </c>
      <c r="H2208" s="422">
        <v>3.75</v>
      </c>
      <c r="I2208" s="454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INFO'!$L$2:$M$8,2)</f>
        <v>TUE</v>
      </c>
      <c r="G2209" s="214">
        <v>3.64</v>
      </c>
      <c r="H2209" s="422">
        <v>3.69</v>
      </c>
      <c r="I2209" s="454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INFO'!$L$2:$M$8,2)</f>
        <v>WED</v>
      </c>
      <c r="G2210" s="214">
        <v>3.64</v>
      </c>
      <c r="H2210" s="422">
        <v>3.69</v>
      </c>
      <c r="I2210" s="454">
        <f t="shared" si="203"/>
        <v>4.9999999999999822E-2</v>
      </c>
      <c r="J2210" s="15" t="s">
        <v>154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INFO'!$L$2:$M$8,2)</f>
        <v>THU</v>
      </c>
      <c r="G2211" s="214">
        <v>3.64</v>
      </c>
      <c r="H2211" s="422">
        <v>3.66</v>
      </c>
      <c r="I2211" s="454">
        <f t="shared" si="203"/>
        <v>2.0000000000000018E-2</v>
      </c>
      <c r="J2211" s="15" t="s">
        <v>236</v>
      </c>
      <c r="K2211" s="397">
        <f ca="1">SUM(INDIRECT(K2200))</f>
        <v>0</v>
      </c>
      <c r="L2211" s="398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INFO'!$L$2:$M$8,2)</f>
        <v>FRI</v>
      </c>
      <c r="G2212" s="214">
        <v>3.64</v>
      </c>
      <c r="H2212" s="422">
        <v>3.66</v>
      </c>
      <c r="I2212" s="454">
        <f t="shared" si="203"/>
        <v>2.0000000000000018E-2</v>
      </c>
      <c r="J2212" s="15" t="s">
        <v>237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INFO'!$L$2:$M$8,2)</f>
        <v>SAT</v>
      </c>
      <c r="G2213" s="214">
        <v>3.64</v>
      </c>
      <c r="H2213" s="422">
        <v>3.66</v>
      </c>
      <c r="I2213" s="454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INFO'!$L$2:$M$8,2)</f>
        <v>SUN</v>
      </c>
      <c r="G2214" s="214">
        <v>3.64</v>
      </c>
      <c r="H2214" s="422">
        <v>3.66</v>
      </c>
      <c r="I2214" s="454">
        <f t="shared" si="203"/>
        <v>2.0000000000000018E-2</v>
      </c>
      <c r="J2214" s="15" t="s">
        <v>241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INFO'!$L$2:$M$8,2)</f>
        <v>MON</v>
      </c>
      <c r="G2215" s="214">
        <v>3.64</v>
      </c>
      <c r="H2215" s="422">
        <v>3.68</v>
      </c>
      <c r="I2215" s="454">
        <f t="shared" si="203"/>
        <v>4.0000000000000036E-2</v>
      </c>
      <c r="J2215" s="15" t="s">
        <v>193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INFO'!$L$2:$M$8,2)</f>
        <v>TUE</v>
      </c>
      <c r="G2216" s="214">
        <v>3.64</v>
      </c>
      <c r="H2216" s="422">
        <v>3.66</v>
      </c>
      <c r="I2216" s="454">
        <f t="shared" si="203"/>
        <v>2.0000000000000018E-2</v>
      </c>
      <c r="J2216" s="15" t="s">
        <v>242</v>
      </c>
      <c r="K2216" s="399">
        <f ca="1">COUNTA(INDIRECT(K2200))</f>
        <v>0</v>
      </c>
      <c r="L2216" s="400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INFO'!$L$2:$M$8,2)</f>
        <v>WED</v>
      </c>
      <c r="G2217" s="214">
        <v>3.64</v>
      </c>
      <c r="H2217" s="422">
        <v>3.66</v>
      </c>
      <c r="I2217" s="454">
        <f t="shared" si="203"/>
        <v>2.0000000000000018E-2</v>
      </c>
      <c r="J2217" s="15" t="s">
        <v>238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INFO'!$L$2:$M$8,2)</f>
        <v>THU</v>
      </c>
      <c r="G2218" s="214">
        <v>3.64</v>
      </c>
      <c r="H2218" s="422">
        <v>3.66</v>
      </c>
      <c r="I2218" s="454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INFO'!$L$2:$M$8,2)</f>
        <v>FRI</v>
      </c>
      <c r="G2219" s="214">
        <v>3.64</v>
      </c>
      <c r="H2219" s="422">
        <v>3.76</v>
      </c>
      <c r="I2219" s="454">
        <f t="shared" si="203"/>
        <v>0.11999999999999966</v>
      </c>
      <c r="J2219" s="15" t="s">
        <v>237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INFO'!$L$2:$M$8,2)</f>
        <v>SAT</v>
      </c>
      <c r="G2220" s="214">
        <v>3.64</v>
      </c>
      <c r="H2220" s="422">
        <v>3.76</v>
      </c>
      <c r="I2220" s="454">
        <f t="shared" si="203"/>
        <v>0.11999999999999966</v>
      </c>
      <c r="J2220" s="15" t="s">
        <v>238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INFO'!$L$2:$M$8,2)</f>
        <v>SUN</v>
      </c>
      <c r="G2221" s="214">
        <v>3.64</v>
      </c>
      <c r="H2221" s="422">
        <v>3.76</v>
      </c>
      <c r="I2221" s="454">
        <f t="shared" si="203"/>
        <v>0.11999999999999966</v>
      </c>
      <c r="J2221" s="15" t="s">
        <v>239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INFO'!$L$2:$M$8,2)</f>
        <v>MON</v>
      </c>
      <c r="G2222" s="214">
        <v>3.64</v>
      </c>
      <c r="H2222" s="422">
        <v>3.77</v>
      </c>
      <c r="I2222" s="454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INFO'!$L$2:$M$8,2)</f>
        <v>TUE</v>
      </c>
      <c r="G2223" s="214">
        <v>3.64</v>
      </c>
      <c r="H2223" s="422">
        <v>3.71</v>
      </c>
      <c r="I2223" s="454">
        <f t="shared" si="203"/>
        <v>6.999999999999984E-2</v>
      </c>
      <c r="K2223" s="15" t="s">
        <v>244</v>
      </c>
      <c r="L2223" s="179" t="s">
        <v>244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4"/>
      <c r="B2224" s="405"/>
      <c r="C2224" s="104">
        <f t="shared" si="204"/>
        <v>46022</v>
      </c>
      <c r="D2224" s="112"/>
      <c r="E2224" s="92"/>
      <c r="F2224" s="71" t="str">
        <f>VLOOKUP(MOD(C2224,7),'CALENDAR INFO'!$L$2:$M$8,2)</f>
        <v>WED</v>
      </c>
      <c r="G2224" s="215">
        <v>3.64</v>
      </c>
      <c r="H2224" s="423">
        <v>3.87</v>
      </c>
      <c r="I2224" s="455">
        <f t="shared" si="203"/>
        <v>0.22999999999999998</v>
      </c>
      <c r="J2224" s="347"/>
      <c r="K2224" s="418">
        <f>100-AVERAGE(G2194:G2224)</f>
        <v>96.279354838709679</v>
      </c>
      <c r="L2224" s="419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114</v>
      </c>
      <c r="E2225" s="167"/>
      <c r="F2225" s="58" t="str">
        <f>VLOOKUP(MOD(C2225,7),'CALENDAR INFO'!$L$2:$M$8,2)</f>
        <v>THU</v>
      </c>
      <c r="G2225" s="214">
        <v>3.64</v>
      </c>
      <c r="H2225" s="422">
        <v>3.87</v>
      </c>
      <c r="I2225" s="454">
        <f t="shared" si="203"/>
        <v>0.22999999999999998</v>
      </c>
      <c r="J2225" s="15" t="s">
        <v>150</v>
      </c>
      <c r="K2225" s="359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INFO'!$L$2:$M$8,2)</f>
        <v>FRI</v>
      </c>
      <c r="G2226" s="214">
        <v>3.64</v>
      </c>
      <c r="H2226" s="422">
        <v>3.75</v>
      </c>
      <c r="I2226" s="454">
        <f t="shared" si="203"/>
        <v>0.10999999999999988</v>
      </c>
      <c r="J2226" s="15" t="s">
        <v>117</v>
      </c>
      <c r="K2226" s="15">
        <f>VLOOKUP(MONTH($C2225),'CALENDAR INFO'!$O$2:$P$13,2)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INFO'!$L$2:$M$8,2)</f>
        <v>SAT</v>
      </c>
      <c r="G2227" s="214">
        <v>3.64</v>
      </c>
      <c r="H2227" s="422">
        <v>3.75</v>
      </c>
      <c r="I2227" s="454">
        <f t="shared" si="203"/>
        <v>0.10999999999999988</v>
      </c>
      <c r="J2227" s="15" t="s">
        <v>151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INFO'!$L$2:$M$8,2)</f>
        <v>SUN</v>
      </c>
      <c r="G2228" s="214">
        <v>3.64</v>
      </c>
      <c r="H2228" s="422">
        <v>3.75</v>
      </c>
      <c r="I2228" s="454">
        <f t="shared" si="203"/>
        <v>0.10999999999999988</v>
      </c>
      <c r="J2228" s="15" t="s">
        <v>243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INFO'!$L$2:$M$8,2)</f>
        <v>MON</v>
      </c>
      <c r="G2229" s="214">
        <v>3.64</v>
      </c>
      <c r="H2229" s="422">
        <v>3.7</v>
      </c>
      <c r="I2229" s="454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INFO'!$L$2:$M$8,2)</f>
        <v>TUE</v>
      </c>
      <c r="G2230" s="214">
        <v>3.64</v>
      </c>
      <c r="H2230" s="422">
        <v>3.66</v>
      </c>
      <c r="I2230" s="454">
        <f t="shared" si="203"/>
        <v>2.0000000000000018E-2</v>
      </c>
      <c r="J2230" s="15" t="s">
        <v>152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INFO'!$L$2:$M$8,2)</f>
        <v>WED</v>
      </c>
      <c r="G2231" s="214">
        <v>3.64</v>
      </c>
      <c r="H2231" s="422">
        <v>3.65</v>
      </c>
      <c r="I2231" s="454">
        <f t="shared" si="203"/>
        <v>9.9999999999997868E-3</v>
      </c>
      <c r="J2231" s="176" t="s">
        <v>235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INFO'!$L$2:$M$8,2)</f>
        <v>THU</v>
      </c>
      <c r="G2232" s="214">
        <v>3.64</v>
      </c>
      <c r="H2232" s="422">
        <v>3.64</v>
      </c>
      <c r="I2232" s="454">
        <f t="shared" si="203"/>
        <v>0</v>
      </c>
      <c r="J2232" s="176" t="s">
        <v>234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INFO'!$L$2:$M$8,2)</f>
        <v>FRI</v>
      </c>
      <c r="G2233" s="214">
        <v>3.64</v>
      </c>
      <c r="H2233" s="422">
        <v>3.64</v>
      </c>
      <c r="I2233" s="454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INFO'!$L$2:$M$8,2)</f>
        <v>SAT</v>
      </c>
      <c r="G2234" s="214">
        <v>3.64</v>
      </c>
      <c r="H2234" s="422">
        <v>3.64</v>
      </c>
      <c r="I2234" s="454">
        <f t="shared" si="203"/>
        <v>0</v>
      </c>
      <c r="J2234" s="15" t="s">
        <v>240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INFO'!$L$2:$M$8,2)</f>
        <v>SUN</v>
      </c>
      <c r="G2235" s="214">
        <v>3.64</v>
      </c>
      <c r="H2235" s="422">
        <v>3.64</v>
      </c>
      <c r="I2235" s="454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INFO'!$L$2:$M$8,2)</f>
        <v>MON</v>
      </c>
      <c r="G2236" s="214">
        <v>3.64</v>
      </c>
      <c r="H2236" s="422">
        <v>3.64</v>
      </c>
      <c r="I2236" s="454">
        <f t="shared" si="203"/>
        <v>0</v>
      </c>
      <c r="J2236" s="15" t="s">
        <v>196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INFO'!$L$2:$M$8,2)</f>
        <v>TUE</v>
      </c>
      <c r="G2237" s="214">
        <v>3.64</v>
      </c>
      <c r="H2237" s="422">
        <v>3.65</v>
      </c>
      <c r="I2237" s="454">
        <f t="shared" si="203"/>
        <v>9.9999999999997868E-3</v>
      </c>
      <c r="J2237" s="15" t="s">
        <v>117</v>
      </c>
      <c r="K2237" s="221">
        <f>VLOOKUP(MONTH($C2231),'CALENDAR INFO'!$O$2:$P$13,2)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INFO'!$L$2:$M$8,2)</f>
        <v>WED</v>
      </c>
      <c r="G2238" s="214">
        <v>3.64</v>
      </c>
      <c r="H2238" s="422">
        <v>3.64</v>
      </c>
      <c r="I2238" s="454">
        <f t="shared" si="203"/>
        <v>0</v>
      </c>
      <c r="J2238" s="15" t="s">
        <v>233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INFO'!$L$2:$M$8,2)</f>
        <v>THU</v>
      </c>
      <c r="G2239" s="214">
        <v>3.64</v>
      </c>
      <c r="H2239" s="422">
        <v>3.66</v>
      </c>
      <c r="I2239" s="454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INFO'!$L$2:$M$8,2)</f>
        <v>FRI</v>
      </c>
      <c r="G2240" s="214">
        <v>3.64</v>
      </c>
      <c r="H2240" s="422">
        <v>3.66</v>
      </c>
      <c r="I2240" s="454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INFO'!$L$2:$M$8,2)</f>
        <v>SAT</v>
      </c>
      <c r="G2241" s="214">
        <v>3.64</v>
      </c>
      <c r="H2241" s="422">
        <v>3.66</v>
      </c>
      <c r="I2241" s="454">
        <f t="shared" si="203"/>
        <v>2.0000000000000018E-2</v>
      </c>
      <c r="J2241" s="15" t="s">
        <v>154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INFO'!$L$2:$M$8,2)</f>
        <v>SUN</v>
      </c>
      <c r="G2242" s="214">
        <v>3.64</v>
      </c>
      <c r="H2242" s="422">
        <v>3.66</v>
      </c>
      <c r="I2242" s="454">
        <f t="shared" si="203"/>
        <v>2.0000000000000018E-2</v>
      </c>
      <c r="J2242" s="15" t="s">
        <v>236</v>
      </c>
      <c r="K2242" s="397">
        <f ca="1">SUM(INDIRECT(K2232))</f>
        <v>0</v>
      </c>
      <c r="L2242" s="398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102</v>
      </c>
      <c r="E2243" s="170"/>
      <c r="F2243" s="58" t="str">
        <f>VLOOKUP(MOD(C2243,7),'CALENDAR INFO'!$L$2:$M$8,2)</f>
        <v>MON</v>
      </c>
      <c r="G2243" s="214">
        <v>3.64</v>
      </c>
      <c r="H2243" s="422">
        <v>3.66</v>
      </c>
      <c r="I2243" s="454">
        <f t="shared" ref="I2243:I2306" si="208">H2243-G2243</f>
        <v>2.0000000000000018E-2</v>
      </c>
      <c r="J2243" s="15" t="s">
        <v>237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INFO'!$L$2:$M$8,2)</f>
        <v>TUE</v>
      </c>
      <c r="G2244" s="214">
        <v>3.64</v>
      </c>
      <c r="H2244" s="422">
        <v>3.64</v>
      </c>
      <c r="I2244" s="454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INFO'!$L$2:$M$8,2)</f>
        <v>WED</v>
      </c>
      <c r="G2245" s="214">
        <v>3.64</v>
      </c>
      <c r="H2245" s="422">
        <v>3.63</v>
      </c>
      <c r="I2245" s="454">
        <f t="shared" si="208"/>
        <v>-1.0000000000000231E-2</v>
      </c>
      <c r="J2245" s="15" t="s">
        <v>241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462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INFO'!$L$2:$M$8,2)</f>
        <v>THU</v>
      </c>
      <c r="G2246" s="214">
        <v>3.64</v>
      </c>
      <c r="H2246" s="422">
        <v>3.64</v>
      </c>
      <c r="I2246" s="454">
        <f t="shared" si="208"/>
        <v>0</v>
      </c>
      <c r="J2246" s="15" t="s">
        <v>193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462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INFO'!$L$2:$M$8,2)</f>
        <v>FRI</v>
      </c>
      <c r="G2247" s="214">
        <v>3.64</v>
      </c>
      <c r="H2247" s="422">
        <v>3.65</v>
      </c>
      <c r="I2247" s="454">
        <f t="shared" si="208"/>
        <v>9.9999999999997868E-3</v>
      </c>
      <c r="J2247" s="15" t="s">
        <v>242</v>
      </c>
      <c r="K2247" s="399">
        <f ca="1">COUNTA(INDIRECT(K2232))</f>
        <v>0</v>
      </c>
      <c r="L2247" s="400">
        <f ca="1">COUNTA(INDIRECT(L2232))</f>
        <v>0</v>
      </c>
      <c r="M2247" s="113">
        <f t="shared" si="210"/>
        <v>3</v>
      </c>
      <c r="N2247" s="462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INFO'!$L$2:$M$8,2)</f>
        <v>SAT</v>
      </c>
      <c r="G2248" s="214">
        <v>3.64</v>
      </c>
      <c r="H2248" s="422">
        <v>3.65</v>
      </c>
      <c r="I2248" s="454">
        <f t="shared" si="208"/>
        <v>9.9999999999997868E-3</v>
      </c>
      <c r="J2248" s="15" t="s">
        <v>238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462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INFO'!$L$2:$M$8,2)</f>
        <v>SUN</v>
      </c>
      <c r="G2249" s="214">
        <v>3.64</v>
      </c>
      <c r="H2249" s="422">
        <v>3.65</v>
      </c>
      <c r="I2249" s="454">
        <f t="shared" si="208"/>
        <v>9.9999999999997868E-3</v>
      </c>
      <c r="K2249" s="178"/>
      <c r="L2249" s="192"/>
      <c r="M2249" s="113">
        <f t="shared" si="210"/>
        <v>0</v>
      </c>
      <c r="N2249" s="462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INFO'!$L$2:$M$8,2)</f>
        <v>MON</v>
      </c>
      <c r="G2250" s="214">
        <v>3.64</v>
      </c>
      <c r="H2250" s="422">
        <v>3.66</v>
      </c>
      <c r="I2250" s="454">
        <f t="shared" si="208"/>
        <v>2.0000000000000018E-2</v>
      </c>
      <c r="J2250" s="15" t="s">
        <v>237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462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INFO'!$L$2:$M$8,2)</f>
        <v>TUE</v>
      </c>
      <c r="G2251" s="214">
        <v>3.64</v>
      </c>
      <c r="H2251" s="422">
        <v>3.66</v>
      </c>
      <c r="I2251" s="454">
        <f t="shared" si="208"/>
        <v>2.0000000000000018E-2</v>
      </c>
      <c r="J2251" s="15" t="s">
        <v>238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462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INFO'!$L$2:$M$8,2)</f>
        <v>WED</v>
      </c>
      <c r="G2252" s="214">
        <v>3.64</v>
      </c>
      <c r="H2252" s="422">
        <v>3.64</v>
      </c>
      <c r="I2252" s="454">
        <f t="shared" si="208"/>
        <v>0</v>
      </c>
      <c r="J2252" s="15" t="s">
        <v>239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462">
        <f t="shared" si="206"/>
        <v>1.0001011111111111</v>
      </c>
    </row>
    <row r="2253" spans="1:14">
      <c r="A2253" s="303"/>
      <c r="B2253" s="304"/>
      <c r="C2253" s="103">
        <f t="shared" si="209"/>
        <v>46051</v>
      </c>
      <c r="E2253" s="167"/>
      <c r="F2253" s="58" t="str">
        <f>VLOOKUP(MOD(C2253,7),'CALENDAR INFO'!$L$2:$M$8,2)</f>
        <v>THU</v>
      </c>
      <c r="G2253" s="214">
        <v>3.64</v>
      </c>
      <c r="H2253" s="422">
        <v>3.65</v>
      </c>
      <c r="I2253" s="454">
        <f t="shared" si="208"/>
        <v>9.9999999999997868E-3</v>
      </c>
      <c r="M2253" s="113">
        <f t="shared" si="210"/>
        <v>1</v>
      </c>
      <c r="N2253" s="462">
        <f t="shared" si="206"/>
        <v>1.000101388888889</v>
      </c>
    </row>
    <row r="2254" spans="1:14">
      <c r="A2254" s="303"/>
      <c r="B2254" s="304"/>
      <c r="C2254" s="103">
        <f t="shared" si="209"/>
        <v>46052</v>
      </c>
      <c r="E2254" s="167"/>
      <c r="F2254" s="58" t="str">
        <f>VLOOKUP(MOD(C2254,7),'CALENDAR INFO'!$L$2:$M$8,2)</f>
        <v>FRI</v>
      </c>
      <c r="G2254" s="214">
        <v>3.64</v>
      </c>
      <c r="H2254" s="422">
        <v>3.68</v>
      </c>
      <c r="I2254" s="454">
        <f t="shared" si="208"/>
        <v>4.0000000000000036E-2</v>
      </c>
      <c r="M2254" s="113">
        <f t="shared" si="210"/>
        <v>3</v>
      </c>
      <c r="N2254" s="462">
        <f t="shared" si="206"/>
        <v>1.0003066666666667</v>
      </c>
    </row>
    <row r="2255" spans="1:14" ht="15.75" thickBot="1">
      <c r="A2255" s="303"/>
      <c r="B2255" s="304"/>
      <c r="C2255" s="103">
        <f t="shared" si="209"/>
        <v>46053</v>
      </c>
      <c r="E2255" s="167"/>
      <c r="F2255" s="58" t="str">
        <f>VLOOKUP(MOD(C2255,7),'CALENDAR INFO'!$L$2:$M$8,2)</f>
        <v>SAT</v>
      </c>
      <c r="G2255" s="214">
        <v>3.64</v>
      </c>
      <c r="H2255" s="422">
        <v>3.68</v>
      </c>
      <c r="I2255" s="454">
        <f t="shared" si="208"/>
        <v>4.0000000000000036E-2</v>
      </c>
      <c r="M2255" s="113">
        <f t="shared" si="210"/>
        <v>0</v>
      </c>
      <c r="N2255" s="462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INFO'!$L$2:$M$8,2)</f>
        <v>SUN</v>
      </c>
      <c r="G2256" s="218">
        <v>3.64</v>
      </c>
      <c r="H2256" s="427">
        <v>3.68</v>
      </c>
      <c r="I2256" s="458">
        <f t="shared" si="208"/>
        <v>4.0000000000000036E-2</v>
      </c>
      <c r="J2256" s="435" t="s">
        <v>150</v>
      </c>
      <c r="K2256" s="359">
        <f>ROW()</f>
        <v>2256</v>
      </c>
      <c r="L2256" s="233">
        <f>K2256</f>
        <v>2256</v>
      </c>
      <c r="M2256" s="116">
        <f t="shared" si="210"/>
        <v>0</v>
      </c>
      <c r="N2256" s="463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INFO'!$L$2:$M$8,2)</f>
        <v>MON</v>
      </c>
      <c r="G2257" s="214">
        <v>3.64</v>
      </c>
      <c r="H2257" s="422">
        <v>3.69</v>
      </c>
      <c r="I2257" s="454">
        <f t="shared" si="208"/>
        <v>4.9999999999999822E-2</v>
      </c>
      <c r="J2257" s="15" t="s">
        <v>117</v>
      </c>
      <c r="K2257" s="15">
        <f>VLOOKUP(MONTH($C2256),'CALENDAR INFO'!$O$2:$P$13,2)</f>
        <v>28</v>
      </c>
      <c r="L2257" s="15">
        <f>K2257</f>
        <v>28</v>
      </c>
      <c r="M2257" s="113">
        <f t="shared" si="210"/>
        <v>1</v>
      </c>
      <c r="N2257" s="462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INFO'!$L$2:$M$8,2)</f>
        <v>TUE</v>
      </c>
      <c r="G2258" s="214">
        <v>3.64</v>
      </c>
      <c r="H2258" s="422">
        <v>3.69</v>
      </c>
      <c r="I2258" s="454">
        <f t="shared" si="208"/>
        <v>4.9999999999999822E-2</v>
      </c>
      <c r="J2258" s="15" t="s">
        <v>151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462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INFO'!$L$2:$M$8,2)</f>
        <v>WED</v>
      </c>
      <c r="G2259" s="214">
        <v>3.64</v>
      </c>
      <c r="H2259" s="422">
        <v>3.65</v>
      </c>
      <c r="I2259" s="454">
        <f t="shared" si="208"/>
        <v>9.9999999999997868E-3</v>
      </c>
      <c r="J2259" s="15" t="s">
        <v>243</v>
      </c>
      <c r="K2259" s="310">
        <f>ROW(D2256)</f>
        <v>2256</v>
      </c>
      <c r="L2259" s="15">
        <f>K2259</f>
        <v>2256</v>
      </c>
      <c r="M2259" s="113">
        <f t="shared" si="210"/>
        <v>1</v>
      </c>
      <c r="N2259" s="462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INFO'!$L$2:$M$8,2)</f>
        <v>THU</v>
      </c>
      <c r="G2260" s="214">
        <v>3.64</v>
      </c>
      <c r="H2260" s="422">
        <v>3.65</v>
      </c>
      <c r="I2260" s="454">
        <f t="shared" si="208"/>
        <v>9.9999999999997868E-3</v>
      </c>
      <c r="K2260" s="310"/>
      <c r="L2260" s="15"/>
      <c r="M2260" s="113">
        <f t="shared" si="210"/>
        <v>1</v>
      </c>
      <c r="N2260" s="462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INFO'!$L$2:$M$8,2)</f>
        <v>FRI</v>
      </c>
      <c r="G2261" s="214">
        <v>3.64</v>
      </c>
      <c r="H2261" s="422">
        <v>3.64</v>
      </c>
      <c r="I2261" s="454">
        <f t="shared" si="208"/>
        <v>0</v>
      </c>
      <c r="J2261" s="15" t="s">
        <v>152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462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INFO'!$L$2:$M$8,2)</f>
        <v>SAT</v>
      </c>
      <c r="G2262" s="214">
        <v>3.64</v>
      </c>
      <c r="H2262" s="422">
        <v>3.64</v>
      </c>
      <c r="I2262" s="454">
        <f t="shared" si="208"/>
        <v>0</v>
      </c>
      <c r="J2262" s="176" t="s">
        <v>234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462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INFO'!$L$2:$M$8,2)</f>
        <v>SUN</v>
      </c>
      <c r="G2263" s="214">
        <v>3.64</v>
      </c>
      <c r="H2263" s="422">
        <v>3.64</v>
      </c>
      <c r="I2263" s="454">
        <f t="shared" si="208"/>
        <v>0</v>
      </c>
      <c r="J2263" s="176" t="s">
        <v>235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462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INFO'!$L$2:$M$8,2)</f>
        <v>MON</v>
      </c>
      <c r="G2264" s="214">
        <v>3.64</v>
      </c>
      <c r="H2264" s="422">
        <v>3.63</v>
      </c>
      <c r="I2264" s="454">
        <f t="shared" si="208"/>
        <v>-1.0000000000000231E-2</v>
      </c>
      <c r="M2264" s="113">
        <f t="shared" si="210"/>
        <v>1</v>
      </c>
      <c r="N2264" s="462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INFO'!$L$2:$M$8,2)</f>
        <v>TUE</v>
      </c>
      <c r="G2265" s="214">
        <v>3.64</v>
      </c>
      <c r="H2265" s="422">
        <v>3.65</v>
      </c>
      <c r="I2265" s="454">
        <f t="shared" si="208"/>
        <v>9.9999999999997868E-3</v>
      </c>
      <c r="J2265" s="15" t="s">
        <v>240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462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INFO'!$L$2:$M$8,2)</f>
        <v>WED</v>
      </c>
      <c r="G2266" s="214">
        <v>3.64</v>
      </c>
      <c r="H2266" s="422">
        <v>3.65</v>
      </c>
      <c r="I2266" s="454">
        <f t="shared" si="208"/>
        <v>9.9999999999997868E-3</v>
      </c>
      <c r="K2266" s="178"/>
      <c r="L2266" s="192"/>
      <c r="M2266" s="113">
        <f t="shared" si="210"/>
        <v>1</v>
      </c>
      <c r="N2266" s="462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INFO'!$L$2:$M$8,2)</f>
        <v>THU</v>
      </c>
      <c r="G2267" s="214">
        <v>3.64</v>
      </c>
      <c r="H2267" s="422">
        <v>3.65</v>
      </c>
      <c r="I2267" s="454">
        <f t="shared" si="208"/>
        <v>9.9999999999997868E-3</v>
      </c>
      <c r="J2267" s="15" t="s">
        <v>196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462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INFO'!$L$2:$M$8,2)</f>
        <v>FRI</v>
      </c>
      <c r="G2268" s="214">
        <v>3.64</v>
      </c>
      <c r="H2268" s="422">
        <v>3.66</v>
      </c>
      <c r="I2268" s="454">
        <f t="shared" si="208"/>
        <v>2.0000000000000018E-2</v>
      </c>
      <c r="J2268" s="15" t="s">
        <v>117</v>
      </c>
      <c r="K2268" s="221">
        <f>VLOOKUP(MONTH($C2262),'CALENDAR INFO'!$O$2:$P$13,2)</f>
        <v>28</v>
      </c>
      <c r="L2268" s="221">
        <f>K2268</f>
        <v>28</v>
      </c>
      <c r="M2268" s="117">
        <v>4</v>
      </c>
      <c r="N2268" s="462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INFO'!$L$2:$M$8,2)</f>
        <v>SAT</v>
      </c>
      <c r="G2269" s="214">
        <v>3.64</v>
      </c>
      <c r="H2269" s="422">
        <v>3.66</v>
      </c>
      <c r="I2269" s="454">
        <f t="shared" si="208"/>
        <v>2.0000000000000018E-2</v>
      </c>
      <c r="J2269" s="15" t="s">
        <v>233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462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INFO'!$L$2:$M$8,2)</f>
        <v>SUN</v>
      </c>
      <c r="G2270" s="214">
        <v>3.64</v>
      </c>
      <c r="H2270" s="422">
        <v>3.66</v>
      </c>
      <c r="I2270" s="454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462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205</v>
      </c>
      <c r="E2271" s="170"/>
      <c r="F2271" s="58" t="str">
        <f>VLOOKUP(MOD(C2271,7),'CALENDAR INFO'!$L$2:$M$8,2)</f>
        <v>MON</v>
      </c>
      <c r="G2271" s="214">
        <v>3.64</v>
      </c>
      <c r="H2271" s="422">
        <v>3.66</v>
      </c>
      <c r="I2271" s="454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462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INFO'!$L$2:$M$8,2)</f>
        <v>TUE</v>
      </c>
      <c r="G2272" s="214">
        <v>3.64</v>
      </c>
      <c r="H2272" s="422">
        <v>3.71</v>
      </c>
      <c r="I2272" s="454">
        <f t="shared" si="208"/>
        <v>6.999999999999984E-2</v>
      </c>
      <c r="J2272" s="15" t="s">
        <v>154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462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INFO'!$L$2:$M$8,2)</f>
        <v>WED</v>
      </c>
      <c r="G2273" s="214">
        <v>3.64</v>
      </c>
      <c r="H2273" s="422">
        <v>3.73</v>
      </c>
      <c r="I2273" s="454">
        <f t="shared" si="208"/>
        <v>8.9999999999999858E-2</v>
      </c>
      <c r="J2273" s="15" t="s">
        <v>236</v>
      </c>
      <c r="K2273" s="397">
        <f ca="1">SUM(INDIRECT(K2262))</f>
        <v>0</v>
      </c>
      <c r="L2273" s="398">
        <f ca="1">SUM(INDIRECT(L2262))</f>
        <v>0</v>
      </c>
      <c r="M2273" s="113">
        <f t="shared" si="212"/>
        <v>1</v>
      </c>
      <c r="N2273" s="462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INFO'!$L$2:$M$8,2)</f>
        <v>THU</v>
      </c>
      <c r="G2274" s="214">
        <v>3.64</v>
      </c>
      <c r="H2274" s="422">
        <v>3.67</v>
      </c>
      <c r="I2274" s="454">
        <f t="shared" si="208"/>
        <v>2.9999999999999805E-2</v>
      </c>
      <c r="J2274" s="15" t="s">
        <v>237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462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INFO'!$L$2:$M$8,2)</f>
        <v>FRI</v>
      </c>
      <c r="G2275" s="214">
        <v>3.64</v>
      </c>
      <c r="H2275" s="422">
        <v>3.66</v>
      </c>
      <c r="I2275" s="454">
        <f t="shared" si="208"/>
        <v>2.0000000000000018E-2</v>
      </c>
      <c r="M2275" s="113">
        <f t="shared" si="212"/>
        <v>3</v>
      </c>
      <c r="N2275" s="462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INFO'!$L$2:$M$8,2)</f>
        <v>SAT</v>
      </c>
      <c r="G2276" s="214">
        <v>3.64</v>
      </c>
      <c r="H2276" s="422">
        <v>3.66</v>
      </c>
      <c r="I2276" s="454">
        <f t="shared" si="208"/>
        <v>2.0000000000000018E-2</v>
      </c>
      <c r="J2276" s="15" t="s">
        <v>241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462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INFO'!$L$2:$M$8,2)</f>
        <v>SUN</v>
      </c>
      <c r="G2277" s="214">
        <v>3.64</v>
      </c>
      <c r="H2277" s="422">
        <v>3.66</v>
      </c>
      <c r="I2277" s="454">
        <f t="shared" si="208"/>
        <v>2.0000000000000018E-2</v>
      </c>
      <c r="J2277" s="15" t="s">
        <v>193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462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INFO'!$L$2:$M$8,2)</f>
        <v>MON</v>
      </c>
      <c r="G2278" s="214">
        <v>3.64</v>
      </c>
      <c r="H2278" s="422">
        <v>3.66</v>
      </c>
      <c r="I2278" s="454">
        <f t="shared" si="208"/>
        <v>2.0000000000000018E-2</v>
      </c>
      <c r="J2278" s="15" t="s">
        <v>242</v>
      </c>
      <c r="K2278" s="399">
        <f ca="1">COUNTA(INDIRECT(K2262))</f>
        <v>0</v>
      </c>
      <c r="L2278" s="400">
        <f ca="1">COUNTA(INDIRECT(L2262))</f>
        <v>0</v>
      </c>
      <c r="M2278" s="113">
        <f t="shared" si="212"/>
        <v>1</v>
      </c>
      <c r="N2278" s="462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INFO'!$L$2:$M$8,2)</f>
        <v>TUE</v>
      </c>
      <c r="G2279" s="214">
        <v>3.64</v>
      </c>
      <c r="H2279" s="422">
        <v>3.67</v>
      </c>
      <c r="I2279" s="454">
        <f t="shared" si="208"/>
        <v>2.9999999999999805E-2</v>
      </c>
      <c r="J2279" s="15" t="s">
        <v>238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462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INFO'!$L$2:$M$8,2)</f>
        <v>WED</v>
      </c>
      <c r="G2280" s="214">
        <v>3.64</v>
      </c>
      <c r="H2280" s="422">
        <v>3.67</v>
      </c>
      <c r="I2280" s="454">
        <f t="shared" si="208"/>
        <v>2.9999999999999805E-2</v>
      </c>
      <c r="K2280" s="178"/>
      <c r="L2280" s="192"/>
      <c r="M2280" s="113">
        <f t="shared" si="212"/>
        <v>1</v>
      </c>
      <c r="N2280" s="462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INFO'!$L$2:$M$8,2)</f>
        <v>THU</v>
      </c>
      <c r="G2281" s="214">
        <v>3.64</v>
      </c>
      <c r="H2281" s="422">
        <v>3.67</v>
      </c>
      <c r="I2281" s="454">
        <f t="shared" si="208"/>
        <v>2.9999999999999805E-2</v>
      </c>
      <c r="J2281" s="15" t="s">
        <v>237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462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INFO'!$L$2:$M$8,2)</f>
        <v>FRI</v>
      </c>
      <c r="G2282" s="214">
        <v>3.64</v>
      </c>
      <c r="H2282" s="422">
        <v>3.68</v>
      </c>
      <c r="I2282" s="454">
        <f t="shared" si="208"/>
        <v>4.0000000000000036E-2</v>
      </c>
      <c r="J2282" s="15" t="s">
        <v>238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462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INFO'!$L$2:$M$8,2)</f>
        <v>SAT</v>
      </c>
      <c r="G2283" s="214">
        <v>3.64</v>
      </c>
      <c r="H2283" s="422">
        <v>3.68</v>
      </c>
      <c r="I2283" s="455">
        <f t="shared" si="208"/>
        <v>4.0000000000000036E-2</v>
      </c>
      <c r="J2283" s="347" t="s">
        <v>239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462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INFO'!$L$2:$M$8,2)</f>
        <v>SUN</v>
      </c>
      <c r="G2284" s="218">
        <v>3.64</v>
      </c>
      <c r="H2284" s="427">
        <v>3.68</v>
      </c>
      <c r="I2284" s="454">
        <f t="shared" si="208"/>
        <v>4.0000000000000036E-2</v>
      </c>
      <c r="J2284" s="15" t="s">
        <v>150</v>
      </c>
      <c r="K2284" s="359">
        <f>ROW()</f>
        <v>2284</v>
      </c>
      <c r="L2284" s="233">
        <f>K2284</f>
        <v>2284</v>
      </c>
      <c r="M2284" s="116">
        <f t="shared" si="212"/>
        <v>0</v>
      </c>
      <c r="N2284" s="463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INFO'!$L$2:$M$8,2)</f>
        <v>MON</v>
      </c>
      <c r="G2285" s="214">
        <v>3.64</v>
      </c>
      <c r="H2285" s="422">
        <v>3.71</v>
      </c>
      <c r="I2285" s="454">
        <f t="shared" si="208"/>
        <v>6.999999999999984E-2</v>
      </c>
      <c r="J2285" s="15" t="s">
        <v>117</v>
      </c>
      <c r="K2285" s="15">
        <f>VLOOKUP(MONTH($C2284),'CALENDAR INFO'!$O$2:$P$13,2)</f>
        <v>31</v>
      </c>
      <c r="L2285" s="179">
        <f>K2285</f>
        <v>31</v>
      </c>
      <c r="M2285" s="113">
        <f t="shared" si="212"/>
        <v>1</v>
      </c>
      <c r="N2285" s="462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INFO'!$L$2:$M$8,2)</f>
        <v>TUE</v>
      </c>
      <c r="G2286" s="214">
        <v>3.64</v>
      </c>
      <c r="H2286" s="422">
        <v>3.7</v>
      </c>
      <c r="I2286" s="454">
        <f t="shared" si="208"/>
        <v>6.0000000000000053E-2</v>
      </c>
      <c r="J2286" s="15" t="s">
        <v>151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462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INFO'!$L$2:$M$8,2)</f>
        <v>WED</v>
      </c>
      <c r="G2287" s="214">
        <v>3.64</v>
      </c>
      <c r="H2287" s="422">
        <v>3.67</v>
      </c>
      <c r="I2287" s="454">
        <f t="shared" si="208"/>
        <v>2.9999999999999805E-2</v>
      </c>
      <c r="J2287" s="15" t="s">
        <v>243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462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INFO'!$L$2:$M$8,2)</f>
        <v>THU</v>
      </c>
      <c r="G2288" s="214">
        <v>3.64</v>
      </c>
      <c r="H2288" s="422">
        <v>3.66</v>
      </c>
      <c r="I2288" s="454">
        <f t="shared" si="208"/>
        <v>2.0000000000000018E-2</v>
      </c>
      <c r="K2288" s="176"/>
      <c r="M2288" s="113">
        <f t="shared" si="212"/>
        <v>1</v>
      </c>
      <c r="N2288" s="462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INFO'!$L$2:$M$8,2)</f>
        <v>FRI</v>
      </c>
      <c r="G2289" s="214">
        <v>3.64</v>
      </c>
      <c r="H2289" s="422">
        <v>3.65</v>
      </c>
      <c r="I2289" s="454">
        <f t="shared" si="208"/>
        <v>9.9999999999997868E-3</v>
      </c>
      <c r="J2289" s="15" t="s">
        <v>152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462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INFO'!$L$2:$M$8,2)</f>
        <v>SAT</v>
      </c>
      <c r="G2290" s="214">
        <v>3.64</v>
      </c>
      <c r="H2290" s="422">
        <v>3.65</v>
      </c>
      <c r="I2290" s="454">
        <f t="shared" si="208"/>
        <v>9.9999999999997868E-3</v>
      </c>
      <c r="J2290" s="176" t="s">
        <v>235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462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INFO'!$L$2:$M$8,2)</f>
        <v>SUN</v>
      </c>
      <c r="G2291" s="214">
        <v>3.64</v>
      </c>
      <c r="H2291" s="422">
        <v>3.65</v>
      </c>
      <c r="I2291" s="454">
        <f t="shared" si="208"/>
        <v>9.9999999999997868E-3</v>
      </c>
      <c r="J2291" s="176" t="s">
        <v>234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462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INFO'!$L$2:$M$8,2)</f>
        <v>MON</v>
      </c>
      <c r="G2292" s="214">
        <v>3.64</v>
      </c>
      <c r="H2292" s="422">
        <v>3.65</v>
      </c>
      <c r="I2292" s="454">
        <f t="shared" si="208"/>
        <v>9.9999999999997868E-3</v>
      </c>
      <c r="M2292" s="113">
        <f t="shared" si="212"/>
        <v>1</v>
      </c>
      <c r="N2292" s="462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INFO'!$L$2:$M$8,2)</f>
        <v>TUE</v>
      </c>
      <c r="G2293" s="214">
        <v>3.64</v>
      </c>
      <c r="H2293" s="422">
        <v>3.64</v>
      </c>
      <c r="I2293" s="454">
        <f t="shared" si="208"/>
        <v>0</v>
      </c>
      <c r="J2293" s="15" t="s">
        <v>240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462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INFO'!$L$2:$M$8,2)</f>
        <v>WED</v>
      </c>
      <c r="G2294" s="214">
        <v>3.64</v>
      </c>
      <c r="H2294" s="422">
        <v>3.64</v>
      </c>
      <c r="I2294" s="454">
        <f t="shared" si="208"/>
        <v>0</v>
      </c>
      <c r="M2294" s="113">
        <f t="shared" si="212"/>
        <v>1</v>
      </c>
      <c r="N2294" s="462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INFO'!$L$2:$M$8,2)</f>
        <v>THU</v>
      </c>
      <c r="G2295" s="214">
        <v>3.64</v>
      </c>
      <c r="H2295" s="422">
        <v>3.65</v>
      </c>
      <c r="I2295" s="454">
        <f t="shared" si="208"/>
        <v>9.9999999999997868E-3</v>
      </c>
      <c r="J2295" s="15" t="s">
        <v>196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462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INFO'!$L$2:$M$8,2)</f>
        <v>FRI</v>
      </c>
      <c r="G2296" s="214">
        <v>3.64</v>
      </c>
      <c r="H2296" s="422">
        <v>3.65</v>
      </c>
      <c r="I2296" s="454">
        <f t="shared" si="208"/>
        <v>9.9999999999997868E-3</v>
      </c>
      <c r="J2296" s="15" t="s">
        <v>117</v>
      </c>
      <c r="K2296" s="221">
        <f>VLOOKUP(MONTH($C2290),'CALENDAR INFO'!$O$2:$P$13,2)</f>
        <v>31</v>
      </c>
      <c r="L2296" s="223">
        <f>K2296</f>
        <v>31</v>
      </c>
      <c r="M2296" s="113">
        <f t="shared" si="212"/>
        <v>3</v>
      </c>
      <c r="N2296" s="462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INFO'!$L$2:$M$8,2)</f>
        <v>SAT</v>
      </c>
      <c r="G2297" s="214">
        <v>3.64</v>
      </c>
      <c r="H2297" s="422">
        <v>3.65</v>
      </c>
      <c r="I2297" s="454">
        <f t="shared" si="208"/>
        <v>9.9999999999997868E-3</v>
      </c>
      <c r="J2297" s="15" t="s">
        <v>233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462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INFO'!$L$2:$M$8,2)</f>
        <v>SUN</v>
      </c>
      <c r="G2298" s="214">
        <v>3.64</v>
      </c>
      <c r="H2298" s="422">
        <v>3.65</v>
      </c>
      <c r="I2298" s="454">
        <f t="shared" si="208"/>
        <v>9.9999999999997868E-3</v>
      </c>
      <c r="M2298" s="113">
        <f t="shared" si="212"/>
        <v>0</v>
      </c>
      <c r="N2298" s="462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INFO'!$L$2:$M$8,2)</f>
        <v>MON</v>
      </c>
      <c r="G2299" s="214">
        <v>3.64</v>
      </c>
      <c r="H2299" s="422">
        <v>3.7</v>
      </c>
      <c r="I2299" s="454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462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INFO'!$L$2:$M$8,2)</f>
        <v>TUE</v>
      </c>
      <c r="G2300" s="214">
        <v>3.64</v>
      </c>
      <c r="H2300" s="422">
        <v>3.65</v>
      </c>
      <c r="I2300" s="454">
        <f t="shared" si="208"/>
        <v>9.9999999999997868E-3</v>
      </c>
      <c r="J2300" s="15" t="s">
        <v>154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462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INFO'!$L$2:$M$8,2)</f>
        <v>WED</v>
      </c>
      <c r="G2301" s="214">
        <v>3.64</v>
      </c>
      <c r="H2301" s="422">
        <v>3.62</v>
      </c>
      <c r="I2301" s="454">
        <f t="shared" si="208"/>
        <v>-2.0000000000000018E-2</v>
      </c>
      <c r="J2301" s="15" t="s">
        <v>236</v>
      </c>
      <c r="K2301" s="397">
        <f ca="1">SUM(INDIRECT(K2291))</f>
        <v>0</v>
      </c>
      <c r="L2301" s="398">
        <f ca="1">SUM(INDIRECT(L2291))</f>
        <v>0</v>
      </c>
      <c r="M2301" s="113">
        <f t="shared" si="212"/>
        <v>1</v>
      </c>
      <c r="N2301" s="462">
        <f t="shared" si="211"/>
        <v>1.0001005555555555</v>
      </c>
    </row>
    <row r="2302" spans="1:14">
      <c r="A2302" s="303"/>
      <c r="B2302" s="304"/>
      <c r="C2302" s="103">
        <f t="shared" si="209"/>
        <v>46100</v>
      </c>
      <c r="E2302" s="167" t="s">
        <v>18</v>
      </c>
      <c r="F2302" s="58" t="str">
        <f>VLOOKUP(MOD(C2302,7),'CALENDAR INFO'!$L$2:$M$8,2)</f>
        <v>THU</v>
      </c>
      <c r="G2302" s="214">
        <v>3.64</v>
      </c>
      <c r="H2302" s="422">
        <v>3.62</v>
      </c>
      <c r="I2302" s="454">
        <f t="shared" si="208"/>
        <v>-2.0000000000000018E-2</v>
      </c>
      <c r="J2302" s="15" t="s">
        <v>237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462">
        <f t="shared" si="211"/>
        <v>1.0001005555555555</v>
      </c>
    </row>
    <row r="2303" spans="1:14">
      <c r="A2303" s="303"/>
      <c r="B2303" s="304"/>
      <c r="C2303" s="103">
        <f t="shared" si="209"/>
        <v>46101</v>
      </c>
      <c r="E2303" s="167"/>
      <c r="F2303" s="58" t="str">
        <f>VLOOKUP(MOD(C2303,7),'CALENDAR INFO'!$L$2:$M$8,2)</f>
        <v>FRI</v>
      </c>
      <c r="G2303" s="214">
        <v>3.64</v>
      </c>
      <c r="H2303" s="422">
        <v>3.62</v>
      </c>
      <c r="I2303" s="454">
        <f t="shared" si="208"/>
        <v>-2.0000000000000018E-2</v>
      </c>
      <c r="K2303" s="178"/>
      <c r="L2303" s="192"/>
      <c r="M2303" s="113">
        <f t="shared" si="212"/>
        <v>3</v>
      </c>
      <c r="N2303" s="462">
        <f t="shared" si="211"/>
        <v>1.0003016666666666</v>
      </c>
    </row>
    <row r="2304" spans="1:14">
      <c r="A2304" s="303"/>
      <c r="B2304" s="304"/>
      <c r="C2304" s="103">
        <f t="shared" si="209"/>
        <v>46102</v>
      </c>
      <c r="E2304" s="167"/>
      <c r="F2304" s="58" t="str">
        <f>VLOOKUP(MOD(C2304,7),'CALENDAR INFO'!$L$2:$M$8,2)</f>
        <v>SAT</v>
      </c>
      <c r="G2304" s="214">
        <v>3.64</v>
      </c>
      <c r="H2304" s="422">
        <v>3.62</v>
      </c>
      <c r="I2304" s="454">
        <f t="shared" si="208"/>
        <v>-2.0000000000000018E-2</v>
      </c>
      <c r="J2304" s="15" t="s">
        <v>241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462">
        <f t="shared" si="211"/>
        <v>1</v>
      </c>
    </row>
    <row r="2305" spans="1:14">
      <c r="A2305" s="303"/>
      <c r="B2305" s="304"/>
      <c r="C2305" s="103">
        <f t="shared" si="209"/>
        <v>46103</v>
      </c>
      <c r="E2305" s="167"/>
      <c r="F2305" s="58" t="str">
        <f>VLOOKUP(MOD(C2305,7),'CALENDAR INFO'!$L$2:$M$8,2)</f>
        <v>SUN</v>
      </c>
      <c r="G2305" s="214">
        <v>3.64</v>
      </c>
      <c r="H2305" s="422">
        <v>3.62</v>
      </c>
      <c r="I2305" s="454">
        <f t="shared" si="208"/>
        <v>-2.0000000000000018E-2</v>
      </c>
      <c r="J2305" s="15" t="s">
        <v>193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462">
        <f t="shared" si="211"/>
        <v>1</v>
      </c>
    </row>
    <row r="2306" spans="1:14">
      <c r="A2306" s="303"/>
      <c r="B2306" s="304"/>
      <c r="C2306" s="103">
        <f t="shared" si="209"/>
        <v>46104</v>
      </c>
      <c r="E2306" s="167"/>
      <c r="F2306" s="58" t="str">
        <f>VLOOKUP(MOD(C2306,7),'CALENDAR INFO'!$L$2:$M$8,2)</f>
        <v>MON</v>
      </c>
      <c r="G2306" s="214">
        <v>3.64</v>
      </c>
      <c r="H2306" s="422">
        <v>3.62</v>
      </c>
      <c r="I2306" s="454">
        <f t="shared" si="208"/>
        <v>-2.0000000000000018E-2</v>
      </c>
      <c r="J2306" s="15" t="s">
        <v>242</v>
      </c>
      <c r="K2306" s="399">
        <f ca="1">COUNTA(INDIRECT(K2291))</f>
        <v>0</v>
      </c>
      <c r="L2306" s="400">
        <f ca="1">COUNTA(INDIRECT(L2291))</f>
        <v>0</v>
      </c>
      <c r="M2306" s="113">
        <f t="shared" si="212"/>
        <v>1</v>
      </c>
      <c r="N2306" s="462">
        <f t="shared" si="211"/>
        <v>1.0001005555555555</v>
      </c>
    </row>
    <row r="2307" spans="1:14">
      <c r="A2307" s="303"/>
      <c r="B2307" s="304"/>
      <c r="C2307" s="103">
        <f t="shared" si="209"/>
        <v>46105</v>
      </c>
      <c r="E2307" s="167"/>
      <c r="F2307" s="58" t="str">
        <f>VLOOKUP(MOD(C2307,7),'CALENDAR INFO'!$L$2:$M$8,2)</f>
        <v>TUE</v>
      </c>
      <c r="G2307" s="214">
        <v>3.64</v>
      </c>
      <c r="H2307" s="422">
        <v>3.63</v>
      </c>
      <c r="I2307" s="454">
        <f t="shared" ref="I2307:I2370" si="213">H2307-G2307</f>
        <v>-1.0000000000000231E-2</v>
      </c>
      <c r="J2307" s="15" t="s">
        <v>238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462">
        <f t="shared" si="211"/>
        <v>1.0001008333333334</v>
      </c>
    </row>
    <row r="2308" spans="1:14">
      <c r="A2308" s="303"/>
      <c r="B2308" s="304"/>
      <c r="C2308" s="103">
        <f t="shared" ref="C2308:C2371" si="214">C2307+1</f>
        <v>46106</v>
      </c>
      <c r="E2308" s="167"/>
      <c r="F2308" s="58" t="str">
        <f>VLOOKUP(MOD(C2308,7),'CALENDAR INFO'!$L$2:$M$8,2)</f>
        <v>WED</v>
      </c>
      <c r="G2308" s="214">
        <v>3.64</v>
      </c>
      <c r="H2308" s="422">
        <v>3.64</v>
      </c>
      <c r="I2308" s="454">
        <f t="shared" si="213"/>
        <v>0</v>
      </c>
      <c r="K2308" s="178"/>
      <c r="L2308" s="192"/>
      <c r="M2308" s="113">
        <f t="shared" si="212"/>
        <v>1</v>
      </c>
      <c r="N2308" s="462">
        <f t="shared" si="211"/>
        <v>1.0001011111111111</v>
      </c>
    </row>
    <row r="2309" spans="1:14">
      <c r="A2309" s="303"/>
      <c r="B2309" s="304"/>
      <c r="C2309" s="103">
        <f t="shared" si="214"/>
        <v>46107</v>
      </c>
      <c r="E2309" s="167"/>
      <c r="F2309" s="58" t="str">
        <f>VLOOKUP(MOD(C2309,7),'CALENDAR INFO'!$L$2:$M$8,2)</f>
        <v>THU</v>
      </c>
      <c r="G2309" s="214">
        <v>3.64</v>
      </c>
      <c r="H2309" s="422">
        <v>3.65</v>
      </c>
      <c r="I2309" s="454">
        <f t="shared" si="213"/>
        <v>9.9999999999997868E-3</v>
      </c>
      <c r="J2309" s="15" t="s">
        <v>237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462">
        <f t="shared" si="211"/>
        <v>1.000101388888889</v>
      </c>
    </row>
    <row r="2310" spans="1:14">
      <c r="A2310" s="303"/>
      <c r="B2310" s="304"/>
      <c r="C2310" s="103">
        <f t="shared" si="214"/>
        <v>46108</v>
      </c>
      <c r="E2310" s="167"/>
      <c r="F2310" s="58" t="str">
        <f>VLOOKUP(MOD(C2310,7),'CALENDAR INFO'!$L$2:$M$8,2)</f>
        <v>FRI</v>
      </c>
      <c r="G2310" s="214">
        <v>3.64</v>
      </c>
      <c r="H2310" s="422">
        <v>3.63</v>
      </c>
      <c r="I2310" s="454">
        <f t="shared" si="213"/>
        <v>-1.0000000000000231E-2</v>
      </c>
      <c r="J2310" s="15" t="s">
        <v>238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462">
        <f t="shared" si="211"/>
        <v>1.0003025000000001</v>
      </c>
    </row>
    <row r="2311" spans="1:14">
      <c r="A2311" s="303"/>
      <c r="B2311" s="304"/>
      <c r="C2311" s="103">
        <f t="shared" si="214"/>
        <v>46109</v>
      </c>
      <c r="E2311" s="167"/>
      <c r="F2311" s="58" t="str">
        <f>VLOOKUP(MOD(C2311,7),'CALENDAR INFO'!$L$2:$M$8,2)</f>
        <v>SAT</v>
      </c>
      <c r="G2311" s="214">
        <v>3.64</v>
      </c>
      <c r="H2311" s="422">
        <v>3.63</v>
      </c>
      <c r="I2311" s="454">
        <f t="shared" si="213"/>
        <v>-1.0000000000000231E-2</v>
      </c>
      <c r="J2311" s="15" t="s">
        <v>239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462">
        <f t="shared" si="211"/>
        <v>1</v>
      </c>
    </row>
    <row r="2312" spans="1:14">
      <c r="A2312" s="303"/>
      <c r="B2312" s="304"/>
      <c r="C2312" s="103">
        <f t="shared" si="214"/>
        <v>46110</v>
      </c>
      <c r="E2312" s="167"/>
      <c r="F2312" s="58" t="str">
        <f>VLOOKUP(MOD(C2312,7),'CALENDAR INFO'!$L$2:$M$8,2)</f>
        <v>SUN</v>
      </c>
      <c r="G2312" s="214">
        <v>3.64</v>
      </c>
      <c r="H2312" s="422">
        <v>3.63</v>
      </c>
      <c r="I2312" s="454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462">
        <f t="shared" si="211"/>
        <v>1</v>
      </c>
    </row>
    <row r="2313" spans="1:14">
      <c r="A2313" s="303"/>
      <c r="B2313" s="304"/>
      <c r="C2313" s="103">
        <f t="shared" si="214"/>
        <v>46111</v>
      </c>
      <c r="E2313" s="167"/>
      <c r="F2313" s="58" t="str">
        <f>VLOOKUP(MOD(C2313,7),'CALENDAR INFO'!$L$2:$M$8,2)</f>
        <v>MON</v>
      </c>
      <c r="G2313" s="214">
        <v>3.64</v>
      </c>
      <c r="H2313" s="422">
        <v>3.63</v>
      </c>
      <c r="I2313" s="454">
        <f t="shared" si="213"/>
        <v>-1.0000000000000231E-2</v>
      </c>
      <c r="K2313" s="189">
        <f ca="1">100-K2312</f>
        <v>96.36</v>
      </c>
      <c r="L2313" s="412">
        <f ca="1">100-L2312</f>
        <v>96.351935483870975</v>
      </c>
      <c r="M2313" s="113">
        <f t="shared" si="212"/>
        <v>1</v>
      </c>
      <c r="N2313" s="462">
        <f t="shared" si="211"/>
        <v>1.0001008333333334</v>
      </c>
    </row>
    <row r="2314" spans="1:14" ht="15.75" thickBot="1">
      <c r="A2314" s="402"/>
      <c r="B2314" s="403"/>
      <c r="C2314" s="104">
        <f t="shared" si="214"/>
        <v>46112</v>
      </c>
      <c r="D2314" s="112"/>
      <c r="E2314" s="92"/>
      <c r="F2314" s="71" t="str">
        <f>VLOOKUP(MOD(C2314,7),'CALENDAR INFO'!$L$2:$M$8,2)</f>
        <v>TUE</v>
      </c>
      <c r="G2314" s="215">
        <v>3.64</v>
      </c>
      <c r="H2314" s="423">
        <v>3.68</v>
      </c>
      <c r="I2314" s="455">
        <f t="shared" si="213"/>
        <v>4.0000000000000036E-2</v>
      </c>
      <c r="J2314" s="347"/>
      <c r="K2314" s="347" t="s">
        <v>201</v>
      </c>
      <c r="L2314" s="348" t="s">
        <v>201</v>
      </c>
      <c r="M2314" s="114">
        <f t="shared" si="212"/>
        <v>1</v>
      </c>
      <c r="N2314" s="464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INFO'!$L$2:$M$8,2)</f>
        <v>WED</v>
      </c>
      <c r="G2315" s="214">
        <v>3.64</v>
      </c>
      <c r="H2315" s="422">
        <v>3.65</v>
      </c>
      <c r="I2315" s="454">
        <f t="shared" si="213"/>
        <v>9.9999999999997868E-3</v>
      </c>
      <c r="J2315" s="15" t="s">
        <v>150</v>
      </c>
      <c r="K2315" s="374">
        <f>ROW()</f>
        <v>2315</v>
      </c>
      <c r="L2315" s="60">
        <f>K2315</f>
        <v>2315</v>
      </c>
      <c r="M2315" s="113">
        <f t="shared" si="212"/>
        <v>1</v>
      </c>
      <c r="N2315" s="462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INFO'!$L$2:$M$8,2)</f>
        <v>THU</v>
      </c>
      <c r="G2316" s="214">
        <v>3.64</v>
      </c>
      <c r="H2316" s="422">
        <v>3.66</v>
      </c>
      <c r="I2316" s="454">
        <f t="shared" si="213"/>
        <v>2.0000000000000018E-2</v>
      </c>
      <c r="J2316" s="15" t="s">
        <v>117</v>
      </c>
      <c r="K2316" s="15">
        <f>VLOOKUP(MONTH($C2315),'CALENDAR INFO'!$O$2:$P$13,2)</f>
        <v>30</v>
      </c>
      <c r="L2316" s="15">
        <f>K2316</f>
        <v>30</v>
      </c>
      <c r="M2316" s="113">
        <f t="shared" si="212"/>
        <v>1</v>
      </c>
      <c r="N2316" s="462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INFO'!$L$2:$M$8,2)</f>
        <v>FRI</v>
      </c>
      <c r="G2317" s="214">
        <v>3.64</v>
      </c>
      <c r="H2317" s="422">
        <v>3.66</v>
      </c>
      <c r="I2317" s="454">
        <f t="shared" si="213"/>
        <v>2.0000000000000018E-2</v>
      </c>
      <c r="J2317" s="15" t="s">
        <v>151</v>
      </c>
      <c r="K2317" s="15">
        <f>K2315+K2316-1</f>
        <v>2344</v>
      </c>
      <c r="L2317" s="15">
        <f>K2317</f>
        <v>2344</v>
      </c>
      <c r="M2317" s="117">
        <v>4</v>
      </c>
      <c r="N2317" s="462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INFO'!$L$2:$M$8,2)</f>
        <v>SAT</v>
      </c>
      <c r="G2318" s="214">
        <v>3.64</v>
      </c>
      <c r="H2318" s="422">
        <v>3.66</v>
      </c>
      <c r="I2318" s="454">
        <f t="shared" si="213"/>
        <v>2.0000000000000018E-2</v>
      </c>
      <c r="J2318" s="15" t="s">
        <v>243</v>
      </c>
      <c r="K2318" s="310">
        <f>ROW(D2343)</f>
        <v>2343</v>
      </c>
      <c r="L2318" s="15">
        <f>K2318</f>
        <v>2343</v>
      </c>
      <c r="M2318" s="113">
        <f>IF(MOD(C2318,7)&lt;2,0,IF(MOD(C2318,7)=6,3,1))</f>
        <v>0</v>
      </c>
      <c r="N2318" s="462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INFO'!$L$2:$M$8,2)</f>
        <v>SUN</v>
      </c>
      <c r="G2319" s="214">
        <v>3.64</v>
      </c>
      <c r="H2319" s="422">
        <v>3.66</v>
      </c>
      <c r="I2319" s="454">
        <f t="shared" si="213"/>
        <v>2.0000000000000018E-2</v>
      </c>
      <c r="K2319" s="310"/>
      <c r="L2319" s="15"/>
      <c r="M2319" s="113">
        <f>IF(MOD(C2319,7)&lt;2,0,IF(MOD(C2319,7)=6,3,1))</f>
        <v>0</v>
      </c>
      <c r="N2319" s="462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INFO'!$L$2:$M$8,2)</f>
        <v>MON</v>
      </c>
      <c r="G2320" s="214">
        <v>3.64</v>
      </c>
      <c r="H2320" s="422">
        <v>3.65</v>
      </c>
      <c r="I2320" s="454">
        <f t="shared" si="213"/>
        <v>9.9999999999997868E-3</v>
      </c>
      <c r="J2320" s="15" t="s">
        <v>152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462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INFO'!$L$2:$M$8,2)</f>
        <v>TUE</v>
      </c>
      <c r="G2321" s="214">
        <v>3.64</v>
      </c>
      <c r="H2321" s="422">
        <v>3.62</v>
      </c>
      <c r="I2321" s="454">
        <f t="shared" si="213"/>
        <v>-2.0000000000000018E-2</v>
      </c>
      <c r="J2321" s="176" t="s">
        <v>235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462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INFO'!$L$2:$M$8,2)</f>
        <v>WED</v>
      </c>
      <c r="G2322" s="214">
        <v>3.64</v>
      </c>
      <c r="H2322" s="422">
        <v>3.59</v>
      </c>
      <c r="I2322" s="454">
        <f t="shared" si="213"/>
        <v>-5.0000000000000266E-2</v>
      </c>
      <c r="J2322" s="176" t="s">
        <v>234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462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INFO'!$L$2:$M$8,2)</f>
        <v>THU</v>
      </c>
      <c r="G2323" s="214">
        <v>3.64</v>
      </c>
      <c r="H2323" s="422">
        <v>3.57</v>
      </c>
      <c r="I2323" s="454">
        <f t="shared" si="213"/>
        <v>-7.0000000000000284E-2</v>
      </c>
      <c r="M2323" s="113">
        <f t="shared" si="215"/>
        <v>1</v>
      </c>
      <c r="N2323" s="462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INFO'!$L$2:$M$8,2)</f>
        <v>FRI</v>
      </c>
      <c r="G2324" s="214">
        <v>3.64</v>
      </c>
      <c r="H2324" s="422">
        <v>3.61</v>
      </c>
      <c r="I2324" s="454">
        <f t="shared" si="213"/>
        <v>-3.0000000000000249E-2</v>
      </c>
      <c r="J2324" s="15" t="s">
        <v>240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462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INFO'!$L$2:$M$8,2)</f>
        <v>SAT</v>
      </c>
      <c r="G2325" s="214">
        <v>3.64</v>
      </c>
      <c r="H2325" s="422">
        <v>3.61</v>
      </c>
      <c r="I2325" s="454">
        <f t="shared" si="213"/>
        <v>-3.0000000000000249E-2</v>
      </c>
      <c r="K2325" s="178"/>
      <c r="L2325" s="192"/>
      <c r="M2325" s="113">
        <f t="shared" si="215"/>
        <v>0</v>
      </c>
      <c r="N2325" s="462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INFO'!$L$2:$M$8,2)</f>
        <v>SUN</v>
      </c>
      <c r="G2326" s="214">
        <v>3.64</v>
      </c>
      <c r="H2326" s="422">
        <v>3.61</v>
      </c>
      <c r="I2326" s="454">
        <f t="shared" si="213"/>
        <v>-3.0000000000000249E-2</v>
      </c>
      <c r="J2326" s="15" t="s">
        <v>196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462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INFO'!$L$2:$M$8,2)</f>
        <v>MON</v>
      </c>
      <c r="G2327" s="214">
        <v>3.64</v>
      </c>
      <c r="H2327" s="422">
        <v>3.63</v>
      </c>
      <c r="I2327" s="454">
        <f t="shared" si="213"/>
        <v>-1.0000000000000231E-2</v>
      </c>
      <c r="J2327" s="15" t="s">
        <v>117</v>
      </c>
      <c r="K2327" s="221">
        <f>VLOOKUP(MONTH($C2321),'CALENDAR INFO'!$O$2:$P$13,2)</f>
        <v>30</v>
      </c>
      <c r="L2327" s="221">
        <f>K2327</f>
        <v>30</v>
      </c>
      <c r="M2327" s="113">
        <f t="shared" si="215"/>
        <v>1</v>
      </c>
      <c r="N2327" s="462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INFO'!$L$2:$M$8,2)</f>
        <v>TUE</v>
      </c>
      <c r="G2328" s="214">
        <v>3.64</v>
      </c>
      <c r="H2328" s="422">
        <v>3.66</v>
      </c>
      <c r="I2328" s="454">
        <f t="shared" si="213"/>
        <v>2.0000000000000018E-2</v>
      </c>
      <c r="J2328" s="15" t="s">
        <v>233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462">
        <f>1+(M2328/360)*(MAX(H2328,B2328)/100)</f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INFO'!$L$2:$M$8,2)</f>
        <v>WED</v>
      </c>
      <c r="G2329" s="214">
        <v>3.64</v>
      </c>
      <c r="H2329" s="422">
        <v>3.72</v>
      </c>
      <c r="I2329" s="454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INFO'!$L$2:$M$8,2)</f>
        <v>THU</v>
      </c>
      <c r="G2330" s="214">
        <v>3.64</v>
      </c>
      <c r="H2330" s="422">
        <v>3.67</v>
      </c>
      <c r="I2330" s="454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INFO'!$L$2:$M$8,2)</f>
        <v>FRI</v>
      </c>
      <c r="G2331" s="214">
        <v>3.64</v>
      </c>
      <c r="H2331" s="422">
        <v>3.65</v>
      </c>
      <c r="I2331" s="454">
        <f t="shared" si="213"/>
        <v>9.9999999999997868E-3</v>
      </c>
      <c r="J2331" s="15" t="s">
        <v>154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INFO'!$L$2:$M$8,2)</f>
        <v>SAT</v>
      </c>
      <c r="G2332" s="214">
        <v>3.64</v>
      </c>
      <c r="H2332" s="422">
        <v>3.65</v>
      </c>
      <c r="I2332" s="454">
        <f t="shared" si="213"/>
        <v>9.9999999999997868E-3</v>
      </c>
      <c r="J2332" s="15" t="s">
        <v>236</v>
      </c>
      <c r="K2332" s="397">
        <f ca="1">SUM(INDIRECT(K2322))</f>
        <v>0</v>
      </c>
      <c r="L2332" s="398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INFO'!$L$2:$M$8,2)</f>
        <v>SUN</v>
      </c>
      <c r="G2333" s="214">
        <v>3.64</v>
      </c>
      <c r="H2333" s="422">
        <v>3.65</v>
      </c>
      <c r="I2333" s="454">
        <f t="shared" si="213"/>
        <v>9.9999999999997868E-3</v>
      </c>
      <c r="J2333" s="15" t="s">
        <v>237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INFO'!$L$2:$M$8,2)</f>
        <v>MON</v>
      </c>
      <c r="G2334" s="214">
        <v>3.64</v>
      </c>
      <c r="H2334" s="422">
        <v>3.63</v>
      </c>
      <c r="I2334" s="454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INFO'!$L$2:$M$8,2)</f>
        <v>TUE</v>
      </c>
      <c r="G2335" s="214">
        <v>3.64</v>
      </c>
      <c r="H2335" s="422">
        <v>3.63</v>
      </c>
      <c r="I2335" s="454">
        <f t="shared" si="213"/>
        <v>-1.0000000000000231E-2</v>
      </c>
      <c r="J2335" s="15" t="s">
        <v>241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INFO'!$L$2:$M$8,2)</f>
        <v>WED</v>
      </c>
      <c r="G2336" s="214">
        <v>3.64</v>
      </c>
      <c r="H2336" s="422">
        <v>3.64</v>
      </c>
      <c r="I2336" s="454">
        <f t="shared" si="213"/>
        <v>0</v>
      </c>
      <c r="J2336" s="15" t="s">
        <v>193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INFO'!$L$2:$M$8,2)</f>
        <v>THU</v>
      </c>
      <c r="G2337" s="214">
        <v>3.64</v>
      </c>
      <c r="H2337" s="422">
        <v>3.65</v>
      </c>
      <c r="I2337" s="454">
        <f t="shared" si="213"/>
        <v>9.9999999999997868E-3</v>
      </c>
      <c r="J2337" s="15" t="s">
        <v>242</v>
      </c>
      <c r="K2337" s="399">
        <f ca="1">COUNTA(INDIRECT(K2322))</f>
        <v>0</v>
      </c>
      <c r="L2337" s="400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INFO'!$L$2:$M$8,2)</f>
        <v>FRI</v>
      </c>
      <c r="G2338" s="214">
        <v>3.64</v>
      </c>
      <c r="H2338" s="422">
        <v>3.66</v>
      </c>
      <c r="I2338" s="454">
        <f t="shared" si="213"/>
        <v>2.0000000000000018E-2</v>
      </c>
      <c r="J2338" s="15" t="s">
        <v>238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INFO'!$L$2:$M$8,2)</f>
        <v>SAT</v>
      </c>
      <c r="G2339" s="214">
        <v>3.64</v>
      </c>
      <c r="H2339" s="422">
        <v>3.66</v>
      </c>
      <c r="I2339" s="454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INFO'!$L$2:$M$8,2)</f>
        <v>SUN</v>
      </c>
      <c r="G2340" s="214">
        <v>3.64</v>
      </c>
      <c r="H2340" s="422">
        <v>3.66</v>
      </c>
      <c r="I2340" s="454">
        <f t="shared" si="213"/>
        <v>2.0000000000000018E-2</v>
      </c>
      <c r="J2340" s="15" t="s">
        <v>237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INFO'!$L$2:$M$8,2)</f>
        <v>MON</v>
      </c>
      <c r="G2341" s="214">
        <v>3.64</v>
      </c>
      <c r="H2341" s="422">
        <v>3.66</v>
      </c>
      <c r="I2341" s="454">
        <f t="shared" si="213"/>
        <v>2.0000000000000018E-2</v>
      </c>
      <c r="J2341" s="15" t="s">
        <v>238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INFO'!$L$2:$M$8,2)</f>
        <v>TUE</v>
      </c>
      <c r="G2342" s="214">
        <v>3.64</v>
      </c>
      <c r="H2342" s="422">
        <v>3.64</v>
      </c>
      <c r="I2342" s="454">
        <f t="shared" si="213"/>
        <v>0</v>
      </c>
      <c r="J2342" s="15" t="s">
        <v>239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INFO'!$L$2:$M$8,2)</f>
        <v>WED</v>
      </c>
      <c r="G2343" s="214">
        <v>3.64</v>
      </c>
      <c r="H2343" s="422">
        <v>3.63</v>
      </c>
      <c r="I2343" s="454">
        <f t="shared" si="213"/>
        <v>-1.0000000000000231E-2</v>
      </c>
      <c r="K2343" s="15" t="e">
        <f ca="1">+K2333/K2327</f>
        <v>#REF!</v>
      </c>
      <c r="L2343" s="412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2"/>
      <c r="B2344" s="403"/>
      <c r="C2344" s="104">
        <f t="shared" si="214"/>
        <v>46142</v>
      </c>
      <c r="D2344" s="112"/>
      <c r="E2344" s="101" t="s">
        <v>18</v>
      </c>
      <c r="F2344" s="71" t="str">
        <f>VLOOKUP(MOD(C2344,7),'CALENDAR INFO'!$L$2:$M$8,2)</f>
        <v>THU</v>
      </c>
      <c r="G2344" s="215">
        <v>3.64</v>
      </c>
      <c r="H2344" s="423">
        <v>3.66</v>
      </c>
      <c r="I2344" s="455">
        <f t="shared" si="213"/>
        <v>2.0000000000000018E-2</v>
      </c>
      <c r="J2344" s="347"/>
      <c r="K2344" s="347">
        <v>96.36</v>
      </c>
      <c r="L2344" s="348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3"/>
      <c r="B2345" s="304"/>
      <c r="C2345" s="103">
        <f t="shared" si="214"/>
        <v>46143</v>
      </c>
      <c r="E2345" s="170"/>
      <c r="F2345" s="58" t="str">
        <f>VLOOKUP(MOD(C2345,7),'CALENDAR INFO'!$L$2:$M$8,2)</f>
        <v>FRI</v>
      </c>
      <c r="G2345" s="214">
        <v>3.64</v>
      </c>
      <c r="H2345" s="422">
        <v>3.64</v>
      </c>
      <c r="I2345" s="454">
        <f t="shared" si="213"/>
        <v>0</v>
      </c>
      <c r="J2345" s="15" t="s">
        <v>150</v>
      </c>
      <c r="K2345" s="359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INFO'!$L$2:$M$8,2)</f>
        <v>SAT</v>
      </c>
      <c r="G2346" s="214">
        <v>3.64</v>
      </c>
      <c r="H2346" s="422">
        <v>3.64</v>
      </c>
      <c r="I2346" s="454">
        <f t="shared" si="213"/>
        <v>0</v>
      </c>
      <c r="J2346" s="15" t="s">
        <v>117</v>
      </c>
      <c r="K2346" s="15">
        <f>VLOOKUP(MONTH($C2345),'CALENDAR INFO'!$O$2:$P$13,2)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INFO'!$L$2:$M$8,2)</f>
        <v>SUN</v>
      </c>
      <c r="G2347" s="214">
        <v>3.64</v>
      </c>
      <c r="H2347" s="422">
        <v>3.64</v>
      </c>
      <c r="I2347" s="454">
        <f t="shared" si="213"/>
        <v>0</v>
      </c>
      <c r="J2347" s="15" t="s">
        <v>151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INFO'!$L$2:$M$8,2)</f>
        <v>MON</v>
      </c>
      <c r="G2348" s="214">
        <v>3.64</v>
      </c>
      <c r="H2348" s="422">
        <v>3.63</v>
      </c>
      <c r="I2348" s="454">
        <f t="shared" si="213"/>
        <v>-1.0000000000000231E-2</v>
      </c>
      <c r="J2348" s="15" t="s">
        <v>243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INFO'!$L$2:$M$8,2)</f>
        <v>TUE</v>
      </c>
      <c r="G2349" s="214">
        <v>3.64</v>
      </c>
      <c r="H2349" s="422">
        <v>3.62</v>
      </c>
      <c r="I2349" s="454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INFO'!$L$2:$M$8,2)</f>
        <v>WED</v>
      </c>
      <c r="G2350" s="214">
        <v>3.64</v>
      </c>
      <c r="H2350" s="422">
        <v>3.61</v>
      </c>
      <c r="I2350" s="454">
        <f t="shared" si="213"/>
        <v>-3.0000000000000249E-2</v>
      </c>
      <c r="J2350" s="15" t="s">
        <v>152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INFO'!$L$2:$M$8,2)</f>
        <v>THU</v>
      </c>
      <c r="G2351" s="214">
        <v>3.63</v>
      </c>
      <c r="H2351" s="422">
        <v>3.6</v>
      </c>
      <c r="I2351" s="454">
        <f t="shared" si="213"/>
        <v>-2.9999999999999805E-2</v>
      </c>
      <c r="J2351" s="176" t="s">
        <v>234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INFO'!$L$2:$M$8,2)</f>
        <v>FRI</v>
      </c>
      <c r="G2352" s="214">
        <v>3.63</v>
      </c>
      <c r="H2352" s="422">
        <v>3.6</v>
      </c>
      <c r="I2352" s="454">
        <f t="shared" si="213"/>
        <v>-2.9999999999999805E-2</v>
      </c>
      <c r="J2352" s="176" t="s">
        <v>235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INFO'!$L$2:$M$8,2)</f>
        <v>SAT</v>
      </c>
      <c r="G2353" s="214">
        <v>3.63</v>
      </c>
      <c r="H2353" s="422">
        <v>3.6</v>
      </c>
      <c r="I2353" s="454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INFO'!$L$2:$M$8,2)</f>
        <v>SUN</v>
      </c>
      <c r="G2354" s="214">
        <v>3.63</v>
      </c>
      <c r="H2354" s="422">
        <v>3.6</v>
      </c>
      <c r="I2354" s="454">
        <f t="shared" si="213"/>
        <v>-2.9999999999999805E-2</v>
      </c>
      <c r="J2354" s="15" t="s">
        <v>240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INFO'!$L$2:$M$8,2)</f>
        <v>MON</v>
      </c>
      <c r="G2355" s="214">
        <v>3.63</v>
      </c>
      <c r="H2355" s="422">
        <v>3.6</v>
      </c>
      <c r="I2355" s="454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INFO'!$L$2:$M$8,2)</f>
        <v>TUE</v>
      </c>
      <c r="G2356" s="214">
        <v>3.63</v>
      </c>
      <c r="H2356" s="422">
        <v>3.6</v>
      </c>
      <c r="I2356" s="454">
        <f t="shared" si="213"/>
        <v>-2.9999999999999805E-2</v>
      </c>
      <c r="J2356" s="15" t="s">
        <v>196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INFO'!$L$2:$M$8,2)</f>
        <v>WED</v>
      </c>
      <c r="G2357" s="214">
        <v>3.63</v>
      </c>
      <c r="H2357" s="422">
        <v>3.59</v>
      </c>
      <c r="I2357" s="454">
        <f t="shared" si="213"/>
        <v>-4.0000000000000036E-2</v>
      </c>
      <c r="J2357" s="15" t="s">
        <v>117</v>
      </c>
      <c r="K2357" s="221">
        <f>VLOOKUP(MONTH($C2351),'CALENDAR INFO'!$O$2:$P$13,2)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INFO'!$L$2:$M$8,2)</f>
        <v>THU</v>
      </c>
      <c r="G2358" s="214">
        <v>3.63</v>
      </c>
      <c r="H2358" s="422">
        <v>3.56</v>
      </c>
      <c r="I2358" s="454">
        <f t="shared" si="213"/>
        <v>-6.999999999999984E-2</v>
      </c>
      <c r="J2358" s="15" t="s">
        <v>233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INFO'!$L$2:$M$8,2)</f>
        <v>FRI</v>
      </c>
      <c r="G2359" s="214">
        <v>3.63</v>
      </c>
      <c r="H2359" s="422">
        <v>3.55</v>
      </c>
      <c r="I2359" s="454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INFO'!$L$2:$M$8,2)</f>
        <v>SAT</v>
      </c>
      <c r="G2360" s="214">
        <v>3.63</v>
      </c>
      <c r="H2360" s="422">
        <v>3.55</v>
      </c>
      <c r="I2360" s="454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INFO'!$L$2:$M$8,2)</f>
        <v>SUN</v>
      </c>
      <c r="G2361" s="214">
        <v>3.63</v>
      </c>
      <c r="H2361" s="422">
        <v>3.55</v>
      </c>
      <c r="I2361" s="454">
        <f t="shared" si="213"/>
        <v>-8.0000000000000071E-2</v>
      </c>
      <c r="J2361" s="15" t="s">
        <v>154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INFO'!$L$2:$M$8,2)</f>
        <v>MON</v>
      </c>
      <c r="G2362" s="214">
        <v>3.63</v>
      </c>
      <c r="H2362" s="422">
        <v>3.53</v>
      </c>
      <c r="I2362" s="454">
        <f t="shared" si="213"/>
        <v>-0.10000000000000009</v>
      </c>
      <c r="J2362" s="15" t="s">
        <v>236</v>
      </c>
      <c r="K2362" s="397">
        <f ca="1">SUM(INDIRECT(K2351))</f>
        <v>0</v>
      </c>
      <c r="L2362" s="398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INFO'!$L$2:$M$8,2)</f>
        <v>TUE</v>
      </c>
      <c r="G2363" s="214">
        <v>3.62</v>
      </c>
      <c r="H2363" s="422">
        <v>3.51</v>
      </c>
      <c r="I2363" s="454">
        <f t="shared" si="213"/>
        <v>-0.11000000000000032</v>
      </c>
      <c r="J2363" s="15" t="s">
        <v>237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INFO'!$L$2:$M$8,2)</f>
        <v>WED</v>
      </c>
      <c r="G2364" s="214">
        <v>3.62</v>
      </c>
      <c r="H2364" s="422">
        <v>3.5</v>
      </c>
      <c r="I2364" s="454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INFO'!$L$2:$M$8,2)</f>
        <v>THU</v>
      </c>
      <c r="G2365" s="214">
        <v>3.62</v>
      </c>
      <c r="H2365" s="422">
        <v>3.51</v>
      </c>
      <c r="I2365" s="454">
        <f t="shared" si="213"/>
        <v>-0.11000000000000032</v>
      </c>
      <c r="J2365" s="15" t="s">
        <v>241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INFO'!$L$2:$M$8,2)</f>
        <v>FRI</v>
      </c>
      <c r="G2366" s="214">
        <v>3.62</v>
      </c>
      <c r="H2366" s="422">
        <v>3.55</v>
      </c>
      <c r="I2366" s="454">
        <f t="shared" si="213"/>
        <v>-7.0000000000000284E-2</v>
      </c>
      <c r="J2366" s="15" t="s">
        <v>193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INFO'!$L$2:$M$8,2)</f>
        <v>SAT</v>
      </c>
      <c r="G2367" s="214">
        <v>3.62</v>
      </c>
      <c r="H2367" s="422">
        <v>3.55</v>
      </c>
      <c r="I2367" s="454">
        <f t="shared" si="213"/>
        <v>-7.0000000000000284E-2</v>
      </c>
      <c r="J2367" s="15" t="s">
        <v>242</v>
      </c>
      <c r="K2367" s="399">
        <f ca="1">COUNTA(INDIRECT(K2351))</f>
        <v>0</v>
      </c>
      <c r="L2367" s="400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INFO'!$L$2:$M$8,2)</f>
        <v>SUN</v>
      </c>
      <c r="G2368" s="214">
        <v>3.62</v>
      </c>
      <c r="H2368" s="422">
        <v>3.55</v>
      </c>
      <c r="I2368" s="454">
        <f t="shared" si="213"/>
        <v>-7.0000000000000284E-2</v>
      </c>
      <c r="J2368" s="15" t="s">
        <v>238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112</v>
      </c>
      <c r="E2369" s="167"/>
      <c r="F2369" s="58" t="str">
        <f>VLOOKUP(MOD(C2369,7),'CALENDAR INFO'!$L$2:$M$8,2)</f>
        <v>MON</v>
      </c>
      <c r="G2369" s="214">
        <v>3.62</v>
      </c>
      <c r="H2369" s="422">
        <v>3.55</v>
      </c>
      <c r="I2369" s="454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INFO'!$L$2:$M$8,2)</f>
        <v>TUE</v>
      </c>
      <c r="G2370" s="214">
        <v>3.62</v>
      </c>
      <c r="H2370" s="422">
        <v>3.63</v>
      </c>
      <c r="I2370" s="454">
        <f t="shared" si="213"/>
        <v>9.9999999999997868E-3</v>
      </c>
      <c r="J2370" s="15" t="s">
        <v>237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INFO'!$L$2:$M$8,2)</f>
        <v>WED</v>
      </c>
      <c r="G2371" s="214">
        <v>3.62</v>
      </c>
      <c r="H2371" s="422">
        <v>3.63</v>
      </c>
      <c r="I2371" s="454">
        <f t="shared" ref="I2371:I2434" si="218">H2371-G2371</f>
        <v>9.9999999999997868E-3</v>
      </c>
      <c r="J2371" s="15" t="s">
        <v>238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INFO'!$L$2:$M$8,2)</f>
        <v>THU</v>
      </c>
      <c r="G2372" s="214">
        <v>3.62</v>
      </c>
      <c r="H2372" s="422">
        <v>3.62</v>
      </c>
      <c r="I2372" s="454">
        <f t="shared" si="218"/>
        <v>0</v>
      </c>
      <c r="J2372" s="15" t="s">
        <v>239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INFO'!$L$2:$M$8,2)</f>
        <v>FRI</v>
      </c>
      <c r="G2373" s="214">
        <v>3.62</v>
      </c>
      <c r="H2373" s="422">
        <v>3.63</v>
      </c>
      <c r="I2373" s="454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INFO'!$L$2:$M$8,2)</f>
        <v>SAT</v>
      </c>
      <c r="G2374" s="214">
        <v>3.62</v>
      </c>
      <c r="H2374" s="422">
        <v>3.63</v>
      </c>
      <c r="I2374" s="454">
        <f t="shared" si="218"/>
        <v>9.9999999999997868E-3</v>
      </c>
      <c r="K2374" s="189">
        <f ca="1">100-K2361/K2357</f>
        <v>96.372258064516132</v>
      </c>
      <c r="L2374" s="412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4"/>
      <c r="B2375" s="405"/>
      <c r="C2375" s="104">
        <f t="shared" si="219"/>
        <v>46173</v>
      </c>
      <c r="D2375" s="112"/>
      <c r="E2375" s="101"/>
      <c r="F2375" s="71" t="str">
        <f>VLOOKUP(MOD(C2375,7),'CALENDAR INFO'!$L$2:$M$8,2)</f>
        <v>SUN</v>
      </c>
      <c r="G2375" s="215">
        <v>3.62</v>
      </c>
      <c r="H2375" s="423">
        <v>3.63</v>
      </c>
      <c r="I2375" s="455">
        <f t="shared" si="218"/>
        <v>9.9999999999997868E-3</v>
      </c>
      <c r="J2375" s="347"/>
      <c r="K2375" s="431" t="s">
        <v>244</v>
      </c>
      <c r="L2375" s="196" t="s">
        <v>244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INFO'!$L$2:$M$8,2)</f>
        <v>MON</v>
      </c>
      <c r="G2376" s="214">
        <v>3.62</v>
      </c>
      <c r="H2376" s="422">
        <v>3.65</v>
      </c>
      <c r="I2376" s="454">
        <f t="shared" si="218"/>
        <v>2.9999999999999805E-2</v>
      </c>
      <c r="J2376" s="15" t="s">
        <v>150</v>
      </c>
      <c r="K2376" s="374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INFO'!$L$2:$M$8,2)</f>
        <v>TUE</v>
      </c>
      <c r="G2377" s="214">
        <v>3.62</v>
      </c>
      <c r="H2377" s="422">
        <v>3.63</v>
      </c>
      <c r="I2377" s="454">
        <f t="shared" si="218"/>
        <v>9.9999999999997868E-3</v>
      </c>
      <c r="J2377" s="15" t="s">
        <v>117</v>
      </c>
      <c r="K2377" s="15">
        <f>VLOOKUP(MONTH($C2376),'CALENDAR INFO'!$O$2:$P$13,2)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INFO'!$L$2:$M$8,2)</f>
        <v>WED</v>
      </c>
      <c r="G2378" s="214">
        <v>3.62</v>
      </c>
      <c r="H2378" s="422">
        <v>3.61</v>
      </c>
      <c r="I2378" s="454">
        <f t="shared" si="218"/>
        <v>-1.0000000000000231E-2</v>
      </c>
      <c r="J2378" s="15" t="s">
        <v>151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INFO'!$L$2:$M$8,2)</f>
        <v>THU</v>
      </c>
      <c r="G2379" s="214">
        <v>3.62</v>
      </c>
      <c r="H2379" s="422">
        <v>3.62</v>
      </c>
      <c r="I2379" s="454">
        <f t="shared" si="218"/>
        <v>0</v>
      </c>
      <c r="J2379" s="15" t="s">
        <v>243</v>
      </c>
      <c r="K2379" s="310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INFO'!$L$2:$M$8,2)</f>
        <v>FRI</v>
      </c>
      <c r="G2380" s="214">
        <v>3.62</v>
      </c>
      <c r="H2380" s="422">
        <v>3.63</v>
      </c>
      <c r="I2380" s="454">
        <f t="shared" si="218"/>
        <v>9.9999999999997868E-3</v>
      </c>
      <c r="K2380" s="310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INFO'!$L$2:$M$8,2)</f>
        <v>SAT</v>
      </c>
      <c r="G2381" s="214">
        <v>3.62</v>
      </c>
      <c r="H2381" s="422">
        <v>3.63</v>
      </c>
      <c r="I2381" s="454">
        <f t="shared" si="218"/>
        <v>9.9999999999997868E-3</v>
      </c>
      <c r="J2381" s="15" t="s">
        <v>152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INFO'!$L$2:$M$8,2)</f>
        <v>SUN</v>
      </c>
      <c r="G2382" s="214">
        <v>3.62</v>
      </c>
      <c r="H2382" s="422">
        <v>3.63</v>
      </c>
      <c r="I2382" s="454">
        <f t="shared" si="218"/>
        <v>9.9999999999997868E-3</v>
      </c>
      <c r="J2382" s="176" t="s">
        <v>235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INFO'!$L$2:$M$8,2)</f>
        <v>MON</v>
      </c>
      <c r="G2383" s="214">
        <v>3.62</v>
      </c>
      <c r="H2383" s="422">
        <v>3.63</v>
      </c>
      <c r="I2383" s="454">
        <f t="shared" si="218"/>
        <v>9.9999999999997868E-3</v>
      </c>
      <c r="J2383" s="176" t="s">
        <v>234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INFO'!$L$2:$M$8,2)</f>
        <v>TUE</v>
      </c>
      <c r="G2384" s="214">
        <v>3.62</v>
      </c>
      <c r="H2384" s="422">
        <v>3.6</v>
      </c>
      <c r="I2384" s="454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INFO'!$L$2:$M$8,2)</f>
        <v>WED</v>
      </c>
      <c r="G2385" s="214">
        <v>3.62</v>
      </c>
      <c r="H2385" s="422">
        <v>3.59</v>
      </c>
      <c r="I2385" s="454">
        <f t="shared" si="218"/>
        <v>-3.0000000000000249E-2</v>
      </c>
      <c r="J2385" s="15" t="s">
        <v>240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INFO'!$L$2:$M$8,2)</f>
        <v>THU</v>
      </c>
      <c r="G2386" s="214">
        <v>3.62</v>
      </c>
      <c r="H2386" s="422">
        <v>3.6</v>
      </c>
      <c r="I2386" s="454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INFO'!$L$2:$M$8,2)</f>
        <v>FRI</v>
      </c>
      <c r="G2387" s="214">
        <v>3.62</v>
      </c>
      <c r="H2387" s="422">
        <v>3.65</v>
      </c>
      <c r="I2387" s="454">
        <f t="shared" si="218"/>
        <v>2.9999999999999805E-2</v>
      </c>
      <c r="J2387" s="15" t="s">
        <v>196</v>
      </c>
      <c r="K2387" s="180" t="e">
        <f>OUTPUT!#REF!</f>
        <v>#REF!</v>
      </c>
      <c r="L2387" s="180" t="e">
        <f>OUTPUT!#REF!</f>
        <v>#REF!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INFO'!$L$2:$M$8,2)</f>
        <v>SAT</v>
      </c>
      <c r="G2388" s="214">
        <v>3.62</v>
      </c>
      <c r="H2388" s="422">
        <v>3.65</v>
      </c>
      <c r="I2388" s="454">
        <f t="shared" si="218"/>
        <v>2.9999999999999805E-2</v>
      </c>
      <c r="J2388" s="15" t="s">
        <v>117</v>
      </c>
      <c r="K2388" s="221">
        <f>VLOOKUP(MONTH($C2382),'CALENDAR INFO'!$O$2:$P$13,2)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INFO'!$L$2:$M$8,2)</f>
        <v>SUN</v>
      </c>
      <c r="G2389" s="214">
        <v>3.62</v>
      </c>
      <c r="H2389" s="422">
        <v>3.65</v>
      </c>
      <c r="I2389" s="454">
        <f t="shared" si="218"/>
        <v>2.9999999999999805E-2</v>
      </c>
      <c r="J2389" s="15" t="s">
        <v>233</v>
      </c>
      <c r="K2389" s="178" t="e">
        <f>K2387*K2377</f>
        <v>#REF!</v>
      </c>
      <c r="L2389" s="178" t="e">
        <f>L2387*L2377</f>
        <v>#REF!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INFO'!$L$2:$M$8,2)</f>
        <v>MON</v>
      </c>
      <c r="G2390" s="214">
        <v>3.63</v>
      </c>
      <c r="H2390" s="422">
        <v>3.69</v>
      </c>
      <c r="I2390" s="454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INFO'!$L$2:$M$8,2)</f>
        <v>TUE</v>
      </c>
      <c r="G2391" s="214">
        <v>3.63</v>
      </c>
      <c r="H2391" s="422">
        <v>3.63</v>
      </c>
      <c r="I2391" s="454">
        <f t="shared" si="218"/>
        <v>0</v>
      </c>
      <c r="J2391" s="15" t="str">
        <f>J2389</f>
        <v>monthly target</v>
      </c>
      <c r="K2391" s="178" t="e">
        <f>K2389</f>
        <v>#REF!</v>
      </c>
      <c r="L2391" s="192" t="e">
        <f>L2389</f>
        <v>#REF!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INFO'!$L$2:$M$8,2)</f>
        <v>WED</v>
      </c>
      <c r="G2392" s="214">
        <v>3.63</v>
      </c>
      <c r="H2392" s="422">
        <v>3.63</v>
      </c>
      <c r="I2392" s="454">
        <f t="shared" si="218"/>
        <v>0</v>
      </c>
      <c r="J2392" s="15" t="s">
        <v>154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3"/>
      <c r="B2393" s="304"/>
      <c r="C2393" s="103">
        <f t="shared" si="219"/>
        <v>46191</v>
      </c>
      <c r="E2393" s="167"/>
      <c r="F2393" s="58" t="str">
        <f>VLOOKUP(MOD(C2393,7),'CALENDAR INFO'!$L$2:$M$8,2)</f>
        <v>THU</v>
      </c>
      <c r="G2393" s="214">
        <v>3.63</v>
      </c>
      <c r="H2393" s="422">
        <v>3.62</v>
      </c>
      <c r="I2393" s="454">
        <f t="shared" si="218"/>
        <v>-9.9999999999997868E-3</v>
      </c>
      <c r="J2393" s="15" t="s">
        <v>236</v>
      </c>
      <c r="K2393" s="397">
        <f ca="1">SUM(INDIRECT(K2383))</f>
        <v>0</v>
      </c>
      <c r="L2393" s="398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3"/>
      <c r="B2394" s="304"/>
      <c r="C2394" s="103">
        <f t="shared" si="219"/>
        <v>46192</v>
      </c>
      <c r="D2394" s="173" t="s">
        <v>197</v>
      </c>
      <c r="E2394" s="167"/>
      <c r="F2394" s="58" t="str">
        <f>VLOOKUP(MOD(C2394,7),'CALENDAR INFO'!$L$2:$M$8,2)</f>
        <v>FRI</v>
      </c>
      <c r="G2394" s="214">
        <v>3.63</v>
      </c>
      <c r="H2394" s="422">
        <v>3.62</v>
      </c>
      <c r="I2394" s="454">
        <f t="shared" si="218"/>
        <v>-9.9999999999997868E-3</v>
      </c>
      <c r="J2394" s="15" t="s">
        <v>237</v>
      </c>
      <c r="K2394" s="182" t="e">
        <f ca="1">K2389-K2392-K2393</f>
        <v>#REF!</v>
      </c>
      <c r="L2394" s="201" t="e">
        <f ca="1">L2389-L2392-L2393</f>
        <v>#REF!</v>
      </c>
      <c r="M2394" s="117">
        <v>0</v>
      </c>
      <c r="N2394" s="64">
        <f t="shared" si="220"/>
        <v>1</v>
      </c>
    </row>
    <row r="2395" spans="1:14">
      <c r="A2395" s="303"/>
      <c r="B2395" s="304"/>
      <c r="C2395" s="103">
        <f t="shared" si="219"/>
        <v>46193</v>
      </c>
      <c r="E2395" s="167"/>
      <c r="F2395" s="58" t="str">
        <f>VLOOKUP(MOD(C2395,7),'CALENDAR INFO'!$L$2:$M$8,2)</f>
        <v>SAT</v>
      </c>
      <c r="G2395" s="214">
        <v>3.63</v>
      </c>
      <c r="H2395" s="422">
        <v>3.62</v>
      </c>
      <c r="I2395" s="454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3"/>
      <c r="B2396" s="304"/>
      <c r="C2396" s="103">
        <f t="shared" si="219"/>
        <v>46194</v>
      </c>
      <c r="E2396" s="167"/>
      <c r="F2396" s="58" t="str">
        <f>VLOOKUP(MOD(C2396,7),'CALENDAR INFO'!$L$2:$M$8,2)</f>
        <v>SUN</v>
      </c>
      <c r="G2396" s="214">
        <v>3.63</v>
      </c>
      <c r="H2396" s="422">
        <v>3.62</v>
      </c>
      <c r="I2396" s="454">
        <f t="shared" si="218"/>
        <v>-9.9999999999997868E-3</v>
      </c>
      <c r="J2396" s="15" t="s">
        <v>241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3"/>
      <c r="B2397" s="304"/>
      <c r="C2397" s="103">
        <f t="shared" si="219"/>
        <v>46195</v>
      </c>
      <c r="E2397" s="167"/>
      <c r="F2397" s="58" t="str">
        <f>VLOOKUP(MOD(C2397,7),'CALENDAR INFO'!$L$2:$M$8,2)</f>
        <v>MON</v>
      </c>
      <c r="G2397" s="214">
        <v>3.63</v>
      </c>
      <c r="H2397" s="422">
        <v>3.61</v>
      </c>
      <c r="I2397" s="454">
        <f t="shared" si="218"/>
        <v>-2.0000000000000018E-2</v>
      </c>
      <c r="J2397" s="15" t="s">
        <v>193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3"/>
      <c r="B2398" s="304"/>
      <c r="C2398" s="103">
        <f t="shared" si="219"/>
        <v>46196</v>
      </c>
      <c r="E2398" s="167"/>
      <c r="F2398" s="58" t="str">
        <f>VLOOKUP(MOD(C2398,7),'CALENDAR INFO'!$L$2:$M$8,2)</f>
        <v>TUE</v>
      </c>
      <c r="G2398" s="214">
        <v>3.63</v>
      </c>
      <c r="H2398" s="422">
        <v>3.62</v>
      </c>
      <c r="I2398" s="454">
        <f t="shared" si="218"/>
        <v>-9.9999999999997868E-3</v>
      </c>
      <c r="J2398" s="15" t="s">
        <v>242</v>
      </c>
      <c r="K2398" s="399">
        <f ca="1">COUNTA(INDIRECT(K2383))</f>
        <v>0</v>
      </c>
      <c r="L2398" s="400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3"/>
      <c r="B2399" s="304"/>
      <c r="C2399" s="103">
        <f t="shared" si="219"/>
        <v>46197</v>
      </c>
      <c r="E2399" s="167" t="s">
        <v>19</v>
      </c>
      <c r="F2399" s="58" t="str">
        <f>VLOOKUP(MOD(C2399,7),'CALENDAR INFO'!$L$2:$M$8,2)</f>
        <v>WED</v>
      </c>
      <c r="G2399" s="214">
        <v>3.63</v>
      </c>
      <c r="H2399" s="422">
        <v>3.62</v>
      </c>
      <c r="I2399" s="454">
        <f t="shared" si="218"/>
        <v>-9.9999999999997868E-3</v>
      </c>
      <c r="J2399" s="15" t="s">
        <v>238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3"/>
      <c r="B2400" s="304"/>
      <c r="C2400" s="103">
        <f t="shared" si="219"/>
        <v>46198</v>
      </c>
      <c r="E2400" s="170" t="s">
        <v>18</v>
      </c>
      <c r="F2400" s="58" t="str">
        <f>VLOOKUP(MOD(C2400,7),'CALENDAR INFO'!$L$2:$M$8,2)</f>
        <v>THU</v>
      </c>
      <c r="G2400" s="214">
        <v>3.63</v>
      </c>
      <c r="H2400" s="422">
        <v>3.64</v>
      </c>
      <c r="I2400" s="454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3"/>
      <c r="B2401" s="304"/>
      <c r="C2401" s="103">
        <f t="shared" si="219"/>
        <v>46199</v>
      </c>
      <c r="E2401" s="170"/>
      <c r="F2401" s="58" t="str">
        <f>VLOOKUP(MOD(C2401,7),'CALENDAR INFO'!$L$2:$M$8,2)</f>
        <v>FRI</v>
      </c>
      <c r="G2401" s="214">
        <v>3.63</v>
      </c>
      <c r="H2401" s="422">
        <v>3.62</v>
      </c>
      <c r="I2401" s="454">
        <f t="shared" si="218"/>
        <v>-9.9999999999997868E-3</v>
      </c>
      <c r="J2401" s="15" t="s">
        <v>237</v>
      </c>
      <c r="K2401" s="178" t="e">
        <f ca="1">K2394</f>
        <v>#REF!</v>
      </c>
      <c r="L2401" s="192" t="e">
        <f ca="1">L2394</f>
        <v>#REF!</v>
      </c>
      <c r="M2401" s="113">
        <f t="shared" si="221"/>
        <v>3</v>
      </c>
      <c r="N2401" s="64">
        <f t="shared" si="220"/>
        <v>1.0003016666666666</v>
      </c>
    </row>
    <row r="2402" spans="1:14">
      <c r="A2402" s="303"/>
      <c r="B2402" s="304"/>
      <c r="C2402" s="103">
        <f t="shared" si="219"/>
        <v>46200</v>
      </c>
      <c r="E2402" s="170"/>
      <c r="F2402" s="58" t="str">
        <f>VLOOKUP(MOD(C2402,7),'CALENDAR INFO'!$L$2:$M$8,2)</f>
        <v>SAT</v>
      </c>
      <c r="G2402" s="214">
        <v>3.63</v>
      </c>
      <c r="H2402" s="422">
        <v>3.62</v>
      </c>
      <c r="I2402" s="454">
        <f t="shared" si="218"/>
        <v>-9.9999999999997868E-3</v>
      </c>
      <c r="J2402" s="15" t="s">
        <v>238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3"/>
      <c r="B2403" s="304"/>
      <c r="C2403" s="103">
        <f t="shared" si="219"/>
        <v>46201</v>
      </c>
      <c r="E2403" s="170"/>
      <c r="F2403" s="58" t="str">
        <f>VLOOKUP(MOD(C2403,7),'CALENDAR INFO'!$L$2:$M$8,2)</f>
        <v>SUN</v>
      </c>
      <c r="G2403" s="214">
        <v>3.63</v>
      </c>
      <c r="H2403" s="422">
        <v>3.62</v>
      </c>
      <c r="I2403" s="454">
        <f t="shared" si="218"/>
        <v>-9.9999999999997868E-3</v>
      </c>
      <c r="J2403" s="15" t="s">
        <v>239</v>
      </c>
      <c r="K2403" s="178" t="e">
        <f ca="1">K2401/K2402</f>
        <v>#REF!</v>
      </c>
      <c r="L2403" s="192" t="e">
        <f ca="1">L2401/L2402</f>
        <v>#REF!</v>
      </c>
      <c r="M2403" s="113">
        <f t="shared" si="221"/>
        <v>0</v>
      </c>
      <c r="N2403" s="64">
        <f t="shared" si="220"/>
        <v>1</v>
      </c>
    </row>
    <row r="2404" spans="1:14">
      <c r="A2404" s="303"/>
      <c r="B2404" s="304"/>
      <c r="C2404" s="103">
        <f t="shared" si="219"/>
        <v>46202</v>
      </c>
      <c r="E2404" s="170"/>
      <c r="F2404" s="58" t="str">
        <f>VLOOKUP(MOD(C2404,7),'CALENDAR INFO'!$L$2:$M$8,2)</f>
        <v>MON</v>
      </c>
      <c r="G2404" s="214">
        <v>3.63</v>
      </c>
      <c r="H2404" s="422">
        <v>3.62</v>
      </c>
      <c r="I2404" s="454">
        <f t="shared" si="218"/>
        <v>-9.9999999999997868E-3</v>
      </c>
      <c r="K2404" s="189">
        <f ca="1">100-K2405</f>
        <v>96.37466666666667</v>
      </c>
      <c r="L2404" s="412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2"/>
      <c r="B2405" s="403"/>
      <c r="C2405" s="104">
        <f t="shared" si="219"/>
        <v>46203</v>
      </c>
      <c r="D2405" s="112"/>
      <c r="E2405" s="101"/>
      <c r="F2405" s="71" t="str">
        <f>VLOOKUP(MOD(C2405,7),'CALENDAR INFO'!$L$2:$M$8,2)</f>
        <v>TUE</v>
      </c>
      <c r="G2405" s="215">
        <v>3.63</v>
      </c>
      <c r="H2405" s="423">
        <v>3.68</v>
      </c>
      <c r="I2405" s="455">
        <f t="shared" si="218"/>
        <v>5.0000000000000266E-2</v>
      </c>
      <c r="J2405" s="347"/>
      <c r="K2405" s="418">
        <f ca="1">+K2392/K2388</f>
        <v>3.6253333333333315</v>
      </c>
      <c r="L2405" s="419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INFO'!$L$2:$M$8,2)</f>
        <v>WED</v>
      </c>
      <c r="G2406" s="214">
        <v>3.63</v>
      </c>
      <c r="H2406" s="422">
        <v>3.66</v>
      </c>
      <c r="I2406" s="454">
        <f t="shared" si="218"/>
        <v>3.0000000000000249E-2</v>
      </c>
      <c r="J2406" s="15" t="s">
        <v>150</v>
      </c>
      <c r="K2406" s="359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INFO'!$L$2:$M$8,2)</f>
        <v>THU</v>
      </c>
      <c r="G2407" s="214">
        <v>3.63</v>
      </c>
      <c r="H2407" s="422">
        <v>3.64</v>
      </c>
      <c r="I2407" s="454">
        <f t="shared" si="218"/>
        <v>1.0000000000000231E-2</v>
      </c>
      <c r="J2407" s="15" t="s">
        <v>117</v>
      </c>
      <c r="K2407" s="15">
        <f>VLOOKUP(MONTH($C2406),'CALENDAR INFO'!$O$2:$P$13,2)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INFO'!$L$2:$M$8,2)</f>
        <v>FRI</v>
      </c>
      <c r="G2408" s="214">
        <v>3.63</v>
      </c>
      <c r="H2408" s="422">
        <v>3.64</v>
      </c>
      <c r="I2408" s="454">
        <f t="shared" si="218"/>
        <v>1.0000000000000231E-2</v>
      </c>
      <c r="J2408" s="15" t="s">
        <v>151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INFO'!$L$2:$M$8,2)</f>
        <v>SAT</v>
      </c>
      <c r="G2409" s="214">
        <v>3.63</v>
      </c>
      <c r="H2409" s="422">
        <v>3.64</v>
      </c>
      <c r="I2409" s="454">
        <f t="shared" si="218"/>
        <v>1.0000000000000231E-2</v>
      </c>
      <c r="J2409" s="15" t="s">
        <v>243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INFO'!$L$2:$M$8,2)</f>
        <v>SUN</v>
      </c>
      <c r="G2410" s="214">
        <v>3.63</v>
      </c>
      <c r="H2410" s="422">
        <v>3.64</v>
      </c>
      <c r="I2410" s="454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INFO'!$L$2:$M$8,2)</f>
        <v>MON</v>
      </c>
      <c r="G2411" s="214">
        <v>3.63</v>
      </c>
      <c r="H2411" s="422">
        <v>3.63</v>
      </c>
      <c r="I2411" s="454">
        <f t="shared" si="218"/>
        <v>0</v>
      </c>
      <c r="J2411" s="15" t="s">
        <v>152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INFO'!$L$2:$M$8,2)</f>
        <v>TUE</v>
      </c>
      <c r="G2412" s="214">
        <v>3.63</v>
      </c>
      <c r="H2412" s="422">
        <v>3.62</v>
      </c>
      <c r="I2412" s="454">
        <f t="shared" si="218"/>
        <v>-9.9999999999997868E-3</v>
      </c>
      <c r="J2412" s="176" t="s">
        <v>235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INFO'!$L$2:$M$8,2)</f>
        <v>WED</v>
      </c>
      <c r="G2413" s="214">
        <v>3.62</v>
      </c>
      <c r="H2413" s="422">
        <v>3.58</v>
      </c>
      <c r="I2413" s="454">
        <f t="shared" si="218"/>
        <v>-4.0000000000000036E-2</v>
      </c>
      <c r="J2413" s="176" t="s">
        <v>234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INFO'!$L$2:$M$8,2)</f>
        <v>THU</v>
      </c>
      <c r="G2414" s="214">
        <v>3.62</v>
      </c>
      <c r="H2414" s="422">
        <v>3.53</v>
      </c>
      <c r="I2414" s="454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INFO'!$L$2:$M$8,2)</f>
        <v>FRI</v>
      </c>
      <c r="G2415" s="214">
        <v>3.62</v>
      </c>
      <c r="H2415" s="422">
        <v>3.55</v>
      </c>
      <c r="I2415" s="454">
        <f t="shared" si="218"/>
        <v>-7.0000000000000284E-2</v>
      </c>
      <c r="J2415" s="15" t="s">
        <v>240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INFO'!$L$2:$M$8,2)</f>
        <v>SAT</v>
      </c>
      <c r="G2416" s="214">
        <v>3.62</v>
      </c>
      <c r="H2416" s="422">
        <v>3.55</v>
      </c>
      <c r="I2416" s="454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INFO'!$L$2:$M$8,2)</f>
        <v>SUN</v>
      </c>
      <c r="G2417" s="214">
        <v>3.62</v>
      </c>
      <c r="H2417" s="422">
        <v>3.55</v>
      </c>
      <c r="I2417" s="454">
        <f t="shared" si="218"/>
        <v>-7.0000000000000284E-2</v>
      </c>
      <c r="J2417" s="15" t="s">
        <v>196</v>
      </c>
      <c r="K2417" s="180">
        <f>OUTPUT!C3</f>
        <v>0</v>
      </c>
      <c r="L2417" s="193">
        <f>OUTPUT!F3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INFO'!$L$2:$M$8,2)</f>
        <v>MON</v>
      </c>
      <c r="G2418" s="214">
        <v>3.62</v>
      </c>
      <c r="H2418" s="422">
        <v>3.6</v>
      </c>
      <c r="I2418" s="454">
        <f t="shared" si="218"/>
        <v>-2.0000000000000018E-2</v>
      </c>
      <c r="J2418" s="15" t="s">
        <v>117</v>
      </c>
      <c r="K2418" s="221">
        <f>VLOOKUP(MONTH($C2412),'CALENDAR INFO'!$O$2:$P$13,2)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INFO'!$L$2:$M$8,2)</f>
        <v>TUE</v>
      </c>
      <c r="G2419" s="214">
        <v>3.63</v>
      </c>
      <c r="H2419" s="422">
        <v>3.63</v>
      </c>
      <c r="I2419" s="454">
        <f t="shared" si="218"/>
        <v>0</v>
      </c>
      <c r="J2419" s="15" t="s">
        <v>233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5" t="s">
        <v>207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INFO'!$L$2:$M$8,2)</f>
        <v>WED</v>
      </c>
      <c r="G2420" s="214">
        <v>3.63</v>
      </c>
      <c r="H2420" s="422">
        <v>3.64</v>
      </c>
      <c r="I2420" s="454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5" t="s">
        <v>206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INFO'!$L$2:$M$8,2)</f>
        <v>THU</v>
      </c>
      <c r="G2421" s="214">
        <v>3.63</v>
      </c>
      <c r="H2421" s="422">
        <v>3.62</v>
      </c>
      <c r="I2421" s="454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6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INFO'!$L$2:$M$8,2)</f>
        <v>FRI</v>
      </c>
      <c r="G2422" s="214">
        <v>3.63</v>
      </c>
      <c r="H2422" s="422">
        <v>3.59</v>
      </c>
      <c r="I2422" s="454">
        <f t="shared" si="218"/>
        <v>-4.0000000000000036E-2</v>
      </c>
      <c r="J2422" s="15" t="s">
        <v>154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7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INFO'!$L$2:$M$8,2)</f>
        <v>SAT</v>
      </c>
      <c r="G2423" s="214">
        <v>3.63</v>
      </c>
      <c r="H2423" s="422">
        <v>3.59</v>
      </c>
      <c r="I2423" s="454">
        <f t="shared" si="218"/>
        <v>-4.0000000000000036E-2</v>
      </c>
      <c r="J2423" s="15" t="s">
        <v>236</v>
      </c>
      <c r="K2423" s="397">
        <f ca="1">SUM(INDIRECT(K2413))</f>
        <v>0</v>
      </c>
      <c r="L2423" s="398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INFO'!$L$2:$M$8,2)</f>
        <v>SUN</v>
      </c>
      <c r="G2424" s="214">
        <v>3.63</v>
      </c>
      <c r="H2424" s="422">
        <v>3.59</v>
      </c>
      <c r="I2424" s="454">
        <f t="shared" si="218"/>
        <v>-4.0000000000000036E-2</v>
      </c>
      <c r="J2424" s="15" t="s">
        <v>237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INFO'!$L$2:$M$8,2)</f>
        <v>MON</v>
      </c>
      <c r="G2425" s="214">
        <v>3.63</v>
      </c>
      <c r="H2425" s="422">
        <v>3.57</v>
      </c>
      <c r="I2425" s="454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INFO'!$L$2:$M$8,2)</f>
        <v>TUE</v>
      </c>
      <c r="G2426" s="214">
        <v>3.63</v>
      </c>
      <c r="H2426" s="422">
        <v>3.61</v>
      </c>
      <c r="I2426" s="454">
        <f t="shared" si="218"/>
        <v>-2.0000000000000018E-2</v>
      </c>
      <c r="J2426" s="15" t="s">
        <v>241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29" t="s">
        <v>91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INFO'!$L$2:$M$8,2)</f>
        <v>WED</v>
      </c>
      <c r="G2427" s="214">
        <v>3.63</v>
      </c>
      <c r="H2427" s="422">
        <v>3.62</v>
      </c>
      <c r="I2427" s="454">
        <f t="shared" si="218"/>
        <v>-9.9999999999997868E-3</v>
      </c>
      <c r="J2427" s="15" t="s">
        <v>193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1" t="s">
        <v>198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INFO'!$L$2:$M$8,2)</f>
        <v>THU</v>
      </c>
      <c r="G2428" s="214">
        <v>3.63</v>
      </c>
      <c r="H2428" s="422">
        <v>3.64</v>
      </c>
      <c r="I2428" s="454">
        <f t="shared" si="218"/>
        <v>1.0000000000000231E-2</v>
      </c>
      <c r="J2428" s="15" t="s">
        <v>242</v>
      </c>
      <c r="K2428" s="399">
        <f ca="1">COUNTA(INDIRECT(K2413))</f>
        <v>0</v>
      </c>
      <c r="L2428" s="400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INFO'!$L$2:$M$8,2)</f>
        <v>FRI</v>
      </c>
      <c r="G2429" s="214">
        <v>3.63</v>
      </c>
      <c r="H2429" s="422">
        <v>3.64</v>
      </c>
      <c r="I2429" s="454">
        <f t="shared" si="218"/>
        <v>1.0000000000000231E-2</v>
      </c>
      <c r="J2429" s="15" t="s">
        <v>238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INFO'!$L$2:$M$8,2)</f>
        <v>SAT</v>
      </c>
      <c r="G2430" s="214">
        <v>3.63</v>
      </c>
      <c r="H2430" s="422">
        <v>3.64</v>
      </c>
      <c r="I2430" s="454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INFO'!$L$2:$M$8,2)</f>
        <v>SUN</v>
      </c>
      <c r="G2431" s="214">
        <v>3.63</v>
      </c>
      <c r="H2431" s="422">
        <v>3.64</v>
      </c>
      <c r="I2431" s="454">
        <f t="shared" si="218"/>
        <v>1.0000000000000231E-2</v>
      </c>
      <c r="J2431" s="15" t="s">
        <v>237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INFO'!$L$2:$M$8,2)</f>
        <v>MON</v>
      </c>
      <c r="G2432" s="214">
        <v>3.63</v>
      </c>
      <c r="H2432" s="422">
        <v>3.64</v>
      </c>
      <c r="I2432" s="454">
        <f t="shared" si="218"/>
        <v>1.0000000000000231E-2</v>
      </c>
      <c r="J2432" s="15" t="s">
        <v>238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4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INFO'!$L$2:$M$8,2)</f>
        <v>TUE</v>
      </c>
      <c r="G2433" s="214">
        <v>3.63</v>
      </c>
      <c r="H2433" s="422">
        <v>3.65</v>
      </c>
      <c r="I2433" s="454">
        <f t="shared" si="218"/>
        <v>2.0000000000000018E-2</v>
      </c>
      <c r="J2433" s="15" t="s">
        <v>239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4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INFO'!$L$2:$M$8,2)</f>
        <v>WED</v>
      </c>
      <c r="G2434" s="214">
        <v>3.63</v>
      </c>
      <c r="H2434" s="422">
        <v>3.65</v>
      </c>
      <c r="I2434" s="454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4">
      <c r="A2435" s="303"/>
      <c r="B2435" s="304"/>
      <c r="C2435" s="103">
        <f t="shared" si="219"/>
        <v>46233</v>
      </c>
      <c r="E2435" s="170"/>
      <c r="F2435" s="58" t="str">
        <f>VLOOKUP(MOD(C2435,7),'CALENDAR INFO'!$L$2:$M$8,2)</f>
        <v>THU</v>
      </c>
      <c r="G2435" s="214">
        <v>3.63</v>
      </c>
      <c r="H2435" s="422">
        <v>3.65</v>
      </c>
      <c r="I2435" s="454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4" ht="15.75" thickBot="1">
      <c r="A2436" s="402"/>
      <c r="B2436" s="403"/>
      <c r="C2436" s="104">
        <f t="shared" ref="C2436:C2499" si="224">C2435+1</f>
        <v>46234</v>
      </c>
      <c r="D2436" s="112"/>
      <c r="E2436" s="101"/>
      <c r="F2436" s="71" t="str">
        <f>VLOOKUP(MOD(C2436,7),'CALENDAR INFO'!$L$2:$M$8,2)</f>
        <v>FRI</v>
      </c>
      <c r="G2436" s="215">
        <v>3.63</v>
      </c>
      <c r="H2436" s="423">
        <v>3.66</v>
      </c>
      <c r="I2436" s="455">
        <f t="shared" si="223"/>
        <v>3.0000000000000249E-2</v>
      </c>
      <c r="J2436" s="347"/>
      <c r="K2436" s="347"/>
      <c r="L2436" s="348"/>
      <c r="M2436" s="114">
        <f t="shared" si="222"/>
        <v>3</v>
      </c>
      <c r="N2436" s="292">
        <f t="shared" si="220"/>
        <v>1.000305</v>
      </c>
    </row>
    <row r="2437" spans="1:14">
      <c r="A2437" s="303"/>
      <c r="B2437" s="304"/>
      <c r="C2437" s="103">
        <f t="shared" si="224"/>
        <v>46235</v>
      </c>
      <c r="E2437" s="170"/>
      <c r="F2437" s="58" t="str">
        <f>VLOOKUP(MOD(C2437,7),'CALENDAR INFO'!$L$2:$M$8,2)</f>
        <v>SAT</v>
      </c>
      <c r="G2437" s="214">
        <v>3.63</v>
      </c>
      <c r="H2437" s="422">
        <v>3.66</v>
      </c>
      <c r="I2437" s="454">
        <f t="shared" si="223"/>
        <v>3.0000000000000249E-2</v>
      </c>
      <c r="J2437" s="15" t="s">
        <v>150</v>
      </c>
      <c r="K2437" s="374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4">
      <c r="A2438" s="84"/>
      <c r="B2438" s="228"/>
      <c r="C2438" s="103">
        <f t="shared" si="224"/>
        <v>46236</v>
      </c>
      <c r="E2438" s="170"/>
      <c r="F2438" s="58" t="str">
        <f>VLOOKUP(MOD(C2438,7),'CALENDAR INFO'!$L$2:$M$8,2)</f>
        <v>SUN</v>
      </c>
      <c r="G2438" s="214">
        <v>3.63</v>
      </c>
      <c r="H2438" s="422">
        <v>3.66</v>
      </c>
      <c r="I2438" s="454">
        <f t="shared" si="223"/>
        <v>3.0000000000000249E-2</v>
      </c>
      <c r="J2438" s="15" t="s">
        <v>117</v>
      </c>
      <c r="K2438" s="15">
        <f>VLOOKUP(MONTH($C2437),'CALENDAR INFO'!$O$2:$P$13,2)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4">
      <c r="A2439" s="84"/>
      <c r="B2439" s="228"/>
      <c r="C2439" s="103">
        <f t="shared" si="224"/>
        <v>46237</v>
      </c>
      <c r="E2439" s="170"/>
      <c r="F2439" s="58" t="str">
        <f>VLOOKUP(MOD(C2439,7),'CALENDAR INFO'!$L$2:$M$8,2)</f>
        <v>MON</v>
      </c>
      <c r="G2439" s="214">
        <v>3.63</v>
      </c>
      <c r="H2439" s="422">
        <v>3.65</v>
      </c>
      <c r="I2439" s="454">
        <f t="shared" si="223"/>
        <v>2.0000000000000018E-2</v>
      </c>
      <c r="J2439" s="15" t="s">
        <v>151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4">
      <c r="A2440" s="84"/>
      <c r="B2440" s="228"/>
      <c r="C2440" s="103">
        <f t="shared" si="224"/>
        <v>46238</v>
      </c>
      <c r="E2440" s="170"/>
      <c r="F2440" s="58" t="str">
        <f>VLOOKUP(MOD(C2440,7),'CALENDAR INFO'!$L$2:$M$8,2)</f>
        <v>TUE</v>
      </c>
      <c r="G2440" s="214">
        <v>3.63</v>
      </c>
      <c r="H2440" s="422">
        <v>3.66</v>
      </c>
      <c r="I2440" s="454">
        <f t="shared" si="223"/>
        <v>3.0000000000000249E-2</v>
      </c>
      <c r="J2440" s="15" t="s">
        <v>243</v>
      </c>
      <c r="K2440" s="310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4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INFO'!$L$2:$M$8,2)</f>
        <v>WED</v>
      </c>
      <c r="G2441" s="214">
        <v>3.63</v>
      </c>
      <c r="H2441" s="422">
        <v>3.64</v>
      </c>
      <c r="I2441" s="454">
        <f t="shared" si="223"/>
        <v>1.0000000000000231E-2</v>
      </c>
      <c r="K2441" s="310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4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INFO'!$L$2:$M$8,2)</f>
        <v>THU</v>
      </c>
      <c r="G2442" s="214">
        <v>3.63</v>
      </c>
      <c r="H2442" s="422">
        <v>3.65</v>
      </c>
      <c r="I2442" s="454">
        <f t="shared" si="223"/>
        <v>2.0000000000000018E-2</v>
      </c>
      <c r="J2442" s="15" t="s">
        <v>152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4">
      <c r="A2443" s="84"/>
      <c r="B2443" s="228"/>
      <c r="C2443" s="103">
        <f t="shared" si="224"/>
        <v>46241</v>
      </c>
      <c r="E2443" s="167"/>
      <c r="F2443" s="58" t="str">
        <f>VLOOKUP(MOD(C2443,7),'CALENDAR INFO'!$L$2:$M$8,2)</f>
        <v>FRI</v>
      </c>
      <c r="G2443" s="214">
        <v>3.63</v>
      </c>
      <c r="H2443" s="422">
        <v>3.62</v>
      </c>
      <c r="I2443" s="454">
        <f t="shared" si="223"/>
        <v>-9.9999999999997868E-3</v>
      </c>
      <c r="J2443" s="176" t="s">
        <v>234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4">
      <c r="A2444" s="84"/>
      <c r="B2444" s="228"/>
      <c r="C2444" s="103">
        <f t="shared" si="224"/>
        <v>46242</v>
      </c>
      <c r="E2444" s="167"/>
      <c r="F2444" s="58" t="str">
        <f>VLOOKUP(MOD(C2444,7),'CALENDAR INFO'!$L$2:$M$8,2)</f>
        <v>SAT</v>
      </c>
      <c r="G2444" s="214">
        <v>3.63</v>
      </c>
      <c r="H2444" s="422">
        <v>3.62</v>
      </c>
      <c r="I2444" s="454">
        <f t="shared" si="223"/>
        <v>-9.9999999999997868E-3</v>
      </c>
      <c r="J2444" s="176" t="s">
        <v>235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4">
      <c r="A2445" s="84"/>
      <c r="B2445" s="228"/>
      <c r="C2445" s="103">
        <f t="shared" si="224"/>
        <v>46243</v>
      </c>
      <c r="E2445" s="167"/>
      <c r="F2445" s="58" t="str">
        <f>VLOOKUP(MOD(C2445,7),'CALENDAR INFO'!$L$2:$M$8,2)</f>
        <v>SUN</v>
      </c>
      <c r="G2445" s="214">
        <v>3.63</v>
      </c>
      <c r="H2445" s="422">
        <v>3.62</v>
      </c>
      <c r="I2445" s="454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4">
      <c r="A2446" s="84"/>
      <c r="B2446" s="228"/>
      <c r="C2446" s="103">
        <f t="shared" si="224"/>
        <v>46244</v>
      </c>
      <c r="E2446" s="167"/>
      <c r="F2446" s="58" t="str">
        <f>VLOOKUP(MOD(C2446,7),'CALENDAR INFO'!$L$2:$M$8,2)</f>
        <v>MON</v>
      </c>
      <c r="G2446" s="214">
        <v>3.63</v>
      </c>
      <c r="H2446" s="422">
        <v>3.63</v>
      </c>
      <c r="I2446" s="454">
        <f t="shared" si="223"/>
        <v>0</v>
      </c>
      <c r="J2446" s="15" t="s">
        <v>240</v>
      </c>
      <c r="K2446" s="186">
        <f>K2448</f>
        <v>0</v>
      </c>
      <c r="L2446" s="194">
        <f>L2448</f>
        <v>0</v>
      </c>
      <c r="M2446" s="113">
        <f t="shared" si="225"/>
        <v>1</v>
      </c>
      <c r="N2446" s="64">
        <f t="shared" si="220"/>
        <v>1.0001008333333334</v>
      </c>
    </row>
    <row r="2447" spans="1:14">
      <c r="A2447" s="84"/>
      <c r="B2447" s="228"/>
      <c r="C2447" s="103">
        <f t="shared" si="224"/>
        <v>46245</v>
      </c>
      <c r="E2447" s="167"/>
      <c r="F2447" s="58" t="str">
        <f>VLOOKUP(MOD(C2447,7),'CALENDAR INFO'!$L$2:$M$8,2)</f>
        <v>TUE</v>
      </c>
      <c r="G2447" s="214">
        <v>3.63</v>
      </c>
      <c r="H2447" s="422">
        <v>3.64</v>
      </c>
      <c r="I2447" s="454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</row>
    <row r="2448" spans="1:14">
      <c r="A2448" s="84"/>
      <c r="B2448" s="228"/>
      <c r="C2448" s="103">
        <f t="shared" si="224"/>
        <v>46246</v>
      </c>
      <c r="E2448" s="167"/>
      <c r="F2448" s="58" t="str">
        <f>VLOOKUP(MOD(C2448,7),'CALENDAR INFO'!$L$2:$M$8,2)</f>
        <v>WED</v>
      </c>
      <c r="G2448" s="214">
        <v>3.63</v>
      </c>
      <c r="H2448" s="422">
        <v>3.62</v>
      </c>
      <c r="I2448" s="454">
        <f t="shared" si="223"/>
        <v>-9.9999999999997868E-3</v>
      </c>
      <c r="J2448" s="15" t="s">
        <v>196</v>
      </c>
      <c r="K2448" s="180">
        <f>OUTPUT!C4</f>
        <v>0</v>
      </c>
      <c r="L2448" s="180">
        <f>OUTPUT!F4</f>
        <v>0</v>
      </c>
      <c r="M2448" s="113">
        <f t="shared" si="225"/>
        <v>1</v>
      </c>
      <c r="N2448" s="64">
        <f t="shared" si="220"/>
        <v>1.0001005555555555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INFO'!$L$2:$M$8,2)</f>
        <v>THU</v>
      </c>
      <c r="G2449" s="214">
        <v>3.63</v>
      </c>
      <c r="H2449" s="422">
        <v>3.62</v>
      </c>
      <c r="I2449" s="454">
        <f t="shared" si="223"/>
        <v>-9.9999999999997868E-3</v>
      </c>
      <c r="J2449" s="15" t="s">
        <v>117</v>
      </c>
      <c r="K2449" s="221">
        <f>VLOOKUP(MONTH($C2443),'CALENDAR INFO'!$O$2:$P$13,2)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INFO'!$L$2:$M$8,2)</f>
        <v>FRI</v>
      </c>
      <c r="G2450" s="214">
        <v>3.63</v>
      </c>
      <c r="H2450" s="422">
        <v>3.62</v>
      </c>
      <c r="I2450" s="454">
        <f t="shared" si="223"/>
        <v>-9.9999999999997868E-3</v>
      </c>
      <c r="J2450" s="15" t="s">
        <v>233</v>
      </c>
      <c r="K2450" s="178">
        <f>K2448*K2438</f>
        <v>0</v>
      </c>
      <c r="L2450" s="178">
        <f>L2448*L2438</f>
        <v>0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INFO'!$L$2:$M$8,2)</f>
        <v>SAT</v>
      </c>
      <c r="G2451" s="214">
        <v>3.63</v>
      </c>
      <c r="H2451" s="422">
        <v>3.62</v>
      </c>
      <c r="I2451" s="454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480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INFO'!$L$2:$M$8,2)</f>
        <v>SUN</v>
      </c>
      <c r="G2452" s="214">
        <v>3.63</v>
      </c>
      <c r="H2452" s="422">
        <v>3.62</v>
      </c>
      <c r="I2452" s="454">
        <f t="shared" si="223"/>
        <v>-9.9999999999997868E-3</v>
      </c>
      <c r="J2452" s="15" t="str">
        <f>J2450</f>
        <v>monthly target</v>
      </c>
      <c r="K2452" s="178">
        <f>K2450</f>
        <v>0</v>
      </c>
      <c r="L2452" s="192">
        <f>L2450</f>
        <v>0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INFO'!$L$2:$M$8,2)</f>
        <v>MON</v>
      </c>
      <c r="G2453" s="214">
        <v>3.63</v>
      </c>
      <c r="H2453" s="422">
        <v>3.66</v>
      </c>
      <c r="I2453" s="454">
        <f t="shared" si="223"/>
        <v>3.0000000000000249E-2</v>
      </c>
      <c r="J2453" s="15" t="s">
        <v>154</v>
      </c>
      <c r="K2453" s="178">
        <f ca="1">SUM(INDIRECT(K2442))</f>
        <v>112.52999999999996</v>
      </c>
      <c r="L2453" s="192">
        <f ca="1">SUM(INDIRECT(L2442))</f>
        <v>112.88000000000004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INFO'!$L$2:$M$8,2)</f>
        <v>TUE</v>
      </c>
      <c r="G2454" s="214">
        <v>3.63</v>
      </c>
      <c r="H2454" s="422">
        <v>3.65</v>
      </c>
      <c r="I2454" s="454">
        <f t="shared" si="223"/>
        <v>2.0000000000000018E-2</v>
      </c>
      <c r="J2454" s="15" t="s">
        <v>236</v>
      </c>
      <c r="K2454" s="397">
        <f ca="1">SUM(INDIRECT(K2443))</f>
        <v>0</v>
      </c>
      <c r="L2454" s="398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INFO'!$L$2:$M$8,2)</f>
        <v>WED</v>
      </c>
      <c r="G2455" s="214">
        <v>3.63</v>
      </c>
      <c r="H2455" s="422">
        <v>3.62</v>
      </c>
      <c r="I2455" s="454">
        <f t="shared" si="223"/>
        <v>-9.9999999999997868E-3</v>
      </c>
      <c r="J2455" s="15" t="s">
        <v>237</v>
      </c>
      <c r="K2455" s="182">
        <f ca="1">K2450-K2453-K2454</f>
        <v>-112.52999999999996</v>
      </c>
      <c r="L2455" s="201">
        <f ca="1">L2450-L2453-L2454</f>
        <v>-112.88000000000004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INFO'!$L$2:$M$8,2)</f>
        <v>THU</v>
      </c>
      <c r="G2456" s="214">
        <v>3.63</v>
      </c>
      <c r="H2456" s="422">
        <v>3.63</v>
      </c>
      <c r="I2456" s="454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/>
      <c r="B2457" s="228"/>
      <c r="C2457" s="103">
        <f t="shared" si="224"/>
        <v>46255</v>
      </c>
      <c r="E2457" s="170"/>
      <c r="F2457" s="58" t="str">
        <f>VLOOKUP(MOD(C2457,7),'CALENDAR INFO'!$L$2:$M$8,2)</f>
        <v>FRI</v>
      </c>
      <c r="G2457" s="214">
        <v>3.63</v>
      </c>
      <c r="H2457" s="422">
        <v>3.65</v>
      </c>
      <c r="I2457" s="454">
        <f t="shared" si="223"/>
        <v>2.0000000000000018E-2</v>
      </c>
      <c r="J2457" s="15" t="s">
        <v>241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si="226"/>
        <v>1.0003041666666668</v>
      </c>
    </row>
    <row r="2458" spans="1:14">
      <c r="A2458" s="84"/>
      <c r="B2458" s="228"/>
      <c r="C2458" s="103">
        <f t="shared" si="224"/>
        <v>46256</v>
      </c>
      <c r="E2458" s="170"/>
      <c r="F2458" s="58" t="str">
        <f>VLOOKUP(MOD(C2458,7),'CALENDAR INFO'!$L$2:$M$8,2)</f>
        <v>SAT</v>
      </c>
      <c r="G2458" s="214">
        <v>3.63</v>
      </c>
      <c r="H2458" s="422">
        <v>3.65</v>
      </c>
      <c r="I2458" s="454">
        <f t="shared" si="223"/>
        <v>2.0000000000000018E-2</v>
      </c>
      <c r="J2458" s="15" t="s">
        <v>193</v>
      </c>
      <c r="K2458" s="15">
        <f ca="1">COUNTA(INDIRECT(K2442))</f>
        <v>31</v>
      </c>
      <c r="L2458" s="179">
        <f ca="1">COUNTA(INDIRECT(L2442))</f>
        <v>31</v>
      </c>
      <c r="M2458" s="113">
        <f t="shared" si="225"/>
        <v>0</v>
      </c>
      <c r="N2458" s="64">
        <f t="shared" si="226"/>
        <v>1</v>
      </c>
    </row>
    <row r="2459" spans="1:14">
      <c r="A2459" s="84"/>
      <c r="B2459" s="228"/>
      <c r="C2459" s="103">
        <f t="shared" si="224"/>
        <v>46257</v>
      </c>
      <c r="E2459" s="170"/>
      <c r="F2459" s="58" t="str">
        <f>VLOOKUP(MOD(C2459,7),'CALENDAR INFO'!$L$2:$M$8,2)</f>
        <v>SUN</v>
      </c>
      <c r="G2459" s="214">
        <v>3.63</v>
      </c>
      <c r="H2459" s="422">
        <v>3.65</v>
      </c>
      <c r="I2459" s="454">
        <f t="shared" si="223"/>
        <v>2.0000000000000018E-2</v>
      </c>
      <c r="J2459" s="15" t="s">
        <v>242</v>
      </c>
      <c r="K2459" s="399">
        <f ca="1">COUNTA(INDIRECT(K2443))</f>
        <v>0</v>
      </c>
      <c r="L2459" s="400">
        <f ca="1">COUNTA(INDIRECT(L2443))</f>
        <v>0</v>
      </c>
      <c r="M2459" s="113">
        <f t="shared" si="225"/>
        <v>0</v>
      </c>
      <c r="N2459" s="64">
        <f t="shared" si="226"/>
        <v>1</v>
      </c>
    </row>
    <row r="2460" spans="1:14">
      <c r="A2460" s="84"/>
      <c r="B2460" s="228"/>
      <c r="C2460" s="103">
        <f t="shared" si="224"/>
        <v>46258</v>
      </c>
      <c r="E2460" s="170"/>
      <c r="F2460" s="58" t="str">
        <f>VLOOKUP(MOD(C2460,7),'CALENDAR INFO'!$L$2:$M$8,2)</f>
        <v>MON</v>
      </c>
      <c r="G2460" s="214">
        <v>3.63</v>
      </c>
      <c r="H2460" s="422">
        <v>3.65</v>
      </c>
      <c r="I2460" s="454">
        <f t="shared" si="223"/>
        <v>2.0000000000000018E-2</v>
      </c>
      <c r="J2460" s="15" t="s">
        <v>238</v>
      </c>
      <c r="K2460" s="152">
        <f ca="1">K2457-K2458-K2459</f>
        <v>0</v>
      </c>
      <c r="L2460" s="202">
        <f ca="1">L2457-L2458-L2459</f>
        <v>0</v>
      </c>
      <c r="M2460" s="113">
        <f t="shared" si="225"/>
        <v>1</v>
      </c>
      <c r="N2460" s="64">
        <f t="shared" si="226"/>
        <v>1.000101388888889</v>
      </c>
    </row>
    <row r="2461" spans="1:14">
      <c r="A2461" s="84"/>
      <c r="B2461" s="228"/>
      <c r="C2461" s="103">
        <f t="shared" si="224"/>
        <v>46259</v>
      </c>
      <c r="E2461" s="170"/>
      <c r="F2461" s="58" t="str">
        <f>VLOOKUP(MOD(C2461,7),'CALENDAR INFO'!$L$2:$M$8,2)</f>
        <v>TUE</v>
      </c>
      <c r="G2461" s="214">
        <v>3.63</v>
      </c>
      <c r="H2461" s="422">
        <v>3.66</v>
      </c>
      <c r="I2461" s="454">
        <f t="shared" si="223"/>
        <v>3.0000000000000249E-2</v>
      </c>
      <c r="K2461" s="178"/>
      <c r="L2461" s="192"/>
      <c r="M2461" s="113">
        <f t="shared" si="225"/>
        <v>1</v>
      </c>
      <c r="N2461" s="64">
        <f t="shared" si="226"/>
        <v>1.0001016666666667</v>
      </c>
    </row>
    <row r="2462" spans="1:14">
      <c r="A2462" s="84"/>
      <c r="B2462" s="228"/>
      <c r="C2462" s="103">
        <f t="shared" si="224"/>
        <v>46260</v>
      </c>
      <c r="E2462" s="170"/>
      <c r="F2462" s="58" t="str">
        <f>VLOOKUP(MOD(C2462,7),'CALENDAR INFO'!$L$2:$M$8,2)</f>
        <v>WED</v>
      </c>
      <c r="G2462" s="214">
        <v>3.63</v>
      </c>
      <c r="H2462" s="422">
        <v>3.64</v>
      </c>
      <c r="I2462" s="454">
        <f t="shared" si="223"/>
        <v>1.0000000000000231E-2</v>
      </c>
      <c r="J2462" s="15" t="s">
        <v>237</v>
      </c>
      <c r="K2462" s="178">
        <f ca="1">K2455</f>
        <v>-112.52999999999996</v>
      </c>
      <c r="L2462" s="192">
        <f ca="1">L2455</f>
        <v>-112.88000000000004</v>
      </c>
      <c r="M2462" s="113">
        <f t="shared" si="225"/>
        <v>1</v>
      </c>
      <c r="N2462" s="64">
        <f t="shared" si="226"/>
        <v>1.0001011111111111</v>
      </c>
    </row>
    <row r="2463" spans="1:14">
      <c r="A2463" s="84"/>
      <c r="B2463" s="228"/>
      <c r="C2463" s="103">
        <f t="shared" si="224"/>
        <v>46261</v>
      </c>
      <c r="E2463" s="170"/>
      <c r="F2463" s="58" t="str">
        <f>VLOOKUP(MOD(C2463,7),'CALENDAR INFO'!$L$2:$M$8,2)</f>
        <v>THU</v>
      </c>
      <c r="G2463" s="214">
        <v>3.63</v>
      </c>
      <c r="H2463" s="422">
        <v>3.64</v>
      </c>
      <c r="I2463" s="454">
        <f t="shared" si="223"/>
        <v>1.0000000000000231E-2</v>
      </c>
      <c r="J2463" s="15" t="s">
        <v>238</v>
      </c>
      <c r="K2463" s="221">
        <f ca="1">K2460</f>
        <v>0</v>
      </c>
      <c r="L2463" s="223">
        <f ca="1">L2460</f>
        <v>0</v>
      </c>
      <c r="M2463" s="113">
        <f t="shared" si="225"/>
        <v>1</v>
      </c>
      <c r="N2463" s="64">
        <f t="shared" si="226"/>
        <v>1.0001011111111111</v>
      </c>
    </row>
    <row r="2464" spans="1:14">
      <c r="A2464" s="84"/>
      <c r="B2464" s="228"/>
      <c r="C2464" s="103">
        <f t="shared" si="224"/>
        <v>46262</v>
      </c>
      <c r="E2464" s="170"/>
      <c r="F2464" s="58" t="str">
        <f>VLOOKUP(MOD(C2464,7),'CALENDAR INFO'!$L$2:$M$8,2)</f>
        <v>FRI</v>
      </c>
      <c r="G2464" s="214">
        <v>3.63</v>
      </c>
      <c r="H2464" s="422">
        <v>3.65</v>
      </c>
      <c r="I2464" s="454">
        <f t="shared" si="223"/>
        <v>2.0000000000000018E-2</v>
      </c>
      <c r="J2464" s="15" t="s">
        <v>239</v>
      </c>
      <c r="K2464" s="178" t="e">
        <f ca="1">K2462/K2463</f>
        <v>#DIV/0!</v>
      </c>
      <c r="L2464" s="192" t="e">
        <f ca="1">L2462/L2463</f>
        <v>#DIV/0!</v>
      </c>
      <c r="M2464" s="113">
        <f t="shared" si="225"/>
        <v>3</v>
      </c>
      <c r="N2464" s="64">
        <f t="shared" si="226"/>
        <v>1.0003041666666668</v>
      </c>
    </row>
    <row r="2465" spans="1:14">
      <c r="A2465" s="84"/>
      <c r="B2465" s="228"/>
      <c r="C2465" s="103">
        <f t="shared" si="224"/>
        <v>46263</v>
      </c>
      <c r="E2465" s="170"/>
      <c r="F2465" s="58" t="str">
        <f>VLOOKUP(MOD(C2465,7),'CALENDAR INFO'!$L$2:$M$8,2)</f>
        <v>SAT</v>
      </c>
      <c r="G2465" s="214">
        <v>3.63</v>
      </c>
      <c r="H2465" s="422">
        <v>3.65</v>
      </c>
      <c r="I2465" s="454">
        <f t="shared" si="223"/>
        <v>2.0000000000000018E-2</v>
      </c>
      <c r="M2465" s="113">
        <f t="shared" si="225"/>
        <v>0</v>
      </c>
      <c r="N2465" s="64">
        <f t="shared" si="226"/>
        <v>1</v>
      </c>
    </row>
    <row r="2466" spans="1:14">
      <c r="A2466" s="84"/>
      <c r="B2466" s="228"/>
      <c r="C2466" s="103">
        <f t="shared" si="224"/>
        <v>46264</v>
      </c>
      <c r="E2466" s="170"/>
      <c r="F2466" s="58" t="str">
        <f>VLOOKUP(MOD(C2466,7),'CALENDAR INFO'!$L$2:$M$8,2)</f>
        <v>SUN</v>
      </c>
      <c r="G2466" s="214">
        <v>3.63</v>
      </c>
      <c r="H2466" s="422">
        <v>3.65</v>
      </c>
      <c r="I2466" s="454">
        <f t="shared" si="223"/>
        <v>2.0000000000000018E-2</v>
      </c>
      <c r="M2466" s="113">
        <f t="shared" si="225"/>
        <v>0</v>
      </c>
      <c r="N2466" s="64">
        <f t="shared" si="226"/>
        <v>1</v>
      </c>
    </row>
    <row r="2467" spans="1:14" ht="15.75" thickBot="1">
      <c r="A2467" s="404"/>
      <c r="B2467" s="405"/>
      <c r="C2467" s="104">
        <f t="shared" si="224"/>
        <v>46265</v>
      </c>
      <c r="D2467" s="112"/>
      <c r="E2467" s="101"/>
      <c r="F2467" s="71" t="str">
        <f>VLOOKUP(MOD(C2467,7),'CALENDAR INFO'!$L$2:$M$8,2)</f>
        <v>MON</v>
      </c>
      <c r="G2467" s="215">
        <v>3.63</v>
      </c>
      <c r="H2467" s="423">
        <v>3.68</v>
      </c>
      <c r="I2467" s="455">
        <f t="shared" si="223"/>
        <v>5.0000000000000266E-2</v>
      </c>
      <c r="J2467" s="347"/>
      <c r="K2467" s="347"/>
      <c r="L2467" s="348"/>
      <c r="M2467" s="114">
        <f t="shared" si="225"/>
        <v>1</v>
      </c>
      <c r="N2467" s="292">
        <f t="shared" si="226"/>
        <v>1.0001022222222222</v>
      </c>
    </row>
    <row r="2468" spans="1:14">
      <c r="B2468" s="41"/>
      <c r="C2468" s="103">
        <f t="shared" si="224"/>
        <v>46266</v>
      </c>
      <c r="E2468" s="170"/>
      <c r="F2468" s="58" t="str">
        <f>VLOOKUP(MOD(C2468,7),'CALENDAR INFO'!$L$2:$M$8,2)</f>
        <v>TUE</v>
      </c>
      <c r="G2468" s="214">
        <v>3.63</v>
      </c>
      <c r="H2468" s="422">
        <v>3.66</v>
      </c>
      <c r="I2468" s="454">
        <f t="shared" si="223"/>
        <v>3.0000000000000249E-2</v>
      </c>
      <c r="J2468" s="15" t="s">
        <v>150</v>
      </c>
      <c r="K2468" s="359">
        <f>ROW()</f>
        <v>2468</v>
      </c>
      <c r="L2468" s="233">
        <f>K2468</f>
        <v>2468</v>
      </c>
      <c r="M2468" s="113">
        <f t="shared" si="225"/>
        <v>1</v>
      </c>
      <c r="N2468" s="64">
        <f t="shared" si="226"/>
        <v>1.0001016666666667</v>
      </c>
    </row>
    <row r="2469" spans="1:14">
      <c r="B2469" s="41"/>
      <c r="C2469" s="103">
        <f t="shared" si="224"/>
        <v>46267</v>
      </c>
      <c r="E2469" s="170" t="s">
        <v>19</v>
      </c>
      <c r="F2469" s="58" t="str">
        <f>VLOOKUP(MOD(C2469,7),'CALENDAR INFO'!$L$2:$M$8,2)</f>
        <v>WED</v>
      </c>
      <c r="G2469" s="214">
        <v>3.63</v>
      </c>
      <c r="H2469" s="422">
        <v>3.65</v>
      </c>
      <c r="I2469" s="454">
        <f t="shared" si="223"/>
        <v>2.0000000000000018E-2</v>
      </c>
      <c r="J2469" s="15" t="s">
        <v>117</v>
      </c>
      <c r="K2469" s="15">
        <f>VLOOKUP(MONTH($C2468),'CALENDAR INFO'!$O$2:$P$13,2)</f>
        <v>30</v>
      </c>
      <c r="L2469" s="179">
        <f>K2469</f>
        <v>30</v>
      </c>
      <c r="M2469" s="113">
        <f t="shared" si="225"/>
        <v>1</v>
      </c>
      <c r="N2469" s="64">
        <f t="shared" si="226"/>
        <v>1.000101388888889</v>
      </c>
    </row>
    <row r="2470" spans="1:14">
      <c r="B2470" s="41"/>
      <c r="C2470" s="103">
        <f t="shared" si="224"/>
        <v>46268</v>
      </c>
      <c r="E2470" s="167" t="s">
        <v>18</v>
      </c>
      <c r="F2470" s="58" t="str">
        <f>VLOOKUP(MOD(C2470,7),'CALENDAR INFO'!$L$2:$M$8,2)</f>
        <v>THU</v>
      </c>
      <c r="G2470" s="214">
        <v>3.63</v>
      </c>
      <c r="H2470" s="422">
        <v>3.66</v>
      </c>
      <c r="I2470" s="454">
        <f t="shared" si="223"/>
        <v>3.0000000000000249E-2</v>
      </c>
      <c r="J2470" s="15" t="s">
        <v>151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si="226"/>
        <v>1.0001016666666667</v>
      </c>
    </row>
    <row r="2471" spans="1:14">
      <c r="B2471" s="41"/>
      <c r="C2471" s="103">
        <f t="shared" si="224"/>
        <v>46269</v>
      </c>
      <c r="E2471" s="167"/>
      <c r="F2471" s="58" t="str">
        <f>VLOOKUP(MOD(C2471,7),'CALENDAR INFO'!$L$2:$M$8,2)</f>
        <v>FRI</v>
      </c>
      <c r="G2471" s="214">
        <v>3.63</v>
      </c>
      <c r="H2471" s="422">
        <v>3.65</v>
      </c>
      <c r="I2471" s="454">
        <f t="shared" si="223"/>
        <v>2.0000000000000018E-2</v>
      </c>
      <c r="J2471" s="15" t="s">
        <v>243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si="226"/>
        <v>1.0004055555555555</v>
      </c>
    </row>
    <row r="2472" spans="1:14">
      <c r="B2472" s="41"/>
      <c r="C2472" s="103">
        <f t="shared" si="224"/>
        <v>46270</v>
      </c>
      <c r="E2472" s="167"/>
      <c r="F2472" s="58" t="str">
        <f>VLOOKUP(MOD(C2472,7),'CALENDAR INFO'!$L$2:$M$8,2)</f>
        <v>SAT</v>
      </c>
      <c r="G2472" s="214">
        <v>3.63</v>
      </c>
      <c r="H2472" s="422">
        <v>3.65</v>
      </c>
      <c r="I2472" s="454">
        <f t="shared" si="223"/>
        <v>2.0000000000000018E-2</v>
      </c>
      <c r="K2472" s="176"/>
      <c r="M2472" s="113">
        <f>IF(MOD(C2472,7)&lt;2,0,IF(MOD(C2472,7)=6,3,1))</f>
        <v>0</v>
      </c>
      <c r="N2472" s="64">
        <f t="shared" si="226"/>
        <v>1</v>
      </c>
    </row>
    <row r="2473" spans="1:14">
      <c r="B2473" s="41"/>
      <c r="C2473" s="103">
        <f t="shared" si="224"/>
        <v>46271</v>
      </c>
      <c r="E2473" s="167"/>
      <c r="F2473" s="58" t="str">
        <f>VLOOKUP(MOD(C2473,7),'CALENDAR INFO'!$L$2:$M$8,2)</f>
        <v>SUN</v>
      </c>
      <c r="G2473" s="214">
        <v>3.63</v>
      </c>
      <c r="H2473" s="422">
        <v>3.65</v>
      </c>
      <c r="I2473" s="454">
        <f t="shared" si="223"/>
        <v>2.0000000000000018E-2</v>
      </c>
      <c r="J2473" s="15" t="s">
        <v>152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si="226"/>
        <v>1</v>
      </c>
    </row>
    <row r="2474" spans="1:14">
      <c r="B2474" s="41"/>
      <c r="C2474" s="103">
        <f t="shared" si="224"/>
        <v>46272</v>
      </c>
      <c r="D2474" s="173" t="s">
        <v>111</v>
      </c>
      <c r="E2474" s="167"/>
      <c r="F2474" s="58" t="str">
        <f>VLOOKUP(MOD(C2474,7),'CALENDAR INFO'!$L$2:$M$8,2)</f>
        <v>MON</v>
      </c>
      <c r="G2474" s="214">
        <v>3.63</v>
      </c>
      <c r="H2474" s="422">
        <v>3.65</v>
      </c>
      <c r="I2474" s="454">
        <f t="shared" si="223"/>
        <v>2.0000000000000018E-2</v>
      </c>
      <c r="J2474" s="176" t="s">
        <v>235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si="226"/>
        <v>1</v>
      </c>
    </row>
    <row r="2475" spans="1:14">
      <c r="B2475" s="41"/>
      <c r="C2475" s="103">
        <f t="shared" si="224"/>
        <v>46273</v>
      </c>
      <c r="E2475" s="167"/>
      <c r="F2475" s="58" t="str">
        <f>VLOOKUP(MOD(C2475,7),'CALENDAR INFO'!$L$2:$M$8,2)</f>
        <v>TUE</v>
      </c>
      <c r="G2475" s="214">
        <v>3.63</v>
      </c>
      <c r="H2475" s="422">
        <v>3.64</v>
      </c>
      <c r="I2475" s="454">
        <f t="shared" si="223"/>
        <v>1.0000000000000231E-2</v>
      </c>
      <c r="J2475" s="176" t="s">
        <v>234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27">IF(MOD(C2475,7)&lt;2,0,IF(MOD(C2475,7)=6,3,1))</f>
        <v>1</v>
      </c>
      <c r="N2475" s="64">
        <f t="shared" si="226"/>
        <v>1.0001011111111111</v>
      </c>
    </row>
    <row r="2476" spans="1:14">
      <c r="B2476" s="41"/>
      <c r="C2476" s="103">
        <f t="shared" si="224"/>
        <v>46274</v>
      </c>
      <c r="E2476" s="167"/>
      <c r="F2476" s="58" t="str">
        <f>VLOOKUP(MOD(C2476,7),'CALENDAR INFO'!$L$2:$M$8,2)</f>
        <v>WED</v>
      </c>
      <c r="G2476" s="214">
        <v>3.63</v>
      </c>
      <c r="H2476" s="422">
        <v>3.64</v>
      </c>
      <c r="I2476" s="454">
        <f t="shared" si="223"/>
        <v>1.0000000000000231E-2</v>
      </c>
      <c r="M2476" s="113">
        <f t="shared" si="227"/>
        <v>1</v>
      </c>
      <c r="N2476" s="64">
        <f t="shared" si="226"/>
        <v>1.0001011111111111</v>
      </c>
    </row>
    <row r="2477" spans="1:14">
      <c r="B2477" s="41"/>
      <c r="C2477" s="103">
        <f t="shared" si="224"/>
        <v>46275</v>
      </c>
      <c r="E2477" s="167"/>
      <c r="F2477" s="58" t="str">
        <f>VLOOKUP(MOD(C2477,7),'CALENDAR INFO'!$L$2:$M$8,2)</f>
        <v>THU</v>
      </c>
      <c r="G2477" s="214">
        <v>3.63</v>
      </c>
      <c r="H2477" s="422">
        <v>3.62</v>
      </c>
      <c r="I2477" s="454">
        <f t="shared" si="223"/>
        <v>-9.9999999999997868E-3</v>
      </c>
      <c r="J2477" s="15" t="s">
        <v>240</v>
      </c>
      <c r="K2477" s="186">
        <f ca="1">A2499+G2499</f>
        <v>3.8775000000000057</v>
      </c>
      <c r="L2477" s="194">
        <f ca="1">B2499+H2499</f>
        <v>3.884196428571427</v>
      </c>
      <c r="M2477" s="113">
        <f t="shared" si="227"/>
        <v>1</v>
      </c>
      <c r="N2477" s="64">
        <f t="shared" si="226"/>
        <v>1.0001005555555555</v>
      </c>
    </row>
    <row r="2478" spans="1:14">
      <c r="B2478" s="41"/>
      <c r="C2478" s="103">
        <f t="shared" si="224"/>
        <v>46276</v>
      </c>
      <c r="E2478" s="167"/>
      <c r="F2478" s="58" t="str">
        <f>VLOOKUP(MOD(C2478,7),'CALENDAR INFO'!$L$2:$M$8,2)</f>
        <v>FRI</v>
      </c>
      <c r="G2478" s="214">
        <v>3.63</v>
      </c>
      <c r="H2478" s="422">
        <v>3.62</v>
      </c>
      <c r="I2478" s="454">
        <f t="shared" si="223"/>
        <v>-9.9999999999997868E-3</v>
      </c>
      <c r="M2478" s="113">
        <f t="shared" si="227"/>
        <v>3</v>
      </c>
      <c r="N2478" s="64">
        <f t="shared" si="226"/>
        <v>1.0003016666666666</v>
      </c>
    </row>
    <row r="2479" spans="1:14">
      <c r="B2479" s="41"/>
      <c r="C2479" s="103">
        <f t="shared" si="224"/>
        <v>46277</v>
      </c>
      <c r="E2479" s="167"/>
      <c r="F2479" s="58" t="str">
        <f>VLOOKUP(MOD(C2479,7),'CALENDAR INFO'!$L$2:$M$8,2)</f>
        <v>SAT</v>
      </c>
      <c r="G2479" s="214">
        <v>3.63</v>
      </c>
      <c r="H2479" s="422">
        <v>3.62</v>
      </c>
      <c r="I2479" s="454">
        <f t="shared" si="223"/>
        <v>-9.9999999999997868E-3</v>
      </c>
      <c r="J2479" s="15" t="s">
        <v>196</v>
      </c>
      <c r="K2479" s="180">
        <f>OUTPUT!C5</f>
        <v>101</v>
      </c>
      <c r="L2479" s="193">
        <f>OUTPUT!F5</f>
        <v>101</v>
      </c>
      <c r="M2479" s="113">
        <f t="shared" si="227"/>
        <v>0</v>
      </c>
      <c r="N2479" s="64">
        <f t="shared" si="226"/>
        <v>1</v>
      </c>
    </row>
    <row r="2480" spans="1:14">
      <c r="B2480" s="41"/>
      <c r="C2480" s="103">
        <f t="shared" si="224"/>
        <v>46278</v>
      </c>
      <c r="E2480" s="167"/>
      <c r="F2480" s="58" t="str">
        <f>VLOOKUP(MOD(C2480,7),'CALENDAR INFO'!$L$2:$M$8,2)</f>
        <v>SUN</v>
      </c>
      <c r="G2480" s="214">
        <v>3.63</v>
      </c>
      <c r="H2480" s="422">
        <v>3.62</v>
      </c>
      <c r="I2480" s="454">
        <f t="shared" si="223"/>
        <v>-9.9999999999997868E-3</v>
      </c>
      <c r="J2480" s="15" t="s">
        <v>117</v>
      </c>
      <c r="K2480" s="221">
        <f>VLOOKUP(MONTH($C2474),'CALENDAR INFO'!$O$2:$P$13,2)</f>
        <v>30</v>
      </c>
      <c r="L2480" s="223">
        <f>K2480</f>
        <v>30</v>
      </c>
      <c r="M2480" s="113">
        <f t="shared" si="227"/>
        <v>0</v>
      </c>
      <c r="N2480" s="64">
        <f t="shared" si="226"/>
        <v>1</v>
      </c>
    </row>
    <row r="2481" spans="1:14">
      <c r="B2481" s="41"/>
      <c r="C2481" s="103">
        <f t="shared" si="224"/>
        <v>46279</v>
      </c>
      <c r="E2481" s="167"/>
      <c r="F2481" s="58" t="str">
        <f>VLOOKUP(MOD(C2481,7),'CALENDAR INFO'!$L$2:$M$8,2)</f>
        <v>MON</v>
      </c>
      <c r="G2481" s="214">
        <v>3.63</v>
      </c>
      <c r="H2481" s="422">
        <v>3.62</v>
      </c>
      <c r="I2481" s="454">
        <f t="shared" si="223"/>
        <v>-9.9999999999997868E-3</v>
      </c>
      <c r="J2481" s="15" t="s">
        <v>233</v>
      </c>
      <c r="K2481" s="178">
        <f>K2479*K2469</f>
        <v>3030</v>
      </c>
      <c r="L2481" s="192">
        <f>L2479*L2469</f>
        <v>3030</v>
      </c>
      <c r="M2481" s="113">
        <f t="shared" si="227"/>
        <v>1</v>
      </c>
      <c r="N2481" s="64">
        <f t="shared" ref="N2481:N2525" si="228">1+(M2481/360)*(MAX(H2481,B2481)/100)</f>
        <v>1.0001005555555555</v>
      </c>
    </row>
    <row r="2482" spans="1:14">
      <c r="B2482" s="41"/>
      <c r="C2482" s="103">
        <f t="shared" si="224"/>
        <v>46280</v>
      </c>
      <c r="D2482" s="153" t="s">
        <v>20</v>
      </c>
      <c r="E2482" s="167"/>
      <c r="F2482" s="58" t="str">
        <f>VLOOKUP(MOD(C2482,7),'CALENDAR INFO'!$L$2:$M$8,2)</f>
        <v>TUE</v>
      </c>
      <c r="G2482" s="214">
        <v>3.63</v>
      </c>
      <c r="H2482" s="422">
        <v>3.64</v>
      </c>
      <c r="I2482" s="454">
        <f t="shared" si="223"/>
        <v>1.0000000000000231E-2</v>
      </c>
      <c r="M2482" s="113">
        <f t="shared" si="227"/>
        <v>1</v>
      </c>
      <c r="N2482" s="64">
        <f t="shared" si="228"/>
        <v>1.0001011111111111</v>
      </c>
    </row>
    <row r="2483" spans="1:14">
      <c r="B2483" s="41"/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INFO'!$L$2:$M$8,2)</f>
        <v>WED</v>
      </c>
      <c r="G2483" s="214">
        <v>3.63</v>
      </c>
      <c r="H2483" s="422">
        <v>3.62</v>
      </c>
      <c r="I2483" s="454">
        <f t="shared" si="223"/>
        <v>-9.9999999999997868E-3</v>
      </c>
      <c r="J2483" s="15" t="str">
        <f>J2481</f>
        <v>monthly target</v>
      </c>
      <c r="K2483" s="178">
        <f>K2481</f>
        <v>3030</v>
      </c>
      <c r="L2483" s="192">
        <f>L2481</f>
        <v>3030</v>
      </c>
      <c r="M2483" s="113">
        <f t="shared" si="227"/>
        <v>1</v>
      </c>
      <c r="N2483" s="64">
        <f t="shared" si="228"/>
        <v>1.0001005555555555</v>
      </c>
    </row>
    <row r="2484" spans="1:14">
      <c r="A2484" s="303"/>
      <c r="B2484" s="304"/>
      <c r="C2484" s="103">
        <f t="shared" si="224"/>
        <v>46282</v>
      </c>
      <c r="E2484" s="170" t="s">
        <v>18</v>
      </c>
      <c r="F2484" s="58" t="str">
        <f>VLOOKUP(MOD(C2484,7),'CALENDAR INFO'!$L$2:$M$8,2)</f>
        <v>THU</v>
      </c>
      <c r="G2484" s="214">
        <v>3.88</v>
      </c>
      <c r="H2484" s="422">
        <v>3.85</v>
      </c>
      <c r="I2484" s="454">
        <f t="shared" si="223"/>
        <v>-2.9999999999999805E-2</v>
      </c>
      <c r="J2484" s="15" t="s">
        <v>154</v>
      </c>
      <c r="K2484" s="178">
        <f ca="1">SUM(INDIRECT(K2473))</f>
        <v>112.39999999999996</v>
      </c>
      <c r="L2484" s="192">
        <f ca="1">SUM(INDIRECT(L2473))</f>
        <v>112.46</v>
      </c>
      <c r="M2484" s="113">
        <f t="shared" si="227"/>
        <v>1</v>
      </c>
      <c r="N2484" s="64">
        <f t="shared" si="228"/>
        <v>1.0001069444444444</v>
      </c>
    </row>
    <row r="2485" spans="1:14">
      <c r="A2485" s="303"/>
      <c r="B2485" s="304"/>
      <c r="C2485" s="103">
        <f t="shared" si="224"/>
        <v>46283</v>
      </c>
      <c r="E2485" s="170"/>
      <c r="F2485" s="58" t="str">
        <f>VLOOKUP(MOD(C2485,7),'CALENDAR INFO'!$L$2:$M$8,2)</f>
        <v>FRI</v>
      </c>
      <c r="G2485" s="214">
        <v>3.88</v>
      </c>
      <c r="H2485" s="422">
        <v>3.85</v>
      </c>
      <c r="I2485" s="454">
        <f t="shared" si="223"/>
        <v>-2.9999999999999805E-2</v>
      </c>
      <c r="J2485" s="15" t="s">
        <v>236</v>
      </c>
      <c r="K2485" s="397">
        <f ca="1">SUM(INDIRECT(K2475))</f>
        <v>0</v>
      </c>
      <c r="L2485" s="398">
        <f ca="1">SUM(INDIRECT(L2475))</f>
        <v>0</v>
      </c>
      <c r="M2485" s="113">
        <f t="shared" si="227"/>
        <v>3</v>
      </c>
      <c r="N2485" s="64">
        <f t="shared" si="228"/>
        <v>1.0003208333333333</v>
      </c>
    </row>
    <row r="2486" spans="1:14">
      <c r="A2486" s="303"/>
      <c r="B2486" s="304"/>
      <c r="C2486" s="103">
        <f t="shared" si="224"/>
        <v>46284</v>
      </c>
      <c r="E2486" s="170"/>
      <c r="F2486" s="58" t="str">
        <f>VLOOKUP(MOD(C2486,7),'CALENDAR INFO'!$L$2:$M$8,2)</f>
        <v>SAT</v>
      </c>
      <c r="G2486" s="214">
        <v>3.88</v>
      </c>
      <c r="H2486" s="422">
        <v>3.85</v>
      </c>
      <c r="I2486" s="454">
        <f t="shared" si="223"/>
        <v>-2.9999999999999805E-2</v>
      </c>
      <c r="J2486" s="15" t="s">
        <v>237</v>
      </c>
      <c r="K2486" s="182">
        <f ca="1">K2481-K2484-K2485</f>
        <v>2917.6</v>
      </c>
      <c r="L2486" s="201">
        <f ca="1">L2481-L2484-L2485</f>
        <v>2917.54</v>
      </c>
      <c r="M2486" s="113">
        <f t="shared" si="227"/>
        <v>0</v>
      </c>
      <c r="N2486" s="64">
        <f t="shared" si="228"/>
        <v>1</v>
      </c>
    </row>
    <row r="2487" spans="1:14">
      <c r="A2487" s="303"/>
      <c r="B2487" s="304"/>
      <c r="C2487" s="103">
        <f t="shared" si="224"/>
        <v>46285</v>
      </c>
      <c r="E2487" s="170"/>
      <c r="F2487" s="58" t="str">
        <f>VLOOKUP(MOD(C2487,7),'CALENDAR INFO'!$L$2:$M$8,2)</f>
        <v>SUN</v>
      </c>
      <c r="G2487" s="214">
        <v>3.88</v>
      </c>
      <c r="H2487" s="422">
        <v>3.85</v>
      </c>
      <c r="I2487" s="454">
        <f t="shared" si="223"/>
        <v>-2.9999999999999805E-2</v>
      </c>
      <c r="K2487" s="178"/>
      <c r="L2487" s="192"/>
      <c r="M2487" s="113">
        <f t="shared" si="227"/>
        <v>0</v>
      </c>
      <c r="N2487" s="64">
        <f t="shared" si="228"/>
        <v>1</v>
      </c>
    </row>
    <row r="2488" spans="1:14">
      <c r="A2488" s="303"/>
      <c r="B2488" s="304"/>
      <c r="C2488" s="103">
        <f t="shared" si="224"/>
        <v>46286</v>
      </c>
      <c r="E2488" s="170"/>
      <c r="F2488" s="58" t="str">
        <f>VLOOKUP(MOD(C2488,7),'CALENDAR INFO'!$L$2:$M$8,2)</f>
        <v>MON</v>
      </c>
      <c r="G2488" s="214">
        <v>3.88</v>
      </c>
      <c r="H2488" s="422">
        <v>3.85</v>
      </c>
      <c r="I2488" s="454">
        <f t="shared" si="223"/>
        <v>-2.9999999999999805E-2</v>
      </c>
      <c r="J2488" s="15" t="s">
        <v>241</v>
      </c>
      <c r="K2488" s="15">
        <f>K2480</f>
        <v>30</v>
      </c>
      <c r="L2488" s="179">
        <f>L2480</f>
        <v>30</v>
      </c>
      <c r="M2488" s="113">
        <f t="shared" si="227"/>
        <v>1</v>
      </c>
      <c r="N2488" s="64">
        <f t="shared" si="228"/>
        <v>1.0001069444444444</v>
      </c>
    </row>
    <row r="2489" spans="1:14">
      <c r="A2489" s="303"/>
      <c r="B2489" s="304"/>
      <c r="C2489" s="103">
        <f t="shared" si="224"/>
        <v>46287</v>
      </c>
      <c r="E2489" s="170"/>
      <c r="F2489" s="58" t="str">
        <f>VLOOKUP(MOD(C2489,7),'CALENDAR INFO'!$L$2:$M$8,2)</f>
        <v>TUE</v>
      </c>
      <c r="G2489" s="214">
        <v>3.88</v>
      </c>
      <c r="H2489" s="422">
        <v>3.87</v>
      </c>
      <c r="I2489" s="454">
        <f t="shared" si="223"/>
        <v>-9.9999999999997868E-3</v>
      </c>
      <c r="J2489" s="15" t="s">
        <v>193</v>
      </c>
      <c r="K2489" s="15">
        <f ca="1">COUNTA(INDIRECT(K2473))</f>
        <v>30</v>
      </c>
      <c r="L2489" s="179">
        <f ca="1">COUNTA(INDIRECT(L2473))</f>
        <v>30</v>
      </c>
      <c r="M2489" s="113">
        <f t="shared" si="227"/>
        <v>1</v>
      </c>
      <c r="N2489" s="64">
        <f t="shared" si="228"/>
        <v>1.0001074999999999</v>
      </c>
    </row>
    <row r="2490" spans="1:14">
      <c r="A2490" s="303"/>
      <c r="B2490" s="304"/>
      <c r="C2490" s="103">
        <f t="shared" si="224"/>
        <v>46288</v>
      </c>
      <c r="E2490" s="170"/>
      <c r="F2490" s="58" t="str">
        <f>VLOOKUP(MOD(C2490,7),'CALENDAR INFO'!$L$2:$M$8,2)</f>
        <v>WED</v>
      </c>
      <c r="G2490" s="214">
        <v>3.88</v>
      </c>
      <c r="H2490" s="422">
        <v>3.87</v>
      </c>
      <c r="I2490" s="454">
        <f t="shared" si="223"/>
        <v>-9.9999999999997868E-3</v>
      </c>
      <c r="J2490" s="15" t="s">
        <v>242</v>
      </c>
      <c r="K2490" s="399">
        <f ca="1">COUNTA(INDIRECT(K2475))</f>
        <v>0</v>
      </c>
      <c r="L2490" s="400">
        <f ca="1">COUNTA(INDIRECT(L2475))</f>
        <v>0</v>
      </c>
      <c r="M2490" s="113">
        <f t="shared" si="227"/>
        <v>1</v>
      </c>
      <c r="N2490" s="64">
        <f t="shared" si="228"/>
        <v>1.0001074999999999</v>
      </c>
    </row>
    <row r="2491" spans="1:14">
      <c r="A2491" s="303"/>
      <c r="B2491" s="304"/>
      <c r="C2491" s="103">
        <f t="shared" si="224"/>
        <v>46289</v>
      </c>
      <c r="E2491" s="170"/>
      <c r="F2491" s="58" t="str">
        <f>VLOOKUP(MOD(C2491,7),'CALENDAR INFO'!$L$2:$M$8,2)</f>
        <v>THU</v>
      </c>
      <c r="G2491" s="214">
        <v>3.88</v>
      </c>
      <c r="H2491" s="422">
        <v>3.88</v>
      </c>
      <c r="I2491" s="454">
        <f t="shared" si="223"/>
        <v>0</v>
      </c>
      <c r="J2491" s="15" t="s">
        <v>238</v>
      </c>
      <c r="K2491" s="152">
        <f ca="1">K2488-K2489-K2490</f>
        <v>0</v>
      </c>
      <c r="L2491" s="202">
        <f ca="1">L2488-L2489-L2490</f>
        <v>0</v>
      </c>
      <c r="M2491" s="113">
        <f t="shared" si="227"/>
        <v>1</v>
      </c>
      <c r="N2491" s="64">
        <f t="shared" si="228"/>
        <v>1.0001077777777778</v>
      </c>
    </row>
    <row r="2492" spans="1:14">
      <c r="A2492" s="303"/>
      <c r="B2492" s="304"/>
      <c r="C2492" s="103">
        <f t="shared" si="224"/>
        <v>46290</v>
      </c>
      <c r="E2492" s="170"/>
      <c r="F2492" s="58" t="str">
        <f>VLOOKUP(MOD(C2492,7),'CALENDAR INFO'!$L$2:$M$8,2)</f>
        <v>FRI</v>
      </c>
      <c r="G2492" s="214">
        <v>3.88</v>
      </c>
      <c r="H2492" s="422">
        <v>3.9</v>
      </c>
      <c r="I2492" s="454">
        <f t="shared" si="223"/>
        <v>2.0000000000000018E-2</v>
      </c>
      <c r="K2492" s="178"/>
      <c r="L2492" s="192"/>
      <c r="M2492" s="113">
        <f t="shared" si="227"/>
        <v>3</v>
      </c>
      <c r="N2492" s="64">
        <f t="shared" si="228"/>
        <v>1.0003249999999999</v>
      </c>
    </row>
    <row r="2493" spans="1:14">
      <c r="A2493" s="303"/>
      <c r="B2493" s="304"/>
      <c r="C2493" s="103">
        <f t="shared" si="224"/>
        <v>46291</v>
      </c>
      <c r="E2493" s="170"/>
      <c r="F2493" s="58" t="str">
        <f>VLOOKUP(MOD(C2493,7),'CALENDAR INFO'!$L$2:$M$8,2)</f>
        <v>SAT</v>
      </c>
      <c r="G2493" s="214">
        <v>3.88</v>
      </c>
      <c r="H2493" s="422">
        <v>3.9</v>
      </c>
      <c r="I2493" s="454">
        <f t="shared" si="223"/>
        <v>2.0000000000000018E-2</v>
      </c>
      <c r="J2493" s="15" t="s">
        <v>237</v>
      </c>
      <c r="K2493" s="178">
        <f ca="1">K2486</f>
        <v>2917.6</v>
      </c>
      <c r="L2493" s="192">
        <f ca="1">L2486</f>
        <v>2917.54</v>
      </c>
      <c r="M2493" s="113">
        <f t="shared" si="227"/>
        <v>0</v>
      </c>
      <c r="N2493" s="64">
        <f t="shared" si="228"/>
        <v>1</v>
      </c>
    </row>
    <row r="2494" spans="1:14">
      <c r="A2494" s="303"/>
      <c r="B2494" s="304"/>
      <c r="C2494" s="103">
        <f t="shared" si="224"/>
        <v>46292</v>
      </c>
      <c r="E2494" s="170"/>
      <c r="F2494" s="58" t="str">
        <f>VLOOKUP(MOD(C2494,7),'CALENDAR INFO'!$L$2:$M$8,2)</f>
        <v>SUN</v>
      </c>
      <c r="G2494" s="214">
        <v>3.88</v>
      </c>
      <c r="H2494" s="422">
        <v>3.9</v>
      </c>
      <c r="I2494" s="454">
        <f t="shared" si="223"/>
        <v>2.0000000000000018E-2</v>
      </c>
      <c r="J2494" s="15" t="s">
        <v>238</v>
      </c>
      <c r="K2494" s="221">
        <f ca="1">K2491</f>
        <v>0</v>
      </c>
      <c r="L2494" s="223">
        <f ca="1">L2491</f>
        <v>0</v>
      </c>
      <c r="M2494" s="113">
        <f t="shared" si="227"/>
        <v>0</v>
      </c>
      <c r="N2494" s="64">
        <f t="shared" si="228"/>
        <v>1</v>
      </c>
    </row>
    <row r="2495" spans="1:14">
      <c r="A2495" s="303"/>
      <c r="B2495" s="304"/>
      <c r="C2495" s="103">
        <f t="shared" si="224"/>
        <v>46293</v>
      </c>
      <c r="E2495" s="170"/>
      <c r="F2495" s="58" t="str">
        <f>VLOOKUP(MOD(C2495,7),'CALENDAR INFO'!$L$2:$M$8,2)</f>
        <v>MON</v>
      </c>
      <c r="G2495" s="214">
        <v>3.88</v>
      </c>
      <c r="H2495" s="422">
        <v>3.9</v>
      </c>
      <c r="I2495" s="454">
        <f t="shared" si="223"/>
        <v>2.0000000000000018E-2</v>
      </c>
      <c r="J2495" s="15" t="s">
        <v>239</v>
      </c>
      <c r="K2495" s="178" t="e">
        <f ca="1">K2493/K2494</f>
        <v>#DIV/0!</v>
      </c>
      <c r="L2495" s="192" t="e">
        <f ca="1">L2493/L2494</f>
        <v>#DIV/0!</v>
      </c>
      <c r="M2495" s="113">
        <f t="shared" si="227"/>
        <v>1</v>
      </c>
      <c r="N2495" s="64">
        <f t="shared" si="228"/>
        <v>1.0001083333333334</v>
      </c>
    </row>
    <row r="2496" spans="1:14">
      <c r="A2496" s="303"/>
      <c r="B2496" s="304"/>
      <c r="C2496" s="103">
        <f t="shared" si="224"/>
        <v>46294</v>
      </c>
      <c r="E2496" s="170"/>
      <c r="F2496" s="58" t="str">
        <f>VLOOKUP(MOD(C2496,7),'CALENDAR INFO'!$L$2:$M$8,2)</f>
        <v>TUE</v>
      </c>
      <c r="G2496" s="214">
        <v>3.88</v>
      </c>
      <c r="H2496" s="422">
        <v>3.88</v>
      </c>
      <c r="I2496" s="454">
        <f t="shared" si="223"/>
        <v>0</v>
      </c>
      <c r="M2496" s="113">
        <f t="shared" si="227"/>
        <v>1</v>
      </c>
      <c r="N2496" s="64">
        <f t="shared" si="228"/>
        <v>1.0001077777777778</v>
      </c>
    </row>
    <row r="2497" spans="1:14" ht="15.75" thickBot="1">
      <c r="A2497" s="402"/>
      <c r="B2497" s="403"/>
      <c r="C2497" s="104">
        <f t="shared" si="224"/>
        <v>46295</v>
      </c>
      <c r="D2497" s="112"/>
      <c r="E2497" s="101" t="s">
        <v>19</v>
      </c>
      <c r="F2497" s="71" t="str">
        <f>VLOOKUP(MOD(C2497,7),'CALENDAR INFO'!$L$2:$M$8,2)</f>
        <v>WED</v>
      </c>
      <c r="G2497" s="215">
        <v>3.88</v>
      </c>
      <c r="H2497" s="423">
        <v>3.9</v>
      </c>
      <c r="I2497" s="455">
        <f t="shared" si="223"/>
        <v>2.0000000000000018E-2</v>
      </c>
      <c r="J2497" s="347"/>
      <c r="K2497" s="347"/>
      <c r="L2497" s="348"/>
      <c r="M2497" s="114">
        <f t="shared" si="227"/>
        <v>1</v>
      </c>
      <c r="N2497" s="292">
        <f t="shared" si="228"/>
        <v>1.0001083333333334</v>
      </c>
    </row>
    <row r="2498" spans="1:14">
      <c r="A2498" s="39">
        <f t="shared" ref="A2498:A2525" ca="1" si="229">K$2525</f>
        <v>3.8775000000000057</v>
      </c>
      <c r="B2498" s="41">
        <f t="shared" ref="B2498:B2525" ca="1" si="230">L$2525</f>
        <v>3.884196428571427</v>
      </c>
      <c r="C2498" s="103">
        <f t="shared" si="224"/>
        <v>46296</v>
      </c>
      <c r="E2498" s="167" t="s">
        <v>18</v>
      </c>
      <c r="F2498" s="58" t="str">
        <f>VLOOKUP(MOD(C2498,7),'CALENDAR INFO'!$L$2:$M$8,2)</f>
        <v>THU</v>
      </c>
      <c r="I2498" s="454">
        <f t="shared" si="223"/>
        <v>0</v>
      </c>
      <c r="J2498" s="15" t="s">
        <v>150</v>
      </c>
      <c r="K2498" s="374">
        <f>ROW()</f>
        <v>2498</v>
      </c>
      <c r="L2498" s="60">
        <f>K2498</f>
        <v>2498</v>
      </c>
      <c r="M2498" s="113">
        <f t="shared" si="227"/>
        <v>1</v>
      </c>
      <c r="N2498" s="64">
        <f t="shared" ca="1" si="228"/>
        <v>1.0001078943452382</v>
      </c>
    </row>
    <row r="2499" spans="1:14">
      <c r="A2499" s="39">
        <f t="shared" ca="1" si="229"/>
        <v>3.8775000000000057</v>
      </c>
      <c r="B2499" s="41">
        <f t="shared" ca="1" si="230"/>
        <v>3.884196428571427</v>
      </c>
      <c r="C2499" s="103">
        <f t="shared" si="224"/>
        <v>46297</v>
      </c>
      <c r="E2499" s="167"/>
      <c r="F2499" s="58" t="str">
        <f>VLOOKUP(MOD(C2499,7),'CALENDAR INFO'!$L$2:$M$8,2)</f>
        <v>FRI</v>
      </c>
      <c r="I2499" s="454">
        <f t="shared" ref="I2499:I2562" si="231">H2499-G2499</f>
        <v>0</v>
      </c>
      <c r="J2499" s="15" t="s">
        <v>117</v>
      </c>
      <c r="K2499" s="15">
        <f>VLOOKUP(MONTH($C2498),'CALENDAR INFO'!$O$2:$P$13,2)</f>
        <v>31</v>
      </c>
      <c r="L2499" s="15">
        <f>K2499</f>
        <v>31</v>
      </c>
      <c r="M2499" s="113">
        <f t="shared" si="227"/>
        <v>3</v>
      </c>
      <c r="N2499" s="64">
        <f t="shared" ca="1" si="228"/>
        <v>1.0003236830357143</v>
      </c>
    </row>
    <row r="2500" spans="1:14">
      <c r="A2500" s="39">
        <f t="shared" ca="1" si="229"/>
        <v>3.8775000000000057</v>
      </c>
      <c r="B2500" s="41">
        <f t="shared" ca="1" si="230"/>
        <v>3.884196428571427</v>
      </c>
      <c r="C2500" s="103">
        <f t="shared" ref="C2500:C2563" si="232">C2499+1</f>
        <v>46298</v>
      </c>
      <c r="E2500" s="167"/>
      <c r="F2500" s="58" t="str">
        <f>VLOOKUP(MOD(C2500,7),'CALENDAR INFO'!$L$2:$M$8,2)</f>
        <v>SAT</v>
      </c>
      <c r="I2500" s="454">
        <f t="shared" si="231"/>
        <v>0</v>
      </c>
      <c r="J2500" s="15" t="s">
        <v>151</v>
      </c>
      <c r="K2500" s="15">
        <f>K2498+K2499-1</f>
        <v>2528</v>
      </c>
      <c r="L2500" s="15">
        <f>K2500</f>
        <v>2528</v>
      </c>
      <c r="M2500" s="113">
        <f t="shared" si="227"/>
        <v>0</v>
      </c>
      <c r="N2500" s="64">
        <f t="shared" ca="1" si="228"/>
        <v>1</v>
      </c>
    </row>
    <row r="2501" spans="1:14">
      <c r="A2501" s="39">
        <f t="shared" ca="1" si="229"/>
        <v>3.8775000000000057</v>
      </c>
      <c r="B2501" s="41">
        <f t="shared" ca="1" si="230"/>
        <v>3.884196428571427</v>
      </c>
      <c r="C2501" s="103">
        <f t="shared" si="232"/>
        <v>46299</v>
      </c>
      <c r="E2501" s="167"/>
      <c r="F2501" s="58" t="str">
        <f>VLOOKUP(MOD(C2501,7),'CALENDAR INFO'!$L$2:$M$8,2)</f>
        <v>SUN</v>
      </c>
      <c r="I2501" s="454">
        <f t="shared" si="231"/>
        <v>0</v>
      </c>
      <c r="J2501" s="15" t="s">
        <v>243</v>
      </c>
      <c r="K2501" s="310">
        <f>ROW(D2525)</f>
        <v>2525</v>
      </c>
      <c r="L2501" s="15">
        <f>K2501</f>
        <v>2525</v>
      </c>
      <c r="M2501" s="113">
        <f t="shared" si="227"/>
        <v>0</v>
      </c>
      <c r="N2501" s="64">
        <f t="shared" ca="1" si="228"/>
        <v>1</v>
      </c>
    </row>
    <row r="2502" spans="1:14">
      <c r="A2502" s="39">
        <f t="shared" ca="1" si="229"/>
        <v>3.8775000000000057</v>
      </c>
      <c r="B2502" s="41">
        <f t="shared" ca="1" si="230"/>
        <v>3.884196428571427</v>
      </c>
      <c r="C2502" s="103">
        <f t="shared" si="232"/>
        <v>46300</v>
      </c>
      <c r="E2502" s="167"/>
      <c r="F2502" s="58" t="str">
        <f>VLOOKUP(MOD(C2502,7),'CALENDAR INFO'!$L$2:$M$8,2)</f>
        <v>MON</v>
      </c>
      <c r="I2502" s="454">
        <f t="shared" si="231"/>
        <v>0</v>
      </c>
      <c r="K2502" s="310"/>
      <c r="L2502" s="15"/>
      <c r="M2502" s="113">
        <f t="shared" si="227"/>
        <v>1</v>
      </c>
      <c r="N2502" s="64">
        <f t="shared" ca="1" si="228"/>
        <v>1.0001078943452382</v>
      </c>
    </row>
    <row r="2503" spans="1:14">
      <c r="A2503" s="39">
        <f t="shared" ca="1" si="229"/>
        <v>3.8775000000000057</v>
      </c>
      <c r="B2503" s="41">
        <f t="shared" ca="1" si="230"/>
        <v>3.884196428571427</v>
      </c>
      <c r="C2503" s="103">
        <f t="shared" si="232"/>
        <v>46301</v>
      </c>
      <c r="E2503" s="167"/>
      <c r="F2503" s="58" t="str">
        <f>VLOOKUP(MOD(C2503,7),'CALENDAR INFO'!$L$2:$M$8,2)</f>
        <v>TUE</v>
      </c>
      <c r="I2503" s="454">
        <f t="shared" si="231"/>
        <v>0</v>
      </c>
      <c r="J2503" s="15" t="s">
        <v>152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27"/>
        <v>1</v>
      </c>
      <c r="N2503" s="64">
        <f t="shared" ca="1" si="228"/>
        <v>1.0001078943452382</v>
      </c>
    </row>
    <row r="2504" spans="1:14">
      <c r="A2504" s="39">
        <f t="shared" ca="1" si="229"/>
        <v>3.8775000000000057</v>
      </c>
      <c r="B2504" s="41">
        <f t="shared" ca="1" si="230"/>
        <v>3.884196428571427</v>
      </c>
      <c r="C2504" s="103">
        <f t="shared" si="232"/>
        <v>46302</v>
      </c>
      <c r="E2504" s="167"/>
      <c r="F2504" s="58" t="str">
        <f>VLOOKUP(MOD(C2504,7),'CALENDAR INFO'!$L$2:$M$8,2)</f>
        <v>WED</v>
      </c>
      <c r="I2504" s="454">
        <f t="shared" si="231"/>
        <v>0</v>
      </c>
      <c r="J2504" s="176" t="s">
        <v>235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27"/>
        <v>1</v>
      </c>
      <c r="N2504" s="64">
        <f t="shared" ca="1" si="228"/>
        <v>1.0001078943452382</v>
      </c>
    </row>
    <row r="2505" spans="1:14">
      <c r="A2505" s="39">
        <f t="shared" ca="1" si="229"/>
        <v>3.8775000000000057</v>
      </c>
      <c r="B2505" s="41">
        <f t="shared" ca="1" si="230"/>
        <v>3.884196428571427</v>
      </c>
      <c r="C2505" s="103">
        <f t="shared" si="232"/>
        <v>46303</v>
      </c>
      <c r="E2505" s="167"/>
      <c r="F2505" s="58" t="str">
        <f>VLOOKUP(MOD(C2505,7),'CALENDAR INFO'!$L$2:$M$8,2)</f>
        <v>THU</v>
      </c>
      <c r="I2505" s="454">
        <f t="shared" si="231"/>
        <v>0</v>
      </c>
      <c r="J2505" s="176" t="s">
        <v>234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27"/>
        <v>1</v>
      </c>
      <c r="N2505" s="64">
        <f t="shared" ca="1" si="228"/>
        <v>1.0001078943452382</v>
      </c>
    </row>
    <row r="2506" spans="1:14">
      <c r="A2506" s="39">
        <f t="shared" ca="1" si="229"/>
        <v>3.8775000000000057</v>
      </c>
      <c r="B2506" s="41">
        <f t="shared" ca="1" si="230"/>
        <v>3.884196428571427</v>
      </c>
      <c r="C2506" s="103">
        <f t="shared" si="232"/>
        <v>46304</v>
      </c>
      <c r="E2506" s="167"/>
      <c r="F2506" s="58" t="str">
        <f>VLOOKUP(MOD(C2506,7),'CALENDAR INFO'!$L$2:$M$8,2)</f>
        <v>FRI</v>
      </c>
      <c r="I2506" s="454">
        <f t="shared" si="231"/>
        <v>0</v>
      </c>
      <c r="M2506" s="117">
        <v>4</v>
      </c>
      <c r="N2506" s="64">
        <f t="shared" ca="1" si="228"/>
        <v>1.0004315773809525</v>
      </c>
    </row>
    <row r="2507" spans="1:14">
      <c r="A2507" s="39">
        <f t="shared" ca="1" si="229"/>
        <v>3.8775000000000057</v>
      </c>
      <c r="B2507" s="41">
        <f t="shared" ca="1" si="230"/>
        <v>3.884196428571427</v>
      </c>
      <c r="C2507" s="103">
        <f t="shared" si="232"/>
        <v>46305</v>
      </c>
      <c r="E2507" s="167"/>
      <c r="F2507" s="58" t="str">
        <f>VLOOKUP(MOD(C2507,7),'CALENDAR INFO'!$L$2:$M$8,2)</f>
        <v>SAT</v>
      </c>
      <c r="I2507" s="454">
        <f t="shared" si="231"/>
        <v>0</v>
      </c>
      <c r="J2507" s="15" t="s">
        <v>240</v>
      </c>
      <c r="K2507" s="186">
        <f>A2529+G2529</f>
        <v>3.9549999999999983</v>
      </c>
      <c r="L2507" s="194">
        <f>B2529+H2529</f>
        <v>3.9699999999999989</v>
      </c>
      <c r="M2507" s="113">
        <f>IF(MOD(C2507,7)&lt;2,0,IF(MOD(C2507,7)=6,3,1))</f>
        <v>0</v>
      </c>
      <c r="N2507" s="64">
        <f t="shared" ca="1" si="228"/>
        <v>1</v>
      </c>
    </row>
    <row r="2508" spans="1:14">
      <c r="A2508" s="39">
        <f t="shared" ca="1" si="229"/>
        <v>3.8775000000000057</v>
      </c>
      <c r="B2508" s="41">
        <f t="shared" ca="1" si="230"/>
        <v>3.884196428571427</v>
      </c>
      <c r="C2508" s="103">
        <f t="shared" si="232"/>
        <v>46306</v>
      </c>
      <c r="E2508" s="167"/>
      <c r="F2508" s="58" t="str">
        <f>VLOOKUP(MOD(C2508,7),'CALENDAR INFO'!$L$2:$M$8,2)</f>
        <v>SUN</v>
      </c>
      <c r="I2508" s="454">
        <f t="shared" si="231"/>
        <v>0</v>
      </c>
      <c r="K2508" s="178"/>
      <c r="L2508" s="192"/>
      <c r="M2508" s="113">
        <f>IF(MOD(C2508,7)&lt;2,0,IF(MOD(C2508,7)=6,3,1))</f>
        <v>0</v>
      </c>
      <c r="N2508" s="64">
        <f t="shared" ca="1" si="228"/>
        <v>1</v>
      </c>
    </row>
    <row r="2509" spans="1:14">
      <c r="A2509" s="39">
        <f t="shared" ca="1" si="229"/>
        <v>3.8775000000000057</v>
      </c>
      <c r="B2509" s="41">
        <f t="shared" ca="1" si="230"/>
        <v>3.884196428571427</v>
      </c>
      <c r="C2509" s="103">
        <f t="shared" si="232"/>
        <v>46307</v>
      </c>
      <c r="D2509" s="173" t="s">
        <v>107</v>
      </c>
      <c r="E2509" s="167"/>
      <c r="F2509" s="58" t="str">
        <f>VLOOKUP(MOD(C2509,7),'CALENDAR INFO'!$L$2:$M$8,2)</f>
        <v>MON</v>
      </c>
      <c r="I2509" s="454">
        <f t="shared" si="231"/>
        <v>0</v>
      </c>
      <c r="J2509" s="15" t="s">
        <v>196</v>
      </c>
      <c r="K2509" s="180">
        <f>OUTPUT!C6</f>
        <v>3.8850000000000051</v>
      </c>
      <c r="L2509" s="180">
        <f>OUTPUT!F6</f>
        <v>3.8924999999999983</v>
      </c>
      <c r="M2509" s="117">
        <v>0</v>
      </c>
      <c r="N2509" s="64">
        <f t="shared" ca="1" si="228"/>
        <v>1</v>
      </c>
    </row>
    <row r="2510" spans="1:14">
      <c r="A2510" s="39">
        <f t="shared" ca="1" si="229"/>
        <v>3.8775000000000057</v>
      </c>
      <c r="B2510" s="41">
        <f t="shared" ca="1" si="230"/>
        <v>3.884196428571427</v>
      </c>
      <c r="C2510" s="103">
        <f t="shared" si="232"/>
        <v>46308</v>
      </c>
      <c r="E2510" s="167"/>
      <c r="F2510" s="58" t="str">
        <f>VLOOKUP(MOD(C2510,7),'CALENDAR INFO'!$L$2:$M$8,2)</f>
        <v>TUE</v>
      </c>
      <c r="I2510" s="454">
        <f t="shared" si="231"/>
        <v>0</v>
      </c>
      <c r="J2510" s="15" t="s">
        <v>117</v>
      </c>
      <c r="K2510" s="221">
        <f>VLOOKUP(MONTH($C2504),'CALENDAR INFO'!$O$2:$P$13,2)</f>
        <v>31</v>
      </c>
      <c r="L2510" s="221">
        <f>K2510</f>
        <v>31</v>
      </c>
      <c r="M2510" s="113">
        <f t="shared" ref="M2510:M2537" si="233">IF(MOD(C2510,7)&lt;2,0,IF(MOD(C2510,7)=6,3,1))</f>
        <v>1</v>
      </c>
      <c r="N2510" s="64">
        <f t="shared" ca="1" si="228"/>
        <v>1.0001078943452382</v>
      </c>
    </row>
    <row r="2511" spans="1:14">
      <c r="A2511" s="39">
        <f t="shared" ca="1" si="229"/>
        <v>3.8775000000000057</v>
      </c>
      <c r="B2511" s="41">
        <f t="shared" ca="1" si="230"/>
        <v>3.884196428571427</v>
      </c>
      <c r="C2511" s="103">
        <f t="shared" si="232"/>
        <v>46309</v>
      </c>
      <c r="E2511" s="167" t="s">
        <v>19</v>
      </c>
      <c r="F2511" s="58" t="str">
        <f>VLOOKUP(MOD(C2511,7),'CALENDAR INFO'!$L$2:$M$8,2)</f>
        <v>WED</v>
      </c>
      <c r="I2511" s="454">
        <f t="shared" si="231"/>
        <v>0</v>
      </c>
      <c r="J2511" s="15" t="s">
        <v>233</v>
      </c>
      <c r="K2511" s="178">
        <f>K2509*K2499</f>
        <v>120.43500000000016</v>
      </c>
      <c r="L2511" s="178">
        <f>L2509*L2499</f>
        <v>120.66749999999995</v>
      </c>
      <c r="M2511" s="113">
        <f t="shared" si="233"/>
        <v>1</v>
      </c>
      <c r="N2511" s="64">
        <f t="shared" ca="1" si="228"/>
        <v>1.0001078943452382</v>
      </c>
    </row>
    <row r="2512" spans="1:14">
      <c r="A2512" s="39">
        <f t="shared" ca="1" si="229"/>
        <v>3.8775000000000057</v>
      </c>
      <c r="B2512" s="41">
        <f t="shared" ca="1" si="230"/>
        <v>3.884196428571427</v>
      </c>
      <c r="C2512" s="103">
        <f t="shared" si="232"/>
        <v>46310</v>
      </c>
      <c r="E2512" s="170" t="s">
        <v>18</v>
      </c>
      <c r="F2512" s="58" t="str">
        <f>VLOOKUP(MOD(C2512,7),'CALENDAR INFO'!$L$2:$M$8,2)</f>
        <v>THU</v>
      </c>
      <c r="I2512" s="454">
        <f t="shared" si="231"/>
        <v>0</v>
      </c>
      <c r="K2512" s="178"/>
      <c r="L2512" s="192"/>
      <c r="M2512" s="113">
        <f t="shared" si="233"/>
        <v>1</v>
      </c>
      <c r="N2512" s="64">
        <f t="shared" ca="1" si="228"/>
        <v>1.0001078943452382</v>
      </c>
    </row>
    <row r="2513" spans="1:14">
      <c r="A2513" s="39">
        <f t="shared" ca="1" si="229"/>
        <v>3.8775000000000057</v>
      </c>
      <c r="B2513" s="41">
        <f t="shared" ca="1" si="230"/>
        <v>3.884196428571427</v>
      </c>
      <c r="C2513" s="103">
        <f t="shared" si="232"/>
        <v>46311</v>
      </c>
      <c r="E2513" s="170"/>
      <c r="F2513" s="58" t="str">
        <f>VLOOKUP(MOD(C2513,7),'CALENDAR INFO'!$L$2:$M$8,2)</f>
        <v>FRI</v>
      </c>
      <c r="I2513" s="454">
        <f t="shared" si="231"/>
        <v>0</v>
      </c>
      <c r="J2513" s="15" t="str">
        <f>J2511</f>
        <v>monthly target</v>
      </c>
      <c r="K2513" s="178">
        <f>K2511</f>
        <v>120.43500000000016</v>
      </c>
      <c r="L2513" s="192">
        <f>L2511</f>
        <v>120.66749999999995</v>
      </c>
      <c r="M2513" s="113">
        <f t="shared" si="233"/>
        <v>3</v>
      </c>
      <c r="N2513" s="64">
        <f t="shared" ca="1" si="228"/>
        <v>1.0003236830357143</v>
      </c>
    </row>
    <row r="2514" spans="1:14">
      <c r="A2514" s="39">
        <f t="shared" ca="1" si="229"/>
        <v>3.8775000000000057</v>
      </c>
      <c r="B2514" s="41">
        <f t="shared" ca="1" si="230"/>
        <v>3.884196428571427</v>
      </c>
      <c r="C2514" s="103">
        <f t="shared" si="232"/>
        <v>46312</v>
      </c>
      <c r="E2514" s="170"/>
      <c r="F2514" s="58" t="str">
        <f>VLOOKUP(MOD(C2514,7),'CALENDAR INFO'!$L$2:$M$8,2)</f>
        <v>SAT</v>
      </c>
      <c r="I2514" s="454">
        <f t="shared" si="231"/>
        <v>0</v>
      </c>
      <c r="J2514" s="15" t="s">
        <v>154</v>
      </c>
      <c r="K2514" s="178">
        <f ca="1">SUM(INDIRECT(K2503))</f>
        <v>0</v>
      </c>
      <c r="L2514" s="192">
        <f ca="1">SUM(INDIRECT(L2503))</f>
        <v>0</v>
      </c>
      <c r="M2514" s="113">
        <f t="shared" si="233"/>
        <v>0</v>
      </c>
      <c r="N2514" s="64">
        <f t="shared" ca="1" si="228"/>
        <v>1</v>
      </c>
    </row>
    <row r="2515" spans="1:14">
      <c r="A2515" s="39">
        <f t="shared" ca="1" si="229"/>
        <v>3.8775000000000057</v>
      </c>
      <c r="B2515" s="41">
        <f t="shared" ca="1" si="230"/>
        <v>3.884196428571427</v>
      </c>
      <c r="C2515" s="103">
        <f t="shared" si="232"/>
        <v>46313</v>
      </c>
      <c r="E2515" s="170"/>
      <c r="F2515" s="58" t="str">
        <f>VLOOKUP(MOD(C2515,7),'CALENDAR INFO'!$L$2:$M$8,2)</f>
        <v>SUN</v>
      </c>
      <c r="I2515" s="454">
        <f t="shared" si="231"/>
        <v>0</v>
      </c>
      <c r="J2515" s="15" t="s">
        <v>236</v>
      </c>
      <c r="K2515" s="397">
        <f ca="1">SUM(INDIRECT(K2505))</f>
        <v>11.864999999999995</v>
      </c>
      <c r="L2515" s="398">
        <f ca="1">SUM(INDIRECT(L2505))</f>
        <v>11.909999999999997</v>
      </c>
      <c r="M2515" s="113">
        <f t="shared" si="233"/>
        <v>0</v>
      </c>
      <c r="N2515" s="64">
        <f t="shared" ca="1" si="228"/>
        <v>1</v>
      </c>
    </row>
    <row r="2516" spans="1:14">
      <c r="A2516" s="39">
        <f t="shared" ca="1" si="229"/>
        <v>3.8775000000000057</v>
      </c>
      <c r="B2516" s="41">
        <f t="shared" ca="1" si="230"/>
        <v>3.884196428571427</v>
      </c>
      <c r="C2516" s="103">
        <f t="shared" si="232"/>
        <v>46314</v>
      </c>
      <c r="E2516" s="170"/>
      <c r="F2516" s="58" t="str">
        <f>VLOOKUP(MOD(C2516,7),'CALENDAR INFO'!$L$2:$M$8,2)</f>
        <v>MON</v>
      </c>
      <c r="I2516" s="454">
        <f t="shared" si="231"/>
        <v>0</v>
      </c>
      <c r="J2516" s="15" t="s">
        <v>237</v>
      </c>
      <c r="K2516" s="182">
        <f ca="1">K2511-K2514-K2515</f>
        <v>108.57000000000016</v>
      </c>
      <c r="L2516" s="201">
        <f ca="1">L2511-L2514-L2515</f>
        <v>108.75749999999995</v>
      </c>
      <c r="M2516" s="113">
        <f t="shared" si="233"/>
        <v>1</v>
      </c>
      <c r="N2516" s="64">
        <f t="shared" ca="1" si="228"/>
        <v>1.0001078943452382</v>
      </c>
    </row>
    <row r="2517" spans="1:14">
      <c r="A2517" s="39">
        <f t="shared" ca="1" si="229"/>
        <v>3.8775000000000057</v>
      </c>
      <c r="B2517" s="41">
        <f t="shared" ca="1" si="230"/>
        <v>3.884196428571427</v>
      </c>
      <c r="C2517" s="103">
        <f t="shared" si="232"/>
        <v>46315</v>
      </c>
      <c r="E2517" s="170"/>
      <c r="F2517" s="58" t="str">
        <f>VLOOKUP(MOD(C2517,7),'CALENDAR INFO'!$L$2:$M$8,2)</f>
        <v>TUE</v>
      </c>
      <c r="I2517" s="454">
        <f t="shared" si="231"/>
        <v>0</v>
      </c>
      <c r="M2517" s="113">
        <f t="shared" si="233"/>
        <v>1</v>
      </c>
      <c r="N2517" s="64">
        <f t="shared" ca="1" si="228"/>
        <v>1.0001078943452382</v>
      </c>
    </row>
    <row r="2518" spans="1:14">
      <c r="A2518" s="39">
        <f t="shared" ca="1" si="229"/>
        <v>3.8775000000000057</v>
      </c>
      <c r="B2518" s="41">
        <f t="shared" ca="1" si="230"/>
        <v>3.884196428571427</v>
      </c>
      <c r="C2518" s="103">
        <f t="shared" si="232"/>
        <v>46316</v>
      </c>
      <c r="E2518" s="170"/>
      <c r="F2518" s="58" t="str">
        <f>VLOOKUP(MOD(C2518,7),'CALENDAR INFO'!$L$2:$M$8,2)</f>
        <v>WED</v>
      </c>
      <c r="I2518" s="454">
        <f t="shared" si="231"/>
        <v>0</v>
      </c>
      <c r="J2518" s="15" t="s">
        <v>241</v>
      </c>
      <c r="K2518" s="15">
        <f>K2510</f>
        <v>31</v>
      </c>
      <c r="L2518" s="179">
        <f>L2510</f>
        <v>31</v>
      </c>
      <c r="M2518" s="113">
        <f t="shared" si="233"/>
        <v>1</v>
      </c>
      <c r="N2518" s="64">
        <f t="shared" ca="1" si="228"/>
        <v>1.0001078943452382</v>
      </c>
    </row>
    <row r="2519" spans="1:14">
      <c r="A2519" s="39">
        <f t="shared" ca="1" si="229"/>
        <v>3.8775000000000057</v>
      </c>
      <c r="B2519" s="41">
        <f t="shared" ca="1" si="230"/>
        <v>3.884196428571427</v>
      </c>
      <c r="C2519" s="103">
        <f t="shared" si="232"/>
        <v>46317</v>
      </c>
      <c r="E2519" s="170"/>
      <c r="F2519" s="58" t="str">
        <f>VLOOKUP(MOD(C2519,7),'CALENDAR INFO'!$L$2:$M$8,2)</f>
        <v>THU</v>
      </c>
      <c r="I2519" s="454">
        <f t="shared" si="231"/>
        <v>0</v>
      </c>
      <c r="J2519" s="15" t="s">
        <v>193</v>
      </c>
      <c r="K2519" s="15">
        <f ca="1">COUNTA(INDIRECT(K2503))</f>
        <v>0</v>
      </c>
      <c r="L2519" s="179">
        <f ca="1">COUNTA(INDIRECT(L2503))</f>
        <v>0</v>
      </c>
      <c r="M2519" s="113">
        <f t="shared" si="233"/>
        <v>1</v>
      </c>
      <c r="N2519" s="64">
        <f t="shared" ca="1" si="228"/>
        <v>1.0001078943452382</v>
      </c>
    </row>
    <row r="2520" spans="1:14">
      <c r="A2520" s="39">
        <f t="shared" ca="1" si="229"/>
        <v>3.8775000000000057</v>
      </c>
      <c r="B2520" s="41">
        <f t="shared" ca="1" si="230"/>
        <v>3.884196428571427</v>
      </c>
      <c r="C2520" s="103">
        <f t="shared" si="232"/>
        <v>46318</v>
      </c>
      <c r="E2520" s="170"/>
      <c r="F2520" s="58" t="str">
        <f>VLOOKUP(MOD(C2520,7),'CALENDAR INFO'!$L$2:$M$8,2)</f>
        <v>FRI</v>
      </c>
      <c r="I2520" s="454">
        <f t="shared" si="231"/>
        <v>0</v>
      </c>
      <c r="J2520" s="15" t="s">
        <v>242</v>
      </c>
      <c r="K2520" s="399">
        <f ca="1">COUNTA(INDIRECT(K2505))</f>
        <v>3</v>
      </c>
      <c r="L2520" s="400">
        <f ca="1">COUNTA(INDIRECT(L2505))</f>
        <v>3</v>
      </c>
      <c r="M2520" s="113">
        <f t="shared" si="233"/>
        <v>3</v>
      </c>
      <c r="N2520" s="64">
        <f t="shared" ca="1" si="228"/>
        <v>1.0003236830357143</v>
      </c>
    </row>
    <row r="2521" spans="1:14">
      <c r="A2521" s="39">
        <f t="shared" ca="1" si="229"/>
        <v>3.8775000000000057</v>
      </c>
      <c r="B2521" s="41">
        <f t="shared" ca="1" si="230"/>
        <v>3.884196428571427</v>
      </c>
      <c r="C2521" s="103">
        <f t="shared" si="232"/>
        <v>46319</v>
      </c>
      <c r="E2521" s="170"/>
      <c r="F2521" s="58" t="str">
        <f>VLOOKUP(MOD(C2521,7),'CALENDAR INFO'!$L$2:$M$8,2)</f>
        <v>SAT</v>
      </c>
      <c r="I2521" s="454">
        <f t="shared" si="231"/>
        <v>0</v>
      </c>
      <c r="J2521" s="15" t="s">
        <v>238</v>
      </c>
      <c r="K2521" s="152">
        <f ca="1">K2518-K2519-K2520</f>
        <v>28</v>
      </c>
      <c r="L2521" s="202">
        <f ca="1">L2518-L2519-L2520</f>
        <v>28</v>
      </c>
      <c r="M2521" s="113">
        <f t="shared" si="233"/>
        <v>0</v>
      </c>
      <c r="N2521" s="64">
        <f t="shared" ca="1" si="228"/>
        <v>1</v>
      </c>
    </row>
    <row r="2522" spans="1:14">
      <c r="A2522" s="39">
        <f t="shared" ca="1" si="229"/>
        <v>3.8775000000000057</v>
      </c>
      <c r="B2522" s="41">
        <f t="shared" ca="1" si="230"/>
        <v>3.884196428571427</v>
      </c>
      <c r="C2522" s="103">
        <f t="shared" si="232"/>
        <v>46320</v>
      </c>
      <c r="E2522" s="170"/>
      <c r="F2522" s="58" t="str">
        <f>VLOOKUP(MOD(C2522,7),'CALENDAR INFO'!$L$2:$M$8,2)</f>
        <v>SUN</v>
      </c>
      <c r="I2522" s="454">
        <f t="shared" si="231"/>
        <v>0</v>
      </c>
      <c r="K2522" s="178"/>
      <c r="L2522" s="192"/>
      <c r="M2522" s="113">
        <f t="shared" si="233"/>
        <v>0</v>
      </c>
      <c r="N2522" s="64">
        <f t="shared" ca="1" si="228"/>
        <v>1</v>
      </c>
    </row>
    <row r="2523" spans="1:14">
      <c r="A2523" s="39">
        <f t="shared" ca="1" si="229"/>
        <v>3.8775000000000057</v>
      </c>
      <c r="B2523" s="41">
        <f t="shared" ca="1" si="230"/>
        <v>3.884196428571427</v>
      </c>
      <c r="C2523" s="103">
        <f t="shared" si="232"/>
        <v>46321</v>
      </c>
      <c r="E2523" s="170"/>
      <c r="F2523" s="58" t="str">
        <f>VLOOKUP(MOD(C2523,7),'CALENDAR INFO'!$L$2:$M$8,2)</f>
        <v>MON</v>
      </c>
      <c r="I2523" s="454">
        <f t="shared" si="231"/>
        <v>0</v>
      </c>
      <c r="J2523" s="15" t="s">
        <v>237</v>
      </c>
      <c r="K2523" s="178">
        <f ca="1">K2516</f>
        <v>108.57000000000016</v>
      </c>
      <c r="L2523" s="192">
        <f ca="1">L2516</f>
        <v>108.75749999999995</v>
      </c>
      <c r="M2523" s="113">
        <f t="shared" si="233"/>
        <v>1</v>
      </c>
      <c r="N2523" s="64">
        <f t="shared" ca="1" si="228"/>
        <v>1.0001078943452382</v>
      </c>
    </row>
    <row r="2524" spans="1:14">
      <c r="A2524" s="39">
        <f t="shared" ca="1" si="229"/>
        <v>3.8775000000000057</v>
      </c>
      <c r="B2524" s="41">
        <f t="shared" ca="1" si="230"/>
        <v>3.884196428571427</v>
      </c>
      <c r="C2524" s="103">
        <f t="shared" si="232"/>
        <v>46322</v>
      </c>
      <c r="D2524" s="153" t="s">
        <v>20</v>
      </c>
      <c r="E2524" s="170"/>
      <c r="F2524" s="58" t="str">
        <f>VLOOKUP(MOD(C2524,7),'CALENDAR INFO'!$L$2:$M$8,2)</f>
        <v>TUE</v>
      </c>
      <c r="I2524" s="454">
        <f t="shared" si="231"/>
        <v>0</v>
      </c>
      <c r="J2524" s="15" t="s">
        <v>238</v>
      </c>
      <c r="K2524" s="221">
        <f ca="1">K2521</f>
        <v>28</v>
      </c>
      <c r="L2524" s="223">
        <f ca="1">L2521</f>
        <v>28</v>
      </c>
      <c r="M2524" s="113">
        <f t="shared" si="233"/>
        <v>1</v>
      </c>
      <c r="N2524" s="64">
        <f t="shared" ca="1" si="228"/>
        <v>1.0001078943452382</v>
      </c>
    </row>
    <row r="2525" spans="1:14">
      <c r="A2525" s="39">
        <f t="shared" ca="1" si="229"/>
        <v>3.8775000000000057</v>
      </c>
      <c r="B2525" s="41">
        <f t="shared" ca="1" si="230"/>
        <v>3.884196428571427</v>
      </c>
      <c r="C2525" s="103">
        <f t="shared" si="232"/>
        <v>46323</v>
      </c>
      <c r="D2525" s="153" t="s">
        <v>20</v>
      </c>
      <c r="E2525" s="170" t="s">
        <v>19</v>
      </c>
      <c r="F2525" s="58" t="str">
        <f>VLOOKUP(MOD(C2525,7),'CALENDAR INFO'!$L$2:$M$8,2)</f>
        <v>WED</v>
      </c>
      <c r="I2525" s="454">
        <f t="shared" si="231"/>
        <v>0</v>
      </c>
      <c r="J2525" s="15" t="s">
        <v>239</v>
      </c>
      <c r="K2525" s="178">
        <f ca="1">K2523/K2524</f>
        <v>3.8775000000000057</v>
      </c>
      <c r="L2525" s="192">
        <f ca="1">L2523/L2524</f>
        <v>3.884196428571427</v>
      </c>
      <c r="M2525" s="113">
        <f t="shared" si="233"/>
        <v>1</v>
      </c>
      <c r="N2525" s="64">
        <f t="shared" ca="1" si="228"/>
        <v>1.0001078943452382</v>
      </c>
    </row>
    <row r="2526" spans="1:14">
      <c r="A2526" s="303">
        <f t="shared" ref="A2526:B2528" si="234">K$2507</f>
        <v>3.9549999999999983</v>
      </c>
      <c r="B2526" s="304">
        <f t="shared" si="234"/>
        <v>3.9699999999999989</v>
      </c>
      <c r="C2526" s="103">
        <f t="shared" si="232"/>
        <v>46324</v>
      </c>
      <c r="E2526" s="167" t="s">
        <v>18</v>
      </c>
      <c r="F2526" s="58" t="str">
        <f>VLOOKUP(MOD(C2526,7),'CALENDAR INFO'!$L$2:$M$8,2)</f>
        <v>THU</v>
      </c>
      <c r="I2526" s="454">
        <f t="shared" si="231"/>
        <v>0</v>
      </c>
      <c r="M2526" s="113">
        <f t="shared" si="233"/>
        <v>1</v>
      </c>
      <c r="N2526" s="64">
        <f t="shared" ref="N2526:N2529" si="235">1+(M2526/360)*(MAX(H2526,B2526)/100)</f>
        <v>1.0001102777777777</v>
      </c>
    </row>
    <row r="2527" spans="1:14">
      <c r="A2527" s="303">
        <f t="shared" si="234"/>
        <v>3.9549999999999983</v>
      </c>
      <c r="B2527" s="304">
        <f t="shared" si="234"/>
        <v>3.9699999999999989</v>
      </c>
      <c r="C2527" s="103">
        <f t="shared" si="232"/>
        <v>46325</v>
      </c>
      <c r="E2527" s="167"/>
      <c r="F2527" s="58" t="str">
        <f>VLOOKUP(MOD(C2527,7),'CALENDAR INFO'!$L$2:$M$8,2)</f>
        <v>FRI</v>
      </c>
      <c r="I2527" s="454">
        <f t="shared" si="231"/>
        <v>0</v>
      </c>
      <c r="M2527" s="113">
        <f t="shared" si="233"/>
        <v>3</v>
      </c>
      <c r="N2527" s="64">
        <f t="shared" si="235"/>
        <v>1.0003308333333334</v>
      </c>
    </row>
    <row r="2528" spans="1:14" ht="15.75" thickBot="1">
      <c r="A2528" s="402">
        <f t="shared" si="234"/>
        <v>3.9549999999999983</v>
      </c>
      <c r="B2528" s="403">
        <f t="shared" si="234"/>
        <v>3.9699999999999989</v>
      </c>
      <c r="C2528" s="104">
        <f t="shared" si="232"/>
        <v>46326</v>
      </c>
      <c r="D2528" s="112"/>
      <c r="E2528" s="92"/>
      <c r="F2528" s="71" t="str">
        <f>VLOOKUP(MOD(C2528,7),'CALENDAR INFO'!$L$2:$M$8,2)</f>
        <v>SAT</v>
      </c>
      <c r="G2528" s="215"/>
      <c r="H2528" s="423"/>
      <c r="I2528" s="455">
        <f t="shared" si="231"/>
        <v>0</v>
      </c>
      <c r="J2528" s="347"/>
      <c r="K2528" s="347"/>
      <c r="L2528" s="348"/>
      <c r="M2528" s="114">
        <f t="shared" si="233"/>
        <v>0</v>
      </c>
      <c r="N2528" s="292">
        <f t="shared" si="235"/>
        <v>1</v>
      </c>
    </row>
    <row r="2529" spans="1:14">
      <c r="A2529" s="303">
        <f>K2538</f>
        <v>3.9549999999999983</v>
      </c>
      <c r="B2529" s="304">
        <f>L2538</f>
        <v>3.9699999999999989</v>
      </c>
      <c r="C2529" s="103">
        <f t="shared" si="232"/>
        <v>46327</v>
      </c>
      <c r="E2529" s="167"/>
      <c r="F2529" s="58" t="str">
        <f>VLOOKUP(MOD(C2529,7),'CALENDAR INFO'!$L$2:$M$8,2)</f>
        <v>SUN</v>
      </c>
      <c r="I2529" s="454">
        <f t="shared" si="231"/>
        <v>0</v>
      </c>
      <c r="J2529" s="15" t="s">
        <v>150</v>
      </c>
      <c r="K2529" s="359">
        <f>ROW()</f>
        <v>2529</v>
      </c>
      <c r="L2529" s="233">
        <f>K2529</f>
        <v>2529</v>
      </c>
      <c r="M2529" s="113">
        <f t="shared" si="233"/>
        <v>0</v>
      </c>
      <c r="N2529" s="64">
        <f t="shared" si="235"/>
        <v>1</v>
      </c>
    </row>
    <row r="2530" spans="1:14">
      <c r="A2530" s="39">
        <f t="shared" ref="A2530:A2558" ca="1" si="236">K$2556</f>
        <v>3.9549999999999983</v>
      </c>
      <c r="B2530" s="41">
        <f t="shared" ref="B2530:B2558" ca="1" si="237">L$2556</f>
        <v>3.9699999999999989</v>
      </c>
      <c r="C2530" s="103">
        <f t="shared" si="232"/>
        <v>46328</v>
      </c>
      <c r="E2530" s="167"/>
      <c r="F2530" s="58" t="str">
        <f>VLOOKUP(MOD(C2530,7),'CALENDAR INFO'!$L$2:$M$8,2)</f>
        <v>MON</v>
      </c>
      <c r="I2530" s="454">
        <f t="shared" si="231"/>
        <v>0</v>
      </c>
      <c r="J2530" s="15" t="s">
        <v>117</v>
      </c>
      <c r="K2530" s="15">
        <f>VLOOKUP(MONTH($C2529),'CALENDAR INFO'!$O$2:$P$13,2)</f>
        <v>30</v>
      </c>
      <c r="L2530" s="179">
        <f>K2530</f>
        <v>30</v>
      </c>
      <c r="M2530" s="113">
        <f t="shared" si="233"/>
        <v>1</v>
      </c>
      <c r="N2530" s="64">
        <f t="shared" ref="N2530:N2561" ca="1" si="238">1+(M2530/360)*(MAX(H2530,B2530)/100)</f>
        <v>1.0001102777777777</v>
      </c>
    </row>
    <row r="2531" spans="1:14">
      <c r="A2531" s="39">
        <f t="shared" ca="1" si="236"/>
        <v>3.9549999999999983</v>
      </c>
      <c r="B2531" s="41">
        <f t="shared" ca="1" si="237"/>
        <v>3.9699999999999989</v>
      </c>
      <c r="C2531" s="103">
        <f t="shared" si="232"/>
        <v>46329</v>
      </c>
      <c r="E2531" s="167"/>
      <c r="F2531" s="58" t="str">
        <f>VLOOKUP(MOD(C2531,7),'CALENDAR INFO'!$L$2:$M$8,2)</f>
        <v>TUE</v>
      </c>
      <c r="I2531" s="454">
        <f t="shared" si="231"/>
        <v>0</v>
      </c>
      <c r="J2531" s="15" t="s">
        <v>151</v>
      </c>
      <c r="K2531" s="15">
        <f>K2529+K2530-1</f>
        <v>2558</v>
      </c>
      <c r="L2531" s="179">
        <f>K2531</f>
        <v>2558</v>
      </c>
      <c r="M2531" s="113">
        <f t="shared" si="233"/>
        <v>1</v>
      </c>
      <c r="N2531" s="64">
        <f t="shared" ca="1" si="238"/>
        <v>1.0001102777777777</v>
      </c>
    </row>
    <row r="2532" spans="1:14">
      <c r="A2532" s="39">
        <f t="shared" ca="1" si="236"/>
        <v>3.9549999999999983</v>
      </c>
      <c r="B2532" s="41">
        <f t="shared" ca="1" si="237"/>
        <v>3.9699999999999989</v>
      </c>
      <c r="C2532" s="103">
        <f t="shared" si="232"/>
        <v>46330</v>
      </c>
      <c r="E2532" s="167"/>
      <c r="F2532" s="58" t="str">
        <f>VLOOKUP(MOD(C2532,7),'CALENDAR INFO'!$L$2:$M$8,2)</f>
        <v>WED</v>
      </c>
      <c r="I2532" s="454">
        <f t="shared" si="231"/>
        <v>0</v>
      </c>
      <c r="J2532" s="15" t="s">
        <v>243</v>
      </c>
      <c r="K2532" s="176">
        <f>ROW(D2529)</f>
        <v>2529</v>
      </c>
      <c r="L2532" s="179">
        <f>K2532</f>
        <v>2529</v>
      </c>
      <c r="M2532" s="113">
        <f t="shared" si="233"/>
        <v>1</v>
      </c>
      <c r="N2532" s="64">
        <f t="shared" ca="1" si="238"/>
        <v>1.0001102777777777</v>
      </c>
    </row>
    <row r="2533" spans="1:14">
      <c r="A2533" s="39">
        <f t="shared" ca="1" si="236"/>
        <v>3.9549999999999983</v>
      </c>
      <c r="B2533" s="41">
        <f t="shared" ca="1" si="237"/>
        <v>3.9699999999999989</v>
      </c>
      <c r="C2533" s="103">
        <f t="shared" si="232"/>
        <v>46331</v>
      </c>
      <c r="E2533" s="167"/>
      <c r="F2533" s="58" t="str">
        <f>VLOOKUP(MOD(C2533,7),'CALENDAR INFO'!$L$2:$M$8,2)</f>
        <v>THU</v>
      </c>
      <c r="I2533" s="454">
        <f t="shared" si="231"/>
        <v>0</v>
      </c>
      <c r="K2533" s="176"/>
      <c r="M2533" s="113">
        <f t="shared" si="233"/>
        <v>1</v>
      </c>
      <c r="N2533" s="64">
        <f t="shared" ca="1" si="238"/>
        <v>1.0001102777777777</v>
      </c>
    </row>
    <row r="2534" spans="1:14">
      <c r="A2534" s="39">
        <f t="shared" ca="1" si="236"/>
        <v>3.9549999999999983</v>
      </c>
      <c r="B2534" s="41">
        <f t="shared" ca="1" si="237"/>
        <v>3.9699999999999989</v>
      </c>
      <c r="C2534" s="103">
        <f t="shared" si="232"/>
        <v>46332</v>
      </c>
      <c r="E2534" s="167"/>
      <c r="F2534" s="58" t="str">
        <f>VLOOKUP(MOD(C2534,7),'CALENDAR INFO'!$L$2:$M$8,2)</f>
        <v>FRI</v>
      </c>
      <c r="I2534" s="454">
        <f t="shared" si="231"/>
        <v>0</v>
      </c>
      <c r="J2534" s="15" t="s">
        <v>152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3"/>
        <v>3</v>
      </c>
      <c r="N2534" s="64">
        <f t="shared" ca="1" si="238"/>
        <v>1.0003308333333334</v>
      </c>
    </row>
    <row r="2535" spans="1:14">
      <c r="A2535" s="39">
        <f t="shared" ca="1" si="236"/>
        <v>3.9549999999999983</v>
      </c>
      <c r="B2535" s="41">
        <f t="shared" ca="1" si="237"/>
        <v>3.9699999999999989</v>
      </c>
      <c r="C2535" s="103">
        <f t="shared" si="232"/>
        <v>46333</v>
      </c>
      <c r="E2535" s="167"/>
      <c r="F2535" s="58" t="str">
        <f>VLOOKUP(MOD(C2535,7),'CALENDAR INFO'!$L$2:$M$8,2)</f>
        <v>SAT</v>
      </c>
      <c r="I2535" s="454">
        <f t="shared" si="231"/>
        <v>0</v>
      </c>
      <c r="J2535" s="176" t="s">
        <v>234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3"/>
        <v>0</v>
      </c>
      <c r="N2535" s="64">
        <f t="shared" ca="1" si="238"/>
        <v>1</v>
      </c>
    </row>
    <row r="2536" spans="1:14">
      <c r="A2536" s="39">
        <f t="shared" ca="1" si="236"/>
        <v>3.9549999999999983</v>
      </c>
      <c r="B2536" s="41">
        <f t="shared" ca="1" si="237"/>
        <v>3.9699999999999989</v>
      </c>
      <c r="C2536" s="103">
        <f t="shared" si="232"/>
        <v>46334</v>
      </c>
      <c r="E2536" s="167"/>
      <c r="F2536" s="58" t="str">
        <f>VLOOKUP(MOD(C2536,7),'CALENDAR INFO'!$L$2:$M$8,2)</f>
        <v>SUN</v>
      </c>
      <c r="I2536" s="454">
        <f t="shared" si="231"/>
        <v>0</v>
      </c>
      <c r="J2536" s="176" t="s">
        <v>235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3"/>
        <v>0</v>
      </c>
      <c r="N2536" s="64">
        <f t="shared" ca="1" si="238"/>
        <v>1</v>
      </c>
    </row>
    <row r="2537" spans="1:14">
      <c r="A2537" s="39">
        <f t="shared" ca="1" si="236"/>
        <v>3.9549999999999983</v>
      </c>
      <c r="B2537" s="41">
        <f t="shared" ca="1" si="237"/>
        <v>3.9699999999999989</v>
      </c>
      <c r="C2537" s="103">
        <f t="shared" si="232"/>
        <v>46335</v>
      </c>
      <c r="E2537" s="167"/>
      <c r="F2537" s="58" t="str">
        <f>VLOOKUP(MOD(C2537,7),'CALENDAR INFO'!$L$2:$M$8,2)</f>
        <v>MON</v>
      </c>
      <c r="I2537" s="454">
        <f t="shared" si="231"/>
        <v>0</v>
      </c>
      <c r="M2537" s="113">
        <f t="shared" si="233"/>
        <v>1</v>
      </c>
      <c r="N2537" s="64">
        <f t="shared" ca="1" si="238"/>
        <v>1.0001102777777777</v>
      </c>
    </row>
    <row r="2538" spans="1:14">
      <c r="A2538" s="39">
        <f t="shared" ca="1" si="236"/>
        <v>3.9549999999999983</v>
      </c>
      <c r="B2538" s="41">
        <f t="shared" ca="1" si="237"/>
        <v>3.9699999999999989</v>
      </c>
      <c r="C2538" s="103">
        <f t="shared" si="232"/>
        <v>46336</v>
      </c>
      <c r="E2538" s="167"/>
      <c r="F2538" s="58" t="str">
        <f>VLOOKUP(MOD(C2538,7),'CALENDAR INFO'!$L$2:$M$8,2)</f>
        <v>TUE</v>
      </c>
      <c r="I2538" s="454">
        <f t="shared" si="231"/>
        <v>0</v>
      </c>
      <c r="J2538" s="15" t="s">
        <v>240</v>
      </c>
      <c r="K2538" s="186">
        <f>K2540</f>
        <v>3.9549999999999983</v>
      </c>
      <c r="L2538" s="194">
        <f>L2540</f>
        <v>3.9699999999999989</v>
      </c>
      <c r="M2538" s="117">
        <v>2</v>
      </c>
      <c r="N2538" s="64">
        <f t="shared" ca="1" si="238"/>
        <v>1.0002205555555554</v>
      </c>
    </row>
    <row r="2539" spans="1:14">
      <c r="A2539" s="39">
        <f t="shared" ca="1" si="236"/>
        <v>3.9549999999999983</v>
      </c>
      <c r="B2539" s="41">
        <f t="shared" ca="1" si="237"/>
        <v>3.9699999999999989</v>
      </c>
      <c r="C2539" s="103">
        <f t="shared" si="232"/>
        <v>46337</v>
      </c>
      <c r="D2539" s="173" t="s">
        <v>108</v>
      </c>
      <c r="E2539" s="167" t="s">
        <v>19</v>
      </c>
      <c r="F2539" s="58" t="str">
        <f>VLOOKUP(MOD(C2539,7),'CALENDAR INFO'!$L$2:$M$8,2)</f>
        <v>WED</v>
      </c>
      <c r="I2539" s="454">
        <f t="shared" si="231"/>
        <v>0</v>
      </c>
      <c r="M2539" s="117">
        <v>0</v>
      </c>
      <c r="N2539" s="64">
        <f t="shared" ca="1" si="238"/>
        <v>1</v>
      </c>
    </row>
    <row r="2540" spans="1:14">
      <c r="A2540" s="39">
        <f t="shared" ca="1" si="236"/>
        <v>3.9549999999999983</v>
      </c>
      <c r="B2540" s="41">
        <f t="shared" ca="1" si="237"/>
        <v>3.9699999999999989</v>
      </c>
      <c r="C2540" s="103">
        <f t="shared" si="232"/>
        <v>46338</v>
      </c>
      <c r="E2540" s="170" t="s">
        <v>18</v>
      </c>
      <c r="F2540" s="58" t="str">
        <f>VLOOKUP(MOD(C2540,7),'CALENDAR INFO'!$L$2:$M$8,2)</f>
        <v>THU</v>
      </c>
      <c r="I2540" s="454">
        <f t="shared" si="231"/>
        <v>0</v>
      </c>
      <c r="J2540" s="15" t="s">
        <v>196</v>
      </c>
      <c r="K2540" s="180">
        <f>OUTPUT!C7</f>
        <v>3.9549999999999983</v>
      </c>
      <c r="L2540" s="193">
        <f>OUTPUT!F7</f>
        <v>3.9699999999999989</v>
      </c>
      <c r="M2540" s="113">
        <f t="shared" ref="M2540:M2552" si="239">IF(MOD(C2540,7)&lt;2,0,IF(MOD(C2540,7)=6,3,1))</f>
        <v>1</v>
      </c>
      <c r="N2540" s="64">
        <f t="shared" ca="1" si="238"/>
        <v>1.0001102777777777</v>
      </c>
    </row>
    <row r="2541" spans="1:14">
      <c r="A2541" s="39">
        <f t="shared" ca="1" si="236"/>
        <v>3.9549999999999983</v>
      </c>
      <c r="B2541" s="41">
        <f t="shared" ca="1" si="237"/>
        <v>3.9699999999999989</v>
      </c>
      <c r="C2541" s="103">
        <f t="shared" si="232"/>
        <v>46339</v>
      </c>
      <c r="E2541" s="170"/>
      <c r="F2541" s="58" t="str">
        <f>VLOOKUP(MOD(C2541,7),'CALENDAR INFO'!$L$2:$M$8,2)</f>
        <v>FRI</v>
      </c>
      <c r="I2541" s="454">
        <f t="shared" si="231"/>
        <v>0</v>
      </c>
      <c r="J2541" s="15" t="s">
        <v>117</v>
      </c>
      <c r="K2541" s="221">
        <f>VLOOKUP(MONTH($C2535),'CALENDAR INFO'!$O$2:$P$13,2)</f>
        <v>30</v>
      </c>
      <c r="L2541" s="223">
        <f>K2541</f>
        <v>30</v>
      </c>
      <c r="M2541" s="113">
        <f t="shared" si="239"/>
        <v>3</v>
      </c>
      <c r="N2541" s="64">
        <f t="shared" ca="1" si="238"/>
        <v>1.0003308333333334</v>
      </c>
    </row>
    <row r="2542" spans="1:14">
      <c r="A2542" s="39">
        <f t="shared" ca="1" si="236"/>
        <v>3.9549999999999983</v>
      </c>
      <c r="B2542" s="41">
        <f t="shared" ca="1" si="237"/>
        <v>3.9699999999999989</v>
      </c>
      <c r="C2542" s="103">
        <f t="shared" si="232"/>
        <v>46340</v>
      </c>
      <c r="E2542" s="170"/>
      <c r="F2542" s="58" t="str">
        <f>VLOOKUP(MOD(C2542,7),'CALENDAR INFO'!$L$2:$M$8,2)</f>
        <v>SAT</v>
      </c>
      <c r="I2542" s="454">
        <f t="shared" si="231"/>
        <v>0</v>
      </c>
      <c r="J2542" s="15" t="s">
        <v>233</v>
      </c>
      <c r="K2542" s="178">
        <f>K2540*K2530</f>
        <v>118.64999999999995</v>
      </c>
      <c r="L2542" s="192">
        <f>L2540*L2530</f>
        <v>119.09999999999997</v>
      </c>
      <c r="M2542" s="113">
        <f t="shared" si="239"/>
        <v>0</v>
      </c>
      <c r="N2542" s="64">
        <f t="shared" ca="1" si="238"/>
        <v>1</v>
      </c>
    </row>
    <row r="2543" spans="1:14">
      <c r="A2543" s="39">
        <f t="shared" ca="1" si="236"/>
        <v>3.9549999999999983</v>
      </c>
      <c r="B2543" s="41">
        <f t="shared" ca="1" si="237"/>
        <v>3.9699999999999989</v>
      </c>
      <c r="C2543" s="103">
        <f t="shared" si="232"/>
        <v>46341</v>
      </c>
      <c r="E2543" s="170"/>
      <c r="F2543" s="58" t="str">
        <f>VLOOKUP(MOD(C2543,7),'CALENDAR INFO'!$L$2:$M$8,2)</f>
        <v>SUN</v>
      </c>
      <c r="I2543" s="454">
        <f t="shared" si="231"/>
        <v>0</v>
      </c>
      <c r="M2543" s="113">
        <f t="shared" si="239"/>
        <v>0</v>
      </c>
      <c r="N2543" s="64">
        <f t="shared" ca="1" si="238"/>
        <v>1</v>
      </c>
    </row>
    <row r="2544" spans="1:14">
      <c r="A2544" s="39">
        <f t="shared" ca="1" si="236"/>
        <v>3.9549999999999983</v>
      </c>
      <c r="B2544" s="41">
        <f t="shared" ca="1" si="237"/>
        <v>3.9699999999999989</v>
      </c>
      <c r="C2544" s="103">
        <f t="shared" si="232"/>
        <v>46342</v>
      </c>
      <c r="E2544" s="170"/>
      <c r="F2544" s="58" t="str">
        <f>VLOOKUP(MOD(C2544,7),'CALENDAR INFO'!$L$2:$M$8,2)</f>
        <v>MON</v>
      </c>
      <c r="I2544" s="454">
        <f t="shared" si="231"/>
        <v>0</v>
      </c>
      <c r="J2544" s="15" t="str">
        <f>J2542</f>
        <v>monthly target</v>
      </c>
      <c r="K2544" s="178">
        <f>K2542</f>
        <v>118.64999999999995</v>
      </c>
      <c r="L2544" s="192">
        <f>L2542</f>
        <v>119.09999999999997</v>
      </c>
      <c r="M2544" s="113">
        <f t="shared" si="239"/>
        <v>1</v>
      </c>
      <c r="N2544" s="64">
        <f t="shared" ca="1" si="238"/>
        <v>1.0001102777777777</v>
      </c>
    </row>
    <row r="2545" spans="1:14">
      <c r="A2545" s="39">
        <f t="shared" ca="1" si="236"/>
        <v>3.9549999999999983</v>
      </c>
      <c r="B2545" s="41">
        <f t="shared" ca="1" si="237"/>
        <v>3.9699999999999989</v>
      </c>
      <c r="C2545" s="103">
        <f t="shared" si="232"/>
        <v>46343</v>
      </c>
      <c r="E2545" s="170"/>
      <c r="F2545" s="58" t="str">
        <f>VLOOKUP(MOD(C2545,7),'CALENDAR INFO'!$L$2:$M$8,2)</f>
        <v>TUE</v>
      </c>
      <c r="I2545" s="454">
        <f t="shared" si="231"/>
        <v>0</v>
      </c>
      <c r="J2545" s="15" t="s">
        <v>154</v>
      </c>
      <c r="K2545" s="178">
        <f ca="1">SUM(INDIRECT(K2534))</f>
        <v>0</v>
      </c>
      <c r="L2545" s="192">
        <f ca="1">SUM(INDIRECT(L2534))</f>
        <v>0</v>
      </c>
      <c r="M2545" s="113">
        <f t="shared" si="239"/>
        <v>1</v>
      </c>
      <c r="N2545" s="64">
        <f t="shared" ca="1" si="238"/>
        <v>1.0001102777777777</v>
      </c>
    </row>
    <row r="2546" spans="1:14">
      <c r="A2546" s="39">
        <f t="shared" ca="1" si="236"/>
        <v>3.9549999999999983</v>
      </c>
      <c r="B2546" s="41">
        <f t="shared" ca="1" si="237"/>
        <v>3.9699999999999989</v>
      </c>
      <c r="C2546" s="103">
        <f t="shared" si="232"/>
        <v>46344</v>
      </c>
      <c r="E2546" s="170"/>
      <c r="F2546" s="58" t="str">
        <f>VLOOKUP(MOD(C2546,7),'CALENDAR INFO'!$L$2:$M$8,2)</f>
        <v>WED</v>
      </c>
      <c r="I2546" s="454">
        <f t="shared" si="231"/>
        <v>0</v>
      </c>
      <c r="J2546" s="15" t="s">
        <v>236</v>
      </c>
      <c r="K2546" s="397">
        <f ca="1">SUM(INDIRECT(K2535))</f>
        <v>3.9549999999999983</v>
      </c>
      <c r="L2546" s="398">
        <f ca="1">SUM(INDIRECT(L2535))</f>
        <v>3.9699999999999989</v>
      </c>
      <c r="M2546" s="113">
        <f t="shared" si="239"/>
        <v>1</v>
      </c>
      <c r="N2546" s="64">
        <f t="shared" ca="1" si="238"/>
        <v>1.0001102777777777</v>
      </c>
    </row>
    <row r="2547" spans="1:14">
      <c r="A2547" s="39">
        <f t="shared" ca="1" si="236"/>
        <v>3.9549999999999983</v>
      </c>
      <c r="B2547" s="41">
        <f t="shared" ca="1" si="237"/>
        <v>3.9699999999999989</v>
      </c>
      <c r="C2547" s="103">
        <f t="shared" si="232"/>
        <v>46345</v>
      </c>
      <c r="E2547" s="170"/>
      <c r="F2547" s="58" t="str">
        <f>VLOOKUP(MOD(C2547,7),'CALENDAR INFO'!$L$2:$M$8,2)</f>
        <v>THU</v>
      </c>
      <c r="I2547" s="454">
        <f t="shared" si="231"/>
        <v>0</v>
      </c>
      <c r="J2547" s="15" t="s">
        <v>237</v>
      </c>
      <c r="K2547" s="182">
        <f ca="1">K2542-K2545-K2546</f>
        <v>114.69499999999995</v>
      </c>
      <c r="L2547" s="201">
        <f ca="1">L2542-L2545-L2546</f>
        <v>115.12999999999997</v>
      </c>
      <c r="M2547" s="113">
        <f t="shared" si="239"/>
        <v>1</v>
      </c>
      <c r="N2547" s="64">
        <f t="shared" ca="1" si="238"/>
        <v>1.0001102777777777</v>
      </c>
    </row>
    <row r="2548" spans="1:14">
      <c r="A2548" s="39">
        <f t="shared" ca="1" si="236"/>
        <v>3.9549999999999983</v>
      </c>
      <c r="B2548" s="41">
        <f t="shared" ca="1" si="237"/>
        <v>3.9699999999999989</v>
      </c>
      <c r="C2548" s="103">
        <f t="shared" si="232"/>
        <v>46346</v>
      </c>
      <c r="E2548" s="170"/>
      <c r="F2548" s="58" t="str">
        <f>VLOOKUP(MOD(C2548,7),'CALENDAR INFO'!$L$2:$M$8,2)</f>
        <v>FRI</v>
      </c>
      <c r="I2548" s="454">
        <f t="shared" si="231"/>
        <v>0</v>
      </c>
      <c r="K2548" s="178"/>
      <c r="L2548" s="192"/>
      <c r="M2548" s="113">
        <f t="shared" si="239"/>
        <v>3</v>
      </c>
      <c r="N2548" s="64">
        <f t="shared" ca="1" si="238"/>
        <v>1.0003308333333334</v>
      </c>
    </row>
    <row r="2549" spans="1:14">
      <c r="A2549" s="39">
        <f t="shared" ca="1" si="236"/>
        <v>3.9549999999999983</v>
      </c>
      <c r="B2549" s="41">
        <f t="shared" ca="1" si="237"/>
        <v>3.9699999999999989</v>
      </c>
      <c r="C2549" s="103">
        <f t="shared" si="232"/>
        <v>46347</v>
      </c>
      <c r="E2549" s="170"/>
      <c r="F2549" s="58" t="str">
        <f>VLOOKUP(MOD(C2549,7),'CALENDAR INFO'!$L$2:$M$8,2)</f>
        <v>SAT</v>
      </c>
      <c r="I2549" s="454">
        <f t="shared" si="231"/>
        <v>0</v>
      </c>
      <c r="J2549" s="15" t="s">
        <v>241</v>
      </c>
      <c r="K2549" s="15">
        <f>K2541</f>
        <v>30</v>
      </c>
      <c r="L2549" s="179">
        <f>L2541</f>
        <v>30</v>
      </c>
      <c r="M2549" s="113">
        <f t="shared" si="239"/>
        <v>0</v>
      </c>
      <c r="N2549" s="64">
        <f t="shared" ca="1" si="238"/>
        <v>1</v>
      </c>
    </row>
    <row r="2550" spans="1:14">
      <c r="A2550" s="39">
        <f t="shared" ca="1" si="236"/>
        <v>3.9549999999999983</v>
      </c>
      <c r="B2550" s="41">
        <f t="shared" ca="1" si="237"/>
        <v>3.9699999999999989</v>
      </c>
      <c r="C2550" s="103">
        <f t="shared" si="232"/>
        <v>46348</v>
      </c>
      <c r="E2550" s="170"/>
      <c r="F2550" s="58" t="str">
        <f>VLOOKUP(MOD(C2550,7),'CALENDAR INFO'!$L$2:$M$8,2)</f>
        <v>SUN</v>
      </c>
      <c r="I2550" s="454">
        <f t="shared" si="231"/>
        <v>0</v>
      </c>
      <c r="J2550" s="15" t="s">
        <v>193</v>
      </c>
      <c r="K2550" s="15">
        <f ca="1">COUNTA(INDIRECT(K2534))</f>
        <v>0</v>
      </c>
      <c r="L2550" s="179">
        <f ca="1">COUNTA(INDIRECT(L2534))</f>
        <v>0</v>
      </c>
      <c r="M2550" s="113">
        <f t="shared" si="239"/>
        <v>0</v>
      </c>
      <c r="N2550" s="64">
        <f t="shared" ca="1" si="238"/>
        <v>1</v>
      </c>
    </row>
    <row r="2551" spans="1:14">
      <c r="A2551" s="39">
        <f t="shared" ca="1" si="236"/>
        <v>3.9549999999999983</v>
      </c>
      <c r="B2551" s="41">
        <f t="shared" ca="1" si="237"/>
        <v>3.9699999999999989</v>
      </c>
      <c r="C2551" s="103">
        <f t="shared" si="232"/>
        <v>46349</v>
      </c>
      <c r="E2551" s="170"/>
      <c r="F2551" s="58" t="str">
        <f>VLOOKUP(MOD(C2551,7),'CALENDAR INFO'!$L$2:$M$8,2)</f>
        <v>MON</v>
      </c>
      <c r="I2551" s="454">
        <f t="shared" si="231"/>
        <v>0</v>
      </c>
      <c r="J2551" s="15" t="s">
        <v>242</v>
      </c>
      <c r="K2551" s="399">
        <f ca="1">COUNTA(INDIRECT(K2535))</f>
        <v>1</v>
      </c>
      <c r="L2551" s="400">
        <f ca="1">COUNTA(INDIRECT(L2535))</f>
        <v>1</v>
      </c>
      <c r="M2551" s="113">
        <f t="shared" si="239"/>
        <v>1</v>
      </c>
      <c r="N2551" s="64">
        <f t="shared" ca="1" si="238"/>
        <v>1.0001102777777777</v>
      </c>
    </row>
    <row r="2552" spans="1:14">
      <c r="A2552" s="39">
        <f t="shared" ca="1" si="236"/>
        <v>3.9549999999999983</v>
      </c>
      <c r="B2552" s="41">
        <f t="shared" ca="1" si="237"/>
        <v>3.9699999999999989</v>
      </c>
      <c r="C2552" s="103">
        <f t="shared" si="232"/>
        <v>46350</v>
      </c>
      <c r="E2552" s="170"/>
      <c r="F2552" s="58" t="str">
        <f>VLOOKUP(MOD(C2552,7),'CALENDAR INFO'!$L$2:$M$8,2)</f>
        <v>TUE</v>
      </c>
      <c r="I2552" s="454">
        <f t="shared" si="231"/>
        <v>0</v>
      </c>
      <c r="J2552" s="15" t="s">
        <v>238</v>
      </c>
      <c r="K2552" s="152">
        <f ca="1">K2549-K2550-K2551</f>
        <v>29</v>
      </c>
      <c r="L2552" s="202">
        <f ca="1">L2549-L2550-L2551</f>
        <v>29</v>
      </c>
      <c r="M2552" s="113">
        <f t="shared" si="239"/>
        <v>1</v>
      </c>
      <c r="N2552" s="64">
        <f t="shared" ca="1" si="238"/>
        <v>1.0001102777777777</v>
      </c>
    </row>
    <row r="2553" spans="1:14">
      <c r="A2553" s="39">
        <f t="shared" ca="1" si="236"/>
        <v>3.9549999999999983</v>
      </c>
      <c r="B2553" s="41">
        <f t="shared" ca="1" si="237"/>
        <v>3.9699999999999989</v>
      </c>
      <c r="C2553" s="103">
        <f t="shared" si="232"/>
        <v>46351</v>
      </c>
      <c r="E2553" s="170" t="s">
        <v>19</v>
      </c>
      <c r="F2553" s="58" t="str">
        <f>VLOOKUP(MOD(C2553,7),'CALENDAR INFO'!$L$2:$M$8,2)</f>
        <v>WED</v>
      </c>
      <c r="I2553" s="454">
        <f t="shared" si="231"/>
        <v>0</v>
      </c>
      <c r="K2553" s="178"/>
      <c r="L2553" s="192"/>
      <c r="M2553" s="117">
        <v>2</v>
      </c>
      <c r="N2553" s="64">
        <f t="shared" ca="1" si="238"/>
        <v>1.0002205555555554</v>
      </c>
    </row>
    <row r="2554" spans="1:14">
      <c r="A2554" s="39">
        <f t="shared" ca="1" si="236"/>
        <v>3.9549999999999983</v>
      </c>
      <c r="B2554" s="41">
        <f t="shared" ca="1" si="237"/>
        <v>3.9699999999999989</v>
      </c>
      <c r="C2554" s="103">
        <f t="shared" si="232"/>
        <v>46352</v>
      </c>
      <c r="D2554" s="173" t="s">
        <v>109</v>
      </c>
      <c r="E2554" s="167" t="s">
        <v>18</v>
      </c>
      <c r="F2554" s="58" t="str">
        <f>VLOOKUP(MOD(C2554,7),'CALENDAR INFO'!$L$2:$M$8,2)</f>
        <v>THU</v>
      </c>
      <c r="I2554" s="454">
        <f t="shared" si="231"/>
        <v>0</v>
      </c>
      <c r="J2554" s="15" t="s">
        <v>237</v>
      </c>
      <c r="K2554" s="178">
        <f ca="1">K2547</f>
        <v>114.69499999999995</v>
      </c>
      <c r="L2554" s="192">
        <f ca="1">L2547</f>
        <v>115.12999999999997</v>
      </c>
      <c r="M2554" s="117">
        <v>0</v>
      </c>
      <c r="N2554" s="64">
        <f t="shared" ca="1" si="238"/>
        <v>1</v>
      </c>
    </row>
    <row r="2555" spans="1:14">
      <c r="A2555" s="39">
        <f t="shared" ca="1" si="236"/>
        <v>3.9549999999999983</v>
      </c>
      <c r="B2555" s="41">
        <f t="shared" ca="1" si="237"/>
        <v>3.9699999999999989</v>
      </c>
      <c r="C2555" s="103">
        <f t="shared" si="232"/>
        <v>46353</v>
      </c>
      <c r="E2555" s="167"/>
      <c r="F2555" s="58" t="str">
        <f>VLOOKUP(MOD(C2555,7),'CALENDAR INFO'!$L$2:$M$8,2)</f>
        <v>FRI</v>
      </c>
      <c r="I2555" s="454">
        <f t="shared" si="231"/>
        <v>0</v>
      </c>
      <c r="J2555" s="15" t="s">
        <v>238</v>
      </c>
      <c r="K2555" s="221">
        <f ca="1">K2552</f>
        <v>29</v>
      </c>
      <c r="L2555" s="223">
        <f ca="1">L2552</f>
        <v>29</v>
      </c>
      <c r="M2555" s="113">
        <f t="shared" ref="M2555:M2581" si="240">IF(MOD(C2555,7)&lt;2,0,IF(MOD(C2555,7)=6,3,1))</f>
        <v>3</v>
      </c>
      <c r="N2555" s="64">
        <f t="shared" ca="1" si="238"/>
        <v>1.0003308333333334</v>
      </c>
    </row>
    <row r="2556" spans="1:14">
      <c r="A2556" s="39">
        <f t="shared" ca="1" si="236"/>
        <v>3.9549999999999983</v>
      </c>
      <c r="B2556" s="41">
        <f t="shared" ca="1" si="237"/>
        <v>3.9699999999999989</v>
      </c>
      <c r="C2556" s="103">
        <f t="shared" si="232"/>
        <v>46354</v>
      </c>
      <c r="E2556" s="167"/>
      <c r="F2556" s="58" t="str">
        <f>VLOOKUP(MOD(C2556,7),'CALENDAR INFO'!$L$2:$M$8,2)</f>
        <v>SAT</v>
      </c>
      <c r="I2556" s="454">
        <f t="shared" si="231"/>
        <v>0</v>
      </c>
      <c r="J2556" s="15" t="s">
        <v>239</v>
      </c>
      <c r="K2556" s="178">
        <f ca="1">K2554/K2555</f>
        <v>3.9549999999999983</v>
      </c>
      <c r="L2556" s="192">
        <f ca="1">L2554/L2555</f>
        <v>3.9699999999999989</v>
      </c>
      <c r="M2556" s="113">
        <f t="shared" si="240"/>
        <v>0</v>
      </c>
      <c r="N2556" s="64">
        <f t="shared" ca="1" si="238"/>
        <v>1</v>
      </c>
    </row>
    <row r="2557" spans="1:14">
      <c r="A2557" s="39">
        <f t="shared" ca="1" si="236"/>
        <v>3.9549999999999983</v>
      </c>
      <c r="B2557" s="41">
        <f t="shared" ca="1" si="237"/>
        <v>3.9699999999999989</v>
      </c>
      <c r="C2557" s="103">
        <f t="shared" si="232"/>
        <v>46355</v>
      </c>
      <c r="E2557" s="167"/>
      <c r="F2557" s="58" t="str">
        <f>VLOOKUP(MOD(C2557,7),'CALENDAR INFO'!$L$2:$M$8,2)</f>
        <v>SUN</v>
      </c>
      <c r="I2557" s="454">
        <f t="shared" si="231"/>
        <v>0</v>
      </c>
      <c r="M2557" s="113">
        <f t="shared" si="240"/>
        <v>0</v>
      </c>
      <c r="N2557" s="64">
        <f t="shared" ca="1" si="238"/>
        <v>1</v>
      </c>
    </row>
    <row r="2558" spans="1:14" ht="15.75" thickBot="1">
      <c r="A2558" s="98">
        <f t="shared" ca="1" si="236"/>
        <v>3.9549999999999983</v>
      </c>
      <c r="B2558" s="230">
        <f t="shared" ca="1" si="237"/>
        <v>3.9699999999999989</v>
      </c>
      <c r="C2558" s="104">
        <f t="shared" si="232"/>
        <v>46356</v>
      </c>
      <c r="D2558" s="112"/>
      <c r="E2558" s="92"/>
      <c r="F2558" s="71" t="str">
        <f>VLOOKUP(MOD(C2558,7),'CALENDAR INFO'!$L$2:$M$8,2)</f>
        <v>MON</v>
      </c>
      <c r="G2558" s="215"/>
      <c r="H2558" s="423"/>
      <c r="I2558" s="455">
        <f t="shared" si="231"/>
        <v>0</v>
      </c>
      <c r="J2558" s="347"/>
      <c r="K2558" s="347"/>
      <c r="L2558" s="348"/>
      <c r="M2558" s="114">
        <f t="shared" si="240"/>
        <v>1</v>
      </c>
      <c r="N2558" s="292">
        <f t="shared" ca="1" si="238"/>
        <v>1.0001102777777777</v>
      </c>
    </row>
    <row r="2559" spans="1:14">
      <c r="A2559" s="303">
        <f t="shared" ref="A2559:A2567" ca="1" si="241">K$2568</f>
        <v>3.9549999999999983</v>
      </c>
      <c r="B2559" s="304">
        <f t="shared" ref="B2559:B2567" ca="1" si="242">L$2568</f>
        <v>3.9699999999999989</v>
      </c>
      <c r="C2559" s="103">
        <f t="shared" si="232"/>
        <v>46357</v>
      </c>
      <c r="E2559" s="167"/>
      <c r="F2559" s="58" t="str">
        <f>VLOOKUP(MOD(C2559,7),'CALENDAR INFO'!$L$2:$M$8,2)</f>
        <v>TUE</v>
      </c>
      <c r="I2559" s="454">
        <f t="shared" si="231"/>
        <v>0</v>
      </c>
      <c r="J2559" s="15" t="s">
        <v>150</v>
      </c>
      <c r="K2559" s="374">
        <f>ROW()</f>
        <v>2559</v>
      </c>
      <c r="L2559" s="60">
        <f>K2559</f>
        <v>2559</v>
      </c>
      <c r="M2559" s="113">
        <f t="shared" si="240"/>
        <v>1</v>
      </c>
      <c r="N2559" s="64">
        <f t="shared" ca="1" si="238"/>
        <v>1.0001102777777777</v>
      </c>
    </row>
    <row r="2560" spans="1:14">
      <c r="A2560" s="303">
        <f t="shared" ca="1" si="241"/>
        <v>3.9549999999999983</v>
      </c>
      <c r="B2560" s="304">
        <f t="shared" ca="1" si="242"/>
        <v>3.9699999999999989</v>
      </c>
      <c r="C2560" s="103">
        <f t="shared" si="232"/>
        <v>46358</v>
      </c>
      <c r="E2560" s="167"/>
      <c r="F2560" s="58" t="str">
        <f>VLOOKUP(MOD(C2560,7),'CALENDAR INFO'!$L$2:$M$8,2)</f>
        <v>WED</v>
      </c>
      <c r="I2560" s="454">
        <f t="shared" si="231"/>
        <v>0</v>
      </c>
      <c r="J2560" s="15" t="s">
        <v>117</v>
      </c>
      <c r="K2560" s="15">
        <f>VLOOKUP(MONTH($C2559),'CALENDAR INFO'!$O$2:$P$13,2)</f>
        <v>31</v>
      </c>
      <c r="L2560" s="15">
        <f>K2560</f>
        <v>31</v>
      </c>
      <c r="M2560" s="113">
        <f t="shared" si="240"/>
        <v>1</v>
      </c>
      <c r="N2560" s="64">
        <f t="shared" ca="1" si="238"/>
        <v>1.0001102777777777</v>
      </c>
    </row>
    <row r="2561" spans="1:14">
      <c r="A2561" s="303">
        <f t="shared" ca="1" si="241"/>
        <v>3.9549999999999983</v>
      </c>
      <c r="B2561" s="304">
        <f t="shared" ca="1" si="242"/>
        <v>3.9699999999999989</v>
      </c>
      <c r="C2561" s="103">
        <f t="shared" si="232"/>
        <v>46359</v>
      </c>
      <c r="E2561" s="167"/>
      <c r="F2561" s="58" t="str">
        <f>VLOOKUP(MOD(C2561,7),'CALENDAR INFO'!$L$2:$M$8,2)</f>
        <v>THU</v>
      </c>
      <c r="I2561" s="454">
        <f t="shared" si="231"/>
        <v>0</v>
      </c>
      <c r="J2561" s="15" t="s">
        <v>151</v>
      </c>
      <c r="K2561" s="15">
        <f>K2559+K2560-1</f>
        <v>2589</v>
      </c>
      <c r="L2561" s="15">
        <f>K2561</f>
        <v>2589</v>
      </c>
      <c r="M2561" s="113">
        <f t="shared" si="240"/>
        <v>1</v>
      </c>
      <c r="N2561" s="64">
        <f t="shared" ca="1" si="238"/>
        <v>1.0001102777777777</v>
      </c>
    </row>
    <row r="2562" spans="1:14">
      <c r="A2562" s="303">
        <f t="shared" ca="1" si="241"/>
        <v>3.9549999999999983</v>
      </c>
      <c r="B2562" s="304">
        <f t="shared" ca="1" si="242"/>
        <v>3.9699999999999989</v>
      </c>
      <c r="C2562" s="103">
        <f t="shared" si="232"/>
        <v>46360</v>
      </c>
      <c r="E2562" s="167"/>
      <c r="F2562" s="58" t="str">
        <f>VLOOKUP(MOD(C2562,7),'CALENDAR INFO'!$L$2:$M$8,2)</f>
        <v>FRI</v>
      </c>
      <c r="I2562" s="454">
        <f t="shared" si="231"/>
        <v>0</v>
      </c>
      <c r="J2562" s="15" t="s">
        <v>243</v>
      </c>
      <c r="K2562" s="310">
        <f>ROW(D2567)</f>
        <v>2567</v>
      </c>
      <c r="L2562" s="15">
        <f>K2562</f>
        <v>2567</v>
      </c>
      <c r="M2562" s="113">
        <f t="shared" si="240"/>
        <v>3</v>
      </c>
      <c r="N2562" s="64">
        <f t="shared" ref="N2562:N2589" ca="1" si="243">1+(M2562/360)*(MAX(H2562,B2562)/100)</f>
        <v>1.0003308333333334</v>
      </c>
    </row>
    <row r="2563" spans="1:14">
      <c r="A2563" s="303">
        <f t="shared" ca="1" si="241"/>
        <v>3.9549999999999983</v>
      </c>
      <c r="B2563" s="304">
        <f t="shared" ca="1" si="242"/>
        <v>3.9699999999999989</v>
      </c>
      <c r="C2563" s="103">
        <f t="shared" si="232"/>
        <v>46361</v>
      </c>
      <c r="E2563" s="167"/>
      <c r="F2563" s="58" t="str">
        <f>VLOOKUP(MOD(C2563,7),'CALENDAR INFO'!$L$2:$M$8,2)</f>
        <v>SAT</v>
      </c>
      <c r="I2563" s="454">
        <f t="shared" ref="I2563:I2592" si="244">H2563-G2563</f>
        <v>0</v>
      </c>
      <c r="K2563" s="310"/>
      <c r="L2563" s="15"/>
      <c r="M2563" s="113">
        <f t="shared" si="240"/>
        <v>0</v>
      </c>
      <c r="N2563" s="64">
        <f t="shared" ca="1" si="243"/>
        <v>1</v>
      </c>
    </row>
    <row r="2564" spans="1:14">
      <c r="A2564" s="303">
        <f t="shared" ca="1" si="241"/>
        <v>3.9549999999999983</v>
      </c>
      <c r="B2564" s="304">
        <f t="shared" ca="1" si="242"/>
        <v>3.9699999999999989</v>
      </c>
      <c r="C2564" s="103">
        <f t="shared" ref="C2564:C2592" si="245">C2563+1</f>
        <v>46362</v>
      </c>
      <c r="E2564" s="167"/>
      <c r="F2564" s="58" t="str">
        <f>VLOOKUP(MOD(C2564,7),'CALENDAR INFO'!$L$2:$M$8,2)</f>
        <v>SUN</v>
      </c>
      <c r="I2564" s="454">
        <f t="shared" si="244"/>
        <v>0</v>
      </c>
      <c r="J2564" s="15" t="s">
        <v>152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0"/>
        <v>0</v>
      </c>
      <c r="N2564" s="64">
        <f t="shared" ca="1" si="243"/>
        <v>1</v>
      </c>
    </row>
    <row r="2565" spans="1:14">
      <c r="A2565" s="303">
        <f t="shared" ca="1" si="241"/>
        <v>3.9549999999999983</v>
      </c>
      <c r="B2565" s="304">
        <f t="shared" ca="1" si="242"/>
        <v>3.9699999999999989</v>
      </c>
      <c r="C2565" s="103">
        <f t="shared" si="245"/>
        <v>46363</v>
      </c>
      <c r="E2565" s="167"/>
      <c r="F2565" s="58" t="str">
        <f>VLOOKUP(MOD(C2565,7),'CALENDAR INFO'!$L$2:$M$8,2)</f>
        <v>MON</v>
      </c>
      <c r="I2565" s="454">
        <f t="shared" si="244"/>
        <v>0</v>
      </c>
      <c r="J2565" s="176" t="s">
        <v>234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0"/>
        <v>1</v>
      </c>
      <c r="N2565" s="64">
        <f t="shared" ca="1" si="243"/>
        <v>1.0001102777777777</v>
      </c>
    </row>
    <row r="2566" spans="1:14">
      <c r="A2566" s="303">
        <f t="shared" ca="1" si="241"/>
        <v>3.9549999999999983</v>
      </c>
      <c r="B2566" s="304">
        <f t="shared" ca="1" si="242"/>
        <v>3.9699999999999989</v>
      </c>
      <c r="C2566" s="103">
        <f t="shared" si="245"/>
        <v>46364</v>
      </c>
      <c r="D2566" s="153" t="s">
        <v>20</v>
      </c>
      <c r="E2566" s="167"/>
      <c r="F2566" s="58" t="str">
        <f>VLOOKUP(MOD(C2566,7),'CALENDAR INFO'!$L$2:$M$8,2)</f>
        <v>TUE</v>
      </c>
      <c r="I2566" s="454">
        <f t="shared" si="244"/>
        <v>0</v>
      </c>
      <c r="J2566" s="176" t="s">
        <v>235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0"/>
        <v>1</v>
      </c>
      <c r="N2566" s="64">
        <f t="shared" ca="1" si="243"/>
        <v>1.0001102777777777</v>
      </c>
    </row>
    <row r="2567" spans="1:14">
      <c r="A2567" s="303">
        <f t="shared" ca="1" si="241"/>
        <v>3.9549999999999983</v>
      </c>
      <c r="B2567" s="304">
        <f t="shared" ca="1" si="242"/>
        <v>3.9699999999999989</v>
      </c>
      <c r="C2567" s="103">
        <f t="shared" si="245"/>
        <v>46365</v>
      </c>
      <c r="D2567" s="153" t="s">
        <v>20</v>
      </c>
      <c r="E2567" s="167" t="s">
        <v>19</v>
      </c>
      <c r="F2567" s="58" t="str">
        <f>VLOOKUP(MOD(C2567,7),'CALENDAR INFO'!$L$2:$M$8,2)</f>
        <v>WED</v>
      </c>
      <c r="I2567" s="454">
        <f t="shared" si="244"/>
        <v>0</v>
      </c>
      <c r="M2567" s="113">
        <f t="shared" si="240"/>
        <v>1</v>
      </c>
      <c r="N2567" s="64">
        <f t="shared" ca="1" si="243"/>
        <v>1.0001102777777777</v>
      </c>
    </row>
    <row r="2568" spans="1:14">
      <c r="A2568" s="39">
        <f t="shared" ref="A2568:A2589" ca="1" si="246">K$2586</f>
        <v>4.1311363636363616</v>
      </c>
      <c r="B2568" s="41">
        <f t="shared" ref="B2568:B2589" ca="1" si="247">L$2586</f>
        <v>4.1743181818181752</v>
      </c>
      <c r="C2568" s="103">
        <f t="shared" si="245"/>
        <v>46366</v>
      </c>
      <c r="E2568" s="170" t="s">
        <v>18</v>
      </c>
      <c r="F2568" s="58" t="str">
        <f>VLOOKUP(MOD(C2568,7),'CALENDAR INFO'!$L$2:$M$8,2)</f>
        <v>THU</v>
      </c>
      <c r="I2568" s="454">
        <f t="shared" si="244"/>
        <v>0</v>
      </c>
      <c r="J2568" s="15" t="s">
        <v>240</v>
      </c>
      <c r="K2568" s="186">
        <f ca="1">A2558+G2558</f>
        <v>3.9549999999999983</v>
      </c>
      <c r="L2568" s="194">
        <f ca="1">B2558+H2558</f>
        <v>3.9699999999999989</v>
      </c>
      <c r="M2568" s="113">
        <f t="shared" si="240"/>
        <v>1</v>
      </c>
      <c r="N2568" s="64">
        <f t="shared" ca="1" si="243"/>
        <v>1.0001159532828283</v>
      </c>
    </row>
    <row r="2569" spans="1:14">
      <c r="A2569" s="39">
        <f t="shared" ca="1" si="246"/>
        <v>4.1311363636363616</v>
      </c>
      <c r="B2569" s="41">
        <f t="shared" ca="1" si="247"/>
        <v>4.1743181818181752</v>
      </c>
      <c r="C2569" s="103">
        <f t="shared" si="245"/>
        <v>46367</v>
      </c>
      <c r="E2569" s="170"/>
      <c r="F2569" s="58" t="str">
        <f>VLOOKUP(MOD(C2569,7),'CALENDAR INFO'!$L$2:$M$8,2)</f>
        <v>FRI</v>
      </c>
      <c r="I2569" s="454">
        <f t="shared" si="244"/>
        <v>0</v>
      </c>
      <c r="K2569" s="178"/>
      <c r="L2569" s="192"/>
      <c r="M2569" s="113">
        <f t="shared" si="240"/>
        <v>3</v>
      </c>
      <c r="N2569" s="64">
        <f t="shared" ca="1" si="243"/>
        <v>1.000347859848485</v>
      </c>
    </row>
    <row r="2570" spans="1:14">
      <c r="A2570" s="39">
        <f t="shared" ca="1" si="246"/>
        <v>4.1311363636363616</v>
      </c>
      <c r="B2570" s="41">
        <f t="shared" ca="1" si="247"/>
        <v>4.1743181818181752</v>
      </c>
      <c r="C2570" s="103">
        <f t="shared" si="245"/>
        <v>46368</v>
      </c>
      <c r="E2570" s="170"/>
      <c r="F2570" s="58" t="str">
        <f>VLOOKUP(MOD(C2570,7),'CALENDAR INFO'!$L$2:$M$8,2)</f>
        <v>SAT</v>
      </c>
      <c r="I2570" s="454">
        <f t="shared" si="244"/>
        <v>0</v>
      </c>
      <c r="J2570" s="15" t="s">
        <v>196</v>
      </c>
      <c r="K2570" s="180">
        <f>OUTPUT!C8</f>
        <v>4.0799999999999983</v>
      </c>
      <c r="L2570" s="180">
        <f>OUTPUT!F8</f>
        <v>4.1149999999999949</v>
      </c>
      <c r="M2570" s="113">
        <f t="shared" si="240"/>
        <v>0</v>
      </c>
      <c r="N2570" s="64">
        <f t="shared" ca="1" si="243"/>
        <v>1</v>
      </c>
    </row>
    <row r="2571" spans="1:14">
      <c r="A2571" s="39">
        <f t="shared" ca="1" si="246"/>
        <v>4.1311363636363616</v>
      </c>
      <c r="B2571" s="41">
        <f t="shared" ca="1" si="247"/>
        <v>4.1743181818181752</v>
      </c>
      <c r="C2571" s="103">
        <f t="shared" si="245"/>
        <v>46369</v>
      </c>
      <c r="E2571" s="170"/>
      <c r="F2571" s="58" t="str">
        <f>VLOOKUP(MOD(C2571,7),'CALENDAR INFO'!$L$2:$M$8,2)</f>
        <v>SUN</v>
      </c>
      <c r="I2571" s="454">
        <f t="shared" si="244"/>
        <v>0</v>
      </c>
      <c r="J2571" s="15" t="s">
        <v>117</v>
      </c>
      <c r="K2571" s="221">
        <f>VLOOKUP(MONTH($C2565),'CALENDAR INFO'!$O$2:$P$13,2)</f>
        <v>31</v>
      </c>
      <c r="L2571" s="221">
        <f>K2571</f>
        <v>31</v>
      </c>
      <c r="M2571" s="113">
        <f t="shared" si="240"/>
        <v>0</v>
      </c>
      <c r="N2571" s="64">
        <f t="shared" ca="1" si="243"/>
        <v>1</v>
      </c>
    </row>
    <row r="2572" spans="1:14">
      <c r="A2572" s="39">
        <f t="shared" ca="1" si="246"/>
        <v>4.1311363636363616</v>
      </c>
      <c r="B2572" s="41">
        <f t="shared" ca="1" si="247"/>
        <v>4.1743181818181752</v>
      </c>
      <c r="C2572" s="103">
        <f t="shared" si="245"/>
        <v>46370</v>
      </c>
      <c r="E2572" s="170"/>
      <c r="F2572" s="58" t="str">
        <f>VLOOKUP(MOD(C2572,7),'CALENDAR INFO'!$L$2:$M$8,2)</f>
        <v>MON</v>
      </c>
      <c r="I2572" s="454">
        <f t="shared" si="244"/>
        <v>0</v>
      </c>
      <c r="J2572" s="15" t="s">
        <v>233</v>
      </c>
      <c r="K2572" s="178">
        <f>K2570*K2560</f>
        <v>126.47999999999995</v>
      </c>
      <c r="L2572" s="178">
        <f>L2570*L2560</f>
        <v>127.56499999999984</v>
      </c>
      <c r="M2572" s="113">
        <f t="shared" si="240"/>
        <v>1</v>
      </c>
      <c r="N2572" s="64">
        <f t="shared" ca="1" si="243"/>
        <v>1.0001159532828283</v>
      </c>
    </row>
    <row r="2573" spans="1:14">
      <c r="A2573" s="39">
        <f t="shared" ca="1" si="246"/>
        <v>4.1311363636363616</v>
      </c>
      <c r="B2573" s="41">
        <f t="shared" ca="1" si="247"/>
        <v>4.1743181818181752</v>
      </c>
      <c r="C2573" s="103">
        <f t="shared" si="245"/>
        <v>46371</v>
      </c>
      <c r="E2573" s="170"/>
      <c r="F2573" s="58" t="str">
        <f>VLOOKUP(MOD(C2573,7),'CALENDAR INFO'!$L$2:$M$8,2)</f>
        <v>TUE</v>
      </c>
      <c r="I2573" s="454">
        <f t="shared" si="244"/>
        <v>0</v>
      </c>
      <c r="K2573" s="178"/>
      <c r="L2573" s="192"/>
      <c r="M2573" s="113">
        <f t="shared" si="240"/>
        <v>1</v>
      </c>
      <c r="N2573" s="64">
        <f t="shared" ca="1" si="243"/>
        <v>1.0001159532828283</v>
      </c>
    </row>
    <row r="2574" spans="1:14">
      <c r="A2574" s="39">
        <f t="shared" ca="1" si="246"/>
        <v>4.1311363636363616</v>
      </c>
      <c r="B2574" s="41">
        <f t="shared" ca="1" si="247"/>
        <v>4.1743181818181752</v>
      </c>
      <c r="C2574" s="103">
        <f t="shared" si="245"/>
        <v>46372</v>
      </c>
      <c r="E2574" s="170"/>
      <c r="F2574" s="58" t="str">
        <f>VLOOKUP(MOD(C2574,7),'CALENDAR INFO'!$L$2:$M$8,2)</f>
        <v>WED</v>
      </c>
      <c r="I2574" s="454">
        <f t="shared" si="244"/>
        <v>0</v>
      </c>
      <c r="J2574" s="15" t="str">
        <f>J2572</f>
        <v>monthly target</v>
      </c>
      <c r="K2574" s="178">
        <f>K2572</f>
        <v>126.47999999999995</v>
      </c>
      <c r="L2574" s="192">
        <f>L2572</f>
        <v>127.56499999999984</v>
      </c>
      <c r="M2574" s="113">
        <f t="shared" si="240"/>
        <v>1</v>
      </c>
      <c r="N2574" s="64">
        <f t="shared" ca="1" si="243"/>
        <v>1.0001159532828283</v>
      </c>
    </row>
    <row r="2575" spans="1:14">
      <c r="A2575" s="39">
        <f t="shared" ca="1" si="246"/>
        <v>4.1311363636363616</v>
      </c>
      <c r="B2575" s="41">
        <f t="shared" ca="1" si="247"/>
        <v>4.1743181818181752</v>
      </c>
      <c r="C2575" s="103">
        <f t="shared" si="245"/>
        <v>46373</v>
      </c>
      <c r="E2575" s="170"/>
      <c r="F2575" s="58" t="str">
        <f>VLOOKUP(MOD(C2575,7),'CALENDAR INFO'!$L$2:$M$8,2)</f>
        <v>THU</v>
      </c>
      <c r="I2575" s="454">
        <f t="shared" si="244"/>
        <v>0</v>
      </c>
      <c r="J2575" s="15" t="s">
        <v>154</v>
      </c>
      <c r="K2575" s="178">
        <f ca="1">SUM(INDIRECT(K2564))</f>
        <v>0</v>
      </c>
      <c r="L2575" s="192">
        <f ca="1">SUM(INDIRECT(L2564))</f>
        <v>0</v>
      </c>
      <c r="M2575" s="113">
        <f t="shared" si="240"/>
        <v>1</v>
      </c>
      <c r="N2575" s="64">
        <f t="shared" ca="1" si="243"/>
        <v>1.0001159532828283</v>
      </c>
    </row>
    <row r="2576" spans="1:14">
      <c r="A2576" s="39">
        <f t="shared" ca="1" si="246"/>
        <v>4.1311363636363616</v>
      </c>
      <c r="B2576" s="41">
        <f t="shared" ca="1" si="247"/>
        <v>4.1743181818181752</v>
      </c>
      <c r="C2576" s="103">
        <f t="shared" si="245"/>
        <v>46374</v>
      </c>
      <c r="E2576" s="170"/>
      <c r="F2576" s="58" t="str">
        <f>VLOOKUP(MOD(C2576,7),'CALENDAR INFO'!$L$2:$M$8,2)</f>
        <v>FRI</v>
      </c>
      <c r="I2576" s="454">
        <f t="shared" si="244"/>
        <v>0</v>
      </c>
      <c r="J2576" s="15" t="s">
        <v>236</v>
      </c>
      <c r="K2576" s="397">
        <f ca="1">SUM(INDIRECT(K2565))</f>
        <v>35.594999999999985</v>
      </c>
      <c r="L2576" s="398">
        <f ca="1">SUM(INDIRECT(L2565))</f>
        <v>35.72999999999999</v>
      </c>
      <c r="M2576" s="113">
        <f t="shared" si="240"/>
        <v>3</v>
      </c>
      <c r="N2576" s="64">
        <f t="shared" ca="1" si="243"/>
        <v>1.000347859848485</v>
      </c>
    </row>
    <row r="2577" spans="1:14">
      <c r="A2577" s="39">
        <f t="shared" ca="1" si="246"/>
        <v>4.1311363636363616</v>
      </c>
      <c r="B2577" s="41">
        <f t="shared" ca="1" si="247"/>
        <v>4.1743181818181752</v>
      </c>
      <c r="C2577" s="103">
        <f t="shared" si="245"/>
        <v>46375</v>
      </c>
      <c r="E2577" s="170"/>
      <c r="F2577" s="58" t="str">
        <f>VLOOKUP(MOD(C2577,7),'CALENDAR INFO'!$L$2:$M$8,2)</f>
        <v>SAT</v>
      </c>
      <c r="I2577" s="454">
        <f t="shared" si="244"/>
        <v>0</v>
      </c>
      <c r="J2577" s="15" t="s">
        <v>237</v>
      </c>
      <c r="K2577" s="182">
        <f ca="1">K2572-K2575-K2576</f>
        <v>90.884999999999962</v>
      </c>
      <c r="L2577" s="201">
        <f ca="1">L2572-L2575-L2576</f>
        <v>91.834999999999852</v>
      </c>
      <c r="M2577" s="113">
        <f t="shared" si="240"/>
        <v>0</v>
      </c>
      <c r="N2577" s="64">
        <f t="shared" ca="1" si="243"/>
        <v>1</v>
      </c>
    </row>
    <row r="2578" spans="1:14">
      <c r="A2578" s="39">
        <f t="shared" ca="1" si="246"/>
        <v>4.1311363636363616</v>
      </c>
      <c r="B2578" s="41">
        <f t="shared" ca="1" si="247"/>
        <v>4.1743181818181752</v>
      </c>
      <c r="C2578" s="103">
        <f t="shared" si="245"/>
        <v>46376</v>
      </c>
      <c r="E2578" s="170"/>
      <c r="F2578" s="58" t="str">
        <f>VLOOKUP(MOD(C2578,7),'CALENDAR INFO'!$L$2:$M$8,2)</f>
        <v>SUN</v>
      </c>
      <c r="I2578" s="454">
        <f t="shared" si="244"/>
        <v>0</v>
      </c>
      <c r="M2578" s="113">
        <f t="shared" si="240"/>
        <v>0</v>
      </c>
      <c r="N2578" s="64">
        <f t="shared" ca="1" si="243"/>
        <v>1</v>
      </c>
    </row>
    <row r="2579" spans="1:14">
      <c r="A2579" s="39">
        <f t="shared" ca="1" si="246"/>
        <v>4.1311363636363616</v>
      </c>
      <c r="B2579" s="41">
        <f t="shared" ca="1" si="247"/>
        <v>4.1743181818181752</v>
      </c>
      <c r="C2579" s="103">
        <f t="shared" si="245"/>
        <v>46377</v>
      </c>
      <c r="E2579" s="170"/>
      <c r="F2579" s="58" t="str">
        <f>VLOOKUP(MOD(C2579,7),'CALENDAR INFO'!$L$2:$M$8,2)</f>
        <v>MON</v>
      </c>
      <c r="I2579" s="454">
        <f t="shared" si="244"/>
        <v>0</v>
      </c>
      <c r="J2579" s="15" t="s">
        <v>241</v>
      </c>
      <c r="K2579" s="15">
        <f>K2571</f>
        <v>31</v>
      </c>
      <c r="L2579" s="179">
        <f>L2571</f>
        <v>31</v>
      </c>
      <c r="M2579" s="113">
        <f t="shared" si="240"/>
        <v>1</v>
      </c>
      <c r="N2579" s="64">
        <f t="shared" ca="1" si="243"/>
        <v>1.0001159532828283</v>
      </c>
    </row>
    <row r="2580" spans="1:14">
      <c r="A2580" s="39">
        <f t="shared" ca="1" si="246"/>
        <v>4.1311363636363616</v>
      </c>
      <c r="B2580" s="41">
        <f t="shared" ca="1" si="247"/>
        <v>4.1743181818181752</v>
      </c>
      <c r="C2580" s="103">
        <f t="shared" si="245"/>
        <v>46378</v>
      </c>
      <c r="E2580" s="170"/>
      <c r="F2580" s="58" t="str">
        <f>VLOOKUP(MOD(C2580,7),'CALENDAR INFO'!$L$2:$M$8,2)</f>
        <v>TUE</v>
      </c>
      <c r="I2580" s="454">
        <f t="shared" si="244"/>
        <v>0</v>
      </c>
      <c r="J2580" s="15" t="s">
        <v>193</v>
      </c>
      <c r="K2580" s="15">
        <f ca="1">COUNTA(INDIRECT(K2564))</f>
        <v>0</v>
      </c>
      <c r="L2580" s="179">
        <f ca="1">COUNTA(INDIRECT(L2564))</f>
        <v>0</v>
      </c>
      <c r="M2580" s="113">
        <f t="shared" si="240"/>
        <v>1</v>
      </c>
      <c r="N2580" s="64">
        <f t="shared" ca="1" si="243"/>
        <v>1.0001159532828283</v>
      </c>
    </row>
    <row r="2581" spans="1:14">
      <c r="A2581" s="39">
        <f t="shared" ca="1" si="246"/>
        <v>4.1311363636363616</v>
      </c>
      <c r="B2581" s="41">
        <f t="shared" ca="1" si="247"/>
        <v>4.1743181818181752</v>
      </c>
      <c r="C2581" s="103">
        <f t="shared" si="245"/>
        <v>46379</v>
      </c>
      <c r="E2581" s="170" t="s">
        <v>19</v>
      </c>
      <c r="F2581" s="58" t="str">
        <f>VLOOKUP(MOD(C2581,7),'CALENDAR INFO'!$L$2:$M$8,2)</f>
        <v>WED</v>
      </c>
      <c r="I2581" s="454">
        <f t="shared" si="244"/>
        <v>0</v>
      </c>
      <c r="J2581" s="15" t="s">
        <v>242</v>
      </c>
      <c r="K2581" s="399">
        <f ca="1">COUNTA(INDIRECT(K2565))</f>
        <v>9</v>
      </c>
      <c r="L2581" s="400">
        <f ca="1">COUNTA(INDIRECT(L2565))</f>
        <v>9</v>
      </c>
      <c r="M2581" s="113">
        <f t="shared" si="240"/>
        <v>1</v>
      </c>
      <c r="N2581" s="64">
        <f t="shared" ca="1" si="243"/>
        <v>1.0001159532828283</v>
      </c>
    </row>
    <row r="2582" spans="1:14">
      <c r="A2582" s="39">
        <f t="shared" ca="1" si="246"/>
        <v>4.1311363636363616</v>
      </c>
      <c r="B2582" s="41">
        <f t="shared" ca="1" si="247"/>
        <v>4.1743181818181752</v>
      </c>
      <c r="C2582" s="103">
        <f t="shared" si="245"/>
        <v>46380</v>
      </c>
      <c r="E2582" s="167" t="s">
        <v>18</v>
      </c>
      <c r="F2582" s="58" t="str">
        <f>VLOOKUP(MOD(C2582,7),'CALENDAR INFO'!$L$2:$M$8,2)</f>
        <v>THU</v>
      </c>
      <c r="I2582" s="454">
        <f t="shared" si="244"/>
        <v>0</v>
      </c>
      <c r="J2582" s="15" t="s">
        <v>238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43"/>
        <v>1.0004638131313131</v>
      </c>
    </row>
    <row r="2583" spans="1:14">
      <c r="A2583" s="39">
        <f t="shared" ca="1" si="246"/>
        <v>4.1311363636363616</v>
      </c>
      <c r="B2583" s="41">
        <f t="shared" ca="1" si="247"/>
        <v>4.1743181818181752</v>
      </c>
      <c r="C2583" s="103">
        <f t="shared" si="245"/>
        <v>46381</v>
      </c>
      <c r="D2583" s="173" t="s">
        <v>52</v>
      </c>
      <c r="E2583" s="167"/>
      <c r="F2583" s="58" t="str">
        <f>VLOOKUP(MOD(C2583,7),'CALENDAR INFO'!$L$2:$M$8,2)</f>
        <v>FRI</v>
      </c>
      <c r="I2583" s="454">
        <f t="shared" si="244"/>
        <v>0</v>
      </c>
      <c r="K2583" s="178"/>
      <c r="L2583" s="192"/>
      <c r="M2583" s="117">
        <v>0</v>
      </c>
      <c r="N2583" s="64">
        <f t="shared" ca="1" si="243"/>
        <v>1</v>
      </c>
    </row>
    <row r="2584" spans="1:14">
      <c r="A2584" s="39">
        <f t="shared" ca="1" si="246"/>
        <v>4.1311363636363616</v>
      </c>
      <c r="B2584" s="41">
        <f t="shared" ca="1" si="247"/>
        <v>4.1743181818181752</v>
      </c>
      <c r="C2584" s="103">
        <f t="shared" si="245"/>
        <v>46382</v>
      </c>
      <c r="E2584" s="167"/>
      <c r="F2584" s="58" t="str">
        <f>VLOOKUP(MOD(C2584,7),'CALENDAR INFO'!$L$2:$M$8,2)</f>
        <v>SAT</v>
      </c>
      <c r="I2584" s="454">
        <f t="shared" si="244"/>
        <v>0</v>
      </c>
      <c r="J2584" s="15" t="s">
        <v>237</v>
      </c>
      <c r="K2584" s="178">
        <f ca="1">K2577</f>
        <v>90.884999999999962</v>
      </c>
      <c r="L2584" s="192">
        <f ca="1">L2577</f>
        <v>91.834999999999852</v>
      </c>
      <c r="M2584" s="113">
        <f>IF(MOD(C2584,7)&lt;2,0,IF(MOD(C2584,7)=6,3,1))</f>
        <v>0</v>
      </c>
      <c r="N2584" s="64">
        <f t="shared" ca="1" si="243"/>
        <v>1</v>
      </c>
    </row>
    <row r="2585" spans="1:14">
      <c r="A2585" s="39">
        <f t="shared" ca="1" si="246"/>
        <v>4.1311363636363616</v>
      </c>
      <c r="B2585" s="41">
        <f t="shared" ca="1" si="247"/>
        <v>4.1743181818181752</v>
      </c>
      <c r="C2585" s="103">
        <f t="shared" si="245"/>
        <v>46383</v>
      </c>
      <c r="E2585" s="167"/>
      <c r="F2585" s="58" t="str">
        <f>VLOOKUP(MOD(C2585,7),'CALENDAR INFO'!$L$2:$M$8,2)</f>
        <v>SUN</v>
      </c>
      <c r="I2585" s="454">
        <f t="shared" si="244"/>
        <v>0</v>
      </c>
      <c r="J2585" s="15" t="s">
        <v>238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43"/>
        <v>1</v>
      </c>
    </row>
    <row r="2586" spans="1:14">
      <c r="A2586" s="39">
        <f t="shared" ca="1" si="246"/>
        <v>4.1311363636363616</v>
      </c>
      <c r="B2586" s="41">
        <f t="shared" ca="1" si="247"/>
        <v>4.1743181818181752</v>
      </c>
      <c r="C2586" s="103">
        <f t="shared" si="245"/>
        <v>46384</v>
      </c>
      <c r="E2586" s="167"/>
      <c r="F2586" s="58" t="str">
        <f>VLOOKUP(MOD(C2586,7),'CALENDAR INFO'!$L$2:$M$8,2)</f>
        <v>MON</v>
      </c>
      <c r="I2586" s="454">
        <f t="shared" si="244"/>
        <v>0</v>
      </c>
      <c r="J2586" s="15" t="s">
        <v>239</v>
      </c>
      <c r="K2586" s="178">
        <f ca="1">K2584/K2585</f>
        <v>4.1311363636363616</v>
      </c>
      <c r="L2586" s="192">
        <f ca="1">L2584/L2585</f>
        <v>4.1743181818181752</v>
      </c>
      <c r="M2586" s="113">
        <f>IF(MOD(C2586,7)&lt;2,0,IF(MOD(C2586,7)=6,3,1))</f>
        <v>1</v>
      </c>
      <c r="N2586" s="64">
        <f t="shared" ca="1" si="243"/>
        <v>1.0001159532828283</v>
      </c>
    </row>
    <row r="2587" spans="1:14">
      <c r="A2587" s="39">
        <f t="shared" ca="1" si="246"/>
        <v>4.1311363636363616</v>
      </c>
      <c r="B2587" s="41">
        <f t="shared" ca="1" si="247"/>
        <v>4.1743181818181752</v>
      </c>
      <c r="C2587" s="103">
        <f t="shared" si="245"/>
        <v>46385</v>
      </c>
      <c r="E2587" s="167"/>
      <c r="F2587" s="58" t="str">
        <f>VLOOKUP(MOD(C2587,7),'CALENDAR INFO'!$L$2:$M$8,2)</f>
        <v>TUE</v>
      </c>
      <c r="I2587" s="454">
        <f t="shared" si="244"/>
        <v>0</v>
      </c>
      <c r="M2587" s="113">
        <f>IF(MOD(C2587,7)&lt;2,0,IF(MOD(C2587,7)=6,3,1))</f>
        <v>1</v>
      </c>
      <c r="N2587" s="64">
        <f t="shared" ca="1" si="243"/>
        <v>1.0001159532828283</v>
      </c>
    </row>
    <row r="2588" spans="1:14">
      <c r="A2588" s="39">
        <f t="shared" ca="1" si="246"/>
        <v>4.1311363636363616</v>
      </c>
      <c r="B2588" s="41">
        <f t="shared" ca="1" si="247"/>
        <v>4.1743181818181752</v>
      </c>
      <c r="C2588" s="103">
        <f t="shared" si="245"/>
        <v>46386</v>
      </c>
      <c r="E2588" s="167"/>
      <c r="F2588" s="58" t="str">
        <f>VLOOKUP(MOD(C2588,7),'CALENDAR INFO'!$L$2:$M$8,2)</f>
        <v>WED</v>
      </c>
      <c r="I2588" s="454">
        <f t="shared" si="244"/>
        <v>0</v>
      </c>
      <c r="M2588" s="113">
        <f>IF(MOD(C2588,7)&lt;2,0,IF(MOD(C2588,7)=6,3,1))</f>
        <v>1</v>
      </c>
      <c r="N2588" s="64">
        <f t="shared" ca="1" si="243"/>
        <v>1.0001159532828283</v>
      </c>
    </row>
    <row r="2589" spans="1:14" ht="15.75" thickBot="1">
      <c r="A2589" s="98">
        <f t="shared" ca="1" si="246"/>
        <v>4.1311363636363616</v>
      </c>
      <c r="B2589" s="230">
        <f t="shared" ca="1" si="247"/>
        <v>4.1743181818181752</v>
      </c>
      <c r="C2589" s="104">
        <f t="shared" si="245"/>
        <v>46387</v>
      </c>
      <c r="D2589" s="112"/>
      <c r="E2589" s="92"/>
      <c r="F2589" s="71" t="str">
        <f>VLOOKUP(MOD(C2589,7),'CALENDAR INFO'!$L$2:$M$8,2)</f>
        <v>THU</v>
      </c>
      <c r="G2589" s="215"/>
      <c r="H2589" s="423"/>
      <c r="I2589" s="455">
        <f t="shared" si="244"/>
        <v>0</v>
      </c>
      <c r="J2589" s="347"/>
      <c r="K2589" s="347"/>
      <c r="L2589" s="348"/>
      <c r="M2589" s="281">
        <v>4</v>
      </c>
      <c r="N2589" s="292">
        <f t="shared" ca="1" si="243"/>
        <v>1.0004638131313131</v>
      </c>
    </row>
    <row r="2590" spans="1:14">
      <c r="C2590" s="103">
        <f t="shared" si="245"/>
        <v>46388</v>
      </c>
      <c r="D2590" s="173" t="s">
        <v>114</v>
      </c>
      <c r="E2590" s="167"/>
      <c r="F2590" s="58" t="str">
        <f>VLOOKUP(MOD(C2590,7),'CALENDAR INFO'!$L$2:$M$8,2)</f>
        <v>FRI</v>
      </c>
      <c r="I2590" s="454">
        <f t="shared" si="244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ref="N2590:N2592" si="248">1+(M2590/360)*(MAX(H2590,B2590)/100)</f>
        <v>1</v>
      </c>
    </row>
    <row r="2591" spans="1:14">
      <c r="C2591" s="103">
        <f t="shared" si="245"/>
        <v>46389</v>
      </c>
      <c r="E2591" s="167"/>
      <c r="F2591" s="58" t="str">
        <f>VLOOKUP(MOD(C2591,7),'CALENDAR INFO'!$L$2:$M$8,2)</f>
        <v>SAT</v>
      </c>
      <c r="I2591" s="454">
        <f t="shared" si="244"/>
        <v>0</v>
      </c>
      <c r="K2591" s="15">
        <f>VLOOKUP(MONTH($C2590),'CALENDAR INFO'!$O$2:$P$13,2)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48"/>
        <v>1</v>
      </c>
    </row>
    <row r="2592" spans="1:14">
      <c r="C2592" s="103">
        <f t="shared" si="245"/>
        <v>46390</v>
      </c>
      <c r="E2592" s="167"/>
      <c r="F2592" s="58" t="str">
        <f>VLOOKUP(MOD(C2592,7),'CALENDAR INFO'!$L$2:$M$8,2)</f>
        <v>SUN</v>
      </c>
      <c r="I2592" s="454">
        <f t="shared" si="244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48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A1:A1048576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B1:B1048576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L36" sqref="L36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7.75" customWidth="1"/>
    <col min="11" max="11" width="8" customWidth="1"/>
    <col min="12" max="12" width="41.875" bestFit="1" customWidth="1"/>
  </cols>
  <sheetData>
    <row r="1" spans="1:14">
      <c r="A1" s="269"/>
      <c r="B1" s="469" t="s">
        <v>175</v>
      </c>
      <c r="C1" s="470"/>
      <c r="D1" s="469" t="s">
        <v>172</v>
      </c>
      <c r="E1" s="470"/>
      <c r="F1" s="22" t="s">
        <v>176</v>
      </c>
      <c r="G1" s="469" t="s">
        <v>166</v>
      </c>
      <c r="H1" s="470"/>
      <c r="I1" s="22" t="s">
        <v>170</v>
      </c>
      <c r="J1" s="469" t="s">
        <v>168</v>
      </c>
      <c r="K1" s="470"/>
      <c r="L1" s="469" t="s">
        <v>169</v>
      </c>
      <c r="M1" s="470"/>
      <c r="N1" s="375" t="s">
        <v>91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70</v>
      </c>
      <c r="G2" s="24" t="s">
        <v>167</v>
      </c>
      <c r="H2" s="25" t="s">
        <v>19</v>
      </c>
      <c r="I2" s="278" t="s">
        <v>171</v>
      </c>
      <c r="J2" s="24" t="s">
        <v>167</v>
      </c>
      <c r="K2" s="25" t="s">
        <v>19</v>
      </c>
      <c r="L2" s="272" t="s">
        <v>173</v>
      </c>
      <c r="M2" s="273" t="s">
        <v>174</v>
      </c>
      <c r="N2" s="349" t="s">
        <v>231</v>
      </c>
    </row>
    <row r="3" spans="1:14">
      <c r="A3" s="381">
        <v>45192</v>
      </c>
      <c r="B3" s="336">
        <v>94.647599999999997</v>
      </c>
      <c r="C3" s="34" t="s">
        <v>199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8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2">
        <v>45222</v>
      </c>
      <c r="B4" s="337">
        <v>94.639799999999994</v>
      </c>
      <c r="C4" s="45" t="s">
        <v>199</v>
      </c>
      <c r="D4" s="40">
        <f t="shared" ca="1" si="0"/>
        <v>94.639773892620084</v>
      </c>
      <c r="E4" s="41">
        <f t="shared" ca="1" si="1"/>
        <v>5.3602261073799182</v>
      </c>
      <c r="F4" s="317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2">
        <v>45231</v>
      </c>
      <c r="B5" s="337">
        <v>94.638800000000003</v>
      </c>
      <c r="C5" s="45" t="s">
        <v>199</v>
      </c>
      <c r="D5" s="40">
        <f t="shared" ca="1" si="0"/>
        <v>94.63882534592986</v>
      </c>
      <c r="E5" s="41">
        <f t="shared" ca="1" si="1"/>
        <v>5.361174654070135</v>
      </c>
      <c r="F5" s="317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3">
        <v>45261</v>
      </c>
      <c r="B6" s="341">
        <v>94.646699999999996</v>
      </c>
      <c r="C6" s="51" t="s">
        <v>199</v>
      </c>
      <c r="D6" s="50">
        <f t="shared" ca="1" si="0"/>
        <v>94.64680581995799</v>
      </c>
      <c r="E6" s="51">
        <f t="shared" ca="1" si="1"/>
        <v>5.3531941800420046</v>
      </c>
      <c r="F6" s="342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2">
        <v>45292</v>
      </c>
      <c r="B7" s="337">
        <v>94.651499999999999</v>
      </c>
      <c r="C7" s="41" t="s">
        <v>199</v>
      </c>
      <c r="D7" s="40">
        <f t="shared" ca="1" si="0"/>
        <v>94.651652450862258</v>
      </c>
      <c r="E7" s="41">
        <f t="shared" ca="1" si="1"/>
        <v>5.3483475491377463</v>
      </c>
      <c r="F7" s="343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2">
        <v>45323</v>
      </c>
      <c r="B8" s="337">
        <v>94.653599999999997</v>
      </c>
      <c r="C8" s="41" t="s">
        <v>199</v>
      </c>
      <c r="D8" s="40">
        <f t="shared" ca="1" si="0"/>
        <v>94.653756630843603</v>
      </c>
      <c r="E8" s="41">
        <f t="shared" ca="1" si="1"/>
        <v>5.346243369156392</v>
      </c>
      <c r="F8" s="343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1">
        <v>45352</v>
      </c>
      <c r="B9" s="337">
        <v>94.646600000000007</v>
      </c>
      <c r="C9" s="34" t="s">
        <v>199</v>
      </c>
      <c r="D9" s="33">
        <f t="shared" ca="1" si="0"/>
        <v>94.646120643882142</v>
      </c>
      <c r="E9" s="34">
        <f t="shared" ca="1" si="1"/>
        <v>5.3538793561178535</v>
      </c>
      <c r="F9" s="345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1" t="s">
        <v>197</v>
      </c>
    </row>
    <row r="10" spans="1:14">
      <c r="A10" s="382">
        <v>45383</v>
      </c>
      <c r="B10" s="337">
        <v>94.642700000000005</v>
      </c>
      <c r="C10" s="41" t="s">
        <v>199</v>
      </c>
      <c r="D10" s="40">
        <f t="shared" ca="1" si="0"/>
        <v>94.642735717452865</v>
      </c>
      <c r="E10" s="41">
        <f t="shared" ca="1" si="1"/>
        <v>5.357264282547141</v>
      </c>
      <c r="F10" s="317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2">
        <v>45413</v>
      </c>
      <c r="B11" s="337">
        <v>94.631100000000004</v>
      </c>
      <c r="C11" s="41" t="s">
        <v>199</v>
      </c>
      <c r="D11" s="40">
        <f t="shared" ca="1" si="0"/>
        <v>94.631100457114627</v>
      </c>
      <c r="E11" s="41">
        <f t="shared" ca="1" si="1"/>
        <v>5.3688995428853667</v>
      </c>
      <c r="F11" s="317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1">
        <v>45444</v>
      </c>
      <c r="B12" s="337">
        <v>94.628799999999998</v>
      </c>
      <c r="C12" s="34" t="s">
        <v>199</v>
      </c>
      <c r="D12" s="33">
        <f t="shared" ca="1" si="0"/>
        <v>94.629145547712312</v>
      </c>
      <c r="E12" s="34">
        <f t="shared" ca="1" si="1"/>
        <v>5.3708544522876878</v>
      </c>
      <c r="F12" s="343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1" t="s">
        <v>197</v>
      </c>
    </row>
    <row r="13" spans="1:14">
      <c r="A13" s="382">
        <v>45474</v>
      </c>
      <c r="B13" s="337">
        <v>94.774900000000002</v>
      </c>
      <c r="C13" s="41" t="s">
        <v>199</v>
      </c>
      <c r="D13" s="44">
        <f t="shared" ca="1" si="0"/>
        <v>94.774888047046815</v>
      </c>
      <c r="E13" s="45">
        <f t="shared" ca="1" si="1"/>
        <v>5.2251119529531875</v>
      </c>
      <c r="F13" s="317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2">
        <v>45505</v>
      </c>
      <c r="B14" s="337">
        <v>95.004300000000001</v>
      </c>
      <c r="C14" s="41" t="s">
        <v>199</v>
      </c>
      <c r="D14" s="44">
        <f ca="1">100-E14</f>
        <v>95.004256871630673</v>
      </c>
      <c r="E14" s="45">
        <f ca="1">(M14-1)*(360/I14)*100</f>
        <v>4.9957431283693268</v>
      </c>
      <c r="F14" s="317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1">
        <v>45536</v>
      </c>
      <c r="B15" s="337">
        <v>95.233800000000002</v>
      </c>
      <c r="C15" s="34" t="s">
        <v>199</v>
      </c>
      <c r="D15" s="33">
        <f ca="1">100-E15</f>
        <v>95.233789830195406</v>
      </c>
      <c r="E15" s="34">
        <f ca="1">(M15-1)*(360/I15)*100</f>
        <v>4.7662101698045962</v>
      </c>
      <c r="F15" s="318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0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2">
        <v>45566</v>
      </c>
      <c r="B16" s="337">
        <v>95.390699999999995</v>
      </c>
      <c r="C16" s="41" t="s">
        <v>199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7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2">
        <v>45597</v>
      </c>
      <c r="B17" s="337">
        <v>95.552700000000002</v>
      </c>
      <c r="C17" s="41" t="s">
        <v>199</v>
      </c>
      <c r="D17" s="44">
        <f t="shared" ca="1" si="7"/>
        <v>95.552667419824061</v>
      </c>
      <c r="E17" s="45">
        <f t="shared" ca="1" si="8"/>
        <v>4.447332580175936</v>
      </c>
      <c r="F17" s="322">
        <f t="shared" ca="1" si="9"/>
        <v>-3.258017594021112E-5</v>
      </c>
      <c r="G17" s="257">
        <f t="shared" ref="G17:G37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3">
        <f t="shared" ca="1" si="10"/>
        <v>1.0112418684665558</v>
      </c>
    </row>
    <row r="18" spans="1:13">
      <c r="A18" s="383">
        <v>45627</v>
      </c>
      <c r="B18" s="341">
        <v>95.634399999999999</v>
      </c>
      <c r="C18" s="51" t="s">
        <v>199</v>
      </c>
      <c r="D18" s="50">
        <f t="shared" ca="1" si="7"/>
        <v>95.634422644223989</v>
      </c>
      <c r="E18" s="51">
        <f t="shared" ca="1" si="8"/>
        <v>4.3655773557760051</v>
      </c>
      <c r="F18" s="319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2">
        <v>45658</v>
      </c>
      <c r="B19" s="337">
        <v>95.638999999999996</v>
      </c>
      <c r="C19" s="41" t="s">
        <v>199</v>
      </c>
      <c r="D19" s="40">
        <f t="shared" ca="1" si="7"/>
        <v>95.638964642982017</v>
      </c>
      <c r="E19" s="41">
        <f t="shared" ca="1" si="8"/>
        <v>4.3610353570179807</v>
      </c>
      <c r="F19" s="317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2">
        <v>45689</v>
      </c>
      <c r="B20" s="337">
        <v>95.645499999999998</v>
      </c>
      <c r="C20" s="41" t="s">
        <v>199</v>
      </c>
      <c r="D20" s="40">
        <f t="shared" ca="1" si="7"/>
        <v>95.645500879888374</v>
      </c>
      <c r="E20" s="41">
        <f t="shared" ca="1" si="8"/>
        <v>4.3544991201116252</v>
      </c>
      <c r="F20" s="317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1">
        <v>45717</v>
      </c>
      <c r="B21" s="337">
        <v>95.657700000000006</v>
      </c>
      <c r="C21" s="34" t="s">
        <v>199</v>
      </c>
      <c r="D21" s="33">
        <f t="shared" ca="1" si="7"/>
        <v>95.657735470737023</v>
      </c>
      <c r="E21" s="34">
        <f t="shared" ca="1" si="8"/>
        <v>4.3422645292629802</v>
      </c>
      <c r="F21" s="318">
        <f t="shared" ca="1" si="9"/>
        <v>3.5470737017817555E-5</v>
      </c>
      <c r="G21" s="258">
        <f t="shared" si="11"/>
        <v>45735</v>
      </c>
      <c r="H21" s="255">
        <v>45826</v>
      </c>
      <c r="I21" s="350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2">
        <v>45748</v>
      </c>
      <c r="B22" s="337">
        <v>95.658799999999999</v>
      </c>
      <c r="C22" s="41" t="s">
        <v>199</v>
      </c>
      <c r="D22" s="40">
        <f t="shared" ca="1" si="7"/>
        <v>95.658758546054059</v>
      </c>
      <c r="E22" s="41">
        <f t="shared" ca="1" si="8"/>
        <v>4.341241453945945</v>
      </c>
      <c r="F22" s="317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2">
        <v>45778</v>
      </c>
      <c r="B23" s="337">
        <v>95.6511</v>
      </c>
      <c r="C23" s="41" t="s">
        <v>199</v>
      </c>
      <c r="D23" s="40">
        <f t="shared" ca="1" si="7"/>
        <v>95.651077457813614</v>
      </c>
      <c r="E23" s="41">
        <f t="shared" ca="1" si="8"/>
        <v>4.3489225421863864</v>
      </c>
      <c r="F23" s="317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1">
        <v>45809</v>
      </c>
      <c r="B24" s="33" t="e">
        <f>OUTPUT!#REF!</f>
        <v>#REF!</v>
      </c>
      <c r="C24" s="41" t="s">
        <v>199</v>
      </c>
      <c r="D24" s="33">
        <f t="shared" ca="1" si="7"/>
        <v>95.623975391905887</v>
      </c>
      <c r="E24" s="34">
        <f t="shared" ca="1" si="8"/>
        <v>4.3760246080941085</v>
      </c>
      <c r="F24" s="318" t="e">
        <f t="shared" ca="1" si="9"/>
        <v>#REF!</v>
      </c>
      <c r="G24" s="258">
        <f t="shared" si="11"/>
        <v>45826</v>
      </c>
      <c r="H24" s="255">
        <v>45917</v>
      </c>
      <c r="I24" s="350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2">
        <v>45839</v>
      </c>
      <c r="B25" s="337">
        <v>95.678799999999995</v>
      </c>
      <c r="C25" s="41" t="s">
        <v>199</v>
      </c>
      <c r="D25" s="44">
        <f t="shared" ca="1" si="7"/>
        <v>95.678838537958185</v>
      </c>
      <c r="E25" s="45">
        <f t="shared" ca="1" si="8"/>
        <v>4.321161462041812</v>
      </c>
      <c r="F25" s="317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2">
        <v>45870</v>
      </c>
      <c r="B26" s="33" t="e">
        <f>OUTPUT!#REF!</f>
        <v>#REF!</v>
      </c>
      <c r="C26" s="41" t="s">
        <v>199</v>
      </c>
      <c r="D26" s="44">
        <f t="shared" ca="1" si="7"/>
        <v>95.76901892505019</v>
      </c>
      <c r="E26" s="45">
        <f t="shared" ca="1" si="8"/>
        <v>4.2309810749498054</v>
      </c>
      <c r="F26" s="317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2">
        <v>45901</v>
      </c>
      <c r="B27" s="337">
        <v>95.913399999999996</v>
      </c>
      <c r="C27" s="41" t="s">
        <v>199</v>
      </c>
      <c r="D27" s="33">
        <f t="shared" ca="1" si="7"/>
        <v>95.913445532228977</v>
      </c>
      <c r="E27" s="34">
        <f t="shared" ca="1" si="8"/>
        <v>4.0865544677710224</v>
      </c>
      <c r="F27" s="318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0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7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2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3">
        <f t="shared" ca="1" si="10"/>
        <v>1.0095246139629903</v>
      </c>
    </row>
    <row r="30" spans="1:13">
      <c r="A30" s="43">
        <v>45992</v>
      </c>
      <c r="B30" s="459">
        <v>96.3108</v>
      </c>
      <c r="C30" s="51" t="s">
        <v>199</v>
      </c>
      <c r="D30" s="50">
        <f t="shared" ca="1" si="7"/>
        <v>96.310313986477453</v>
      </c>
      <c r="E30" s="51">
        <f t="shared" ca="1" si="8"/>
        <v>3.6896860135225404</v>
      </c>
      <c r="F30" s="342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7">
        <v>96.333100000000002</v>
      </c>
      <c r="C31" s="41" t="s">
        <v>199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3">
        <f t="shared" ref="F31:F42" ca="1" si="15">D31-B31</f>
        <v>-1.1468696101246678E-4</v>
      </c>
      <c r="G31" s="257">
        <f t="shared" si="11"/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7">
        <v>96.346000000000004</v>
      </c>
      <c r="C32" s="41" t="s">
        <v>199</v>
      </c>
      <c r="D32" s="40">
        <f t="shared" ca="1" si="13"/>
        <v>96.345888142539181</v>
      </c>
      <c r="E32" s="41">
        <f t="shared" ca="1" si="14"/>
        <v>3.6541118574608249</v>
      </c>
      <c r="F32" s="343">
        <f ca="1">D32-B32</f>
        <v>-1.1185746082276182E-4</v>
      </c>
      <c r="G32" s="257">
        <f t="shared" si="11"/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7">
        <v>96.363600000000005</v>
      </c>
      <c r="C33" s="41" t="s">
        <v>199</v>
      </c>
      <c r="D33" s="33">
        <f t="shared" ca="1" si="13"/>
        <v>96.36353033262013</v>
      </c>
      <c r="E33" s="34">
        <f t="shared" ca="1" si="14"/>
        <v>3.6364696673798687</v>
      </c>
      <c r="F33" s="343">
        <f t="shared" ca="1" si="15"/>
        <v>-6.9667379875681945E-5</v>
      </c>
      <c r="G33" s="258">
        <f t="shared" si="11"/>
        <v>46099</v>
      </c>
      <c r="H33" s="255">
        <v>46190</v>
      </c>
      <c r="I33" s="350">
        <f t="shared" si="16"/>
        <v>91</v>
      </c>
      <c r="J33" s="320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7">
        <v>96.368799999999993</v>
      </c>
      <c r="C34" s="41" t="s">
        <v>199</v>
      </c>
      <c r="D34" s="40">
        <f t="shared" ca="1" si="13"/>
        <v>96.36875345987751</v>
      </c>
      <c r="E34" s="41">
        <f t="shared" ca="1" si="14"/>
        <v>3.631246540122484</v>
      </c>
      <c r="F34" s="317">
        <f t="shared" ca="1" si="15"/>
        <v>-4.6540122482952029E-5</v>
      </c>
      <c r="G34" s="257">
        <f t="shared" si="11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7">
        <v>96.364099999999993</v>
      </c>
      <c r="C35" s="41" t="s">
        <v>199</v>
      </c>
      <c r="D35" s="40">
        <f t="shared" ca="1" si="13"/>
        <v>96.364096340478469</v>
      </c>
      <c r="E35" s="41">
        <f t="shared" ca="1" si="14"/>
        <v>3.6359036595215279</v>
      </c>
      <c r="F35" s="317">
        <f t="shared" ca="1" si="15"/>
        <v>-3.659521524923548E-6</v>
      </c>
      <c r="G35" s="257">
        <f t="shared" si="11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v>46174</v>
      </c>
      <c r="B36" s="337">
        <v>96.353700000000003</v>
      </c>
      <c r="C36" s="41" t="s">
        <v>199</v>
      </c>
      <c r="D36" s="33">
        <f t="shared" ca="1" si="13"/>
        <v>96.353674036865542</v>
      </c>
      <c r="E36" s="34">
        <f t="shared" ca="1" si="14"/>
        <v>3.6463259631344642</v>
      </c>
      <c r="F36" s="318">
        <f t="shared" ca="1" si="15"/>
        <v>-2.5963134461903792E-5</v>
      </c>
      <c r="G36" s="258">
        <f t="shared" si="11"/>
        <v>46190</v>
      </c>
      <c r="H36" s="255">
        <v>46281</v>
      </c>
      <c r="I36" s="350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1.0092171017401455</v>
      </c>
    </row>
    <row r="37" spans="1:13">
      <c r="A37" s="38">
        <f>+OUTPUT!A3</f>
        <v>46204</v>
      </c>
      <c r="B37" s="40">
        <f>OUTPUT!H3</f>
        <v>96.262500000000003</v>
      </c>
      <c r="C37" s="41">
        <f>OUTPUT!I3</f>
        <v>3.7374999999999972</v>
      </c>
      <c r="D37" s="44">
        <f t="shared" ca="1" si="13"/>
        <v>96.260414900160811</v>
      </c>
      <c r="E37" s="45">
        <f t="shared" ca="1" si="14"/>
        <v>3.7395850998391911</v>
      </c>
      <c r="F37" s="317">
        <f t="shared" ca="1" si="15"/>
        <v>-2.0850998391921394E-3</v>
      </c>
      <c r="G37" s="257">
        <f t="shared" si="11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1.0101799816606734</v>
      </c>
    </row>
    <row r="38" spans="1:13">
      <c r="A38" s="38">
        <f>+OUTPUT!A4</f>
        <v>46235</v>
      </c>
      <c r="B38" s="40">
        <f>OUTPUT!H4</f>
        <v>96.157499999999999</v>
      </c>
      <c r="C38" s="41">
        <f>OUTPUT!I4</f>
        <v>3.8425000000000011</v>
      </c>
      <c r="D38" s="44">
        <f t="shared" ca="1" si="13"/>
        <v>96.157277647542927</v>
      </c>
      <c r="E38" s="45">
        <f t="shared" ca="1" si="14"/>
        <v>3.8427223524570793</v>
      </c>
      <c r="F38" s="317">
        <f t="shared" ca="1" si="15"/>
        <v>-2.2235245707236118E-4</v>
      </c>
      <c r="G38" s="257">
        <f t="shared" ref="G38:G42" si="18">H35</f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1.009713548168711</v>
      </c>
    </row>
    <row r="39" spans="1:13">
      <c r="A39" s="32">
        <f>+OUTPUT!A5</f>
        <v>46266</v>
      </c>
      <c r="B39" s="33">
        <f>OUTPUT!H5</f>
        <v>96.042500000000004</v>
      </c>
      <c r="C39" s="34">
        <f>OUTPUT!I5</f>
        <v>3.957499999999996</v>
      </c>
      <c r="D39" s="33">
        <f t="shared" ca="1" si="13"/>
        <v>96.042148101060604</v>
      </c>
      <c r="E39" s="34">
        <f t="shared" ca="1" si="14"/>
        <v>3.9578518989393969</v>
      </c>
      <c r="F39" s="318">
        <f t="shared" ca="1" si="15"/>
        <v>-3.5189893939957528E-4</v>
      </c>
      <c r="G39" s="258">
        <f t="shared" si="18"/>
        <v>46281</v>
      </c>
      <c r="H39" s="255">
        <v>46372</v>
      </c>
      <c r="I39" s="261">
        <f t="shared" si="16"/>
        <v>91</v>
      </c>
      <c r="J39" s="320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1.0100045700778746</v>
      </c>
    </row>
    <row r="40" spans="1:13">
      <c r="A40" s="38">
        <f>+OUTPUT!A6</f>
        <v>46296</v>
      </c>
      <c r="B40" s="40">
        <f>OUTPUT!H6</f>
        <v>95.927499999999995</v>
      </c>
      <c r="C40" s="41">
        <f>OUTPUT!I6</f>
        <v>4.0725000000000051</v>
      </c>
      <c r="D40" s="44">
        <f t="shared" ca="1" si="13"/>
        <v>96.665853804878097</v>
      </c>
      <c r="E40" s="45">
        <f t="shared" ca="1" si="14"/>
        <v>3.3341461951219031</v>
      </c>
      <c r="F40" s="317">
        <f t="shared" ca="1" si="15"/>
        <v>0.73835380487810198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1.0084279806598915</v>
      </c>
    </row>
    <row r="41" spans="1:13">
      <c r="A41" s="38">
        <f>+OUTPUT!A7</f>
        <v>46327</v>
      </c>
      <c r="B41" s="40">
        <f>OUTPUT!H7</f>
        <v>95.85</v>
      </c>
      <c r="C41" s="41">
        <f>OUTPUT!I7</f>
        <v>4.1500000000000057</v>
      </c>
      <c r="D41" s="44">
        <f t="shared" ca="1" si="13"/>
        <v>97.888075024811712</v>
      </c>
      <c r="E41" s="45">
        <f t="shared" ca="1" si="14"/>
        <v>2.1119249751882929</v>
      </c>
      <c r="F41" s="322">
        <f t="shared" ca="1" si="15"/>
        <v>2.0380750248117181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3">
        <f t="shared" ca="1" si="17"/>
        <v>1.0053384770206149</v>
      </c>
    </row>
    <row r="42" spans="1:13">
      <c r="A42" s="43">
        <f>+OUTPUT!A8</f>
        <v>46357</v>
      </c>
      <c r="B42" s="50">
        <f>OUTPUT!H8</f>
        <v>95.77</v>
      </c>
      <c r="C42" s="51">
        <f>OUTPUT!I8</f>
        <v>4.230000000000004</v>
      </c>
      <c r="D42" s="50">
        <f t="shared" ca="1" si="13"/>
        <v>99.127608850639959</v>
      </c>
      <c r="E42" s="51">
        <f t="shared" ca="1" si="14"/>
        <v>0.87239114936004303</v>
      </c>
      <c r="F42" s="319">
        <f t="shared" ca="1" si="15"/>
        <v>3.3576088506399628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1.0022052109608823</v>
      </c>
    </row>
    <row r="45" spans="1:13">
      <c r="G45" s="21" t="s">
        <v>129</v>
      </c>
      <c r="H45" s="17"/>
      <c r="I45" s="17"/>
      <c r="J45" s="17"/>
      <c r="K45" s="17"/>
    </row>
    <row r="46" spans="1:13" ht="30" customHeight="1">
      <c r="G46" s="476" t="s">
        <v>128</v>
      </c>
      <c r="H46" s="476"/>
      <c r="I46" s="476"/>
      <c r="J46" s="476"/>
      <c r="K46" s="476"/>
    </row>
    <row r="47" spans="1:13" ht="30" customHeight="1">
      <c r="G47" s="476"/>
      <c r="H47" s="476"/>
      <c r="I47" s="476"/>
      <c r="J47" s="476"/>
      <c r="K47" s="476"/>
    </row>
    <row r="48" spans="1:13" ht="30" customHeight="1">
      <c r="G48" s="476"/>
      <c r="H48" s="476"/>
      <c r="I48" s="476"/>
      <c r="J48" s="476"/>
      <c r="K48" s="476"/>
    </row>
    <row r="49" spans="7:11" ht="30" customHeight="1">
      <c r="G49" s="476"/>
      <c r="H49" s="476"/>
      <c r="I49" s="476"/>
      <c r="J49" s="476"/>
      <c r="K49" s="476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39"/>
  <sheetViews>
    <sheetView zoomScale="75" zoomScaleNormal="75" workbookViewId="0">
      <selection activeCell="P37" sqref="P37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9" width="13.25" style="17" bestFit="1" customWidth="1"/>
    <col min="10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5.75" thickBot="1">
      <c r="A1" s="68" t="s">
        <v>41</v>
      </c>
      <c r="L1" s="123" t="s">
        <v>23</v>
      </c>
      <c r="M1" s="124" t="s">
        <v>0</v>
      </c>
      <c r="O1" s="123" t="s">
        <v>66</v>
      </c>
      <c r="P1" s="124" t="s">
        <v>149</v>
      </c>
    </row>
    <row r="2" spans="1:20">
      <c r="A2" s="68" t="s">
        <v>42</v>
      </c>
      <c r="L2" s="125">
        <v>0</v>
      </c>
      <c r="M2" s="126" t="s">
        <v>1</v>
      </c>
      <c r="O2" s="125">
        <v>1</v>
      </c>
      <c r="P2" s="126">
        <v>31</v>
      </c>
    </row>
    <row r="3" spans="1:20">
      <c r="L3" s="128">
        <v>1</v>
      </c>
      <c r="M3" s="129" t="s">
        <v>2</v>
      </c>
      <c r="O3" s="128">
        <f>O2+1</f>
        <v>2</v>
      </c>
      <c r="P3" s="129">
        <v>28</v>
      </c>
    </row>
    <row r="4" spans="1:20">
      <c r="A4" s="14" t="s">
        <v>148</v>
      </c>
      <c r="B4" s="14">
        <v>2021</v>
      </c>
      <c r="C4" s="14">
        <v>2022</v>
      </c>
      <c r="D4" s="14">
        <f t="shared" ref="D4:I4" si="0">C4+1</f>
        <v>2023</v>
      </c>
      <c r="E4" s="14">
        <f t="shared" si="0"/>
        <v>2024</v>
      </c>
      <c r="F4" s="14">
        <f t="shared" si="0"/>
        <v>2025</v>
      </c>
      <c r="G4" s="14">
        <f t="shared" si="0"/>
        <v>2026</v>
      </c>
      <c r="H4" s="14">
        <f t="shared" si="0"/>
        <v>2027</v>
      </c>
      <c r="I4" s="14">
        <f t="shared" si="0"/>
        <v>2028</v>
      </c>
      <c r="L4" s="128">
        <v>2</v>
      </c>
      <c r="M4" s="129" t="s">
        <v>3</v>
      </c>
      <c r="O4" s="128">
        <f t="shared" ref="O4:O13" si="1">O3+1</f>
        <v>3</v>
      </c>
      <c r="P4" s="129">
        <v>31</v>
      </c>
    </row>
    <row r="5" spans="1:20">
      <c r="A5" s="21" t="s">
        <v>46</v>
      </c>
      <c r="B5" s="157">
        <v>44197</v>
      </c>
      <c r="C5" s="157" t="s">
        <v>119</v>
      </c>
      <c r="D5" s="157">
        <v>44928</v>
      </c>
      <c r="E5" s="157">
        <v>45292</v>
      </c>
      <c r="F5" s="157">
        <v>45658</v>
      </c>
      <c r="G5" s="157">
        <v>46023</v>
      </c>
      <c r="H5" s="157">
        <v>46388</v>
      </c>
      <c r="I5" s="157" t="s">
        <v>258</v>
      </c>
      <c r="L5" s="128">
        <v>3</v>
      </c>
      <c r="M5" s="129" t="s">
        <v>4</v>
      </c>
      <c r="O5" s="128">
        <f t="shared" si="1"/>
        <v>4</v>
      </c>
      <c r="P5" s="129">
        <v>30</v>
      </c>
    </row>
    <row r="6" spans="1:20">
      <c r="A6" s="21" t="s">
        <v>45</v>
      </c>
      <c r="B6" s="157">
        <v>44214</v>
      </c>
      <c r="C6" s="157">
        <v>44578</v>
      </c>
      <c r="D6" s="157">
        <v>44942</v>
      </c>
      <c r="E6" s="157">
        <v>45306</v>
      </c>
      <c r="F6" s="157">
        <v>45677</v>
      </c>
      <c r="G6" s="157">
        <v>46041</v>
      </c>
      <c r="H6" s="157">
        <v>46405</v>
      </c>
      <c r="I6" s="157">
        <v>46769</v>
      </c>
      <c r="L6" s="128">
        <v>4</v>
      </c>
      <c r="M6" s="129" t="s">
        <v>5</v>
      </c>
      <c r="O6" s="128">
        <f t="shared" si="1"/>
        <v>5</v>
      </c>
      <c r="P6" s="129">
        <v>31</v>
      </c>
    </row>
    <row r="7" spans="1:20">
      <c r="A7" s="21" t="s">
        <v>47</v>
      </c>
      <c r="B7" s="157">
        <v>44242</v>
      </c>
      <c r="C7" s="157">
        <v>44613</v>
      </c>
      <c r="D7" s="157">
        <v>44977</v>
      </c>
      <c r="E7" s="157">
        <v>45341</v>
      </c>
      <c r="F7" s="157">
        <v>45705</v>
      </c>
      <c r="G7" s="157">
        <v>46069</v>
      </c>
      <c r="H7" s="157">
        <v>46433</v>
      </c>
      <c r="I7" s="157">
        <v>46804</v>
      </c>
      <c r="L7" s="128">
        <v>5</v>
      </c>
      <c r="M7" s="129" t="s">
        <v>6</v>
      </c>
      <c r="O7" s="128">
        <f t="shared" si="1"/>
        <v>6</v>
      </c>
      <c r="P7" s="129">
        <v>30</v>
      </c>
    </row>
    <row r="8" spans="1:20" ht="15.75" thickBot="1">
      <c r="A8" s="21" t="s">
        <v>228</v>
      </c>
      <c r="B8" s="157">
        <v>44288</v>
      </c>
      <c r="C8" s="157">
        <v>44666</v>
      </c>
      <c r="D8" s="384">
        <v>45023</v>
      </c>
      <c r="E8" s="384">
        <v>45380</v>
      </c>
      <c r="F8" s="384">
        <v>45765</v>
      </c>
      <c r="G8" s="384">
        <v>46115</v>
      </c>
      <c r="H8" s="384">
        <v>46472</v>
      </c>
      <c r="I8" s="384">
        <v>46857</v>
      </c>
      <c r="L8" s="130">
        <v>6</v>
      </c>
      <c r="M8" s="131" t="s">
        <v>7</v>
      </c>
      <c r="O8" s="128">
        <f t="shared" si="1"/>
        <v>7</v>
      </c>
      <c r="P8" s="129">
        <v>31</v>
      </c>
    </row>
    <row r="9" spans="1:20">
      <c r="A9" s="21" t="s">
        <v>48</v>
      </c>
      <c r="B9" s="157">
        <v>44347</v>
      </c>
      <c r="C9" s="157">
        <v>44711</v>
      </c>
      <c r="D9" s="157">
        <v>45075</v>
      </c>
      <c r="E9" s="157">
        <v>45439</v>
      </c>
      <c r="F9" s="157">
        <v>45803</v>
      </c>
      <c r="G9" s="157">
        <v>46167</v>
      </c>
      <c r="H9" s="157">
        <v>46538</v>
      </c>
      <c r="I9" s="157">
        <v>46902</v>
      </c>
      <c r="O9" s="128">
        <f t="shared" si="1"/>
        <v>8</v>
      </c>
      <c r="P9" s="129">
        <v>31</v>
      </c>
      <c r="T9" s="136"/>
    </row>
    <row r="10" spans="1:20">
      <c r="A10" s="21" t="s">
        <v>120</v>
      </c>
      <c r="B10" s="157" t="s">
        <v>119</v>
      </c>
      <c r="C10" s="157">
        <v>44732</v>
      </c>
      <c r="D10" s="157">
        <v>45096</v>
      </c>
      <c r="E10" s="157">
        <v>45462</v>
      </c>
      <c r="F10" s="157">
        <v>45827</v>
      </c>
      <c r="G10" s="157">
        <v>46192</v>
      </c>
      <c r="H10" s="157">
        <v>46556</v>
      </c>
      <c r="I10" s="157">
        <v>46923</v>
      </c>
      <c r="O10" s="128">
        <f t="shared" si="1"/>
        <v>9</v>
      </c>
      <c r="P10" s="129">
        <v>30</v>
      </c>
    </row>
    <row r="11" spans="1:20">
      <c r="A11" s="21" t="s">
        <v>49</v>
      </c>
      <c r="B11" s="157">
        <v>44382</v>
      </c>
      <c r="C11" s="157">
        <v>44746</v>
      </c>
      <c r="D11" s="157">
        <v>45111</v>
      </c>
      <c r="E11" s="157">
        <v>45477</v>
      </c>
      <c r="F11" s="157">
        <v>45842</v>
      </c>
      <c r="G11" s="157">
        <v>46206</v>
      </c>
      <c r="H11" s="157">
        <v>46573</v>
      </c>
      <c r="I11" s="157">
        <v>46938</v>
      </c>
      <c r="O11" s="128">
        <f t="shared" si="1"/>
        <v>10</v>
      </c>
      <c r="P11" s="129">
        <v>31</v>
      </c>
    </row>
    <row r="12" spans="1:20">
      <c r="A12" s="21" t="s">
        <v>50</v>
      </c>
      <c r="B12" s="157">
        <v>44445</v>
      </c>
      <c r="C12" s="157">
        <v>44809</v>
      </c>
      <c r="D12" s="157">
        <v>45173</v>
      </c>
      <c r="E12" s="157">
        <v>45537</v>
      </c>
      <c r="F12" s="157">
        <v>45901</v>
      </c>
      <c r="G12" s="157">
        <v>46272</v>
      </c>
      <c r="H12" s="157">
        <v>46636</v>
      </c>
      <c r="I12" s="157">
        <v>46542</v>
      </c>
      <c r="O12" s="128">
        <f t="shared" si="1"/>
        <v>11</v>
      </c>
      <c r="P12" s="129">
        <v>30</v>
      </c>
    </row>
    <row r="13" spans="1:20" ht="15.75" thickBot="1">
      <c r="A13" s="21" t="s">
        <v>55</v>
      </c>
      <c r="B13" s="157">
        <v>44480</v>
      </c>
      <c r="C13" s="157">
        <v>44844</v>
      </c>
      <c r="D13" s="157">
        <v>45208</v>
      </c>
      <c r="E13" s="157">
        <v>45579</v>
      </c>
      <c r="F13" s="157">
        <v>45943</v>
      </c>
      <c r="G13" s="157">
        <v>46307</v>
      </c>
      <c r="H13" s="157">
        <v>46671</v>
      </c>
      <c r="I13" s="465"/>
      <c r="O13" s="130">
        <f t="shared" si="1"/>
        <v>12</v>
      </c>
      <c r="P13" s="131">
        <v>31</v>
      </c>
    </row>
    <row r="14" spans="1:20">
      <c r="A14" s="21" t="s">
        <v>54</v>
      </c>
      <c r="B14" s="157">
        <v>44511</v>
      </c>
      <c r="C14" s="157">
        <v>44876</v>
      </c>
      <c r="D14" s="157" t="s">
        <v>119</v>
      </c>
      <c r="E14" s="157">
        <v>45607</v>
      </c>
      <c r="F14" s="157">
        <v>45972</v>
      </c>
      <c r="G14" s="157">
        <v>46337</v>
      </c>
      <c r="H14" s="157">
        <v>46702</v>
      </c>
      <c r="I14" s="465"/>
    </row>
    <row r="15" spans="1:20">
      <c r="A15" s="21" t="s">
        <v>51</v>
      </c>
      <c r="B15" s="157">
        <v>44525</v>
      </c>
      <c r="C15" s="157">
        <v>44889</v>
      </c>
      <c r="D15" s="157">
        <v>45253</v>
      </c>
      <c r="E15" s="157">
        <v>45624</v>
      </c>
      <c r="F15" s="157">
        <v>45988</v>
      </c>
      <c r="G15" s="157">
        <v>46352</v>
      </c>
      <c r="H15" s="157">
        <v>46716</v>
      </c>
      <c r="I15" s="157">
        <v>47080</v>
      </c>
    </row>
    <row r="16" spans="1:20">
      <c r="A16" s="21" t="s">
        <v>52</v>
      </c>
      <c r="B16" s="157">
        <v>44554</v>
      </c>
      <c r="C16" s="157">
        <v>44921</v>
      </c>
      <c r="D16" s="157">
        <v>45285</v>
      </c>
      <c r="E16" s="157">
        <v>45651</v>
      </c>
      <c r="F16" s="157">
        <v>46016</v>
      </c>
      <c r="G16" s="157">
        <v>46381</v>
      </c>
      <c r="H16" s="157" t="s">
        <v>258</v>
      </c>
      <c r="I16" s="157">
        <v>47112</v>
      </c>
    </row>
    <row r="17" spans="1:13" ht="20.25">
      <c r="A17" s="326" t="s">
        <v>229</v>
      </c>
      <c r="B17" s="326"/>
      <c r="C17" s="385"/>
      <c r="D17" s="346"/>
    </row>
    <row r="18" spans="1:13" ht="20.25">
      <c r="A18" s="326"/>
      <c r="B18" s="326"/>
      <c r="C18" s="385"/>
      <c r="D18" s="346"/>
    </row>
    <row r="20" spans="1:13" ht="15.75">
      <c r="A20" s="349" t="s">
        <v>9</v>
      </c>
      <c r="M20" s="235"/>
    </row>
    <row r="21" spans="1:13" ht="15.75">
      <c r="A21" s="349" t="s">
        <v>16</v>
      </c>
      <c r="M21"/>
    </row>
    <row r="22" spans="1:13" ht="15.75">
      <c r="A22" s="68" t="s">
        <v>17</v>
      </c>
      <c r="M22"/>
    </row>
    <row r="23" spans="1:13" ht="15.75">
      <c r="M23" s="235"/>
    </row>
    <row r="24" spans="1:13" ht="18">
      <c r="A24" s="14" t="s">
        <v>147</v>
      </c>
      <c r="B24" s="158">
        <f>B4</f>
        <v>2021</v>
      </c>
      <c r="C24" s="158">
        <f t="shared" ref="C24:H24" si="2">C4</f>
        <v>2022</v>
      </c>
      <c r="D24" s="158">
        <f t="shared" si="2"/>
        <v>2023</v>
      </c>
      <c r="E24" s="158">
        <f t="shared" si="2"/>
        <v>2024</v>
      </c>
      <c r="F24" s="158">
        <f t="shared" si="2"/>
        <v>2025</v>
      </c>
      <c r="G24" s="158">
        <f t="shared" si="2"/>
        <v>2026</v>
      </c>
      <c r="H24" s="158">
        <f t="shared" si="2"/>
        <v>2027</v>
      </c>
      <c r="I24" s="158"/>
      <c r="M24" s="236"/>
    </row>
    <row r="25" spans="1:13" ht="18">
      <c r="A25" s="159" t="s">
        <v>10</v>
      </c>
      <c r="B25" s="155" t="s">
        <v>123</v>
      </c>
      <c r="C25" s="155" t="s">
        <v>121</v>
      </c>
      <c r="D25" s="155">
        <v>31</v>
      </c>
      <c r="E25" s="155" t="s">
        <v>178</v>
      </c>
      <c r="F25" s="155" t="s">
        <v>11</v>
      </c>
      <c r="G25" s="155" t="s">
        <v>131</v>
      </c>
      <c r="H25" s="155"/>
      <c r="I25" s="155"/>
      <c r="M25"/>
    </row>
    <row r="26" spans="1:13" ht="18">
      <c r="A26" s="159" t="s">
        <v>130</v>
      </c>
      <c r="B26" s="155"/>
      <c r="C26" s="155"/>
      <c r="D26" s="155">
        <v>1</v>
      </c>
      <c r="E26" s="155"/>
      <c r="F26" s="155"/>
      <c r="G26" s="155"/>
      <c r="H26" s="155"/>
      <c r="I26" s="155"/>
      <c r="M26" s="235"/>
    </row>
    <row r="27" spans="1:13" ht="18">
      <c r="A27" s="159" t="s">
        <v>138</v>
      </c>
      <c r="B27" s="155" t="s">
        <v>143</v>
      </c>
      <c r="C27" s="155" t="s">
        <v>132</v>
      </c>
      <c r="D27" s="155" t="s">
        <v>134</v>
      </c>
      <c r="E27" s="155" t="s">
        <v>162</v>
      </c>
      <c r="F27" s="155" t="s">
        <v>210</v>
      </c>
      <c r="G27" s="155" t="s">
        <v>142</v>
      </c>
      <c r="H27" s="155"/>
      <c r="I27" s="155"/>
      <c r="M27"/>
    </row>
    <row r="28" spans="1:13" ht="18">
      <c r="A28" s="159" t="s">
        <v>12</v>
      </c>
      <c r="B28" s="155" t="s">
        <v>131</v>
      </c>
      <c r="C28" s="155"/>
      <c r="D28" s="155"/>
      <c r="E28" s="155">
        <v>30</v>
      </c>
      <c r="F28" s="155"/>
      <c r="G28" s="155" t="s">
        <v>11</v>
      </c>
      <c r="H28" s="155"/>
      <c r="I28" s="155"/>
      <c r="M28"/>
    </row>
    <row r="29" spans="1:13" ht="18">
      <c r="A29" s="159" t="s">
        <v>122</v>
      </c>
      <c r="B29" s="155"/>
      <c r="C29" s="155" t="s">
        <v>124</v>
      </c>
      <c r="D29" s="239" t="s">
        <v>137</v>
      </c>
      <c r="E29" s="239">
        <v>1</v>
      </c>
      <c r="F29" s="239" t="s">
        <v>179</v>
      </c>
      <c r="G29" s="239"/>
      <c r="H29" s="239"/>
      <c r="I29" s="239"/>
      <c r="M29" s="235"/>
    </row>
    <row r="30" spans="1:13" ht="18">
      <c r="A30" s="159" t="s">
        <v>139</v>
      </c>
      <c r="B30" s="155" t="s">
        <v>132</v>
      </c>
      <c r="C30" s="155" t="s">
        <v>136</v>
      </c>
      <c r="D30" s="155" t="s">
        <v>145</v>
      </c>
      <c r="E30" s="155" t="s">
        <v>177</v>
      </c>
      <c r="F30" s="155" t="s">
        <v>142</v>
      </c>
      <c r="G30" s="155" t="s">
        <v>143</v>
      </c>
      <c r="H30" s="155"/>
      <c r="I30" s="155"/>
      <c r="M30"/>
    </row>
    <row r="31" spans="1:13" ht="18">
      <c r="A31" s="159" t="s">
        <v>13</v>
      </c>
      <c r="B31" s="155" t="s">
        <v>131</v>
      </c>
      <c r="C31" s="155" t="s">
        <v>123</v>
      </c>
      <c r="D31" s="155" t="s">
        <v>121</v>
      </c>
      <c r="E31" s="155" t="s">
        <v>178</v>
      </c>
      <c r="F31" s="155" t="s">
        <v>208</v>
      </c>
      <c r="G31" s="155" t="s">
        <v>11</v>
      </c>
      <c r="H31" s="155"/>
      <c r="I31" s="155"/>
      <c r="M31"/>
    </row>
    <row r="32" spans="1:13" ht="18">
      <c r="A32" s="159" t="s">
        <v>133</v>
      </c>
      <c r="B32" s="155"/>
      <c r="C32" s="155"/>
      <c r="D32" s="155"/>
      <c r="E32" s="155"/>
      <c r="F32" s="155"/>
      <c r="G32" s="155"/>
      <c r="H32" s="155"/>
      <c r="I32" s="155"/>
      <c r="M32" s="235"/>
    </row>
    <row r="33" spans="1:13" ht="18">
      <c r="A33" s="159" t="s">
        <v>140</v>
      </c>
      <c r="B33" s="155" t="s">
        <v>134</v>
      </c>
      <c r="C33" s="155" t="s">
        <v>144</v>
      </c>
      <c r="D33" s="155" t="s">
        <v>162</v>
      </c>
      <c r="E33" s="155" t="s">
        <v>142</v>
      </c>
      <c r="F33" s="155" t="s">
        <v>143</v>
      </c>
      <c r="G33" s="155" t="s">
        <v>132</v>
      </c>
      <c r="H33" s="155"/>
      <c r="I33" s="155"/>
      <c r="M33"/>
    </row>
    <row r="34" spans="1:13" ht="18">
      <c r="A34" s="159" t="s">
        <v>135</v>
      </c>
      <c r="B34" s="18"/>
      <c r="C34" s="18"/>
      <c r="D34" s="240">
        <v>31</v>
      </c>
      <c r="E34" s="240"/>
      <c r="F34" s="240" t="s">
        <v>11</v>
      </c>
      <c r="G34" s="240" t="s">
        <v>131</v>
      </c>
      <c r="H34" s="240"/>
      <c r="I34" s="240"/>
      <c r="M34"/>
    </row>
    <row r="35" spans="1:13" ht="18">
      <c r="A35" s="159" t="s">
        <v>14</v>
      </c>
      <c r="B35" s="156" t="s">
        <v>137</v>
      </c>
      <c r="C35" s="156" t="s">
        <v>125</v>
      </c>
      <c r="D35" s="241">
        <v>1</v>
      </c>
      <c r="E35" s="241" t="s">
        <v>179</v>
      </c>
      <c r="F35" s="241"/>
      <c r="G35" s="241"/>
      <c r="H35" s="241"/>
      <c r="I35" s="241"/>
      <c r="M35" s="235"/>
    </row>
    <row r="36" spans="1:13" ht="18">
      <c r="A36" s="159" t="s">
        <v>141</v>
      </c>
      <c r="B36" s="155" t="s">
        <v>136</v>
      </c>
      <c r="C36" s="155" t="s">
        <v>145</v>
      </c>
      <c r="D36" s="156" t="s">
        <v>163</v>
      </c>
      <c r="E36" s="156" t="s">
        <v>142</v>
      </c>
      <c r="F36" s="156" t="s">
        <v>146</v>
      </c>
      <c r="G36" s="156" t="s">
        <v>211</v>
      </c>
      <c r="H36" s="156"/>
      <c r="I36" s="156"/>
      <c r="M36"/>
    </row>
    <row r="37" spans="1:13" ht="18">
      <c r="A37" s="127" t="s">
        <v>15</v>
      </c>
      <c r="M37"/>
    </row>
    <row r="38" spans="1:13" ht="20.25">
      <c r="M38" s="237"/>
    </row>
    <row r="39" spans="1:13" ht="20.25">
      <c r="M39" s="238"/>
    </row>
  </sheetData>
  <phoneticPr fontId="5" type="noConversion"/>
  <hyperlinks>
    <hyperlink ref="A20" r:id="rId1" xr:uid="{F7E2882B-2C7C-3F41-9099-A1249496F3CA}"/>
    <hyperlink ref="A21" r:id="rId2" xr:uid="{3A7E0536-6934-3046-8F8C-70A231D768FF}"/>
    <hyperlink ref="A22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topLeftCell="A19" workbookViewId="0">
      <selection activeCell="L33" sqref="L3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2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2" customFormat="1">
      <c r="A1" s="439" t="s">
        <v>65</v>
      </c>
      <c r="B1" s="439" t="s">
        <v>71</v>
      </c>
      <c r="C1" s="439" t="s">
        <v>74</v>
      </c>
      <c r="D1" s="440" t="s">
        <v>66</v>
      </c>
      <c r="E1" s="440" t="s">
        <v>67</v>
      </c>
      <c r="F1" s="440" t="s">
        <v>68</v>
      </c>
      <c r="G1" s="441" t="s">
        <v>69</v>
      </c>
      <c r="H1" s="413" t="s">
        <v>72</v>
      </c>
      <c r="I1" s="413" t="s">
        <v>73</v>
      </c>
      <c r="L1" s="152"/>
      <c r="M1" s="443"/>
      <c r="N1" s="149"/>
      <c r="R1" s="149"/>
      <c r="S1" s="149"/>
    </row>
    <row r="2" spans="1:19" s="149" customFormat="1">
      <c r="A2" s="19" t="s">
        <v>64</v>
      </c>
      <c r="B2" s="20" t="s">
        <v>70</v>
      </c>
      <c r="C2" s="20" t="s">
        <v>181</v>
      </c>
      <c r="D2" s="301">
        <v>202609</v>
      </c>
      <c r="E2" s="150">
        <v>-1</v>
      </c>
      <c r="F2" s="150">
        <v>-1</v>
      </c>
      <c r="G2" s="151" t="s">
        <v>230</v>
      </c>
      <c r="H2" s="414">
        <f t="shared" ref="H2:H5" si="0">IF(F2&lt;G2,F2,IF(E2&gt;G2,E2,G2))</f>
        <v>-1</v>
      </c>
      <c r="I2" s="148">
        <f t="shared" ref="I2:I4" si="1">100-H2</f>
        <v>101</v>
      </c>
      <c r="L2" s="152"/>
      <c r="M2" s="153"/>
    </row>
    <row r="3" spans="1:19" s="149" customFormat="1">
      <c r="A3" s="19" t="s">
        <v>64</v>
      </c>
      <c r="B3" s="20" t="s">
        <v>70</v>
      </c>
      <c r="C3" s="20" t="s">
        <v>181</v>
      </c>
      <c r="D3" s="301">
        <v>202610</v>
      </c>
      <c r="E3" s="150">
        <v>96.114999999999995</v>
      </c>
      <c r="F3" s="150">
        <v>96.117500000000007</v>
      </c>
      <c r="G3" s="151">
        <v>96.114999999999995</v>
      </c>
      <c r="H3" s="414">
        <f t="shared" si="0"/>
        <v>96.114999999999995</v>
      </c>
      <c r="I3" s="148">
        <f t="shared" si="1"/>
        <v>3.8850000000000051</v>
      </c>
      <c r="L3" s="152"/>
      <c r="M3" s="153"/>
    </row>
    <row r="4" spans="1:19" s="149" customFormat="1">
      <c r="A4" s="19" t="s">
        <v>64</v>
      </c>
      <c r="B4" s="20" t="s">
        <v>70</v>
      </c>
      <c r="C4" s="20" t="s">
        <v>181</v>
      </c>
      <c r="D4" s="301">
        <v>202611</v>
      </c>
      <c r="E4" s="150">
        <v>96.045000000000002</v>
      </c>
      <c r="F4" s="150">
        <v>96.05</v>
      </c>
      <c r="G4" s="151">
        <v>96.045000000000002</v>
      </c>
      <c r="H4" s="414">
        <f t="shared" si="0"/>
        <v>96.045000000000002</v>
      </c>
      <c r="I4" s="148">
        <f t="shared" si="1"/>
        <v>3.9549999999999983</v>
      </c>
      <c r="L4" s="152"/>
      <c r="M4" s="153"/>
    </row>
    <row r="5" spans="1:19" s="149" customFormat="1">
      <c r="A5" s="19" t="s">
        <v>64</v>
      </c>
      <c r="B5" s="20" t="s">
        <v>70</v>
      </c>
      <c r="C5" s="20" t="s">
        <v>181</v>
      </c>
      <c r="D5" s="301">
        <v>202612</v>
      </c>
      <c r="E5" s="150">
        <v>95.915000000000006</v>
      </c>
      <c r="F5" s="150">
        <v>95.92</v>
      </c>
      <c r="G5" s="151">
        <v>95.92</v>
      </c>
      <c r="H5" s="414">
        <f t="shared" si="0"/>
        <v>95.92</v>
      </c>
      <c r="I5" s="148">
        <f>100-H5</f>
        <v>4.0799999999999983</v>
      </c>
      <c r="L5" s="152"/>
      <c r="M5" s="153"/>
    </row>
    <row r="6" spans="1:19" s="149" customFormat="1">
      <c r="A6" s="19" t="s">
        <v>64</v>
      </c>
      <c r="B6" s="20" t="s">
        <v>70</v>
      </c>
      <c r="C6" s="20" t="s">
        <v>181</v>
      </c>
      <c r="D6" s="301">
        <v>202701</v>
      </c>
      <c r="E6" s="150">
        <v>95.85</v>
      </c>
      <c r="F6" s="150">
        <v>95.855000000000004</v>
      </c>
      <c r="G6" s="151">
        <v>95.855000000000004</v>
      </c>
      <c r="H6" s="414">
        <f t="shared" ref="H6:H17" si="2">IF(F6&lt;G6,F6,IF(E6&gt;G6,E6,G6))</f>
        <v>95.855000000000004</v>
      </c>
      <c r="I6" s="148">
        <f t="shared" ref="I6:I17" si="3">100-H6</f>
        <v>4.144999999999996</v>
      </c>
      <c r="L6" s="152"/>
      <c r="M6" s="153"/>
    </row>
    <row r="7" spans="1:19" s="149" customFormat="1">
      <c r="A7" s="19" t="s">
        <v>64</v>
      </c>
      <c r="B7" s="20" t="s">
        <v>70</v>
      </c>
      <c r="C7" s="20" t="s">
        <v>181</v>
      </c>
      <c r="D7" s="301">
        <v>202702</v>
      </c>
      <c r="E7" s="150">
        <v>95.77</v>
      </c>
      <c r="F7" s="150">
        <v>95.775000000000006</v>
      </c>
      <c r="G7" s="151">
        <v>95.775000000000006</v>
      </c>
      <c r="H7" s="414">
        <f t="shared" si="2"/>
        <v>95.775000000000006</v>
      </c>
      <c r="I7" s="148">
        <f t="shared" si="3"/>
        <v>4.2249999999999943</v>
      </c>
      <c r="L7" s="152"/>
      <c r="M7" s="153"/>
    </row>
    <row r="8" spans="1:19" s="149" customFormat="1">
      <c r="A8" s="19" t="s">
        <v>64</v>
      </c>
      <c r="B8" s="20" t="s">
        <v>70</v>
      </c>
      <c r="C8" s="20" t="s">
        <v>181</v>
      </c>
      <c r="D8" s="301">
        <v>202703</v>
      </c>
      <c r="E8" s="150">
        <v>95.7</v>
      </c>
      <c r="F8" s="150">
        <v>95.704999999999998</v>
      </c>
      <c r="G8" s="151">
        <v>95.7</v>
      </c>
      <c r="H8" s="414">
        <f t="shared" si="2"/>
        <v>95.7</v>
      </c>
      <c r="I8" s="148">
        <f t="shared" si="3"/>
        <v>4.2999999999999972</v>
      </c>
      <c r="L8" s="152"/>
      <c r="M8" s="153"/>
    </row>
    <row r="9" spans="1:19" s="149" customFormat="1">
      <c r="A9" s="19" t="s">
        <v>64</v>
      </c>
      <c r="B9" s="20" t="s">
        <v>70</v>
      </c>
      <c r="C9" s="20" t="s">
        <v>181</v>
      </c>
      <c r="D9" s="301">
        <v>202704</v>
      </c>
      <c r="E9" s="150">
        <v>95.61</v>
      </c>
      <c r="F9" s="150">
        <v>95.614999999999995</v>
      </c>
      <c r="G9" s="151">
        <v>95.614999999999995</v>
      </c>
      <c r="H9" s="414">
        <f t="shared" si="2"/>
        <v>95.614999999999995</v>
      </c>
      <c r="I9" s="148">
        <f t="shared" si="3"/>
        <v>4.3850000000000051</v>
      </c>
      <c r="L9" s="152"/>
      <c r="M9" s="153"/>
    </row>
    <row r="10" spans="1:19" s="149" customFormat="1">
      <c r="A10" s="19" t="s">
        <v>64</v>
      </c>
      <c r="B10" s="20" t="s">
        <v>70</v>
      </c>
      <c r="C10" s="20" t="s">
        <v>181</v>
      </c>
      <c r="D10" s="301">
        <v>202705</v>
      </c>
      <c r="E10" s="150">
        <v>95.525000000000006</v>
      </c>
      <c r="F10" s="150">
        <v>95.534999999999997</v>
      </c>
      <c r="G10" s="151">
        <v>95.53</v>
      </c>
      <c r="H10" s="414">
        <f t="shared" si="2"/>
        <v>95.53</v>
      </c>
      <c r="I10" s="148">
        <f t="shared" si="3"/>
        <v>4.4699999999999989</v>
      </c>
      <c r="L10" s="152"/>
      <c r="M10" s="153"/>
    </row>
    <row r="11" spans="1:19" s="149" customFormat="1">
      <c r="A11" s="19" t="s">
        <v>64</v>
      </c>
      <c r="B11" s="20" t="s">
        <v>70</v>
      </c>
      <c r="C11" s="20" t="s">
        <v>181</v>
      </c>
      <c r="D11" s="301">
        <v>202706</v>
      </c>
      <c r="E11" s="150">
        <v>95.46</v>
      </c>
      <c r="F11" s="150">
        <v>95.465000000000003</v>
      </c>
      <c r="G11" s="151">
        <v>95.46</v>
      </c>
      <c r="H11" s="414">
        <f t="shared" si="2"/>
        <v>95.46</v>
      </c>
      <c r="I11" s="148">
        <f t="shared" si="3"/>
        <v>4.5400000000000063</v>
      </c>
      <c r="L11" s="152"/>
      <c r="M11" s="153"/>
    </row>
    <row r="12" spans="1:19" s="149" customFormat="1">
      <c r="A12" s="19" t="s">
        <v>64</v>
      </c>
      <c r="B12" s="20" t="s">
        <v>70</v>
      </c>
      <c r="C12" s="20" t="s">
        <v>181</v>
      </c>
      <c r="D12" s="301">
        <v>202707</v>
      </c>
      <c r="E12" s="150">
        <v>95.424999999999997</v>
      </c>
      <c r="F12" s="150">
        <v>95.43</v>
      </c>
      <c r="G12" s="151">
        <v>95.424999999999997</v>
      </c>
      <c r="H12" s="414">
        <f t="shared" si="2"/>
        <v>95.424999999999997</v>
      </c>
      <c r="I12" s="148">
        <f t="shared" si="3"/>
        <v>4.5750000000000028</v>
      </c>
      <c r="L12" s="152"/>
      <c r="M12" s="153"/>
    </row>
    <row r="13" spans="1:19" s="149" customFormat="1">
      <c r="A13" s="19" t="s">
        <v>64</v>
      </c>
      <c r="B13" s="20" t="s">
        <v>70</v>
      </c>
      <c r="C13" s="20" t="s">
        <v>181</v>
      </c>
      <c r="D13" s="301">
        <v>202708</v>
      </c>
      <c r="E13" s="150">
        <v>95.385000000000005</v>
      </c>
      <c r="F13" s="150">
        <v>95.394999999999996</v>
      </c>
      <c r="G13" s="151">
        <v>95.39</v>
      </c>
      <c r="H13" s="414">
        <f t="shared" si="2"/>
        <v>95.39</v>
      </c>
      <c r="I13" s="148">
        <f t="shared" si="3"/>
        <v>4.6099999999999994</v>
      </c>
      <c r="L13" s="152"/>
      <c r="M13" s="153"/>
    </row>
    <row r="14" spans="1:19" s="149" customFormat="1">
      <c r="A14" s="19" t="s">
        <v>64</v>
      </c>
      <c r="B14" s="20" t="s">
        <v>70</v>
      </c>
      <c r="C14" s="20" t="s">
        <v>181</v>
      </c>
      <c r="D14" s="301">
        <v>202709</v>
      </c>
      <c r="E14" s="150">
        <v>95.364999999999995</v>
      </c>
      <c r="F14" s="150">
        <v>95.375</v>
      </c>
      <c r="G14" s="151">
        <v>95.37</v>
      </c>
      <c r="H14" s="414">
        <f t="shared" si="2"/>
        <v>95.37</v>
      </c>
      <c r="I14" s="148">
        <f t="shared" si="3"/>
        <v>4.6299999999999955</v>
      </c>
      <c r="L14" s="152"/>
      <c r="M14" s="153"/>
    </row>
    <row r="15" spans="1:19" s="149" customFormat="1">
      <c r="A15" s="19" t="s">
        <v>64</v>
      </c>
      <c r="B15" s="20" t="s">
        <v>70</v>
      </c>
      <c r="C15" s="20" t="s">
        <v>181</v>
      </c>
      <c r="D15" s="301">
        <v>202710</v>
      </c>
      <c r="E15" s="150">
        <v>95.35</v>
      </c>
      <c r="F15" s="150">
        <v>95.355000000000004</v>
      </c>
      <c r="G15" s="151">
        <v>95.355000000000004</v>
      </c>
      <c r="H15" s="414">
        <f t="shared" si="2"/>
        <v>95.355000000000004</v>
      </c>
      <c r="I15" s="148">
        <f t="shared" si="3"/>
        <v>4.644999999999996</v>
      </c>
      <c r="L15" s="152"/>
      <c r="M15" s="153"/>
    </row>
    <row r="16" spans="1:19" s="149" customFormat="1">
      <c r="A16" s="19" t="s">
        <v>64</v>
      </c>
      <c r="B16" s="20" t="s">
        <v>70</v>
      </c>
      <c r="C16" s="20" t="s">
        <v>181</v>
      </c>
      <c r="D16" s="301">
        <v>202711</v>
      </c>
      <c r="E16" s="150">
        <v>95.34</v>
      </c>
      <c r="F16" s="150">
        <v>95.344999999999999</v>
      </c>
      <c r="G16" s="151">
        <v>95.344999999999999</v>
      </c>
      <c r="H16" s="414">
        <f t="shared" si="2"/>
        <v>95.344999999999999</v>
      </c>
      <c r="I16" s="148">
        <f t="shared" si="3"/>
        <v>4.6550000000000011</v>
      </c>
      <c r="L16" s="152"/>
      <c r="M16" s="153"/>
    </row>
    <row r="17" spans="1:19" s="149" customFormat="1">
      <c r="A17" s="19" t="s">
        <v>64</v>
      </c>
      <c r="B17" s="20" t="s">
        <v>70</v>
      </c>
      <c r="C17" s="20" t="s">
        <v>181</v>
      </c>
      <c r="D17" s="301">
        <v>202712</v>
      </c>
      <c r="E17" s="150">
        <v>95.35</v>
      </c>
      <c r="F17" s="150">
        <v>95.364999999999995</v>
      </c>
      <c r="G17" s="151">
        <v>95.33</v>
      </c>
      <c r="H17" s="414">
        <f t="shared" si="2"/>
        <v>95.35</v>
      </c>
      <c r="I17" s="148">
        <f t="shared" si="3"/>
        <v>4.6500000000000057</v>
      </c>
      <c r="L17" s="152"/>
      <c r="M17" s="153"/>
    </row>
    <row r="18" spans="1:19" s="147" customFormat="1">
      <c r="A18" s="392" t="s">
        <v>75</v>
      </c>
      <c r="B18" s="356" t="s">
        <v>70</v>
      </c>
      <c r="C18" s="356" t="s">
        <v>182</v>
      </c>
      <c r="D18" s="393">
        <v>202609</v>
      </c>
      <c r="E18" s="394">
        <v>-1</v>
      </c>
      <c r="F18" s="394">
        <v>-1</v>
      </c>
      <c r="G18" s="395" t="s">
        <v>230</v>
      </c>
      <c r="H18" s="415">
        <f t="shared" ref="H18:H20" si="4">IF(F18&lt;G18,F18,IF(E18&gt;G18,E18,G18))</f>
        <v>-1</v>
      </c>
      <c r="I18" s="352">
        <f t="shared" ref="I18:I20" si="5">100-H18</f>
        <v>101</v>
      </c>
      <c r="J18" s="352"/>
      <c r="K18" s="353"/>
      <c r="L18" s="354"/>
      <c r="M18" s="355"/>
      <c r="N18" s="355"/>
      <c r="O18" s="355"/>
      <c r="P18" s="354"/>
      <c r="Q18" s="355"/>
      <c r="R18" s="355"/>
      <c r="S18" s="354"/>
    </row>
    <row r="19" spans="1:19" s="147" customFormat="1">
      <c r="A19" s="392" t="s">
        <v>75</v>
      </c>
      <c r="B19" s="356" t="s">
        <v>70</v>
      </c>
      <c r="C19" s="356" t="s">
        <v>182</v>
      </c>
      <c r="D19" s="393">
        <v>202610</v>
      </c>
      <c r="E19" s="394">
        <v>96.107500000000002</v>
      </c>
      <c r="F19" s="394">
        <v>96.11</v>
      </c>
      <c r="G19" s="395">
        <v>96.107500000000002</v>
      </c>
      <c r="H19" s="415">
        <f t="shared" si="4"/>
        <v>96.107500000000002</v>
      </c>
      <c r="I19" s="352">
        <f t="shared" si="5"/>
        <v>3.8924999999999983</v>
      </c>
      <c r="J19" s="352"/>
      <c r="K19" s="353"/>
      <c r="L19" s="354"/>
      <c r="M19" s="355"/>
      <c r="N19" s="355"/>
      <c r="O19" s="355"/>
      <c r="P19" s="354"/>
      <c r="Q19" s="355"/>
      <c r="R19" s="355"/>
      <c r="S19" s="354"/>
    </row>
    <row r="20" spans="1:19" s="147" customFormat="1">
      <c r="A20" s="392" t="s">
        <v>75</v>
      </c>
      <c r="B20" s="356" t="s">
        <v>70</v>
      </c>
      <c r="C20" s="356" t="s">
        <v>182</v>
      </c>
      <c r="D20" s="393">
        <v>202611</v>
      </c>
      <c r="E20" s="394">
        <v>96.03</v>
      </c>
      <c r="F20" s="394">
        <v>96.034999999999997</v>
      </c>
      <c r="G20" s="395">
        <v>96.03</v>
      </c>
      <c r="H20" s="415">
        <f t="shared" si="4"/>
        <v>96.03</v>
      </c>
      <c r="I20" s="352">
        <f t="shared" si="5"/>
        <v>3.9699999999999989</v>
      </c>
      <c r="J20" s="352"/>
      <c r="K20" s="353"/>
      <c r="L20" s="354"/>
      <c r="M20" s="355"/>
      <c r="N20" s="355"/>
      <c r="O20" s="355"/>
      <c r="P20" s="354"/>
      <c r="Q20" s="355"/>
      <c r="R20" s="355"/>
      <c r="S20" s="354"/>
    </row>
    <row r="21" spans="1:19" s="147" customFormat="1">
      <c r="A21" s="392" t="s">
        <v>75</v>
      </c>
      <c r="B21" s="356" t="s">
        <v>70</v>
      </c>
      <c r="C21" s="356" t="s">
        <v>182</v>
      </c>
      <c r="D21" s="393">
        <v>202612</v>
      </c>
      <c r="E21" s="394">
        <v>95.885000000000005</v>
      </c>
      <c r="F21" s="394">
        <v>95.89</v>
      </c>
      <c r="G21" s="395">
        <v>95.885000000000005</v>
      </c>
      <c r="H21" s="415">
        <f t="shared" ref="H21:H33" si="6">IF(F21&lt;G21,F21,IF(E21&gt;G21,E21,G21))</f>
        <v>95.885000000000005</v>
      </c>
      <c r="I21" s="352">
        <f t="shared" ref="I21:I33" si="7">100-H21</f>
        <v>4.1149999999999949</v>
      </c>
      <c r="J21" s="352"/>
      <c r="K21" s="353"/>
      <c r="L21" s="354"/>
      <c r="M21" s="355"/>
      <c r="N21" s="355"/>
      <c r="O21" s="355"/>
      <c r="P21" s="354"/>
      <c r="Q21" s="355"/>
      <c r="R21" s="355"/>
      <c r="S21" s="354"/>
    </row>
    <row r="22" spans="1:19" s="147" customFormat="1">
      <c r="A22" s="392" t="s">
        <v>75</v>
      </c>
      <c r="B22" s="356" t="s">
        <v>70</v>
      </c>
      <c r="C22" s="356" t="s">
        <v>182</v>
      </c>
      <c r="D22" s="393">
        <v>202701</v>
      </c>
      <c r="E22" s="394">
        <v>95.82</v>
      </c>
      <c r="F22" s="394">
        <v>95.825000000000003</v>
      </c>
      <c r="G22" s="395">
        <v>95.82</v>
      </c>
      <c r="H22" s="415">
        <f t="shared" si="6"/>
        <v>95.82</v>
      </c>
      <c r="I22" s="352">
        <f t="shared" si="7"/>
        <v>4.1800000000000068</v>
      </c>
      <c r="J22" s="352"/>
      <c r="K22" s="353"/>
      <c r="L22" s="354"/>
      <c r="M22" s="355"/>
      <c r="N22" s="355"/>
      <c r="O22" s="355"/>
      <c r="P22" s="354"/>
      <c r="Q22" s="355"/>
      <c r="R22" s="355"/>
      <c r="S22" s="354"/>
    </row>
    <row r="23" spans="1:19" s="147" customFormat="1">
      <c r="A23" s="392" t="s">
        <v>75</v>
      </c>
      <c r="B23" s="356" t="s">
        <v>70</v>
      </c>
      <c r="C23" s="356" t="s">
        <v>182</v>
      </c>
      <c r="D23" s="393">
        <v>202702</v>
      </c>
      <c r="E23" s="394">
        <v>95.75</v>
      </c>
      <c r="F23" s="394">
        <v>95.754999999999995</v>
      </c>
      <c r="G23" s="395">
        <v>95.754999999999995</v>
      </c>
      <c r="H23" s="415">
        <f t="shared" si="6"/>
        <v>95.754999999999995</v>
      </c>
      <c r="I23" s="352">
        <f t="shared" si="7"/>
        <v>4.2450000000000045</v>
      </c>
      <c r="J23" s="352"/>
      <c r="K23" s="353"/>
      <c r="L23" s="354"/>
      <c r="M23" s="355"/>
      <c r="N23" s="355"/>
      <c r="O23" s="355"/>
      <c r="P23" s="354"/>
      <c r="Q23" s="355"/>
      <c r="R23" s="355"/>
      <c r="S23" s="354"/>
    </row>
    <row r="24" spans="1:19" s="147" customFormat="1">
      <c r="A24" s="392" t="s">
        <v>75</v>
      </c>
      <c r="B24" s="356" t="s">
        <v>70</v>
      </c>
      <c r="C24" s="356" t="s">
        <v>182</v>
      </c>
      <c r="D24" s="393">
        <v>202703</v>
      </c>
      <c r="E24" s="394">
        <v>95.68</v>
      </c>
      <c r="F24" s="394">
        <v>95.685000000000002</v>
      </c>
      <c r="G24" s="395">
        <v>95.68</v>
      </c>
      <c r="H24" s="415">
        <f t="shared" si="6"/>
        <v>95.68</v>
      </c>
      <c r="I24" s="352">
        <f t="shared" si="7"/>
        <v>4.3199999999999932</v>
      </c>
      <c r="J24" s="352"/>
      <c r="K24" s="353"/>
      <c r="L24" s="354"/>
      <c r="M24" s="355"/>
      <c r="N24" s="355"/>
      <c r="O24" s="355"/>
      <c r="P24" s="354"/>
      <c r="Q24" s="355"/>
      <c r="R24" s="355"/>
      <c r="S24" s="354"/>
    </row>
    <row r="25" spans="1:19" s="147" customFormat="1">
      <c r="A25" s="392" t="s">
        <v>75</v>
      </c>
      <c r="B25" s="356" t="s">
        <v>70</v>
      </c>
      <c r="C25" s="356" t="s">
        <v>182</v>
      </c>
      <c r="D25" s="393">
        <v>202704</v>
      </c>
      <c r="E25" s="394">
        <v>95.594999999999999</v>
      </c>
      <c r="F25" s="394">
        <v>95.6</v>
      </c>
      <c r="G25" s="395">
        <v>95.594999999999999</v>
      </c>
      <c r="H25" s="415">
        <f t="shared" si="6"/>
        <v>95.594999999999999</v>
      </c>
      <c r="I25" s="352">
        <f t="shared" si="7"/>
        <v>4.4050000000000011</v>
      </c>
      <c r="J25" s="352"/>
      <c r="K25" s="353"/>
      <c r="L25" s="354"/>
      <c r="M25" s="355"/>
      <c r="N25" s="355"/>
      <c r="O25" s="355"/>
      <c r="P25" s="354"/>
      <c r="Q25" s="355"/>
      <c r="R25" s="355"/>
      <c r="S25" s="354"/>
    </row>
    <row r="26" spans="1:19" s="147" customFormat="1">
      <c r="A26" s="392" t="s">
        <v>75</v>
      </c>
      <c r="B26" s="356" t="s">
        <v>70</v>
      </c>
      <c r="C26" s="356" t="s">
        <v>182</v>
      </c>
      <c r="D26" s="393">
        <v>202705</v>
      </c>
      <c r="E26" s="394">
        <v>95.51</v>
      </c>
      <c r="F26" s="394">
        <v>95.515000000000001</v>
      </c>
      <c r="G26" s="395">
        <v>95.51</v>
      </c>
      <c r="H26" s="415">
        <f t="shared" si="6"/>
        <v>95.51</v>
      </c>
      <c r="I26" s="352">
        <f t="shared" si="7"/>
        <v>4.4899999999999949</v>
      </c>
      <c r="J26" s="352"/>
      <c r="K26" s="353"/>
      <c r="L26" s="354"/>
      <c r="M26" s="355"/>
      <c r="N26" s="355"/>
      <c r="O26" s="355"/>
      <c r="P26" s="354"/>
      <c r="Q26" s="355"/>
      <c r="R26" s="355"/>
      <c r="S26" s="354"/>
    </row>
    <row r="27" spans="1:19" s="147" customFormat="1">
      <c r="A27" s="392" t="s">
        <v>75</v>
      </c>
      <c r="B27" s="356" t="s">
        <v>70</v>
      </c>
      <c r="C27" s="356" t="s">
        <v>182</v>
      </c>
      <c r="D27" s="393">
        <v>202706</v>
      </c>
      <c r="E27" s="394">
        <v>95.435000000000002</v>
      </c>
      <c r="F27" s="394">
        <v>95.44</v>
      </c>
      <c r="G27" s="395">
        <v>95.435000000000002</v>
      </c>
      <c r="H27" s="415">
        <f t="shared" si="6"/>
        <v>95.435000000000002</v>
      </c>
      <c r="I27" s="352">
        <f t="shared" si="7"/>
        <v>4.5649999999999977</v>
      </c>
      <c r="J27" s="352"/>
      <c r="K27" s="353"/>
      <c r="L27" s="354"/>
      <c r="M27" s="355"/>
      <c r="N27" s="355"/>
      <c r="O27" s="355"/>
      <c r="P27" s="354"/>
      <c r="Q27" s="355"/>
      <c r="R27" s="355"/>
      <c r="S27" s="354"/>
    </row>
    <row r="28" spans="1:19" s="147" customFormat="1">
      <c r="A28" s="392" t="s">
        <v>75</v>
      </c>
      <c r="B28" s="356" t="s">
        <v>70</v>
      </c>
      <c r="C28" s="356" t="s">
        <v>182</v>
      </c>
      <c r="D28" s="393">
        <v>202707</v>
      </c>
      <c r="E28" s="394">
        <v>95.394999999999996</v>
      </c>
      <c r="F28" s="394">
        <v>95.4</v>
      </c>
      <c r="G28" s="395">
        <v>95.4</v>
      </c>
      <c r="H28" s="415">
        <f t="shared" si="6"/>
        <v>95.4</v>
      </c>
      <c r="I28" s="352">
        <f t="shared" si="7"/>
        <v>4.5999999999999943</v>
      </c>
      <c r="J28" s="352"/>
      <c r="K28" s="353"/>
      <c r="L28" s="354"/>
      <c r="M28" s="355"/>
      <c r="N28" s="355"/>
      <c r="O28" s="355"/>
      <c r="P28" s="354"/>
      <c r="Q28" s="355"/>
      <c r="R28" s="355"/>
      <c r="S28" s="354"/>
    </row>
    <row r="29" spans="1:19" s="147" customFormat="1">
      <c r="A29" s="392" t="s">
        <v>75</v>
      </c>
      <c r="B29" s="356" t="s">
        <v>70</v>
      </c>
      <c r="C29" s="356" t="s">
        <v>182</v>
      </c>
      <c r="D29" s="393">
        <v>202708</v>
      </c>
      <c r="E29" s="394">
        <v>95.355000000000004</v>
      </c>
      <c r="F29" s="394">
        <v>95.364999999999995</v>
      </c>
      <c r="G29" s="395">
        <v>95.364999999999995</v>
      </c>
      <c r="H29" s="415">
        <f t="shared" si="6"/>
        <v>95.364999999999995</v>
      </c>
      <c r="I29" s="352">
        <f t="shared" si="7"/>
        <v>4.6350000000000051</v>
      </c>
      <c r="J29" s="352"/>
      <c r="K29" s="353"/>
      <c r="L29" s="354"/>
      <c r="M29" s="355"/>
      <c r="N29" s="355"/>
      <c r="O29" s="355"/>
      <c r="P29" s="354"/>
      <c r="Q29" s="355"/>
      <c r="R29" s="355"/>
      <c r="S29" s="354"/>
    </row>
    <row r="30" spans="1:19" s="147" customFormat="1">
      <c r="A30" s="392" t="s">
        <v>75</v>
      </c>
      <c r="B30" s="356" t="s">
        <v>70</v>
      </c>
      <c r="C30" s="356" t="s">
        <v>182</v>
      </c>
      <c r="D30" s="393">
        <v>202709</v>
      </c>
      <c r="E30" s="394">
        <v>95.33</v>
      </c>
      <c r="F30" s="394">
        <v>95.344999999999999</v>
      </c>
      <c r="G30" s="395">
        <v>95.32</v>
      </c>
      <c r="H30" s="415">
        <f t="shared" si="6"/>
        <v>95.33</v>
      </c>
      <c r="I30" s="352">
        <f t="shared" si="7"/>
        <v>4.6700000000000017</v>
      </c>
      <c r="J30" s="352"/>
      <c r="K30" s="353"/>
      <c r="L30" s="354"/>
      <c r="M30" s="355"/>
      <c r="N30" s="355"/>
      <c r="O30" s="355"/>
      <c r="P30" s="354"/>
      <c r="Q30" s="355"/>
      <c r="R30" s="355"/>
      <c r="S30" s="354"/>
    </row>
    <row r="31" spans="1:19" s="147" customFormat="1">
      <c r="A31" s="392" t="s">
        <v>75</v>
      </c>
      <c r="B31" s="356" t="s">
        <v>70</v>
      </c>
      <c r="C31" s="356" t="s">
        <v>182</v>
      </c>
      <c r="D31" s="393">
        <v>202710</v>
      </c>
      <c r="E31" s="394">
        <v>95.31</v>
      </c>
      <c r="F31" s="394">
        <v>95.32</v>
      </c>
      <c r="G31" s="395">
        <v>95.254999999999995</v>
      </c>
      <c r="H31" s="415">
        <f t="shared" si="6"/>
        <v>95.31</v>
      </c>
      <c r="I31" s="352">
        <f t="shared" si="7"/>
        <v>4.6899999999999977</v>
      </c>
      <c r="J31" s="352"/>
      <c r="K31" s="353"/>
      <c r="L31" s="354"/>
      <c r="M31" s="355"/>
      <c r="N31" s="355"/>
      <c r="O31" s="355"/>
      <c r="P31" s="354"/>
      <c r="Q31" s="355"/>
      <c r="R31" s="355"/>
      <c r="S31" s="354"/>
    </row>
    <row r="32" spans="1:19" s="147" customFormat="1">
      <c r="A32" s="392" t="s">
        <v>75</v>
      </c>
      <c r="B32" s="356" t="s">
        <v>70</v>
      </c>
      <c r="C32" s="356" t="s">
        <v>182</v>
      </c>
      <c r="D32" s="393">
        <v>202711</v>
      </c>
      <c r="E32" s="394">
        <v>95.3</v>
      </c>
      <c r="F32" s="394">
        <v>95.31</v>
      </c>
      <c r="G32" s="395" t="s">
        <v>230</v>
      </c>
      <c r="H32" s="415">
        <f t="shared" si="6"/>
        <v>95.31</v>
      </c>
      <c r="I32" s="352">
        <f t="shared" si="7"/>
        <v>4.6899999999999977</v>
      </c>
      <c r="J32" s="352"/>
      <c r="K32" s="353"/>
      <c r="L32" s="354"/>
      <c r="M32" s="355"/>
      <c r="N32" s="355"/>
      <c r="O32" s="355"/>
      <c r="P32" s="354"/>
      <c r="Q32" s="355"/>
      <c r="R32" s="355"/>
      <c r="S32" s="354"/>
    </row>
    <row r="33" spans="1:19" s="147" customFormat="1">
      <c r="A33" s="392" t="s">
        <v>75</v>
      </c>
      <c r="B33" s="356" t="s">
        <v>70</v>
      </c>
      <c r="C33" s="356" t="s">
        <v>182</v>
      </c>
      <c r="D33" s="393">
        <v>202712</v>
      </c>
      <c r="E33" s="394">
        <v>95.144999999999996</v>
      </c>
      <c r="F33" s="394">
        <v>95.48</v>
      </c>
      <c r="G33" s="395" t="s">
        <v>230</v>
      </c>
      <c r="H33" s="415">
        <f t="shared" si="6"/>
        <v>95.48</v>
      </c>
      <c r="I33" s="352">
        <f t="shared" si="7"/>
        <v>4.519999999999996</v>
      </c>
      <c r="J33" s="352"/>
      <c r="K33" s="353"/>
      <c r="L33" s="354"/>
      <c r="M33" s="355"/>
      <c r="N33" s="355"/>
      <c r="O33" s="355"/>
      <c r="P33" s="354"/>
      <c r="Q33" s="355"/>
      <c r="R33" s="355"/>
      <c r="S33" s="354"/>
    </row>
    <row r="34" spans="1:19" s="154" customFormat="1">
      <c r="A34" s="141" t="s">
        <v>76</v>
      </c>
      <c r="B34" s="142" t="s">
        <v>70</v>
      </c>
      <c r="C34" s="142" t="s">
        <v>182</v>
      </c>
      <c r="D34" s="302">
        <v>202606</v>
      </c>
      <c r="E34" s="143" t="s">
        <v>230</v>
      </c>
      <c r="F34" s="143" t="s">
        <v>230</v>
      </c>
      <c r="G34" s="144" t="s">
        <v>230</v>
      </c>
      <c r="H34" s="416" t="str">
        <f t="shared" ref="H34:H39" si="8">IF(F34&lt;G34,F34,IF(E34&gt;G34,E34,G34))</f>
        <v>-</v>
      </c>
      <c r="I34" s="145" t="e">
        <f t="shared" ref="I34:I39" si="9">100-H34</f>
        <v>#VALUE!</v>
      </c>
      <c r="K34" s="147"/>
    </row>
    <row r="35" spans="1:19" s="154" customFormat="1">
      <c r="A35" s="141" t="s">
        <v>76</v>
      </c>
      <c r="B35" s="142" t="s">
        <v>70</v>
      </c>
      <c r="C35" s="142" t="s">
        <v>182</v>
      </c>
      <c r="D35" s="302">
        <v>202607</v>
      </c>
      <c r="E35" s="143">
        <v>96.262500000000003</v>
      </c>
      <c r="F35" s="143">
        <v>96.265000000000001</v>
      </c>
      <c r="G35" s="144">
        <v>96.262500000000003</v>
      </c>
      <c r="H35" s="416">
        <f t="shared" si="8"/>
        <v>96.262500000000003</v>
      </c>
      <c r="I35" s="145">
        <f t="shared" si="9"/>
        <v>3.7374999999999972</v>
      </c>
      <c r="K35" s="147"/>
    </row>
    <row r="36" spans="1:19" s="154" customFormat="1">
      <c r="A36" s="141" t="s">
        <v>76</v>
      </c>
      <c r="B36" s="142" t="s">
        <v>70</v>
      </c>
      <c r="C36" s="142" t="s">
        <v>182</v>
      </c>
      <c r="D36" s="302">
        <v>202608</v>
      </c>
      <c r="E36" s="143">
        <v>96.157499999999999</v>
      </c>
      <c r="F36" s="143">
        <v>96.162499999999994</v>
      </c>
      <c r="G36" s="144">
        <v>96.152500000000003</v>
      </c>
      <c r="H36" s="416">
        <f t="shared" si="8"/>
        <v>96.157499999999999</v>
      </c>
      <c r="I36" s="145">
        <f t="shared" si="9"/>
        <v>3.8425000000000011</v>
      </c>
      <c r="K36" s="147"/>
    </row>
    <row r="37" spans="1:19" s="154" customFormat="1">
      <c r="A37" s="141" t="s">
        <v>76</v>
      </c>
      <c r="B37" s="142" t="s">
        <v>70</v>
      </c>
      <c r="C37" s="142" t="s">
        <v>182</v>
      </c>
      <c r="D37" s="302">
        <v>202609</v>
      </c>
      <c r="E37" s="143">
        <v>96.042500000000004</v>
      </c>
      <c r="F37" s="143">
        <v>96.045000000000002</v>
      </c>
      <c r="G37" s="144">
        <v>96.042500000000004</v>
      </c>
      <c r="H37" s="416">
        <f t="shared" si="8"/>
        <v>96.042500000000004</v>
      </c>
      <c r="I37" s="145">
        <f t="shared" si="9"/>
        <v>3.957499999999996</v>
      </c>
      <c r="K37" s="147"/>
    </row>
    <row r="38" spans="1:19" s="154" customFormat="1">
      <c r="A38" s="141" t="s">
        <v>76</v>
      </c>
      <c r="B38" s="142" t="s">
        <v>70</v>
      </c>
      <c r="C38" s="142" t="s">
        <v>182</v>
      </c>
      <c r="D38" s="302">
        <v>202610</v>
      </c>
      <c r="E38" s="143">
        <v>95.927499999999995</v>
      </c>
      <c r="F38" s="143">
        <v>95.932500000000005</v>
      </c>
      <c r="G38" s="144">
        <v>95.927499999999995</v>
      </c>
      <c r="H38" s="416">
        <f t="shared" si="8"/>
        <v>95.927499999999995</v>
      </c>
      <c r="I38" s="145">
        <f t="shared" si="9"/>
        <v>4.0725000000000051</v>
      </c>
      <c r="K38" s="147"/>
    </row>
    <row r="39" spans="1:19" s="154" customFormat="1">
      <c r="A39" s="141" t="s">
        <v>76</v>
      </c>
      <c r="B39" s="142" t="s">
        <v>70</v>
      </c>
      <c r="C39" s="142" t="s">
        <v>182</v>
      </c>
      <c r="D39" s="302">
        <v>202611</v>
      </c>
      <c r="E39" s="143">
        <v>95.84</v>
      </c>
      <c r="F39" s="143">
        <v>95.85</v>
      </c>
      <c r="G39" s="144" t="s">
        <v>230</v>
      </c>
      <c r="H39" s="416">
        <f t="shared" si="8"/>
        <v>95.85</v>
      </c>
      <c r="I39" s="145">
        <f t="shared" si="9"/>
        <v>4.1500000000000057</v>
      </c>
      <c r="K39" s="147"/>
    </row>
    <row r="40" spans="1:19" s="154" customFormat="1">
      <c r="A40" s="141" t="s">
        <v>76</v>
      </c>
      <c r="B40" s="142" t="s">
        <v>70</v>
      </c>
      <c r="C40" s="142" t="s">
        <v>182</v>
      </c>
      <c r="D40" s="302">
        <v>202612</v>
      </c>
      <c r="E40" s="143">
        <v>95.77</v>
      </c>
      <c r="F40" s="143">
        <v>95.775000000000006</v>
      </c>
      <c r="G40" s="144">
        <v>95.77</v>
      </c>
      <c r="H40" s="416">
        <f>IF(F40&lt;G40,F40,IF(E40&gt;G40,E40,G40))</f>
        <v>95.77</v>
      </c>
      <c r="I40" s="145">
        <f>100-H40</f>
        <v>4.230000000000004</v>
      </c>
      <c r="K40" s="147"/>
    </row>
    <row r="41" spans="1:19" s="154" customFormat="1">
      <c r="A41" s="141" t="s">
        <v>76</v>
      </c>
      <c r="B41" s="142" t="s">
        <v>70</v>
      </c>
      <c r="C41" s="142" t="s">
        <v>182</v>
      </c>
      <c r="D41" s="302">
        <v>202701</v>
      </c>
      <c r="E41" s="143">
        <v>95.674999999999997</v>
      </c>
      <c r="F41" s="143">
        <v>95.685000000000002</v>
      </c>
      <c r="G41" s="144">
        <v>95.65</v>
      </c>
      <c r="H41" s="416">
        <f t="shared" ref="H41:H49" si="10">IF(F41&lt;G41,F41,IF(E41&gt;G41,E41,G41))</f>
        <v>95.674999999999997</v>
      </c>
      <c r="I41" s="145">
        <f t="shared" ref="I41:I49" si="11">100-H41</f>
        <v>4.3250000000000028</v>
      </c>
      <c r="K41" s="147"/>
    </row>
    <row r="42" spans="1:19" s="149" customFormat="1">
      <c r="A42" s="141" t="s">
        <v>76</v>
      </c>
      <c r="B42" s="142" t="s">
        <v>70</v>
      </c>
      <c r="C42" s="142" t="s">
        <v>182</v>
      </c>
      <c r="D42" s="302">
        <v>202702</v>
      </c>
      <c r="E42" s="143">
        <v>95.6</v>
      </c>
      <c r="F42" s="143">
        <v>95.61</v>
      </c>
      <c r="G42" s="144">
        <v>95.55</v>
      </c>
      <c r="H42" s="416">
        <f t="shared" si="10"/>
        <v>95.6</v>
      </c>
      <c r="I42" s="145">
        <f t="shared" si="11"/>
        <v>4.4000000000000057</v>
      </c>
    </row>
    <row r="43" spans="1:19" s="149" customFormat="1">
      <c r="A43" s="141" t="s">
        <v>76</v>
      </c>
      <c r="B43" s="142" t="s">
        <v>70</v>
      </c>
      <c r="C43" s="142" t="s">
        <v>182</v>
      </c>
      <c r="D43" s="302">
        <v>202703</v>
      </c>
      <c r="E43" s="143">
        <v>95.52</v>
      </c>
      <c r="F43" s="143">
        <v>95.525000000000006</v>
      </c>
      <c r="G43" s="144">
        <v>95.525000000000006</v>
      </c>
      <c r="H43" s="416">
        <f t="shared" si="10"/>
        <v>95.525000000000006</v>
      </c>
      <c r="I43" s="145">
        <f t="shared" si="11"/>
        <v>4.4749999999999943</v>
      </c>
    </row>
    <row r="44" spans="1:19" s="149" customFormat="1">
      <c r="A44" s="141" t="s">
        <v>76</v>
      </c>
      <c r="B44" s="142" t="s">
        <v>70</v>
      </c>
      <c r="C44" s="142" t="s">
        <v>182</v>
      </c>
      <c r="D44" s="302">
        <v>202704</v>
      </c>
      <c r="E44" s="143" t="s">
        <v>230</v>
      </c>
      <c r="F44" s="143" t="s">
        <v>230</v>
      </c>
      <c r="G44" s="144" t="s">
        <v>230</v>
      </c>
      <c r="H44" s="416" t="str">
        <f t="shared" si="10"/>
        <v>-</v>
      </c>
      <c r="I44" s="145" t="e">
        <f t="shared" si="11"/>
        <v>#VALUE!</v>
      </c>
    </row>
    <row r="45" spans="1:19" s="149" customFormat="1">
      <c r="A45" s="141" t="s">
        <v>76</v>
      </c>
      <c r="B45" s="142" t="s">
        <v>70</v>
      </c>
      <c r="C45" s="142" t="s">
        <v>182</v>
      </c>
      <c r="D45" s="302">
        <v>202705</v>
      </c>
      <c r="E45" s="143" t="s">
        <v>230</v>
      </c>
      <c r="F45" s="143" t="s">
        <v>230</v>
      </c>
      <c r="G45" s="144" t="s">
        <v>230</v>
      </c>
      <c r="H45" s="416" t="str">
        <f t="shared" si="10"/>
        <v>-</v>
      </c>
      <c r="I45" s="145" t="e">
        <f t="shared" si="11"/>
        <v>#VALUE!</v>
      </c>
    </row>
    <row r="46" spans="1:19" s="149" customFormat="1">
      <c r="A46" s="141" t="s">
        <v>76</v>
      </c>
      <c r="B46" s="142" t="s">
        <v>70</v>
      </c>
      <c r="C46" s="142" t="s">
        <v>182</v>
      </c>
      <c r="D46" s="302">
        <v>202706</v>
      </c>
      <c r="E46" s="143">
        <v>95.35</v>
      </c>
      <c r="F46" s="143">
        <v>95.355000000000004</v>
      </c>
      <c r="G46" s="144">
        <v>95.355000000000004</v>
      </c>
      <c r="H46" s="416">
        <f t="shared" si="10"/>
        <v>95.355000000000004</v>
      </c>
      <c r="I46" s="145">
        <f t="shared" si="11"/>
        <v>4.644999999999996</v>
      </c>
    </row>
    <row r="47" spans="1:19" s="149" customFormat="1">
      <c r="A47" s="141" t="s">
        <v>76</v>
      </c>
      <c r="B47" s="142" t="s">
        <v>70</v>
      </c>
      <c r="C47" s="142" t="s">
        <v>182</v>
      </c>
      <c r="D47" s="302">
        <v>202707</v>
      </c>
      <c r="E47" s="143" t="s">
        <v>230</v>
      </c>
      <c r="F47" s="143" t="s">
        <v>230</v>
      </c>
      <c r="G47" s="144" t="s">
        <v>230</v>
      </c>
      <c r="H47" s="416" t="str">
        <f t="shared" si="10"/>
        <v>-</v>
      </c>
      <c r="I47" s="145" t="e">
        <f t="shared" si="11"/>
        <v>#VALUE!</v>
      </c>
      <c r="K47" s="147"/>
    </row>
    <row r="48" spans="1:19" s="149" customFormat="1">
      <c r="A48" s="141" t="s">
        <v>76</v>
      </c>
      <c r="B48" s="142" t="s">
        <v>70</v>
      </c>
      <c r="C48" s="142" t="s">
        <v>182</v>
      </c>
      <c r="D48" s="302">
        <v>202708</v>
      </c>
      <c r="E48" s="143" t="s">
        <v>230</v>
      </c>
      <c r="F48" s="143" t="s">
        <v>230</v>
      </c>
      <c r="G48" s="144" t="s">
        <v>230</v>
      </c>
      <c r="H48" s="416" t="str">
        <f t="shared" si="10"/>
        <v>-</v>
      </c>
      <c r="I48" s="145" t="e">
        <f t="shared" si="11"/>
        <v>#VALUE!</v>
      </c>
      <c r="K48" s="147"/>
    </row>
    <row r="49" spans="1:12" s="149" customFormat="1">
      <c r="A49" s="141" t="s">
        <v>76</v>
      </c>
      <c r="B49" s="142" t="s">
        <v>70</v>
      </c>
      <c r="C49" s="142" t="s">
        <v>182</v>
      </c>
      <c r="D49" s="302">
        <v>202709</v>
      </c>
      <c r="E49" s="143">
        <v>95.28</v>
      </c>
      <c r="F49" s="143">
        <v>95.284999999999997</v>
      </c>
      <c r="G49" s="144">
        <v>95.284999999999997</v>
      </c>
      <c r="H49" s="416">
        <f t="shared" si="10"/>
        <v>95.284999999999997</v>
      </c>
      <c r="I49" s="145">
        <f t="shared" si="11"/>
        <v>4.7150000000000034</v>
      </c>
      <c r="K49" s="147"/>
    </row>
    <row r="50" spans="1:12" s="149" customFormat="1">
      <c r="H50" s="146"/>
      <c r="K50" s="147"/>
    </row>
    <row r="51" spans="1:12" s="149" customFormat="1">
      <c r="A51" s="21"/>
      <c r="B51" s="17"/>
      <c r="C51" s="17"/>
      <c r="D51" s="21"/>
      <c r="E51" s="17"/>
      <c r="F51" s="17"/>
      <c r="G51" s="18"/>
      <c r="H51" s="362"/>
      <c r="I51" s="17"/>
      <c r="J51" s="17"/>
      <c r="K51" s="147"/>
    </row>
    <row r="52" spans="1:12">
      <c r="L52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255</v>
      </c>
      <c r="B1" s="11" t="s">
        <v>256</v>
      </c>
    </row>
    <row r="2" spans="1:8">
      <c r="A2" s="4" t="s">
        <v>78</v>
      </c>
      <c r="B2" s="7" t="s">
        <v>247</v>
      </c>
      <c r="C2" s="10">
        <f>ROW(A12)-1</f>
        <v>11</v>
      </c>
      <c r="D2" s="8" t="s">
        <v>84</v>
      </c>
      <c r="E2" s="2"/>
      <c r="F2" s="2"/>
    </row>
    <row r="3" spans="1:8">
      <c r="A3" s="6" t="s">
        <v>98</v>
      </c>
      <c r="B3" s="7">
        <v>7496</v>
      </c>
      <c r="C3" s="5" t="s">
        <v>99</v>
      </c>
      <c r="D3" s="2"/>
      <c r="E3" s="2"/>
      <c r="F3" s="2"/>
      <c r="H3" s="5"/>
    </row>
    <row r="4" spans="1:8">
      <c r="A4" s="6" t="s">
        <v>89</v>
      </c>
      <c r="B4" s="7">
        <v>32</v>
      </c>
    </row>
    <row r="5" spans="1:8">
      <c r="A5" s="6" t="s">
        <v>101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79</v>
      </c>
      <c r="B6" s="7" t="s">
        <v>105</v>
      </c>
      <c r="C6" s="5"/>
    </row>
    <row r="7" spans="1:8">
      <c r="A7" s="6" t="s">
        <v>80</v>
      </c>
      <c r="B7" s="7" t="s">
        <v>248</v>
      </c>
      <c r="C7" s="9">
        <f>COUNTA(INPUT!A:A)</f>
        <v>49</v>
      </c>
      <c r="D7" s="8" t="s">
        <v>84</v>
      </c>
      <c r="E7" s="9">
        <v>7</v>
      </c>
      <c r="F7" s="8" t="s">
        <v>104</v>
      </c>
    </row>
    <row r="8" spans="1:8">
      <c r="A8" s="6" t="s">
        <v>81</v>
      </c>
      <c r="B8" s="7" t="str">
        <f>B6</f>
        <v>INPUT</v>
      </c>
      <c r="C8" s="5"/>
    </row>
    <row r="9" spans="1:8">
      <c r="A9" s="6" t="s">
        <v>100</v>
      </c>
      <c r="B9" s="7" t="s">
        <v>85</v>
      </c>
      <c r="C9" s="5"/>
    </row>
    <row r="10" spans="1:8">
      <c r="A10" s="6" t="s">
        <v>82</v>
      </c>
      <c r="B10" s="7">
        <v>1</v>
      </c>
      <c r="C10" s="5" t="s">
        <v>86</v>
      </c>
    </row>
    <row r="11" spans="1:8">
      <c r="A11" s="6" t="s">
        <v>83</v>
      </c>
      <c r="B11" s="444">
        <v>60</v>
      </c>
      <c r="C11" s="13"/>
    </row>
    <row r="12" spans="1:8">
      <c r="A12" s="9" t="s">
        <v>103</v>
      </c>
      <c r="C12" s="11"/>
    </row>
    <row r="13" spans="1:8">
      <c r="C13" s="12"/>
    </row>
    <row r="14" spans="1:8" ht="16.5" thickBot="1"/>
    <row r="15" spans="1:8">
      <c r="A15" s="466" t="s">
        <v>259</v>
      </c>
      <c r="B15" s="299"/>
    </row>
    <row r="16" spans="1:8" ht="16.5" thickBot="1">
      <c r="A16" s="298" t="s">
        <v>257</v>
      </c>
      <c r="B16" s="300"/>
    </row>
    <row r="17" spans="1:1">
      <c r="A17" s="9" t="s">
        <v>87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62</v>
      </c>
    </row>
    <row r="28" spans="1:1">
      <c r="A28" s="160" t="s">
        <v>8</v>
      </c>
    </row>
    <row r="29" spans="1:1">
      <c r="A29" s="160" t="s">
        <v>61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47" bestFit="1" customWidth="1"/>
  </cols>
  <sheetData>
    <row r="1" spans="1:5" s="235" customFormat="1">
      <c r="A1" s="446" t="s">
        <v>251</v>
      </c>
      <c r="B1" s="446" t="s">
        <v>252</v>
      </c>
      <c r="C1" s="446" t="s">
        <v>250</v>
      </c>
      <c r="D1" s="446" t="s">
        <v>253</v>
      </c>
      <c r="E1" s="446" t="s">
        <v>254</v>
      </c>
    </row>
    <row r="2" spans="1:5">
      <c r="A2" s="449">
        <f>'DAILY EXTRAPOLATION'!C2376</f>
        <v>46174</v>
      </c>
      <c r="B2" s="448">
        <f>A3</f>
        <v>46175</v>
      </c>
      <c r="C2" s="445">
        <f>'DAILY EXTRAPOLATION'!N2376</f>
        <v>1.000101388888889</v>
      </c>
      <c r="D2" s="450">
        <f>1*C2</f>
        <v>1.000101388888889</v>
      </c>
      <c r="E2" s="447">
        <f>(D2/1-1)*360/(B2-A$2)</f>
        <v>3.6500000000039279E-2</v>
      </c>
    </row>
    <row r="3" spans="1:5">
      <c r="A3" s="449">
        <f>'DAILY EXTRAPOLATION'!C2377</f>
        <v>46175</v>
      </c>
      <c r="B3" s="448">
        <f t="shared" ref="B3:B66" si="0">A4</f>
        <v>46176</v>
      </c>
      <c r="C3" s="445">
        <f>'DAILY EXTRAPOLATION'!N2377</f>
        <v>1.0001008333333334</v>
      </c>
      <c r="D3" s="451">
        <f>D2*C3</f>
        <v>1.0002022324456021</v>
      </c>
      <c r="E3" s="447">
        <f>(D3/1-1)*360/(B3-A$2)</f>
        <v>3.6401840208384328E-2</v>
      </c>
    </row>
    <row r="4" spans="1:5">
      <c r="A4" s="449">
        <f>'DAILY EXTRAPOLATION'!C2378</f>
        <v>46176</v>
      </c>
      <c r="B4" s="448">
        <f t="shared" si="0"/>
        <v>46177</v>
      </c>
      <c r="C4" s="445">
        <f>'DAILY EXTRAPOLATION'!N2378</f>
        <v>1.0001002777777779</v>
      </c>
      <c r="D4" s="451">
        <f t="shared" ref="D4:D67" si="1">D3*C4</f>
        <v>1.0003025305028002</v>
      </c>
      <c r="E4" s="447">
        <f t="shared" ref="E4:E67" si="2">(D4/1-1)*360/(B4-A$2)</f>
        <v>3.630366033601895E-2</v>
      </c>
    </row>
    <row r="5" spans="1:5">
      <c r="A5" s="449">
        <f>'DAILY EXTRAPOLATION'!C2379</f>
        <v>46177</v>
      </c>
      <c r="B5" s="448">
        <f t="shared" si="0"/>
        <v>46178</v>
      </c>
      <c r="C5" s="445">
        <f>'DAILY EXTRAPOLATION'!N2379</f>
        <v>1.0001005555555555</v>
      </c>
      <c r="D5" s="451">
        <f t="shared" si="1"/>
        <v>1.0004031164794784</v>
      </c>
      <c r="E5" s="447">
        <f t="shared" si="2"/>
        <v>3.6280483153059429E-2</v>
      </c>
    </row>
    <row r="6" spans="1:5">
      <c r="A6" s="449">
        <f>'DAILY EXTRAPOLATION'!C2380</f>
        <v>46178</v>
      </c>
      <c r="B6" s="448">
        <f t="shared" si="0"/>
        <v>46179</v>
      </c>
      <c r="C6" s="445">
        <f>'DAILY EXTRAPOLATION'!N2380</f>
        <v>1.0003025000000001</v>
      </c>
      <c r="D6" s="451">
        <f t="shared" si="1"/>
        <v>1.0007057384222136</v>
      </c>
      <c r="E6" s="447">
        <f t="shared" si="2"/>
        <v>5.0813166399375831E-2</v>
      </c>
    </row>
    <row r="7" spans="1:5">
      <c r="A7" s="449">
        <f>'DAILY EXTRAPOLATION'!C2381</f>
        <v>46179</v>
      </c>
      <c r="B7" s="448">
        <f t="shared" si="0"/>
        <v>46180</v>
      </c>
      <c r="C7" s="445">
        <f>'DAILY EXTRAPOLATION'!N2381</f>
        <v>1</v>
      </c>
      <c r="D7" s="451">
        <f t="shared" si="1"/>
        <v>1.0007057384222136</v>
      </c>
      <c r="E7" s="447">
        <f t="shared" si="2"/>
        <v>4.2344305332813192E-2</v>
      </c>
    </row>
    <row r="8" spans="1:5">
      <c r="A8" s="449">
        <f>'DAILY EXTRAPOLATION'!C2382</f>
        <v>46180</v>
      </c>
      <c r="B8" s="448">
        <f t="shared" si="0"/>
        <v>46181</v>
      </c>
      <c r="C8" s="445">
        <f>'DAILY EXTRAPOLATION'!N2382</f>
        <v>1</v>
      </c>
      <c r="D8" s="451">
        <f t="shared" si="1"/>
        <v>1.0007057384222136</v>
      </c>
      <c r="E8" s="447">
        <f t="shared" si="2"/>
        <v>3.629511885669702E-2</v>
      </c>
    </row>
    <row r="9" spans="1:5">
      <c r="A9" s="449">
        <f>'DAILY EXTRAPOLATION'!C2383</f>
        <v>46181</v>
      </c>
      <c r="B9" s="448">
        <f t="shared" si="0"/>
        <v>46182</v>
      </c>
      <c r="C9" s="445">
        <f>'DAILY EXTRAPOLATION'!N2383</f>
        <v>1.0001008333333334</v>
      </c>
      <c r="D9" s="451">
        <f t="shared" si="1"/>
        <v>1.0008066429175047</v>
      </c>
      <c r="E9" s="447">
        <f t="shared" si="2"/>
        <v>3.6298931287709335E-2</v>
      </c>
    </row>
    <row r="10" spans="1:5">
      <c r="A10" s="449">
        <f>'DAILY EXTRAPOLATION'!C2384</f>
        <v>46182</v>
      </c>
      <c r="B10" s="448">
        <f t="shared" si="0"/>
        <v>46183</v>
      </c>
      <c r="C10" s="445">
        <f>'DAILY EXTRAPOLATION'!N2384</f>
        <v>1.0001</v>
      </c>
      <c r="D10" s="451">
        <f t="shared" si="1"/>
        <v>1.0009067235817963</v>
      </c>
      <c r="E10" s="447">
        <f t="shared" si="2"/>
        <v>3.626894327185326E-2</v>
      </c>
    </row>
    <row r="11" spans="1:5">
      <c r="A11" s="449">
        <f>'DAILY EXTRAPOLATION'!C2385</f>
        <v>46183</v>
      </c>
      <c r="B11" s="448">
        <f t="shared" si="0"/>
        <v>46184</v>
      </c>
      <c r="C11" s="445">
        <f>'DAILY EXTRAPOLATION'!N2385</f>
        <v>1.0000997222222223</v>
      </c>
      <c r="D11" s="451">
        <f t="shared" si="1"/>
        <v>1.0010065362245091</v>
      </c>
      <c r="E11" s="447">
        <f t="shared" si="2"/>
        <v>3.6235304082326891E-2</v>
      </c>
    </row>
    <row r="12" spans="1:5">
      <c r="A12" s="449">
        <f>'DAILY EXTRAPOLATION'!C2386</f>
        <v>46184</v>
      </c>
      <c r="B12" s="448">
        <f t="shared" si="0"/>
        <v>46185</v>
      </c>
      <c r="C12" s="445">
        <f>'DAILY EXTRAPOLATION'!N2386</f>
        <v>1.0001</v>
      </c>
      <c r="D12" s="451">
        <f t="shared" si="1"/>
        <v>1.0011066368781316</v>
      </c>
      <c r="E12" s="447">
        <f t="shared" si="2"/>
        <v>3.6217206920671104E-2</v>
      </c>
    </row>
    <row r="13" spans="1:5">
      <c r="A13" s="449">
        <f>'DAILY EXTRAPOLATION'!C2387</f>
        <v>46185</v>
      </c>
      <c r="B13" s="448">
        <f t="shared" si="0"/>
        <v>46186</v>
      </c>
      <c r="C13" s="445">
        <f>'DAILY EXTRAPOLATION'!N2387</f>
        <v>1.0003041666666668</v>
      </c>
      <c r="D13" s="451">
        <f t="shared" si="1"/>
        <v>1.0014111401468488</v>
      </c>
      <c r="E13" s="447">
        <f t="shared" si="2"/>
        <v>4.2334204405465314E-2</v>
      </c>
    </row>
    <row r="14" spans="1:5">
      <c r="A14" s="449">
        <f>'DAILY EXTRAPOLATION'!C2388</f>
        <v>46186</v>
      </c>
      <c r="B14" s="448">
        <f t="shared" si="0"/>
        <v>46187</v>
      </c>
      <c r="C14" s="445">
        <f>'DAILY EXTRAPOLATION'!N2388</f>
        <v>1</v>
      </c>
      <c r="D14" s="451">
        <f t="shared" si="1"/>
        <v>1.0014111401468488</v>
      </c>
      <c r="E14" s="447">
        <f t="shared" si="2"/>
        <v>3.9077727143506442E-2</v>
      </c>
    </row>
    <row r="15" spans="1:5">
      <c r="A15" s="449">
        <f>'DAILY EXTRAPOLATION'!C2389</f>
        <v>46187</v>
      </c>
      <c r="B15" s="448">
        <f t="shared" si="0"/>
        <v>46188</v>
      </c>
      <c r="C15" s="445">
        <f>'DAILY EXTRAPOLATION'!N2389</f>
        <v>1</v>
      </c>
      <c r="D15" s="451">
        <f t="shared" si="1"/>
        <v>1.0014111401468488</v>
      </c>
      <c r="E15" s="447">
        <f t="shared" si="2"/>
        <v>3.6286460918970267E-2</v>
      </c>
    </row>
    <row r="16" spans="1:5">
      <c r="A16" s="449">
        <f>'DAILY EXTRAPOLATION'!C2390</f>
        <v>46188</v>
      </c>
      <c r="B16" s="448">
        <f t="shared" si="0"/>
        <v>46189</v>
      </c>
      <c r="C16" s="445">
        <f>'DAILY EXTRAPOLATION'!N2390</f>
        <v>1.0001024999999999</v>
      </c>
      <c r="D16" s="451">
        <f t="shared" si="1"/>
        <v>1.0015137847887139</v>
      </c>
      <c r="E16" s="447">
        <f t="shared" si="2"/>
        <v>3.633083492913336E-2</v>
      </c>
    </row>
    <row r="17" spans="1:5">
      <c r="A17" s="449">
        <f>'DAILY EXTRAPOLATION'!C2391</f>
        <v>46189</v>
      </c>
      <c r="B17" s="448">
        <f t="shared" si="0"/>
        <v>46190</v>
      </c>
      <c r="C17" s="445">
        <f>'DAILY EXTRAPOLATION'!N2391</f>
        <v>1.0001008333333334</v>
      </c>
      <c r="D17" s="451">
        <f t="shared" si="1"/>
        <v>1.0016147707620136</v>
      </c>
      <c r="E17" s="447">
        <f t="shared" si="2"/>
        <v>3.6332342145304897E-2</v>
      </c>
    </row>
    <row r="18" spans="1:5">
      <c r="A18" s="449">
        <f>'DAILY EXTRAPOLATION'!C2392</f>
        <v>46190</v>
      </c>
      <c r="B18" s="448">
        <f t="shared" si="0"/>
        <v>46191</v>
      </c>
      <c r="C18" s="445">
        <f>'DAILY EXTRAPOLATION'!N2392</f>
        <v>1.0001008333333334</v>
      </c>
      <c r="D18" s="451">
        <f t="shared" si="1"/>
        <v>1.0017157669180654</v>
      </c>
      <c r="E18" s="447">
        <f t="shared" si="2"/>
        <v>3.633388767667925E-2</v>
      </c>
    </row>
    <row r="19" spans="1:5">
      <c r="A19" s="449">
        <f>'DAILY EXTRAPOLATION'!C2393</f>
        <v>46191</v>
      </c>
      <c r="B19" s="448">
        <f t="shared" si="0"/>
        <v>46192</v>
      </c>
      <c r="C19" s="445">
        <f>'DAILY EXTRAPOLATION'!N2393</f>
        <v>1.0004022222222222</v>
      </c>
      <c r="D19" s="451">
        <f t="shared" si="1"/>
        <v>1.0021186792598702</v>
      </c>
      <c r="E19" s="447">
        <f t="shared" si="2"/>
        <v>4.2373585197403862E-2</v>
      </c>
    </row>
    <row r="20" spans="1:5">
      <c r="A20" s="449">
        <f>'DAILY EXTRAPOLATION'!C2394</f>
        <v>46192</v>
      </c>
      <c r="B20" s="448">
        <f t="shared" si="0"/>
        <v>46193</v>
      </c>
      <c r="C20" s="445">
        <f>'DAILY EXTRAPOLATION'!N2394</f>
        <v>1</v>
      </c>
      <c r="D20" s="451">
        <f t="shared" si="1"/>
        <v>1.0021186792598702</v>
      </c>
      <c r="E20" s="447">
        <f t="shared" si="2"/>
        <v>4.0143396502803658E-2</v>
      </c>
    </row>
    <row r="21" spans="1:5">
      <c r="A21" s="449">
        <f>'DAILY EXTRAPOLATION'!C2395</f>
        <v>46193</v>
      </c>
      <c r="B21" s="448">
        <f t="shared" si="0"/>
        <v>46194</v>
      </c>
      <c r="C21" s="445">
        <f>'DAILY EXTRAPOLATION'!N2395</f>
        <v>1</v>
      </c>
      <c r="D21" s="451">
        <f t="shared" si="1"/>
        <v>1.0021186792598702</v>
      </c>
      <c r="E21" s="447">
        <f t="shared" si="2"/>
        <v>3.8136226677663476E-2</v>
      </c>
    </row>
    <row r="22" spans="1:5">
      <c r="A22" s="449">
        <f>'DAILY EXTRAPOLATION'!C2396</f>
        <v>46194</v>
      </c>
      <c r="B22" s="448">
        <f t="shared" si="0"/>
        <v>46195</v>
      </c>
      <c r="C22" s="445">
        <f>'DAILY EXTRAPOLATION'!N2396</f>
        <v>1</v>
      </c>
      <c r="D22" s="451">
        <f t="shared" si="1"/>
        <v>1.0021186792598702</v>
      </c>
      <c r="E22" s="447">
        <f t="shared" si="2"/>
        <v>3.6320215883489028E-2</v>
      </c>
    </row>
    <row r="23" spans="1:5">
      <c r="A23" s="449">
        <f>'DAILY EXTRAPOLATION'!C2397</f>
        <v>46195</v>
      </c>
      <c r="B23" s="448">
        <f t="shared" si="0"/>
        <v>46196</v>
      </c>
      <c r="C23" s="445">
        <f>'DAILY EXTRAPOLATION'!N2397</f>
        <v>1.0001002777777779</v>
      </c>
      <c r="D23" s="451">
        <f t="shared" si="1"/>
        <v>1.0022191694940961</v>
      </c>
      <c r="E23" s="447">
        <f t="shared" si="2"/>
        <v>3.6313682630662841E-2</v>
      </c>
    </row>
    <row r="24" spans="1:5">
      <c r="A24" s="449">
        <f>'DAILY EXTRAPOLATION'!C2398</f>
        <v>46196</v>
      </c>
      <c r="B24" s="448">
        <f t="shared" si="0"/>
        <v>46197</v>
      </c>
      <c r="C24" s="445">
        <f>'DAILY EXTRAPOLATION'!N2398</f>
        <v>1.0001005555555555</v>
      </c>
      <c r="D24" s="451">
        <f t="shared" si="1"/>
        <v>1.0023199481994729</v>
      </c>
      <c r="E24" s="447">
        <f t="shared" si="2"/>
        <v>3.6312232687401892E-2</v>
      </c>
    </row>
    <row r="25" spans="1:5">
      <c r="A25" s="449">
        <f>'DAILY EXTRAPOLATION'!C2399</f>
        <v>46197</v>
      </c>
      <c r="B25" s="448">
        <f t="shared" si="0"/>
        <v>46198</v>
      </c>
      <c r="C25" s="445">
        <f>'DAILY EXTRAPOLATION'!N2399</f>
        <v>1.0001005555555555</v>
      </c>
      <c r="D25" s="451">
        <f t="shared" si="1"/>
        <v>1.0024207370387086</v>
      </c>
      <c r="E25" s="447">
        <f t="shared" si="2"/>
        <v>3.631105558062897E-2</v>
      </c>
    </row>
    <row r="26" spans="1:5">
      <c r="A26" s="449">
        <f>'DAILY EXTRAPOLATION'!C2400</f>
        <v>46198</v>
      </c>
      <c r="B26" s="448">
        <f t="shared" si="0"/>
        <v>46199</v>
      </c>
      <c r="C26" s="445">
        <f>'DAILY EXTRAPOLATION'!N2400</f>
        <v>1.0001011111111111</v>
      </c>
      <c r="D26" s="451">
        <f t="shared" si="1"/>
        <v>1.0025220929132315</v>
      </c>
      <c r="E26" s="447">
        <f t="shared" si="2"/>
        <v>3.6318137950533111E-2</v>
      </c>
    </row>
    <row r="27" spans="1:5">
      <c r="A27" s="449">
        <f>'DAILY EXTRAPOLATION'!C2401</f>
        <v>46199</v>
      </c>
      <c r="B27" s="448">
        <f t="shared" si="0"/>
        <v>46200</v>
      </c>
      <c r="C27" s="445">
        <f>'DAILY EXTRAPOLATION'!N2401</f>
        <v>1.0003016666666666</v>
      </c>
      <c r="D27" s="451">
        <f t="shared" si="1"/>
        <v>1.0028245204112602</v>
      </c>
      <c r="E27" s="447">
        <f t="shared" si="2"/>
        <v>3.9108744155911083E-2</v>
      </c>
    </row>
    <row r="28" spans="1:5">
      <c r="A28" s="449">
        <f>'DAILY EXTRAPOLATION'!C2402</f>
        <v>46200</v>
      </c>
      <c r="B28" s="448">
        <f t="shared" si="0"/>
        <v>46201</v>
      </c>
      <c r="C28" s="445">
        <f>'DAILY EXTRAPOLATION'!N2402</f>
        <v>1</v>
      </c>
      <c r="D28" s="451">
        <f t="shared" si="1"/>
        <v>1.0028245204112602</v>
      </c>
      <c r="E28" s="447">
        <f t="shared" si="2"/>
        <v>3.7660272150136599E-2</v>
      </c>
    </row>
    <row r="29" spans="1:5">
      <c r="A29" s="449">
        <f>'DAILY EXTRAPOLATION'!C2403</f>
        <v>46201</v>
      </c>
      <c r="B29" s="448">
        <f t="shared" si="0"/>
        <v>46202</v>
      </c>
      <c r="C29" s="445">
        <f>'DAILY EXTRAPOLATION'!N2403</f>
        <v>1</v>
      </c>
      <c r="D29" s="451">
        <f t="shared" si="1"/>
        <v>1.0028245204112602</v>
      </c>
      <c r="E29" s="447">
        <f t="shared" si="2"/>
        <v>3.6315262430488868E-2</v>
      </c>
    </row>
    <row r="30" spans="1:5">
      <c r="A30" s="449">
        <f>'DAILY EXTRAPOLATION'!C2404</f>
        <v>46202</v>
      </c>
      <c r="B30" s="448">
        <f t="shared" si="0"/>
        <v>46203</v>
      </c>
      <c r="C30" s="445">
        <f>'DAILY EXTRAPOLATION'!N2404</f>
        <v>1.0001005555555555</v>
      </c>
      <c r="D30" s="451">
        <f t="shared" si="1"/>
        <v>1.002925359988035</v>
      </c>
      <c r="E30" s="447">
        <f t="shared" si="2"/>
        <v>3.6314813644572459E-2</v>
      </c>
    </row>
    <row r="31" spans="1:5">
      <c r="A31" s="449">
        <f>'DAILY EXTRAPOLATION'!C2405</f>
        <v>46203</v>
      </c>
      <c r="B31" s="448">
        <f t="shared" si="0"/>
        <v>46204</v>
      </c>
      <c r="C31" s="445">
        <f>'DAILY EXTRAPOLATION'!N2405</f>
        <v>1.0001022222222222</v>
      </c>
      <c r="D31" s="451">
        <f t="shared" si="1"/>
        <v>1.0030278812470561</v>
      </c>
      <c r="E31" s="447">
        <f t="shared" si="2"/>
        <v>3.6334574964673294E-2</v>
      </c>
    </row>
    <row r="32" spans="1:5">
      <c r="A32" s="449">
        <f>'DAILY EXTRAPOLATION'!C2406</f>
        <v>46204</v>
      </c>
      <c r="B32" s="448">
        <f t="shared" si="0"/>
        <v>46205</v>
      </c>
      <c r="C32" s="445">
        <f>'DAILY EXTRAPOLATION'!N2406</f>
        <v>1.0001016666666667</v>
      </c>
      <c r="D32" s="451">
        <f t="shared" si="1"/>
        <v>1.0031298557483161</v>
      </c>
      <c r="E32" s="447">
        <f t="shared" si="2"/>
        <v>3.634671191592944E-2</v>
      </c>
    </row>
    <row r="33" spans="1:5">
      <c r="A33" s="449">
        <f>'DAILY EXTRAPOLATION'!C2407</f>
        <v>46205</v>
      </c>
      <c r="B33" s="448">
        <f t="shared" si="0"/>
        <v>46206</v>
      </c>
      <c r="C33" s="445">
        <f>'DAILY EXTRAPOLATION'!N2407</f>
        <v>1.0004044444444444</v>
      </c>
      <c r="D33" s="451">
        <f t="shared" si="1"/>
        <v>1.0035355660455298</v>
      </c>
      <c r="E33" s="447">
        <f t="shared" si="2"/>
        <v>3.9775118012210786E-2</v>
      </c>
    </row>
    <row r="34" spans="1:5">
      <c r="A34" s="449">
        <f>'DAILY EXTRAPOLATION'!C2408</f>
        <v>46206</v>
      </c>
      <c r="B34" s="448">
        <f t="shared" si="0"/>
        <v>46207</v>
      </c>
      <c r="C34" s="445">
        <f>'DAILY EXTRAPOLATION'!N2408</f>
        <v>1</v>
      </c>
      <c r="D34" s="451">
        <f t="shared" si="1"/>
        <v>1.0035355660455298</v>
      </c>
      <c r="E34" s="447">
        <f t="shared" si="2"/>
        <v>3.8569811405780155E-2</v>
      </c>
    </row>
    <row r="35" spans="1:5">
      <c r="A35" s="449">
        <f>'DAILY EXTRAPOLATION'!C2409</f>
        <v>46207</v>
      </c>
      <c r="B35" s="448">
        <f t="shared" si="0"/>
        <v>46208</v>
      </c>
      <c r="C35" s="445">
        <f>'DAILY EXTRAPOLATION'!N2409</f>
        <v>1</v>
      </c>
      <c r="D35" s="451">
        <f t="shared" si="1"/>
        <v>1.0035355660455298</v>
      </c>
      <c r="E35" s="447">
        <f t="shared" si="2"/>
        <v>3.7435405187963094E-2</v>
      </c>
    </row>
    <row r="36" spans="1:5">
      <c r="A36" s="449">
        <f>'DAILY EXTRAPOLATION'!C2410</f>
        <v>46208</v>
      </c>
      <c r="B36" s="448">
        <f t="shared" si="0"/>
        <v>46209</v>
      </c>
      <c r="C36" s="445">
        <f>'DAILY EXTRAPOLATION'!N2410</f>
        <v>1</v>
      </c>
      <c r="D36" s="451">
        <f t="shared" si="1"/>
        <v>1.0035355660455298</v>
      </c>
      <c r="E36" s="447">
        <f t="shared" si="2"/>
        <v>3.6365822182592718E-2</v>
      </c>
    </row>
    <row r="37" spans="1:5">
      <c r="A37" s="449">
        <f>'DAILY EXTRAPOLATION'!C2411</f>
        <v>46209</v>
      </c>
      <c r="B37" s="448">
        <f t="shared" si="0"/>
        <v>46210</v>
      </c>
      <c r="C37" s="445">
        <f>'DAILY EXTRAPOLATION'!N2411</f>
        <v>1.0001008333333334</v>
      </c>
      <c r="D37" s="451">
        <f t="shared" si="1"/>
        <v>1.0036367558817729</v>
      </c>
      <c r="E37" s="447">
        <f t="shared" si="2"/>
        <v>3.636755881772924E-2</v>
      </c>
    </row>
    <row r="38" spans="1:5">
      <c r="A38" s="449">
        <f>'DAILY EXTRAPOLATION'!C2412</f>
        <v>46210</v>
      </c>
      <c r="B38" s="448">
        <f t="shared" si="0"/>
        <v>46211</v>
      </c>
      <c r="C38" s="445">
        <f>'DAILY EXTRAPOLATION'!N2412</f>
        <v>1.0001005555555555</v>
      </c>
      <c r="D38" s="451">
        <f t="shared" si="1"/>
        <v>1.0037376771333366</v>
      </c>
      <c r="E38" s="447">
        <f t="shared" si="2"/>
        <v>3.6366588324356248E-2</v>
      </c>
    </row>
    <row r="39" spans="1:5">
      <c r="A39" s="449">
        <f>'DAILY EXTRAPOLATION'!C2413</f>
        <v>46211</v>
      </c>
      <c r="B39" s="448">
        <f t="shared" si="0"/>
        <v>46212</v>
      </c>
      <c r="C39" s="445">
        <f>'DAILY EXTRAPOLATION'!N2413</f>
        <v>1.0000994444444444</v>
      </c>
      <c r="D39" s="451">
        <f t="shared" si="1"/>
        <v>1.0038374932690071</v>
      </c>
      <c r="E39" s="447">
        <f t="shared" si="2"/>
        <v>3.6355199390593236E-2</v>
      </c>
    </row>
    <row r="40" spans="1:5">
      <c r="A40" s="449">
        <f>'DAILY EXTRAPOLATION'!C2414</f>
        <v>46212</v>
      </c>
      <c r="B40" s="448">
        <f t="shared" si="0"/>
        <v>46213</v>
      </c>
      <c r="C40" s="445">
        <f>'DAILY EXTRAPOLATION'!N2414</f>
        <v>1.0000980555555556</v>
      </c>
      <c r="D40" s="451">
        <f t="shared" si="1"/>
        <v>1.0039359251120972</v>
      </c>
      <c r="E40" s="447">
        <f t="shared" si="2"/>
        <v>3.633161641935851E-2</v>
      </c>
    </row>
    <row r="41" spans="1:5">
      <c r="A41" s="449">
        <f>'DAILY EXTRAPOLATION'!C2415</f>
        <v>46213</v>
      </c>
      <c r="B41" s="448">
        <f t="shared" si="0"/>
        <v>46214</v>
      </c>
      <c r="C41" s="445">
        <f>'DAILY EXTRAPOLATION'!N2415</f>
        <v>1.0002958333333334</v>
      </c>
      <c r="D41" s="451">
        <f t="shared" si="1"/>
        <v>1.0042329228232763</v>
      </c>
      <c r="E41" s="447">
        <f t="shared" si="2"/>
        <v>3.8096305409486275E-2</v>
      </c>
    </row>
    <row r="42" spans="1:5">
      <c r="A42" s="449">
        <f>'DAILY EXTRAPOLATION'!C2416</f>
        <v>46214</v>
      </c>
      <c r="B42" s="448">
        <f t="shared" si="0"/>
        <v>46215</v>
      </c>
      <c r="C42" s="445">
        <f>'DAILY EXTRAPOLATION'!N2416</f>
        <v>1</v>
      </c>
      <c r="D42" s="451">
        <f t="shared" si="1"/>
        <v>1.0042329228232763</v>
      </c>
      <c r="E42" s="447">
        <f t="shared" si="2"/>
        <v>3.7167127228767097E-2</v>
      </c>
    </row>
    <row r="43" spans="1:5">
      <c r="A43" s="449">
        <f>'DAILY EXTRAPOLATION'!C2417</f>
        <v>46215</v>
      </c>
      <c r="B43" s="448">
        <f t="shared" si="0"/>
        <v>46216</v>
      </c>
      <c r="C43" s="445">
        <f>'DAILY EXTRAPOLATION'!N2417</f>
        <v>1</v>
      </c>
      <c r="D43" s="451">
        <f t="shared" si="1"/>
        <v>1.0042329228232763</v>
      </c>
      <c r="E43" s="447">
        <f t="shared" si="2"/>
        <v>3.6282195628082166E-2</v>
      </c>
    </row>
    <row r="44" spans="1:5">
      <c r="A44" s="449">
        <f>'DAILY EXTRAPOLATION'!C2418</f>
        <v>46216</v>
      </c>
      <c r="B44" s="448">
        <f t="shared" si="0"/>
        <v>46217</v>
      </c>
      <c r="C44" s="445">
        <f>'DAILY EXTRAPOLATION'!N2418</f>
        <v>1.0001</v>
      </c>
      <c r="D44" s="451">
        <f t="shared" si="1"/>
        <v>1.0043333461155586</v>
      </c>
      <c r="E44" s="447">
        <f t="shared" si="2"/>
        <v>3.6279176781420654E-2</v>
      </c>
    </row>
    <row r="45" spans="1:5">
      <c r="A45" s="449">
        <f>'DAILY EXTRAPOLATION'!C2419</f>
        <v>46217</v>
      </c>
      <c r="B45" s="448">
        <f t="shared" si="0"/>
        <v>46218</v>
      </c>
      <c r="C45" s="445">
        <f>'DAILY EXTRAPOLATION'!N2419</f>
        <v>1.0001008333333334</v>
      </c>
      <c r="D45" s="451">
        <f t="shared" si="1"/>
        <v>1.0044346163946254</v>
      </c>
      <c r="E45" s="447">
        <f t="shared" si="2"/>
        <v>3.6283225046935014E-2</v>
      </c>
    </row>
    <row r="46" spans="1:5">
      <c r="A46" s="449">
        <f>'DAILY EXTRAPOLATION'!C2420</f>
        <v>46218</v>
      </c>
      <c r="B46" s="448">
        <f t="shared" si="0"/>
        <v>46219</v>
      </c>
      <c r="C46" s="445">
        <f>'DAILY EXTRAPOLATION'!N2420</f>
        <v>1.0001011111111111</v>
      </c>
      <c r="D46" s="451">
        <f t="shared" si="1"/>
        <v>1.0045361758947275</v>
      </c>
      <c r="E46" s="447">
        <f t="shared" si="2"/>
        <v>3.6289407157820364E-2</v>
      </c>
    </row>
    <row r="47" spans="1:5">
      <c r="A47" s="449">
        <f>'DAILY EXTRAPOLATION'!C2421</f>
        <v>46219</v>
      </c>
      <c r="B47" s="448">
        <f t="shared" si="0"/>
        <v>46220</v>
      </c>
      <c r="C47" s="445">
        <f>'DAILY EXTRAPOLATION'!N2421</f>
        <v>1.0001005555555555</v>
      </c>
      <c r="D47" s="451">
        <f t="shared" si="1"/>
        <v>1.0046371875879703</v>
      </c>
      <c r="E47" s="447">
        <f t="shared" si="2"/>
        <v>3.6291033297158638E-2</v>
      </c>
    </row>
    <row r="48" spans="1:5">
      <c r="A48" s="449">
        <f>'DAILY EXTRAPOLATION'!C2422</f>
        <v>46220</v>
      </c>
      <c r="B48" s="448">
        <f t="shared" si="0"/>
        <v>46221</v>
      </c>
      <c r="C48" s="445">
        <f>'DAILY EXTRAPOLATION'!N2422</f>
        <v>1.0002991666666667</v>
      </c>
      <c r="D48" s="451">
        <f t="shared" si="1"/>
        <v>1.0049377415465903</v>
      </c>
      <c r="E48" s="447">
        <f t="shared" si="2"/>
        <v>3.7820999080266308E-2</v>
      </c>
    </row>
    <row r="49" spans="1:5">
      <c r="A49" s="449">
        <f>'DAILY EXTRAPOLATION'!C2423</f>
        <v>46221</v>
      </c>
      <c r="B49" s="448">
        <f t="shared" si="0"/>
        <v>46222</v>
      </c>
      <c r="C49" s="445">
        <f>'DAILY EXTRAPOLATION'!N2423</f>
        <v>1</v>
      </c>
      <c r="D49" s="451">
        <f t="shared" si="1"/>
        <v>1.0049377415465903</v>
      </c>
      <c r="E49" s="447">
        <f t="shared" si="2"/>
        <v>3.703306159942743E-2</v>
      </c>
    </row>
    <row r="50" spans="1:5">
      <c r="A50" s="449">
        <f>'DAILY EXTRAPOLATION'!C2424</f>
        <v>46222</v>
      </c>
      <c r="B50" s="448">
        <f t="shared" si="0"/>
        <v>46223</v>
      </c>
      <c r="C50" s="445">
        <f>'DAILY EXTRAPOLATION'!N2424</f>
        <v>1</v>
      </c>
      <c r="D50" s="451">
        <f t="shared" si="1"/>
        <v>1.0049377415465903</v>
      </c>
      <c r="E50" s="447">
        <f t="shared" si="2"/>
        <v>3.627728483209218E-2</v>
      </c>
    </row>
    <row r="51" spans="1:5">
      <c r="A51" s="449">
        <f>'DAILY EXTRAPOLATION'!C2425</f>
        <v>46223</v>
      </c>
      <c r="B51" s="448">
        <f t="shared" si="0"/>
        <v>46224</v>
      </c>
      <c r="C51" s="445">
        <f>'DAILY EXTRAPOLATION'!N2425</f>
        <v>1.0000991666666668</v>
      </c>
      <c r="D51" s="451">
        <f t="shared" si="1"/>
        <v>1.005037397872627</v>
      </c>
      <c r="E51" s="447">
        <f t="shared" si="2"/>
        <v>3.6269264682914581E-2</v>
      </c>
    </row>
    <row r="52" spans="1:5">
      <c r="A52" s="449">
        <f>'DAILY EXTRAPOLATION'!C2426</f>
        <v>46224</v>
      </c>
      <c r="B52" s="448">
        <f t="shared" si="0"/>
        <v>46225</v>
      </c>
      <c r="C52" s="445">
        <f>'DAILY EXTRAPOLATION'!N2426</f>
        <v>1.0001002777777779</v>
      </c>
      <c r="D52" s="451">
        <f t="shared" si="1"/>
        <v>1.0051381807894693</v>
      </c>
      <c r="E52" s="447">
        <f t="shared" si="2"/>
        <v>3.6269511455077126E-2</v>
      </c>
    </row>
    <row r="53" spans="1:5">
      <c r="A53" s="449">
        <f>'DAILY EXTRAPOLATION'!C2427</f>
        <v>46225</v>
      </c>
      <c r="B53" s="448">
        <f t="shared" si="0"/>
        <v>46226</v>
      </c>
      <c r="C53" s="445">
        <f>'DAILY EXTRAPOLATION'!N2427</f>
        <v>1.0001005555555555</v>
      </c>
      <c r="D53" s="451">
        <f t="shared" si="1"/>
        <v>1.0052392530176486</v>
      </c>
      <c r="E53" s="447">
        <f t="shared" si="2"/>
        <v>3.6271751660644183E-2</v>
      </c>
    </row>
    <row r="54" spans="1:5">
      <c r="A54" s="449">
        <f>'DAILY EXTRAPOLATION'!C2428</f>
        <v>46226</v>
      </c>
      <c r="B54" s="448">
        <f t="shared" si="0"/>
        <v>46227</v>
      </c>
      <c r="C54" s="445">
        <f>'DAILY EXTRAPOLATION'!N2428</f>
        <v>1.0001011111111111</v>
      </c>
      <c r="D54" s="451">
        <f t="shared" si="1"/>
        <v>1.0053408938754538</v>
      </c>
      <c r="E54" s="447">
        <f t="shared" si="2"/>
        <v>3.6277769720063399E-2</v>
      </c>
    </row>
    <row r="55" spans="1:5">
      <c r="A55" s="449">
        <f>'DAILY EXTRAPOLATION'!C2429</f>
        <v>46227</v>
      </c>
      <c r="B55" s="448">
        <f t="shared" si="0"/>
        <v>46228</v>
      </c>
      <c r="C55" s="445">
        <f>'DAILY EXTRAPOLATION'!N2429</f>
        <v>1.0003033333333333</v>
      </c>
      <c r="D55" s="451">
        <f t="shared" si="1"/>
        <v>1.0056458472799292</v>
      </c>
      <c r="E55" s="447">
        <f t="shared" si="2"/>
        <v>3.7638981866194854E-2</v>
      </c>
    </row>
    <row r="56" spans="1:5">
      <c r="A56" s="449">
        <f>'DAILY EXTRAPOLATION'!C2430</f>
        <v>46228</v>
      </c>
      <c r="B56" s="448">
        <f t="shared" si="0"/>
        <v>46229</v>
      </c>
      <c r="C56" s="445">
        <f>'DAILY EXTRAPOLATION'!N2430</f>
        <v>1</v>
      </c>
      <c r="D56" s="451">
        <f t="shared" si="1"/>
        <v>1.0056458472799292</v>
      </c>
      <c r="E56" s="447">
        <f t="shared" si="2"/>
        <v>3.6954636741354949E-2</v>
      </c>
    </row>
    <row r="57" spans="1:5">
      <c r="A57" s="449">
        <f>'DAILY EXTRAPOLATION'!C2431</f>
        <v>46229</v>
      </c>
      <c r="B57" s="448">
        <f t="shared" si="0"/>
        <v>46230</v>
      </c>
      <c r="C57" s="445">
        <f>'DAILY EXTRAPOLATION'!N2431</f>
        <v>1</v>
      </c>
      <c r="D57" s="451">
        <f t="shared" si="1"/>
        <v>1.0056458472799292</v>
      </c>
      <c r="E57" s="447">
        <f t="shared" si="2"/>
        <v>3.6294732513830752E-2</v>
      </c>
    </row>
    <row r="58" spans="1:5">
      <c r="A58" s="449">
        <f>'DAILY EXTRAPOLATION'!C2432</f>
        <v>46230</v>
      </c>
      <c r="B58" s="448">
        <f t="shared" si="0"/>
        <v>46231</v>
      </c>
      <c r="C58" s="445">
        <f>'DAILY EXTRAPOLATION'!N2432</f>
        <v>1.0001011111111111</v>
      </c>
      <c r="D58" s="451">
        <f t="shared" si="1"/>
        <v>1.005747529248932</v>
      </c>
      <c r="E58" s="447">
        <f t="shared" si="2"/>
        <v>3.6300184730096587E-2</v>
      </c>
    </row>
    <row r="59" spans="1:5">
      <c r="A59" s="449">
        <f>'DAILY EXTRAPOLATION'!C2433</f>
        <v>46231</v>
      </c>
      <c r="B59" s="448">
        <f t="shared" si="0"/>
        <v>46232</v>
      </c>
      <c r="C59" s="445">
        <f>'DAILY EXTRAPOLATION'!N2433</f>
        <v>1.000101388888889</v>
      </c>
      <c r="D59" s="451">
        <f t="shared" si="1"/>
        <v>1.0058495008734254</v>
      </c>
      <c r="E59" s="447">
        <f t="shared" si="2"/>
        <v>3.6307246800571416E-2</v>
      </c>
    </row>
    <row r="60" spans="1:5">
      <c r="A60" s="449">
        <f>'DAILY EXTRAPOLATION'!C2434</f>
        <v>46232</v>
      </c>
      <c r="B60" s="448">
        <f t="shared" si="0"/>
        <v>46233</v>
      </c>
      <c r="C60" s="445">
        <f>'DAILY EXTRAPOLATION'!N2434</f>
        <v>1.000101388888889</v>
      </c>
      <c r="D60" s="451">
        <f t="shared" si="1"/>
        <v>1.0059514828367084</v>
      </c>
      <c r="E60" s="447">
        <f t="shared" si="2"/>
        <v>3.6314132562966707E-2</v>
      </c>
    </row>
    <row r="61" spans="1:5">
      <c r="A61" s="449">
        <f>'DAILY EXTRAPOLATION'!C2435</f>
        <v>46233</v>
      </c>
      <c r="B61" s="448">
        <f t="shared" si="0"/>
        <v>46234</v>
      </c>
      <c r="C61" s="445">
        <f>'DAILY EXTRAPOLATION'!N2435</f>
        <v>1.000101388888889</v>
      </c>
      <c r="D61" s="451">
        <f t="shared" si="1"/>
        <v>1.0060534751398296</v>
      </c>
      <c r="E61" s="447">
        <f t="shared" si="2"/>
        <v>3.6320850838977403E-2</v>
      </c>
    </row>
    <row r="62" spans="1:5">
      <c r="A62" s="449">
        <f>'DAILY EXTRAPOLATION'!C2436</f>
        <v>46234</v>
      </c>
      <c r="B62" s="448">
        <f t="shared" si="0"/>
        <v>46235</v>
      </c>
      <c r="C62" s="445">
        <f>'DAILY EXTRAPOLATION'!N2436</f>
        <v>1.000305</v>
      </c>
      <c r="D62" s="451">
        <f t="shared" si="1"/>
        <v>1.0063603214497472</v>
      </c>
      <c r="E62" s="447">
        <f t="shared" si="2"/>
        <v>3.7536323309983397E-2</v>
      </c>
    </row>
    <row r="63" spans="1:5">
      <c r="A63" s="449">
        <f>'DAILY EXTRAPOLATION'!C2437</f>
        <v>46235</v>
      </c>
      <c r="B63" s="448">
        <f t="shared" si="0"/>
        <v>46236</v>
      </c>
      <c r="C63" s="445">
        <f>'DAILY EXTRAPOLATION'!N2437</f>
        <v>1</v>
      </c>
      <c r="D63" s="451">
        <f t="shared" si="1"/>
        <v>1.0063603214497472</v>
      </c>
      <c r="E63" s="447">
        <f t="shared" si="2"/>
        <v>3.6930898740467531E-2</v>
      </c>
    </row>
    <row r="64" spans="1:5">
      <c r="A64" s="449">
        <f>'DAILY EXTRAPOLATION'!C2438</f>
        <v>46236</v>
      </c>
      <c r="B64" s="448">
        <f t="shared" si="0"/>
        <v>46237</v>
      </c>
      <c r="C64" s="445">
        <f>'DAILY EXTRAPOLATION'!N2438</f>
        <v>1</v>
      </c>
      <c r="D64" s="451">
        <f t="shared" si="1"/>
        <v>1.0063603214497472</v>
      </c>
      <c r="E64" s="447">
        <f t="shared" si="2"/>
        <v>3.6344693998555347E-2</v>
      </c>
    </row>
    <row r="65" spans="1:5">
      <c r="A65" s="449">
        <f>'DAILY EXTRAPOLATION'!C2439</f>
        <v>46237</v>
      </c>
      <c r="B65" s="448">
        <f t="shared" si="0"/>
        <v>46238</v>
      </c>
      <c r="C65" s="445">
        <f>'DAILY EXTRAPOLATION'!N2439</f>
        <v>1.000101388888889</v>
      </c>
      <c r="D65" s="451">
        <f t="shared" si="1"/>
        <v>1.0064623552045608</v>
      </c>
      <c r="E65" s="447">
        <f t="shared" si="2"/>
        <v>3.6350748025654744E-2</v>
      </c>
    </row>
    <row r="66" spans="1:5">
      <c r="A66" s="449">
        <f>'DAILY EXTRAPOLATION'!C2440</f>
        <v>46238</v>
      </c>
      <c r="B66" s="448">
        <f t="shared" si="0"/>
        <v>46239</v>
      </c>
      <c r="C66" s="445">
        <f>'DAILY EXTRAPOLATION'!N2440</f>
        <v>1.0001016666666667</v>
      </c>
      <c r="D66" s="451">
        <f t="shared" si="1"/>
        <v>1.0065646788773399</v>
      </c>
      <c r="E66" s="447">
        <f t="shared" si="2"/>
        <v>3.6358221474497979E-2</v>
      </c>
    </row>
    <row r="67" spans="1:5">
      <c r="A67" s="449">
        <f>'DAILY EXTRAPOLATION'!C2441</f>
        <v>46239</v>
      </c>
      <c r="B67" s="448">
        <f t="shared" ref="B67:B130" si="3">A68</f>
        <v>46240</v>
      </c>
      <c r="C67" s="445">
        <f>'DAILY EXTRAPOLATION'!N2441</f>
        <v>1.0001011111111111</v>
      </c>
      <c r="D67" s="451">
        <f t="shared" si="1"/>
        <v>1.0066664537504264</v>
      </c>
      <c r="E67" s="447">
        <f t="shared" si="2"/>
        <v>3.6362475002325839E-2</v>
      </c>
    </row>
    <row r="68" spans="1:5">
      <c r="A68" s="449">
        <f>'DAILY EXTRAPOLATION'!C2442</f>
        <v>46240</v>
      </c>
      <c r="B68" s="448">
        <f t="shared" si="3"/>
        <v>46241</v>
      </c>
      <c r="C68" s="445">
        <f>'DAILY EXTRAPOLATION'!N2442</f>
        <v>1.000101388888889</v>
      </c>
      <c r="D68" s="451">
        <f t="shared" ref="D68:D131" si="4">D67*C68</f>
        <v>1.0067685185436539</v>
      </c>
      <c r="E68" s="447">
        <f t="shared" ref="E68:E131" si="5">(D68/1-1)*360/(B68-A$2)</f>
        <v>3.6368159339035887E-2</v>
      </c>
    </row>
    <row r="69" spans="1:5">
      <c r="A69" s="449">
        <f>'DAILY EXTRAPOLATION'!C2443</f>
        <v>46241</v>
      </c>
      <c r="B69" s="448">
        <f t="shared" si="3"/>
        <v>46242</v>
      </c>
      <c r="C69" s="445">
        <f>'DAILY EXTRAPOLATION'!N2443</f>
        <v>1.0003016666666666</v>
      </c>
      <c r="D69" s="451">
        <f t="shared" si="4"/>
        <v>1.0070722270467478</v>
      </c>
      <c r="E69" s="447">
        <f t="shared" si="5"/>
        <v>3.7441202012194308E-2</v>
      </c>
    </row>
    <row r="70" spans="1:5">
      <c r="A70" s="449">
        <f>'DAILY EXTRAPOLATION'!C2444</f>
        <v>46242</v>
      </c>
      <c r="B70" s="448">
        <f t="shared" si="3"/>
        <v>46243</v>
      </c>
      <c r="C70" s="445">
        <f>'DAILY EXTRAPOLATION'!N2444</f>
        <v>1</v>
      </c>
      <c r="D70" s="451">
        <f t="shared" si="4"/>
        <v>1.0070722270467478</v>
      </c>
      <c r="E70" s="447">
        <f t="shared" si="5"/>
        <v>3.689857589607555E-2</v>
      </c>
    </row>
    <row r="71" spans="1:5">
      <c r="A71" s="449">
        <f>'DAILY EXTRAPOLATION'!C2445</f>
        <v>46243</v>
      </c>
      <c r="B71" s="448">
        <f t="shared" si="3"/>
        <v>46244</v>
      </c>
      <c r="C71" s="445">
        <f>'DAILY EXTRAPOLATION'!N2445</f>
        <v>1</v>
      </c>
      <c r="D71" s="451">
        <f t="shared" si="4"/>
        <v>1.0070722270467478</v>
      </c>
      <c r="E71" s="447">
        <f t="shared" si="5"/>
        <v>3.6371453383274473E-2</v>
      </c>
    </row>
    <row r="72" spans="1:5">
      <c r="A72" s="449">
        <f>'DAILY EXTRAPOLATION'!C2446</f>
        <v>46244</v>
      </c>
      <c r="B72" s="448">
        <f t="shared" si="3"/>
        <v>46245</v>
      </c>
      <c r="C72" s="445">
        <f>'DAILY EXTRAPOLATION'!N2446</f>
        <v>1.0001008333333334</v>
      </c>
      <c r="D72" s="451">
        <f t="shared" si="4"/>
        <v>1.0071737734963084</v>
      </c>
      <c r="E72" s="447">
        <f t="shared" si="5"/>
        <v>3.6374062798183608E-2</v>
      </c>
    </row>
    <row r="73" spans="1:5">
      <c r="A73" s="449">
        <f>'DAILY EXTRAPOLATION'!C2447</f>
        <v>46245</v>
      </c>
      <c r="B73" s="448">
        <f t="shared" si="3"/>
        <v>46246</v>
      </c>
      <c r="C73" s="445">
        <f>'DAILY EXTRAPOLATION'!N2447</f>
        <v>1.0001011111111111</v>
      </c>
      <c r="D73" s="451">
        <f t="shared" si="4"/>
        <v>1.0072756099556286</v>
      </c>
      <c r="E73" s="447">
        <f t="shared" si="5"/>
        <v>3.6378049778142962E-2</v>
      </c>
    </row>
    <row r="74" spans="1:5">
      <c r="A74" s="449">
        <f>'DAILY EXTRAPOLATION'!C2448</f>
        <v>46246</v>
      </c>
      <c r="B74" s="448">
        <f t="shared" si="3"/>
        <v>46247</v>
      </c>
      <c r="C74" s="445">
        <f>'DAILY EXTRAPOLATION'!N2448</f>
        <v>1.0001005555555555</v>
      </c>
      <c r="D74" s="451">
        <f t="shared" si="4"/>
        <v>1.0073768971141852</v>
      </c>
      <c r="E74" s="447">
        <f t="shared" si="5"/>
        <v>3.6379218645296925E-2</v>
      </c>
    </row>
    <row r="75" spans="1:5">
      <c r="A75" s="449">
        <f>'DAILY EXTRAPOLATION'!C2449</f>
        <v>46247</v>
      </c>
      <c r="B75" s="448">
        <f t="shared" si="3"/>
        <v>46248</v>
      </c>
      <c r="C75" s="445">
        <f>'DAILY EXTRAPOLATION'!N2449</f>
        <v>1.0001005555555555</v>
      </c>
      <c r="D75" s="451">
        <f t="shared" si="4"/>
        <v>1.0074781944577285</v>
      </c>
      <c r="E75" s="447">
        <f t="shared" si="5"/>
        <v>3.6380405470030346E-2</v>
      </c>
    </row>
    <row r="76" spans="1:5">
      <c r="A76" s="449">
        <f>'DAILY EXTRAPOLATION'!C2450</f>
        <v>46248</v>
      </c>
      <c r="B76" s="448">
        <f t="shared" si="3"/>
        <v>46249</v>
      </c>
      <c r="C76" s="445">
        <f>'DAILY EXTRAPOLATION'!N2450</f>
        <v>1.0003016666666666</v>
      </c>
      <c r="D76" s="451">
        <f t="shared" si="4"/>
        <v>1.0077821170463899</v>
      </c>
      <c r="E76" s="447">
        <f t="shared" si="5"/>
        <v>3.7354161822671372E-2</v>
      </c>
    </row>
    <row r="77" spans="1:5">
      <c r="A77" s="449">
        <f>'DAILY EXTRAPOLATION'!C2451</f>
        <v>46249</v>
      </c>
      <c r="B77" s="448">
        <f t="shared" si="3"/>
        <v>46250</v>
      </c>
      <c r="C77" s="445">
        <f>'DAILY EXTRAPOLATION'!N2451</f>
        <v>1</v>
      </c>
      <c r="D77" s="451">
        <f t="shared" si="4"/>
        <v>1.0077821170463899</v>
      </c>
      <c r="E77" s="447">
        <f t="shared" si="5"/>
        <v>3.6862659693425698E-2</v>
      </c>
    </row>
    <row r="78" spans="1:5">
      <c r="A78" s="449">
        <f>'DAILY EXTRAPOLATION'!C2452</f>
        <v>46250</v>
      </c>
      <c r="B78" s="448">
        <f t="shared" si="3"/>
        <v>46251</v>
      </c>
      <c r="C78" s="445">
        <f>'DAILY EXTRAPOLATION'!N2452</f>
        <v>1</v>
      </c>
      <c r="D78" s="451">
        <f t="shared" si="4"/>
        <v>1.0077821170463899</v>
      </c>
      <c r="E78" s="447">
        <f t="shared" si="5"/>
        <v>3.6383923853251336E-2</v>
      </c>
    </row>
    <row r="79" spans="1:5">
      <c r="A79" s="449">
        <f>'DAILY EXTRAPOLATION'!C2453</f>
        <v>46251</v>
      </c>
      <c r="B79" s="448">
        <f t="shared" si="3"/>
        <v>46252</v>
      </c>
      <c r="C79" s="445">
        <f>'DAILY EXTRAPOLATION'!N2453</f>
        <v>1.0001016666666667</v>
      </c>
      <c r="D79" s="451">
        <f t="shared" si="4"/>
        <v>1.0078845748949563</v>
      </c>
      <c r="E79" s="447">
        <f t="shared" si="5"/>
        <v>3.6390345669029114E-2</v>
      </c>
    </row>
    <row r="80" spans="1:5">
      <c r="A80" s="449">
        <f>'DAILY EXTRAPOLATION'!C2454</f>
        <v>46252</v>
      </c>
      <c r="B80" s="448">
        <f t="shared" si="3"/>
        <v>46253</v>
      </c>
      <c r="C80" s="445">
        <f>'DAILY EXTRAPOLATION'!N2454</f>
        <v>1.000101388888889</v>
      </c>
      <c r="D80" s="451">
        <f t="shared" si="4"/>
        <v>1.0079867631921333</v>
      </c>
      <c r="E80" s="447">
        <f t="shared" si="5"/>
        <v>3.6395376571746761E-2</v>
      </c>
    </row>
    <row r="81" spans="1:5">
      <c r="A81" s="449">
        <f>'DAILY EXTRAPOLATION'!C2455</f>
        <v>46253</v>
      </c>
      <c r="B81" s="448">
        <f t="shared" si="3"/>
        <v>46254</v>
      </c>
      <c r="C81" s="445">
        <f>'DAILY EXTRAPOLATION'!N2455</f>
        <v>1.0001005555555555</v>
      </c>
      <c r="D81" s="451">
        <f t="shared" si="4"/>
        <v>1.0080881218610986</v>
      </c>
      <c r="E81" s="447">
        <f t="shared" si="5"/>
        <v>3.6396548374943882E-2</v>
      </c>
    </row>
    <row r="82" spans="1:5">
      <c r="A82" s="449">
        <f>'DAILY EXTRAPOLATION'!C2456</f>
        <v>46254</v>
      </c>
      <c r="B82" s="448">
        <f t="shared" si="3"/>
        <v>46255</v>
      </c>
      <c r="C82" s="445">
        <f>'DAILY EXTRAPOLATION'!N2456</f>
        <v>1.0001008333333334</v>
      </c>
      <c r="D82" s="451">
        <f t="shared" si="4"/>
        <v>1.0081897707467198</v>
      </c>
      <c r="E82" s="447">
        <f t="shared" si="5"/>
        <v>3.6398981096532362E-2</v>
      </c>
    </row>
    <row r="83" spans="1:5">
      <c r="A83" s="449">
        <f>'DAILY EXTRAPOLATION'!C2457</f>
        <v>46255</v>
      </c>
      <c r="B83" s="448">
        <f t="shared" si="3"/>
        <v>46256</v>
      </c>
      <c r="C83" s="445">
        <f>'DAILY EXTRAPOLATION'!N2457</f>
        <v>1.0003041666666668</v>
      </c>
      <c r="D83" s="451">
        <f t="shared" si="4"/>
        <v>1.0084964284686553</v>
      </c>
      <c r="E83" s="447">
        <f t="shared" si="5"/>
        <v>3.7301393277023184E-2</v>
      </c>
    </row>
    <row r="84" spans="1:5">
      <c r="A84" s="449">
        <f>'DAILY EXTRAPOLATION'!C2458</f>
        <v>46256</v>
      </c>
      <c r="B84" s="448">
        <f t="shared" si="3"/>
        <v>46257</v>
      </c>
      <c r="C84" s="445">
        <f>'DAILY EXTRAPOLATION'!N2458</f>
        <v>1</v>
      </c>
      <c r="D84" s="451">
        <f t="shared" si="4"/>
        <v>1.0084964284686553</v>
      </c>
      <c r="E84" s="447">
        <f t="shared" si="5"/>
        <v>3.6851978900191582E-2</v>
      </c>
    </row>
    <row r="85" spans="1:5">
      <c r="A85" s="449">
        <f>'DAILY EXTRAPOLATION'!C2459</f>
        <v>46257</v>
      </c>
      <c r="B85" s="448">
        <f t="shared" si="3"/>
        <v>46258</v>
      </c>
      <c r="C85" s="445">
        <f>'DAILY EXTRAPOLATION'!N2459</f>
        <v>1</v>
      </c>
      <c r="D85" s="451">
        <f t="shared" si="4"/>
        <v>1.0084964284686553</v>
      </c>
      <c r="E85" s="447">
        <f t="shared" si="5"/>
        <v>3.6413264865665491E-2</v>
      </c>
    </row>
    <row r="86" spans="1:5">
      <c r="A86" s="449">
        <f>'DAILY EXTRAPOLATION'!C2460</f>
        <v>46258</v>
      </c>
      <c r="B86" s="448">
        <f t="shared" si="3"/>
        <v>46259</v>
      </c>
      <c r="C86" s="445">
        <f>'DAILY EXTRAPOLATION'!N2460</f>
        <v>1.000101388888889</v>
      </c>
      <c r="D86" s="451">
        <f t="shared" si="4"/>
        <v>1.0085986788009862</v>
      </c>
      <c r="E86" s="447">
        <f t="shared" si="5"/>
        <v>3.6417933745353286E-2</v>
      </c>
    </row>
    <row r="87" spans="1:5">
      <c r="A87" s="449">
        <f>'DAILY EXTRAPOLATION'!C2461</f>
        <v>46259</v>
      </c>
      <c r="B87" s="448">
        <f t="shared" si="3"/>
        <v>46260</v>
      </c>
      <c r="C87" s="445">
        <f>'DAILY EXTRAPOLATION'!N2461</f>
        <v>1.0001016666666667</v>
      </c>
      <c r="D87" s="451">
        <f t="shared" si="4"/>
        <v>1.0087012196666643</v>
      </c>
      <c r="E87" s="447">
        <f t="shared" si="5"/>
        <v>3.6423710232548069E-2</v>
      </c>
    </row>
    <row r="88" spans="1:5">
      <c r="A88" s="449">
        <f>'DAILY EXTRAPOLATION'!C2462</f>
        <v>46260</v>
      </c>
      <c r="B88" s="448">
        <f t="shared" si="3"/>
        <v>46261</v>
      </c>
      <c r="C88" s="445">
        <f>'DAILY EXTRAPOLATION'!N2462</f>
        <v>1.0001011111111111</v>
      </c>
      <c r="D88" s="451">
        <f t="shared" si="4"/>
        <v>1.0088032105677638</v>
      </c>
      <c r="E88" s="447">
        <f t="shared" si="5"/>
        <v>3.6427078211436356E-2</v>
      </c>
    </row>
    <row r="89" spans="1:5">
      <c r="A89" s="449">
        <f>'DAILY EXTRAPOLATION'!C2463</f>
        <v>46261</v>
      </c>
      <c r="B89" s="448">
        <f t="shared" si="3"/>
        <v>46262</v>
      </c>
      <c r="C89" s="445">
        <f>'DAILY EXTRAPOLATION'!N2463</f>
        <v>1.0001011111111111</v>
      </c>
      <c r="D89" s="451">
        <f t="shared" si="4"/>
        <v>1.0089052117812767</v>
      </c>
      <c r="E89" s="447">
        <f t="shared" si="5"/>
        <v>3.6430411832495506E-2</v>
      </c>
    </row>
    <row r="90" spans="1:5">
      <c r="A90" s="449">
        <f>'DAILY EXTRAPOLATION'!C2464</f>
        <v>46262</v>
      </c>
      <c r="B90" s="448">
        <f t="shared" si="3"/>
        <v>46263</v>
      </c>
      <c r="C90" s="445">
        <f>'DAILY EXTRAPOLATION'!N2464</f>
        <v>1.0003041666666668</v>
      </c>
      <c r="D90" s="451">
        <f t="shared" si="4"/>
        <v>1.0092120871165269</v>
      </c>
      <c r="E90" s="447">
        <f t="shared" si="5"/>
        <v>3.7262374853367149E-2</v>
      </c>
    </row>
    <row r="91" spans="1:5">
      <c r="A91" s="449">
        <f>'DAILY EXTRAPOLATION'!C2465</f>
        <v>46263</v>
      </c>
      <c r="B91" s="448">
        <f t="shared" si="3"/>
        <v>46264</v>
      </c>
      <c r="C91" s="445">
        <f>'DAILY EXTRAPOLATION'!N2465</f>
        <v>1</v>
      </c>
      <c r="D91" s="451">
        <f t="shared" si="4"/>
        <v>1.0092120871165269</v>
      </c>
      <c r="E91" s="447">
        <f t="shared" si="5"/>
        <v>3.6848348466107517E-2</v>
      </c>
    </row>
    <row r="92" spans="1:5">
      <c r="A92" s="449">
        <f>'DAILY EXTRAPOLATION'!C2466</f>
        <v>46264</v>
      </c>
      <c r="B92" s="448">
        <f t="shared" si="3"/>
        <v>46265</v>
      </c>
      <c r="C92" s="445">
        <f>'DAILY EXTRAPOLATION'!N2466</f>
        <v>1</v>
      </c>
      <c r="D92" s="451">
        <f t="shared" si="4"/>
        <v>1.0092120871165269</v>
      </c>
      <c r="E92" s="447">
        <f t="shared" si="5"/>
        <v>3.6443421559886557E-2</v>
      </c>
    </row>
    <row r="93" spans="1:5">
      <c r="A93" s="449">
        <f>'DAILY EXTRAPOLATION'!C2467</f>
        <v>46265</v>
      </c>
      <c r="B93" s="448">
        <f t="shared" si="3"/>
        <v>46266</v>
      </c>
      <c r="C93" s="445">
        <f>'DAILY EXTRAPOLATION'!N2467</f>
        <v>1.0001022222222222</v>
      </c>
      <c r="D93" s="451">
        <f t="shared" si="4"/>
        <v>1.0093152510187655</v>
      </c>
      <c r="E93" s="447">
        <f t="shared" si="5"/>
        <v>3.6450982247343312E-2</v>
      </c>
    </row>
    <row r="94" spans="1:5">
      <c r="A94" s="449">
        <f>'DAILY EXTRAPOLATION'!C2468</f>
        <v>46266</v>
      </c>
      <c r="B94" s="448">
        <f t="shared" si="3"/>
        <v>46267</v>
      </c>
      <c r="C94" s="445">
        <f>'DAILY EXTRAPOLATION'!N2468</f>
        <v>1.0001016666666667</v>
      </c>
      <c r="D94" s="451">
        <f t="shared" si="4"/>
        <v>1.0094178647359524</v>
      </c>
      <c r="E94" s="447">
        <f t="shared" si="5"/>
        <v>3.6456250590783515E-2</v>
      </c>
    </row>
    <row r="95" spans="1:5">
      <c r="A95" s="449">
        <f>'DAILY EXTRAPOLATION'!C2469</f>
        <v>46267</v>
      </c>
      <c r="B95" s="448">
        <f t="shared" si="3"/>
        <v>46268</v>
      </c>
      <c r="C95" s="445">
        <f>'DAILY EXTRAPOLATION'!N2469</f>
        <v>1.000101388888889</v>
      </c>
      <c r="D95" s="451">
        <f t="shared" si="4"/>
        <v>1.0095202084916828</v>
      </c>
      <c r="E95" s="447">
        <f t="shared" si="5"/>
        <v>3.6460372946870219E-2</v>
      </c>
    </row>
    <row r="96" spans="1:5">
      <c r="A96" s="449">
        <f>'DAILY EXTRAPOLATION'!C2470</f>
        <v>46268</v>
      </c>
      <c r="B96" s="448">
        <f t="shared" si="3"/>
        <v>46269</v>
      </c>
      <c r="C96" s="445">
        <f>'DAILY EXTRAPOLATION'!N2470</f>
        <v>1.0001016666666667</v>
      </c>
      <c r="D96" s="451">
        <f t="shared" si="4"/>
        <v>1.0096228430462129</v>
      </c>
      <c r="E96" s="447">
        <f t="shared" si="5"/>
        <v>3.6465510490911887E-2</v>
      </c>
    </row>
    <row r="97" spans="1:5">
      <c r="A97" s="449">
        <f>'DAILY EXTRAPOLATION'!C2471</f>
        <v>46269</v>
      </c>
      <c r="B97" s="448">
        <f t="shared" si="3"/>
        <v>46270</v>
      </c>
      <c r="C97" s="445">
        <f>'DAILY EXTRAPOLATION'!N2471</f>
        <v>1.0004055555555555</v>
      </c>
      <c r="D97" s="451">
        <f t="shared" si="4"/>
        <v>1.010032301199226</v>
      </c>
      <c r="E97" s="447">
        <f t="shared" si="5"/>
        <v>3.7621129497097672E-2</v>
      </c>
    </row>
    <row r="98" spans="1:5">
      <c r="A98" s="449">
        <f>'DAILY EXTRAPOLATION'!C2472</f>
        <v>46270</v>
      </c>
      <c r="B98" s="448">
        <f t="shared" si="3"/>
        <v>46271</v>
      </c>
      <c r="C98" s="445">
        <f>'DAILY EXTRAPOLATION'!N2472</f>
        <v>1</v>
      </c>
      <c r="D98" s="451">
        <f t="shared" si="4"/>
        <v>1.010032301199226</v>
      </c>
      <c r="E98" s="447">
        <f t="shared" si="5"/>
        <v>3.7233282801251301E-2</v>
      </c>
    </row>
    <row r="99" spans="1:5">
      <c r="A99" s="449">
        <f>'DAILY EXTRAPOLATION'!C2473</f>
        <v>46271</v>
      </c>
      <c r="B99" s="448">
        <f t="shared" si="3"/>
        <v>46272</v>
      </c>
      <c r="C99" s="445">
        <f>'DAILY EXTRAPOLATION'!N2473</f>
        <v>1</v>
      </c>
      <c r="D99" s="451">
        <f t="shared" si="4"/>
        <v>1.010032301199226</v>
      </c>
      <c r="E99" s="447">
        <f t="shared" si="5"/>
        <v>3.6853351344095675E-2</v>
      </c>
    </row>
    <row r="100" spans="1:5">
      <c r="A100" s="449">
        <f>'DAILY EXTRAPOLATION'!C2474</f>
        <v>46272</v>
      </c>
      <c r="B100" s="448">
        <f t="shared" si="3"/>
        <v>46273</v>
      </c>
      <c r="C100" s="445">
        <f>'DAILY EXTRAPOLATION'!N2474</f>
        <v>1</v>
      </c>
      <c r="D100" s="451">
        <f t="shared" si="4"/>
        <v>1.010032301199226</v>
      </c>
      <c r="E100" s="447">
        <f t="shared" si="5"/>
        <v>3.6481095269912896E-2</v>
      </c>
    </row>
    <row r="101" spans="1:5">
      <c r="A101" s="449">
        <f>'DAILY EXTRAPOLATION'!C2475</f>
        <v>46273</v>
      </c>
      <c r="B101" s="448">
        <f t="shared" si="3"/>
        <v>46274</v>
      </c>
      <c r="C101" s="445">
        <f>'DAILY EXTRAPOLATION'!N2475</f>
        <v>1.0001011111111111</v>
      </c>
      <c r="D101" s="451">
        <f t="shared" si="4"/>
        <v>1.0101344266874583</v>
      </c>
      <c r="E101" s="447">
        <f t="shared" si="5"/>
        <v>3.648393607485003E-2</v>
      </c>
    </row>
    <row r="102" spans="1:5">
      <c r="A102" s="449">
        <f>'DAILY EXTRAPOLATION'!C2476</f>
        <v>46274</v>
      </c>
      <c r="B102" s="448">
        <f t="shared" si="3"/>
        <v>46275</v>
      </c>
      <c r="C102" s="445">
        <f>'DAILY EXTRAPOLATION'!N2476</f>
        <v>1.0001011111111111</v>
      </c>
      <c r="D102" s="451">
        <f t="shared" si="4"/>
        <v>1.0102365625017122</v>
      </c>
      <c r="E102" s="447">
        <f t="shared" si="5"/>
        <v>3.6486757431845582E-2</v>
      </c>
    </row>
    <row r="103" spans="1:5">
      <c r="A103" s="449">
        <f>'DAILY EXTRAPOLATION'!C2477</f>
        <v>46275</v>
      </c>
      <c r="B103" s="448">
        <f t="shared" si="3"/>
        <v>46276</v>
      </c>
      <c r="C103" s="445">
        <f>'DAILY EXTRAPOLATION'!N2477</f>
        <v>1.0001005555555555</v>
      </c>
      <c r="D103" s="451">
        <f t="shared" si="4"/>
        <v>1.0103381474004971</v>
      </c>
      <c r="E103" s="447">
        <f t="shared" si="5"/>
        <v>3.6487579060578E-2</v>
      </c>
    </row>
    <row r="104" spans="1:5">
      <c r="A104" s="449">
        <f>'DAILY EXTRAPOLATION'!C2478</f>
        <v>46276</v>
      </c>
      <c r="B104" s="448">
        <f t="shared" si="3"/>
        <v>46277</v>
      </c>
      <c r="C104" s="445">
        <f>'DAILY EXTRAPOLATION'!N2478</f>
        <v>1.0003016666666666</v>
      </c>
      <c r="D104" s="451">
        <f t="shared" si="4"/>
        <v>1.0106429327416295</v>
      </c>
      <c r="E104" s="447">
        <f t="shared" si="5"/>
        <v>3.7198599873656604E-2</v>
      </c>
    </row>
    <row r="105" spans="1:5">
      <c r="A105" s="449">
        <f>'DAILY EXTRAPOLATION'!C2479</f>
        <v>46277</v>
      </c>
      <c r="B105" s="448">
        <f t="shared" si="3"/>
        <v>46278</v>
      </c>
      <c r="C105" s="445">
        <f>'DAILY EXTRAPOLATION'!N2479</f>
        <v>1</v>
      </c>
      <c r="D105" s="451">
        <f t="shared" si="4"/>
        <v>1.0106429327416295</v>
      </c>
      <c r="E105" s="447">
        <f t="shared" si="5"/>
        <v>3.6840921028717603E-2</v>
      </c>
    </row>
    <row r="106" spans="1:5">
      <c r="A106" s="449">
        <f>'DAILY EXTRAPOLATION'!C2480</f>
        <v>46278</v>
      </c>
      <c r="B106" s="448">
        <f t="shared" si="3"/>
        <v>46279</v>
      </c>
      <c r="C106" s="445">
        <f>'DAILY EXTRAPOLATION'!N2480</f>
        <v>1</v>
      </c>
      <c r="D106" s="451">
        <f t="shared" si="4"/>
        <v>1.0106429327416295</v>
      </c>
      <c r="E106" s="447">
        <f t="shared" si="5"/>
        <v>3.6490055114158385E-2</v>
      </c>
    </row>
    <row r="107" spans="1:5">
      <c r="A107" s="449">
        <f>'DAILY EXTRAPOLATION'!C2481</f>
        <v>46279</v>
      </c>
      <c r="B107" s="448">
        <f t="shared" si="3"/>
        <v>46280</v>
      </c>
      <c r="C107" s="445">
        <f>'DAILY EXTRAPOLATION'!N2481</f>
        <v>1.0001005555555555</v>
      </c>
      <c r="D107" s="451">
        <f t="shared" si="4"/>
        <v>1.0107445585031996</v>
      </c>
      <c r="E107" s="447">
        <f t="shared" si="5"/>
        <v>3.6490953407092817E-2</v>
      </c>
    </row>
    <row r="108" spans="1:5">
      <c r="A108" s="449">
        <f>'DAILY EXTRAPOLATION'!C2482</f>
        <v>46280</v>
      </c>
      <c r="B108" s="448">
        <f t="shared" si="3"/>
        <v>46281</v>
      </c>
      <c r="C108" s="445">
        <f>'DAILY EXTRAPOLATION'!N2482</f>
        <v>1.0001011111111111</v>
      </c>
      <c r="D108" s="451">
        <f t="shared" si="4"/>
        <v>1.0108467560085592</v>
      </c>
      <c r="E108" s="447">
        <f t="shared" si="5"/>
        <v>3.6493758533470276E-2</v>
      </c>
    </row>
    <row r="109" spans="1:5">
      <c r="A109" s="449">
        <f>'DAILY EXTRAPOLATION'!C2483</f>
        <v>46281</v>
      </c>
      <c r="B109" s="448">
        <f t="shared" si="3"/>
        <v>46282</v>
      </c>
      <c r="C109" s="445">
        <f>'DAILY EXTRAPOLATION'!N2483</f>
        <v>1.0001005555555555</v>
      </c>
      <c r="D109" s="451">
        <f t="shared" si="4"/>
        <v>1.0109484022656912</v>
      </c>
      <c r="E109" s="447">
        <f t="shared" si="5"/>
        <v>3.6494674218970534E-2</v>
      </c>
    </row>
    <row r="110" spans="1:5">
      <c r="A110" s="449">
        <f>'DAILY EXTRAPOLATION'!C2484</f>
        <v>46282</v>
      </c>
      <c r="B110" s="448">
        <f t="shared" si="3"/>
        <v>46283</v>
      </c>
      <c r="C110" s="445">
        <f>'DAILY EXTRAPOLATION'!N2484</f>
        <v>1.0001069444444444</v>
      </c>
      <c r="D110" s="451">
        <f t="shared" si="4"/>
        <v>1.0110565175809334</v>
      </c>
      <c r="E110" s="447">
        <f t="shared" si="5"/>
        <v>3.6516938799413062E-2</v>
      </c>
    </row>
    <row r="111" spans="1:5">
      <c r="A111" s="449">
        <f>'DAILY EXTRAPOLATION'!C2485</f>
        <v>46283</v>
      </c>
      <c r="B111" s="448">
        <f t="shared" si="3"/>
        <v>46284</v>
      </c>
      <c r="C111" s="445">
        <f>'DAILY EXTRAPOLATION'!N2485</f>
        <v>1.0003208333333333</v>
      </c>
      <c r="D111" s="451">
        <f t="shared" si="4"/>
        <v>1.0113808982136572</v>
      </c>
      <c r="E111" s="447">
        <f t="shared" si="5"/>
        <v>3.724657597196894E-2</v>
      </c>
    </row>
    <row r="112" spans="1:5">
      <c r="A112" s="449">
        <f>'DAILY EXTRAPOLATION'!C2486</f>
        <v>46284</v>
      </c>
      <c r="B112" s="448">
        <f t="shared" si="3"/>
        <v>46285</v>
      </c>
      <c r="C112" s="445">
        <f>'DAILY EXTRAPOLATION'!N2486</f>
        <v>1</v>
      </c>
      <c r="D112" s="451">
        <f t="shared" si="4"/>
        <v>1.0113808982136572</v>
      </c>
      <c r="E112" s="447">
        <f t="shared" si="5"/>
        <v>3.6911021233482735E-2</v>
      </c>
    </row>
    <row r="113" spans="1:5">
      <c r="A113" s="449">
        <f>'DAILY EXTRAPOLATION'!C2487</f>
        <v>46285</v>
      </c>
      <c r="B113" s="448">
        <f t="shared" si="3"/>
        <v>46286</v>
      </c>
      <c r="C113" s="445">
        <f>'DAILY EXTRAPOLATION'!N2487</f>
        <v>1</v>
      </c>
      <c r="D113" s="451">
        <f t="shared" si="4"/>
        <v>1.0113808982136572</v>
      </c>
      <c r="E113" s="447">
        <f t="shared" si="5"/>
        <v>3.6581458543898063E-2</v>
      </c>
    </row>
    <row r="114" spans="1:5">
      <c r="A114" s="449">
        <f>'DAILY EXTRAPOLATION'!C2488</f>
        <v>46286</v>
      </c>
      <c r="B114" s="448">
        <f t="shared" si="3"/>
        <v>46287</v>
      </c>
      <c r="C114" s="445">
        <f>'DAILY EXTRAPOLATION'!N2488</f>
        <v>1.0001069444444444</v>
      </c>
      <c r="D114" s="451">
        <f t="shared" si="4"/>
        <v>1.0114890597819384</v>
      </c>
      <c r="E114" s="447">
        <f t="shared" si="5"/>
        <v>3.6602314349538173E-2</v>
      </c>
    </row>
    <row r="115" spans="1:5">
      <c r="A115" s="449">
        <f>'DAILY EXTRAPOLATION'!C2489</f>
        <v>46287</v>
      </c>
      <c r="B115" s="448">
        <f t="shared" si="3"/>
        <v>46288</v>
      </c>
      <c r="C115" s="445">
        <f>'DAILY EXTRAPOLATION'!N2489</f>
        <v>1.0001074999999999</v>
      </c>
      <c r="D115" s="451">
        <f t="shared" si="4"/>
        <v>1.0115977948558648</v>
      </c>
      <c r="E115" s="447">
        <f t="shared" si="5"/>
        <v>3.6624615334309774E-2</v>
      </c>
    </row>
    <row r="116" spans="1:5">
      <c r="A116" s="449">
        <f>'DAILY EXTRAPOLATION'!C2490</f>
        <v>46288</v>
      </c>
      <c r="B116" s="448">
        <f t="shared" si="3"/>
        <v>46289</v>
      </c>
      <c r="C116" s="445">
        <f>'DAILY EXTRAPOLATION'!N2490</f>
        <v>1.0001074999999999</v>
      </c>
      <c r="D116" s="451">
        <f t="shared" si="4"/>
        <v>1.0117065416188118</v>
      </c>
      <c r="E116" s="447">
        <f t="shared" si="5"/>
        <v>3.6646565067584749E-2</v>
      </c>
    </row>
    <row r="117" spans="1:5">
      <c r="A117" s="449">
        <f>'DAILY EXTRAPOLATION'!C2491</f>
        <v>46289</v>
      </c>
      <c r="B117" s="448">
        <f t="shared" si="3"/>
        <v>46290</v>
      </c>
      <c r="C117" s="445">
        <f>'DAILY EXTRAPOLATION'!N2491</f>
        <v>1.0001077777777778</v>
      </c>
      <c r="D117" s="451">
        <f t="shared" si="4"/>
        <v>1.0118155811016307</v>
      </c>
      <c r="E117" s="447">
        <f t="shared" si="5"/>
        <v>3.666904479816431E-2</v>
      </c>
    </row>
    <row r="118" spans="1:5">
      <c r="A118" s="449">
        <f>'DAILY EXTRAPOLATION'!C2492</f>
        <v>46290</v>
      </c>
      <c r="B118" s="448">
        <f t="shared" si="3"/>
        <v>46291</v>
      </c>
      <c r="C118" s="445">
        <f>'DAILY EXTRAPOLATION'!N2492</f>
        <v>1.0003249999999999</v>
      </c>
      <c r="D118" s="451">
        <f t="shared" si="4"/>
        <v>1.0121444211654886</v>
      </c>
      <c r="E118" s="447">
        <f t="shared" si="5"/>
        <v>3.7367449739965045E-2</v>
      </c>
    </row>
    <row r="119" spans="1:5">
      <c r="A119" s="449">
        <f>'DAILY EXTRAPOLATION'!C2493</f>
        <v>46291</v>
      </c>
      <c r="B119" s="448">
        <f t="shared" si="3"/>
        <v>46292</v>
      </c>
      <c r="C119" s="445">
        <f>'DAILY EXTRAPOLATION'!N2493</f>
        <v>1</v>
      </c>
      <c r="D119" s="451">
        <f t="shared" si="4"/>
        <v>1.0121444211654886</v>
      </c>
      <c r="E119" s="447">
        <f t="shared" si="5"/>
        <v>3.7050776437083981E-2</v>
      </c>
    </row>
    <row r="120" spans="1:5">
      <c r="A120" s="449">
        <f>'DAILY EXTRAPOLATION'!C2494</f>
        <v>46292</v>
      </c>
      <c r="B120" s="448">
        <f t="shared" si="3"/>
        <v>46293</v>
      </c>
      <c r="C120" s="445">
        <f>'DAILY EXTRAPOLATION'!N2494</f>
        <v>1</v>
      </c>
      <c r="D120" s="451">
        <f t="shared" si="4"/>
        <v>1.0121444211654886</v>
      </c>
      <c r="E120" s="447">
        <f t="shared" si="5"/>
        <v>3.6739425374587478E-2</v>
      </c>
    </row>
    <row r="121" spans="1:5">
      <c r="A121" s="449">
        <f>'DAILY EXTRAPOLATION'!C2495</f>
        <v>46293</v>
      </c>
      <c r="B121" s="448">
        <f t="shared" si="3"/>
        <v>46294</v>
      </c>
      <c r="C121" s="445">
        <f>'DAILY EXTRAPOLATION'!N2495</f>
        <v>1.0001083333333334</v>
      </c>
      <c r="D121" s="451">
        <f t="shared" si="4"/>
        <v>1.0122540701444482</v>
      </c>
      <c r="E121" s="447">
        <f t="shared" si="5"/>
        <v>3.6762210433344711E-2</v>
      </c>
    </row>
    <row r="122" spans="1:5">
      <c r="A122" s="449">
        <f>'DAILY EXTRAPOLATION'!C2496</f>
        <v>46294</v>
      </c>
      <c r="B122" s="448">
        <f t="shared" si="3"/>
        <v>46295</v>
      </c>
      <c r="C122" s="445">
        <f>'DAILY EXTRAPOLATION'!N2496</f>
        <v>1.0001077777777778</v>
      </c>
      <c r="D122" s="451">
        <f t="shared" si="4"/>
        <v>1.0123631686386749</v>
      </c>
      <c r="E122" s="447">
        <f t="shared" si="5"/>
        <v>3.678298107374358E-2</v>
      </c>
    </row>
    <row r="123" spans="1:5">
      <c r="A123" s="449">
        <f>'DAILY EXTRAPOLATION'!C2497</f>
        <v>46295</v>
      </c>
      <c r="B123" s="448">
        <f t="shared" si="3"/>
        <v>46296</v>
      </c>
      <c r="C123" s="445">
        <f>'DAILY EXTRAPOLATION'!N2497</f>
        <v>1.0001083333333334</v>
      </c>
      <c r="D123" s="451">
        <f t="shared" si="4"/>
        <v>1.0124728413152775</v>
      </c>
      <c r="E123" s="447">
        <f t="shared" si="5"/>
        <v>3.6805105520490933E-2</v>
      </c>
    </row>
    <row r="124" spans="1:5">
      <c r="A124" s="449">
        <f>'DAILY EXTRAPOLATION'!C2498</f>
        <v>46296</v>
      </c>
      <c r="B124" s="448">
        <f t="shared" si="3"/>
        <v>46297</v>
      </c>
      <c r="C124" s="445">
        <f ca="1">'DAILY EXTRAPOLATION'!N2498</f>
        <v>1.0001078943452382</v>
      </c>
      <c r="D124" s="451">
        <f t="shared" ca="1" si="4"/>
        <v>1.0125820814095625</v>
      </c>
      <c r="E124" s="447">
        <f t="shared" ca="1" si="5"/>
        <v>3.6825604125548833E-2</v>
      </c>
    </row>
    <row r="125" spans="1:5">
      <c r="A125" s="449">
        <f>'DAILY EXTRAPOLATION'!C2499</f>
        <v>46297</v>
      </c>
      <c r="B125" s="448">
        <f t="shared" si="3"/>
        <v>46298</v>
      </c>
      <c r="C125" s="445">
        <f ca="1">'DAILY EXTRAPOLATION'!N2499</f>
        <v>1.0003236830357143</v>
      </c>
      <c r="D125" s="451">
        <f t="shared" ca="1" si="4"/>
        <v>1.012909837051583</v>
      </c>
      <c r="E125" s="447">
        <f t="shared" ca="1" si="5"/>
        <v>3.7480172085240952E-2</v>
      </c>
    </row>
    <row r="126" spans="1:5">
      <c r="A126" s="449">
        <f>'DAILY EXTRAPOLATION'!C2500</f>
        <v>46298</v>
      </c>
      <c r="B126" s="448">
        <f t="shared" si="3"/>
        <v>46299</v>
      </c>
      <c r="C126" s="445">
        <f ca="1">'DAILY EXTRAPOLATION'!N2500</f>
        <v>1</v>
      </c>
      <c r="D126" s="451">
        <f t="shared" ca="1" si="4"/>
        <v>1.012909837051583</v>
      </c>
      <c r="E126" s="447">
        <f t="shared" ca="1" si="5"/>
        <v>3.7180330708559028E-2</v>
      </c>
    </row>
    <row r="127" spans="1:5">
      <c r="A127" s="449">
        <f>'DAILY EXTRAPOLATION'!C2501</f>
        <v>46299</v>
      </c>
      <c r="B127" s="448">
        <f t="shared" si="3"/>
        <v>46300</v>
      </c>
      <c r="C127" s="445">
        <f ca="1">'DAILY EXTRAPOLATION'!N2501</f>
        <v>1</v>
      </c>
      <c r="D127" s="451">
        <f t="shared" ca="1" si="4"/>
        <v>1.012909837051583</v>
      </c>
      <c r="E127" s="447">
        <f t="shared" ca="1" si="5"/>
        <v>3.6885248718808557E-2</v>
      </c>
    </row>
    <row r="128" spans="1:5">
      <c r="A128" s="449">
        <f>'DAILY EXTRAPOLATION'!C2502</f>
        <v>46300</v>
      </c>
      <c r="B128" s="448">
        <f t="shared" si="3"/>
        <v>46301</v>
      </c>
      <c r="C128" s="445">
        <f ca="1">'DAILY EXTRAPOLATION'!N2502</f>
        <v>1.0001078943452382</v>
      </c>
      <c r="D128" s="451">
        <f t="shared" ca="1" si="4"/>
        <v>1.0130191242952369</v>
      </c>
      <c r="E128" s="447">
        <f t="shared" ca="1" si="5"/>
        <v>3.6904604301458879E-2</v>
      </c>
    </row>
    <row r="129" spans="1:5">
      <c r="A129" s="449">
        <f>'DAILY EXTRAPOLATION'!C2503</f>
        <v>46301</v>
      </c>
      <c r="B129" s="448">
        <f t="shared" si="3"/>
        <v>46302</v>
      </c>
      <c r="C129" s="445">
        <f ca="1">'DAILY EXTRAPOLATION'!N2503</f>
        <v>1.0001078943452382</v>
      </c>
      <c r="D129" s="451">
        <f t="shared" ca="1" si="4"/>
        <v>1.0131284233303666</v>
      </c>
      <c r="E129" s="447">
        <f t="shared" ca="1" si="5"/>
        <v>3.6923690616655971E-2</v>
      </c>
    </row>
    <row r="130" spans="1:5">
      <c r="A130" s="449">
        <f>'DAILY EXTRAPOLATION'!C2504</f>
        <v>46302</v>
      </c>
      <c r="B130" s="448">
        <f t="shared" si="3"/>
        <v>46303</v>
      </c>
      <c r="C130" s="445">
        <f ca="1">'DAILY EXTRAPOLATION'!N2504</f>
        <v>1.0001078943452382</v>
      </c>
      <c r="D130" s="451">
        <f t="shared" ca="1" si="4"/>
        <v>1.0132377341582439</v>
      </c>
      <c r="E130" s="447">
        <f t="shared" ca="1" si="5"/>
        <v>3.6942513929983031E-2</v>
      </c>
    </row>
    <row r="131" spans="1:5">
      <c r="A131" s="449">
        <f>'DAILY EXTRAPOLATION'!C2505</f>
        <v>46303</v>
      </c>
      <c r="B131" s="448">
        <f t="shared" ref="B131:B194" si="6">A132</f>
        <v>46304</v>
      </c>
      <c r="C131" s="445">
        <f ca="1">'DAILY EXTRAPOLATION'!N2505</f>
        <v>1.0001078943452382</v>
      </c>
      <c r="D131" s="451">
        <f t="shared" ca="1" si="4"/>
        <v>1.0133470567801415</v>
      </c>
      <c r="E131" s="447">
        <f t="shared" ca="1" si="5"/>
        <v>3.6961080314237935E-2</v>
      </c>
    </row>
    <row r="132" spans="1:5">
      <c r="A132" s="449">
        <f>'DAILY EXTRAPOLATION'!C2506</f>
        <v>46304</v>
      </c>
      <c r="B132" s="448">
        <f t="shared" si="6"/>
        <v>46305</v>
      </c>
      <c r="C132" s="445">
        <f ca="1">'DAILY EXTRAPOLATION'!N2506</f>
        <v>1.0004315773809525</v>
      </c>
      <c r="D132" s="451">
        <f t="shared" ref="D132:D195" ca="1" si="7">D131*C132</f>
        <v>1.0137843944489024</v>
      </c>
      <c r="E132" s="447">
        <f t="shared" ref="E132:E195" ca="1" si="8">(D132/1-1)*360/(B132-A$2)</f>
        <v>3.7880778638205201E-2</v>
      </c>
    </row>
    <row r="133" spans="1:5">
      <c r="A133" s="449">
        <f>'DAILY EXTRAPOLATION'!C2507</f>
        <v>46305</v>
      </c>
      <c r="B133" s="448">
        <f t="shared" si="6"/>
        <v>46306</v>
      </c>
      <c r="C133" s="445">
        <f ca="1">'DAILY EXTRAPOLATION'!N2507</f>
        <v>1</v>
      </c>
      <c r="D133" s="451">
        <f t="shared" ca="1" si="7"/>
        <v>1.0137843944489024</v>
      </c>
      <c r="E133" s="447">
        <f t="shared" ca="1" si="8"/>
        <v>3.7593803042461224E-2</v>
      </c>
    </row>
    <row r="134" spans="1:5">
      <c r="A134" s="449">
        <f>'DAILY EXTRAPOLATION'!C2508</f>
        <v>46306</v>
      </c>
      <c r="B134" s="448">
        <f t="shared" si="6"/>
        <v>46307</v>
      </c>
      <c r="C134" s="445">
        <f ca="1">'DAILY EXTRAPOLATION'!N2508</f>
        <v>1</v>
      </c>
      <c r="D134" s="451">
        <f t="shared" ca="1" si="7"/>
        <v>1.0137843944489024</v>
      </c>
      <c r="E134" s="447">
        <f t="shared" ca="1" si="8"/>
        <v>3.7311142869209633E-2</v>
      </c>
    </row>
    <row r="135" spans="1:5">
      <c r="A135" s="449">
        <f>'DAILY EXTRAPOLATION'!C2509</f>
        <v>46307</v>
      </c>
      <c r="B135" s="448">
        <f t="shared" si="6"/>
        <v>46308</v>
      </c>
      <c r="C135" s="445">
        <f ca="1">'DAILY EXTRAPOLATION'!N2509</f>
        <v>1</v>
      </c>
      <c r="D135" s="451">
        <f t="shared" ca="1" si="7"/>
        <v>1.0137843944489024</v>
      </c>
      <c r="E135" s="447">
        <f t="shared" ca="1" si="8"/>
        <v>3.7032701504514043E-2</v>
      </c>
    </row>
    <row r="136" spans="1:5">
      <c r="A136" s="449">
        <f>'DAILY EXTRAPOLATION'!C2510</f>
        <v>46308</v>
      </c>
      <c r="B136" s="448">
        <f t="shared" si="6"/>
        <v>46309</v>
      </c>
      <c r="C136" s="445">
        <f ca="1">'DAILY EXTRAPOLATION'!N2510</f>
        <v>1.0001078943452382</v>
      </c>
      <c r="D136" s="451">
        <f t="shared" ca="1" si="7"/>
        <v>1.0138937760523541</v>
      </c>
      <c r="E136" s="447">
        <f t="shared" ca="1" si="8"/>
        <v>3.7050069472944237E-2</v>
      </c>
    </row>
    <row r="137" spans="1:5">
      <c r="A137" s="449">
        <f>'DAILY EXTRAPOLATION'!C2511</f>
        <v>46309</v>
      </c>
      <c r="B137" s="448">
        <f t="shared" si="6"/>
        <v>46310</v>
      </c>
      <c r="C137" s="445">
        <f ca="1">'DAILY EXTRAPOLATION'!N2511</f>
        <v>1.0001078943452382</v>
      </c>
      <c r="D137" s="451">
        <f t="shared" ca="1" si="7"/>
        <v>1.0140031694574623</v>
      </c>
      <c r="E137" s="447">
        <f t="shared" ca="1" si="8"/>
        <v>3.7067213269753076E-2</v>
      </c>
    </row>
    <row r="138" spans="1:5">
      <c r="A138" s="449">
        <f>'DAILY EXTRAPOLATION'!C2512</f>
        <v>46310</v>
      </c>
      <c r="B138" s="448">
        <f t="shared" si="6"/>
        <v>46311</v>
      </c>
      <c r="C138" s="445">
        <f ca="1">'DAILY EXTRAPOLATION'!N2512</f>
        <v>1.0001078943452382</v>
      </c>
      <c r="D138" s="451">
        <f t="shared" ca="1" si="7"/>
        <v>1.0141125746655004</v>
      </c>
      <c r="E138" s="447">
        <f t="shared" ca="1" si="8"/>
        <v>3.7084137807154395E-2</v>
      </c>
    </row>
    <row r="139" spans="1:5">
      <c r="A139" s="449">
        <f>'DAILY EXTRAPOLATION'!C2513</f>
        <v>46311</v>
      </c>
      <c r="B139" s="448">
        <f t="shared" si="6"/>
        <v>46312</v>
      </c>
      <c r="C139" s="445">
        <f ca="1">'DAILY EXTRAPOLATION'!N2513</f>
        <v>1.0003236830357143</v>
      </c>
      <c r="D139" s="451">
        <f t="shared" ca="1" si="7"/>
        <v>1.0144408257022242</v>
      </c>
      <c r="E139" s="447">
        <f t="shared" ca="1" si="8"/>
        <v>3.7671719223193456E-2</v>
      </c>
    </row>
    <row r="140" spans="1:5">
      <c r="A140" s="449">
        <f>'DAILY EXTRAPOLATION'!C2514</f>
        <v>46312</v>
      </c>
      <c r="B140" s="448">
        <f t="shared" si="6"/>
        <v>46313</v>
      </c>
      <c r="C140" s="445">
        <f ca="1">'DAILY EXTRAPOLATION'!N2514</f>
        <v>1</v>
      </c>
      <c r="D140" s="451">
        <f t="shared" ca="1" si="7"/>
        <v>1.0144408257022242</v>
      </c>
      <c r="E140" s="447">
        <f t="shared" ca="1" si="8"/>
        <v>3.7400699660436666E-2</v>
      </c>
    </row>
    <row r="141" spans="1:5">
      <c r="A141" s="449">
        <f>'DAILY EXTRAPOLATION'!C2515</f>
        <v>46313</v>
      </c>
      <c r="B141" s="448">
        <f t="shared" si="6"/>
        <v>46314</v>
      </c>
      <c r="C141" s="445">
        <f ca="1">'DAILY EXTRAPOLATION'!N2515</f>
        <v>1</v>
      </c>
      <c r="D141" s="451">
        <f t="shared" ca="1" si="7"/>
        <v>1.0144408257022242</v>
      </c>
      <c r="E141" s="447">
        <f t="shared" ca="1" si="8"/>
        <v>3.7133551805719263E-2</v>
      </c>
    </row>
    <row r="142" spans="1:5">
      <c r="A142" s="449">
        <f>'DAILY EXTRAPOLATION'!C2516</f>
        <v>46314</v>
      </c>
      <c r="B142" s="448">
        <f t="shared" si="6"/>
        <v>46315</v>
      </c>
      <c r="C142" s="445">
        <f ca="1">'DAILY EXTRAPOLATION'!N2516</f>
        <v>1.0001078943452382</v>
      </c>
      <c r="D142" s="451">
        <f t="shared" ca="1" si="7"/>
        <v>1.0145502781308962</v>
      </c>
      <c r="E142" s="447">
        <f t="shared" ca="1" si="8"/>
        <v>3.7149646291649754E-2</v>
      </c>
    </row>
    <row r="143" spans="1:5">
      <c r="A143" s="449">
        <f>'DAILY EXTRAPOLATION'!C2517</f>
        <v>46315</v>
      </c>
      <c r="B143" s="448">
        <f t="shared" si="6"/>
        <v>46316</v>
      </c>
      <c r="C143" s="445">
        <f ca="1">'DAILY EXTRAPOLATION'!N2517</f>
        <v>1.0001078943452382</v>
      </c>
      <c r="D143" s="451">
        <f t="shared" ca="1" si="7"/>
        <v>1.0146597423688664</v>
      </c>
      <c r="E143" s="447">
        <f t="shared" ca="1" si="8"/>
        <v>3.7165544033745695E-2</v>
      </c>
    </row>
    <row r="144" spans="1:5">
      <c r="A144" s="449">
        <f>'DAILY EXTRAPOLATION'!C2518</f>
        <v>46316</v>
      </c>
      <c r="B144" s="448">
        <f t="shared" si="6"/>
        <v>46317</v>
      </c>
      <c r="C144" s="445">
        <f ca="1">'DAILY EXTRAPOLATION'!N2518</f>
        <v>1.0001078943452382</v>
      </c>
      <c r="D144" s="451">
        <f t="shared" ca="1" si="7"/>
        <v>1.0147692184174089</v>
      </c>
      <c r="E144" s="447">
        <f t="shared" ca="1" si="8"/>
        <v>3.7181249162707618E-2</v>
      </c>
    </row>
    <row r="145" spans="1:5">
      <c r="A145" s="449">
        <f>'DAILY EXTRAPOLATION'!C2519</f>
        <v>46317</v>
      </c>
      <c r="B145" s="448">
        <f t="shared" si="6"/>
        <v>46318</v>
      </c>
      <c r="C145" s="445">
        <f ca="1">'DAILY EXTRAPOLATION'!N2519</f>
        <v>1.0001078943452382</v>
      </c>
      <c r="D145" s="451">
        <f t="shared" ca="1" si="7"/>
        <v>1.0148787062777977</v>
      </c>
      <c r="E145" s="447">
        <f t="shared" ca="1" si="8"/>
        <v>3.7196765694494371E-2</v>
      </c>
    </row>
    <row r="146" spans="1:5">
      <c r="A146" s="449">
        <f>'DAILY EXTRAPOLATION'!C2520</f>
        <v>46318</v>
      </c>
      <c r="B146" s="448">
        <f t="shared" si="6"/>
        <v>46319</v>
      </c>
      <c r="C146" s="445">
        <f ca="1">'DAILY EXTRAPOLATION'!N2520</f>
        <v>1.0003236830357143</v>
      </c>
      <c r="D146" s="451">
        <f t="shared" ca="1" si="7"/>
        <v>1.0152072052983276</v>
      </c>
      <c r="E146" s="447">
        <f t="shared" ca="1" si="8"/>
        <v>3.775582005102035E-2</v>
      </c>
    </row>
    <row r="147" spans="1:5">
      <c r="A147" s="449">
        <f>'DAILY EXTRAPOLATION'!C2521</f>
        <v>46319</v>
      </c>
      <c r="B147" s="448">
        <f t="shared" si="6"/>
        <v>46320</v>
      </c>
      <c r="C147" s="445">
        <f ca="1">'DAILY EXTRAPOLATION'!N2521</f>
        <v>1</v>
      </c>
      <c r="D147" s="451">
        <f t="shared" ca="1" si="7"/>
        <v>1.0152072052983276</v>
      </c>
      <c r="E147" s="447">
        <f t="shared" ca="1" si="8"/>
        <v>3.7497218543821584E-2</v>
      </c>
    </row>
    <row r="148" spans="1:5">
      <c r="A148" s="449">
        <f>'DAILY EXTRAPOLATION'!C2522</f>
        <v>46320</v>
      </c>
      <c r="B148" s="448">
        <f t="shared" si="6"/>
        <v>46321</v>
      </c>
      <c r="C148" s="445">
        <f ca="1">'DAILY EXTRAPOLATION'!N2522</f>
        <v>1</v>
      </c>
      <c r="D148" s="451">
        <f t="shared" ca="1" si="7"/>
        <v>1.0152072052983276</v>
      </c>
      <c r="E148" s="447">
        <f t="shared" ca="1" si="8"/>
        <v>3.724213542447586E-2</v>
      </c>
    </row>
    <row r="149" spans="1:5">
      <c r="A149" s="449">
        <f>'DAILY EXTRAPOLATION'!C2523</f>
        <v>46321</v>
      </c>
      <c r="B149" s="448">
        <f t="shared" si="6"/>
        <v>46322</v>
      </c>
      <c r="C149" s="445">
        <f ca="1">'DAILY EXTRAPOLATION'!N2523</f>
        <v>1.0001078943452382</v>
      </c>
      <c r="D149" s="451">
        <f t="shared" ca="1" si="7"/>
        <v>1.0153167404150243</v>
      </c>
      <c r="E149" s="447">
        <f t="shared" ca="1" si="8"/>
        <v>3.7256936144653675E-2</v>
      </c>
    </row>
    <row r="150" spans="1:5">
      <c r="A150" s="449">
        <f>'DAILY EXTRAPOLATION'!C2524</f>
        <v>46322</v>
      </c>
      <c r="B150" s="448">
        <f t="shared" si="6"/>
        <v>46323</v>
      </c>
      <c r="C150" s="445">
        <f ca="1">'DAILY EXTRAPOLATION'!N2524</f>
        <v>1.0001078943452382</v>
      </c>
      <c r="D150" s="451">
        <f t="shared" ca="1" si="7"/>
        <v>1.0154262873499407</v>
      </c>
      <c r="E150" s="447">
        <f t="shared" ca="1" si="8"/>
        <v>3.7271566751534507E-2</v>
      </c>
    </row>
    <row r="151" spans="1:5">
      <c r="A151" s="449">
        <f>'DAILY EXTRAPOLATION'!C2525</f>
        <v>46323</v>
      </c>
      <c r="B151" s="448">
        <f t="shared" si="6"/>
        <v>46324</v>
      </c>
      <c r="C151" s="445">
        <f ca="1">'DAILY EXTRAPOLATION'!N2525</f>
        <v>1.0001078943452382</v>
      </c>
      <c r="D151" s="451">
        <f t="shared" ca="1" si="7"/>
        <v>1.015535846104352</v>
      </c>
      <c r="E151" s="447">
        <f t="shared" ca="1" si="8"/>
        <v>3.7286030650444779E-2</v>
      </c>
    </row>
    <row r="152" spans="1:5">
      <c r="A152" s="449">
        <f>'DAILY EXTRAPOLATION'!C2526</f>
        <v>46324</v>
      </c>
      <c r="B152" s="448">
        <f t="shared" si="6"/>
        <v>46325</v>
      </c>
      <c r="C152" s="445">
        <f>'DAILY EXTRAPOLATION'!N2526</f>
        <v>1.0001102777777777</v>
      </c>
      <c r="D152" s="451">
        <f t="shared" ca="1" si="7"/>
        <v>1.015647837140714</v>
      </c>
      <c r="E152" s="447">
        <f t="shared" ca="1" si="8"/>
        <v>3.7306101792430844E-2</v>
      </c>
    </row>
    <row r="153" spans="1:5">
      <c r="A153" s="449">
        <f>'DAILY EXTRAPOLATION'!C2527</f>
        <v>46325</v>
      </c>
      <c r="B153" s="448">
        <f t="shared" si="6"/>
        <v>46326</v>
      </c>
      <c r="C153" s="445">
        <f>'DAILY EXTRAPOLATION'!N2527</f>
        <v>1.0003308333333334</v>
      </c>
      <c r="D153" s="451">
        <f t="shared" ca="1" si="7"/>
        <v>1.0159838473001681</v>
      </c>
      <c r="E153" s="447">
        <f t="shared" ca="1" si="8"/>
        <v>3.7856480447766572E-2</v>
      </c>
    </row>
    <row r="154" spans="1:5">
      <c r="A154" s="449">
        <f>'DAILY EXTRAPOLATION'!C2528</f>
        <v>46326</v>
      </c>
      <c r="B154" s="448">
        <f t="shared" si="6"/>
        <v>46327</v>
      </c>
      <c r="C154" s="445">
        <f>'DAILY EXTRAPOLATION'!N2528</f>
        <v>1</v>
      </c>
      <c r="D154" s="451">
        <f t="shared" ca="1" si="7"/>
        <v>1.0159838473001681</v>
      </c>
      <c r="E154" s="447">
        <f t="shared" ca="1" si="8"/>
        <v>3.7609052470983784E-2</v>
      </c>
    </row>
    <row r="155" spans="1:5">
      <c r="A155" s="449">
        <f>'DAILY EXTRAPOLATION'!C2529</f>
        <v>46327</v>
      </c>
      <c r="B155" s="448">
        <f t="shared" si="6"/>
        <v>46328</v>
      </c>
      <c r="C155" s="445">
        <f>'DAILY EXTRAPOLATION'!N2529</f>
        <v>1</v>
      </c>
      <c r="D155" s="451">
        <f t="shared" ca="1" si="7"/>
        <v>1.0159838473001681</v>
      </c>
      <c r="E155" s="447">
        <f t="shared" ca="1" si="8"/>
        <v>3.7364837844548825E-2</v>
      </c>
    </row>
    <row r="156" spans="1:5">
      <c r="A156" s="449">
        <f>'DAILY EXTRAPOLATION'!C2530</f>
        <v>46328</v>
      </c>
      <c r="B156" s="448">
        <f t="shared" si="6"/>
        <v>46329</v>
      </c>
      <c r="C156" s="445">
        <f ca="1">'DAILY EXTRAPOLATION'!N2530</f>
        <v>1.0001102777777777</v>
      </c>
      <c r="D156" s="451">
        <f t="shared" ca="1" si="7"/>
        <v>1.0160958877411064</v>
      </c>
      <c r="E156" s="447">
        <f t="shared" ca="1" si="8"/>
        <v>3.7383997334182545E-2</v>
      </c>
    </row>
    <row r="157" spans="1:5">
      <c r="A157" s="449">
        <f>'DAILY EXTRAPOLATION'!C2531</f>
        <v>46329</v>
      </c>
      <c r="B157" s="448">
        <f t="shared" si="6"/>
        <v>46330</v>
      </c>
      <c r="C157" s="445">
        <f ca="1">'DAILY EXTRAPOLATION'!N2531</f>
        <v>1.0001102777777777</v>
      </c>
      <c r="D157" s="451">
        <f t="shared" ca="1" si="7"/>
        <v>1.0162079405376157</v>
      </c>
      <c r="E157" s="447">
        <f t="shared" ca="1" si="8"/>
        <v>3.7402939702189962E-2</v>
      </c>
    </row>
    <row r="158" spans="1:5">
      <c r="A158" s="449">
        <f>'DAILY EXTRAPOLATION'!C2532</f>
        <v>46330</v>
      </c>
      <c r="B158" s="448">
        <f t="shared" si="6"/>
        <v>46331</v>
      </c>
      <c r="C158" s="445">
        <f ca="1">'DAILY EXTRAPOLATION'!N2532</f>
        <v>1.0001102777777777</v>
      </c>
      <c r="D158" s="451">
        <f t="shared" ca="1" si="7"/>
        <v>1.0163200056910582</v>
      </c>
      <c r="E158" s="447">
        <f t="shared" ca="1" si="8"/>
        <v>3.7421669100515573E-2</v>
      </c>
    </row>
    <row r="159" spans="1:5">
      <c r="A159" s="449">
        <f>'DAILY EXTRAPOLATION'!C2533</f>
        <v>46331</v>
      </c>
      <c r="B159" s="448">
        <f t="shared" si="6"/>
        <v>46332</v>
      </c>
      <c r="C159" s="445">
        <f ca="1">'DAILY EXTRAPOLATION'!N2533</f>
        <v>1.0001102777777777</v>
      </c>
      <c r="D159" s="451">
        <f t="shared" ca="1" si="7"/>
        <v>1.0164320832027969</v>
      </c>
      <c r="E159" s="447">
        <f t="shared" ca="1" si="8"/>
        <v>3.7440189575992884E-2</v>
      </c>
    </row>
    <row r="160" spans="1:5">
      <c r="A160" s="449">
        <f>'DAILY EXTRAPOLATION'!C2534</f>
        <v>46332</v>
      </c>
      <c r="B160" s="448">
        <f t="shared" si="6"/>
        <v>46333</v>
      </c>
      <c r="C160" s="445">
        <f ca="1">'DAILY EXTRAPOLATION'!N2534</f>
        <v>1.0003308333333334</v>
      </c>
      <c r="D160" s="451">
        <f t="shared" ca="1" si="7"/>
        <v>1.01676835281699</v>
      </c>
      <c r="E160" s="447">
        <f t="shared" ca="1" si="8"/>
        <v>3.7966081849788592E-2</v>
      </c>
    </row>
    <row r="161" spans="1:5">
      <c r="A161" s="449">
        <f>'DAILY EXTRAPOLATION'!C2535</f>
        <v>46333</v>
      </c>
      <c r="B161" s="448">
        <f t="shared" si="6"/>
        <v>46334</v>
      </c>
      <c r="C161" s="445">
        <f ca="1">'DAILY EXTRAPOLATION'!N2535</f>
        <v>1</v>
      </c>
      <c r="D161" s="451">
        <f t="shared" ca="1" si="7"/>
        <v>1.01676835281699</v>
      </c>
      <c r="E161" s="447">
        <f t="shared" ca="1" si="8"/>
        <v>3.7728793838227415E-2</v>
      </c>
    </row>
    <row r="162" spans="1:5">
      <c r="A162" s="449">
        <f>'DAILY EXTRAPOLATION'!C2536</f>
        <v>46334</v>
      </c>
      <c r="B162" s="448">
        <f t="shared" si="6"/>
        <v>46335</v>
      </c>
      <c r="C162" s="445">
        <f ca="1">'DAILY EXTRAPOLATION'!N2536</f>
        <v>1</v>
      </c>
      <c r="D162" s="451">
        <f t="shared" ca="1" si="7"/>
        <v>1.01676835281699</v>
      </c>
      <c r="E162" s="447">
        <f t="shared" ca="1" si="8"/>
        <v>3.749445350382849E-2</v>
      </c>
    </row>
    <row r="163" spans="1:5">
      <c r="A163" s="449">
        <f>'DAILY EXTRAPOLATION'!C2537</f>
        <v>46335</v>
      </c>
      <c r="B163" s="448">
        <f t="shared" si="6"/>
        <v>46336</v>
      </c>
      <c r="C163" s="445">
        <f ca="1">'DAILY EXTRAPOLATION'!N2537</f>
        <v>1.0001102777777777</v>
      </c>
      <c r="D163" s="451">
        <f t="shared" ca="1" si="7"/>
        <v>1.0168804797714532</v>
      </c>
      <c r="E163" s="447">
        <f t="shared" ca="1" si="8"/>
        <v>3.7512177269896085E-2</v>
      </c>
    </row>
    <row r="164" spans="1:5">
      <c r="A164" s="449">
        <f>'DAILY EXTRAPOLATION'!C2538</f>
        <v>46336</v>
      </c>
      <c r="B164" s="448">
        <f t="shared" si="6"/>
        <v>46337</v>
      </c>
      <c r="C164" s="445">
        <f ca="1">'DAILY EXTRAPOLATION'!N2538</f>
        <v>1.0002205555555554</v>
      </c>
      <c r="D164" s="451">
        <f t="shared" ca="1" si="7"/>
        <v>1.0171047584106028</v>
      </c>
      <c r="E164" s="447">
        <f t="shared" ca="1" si="8"/>
        <v>3.7777380538754589E-2</v>
      </c>
    </row>
    <row r="165" spans="1:5">
      <c r="A165" s="449">
        <f>'DAILY EXTRAPOLATION'!C2539</f>
        <v>46337</v>
      </c>
      <c r="B165" s="448">
        <f t="shared" si="6"/>
        <v>46338</v>
      </c>
      <c r="C165" s="445">
        <f ca="1">'DAILY EXTRAPOLATION'!N2539</f>
        <v>1</v>
      </c>
      <c r="D165" s="451">
        <f t="shared" ca="1" si="7"/>
        <v>1.0171047584106028</v>
      </c>
      <c r="E165" s="447">
        <f t="shared" ca="1" si="8"/>
        <v>3.7547030657420717E-2</v>
      </c>
    </row>
    <row r="166" spans="1:5">
      <c r="A166" s="449">
        <f>'DAILY EXTRAPOLATION'!C2540</f>
        <v>46338</v>
      </c>
      <c r="B166" s="448">
        <f t="shared" si="6"/>
        <v>46339</v>
      </c>
      <c r="C166" s="445">
        <f ca="1">'DAILY EXTRAPOLATION'!N2540</f>
        <v>1.0001102777777777</v>
      </c>
      <c r="D166" s="451">
        <f t="shared" ca="1" si="7"/>
        <v>1.0172169224631273</v>
      </c>
      <c r="E166" s="447">
        <f t="shared" ca="1" si="8"/>
        <v>3.7564194465005099E-2</v>
      </c>
    </row>
    <row r="167" spans="1:5">
      <c r="A167" s="449">
        <f>'DAILY EXTRAPOLATION'!C2541</f>
        <v>46339</v>
      </c>
      <c r="B167" s="448">
        <f t="shared" si="6"/>
        <v>46340</v>
      </c>
      <c r="C167" s="445">
        <f ca="1">'DAILY EXTRAPOLATION'!N2541</f>
        <v>1.0003308333333334</v>
      </c>
      <c r="D167" s="451">
        <f t="shared" ca="1" si="7"/>
        <v>1.0175534517283089</v>
      </c>
      <c r="E167" s="447">
        <f t="shared" ca="1" si="8"/>
        <v>3.8067726639706069E-2</v>
      </c>
    </row>
    <row r="168" spans="1:5">
      <c r="A168" s="449">
        <f>'DAILY EXTRAPOLATION'!C2542</f>
        <v>46340</v>
      </c>
      <c r="B168" s="448">
        <f t="shared" si="6"/>
        <v>46341</v>
      </c>
      <c r="C168" s="445">
        <f ca="1">'DAILY EXTRAPOLATION'!N2542</f>
        <v>1</v>
      </c>
      <c r="D168" s="451">
        <f t="shared" ca="1" si="7"/>
        <v>1.0175534517283089</v>
      </c>
      <c r="E168" s="447">
        <f t="shared" ca="1" si="8"/>
        <v>3.7839776180785677E-2</v>
      </c>
    </row>
    <row r="169" spans="1:5">
      <c r="A169" s="449">
        <f>'DAILY EXTRAPOLATION'!C2543</f>
        <v>46341</v>
      </c>
      <c r="B169" s="448">
        <f t="shared" si="6"/>
        <v>46342</v>
      </c>
      <c r="C169" s="445">
        <f ca="1">'DAILY EXTRAPOLATION'!N2543</f>
        <v>1</v>
      </c>
      <c r="D169" s="451">
        <f t="shared" ca="1" si="7"/>
        <v>1.0175534517283089</v>
      </c>
      <c r="E169" s="447">
        <f t="shared" ca="1" si="8"/>
        <v>3.7614539417804807E-2</v>
      </c>
    </row>
    <row r="170" spans="1:5">
      <c r="A170" s="449">
        <f>'DAILY EXTRAPOLATION'!C2544</f>
        <v>46342</v>
      </c>
      <c r="B170" s="448">
        <f t="shared" si="6"/>
        <v>46343</v>
      </c>
      <c r="C170" s="445">
        <f ca="1">'DAILY EXTRAPOLATION'!N2544</f>
        <v>1.0001102777777777</v>
      </c>
      <c r="D170" s="451">
        <f t="shared" ca="1" si="7"/>
        <v>1.0176656652617355</v>
      </c>
      <c r="E170" s="447">
        <f t="shared" ca="1" si="8"/>
        <v>3.763100292440702E-2</v>
      </c>
    </row>
    <row r="171" spans="1:5">
      <c r="A171" s="449">
        <f>'DAILY EXTRAPOLATION'!C2545</f>
        <v>46343</v>
      </c>
      <c r="B171" s="448">
        <f t="shared" si="6"/>
        <v>46344</v>
      </c>
      <c r="C171" s="445">
        <f ca="1">'DAILY EXTRAPOLATION'!N2545</f>
        <v>1.0001102777777777</v>
      </c>
      <c r="D171" s="451">
        <f t="shared" ca="1" si="7"/>
        <v>1.0177778911698212</v>
      </c>
      <c r="E171" s="447">
        <f t="shared" ca="1" si="8"/>
        <v>3.7647298947856664E-2</v>
      </c>
    </row>
    <row r="172" spans="1:5">
      <c r="A172" s="449">
        <f>'DAILY EXTRAPOLATION'!C2546</f>
        <v>46344</v>
      </c>
      <c r="B172" s="448">
        <f t="shared" si="6"/>
        <v>46345</v>
      </c>
      <c r="C172" s="445">
        <f ca="1">'DAILY EXTRAPOLATION'!N2546</f>
        <v>1.0001102777777777</v>
      </c>
      <c r="D172" s="451">
        <f t="shared" ca="1" si="7"/>
        <v>1.0178901294539306</v>
      </c>
      <c r="E172" s="447">
        <f t="shared" ca="1" si="8"/>
        <v>3.7663430429327682E-2</v>
      </c>
    </row>
    <row r="173" spans="1:5">
      <c r="A173" s="449">
        <f>'DAILY EXTRAPOLATION'!C2547</f>
        <v>46345</v>
      </c>
      <c r="B173" s="448">
        <f t="shared" si="6"/>
        <v>46346</v>
      </c>
      <c r="C173" s="445">
        <f ca="1">'DAILY EXTRAPOLATION'!N2547</f>
        <v>1.0001102777777777</v>
      </c>
      <c r="D173" s="451">
        <f t="shared" ca="1" si="7"/>
        <v>1.0180023801154288</v>
      </c>
      <c r="E173" s="447">
        <f t="shared" ca="1" si="8"/>
        <v>3.7679400241595086E-2</v>
      </c>
    </row>
    <row r="174" spans="1:5">
      <c r="A174" s="449">
        <f>'DAILY EXTRAPOLATION'!C2548</f>
        <v>46346</v>
      </c>
      <c r="B174" s="448">
        <f t="shared" si="6"/>
        <v>46347</v>
      </c>
      <c r="C174" s="445">
        <f ca="1">'DAILY EXTRAPOLATION'!N2548</f>
        <v>1.0003308333333334</v>
      </c>
      <c r="D174" s="451">
        <f t="shared" ca="1" si="7"/>
        <v>1.0183391692361836</v>
      </c>
      <c r="E174" s="447">
        <f t="shared" ca="1" si="8"/>
        <v>3.8162433092636429E-2</v>
      </c>
    </row>
    <row r="175" spans="1:5">
      <c r="A175" s="449">
        <f>'DAILY EXTRAPOLATION'!C2549</f>
        <v>46347</v>
      </c>
      <c r="B175" s="448">
        <f t="shared" si="6"/>
        <v>46348</v>
      </c>
      <c r="C175" s="445">
        <f ca="1">'DAILY EXTRAPOLATION'!N2549</f>
        <v>1</v>
      </c>
      <c r="D175" s="451">
        <f t="shared" ca="1" si="7"/>
        <v>1.0183391692361836</v>
      </c>
      <c r="E175" s="447">
        <f t="shared" ca="1" si="8"/>
        <v>3.7943108764517827E-2</v>
      </c>
    </row>
    <row r="176" spans="1:5">
      <c r="A176" s="449">
        <f>'DAILY EXTRAPOLATION'!C2550</f>
        <v>46348</v>
      </c>
      <c r="B176" s="448">
        <f t="shared" si="6"/>
        <v>46349</v>
      </c>
      <c r="C176" s="445">
        <f ca="1">'DAILY EXTRAPOLATION'!N2550</f>
        <v>1</v>
      </c>
      <c r="D176" s="451">
        <f t="shared" ca="1" si="7"/>
        <v>1.0183391692361836</v>
      </c>
      <c r="E176" s="447">
        <f t="shared" ca="1" si="8"/>
        <v>3.7726291000149154E-2</v>
      </c>
    </row>
    <row r="177" spans="1:5">
      <c r="A177" s="449">
        <f>'DAILY EXTRAPOLATION'!C2551</f>
        <v>46349</v>
      </c>
      <c r="B177" s="448">
        <f t="shared" si="6"/>
        <v>46350</v>
      </c>
      <c r="C177" s="445">
        <f ca="1">'DAILY EXTRAPOLATION'!N2551</f>
        <v>1.0001102777777777</v>
      </c>
      <c r="D177" s="451">
        <f t="shared" ca="1" si="7"/>
        <v>1.018451469416791</v>
      </c>
      <c r="E177" s="447">
        <f t="shared" ca="1" si="8"/>
        <v>3.7741641988890656E-2</v>
      </c>
    </row>
    <row r="178" spans="1:5">
      <c r="A178" s="449">
        <f>'DAILY EXTRAPOLATION'!C2552</f>
        <v>46350</v>
      </c>
      <c r="B178" s="448">
        <f t="shared" si="6"/>
        <v>46351</v>
      </c>
      <c r="C178" s="445">
        <f ca="1">'DAILY EXTRAPOLATION'!N2552</f>
        <v>1.0001102777777777</v>
      </c>
      <c r="D178" s="451">
        <f t="shared" ca="1" si="7"/>
        <v>1.0185637819816127</v>
      </c>
      <c r="E178" s="447">
        <f t="shared" ca="1" si="8"/>
        <v>3.7756844708364774E-2</v>
      </c>
    </row>
    <row r="179" spans="1:5">
      <c r="A179" s="449">
        <f>'DAILY EXTRAPOLATION'!C2553</f>
        <v>46351</v>
      </c>
      <c r="B179" s="448">
        <f t="shared" si="6"/>
        <v>46352</v>
      </c>
      <c r="C179" s="445">
        <f ca="1">'DAILY EXTRAPOLATION'!N2553</f>
        <v>1.0002205555555554</v>
      </c>
      <c r="D179" s="451">
        <f t="shared" ca="1" si="7"/>
        <v>1.0187884318824163</v>
      </c>
      <c r="E179" s="447">
        <f t="shared" ca="1" si="8"/>
        <v>3.799907571724645E-2</v>
      </c>
    </row>
    <row r="180" spans="1:5">
      <c r="A180" s="449">
        <f>'DAILY EXTRAPOLATION'!C2554</f>
        <v>46352</v>
      </c>
      <c r="B180" s="448">
        <f t="shared" si="6"/>
        <v>46353</v>
      </c>
      <c r="C180" s="445">
        <f ca="1">'DAILY EXTRAPOLATION'!N2554</f>
        <v>1</v>
      </c>
      <c r="D180" s="451">
        <f t="shared" ca="1" si="7"/>
        <v>1.0187884318824163</v>
      </c>
      <c r="E180" s="447">
        <f ca="1">(D180/1-1)*360/(B180-A$2)</f>
        <v>3.7786790378043958E-2</v>
      </c>
    </row>
    <row r="181" spans="1:5">
      <c r="A181" s="449">
        <f>'DAILY EXTRAPOLATION'!C2555</f>
        <v>46353</v>
      </c>
      <c r="B181" s="448">
        <f t="shared" si="6"/>
        <v>46354</v>
      </c>
      <c r="C181" s="445">
        <f ca="1">'DAILY EXTRAPOLATION'!N2555</f>
        <v>1.0003308333333334</v>
      </c>
      <c r="D181" s="451">
        <f t="shared" ca="1" si="7"/>
        <v>1.0191254810552974</v>
      </c>
      <c r="E181" s="447">
        <f t="shared" ca="1" si="8"/>
        <v>3.8250962110594866E-2</v>
      </c>
    </row>
    <row r="182" spans="1:5">
      <c r="A182" s="449">
        <f>'DAILY EXTRAPOLATION'!C2556</f>
        <v>46354</v>
      </c>
      <c r="B182" s="448">
        <f t="shared" si="6"/>
        <v>46355</v>
      </c>
      <c r="C182" s="445">
        <f ca="1">'DAILY EXTRAPOLATION'!N2556</f>
        <v>1</v>
      </c>
      <c r="D182" s="451">
        <f t="shared" ca="1" si="7"/>
        <v>1.0191254810552974</v>
      </c>
      <c r="E182" s="447">
        <f t="shared" ca="1" si="8"/>
        <v>3.803963082821589E-2</v>
      </c>
    </row>
    <row r="183" spans="1:5">
      <c r="A183" s="449">
        <f>'DAILY EXTRAPOLATION'!C2557</f>
        <v>46355</v>
      </c>
      <c r="B183" s="448">
        <f t="shared" si="6"/>
        <v>46356</v>
      </c>
      <c r="C183" s="445">
        <f ca="1">'DAILY EXTRAPOLATION'!N2557</f>
        <v>1</v>
      </c>
      <c r="D183" s="451">
        <f t="shared" ca="1" si="7"/>
        <v>1.0191254810552974</v>
      </c>
      <c r="E183" s="447">
        <f t="shared" ca="1" si="8"/>
        <v>3.7830621867621296E-2</v>
      </c>
    </row>
    <row r="184" spans="1:5">
      <c r="A184" s="449">
        <f>'DAILY EXTRAPOLATION'!C2558</f>
        <v>46356</v>
      </c>
      <c r="B184" s="448">
        <f t="shared" si="6"/>
        <v>46357</v>
      </c>
      <c r="C184" s="445">
        <f ca="1">'DAILY EXTRAPOLATION'!N2558</f>
        <v>1.0001102777777777</v>
      </c>
      <c r="D184" s="451">
        <f t="shared" ca="1" si="7"/>
        <v>1.0192378679486249</v>
      </c>
      <c r="E184" s="447">
        <f t="shared" ca="1" si="8"/>
        <v>3.7844986128442469E-2</v>
      </c>
    </row>
    <row r="185" spans="1:5">
      <c r="A185" s="449">
        <f>'DAILY EXTRAPOLATION'!C2559</f>
        <v>46357</v>
      </c>
      <c r="B185" s="448">
        <f t="shared" si="6"/>
        <v>46358</v>
      </c>
      <c r="C185" s="445">
        <f ca="1">'DAILY EXTRAPOLATION'!N2559</f>
        <v>1.0001102777777777</v>
      </c>
      <c r="D185" s="451">
        <f t="shared" ca="1" si="7"/>
        <v>1.0193502672357293</v>
      </c>
      <c r="E185" s="447">
        <f t="shared" ca="1" si="8"/>
        <v>3.7859218504687764E-2</v>
      </c>
    </row>
    <row r="186" spans="1:5">
      <c r="A186" s="449">
        <f>'DAILY EXTRAPOLATION'!C2560</f>
        <v>46358</v>
      </c>
      <c r="B186" s="448">
        <f t="shared" si="6"/>
        <v>46359</v>
      </c>
      <c r="C186" s="445">
        <f ca="1">'DAILY EXTRAPOLATION'!N2560</f>
        <v>1.0001102777777777</v>
      </c>
      <c r="D186" s="451">
        <f t="shared" ca="1" si="7"/>
        <v>1.0194626789179773</v>
      </c>
      <c r="E186" s="447">
        <f t="shared" ca="1" si="8"/>
        <v>3.7873321137685483E-2</v>
      </c>
    </row>
    <row r="187" spans="1:5">
      <c r="A187" s="449">
        <f>'DAILY EXTRAPOLATION'!C2561</f>
        <v>46359</v>
      </c>
      <c r="B187" s="448">
        <f t="shared" si="6"/>
        <v>46360</v>
      </c>
      <c r="C187" s="445">
        <f ca="1">'DAILY EXTRAPOLATION'!N2561</f>
        <v>1.0001102777777777</v>
      </c>
      <c r="D187" s="451">
        <f t="shared" ca="1" si="7"/>
        <v>1.0195751029967357</v>
      </c>
      <c r="E187" s="447">
        <f t="shared" ca="1" si="8"/>
        <v>3.788729612271427E-2</v>
      </c>
    </row>
    <row r="188" spans="1:5">
      <c r="A188" s="449">
        <f>'DAILY EXTRAPOLATION'!C2562</f>
        <v>46360</v>
      </c>
      <c r="B188" s="448">
        <f t="shared" si="6"/>
        <v>46361</v>
      </c>
      <c r="C188" s="445">
        <f ca="1">'DAILY EXTRAPOLATION'!N2562</f>
        <v>1.0003308333333334</v>
      </c>
      <c r="D188" s="451">
        <f t="shared" ca="1" si="7"/>
        <v>1.0199124124266439</v>
      </c>
      <c r="E188" s="447">
        <f t="shared" ca="1" si="8"/>
        <v>3.8334056008512279E-2</v>
      </c>
    </row>
    <row r="189" spans="1:5">
      <c r="A189" s="449">
        <f>'DAILY EXTRAPOLATION'!C2563</f>
        <v>46361</v>
      </c>
      <c r="B189" s="448">
        <f t="shared" si="6"/>
        <v>46362</v>
      </c>
      <c r="C189" s="445">
        <f ca="1">'DAILY EXTRAPOLATION'!N2563</f>
        <v>1</v>
      </c>
      <c r="D189" s="451">
        <f t="shared" ca="1" si="7"/>
        <v>1.0199124124266439</v>
      </c>
      <c r="E189" s="447">
        <f t="shared" ca="1" si="8"/>
        <v>3.8130151455275513E-2</v>
      </c>
    </row>
    <row r="190" spans="1:5">
      <c r="A190" s="449">
        <f>'DAILY EXTRAPOLATION'!C2564</f>
        <v>46362</v>
      </c>
      <c r="B190" s="448">
        <f t="shared" si="6"/>
        <v>46363</v>
      </c>
      <c r="C190" s="445">
        <f ca="1">'DAILY EXTRAPOLATION'!N2564</f>
        <v>1</v>
      </c>
      <c r="D190" s="451">
        <f t="shared" ca="1" si="7"/>
        <v>1.0199124124266439</v>
      </c>
      <c r="E190" s="447">
        <f t="shared" ca="1" si="8"/>
        <v>3.7928404622178814E-2</v>
      </c>
    </row>
    <row r="191" spans="1:5">
      <c r="A191" s="449">
        <f>'DAILY EXTRAPOLATION'!C2565</f>
        <v>46363</v>
      </c>
      <c r="B191" s="448">
        <f t="shared" si="6"/>
        <v>46364</v>
      </c>
      <c r="C191" s="445">
        <f ca="1">'DAILY EXTRAPOLATION'!N2565</f>
        <v>1.0001102777777777</v>
      </c>
      <c r="D191" s="451">
        <f t="shared" ca="1" si="7"/>
        <v>1.0200248861010142</v>
      </c>
      <c r="E191" s="447">
        <f t="shared" ca="1" si="8"/>
        <v>3.7941889454553145E-2</v>
      </c>
    </row>
    <row r="192" spans="1:5">
      <c r="A192" s="449">
        <f>'DAILY EXTRAPOLATION'!C2566</f>
        <v>46364</v>
      </c>
      <c r="B192" s="448">
        <f t="shared" si="6"/>
        <v>46365</v>
      </c>
      <c r="C192" s="445">
        <f ca="1">'DAILY EXTRAPOLATION'!N2566</f>
        <v>1.0001102777777777</v>
      </c>
      <c r="D192" s="451">
        <f t="shared" ca="1" si="7"/>
        <v>1.0201373721787315</v>
      </c>
      <c r="E192" s="447">
        <f t="shared" ca="1" si="8"/>
        <v>3.79552564625305E-2</v>
      </c>
    </row>
    <row r="193" spans="1:5">
      <c r="A193" s="449">
        <f>'DAILY EXTRAPOLATION'!C2567</f>
        <v>46365</v>
      </c>
      <c r="B193" s="448">
        <f t="shared" si="6"/>
        <v>46366</v>
      </c>
      <c r="C193" s="445">
        <f ca="1">'DAILY EXTRAPOLATION'!N2567</f>
        <v>1.0001102777777777</v>
      </c>
      <c r="D193" s="451">
        <f t="shared" ca="1" si="7"/>
        <v>1.0202498706611633</v>
      </c>
      <c r="E193" s="447">
        <f t="shared" ca="1" si="8"/>
        <v>3.796850748968128E-2</v>
      </c>
    </row>
    <row r="194" spans="1:5">
      <c r="A194" s="449">
        <f>'DAILY EXTRAPOLATION'!C2568</f>
        <v>46366</v>
      </c>
      <c r="B194" s="448">
        <f t="shared" si="6"/>
        <v>46367</v>
      </c>
      <c r="C194" s="445">
        <f ca="1">'DAILY EXTRAPOLATION'!N2568</f>
        <v>1.0001159532828283</v>
      </c>
      <c r="D194" s="451">
        <f t="shared" ca="1" si="7"/>
        <v>1.0203681719829716</v>
      </c>
      <c r="E194" s="447">
        <f t="shared" ca="1" si="8"/>
        <v>3.7992445149584303E-2</v>
      </c>
    </row>
    <row r="195" spans="1:5">
      <c r="A195" s="449">
        <f>'DAILY EXTRAPOLATION'!C2569</f>
        <v>46367</v>
      </c>
      <c r="B195" s="448">
        <f t="shared" ref="B195:B216" si="9">A196</f>
        <v>46368</v>
      </c>
      <c r="C195" s="445">
        <f ca="1">'DAILY EXTRAPOLATION'!N2569</f>
        <v>1.000347859848485</v>
      </c>
      <c r="D195" s="451">
        <f t="shared" ca="1" si="7"/>
        <v>1.0207231171006765</v>
      </c>
      <c r="E195" s="447">
        <f t="shared" ca="1" si="8"/>
        <v>3.845526884661625E-2</v>
      </c>
    </row>
    <row r="196" spans="1:5">
      <c r="A196" s="449">
        <f>'DAILY EXTRAPOLATION'!C2570</f>
        <v>46368</v>
      </c>
      <c r="B196" s="448">
        <f t="shared" si="9"/>
        <v>46369</v>
      </c>
      <c r="C196" s="445">
        <f ca="1">'DAILY EXTRAPOLATION'!N2570</f>
        <v>1</v>
      </c>
      <c r="D196" s="451">
        <f t="shared" ref="D196:D216" ca="1" si="10">D195*C196</f>
        <v>1.0207231171006765</v>
      </c>
      <c r="E196" s="447">
        <f t="shared" ref="E196:E216" ca="1" si="11">(D196/1-1)*360/(B196-A$2)</f>
        <v>3.8258062339710526E-2</v>
      </c>
    </row>
    <row r="197" spans="1:5">
      <c r="A197" s="449">
        <f>'DAILY EXTRAPOLATION'!C2571</f>
        <v>46369</v>
      </c>
      <c r="B197" s="448">
        <f t="shared" si="9"/>
        <v>46370</v>
      </c>
      <c r="C197" s="445">
        <f ca="1">'DAILY EXTRAPOLATION'!N2571</f>
        <v>1</v>
      </c>
      <c r="D197" s="451">
        <f t="shared" ca="1" si="10"/>
        <v>1.0207231171006765</v>
      </c>
      <c r="E197" s="447">
        <f t="shared" ca="1" si="11"/>
        <v>3.806286814409976E-2</v>
      </c>
    </row>
    <row r="198" spans="1:5">
      <c r="A198" s="449">
        <f>'DAILY EXTRAPOLATION'!C2572</f>
        <v>46370</v>
      </c>
      <c r="B198" s="448">
        <f t="shared" si="9"/>
        <v>46371</v>
      </c>
      <c r="C198" s="445">
        <f ca="1">'DAILY EXTRAPOLATION'!N2572</f>
        <v>1.0001159532828283</v>
      </c>
      <c r="D198" s="451">
        <f t="shared" ca="1" si="10"/>
        <v>1.0208414732969631</v>
      </c>
      <c r="E198" s="447">
        <f t="shared" ca="1" si="11"/>
        <v>3.8085941050287835E-2</v>
      </c>
    </row>
    <row r="199" spans="1:5">
      <c r="A199" s="449">
        <f>'DAILY EXTRAPOLATION'!C2573</f>
        <v>46371</v>
      </c>
      <c r="B199" s="448">
        <f t="shared" si="9"/>
        <v>46372</v>
      </c>
      <c r="C199" s="445">
        <f ca="1">'DAILY EXTRAPOLATION'!N2573</f>
        <v>1.0001159532828283</v>
      </c>
      <c r="D199" s="451">
        <f t="shared" ca="1" si="10"/>
        <v>1.0209598432170393</v>
      </c>
      <c r="E199" s="447">
        <f t="shared" ca="1" si="11"/>
        <v>3.8108805849162278E-2</v>
      </c>
    </row>
    <row r="200" spans="1:5">
      <c r="A200" s="449">
        <f>'DAILY EXTRAPOLATION'!C2574</f>
        <v>46372</v>
      </c>
      <c r="B200" s="448">
        <f t="shared" si="9"/>
        <v>46373</v>
      </c>
      <c r="C200" s="445">
        <f ca="1">'DAILY EXTRAPOLATION'!N2574</f>
        <v>1.0001159532828283</v>
      </c>
      <c r="D200" s="451">
        <f t="shared" ca="1" si="10"/>
        <v>1.0210782268624961</v>
      </c>
      <c r="E200" s="447">
        <f t="shared" ca="1" si="11"/>
        <v>3.8131465680897383E-2</v>
      </c>
    </row>
    <row r="201" spans="1:5">
      <c r="A201" s="449">
        <f>'DAILY EXTRAPOLATION'!C2575</f>
        <v>46373</v>
      </c>
      <c r="B201" s="448">
        <f t="shared" si="9"/>
        <v>46374</v>
      </c>
      <c r="C201" s="445">
        <f ca="1">'DAILY EXTRAPOLATION'!N2575</f>
        <v>1.0001159532828283</v>
      </c>
      <c r="D201" s="451">
        <f t="shared" ca="1" si="10"/>
        <v>1.0211966242349253</v>
      </c>
      <c r="E201" s="447">
        <f t="shared" ca="1" si="11"/>
        <v>3.8153923622865536E-2</v>
      </c>
    </row>
    <row r="202" spans="1:5">
      <c r="A202" s="449">
        <f>'DAILY EXTRAPOLATION'!C2576</f>
        <v>46374</v>
      </c>
      <c r="B202" s="448">
        <f t="shared" si="9"/>
        <v>46375</v>
      </c>
      <c r="C202" s="445">
        <f ca="1">'DAILY EXTRAPOLATION'!N2576</f>
        <v>1.000347859848485</v>
      </c>
      <c r="D202" s="451">
        <f t="shared" ca="1" si="10"/>
        <v>1.021551857537905</v>
      </c>
      <c r="E202" s="447">
        <f t="shared" ca="1" si="11"/>
        <v>3.8600341858934337E-2</v>
      </c>
    </row>
    <row r="203" spans="1:5">
      <c r="A203" s="449">
        <f>'DAILY EXTRAPOLATION'!C2577</f>
        <v>46375</v>
      </c>
      <c r="B203" s="448">
        <f t="shared" si="9"/>
        <v>46376</v>
      </c>
      <c r="C203" s="445">
        <f ca="1">'DAILY EXTRAPOLATION'!N2577</f>
        <v>1</v>
      </c>
      <c r="D203" s="451">
        <f t="shared" ca="1" si="10"/>
        <v>1.021551857537905</v>
      </c>
      <c r="E203" s="447">
        <f t="shared" ca="1" si="11"/>
        <v>3.8409251057652485E-2</v>
      </c>
    </row>
    <row r="204" spans="1:5">
      <c r="A204" s="449">
        <f>'DAILY EXTRAPOLATION'!C2578</f>
        <v>46376</v>
      </c>
      <c r="B204" s="448">
        <f t="shared" si="9"/>
        <v>46377</v>
      </c>
      <c r="C204" s="445">
        <f ca="1">'DAILY EXTRAPOLATION'!N2578</f>
        <v>1</v>
      </c>
      <c r="D204" s="451">
        <f t="shared" ca="1" si="10"/>
        <v>1.021551857537905</v>
      </c>
      <c r="E204" s="447">
        <f t="shared" ca="1" si="11"/>
        <v>3.8220042924363561E-2</v>
      </c>
    </row>
    <row r="205" spans="1:5">
      <c r="A205" s="449">
        <f>'DAILY EXTRAPOLATION'!C2579</f>
        <v>46377</v>
      </c>
      <c r="B205" s="448">
        <f t="shared" si="9"/>
        <v>46378</v>
      </c>
      <c r="C205" s="445">
        <f ca="1">'DAILY EXTRAPOLATION'!N2579</f>
        <v>1.0001159532828283</v>
      </c>
      <c r="D205" s="451">
        <f t="shared" ca="1" si="10"/>
        <v>1.0216703098293658</v>
      </c>
      <c r="E205" s="447">
        <f t="shared" ca="1" si="11"/>
        <v>3.8241723228292585E-2</v>
      </c>
    </row>
    <row r="206" spans="1:5">
      <c r="A206" s="449">
        <f>'DAILY EXTRAPOLATION'!C2580</f>
        <v>46378</v>
      </c>
      <c r="B206" s="448">
        <f t="shared" si="9"/>
        <v>46379</v>
      </c>
      <c r="C206" s="445">
        <f ca="1">'DAILY EXTRAPOLATION'!N2580</f>
        <v>1.0001159532828283</v>
      </c>
      <c r="D206" s="451">
        <f t="shared" ca="1" si="10"/>
        <v>1.0217887758557587</v>
      </c>
      <c r="E206" s="447">
        <f t="shared" ca="1" si="11"/>
        <v>3.8263216136942051E-2</v>
      </c>
    </row>
    <row r="207" spans="1:5">
      <c r="A207" s="449">
        <f>'DAILY EXTRAPOLATION'!C2581</f>
        <v>46379</v>
      </c>
      <c r="B207" s="448">
        <f t="shared" si="9"/>
        <v>46380</v>
      </c>
      <c r="C207" s="445">
        <f ca="1">'DAILY EXTRAPOLATION'!N2581</f>
        <v>1.0001159532828283</v>
      </c>
      <c r="D207" s="451">
        <f t="shared" ca="1" si="10"/>
        <v>1.0219072556186763</v>
      </c>
      <c r="E207" s="447">
        <f t="shared" ca="1" si="11"/>
        <v>3.8284524382152837E-2</v>
      </c>
    </row>
    <row r="208" spans="1:5">
      <c r="A208" s="449">
        <f>'DAILY EXTRAPOLATION'!C2582</f>
        <v>46380</v>
      </c>
      <c r="B208" s="448">
        <f t="shared" si="9"/>
        <v>46381</v>
      </c>
      <c r="C208" s="445">
        <f ca="1">'DAILY EXTRAPOLATION'!N2582</f>
        <v>1.0004638131313131</v>
      </c>
      <c r="D208" s="451">
        <f t="shared" ca="1" si="10"/>
        <v>1.0223812296228163</v>
      </c>
      <c r="E208" s="447">
        <f t="shared" ca="1" si="11"/>
        <v>3.8923877604897912E-2</v>
      </c>
    </row>
    <row r="209" spans="1:5">
      <c r="A209" s="449">
        <f>'DAILY EXTRAPOLATION'!C2583</f>
        <v>46381</v>
      </c>
      <c r="B209" s="448">
        <f t="shared" si="9"/>
        <v>46382</v>
      </c>
      <c r="C209" s="445">
        <f ca="1">'DAILY EXTRAPOLATION'!N2583</f>
        <v>1</v>
      </c>
      <c r="D209" s="451">
        <f t="shared" ca="1" si="10"/>
        <v>1.0223812296228163</v>
      </c>
      <c r="E209" s="447">
        <f t="shared" ca="1" si="11"/>
        <v>3.8736743577951288E-2</v>
      </c>
    </row>
    <row r="210" spans="1:5">
      <c r="A210" s="449">
        <f>'DAILY EXTRAPOLATION'!C2584</f>
        <v>46382</v>
      </c>
      <c r="B210" s="448">
        <f t="shared" si="9"/>
        <v>46383</v>
      </c>
      <c r="C210" s="445">
        <f ca="1">'DAILY EXTRAPOLATION'!N2584</f>
        <v>1</v>
      </c>
      <c r="D210" s="451">
        <f t="shared" ca="1" si="10"/>
        <v>1.0223812296228163</v>
      </c>
      <c r="E210" s="447">
        <f t="shared" ca="1" si="11"/>
        <v>3.855140030724339E-2</v>
      </c>
    </row>
    <row r="211" spans="1:5">
      <c r="A211" s="449">
        <f>'DAILY EXTRAPOLATION'!C2585</f>
        <v>46383</v>
      </c>
      <c r="B211" s="448">
        <f t="shared" si="9"/>
        <v>46384</v>
      </c>
      <c r="C211" s="445">
        <f ca="1">'DAILY EXTRAPOLATION'!N2585</f>
        <v>1</v>
      </c>
      <c r="D211" s="451">
        <f t="shared" ca="1" si="10"/>
        <v>1.0223812296228163</v>
      </c>
      <c r="E211" s="447">
        <f t="shared" ca="1" si="11"/>
        <v>3.8367822210542232E-2</v>
      </c>
    </row>
    <row r="212" spans="1:5">
      <c r="A212" s="449">
        <f>'DAILY EXTRAPOLATION'!C2586</f>
        <v>46384</v>
      </c>
      <c r="B212" s="448">
        <f t="shared" si="9"/>
        <v>46385</v>
      </c>
      <c r="C212" s="445">
        <f ca="1">'DAILY EXTRAPOLATION'!N2586</f>
        <v>1.0001159532828283</v>
      </c>
      <c r="D212" s="451">
        <f t="shared" ca="1" si="10"/>
        <v>1.0224997780826932</v>
      </c>
      <c r="E212" s="447">
        <f t="shared" ca="1" si="11"/>
        <v>3.8388246965732495E-2</v>
      </c>
    </row>
    <row r="213" spans="1:5">
      <c r="A213" s="449">
        <f>'DAILY EXTRAPOLATION'!C2587</f>
        <v>46385</v>
      </c>
      <c r="B213" s="448">
        <f t="shared" si="9"/>
        <v>46386</v>
      </c>
      <c r="C213" s="445">
        <f ca="1">'DAILY EXTRAPOLATION'!N2587</f>
        <v>1.0001159532828283</v>
      </c>
      <c r="D213" s="451">
        <f t="shared" ca="1" si="10"/>
        <v>1.0226183402886531</v>
      </c>
      <c r="E213" s="447">
        <f t="shared" ca="1" si="11"/>
        <v>3.8408502376958024E-2</v>
      </c>
    </row>
    <row r="214" spans="1:5">
      <c r="A214" s="449">
        <f>'DAILY EXTRAPOLATION'!C2588</f>
        <v>46386</v>
      </c>
      <c r="B214" s="448">
        <f t="shared" si="9"/>
        <v>46387</v>
      </c>
      <c r="C214" s="445">
        <f ca="1">'DAILY EXTRAPOLATION'!N2588</f>
        <v>1.0001159532828283</v>
      </c>
      <c r="D214" s="451">
        <f t="shared" ca="1" si="10"/>
        <v>1.0227369162422899</v>
      </c>
      <c r="E214" s="447">
        <f t="shared" ca="1" si="11"/>
        <v>3.8428590832039276E-2</v>
      </c>
    </row>
    <row r="215" spans="1:5">
      <c r="A215" s="449">
        <f>'DAILY EXTRAPOLATION'!C2589</f>
        <v>46387</v>
      </c>
      <c r="B215" s="448">
        <f t="shared" si="9"/>
        <v>46388</v>
      </c>
      <c r="C215" s="445">
        <f ca="1">'DAILY EXTRAPOLATION'!N2589</f>
        <v>1.0004638131313131</v>
      </c>
      <c r="D215" s="451">
        <f t="shared" ca="1" si="10"/>
        <v>1.0232112750539217</v>
      </c>
      <c r="E215" s="447">
        <f t="shared" ca="1" si="11"/>
        <v>3.9047004763606653E-2</v>
      </c>
    </row>
    <row r="216" spans="1:5">
      <c r="A216" s="449">
        <f>'DAILY EXTRAPOLATION'!C2590</f>
        <v>46388</v>
      </c>
      <c r="B216" s="448">
        <f t="shared" si="9"/>
        <v>46389</v>
      </c>
      <c r="C216" s="445">
        <f>'DAILY EXTRAPOLATION'!N2590</f>
        <v>1</v>
      </c>
      <c r="D216" s="451">
        <f t="shared" ca="1" si="10"/>
        <v>1.0232112750539217</v>
      </c>
      <c r="E216" s="447">
        <f t="shared" ca="1" si="11"/>
        <v>3.8865390787961966E-2</v>
      </c>
    </row>
    <row r="217" spans="1:5">
      <c r="A217" s="449">
        <f>'DAILY EXTRAPOLATION'!C2591</f>
        <v>46389</v>
      </c>
      <c r="B217" s="448"/>
      <c r="C217" s="445"/>
      <c r="D217" s="451"/>
    </row>
    <row r="218" spans="1:5">
      <c r="A218" s="449"/>
      <c r="B218" s="448"/>
      <c r="C218" s="445"/>
      <c r="D218" s="451"/>
    </row>
    <row r="219" spans="1:5">
      <c r="A219" s="449"/>
      <c r="B219" s="448"/>
      <c r="C219" s="445"/>
      <c r="D219" s="451"/>
    </row>
    <row r="220" spans="1:5">
      <c r="A220" s="449"/>
      <c r="B220" s="448"/>
      <c r="C220" s="445"/>
      <c r="D220" s="451"/>
    </row>
    <row r="221" spans="1:5">
      <c r="A221" s="449"/>
      <c r="B221" s="448"/>
      <c r="C221" s="445"/>
      <c r="D221" s="451"/>
    </row>
    <row r="222" spans="1:5">
      <c r="A222" s="449"/>
      <c r="B222" s="448"/>
      <c r="C222" s="445"/>
      <c r="D222" s="451"/>
    </row>
    <row r="223" spans="1:5">
      <c r="A223" s="449"/>
      <c r="B223" s="448"/>
      <c r="C223" s="445"/>
      <c r="D223" s="451"/>
    </row>
    <row r="224" spans="1:5">
      <c r="A224" s="449"/>
      <c r="B224" s="448"/>
      <c r="C224" s="445"/>
      <c r="D224" s="451"/>
    </row>
    <row r="225" spans="1:4">
      <c r="A225" s="449"/>
      <c r="B225" s="448"/>
      <c r="C225" s="445"/>
      <c r="D225" s="451"/>
    </row>
    <row r="226" spans="1:4">
      <c r="A226" s="449"/>
      <c r="B226" s="448"/>
      <c r="C226" s="445"/>
      <c r="D226" s="451"/>
    </row>
    <row r="227" spans="1:4">
      <c r="A227" s="449"/>
      <c r="B227" s="448"/>
      <c r="C227" s="445"/>
      <c r="D227" s="451"/>
    </row>
    <row r="228" spans="1:4">
      <c r="A228" s="449"/>
      <c r="B228" s="448"/>
      <c r="C228" s="445"/>
      <c r="D228" s="451"/>
    </row>
    <row r="229" spans="1:4">
      <c r="A229" s="449"/>
      <c r="B229" s="448"/>
      <c r="C229" s="445"/>
      <c r="D229" s="451"/>
    </row>
    <row r="230" spans="1:4">
      <c r="A230" s="449"/>
      <c r="B230" s="448"/>
      <c r="C230" s="445"/>
      <c r="D230" s="451"/>
    </row>
    <row r="231" spans="1:4">
      <c r="A231" s="449"/>
      <c r="B231" s="448"/>
      <c r="C231" s="445"/>
      <c r="D231" s="451"/>
    </row>
    <row r="232" spans="1:4">
      <c r="A232" s="449"/>
      <c r="B232" s="448"/>
      <c r="C232" s="445"/>
      <c r="D232" s="451"/>
    </row>
    <row r="233" spans="1:4">
      <c r="A233" s="449"/>
      <c r="B233" s="448"/>
      <c r="C233" s="445"/>
      <c r="D233" s="451"/>
    </row>
    <row r="234" spans="1:4">
      <c r="A234" s="449"/>
      <c r="B234" s="448"/>
      <c r="C234" s="445"/>
      <c r="D234" s="451"/>
    </row>
    <row r="235" spans="1:4">
      <c r="A235" s="449"/>
      <c r="B235" s="448"/>
      <c r="C235" s="445"/>
      <c r="D235" s="451"/>
    </row>
    <row r="236" spans="1:4">
      <c r="A236" s="449"/>
      <c r="B236" s="448"/>
      <c r="C236" s="445"/>
      <c r="D236" s="451"/>
    </row>
    <row r="237" spans="1:4">
      <c r="A237" s="449"/>
      <c r="B237" s="448"/>
      <c r="C237" s="445"/>
      <c r="D237" s="451"/>
    </row>
    <row r="238" spans="1:4">
      <c r="A238" s="449"/>
      <c r="B238" s="448"/>
      <c r="C238" s="445"/>
      <c r="D238" s="451"/>
    </row>
    <row r="239" spans="1:4">
      <c r="A239" s="449"/>
      <c r="B239" s="448"/>
      <c r="C239" s="445"/>
      <c r="D239" s="451"/>
    </row>
    <row r="240" spans="1:4">
      <c r="A240" s="449"/>
      <c r="B240" s="448"/>
      <c r="C240" s="445"/>
      <c r="D240" s="451"/>
    </row>
    <row r="241" spans="1:4">
      <c r="A241" s="449"/>
      <c r="B241" s="448"/>
      <c r="C241" s="445"/>
      <c r="D241" s="451"/>
    </row>
    <row r="242" spans="1:4">
      <c r="A242" s="449"/>
      <c r="B242" s="448"/>
      <c r="C242" s="445"/>
      <c r="D242" s="451"/>
    </row>
    <row r="243" spans="1:4">
      <c r="A243" s="449"/>
      <c r="B243" s="448"/>
      <c r="C243" s="445"/>
      <c r="D243" s="451"/>
    </row>
    <row r="244" spans="1:4">
      <c r="A244" s="449"/>
      <c r="B244" s="448"/>
      <c r="C244" s="445"/>
      <c r="D244" s="451"/>
    </row>
    <row r="245" spans="1:4">
      <c r="A245" s="449"/>
      <c r="B245" s="448"/>
      <c r="C245" s="445"/>
      <c r="D245" s="451"/>
    </row>
    <row r="246" spans="1:4">
      <c r="A246" s="449"/>
      <c r="B246" s="448"/>
      <c r="C246" s="445"/>
      <c r="D246" s="451"/>
    </row>
    <row r="247" spans="1:4">
      <c r="A247" s="449"/>
      <c r="B247" s="448"/>
      <c r="C247" s="445"/>
      <c r="D247" s="451"/>
    </row>
    <row r="248" spans="1:4">
      <c r="A248" s="449"/>
      <c r="B248" s="448"/>
      <c r="C248" s="445"/>
      <c r="D248" s="451"/>
    </row>
    <row r="249" spans="1:4">
      <c r="A249" s="449"/>
      <c r="B249" s="448"/>
      <c r="C249" s="445"/>
      <c r="D249" s="451"/>
    </row>
    <row r="250" spans="1:4">
      <c r="A250" s="449"/>
      <c r="B250" s="448"/>
      <c r="C250" s="445"/>
      <c r="D250" s="451"/>
    </row>
    <row r="251" spans="1:4">
      <c r="A251" s="449"/>
      <c r="B251" s="448"/>
      <c r="C251" s="445"/>
      <c r="D251" s="451"/>
    </row>
    <row r="252" spans="1:4">
      <c r="A252" s="449"/>
      <c r="B252" s="448"/>
      <c r="C252" s="445"/>
      <c r="D252" s="451"/>
    </row>
    <row r="253" spans="1:4">
      <c r="A253" s="449"/>
      <c r="B253" s="448"/>
      <c r="C253" s="445"/>
      <c r="D253" s="451"/>
    </row>
    <row r="254" spans="1:4">
      <c r="A254" s="449"/>
      <c r="B254" s="448"/>
      <c r="C254" s="445"/>
      <c r="D254" s="451"/>
    </row>
    <row r="255" spans="1:4">
      <c r="A255" s="449"/>
      <c r="B255" s="448"/>
      <c r="C255" s="445"/>
      <c r="D255" s="451"/>
    </row>
    <row r="256" spans="1:4">
      <c r="A256" s="449"/>
      <c r="B256" s="448"/>
      <c r="C256" s="445"/>
      <c r="D256" s="451"/>
    </row>
    <row r="257" spans="1:4">
      <c r="A257" s="449"/>
      <c r="B257" s="448"/>
      <c r="C257" s="445"/>
      <c r="D257" s="451"/>
    </row>
    <row r="258" spans="1:4">
      <c r="A258" s="449"/>
      <c r="B258" s="448"/>
      <c r="C258" s="445"/>
      <c r="D258" s="451"/>
    </row>
    <row r="259" spans="1:4">
      <c r="A259" s="449"/>
      <c r="B259" s="448"/>
      <c r="C259" s="445"/>
      <c r="D259" s="451"/>
    </row>
    <row r="260" spans="1:4">
      <c r="A260" s="449"/>
      <c r="B260" s="448"/>
      <c r="C260" s="445"/>
      <c r="D260" s="451"/>
    </row>
    <row r="261" spans="1:4">
      <c r="A261" s="449"/>
      <c r="B261" s="448"/>
      <c r="C261" s="445"/>
      <c r="D261" s="451"/>
    </row>
    <row r="262" spans="1:4">
      <c r="A262" s="449"/>
      <c r="B262" s="448"/>
      <c r="C262" s="445"/>
      <c r="D262" s="451"/>
    </row>
    <row r="263" spans="1:4">
      <c r="A263" s="449"/>
      <c r="B263" s="448"/>
      <c r="C263" s="445"/>
      <c r="D263" s="451"/>
    </row>
    <row r="264" spans="1:4">
      <c r="A264" s="449"/>
      <c r="B264" s="448"/>
      <c r="C264" s="445"/>
      <c r="D264" s="451"/>
    </row>
    <row r="265" spans="1:4">
      <c r="A265" s="449"/>
      <c r="B265" s="448"/>
      <c r="C265" s="445"/>
      <c r="D265" s="451"/>
    </row>
    <row r="266" spans="1:4">
      <c r="A266" s="449"/>
      <c r="B266" s="448"/>
      <c r="C266" s="445"/>
      <c r="D266" s="451"/>
    </row>
    <row r="267" spans="1:4">
      <c r="A267" s="449"/>
      <c r="B267" s="448"/>
      <c r="C267" s="445"/>
      <c r="D267" s="451"/>
    </row>
    <row r="268" spans="1:4">
      <c r="A268" s="449"/>
      <c r="B268" s="448"/>
      <c r="C268" s="445"/>
      <c r="D268" s="451"/>
    </row>
    <row r="269" spans="1:4">
      <c r="A269" s="449"/>
      <c r="B269" s="448"/>
      <c r="C269" s="445"/>
      <c r="D269" s="451"/>
    </row>
    <row r="270" spans="1:4">
      <c r="A270" s="449"/>
      <c r="B270" s="448"/>
      <c r="C270" s="445"/>
      <c r="D270" s="451"/>
    </row>
    <row r="271" spans="1:4">
      <c r="A271" s="449"/>
      <c r="B271" s="448"/>
      <c r="C271" s="445"/>
      <c r="D271" s="451"/>
    </row>
    <row r="272" spans="1:4">
      <c r="A272" s="449"/>
      <c r="B272" s="448"/>
      <c r="C272" s="445"/>
      <c r="D272" s="451"/>
    </row>
    <row r="273" spans="1:4">
      <c r="A273" s="449"/>
      <c r="B273" s="448"/>
      <c r="C273" s="445"/>
      <c r="D273" s="451"/>
    </row>
    <row r="274" spans="1:4">
      <c r="A274" s="449"/>
      <c r="B274" s="448"/>
      <c r="C274" s="445"/>
      <c r="D274" s="451"/>
    </row>
    <row r="275" spans="1:4">
      <c r="A275" s="449"/>
      <c r="B275" s="448"/>
      <c r="C275" s="445"/>
      <c r="D275" s="451"/>
    </row>
    <row r="276" spans="1:4">
      <c r="A276" s="449"/>
      <c r="B276" s="448"/>
      <c r="C276" s="445"/>
      <c r="D276" s="451"/>
    </row>
    <row r="277" spans="1:4">
      <c r="A277" s="449"/>
      <c r="B277" s="448"/>
      <c r="C277" s="445"/>
      <c r="D277" s="451"/>
    </row>
    <row r="278" spans="1:4">
      <c r="A278" s="449"/>
      <c r="B278" s="448"/>
      <c r="C278" s="445"/>
      <c r="D278" s="451"/>
    </row>
    <row r="279" spans="1:4">
      <c r="A279" s="449"/>
      <c r="B279" s="448"/>
      <c r="C279" s="445"/>
      <c r="D279" s="451"/>
    </row>
    <row r="280" spans="1:4">
      <c r="A280" s="449"/>
      <c r="B280" s="448"/>
      <c r="C280" s="445"/>
      <c r="D280" s="451"/>
    </row>
    <row r="281" spans="1:4">
      <c r="A281" s="449"/>
      <c r="B281" s="448"/>
      <c r="C281" s="445"/>
      <c r="D281" s="451"/>
    </row>
    <row r="282" spans="1:4">
      <c r="A282" s="449"/>
      <c r="B282" s="448"/>
      <c r="C282" s="445"/>
      <c r="D282" s="451"/>
    </row>
    <row r="283" spans="1:4">
      <c r="A283" s="449"/>
      <c r="B283" s="448"/>
      <c r="C283" s="445"/>
      <c r="D283" s="451"/>
    </row>
    <row r="284" spans="1:4">
      <c r="A284" s="449"/>
      <c r="B284" s="448"/>
      <c r="C284" s="445"/>
      <c r="D284" s="451"/>
    </row>
    <row r="285" spans="1:4">
      <c r="A285" s="449"/>
      <c r="B285" s="448"/>
      <c r="C285" s="445"/>
      <c r="D285" s="451"/>
    </row>
    <row r="286" spans="1:4">
      <c r="A286" s="449"/>
      <c r="B286" s="448"/>
      <c r="C286" s="445"/>
      <c r="D286" s="451"/>
    </row>
    <row r="287" spans="1:4">
      <c r="A287" s="449"/>
      <c r="B287" s="448"/>
      <c r="C287" s="445"/>
      <c r="D287" s="451"/>
    </row>
    <row r="288" spans="1:4">
      <c r="A288" s="449"/>
      <c r="B288" s="448"/>
      <c r="C288" s="445"/>
      <c r="D288" s="451"/>
    </row>
    <row r="289" spans="1:4">
      <c r="A289" s="449"/>
      <c r="B289" s="448"/>
      <c r="C289" s="445"/>
      <c r="D289" s="451"/>
    </row>
    <row r="290" spans="1:4">
      <c r="A290" s="449"/>
      <c r="B290" s="448"/>
      <c r="C290" s="445"/>
      <c r="D290" s="451"/>
    </row>
    <row r="291" spans="1:4">
      <c r="A291" s="449"/>
      <c r="B291" s="448"/>
      <c r="C291" s="445"/>
      <c r="D291" s="451"/>
    </row>
    <row r="292" spans="1:4">
      <c r="A292" s="449"/>
      <c r="B292" s="448"/>
      <c r="C292" s="445"/>
      <c r="D292" s="451"/>
    </row>
    <row r="293" spans="1:4">
      <c r="A293" s="449"/>
      <c r="B293" s="448"/>
      <c r="C293" s="445"/>
      <c r="D293" s="451"/>
    </row>
    <row r="294" spans="1:4">
      <c r="A294" s="449"/>
      <c r="B294" s="448"/>
      <c r="C294" s="445"/>
      <c r="D294" s="451"/>
    </row>
    <row r="295" spans="1:4">
      <c r="A295" s="449"/>
      <c r="B295" s="448"/>
      <c r="C295" s="445"/>
      <c r="D295" s="451"/>
    </row>
    <row r="296" spans="1:4">
      <c r="A296" s="449"/>
      <c r="B296" s="448"/>
      <c r="C296" s="445"/>
      <c r="D296" s="451"/>
    </row>
    <row r="297" spans="1:4">
      <c r="A297" s="449"/>
      <c r="B297" s="448"/>
      <c r="C297" s="445"/>
      <c r="D297" s="451"/>
    </row>
    <row r="298" spans="1:4">
      <c r="A298" s="449"/>
      <c r="B298" s="448"/>
      <c r="C298" s="445"/>
      <c r="D298" s="451"/>
    </row>
    <row r="299" spans="1:4">
      <c r="A299" s="449"/>
      <c r="B299" s="448"/>
      <c r="C299" s="445"/>
      <c r="D299" s="451"/>
    </row>
    <row r="300" spans="1:4">
      <c r="A300" s="449"/>
      <c r="B300" s="448"/>
      <c r="C300" s="445"/>
      <c r="D300" s="451"/>
    </row>
    <row r="301" spans="1:4">
      <c r="A301" s="449"/>
      <c r="B301" s="448"/>
      <c r="C301" s="445"/>
      <c r="D301" s="451"/>
    </row>
    <row r="302" spans="1:4">
      <c r="A302" s="449"/>
      <c r="B302" s="448"/>
      <c r="C302" s="445"/>
      <c r="D302" s="451"/>
    </row>
    <row r="303" spans="1:4">
      <c r="A303" s="449"/>
      <c r="B303" s="448"/>
      <c r="C303" s="445"/>
      <c r="D303" s="451"/>
    </row>
    <row r="304" spans="1:4">
      <c r="A304" s="449"/>
      <c r="B304" s="448"/>
      <c r="C304" s="445"/>
      <c r="D304" s="451"/>
    </row>
    <row r="305" spans="1:4">
      <c r="A305" s="449"/>
      <c r="B305" s="448"/>
      <c r="C305" s="445"/>
      <c r="D305" s="451"/>
    </row>
    <row r="306" spans="1:4">
      <c r="A306" s="449"/>
      <c r="B306" s="448"/>
      <c r="C306" s="445"/>
      <c r="D306" s="451"/>
    </row>
    <row r="307" spans="1:4">
      <c r="A307" s="449"/>
      <c r="B307" s="448"/>
      <c r="C307" s="445"/>
      <c r="D307" s="451"/>
    </row>
    <row r="308" spans="1:4">
      <c r="A308" s="449"/>
      <c r="B308" s="448"/>
      <c r="C308" s="445"/>
      <c r="D308" s="451"/>
    </row>
    <row r="309" spans="1:4">
      <c r="A309" s="449"/>
      <c r="B309" s="448"/>
      <c r="C309" s="445"/>
      <c r="D309" s="451"/>
    </row>
    <row r="310" spans="1:4">
      <c r="A310" s="449"/>
      <c r="B310" s="448"/>
      <c r="C310" s="445"/>
      <c r="D310" s="451"/>
    </row>
    <row r="311" spans="1:4">
      <c r="A311" s="449"/>
    </row>
    <row r="312" spans="1:4">
      <c r="A312" s="449"/>
    </row>
    <row r="313" spans="1:4">
      <c r="A313" s="449"/>
    </row>
    <row r="314" spans="1:4">
      <c r="A314" s="449"/>
    </row>
    <row r="315" spans="1:4">
      <c r="A315" s="449"/>
    </row>
    <row r="316" spans="1:4">
      <c r="A316" s="449"/>
    </row>
    <row r="317" spans="1:4">
      <c r="A317" s="449"/>
    </row>
    <row r="318" spans="1:4">
      <c r="A318" s="449"/>
    </row>
    <row r="319" spans="1:4">
      <c r="A319" s="449"/>
    </row>
    <row r="320" spans="1:4">
      <c r="A320" s="449"/>
    </row>
    <row r="321" spans="1:1">
      <c r="A321" s="449"/>
    </row>
    <row r="322" spans="1:1">
      <c r="A322" s="449"/>
    </row>
    <row r="323" spans="1:1">
      <c r="A323" s="449"/>
    </row>
    <row r="324" spans="1:1">
      <c r="A324" s="449"/>
    </row>
    <row r="325" spans="1:1">
      <c r="A325" s="449"/>
    </row>
    <row r="326" spans="1:1">
      <c r="A326" s="449"/>
    </row>
    <row r="327" spans="1:1">
      <c r="A327" s="449"/>
    </row>
    <row r="328" spans="1:1">
      <c r="A328" s="449"/>
    </row>
    <row r="329" spans="1:1">
      <c r="A329" s="449"/>
    </row>
    <row r="330" spans="1:1">
      <c r="A330" s="449"/>
    </row>
    <row r="331" spans="1:1">
      <c r="A331" s="449"/>
    </row>
    <row r="332" spans="1:1">
      <c r="A332" s="449"/>
    </row>
    <row r="333" spans="1:1">
      <c r="A333" s="449"/>
    </row>
    <row r="334" spans="1:1">
      <c r="A334" s="449"/>
    </row>
    <row r="335" spans="1:1">
      <c r="A335" s="449"/>
    </row>
    <row r="336" spans="1:1">
      <c r="A336" s="449"/>
    </row>
    <row r="337" spans="1:1">
      <c r="A337" s="449"/>
    </row>
    <row r="338" spans="1:1">
      <c r="A338" s="449"/>
    </row>
    <row r="339" spans="1:1">
      <c r="A339" s="449"/>
    </row>
    <row r="340" spans="1:1">
      <c r="A340" s="449"/>
    </row>
    <row r="341" spans="1:1">
      <c r="A341" s="449"/>
    </row>
    <row r="342" spans="1:1">
      <c r="A342" s="449"/>
    </row>
    <row r="343" spans="1:1">
      <c r="A343" s="449"/>
    </row>
    <row r="344" spans="1:1">
      <c r="A344" s="449"/>
    </row>
    <row r="345" spans="1:1">
      <c r="A345" s="449"/>
    </row>
    <row r="346" spans="1:1">
      <c r="A346" s="449"/>
    </row>
    <row r="347" spans="1:1">
      <c r="A347" s="449"/>
    </row>
    <row r="348" spans="1:1">
      <c r="A348" s="449"/>
    </row>
    <row r="349" spans="1:1">
      <c r="A349" s="449"/>
    </row>
    <row r="350" spans="1:1">
      <c r="A350" s="449"/>
    </row>
    <row r="351" spans="1:1">
      <c r="A351" s="449"/>
    </row>
    <row r="352" spans="1:1">
      <c r="A352" s="449"/>
    </row>
    <row r="353" spans="1:1">
      <c r="A353" s="449"/>
    </row>
    <row r="354" spans="1:1">
      <c r="A354" s="449"/>
    </row>
    <row r="355" spans="1:1">
      <c r="A355" s="449"/>
    </row>
    <row r="356" spans="1:1">
      <c r="A356" s="449"/>
    </row>
    <row r="357" spans="1:1">
      <c r="A357" s="449"/>
    </row>
    <row r="358" spans="1:1">
      <c r="A358" s="449"/>
    </row>
    <row r="359" spans="1:1">
      <c r="A359" s="449"/>
    </row>
    <row r="360" spans="1:1">
      <c r="A360" s="449"/>
    </row>
    <row r="361" spans="1:1">
      <c r="A361" s="449"/>
    </row>
    <row r="362" spans="1:1">
      <c r="A362" s="449"/>
    </row>
    <row r="363" spans="1:1">
      <c r="A363" s="449"/>
    </row>
    <row r="364" spans="1:1">
      <c r="A364" s="449"/>
    </row>
    <row r="365" spans="1:1">
      <c r="A365" s="449"/>
    </row>
    <row r="366" spans="1:1">
      <c r="A366" s="449"/>
    </row>
    <row r="367" spans="1:1">
      <c r="A367" s="449"/>
    </row>
    <row r="368" spans="1:1">
      <c r="A368" s="449"/>
    </row>
    <row r="369" spans="1:1">
      <c r="A369" s="449"/>
    </row>
    <row r="370" spans="1:1">
      <c r="A370" s="449"/>
    </row>
    <row r="371" spans="1:1">
      <c r="A371" s="449"/>
    </row>
    <row r="372" spans="1:1">
      <c r="A372" s="449"/>
    </row>
    <row r="373" spans="1:1">
      <c r="A373" s="449"/>
    </row>
    <row r="374" spans="1:1">
      <c r="A374" s="449"/>
    </row>
    <row r="375" spans="1:1">
      <c r="A375" s="449"/>
    </row>
    <row r="376" spans="1:1">
      <c r="A376" s="449"/>
    </row>
    <row r="377" spans="1:1">
      <c r="A377" s="449"/>
    </row>
    <row r="378" spans="1:1">
      <c r="A378" s="449"/>
    </row>
    <row r="379" spans="1:1">
      <c r="A379" s="449"/>
    </row>
    <row r="380" spans="1:1">
      <c r="A380" s="449"/>
    </row>
    <row r="381" spans="1:1">
      <c r="A381" s="449"/>
    </row>
    <row r="382" spans="1:1">
      <c r="A382" s="449"/>
    </row>
    <row r="383" spans="1:1">
      <c r="A383" s="449"/>
    </row>
    <row r="384" spans="1:1">
      <c r="A384" s="449"/>
    </row>
    <row r="385" spans="1:1">
      <c r="A385" s="449"/>
    </row>
    <row r="386" spans="1:1">
      <c r="A386" s="449"/>
    </row>
    <row r="387" spans="1:1">
      <c r="A387" s="449"/>
    </row>
    <row r="388" spans="1:1">
      <c r="A388" s="449"/>
    </row>
    <row r="389" spans="1:1">
      <c r="A389" s="449"/>
    </row>
    <row r="390" spans="1:1">
      <c r="A390" s="449"/>
    </row>
    <row r="391" spans="1:1">
      <c r="A391" s="449"/>
    </row>
    <row r="392" spans="1:1">
      <c r="A392" s="449"/>
    </row>
    <row r="393" spans="1:1">
      <c r="A393" s="449"/>
    </row>
    <row r="394" spans="1:1">
      <c r="A394" s="449"/>
    </row>
    <row r="395" spans="1:1">
      <c r="A395" s="449"/>
    </row>
    <row r="396" spans="1:1">
      <c r="A396" s="449"/>
    </row>
    <row r="397" spans="1:1">
      <c r="A397" s="449"/>
    </row>
    <row r="398" spans="1:1">
      <c r="A398" s="449"/>
    </row>
    <row r="399" spans="1:1">
      <c r="A399" s="449"/>
    </row>
    <row r="400" spans="1:1">
      <c r="A400" s="449"/>
    </row>
    <row r="401" spans="1:1">
      <c r="A401" s="449"/>
    </row>
    <row r="402" spans="1:1">
      <c r="A402" s="449"/>
    </row>
    <row r="403" spans="1:1">
      <c r="A403" s="449"/>
    </row>
    <row r="404" spans="1:1">
      <c r="A404" s="449"/>
    </row>
    <row r="405" spans="1:1">
      <c r="A405" s="449"/>
    </row>
    <row r="406" spans="1:1">
      <c r="A406" s="449"/>
    </row>
    <row r="407" spans="1:1">
      <c r="A407" s="449"/>
    </row>
    <row r="408" spans="1:1">
      <c r="A408" s="449"/>
    </row>
    <row r="409" spans="1:1">
      <c r="A409" s="449"/>
    </row>
    <row r="410" spans="1:1">
      <c r="A410" s="449"/>
    </row>
    <row r="411" spans="1:1">
      <c r="A411" s="449"/>
    </row>
    <row r="412" spans="1:1">
      <c r="A412" s="449"/>
    </row>
    <row r="413" spans="1:1">
      <c r="A413" s="449"/>
    </row>
    <row r="414" spans="1:1">
      <c r="A414" s="449"/>
    </row>
    <row r="415" spans="1:1">
      <c r="A415" s="449"/>
    </row>
    <row r="416" spans="1:1">
      <c r="A416" s="449"/>
    </row>
    <row r="417" spans="1:1">
      <c r="A417" s="449"/>
    </row>
    <row r="418" spans="1:1">
      <c r="A418" s="449"/>
    </row>
    <row r="419" spans="1:1">
      <c r="A419" s="449"/>
    </row>
    <row r="420" spans="1:1">
      <c r="A420" s="449"/>
    </row>
    <row r="421" spans="1:1">
      <c r="A421" s="449"/>
    </row>
    <row r="422" spans="1:1">
      <c r="A422" s="449"/>
    </row>
    <row r="423" spans="1:1">
      <c r="A423" s="449"/>
    </row>
    <row r="424" spans="1:1">
      <c r="A424" s="449"/>
    </row>
    <row r="425" spans="1:1">
      <c r="A425" s="449"/>
    </row>
    <row r="426" spans="1:1">
      <c r="A426" s="449"/>
    </row>
    <row r="427" spans="1:1">
      <c r="A427" s="449"/>
    </row>
    <row r="428" spans="1:1">
      <c r="A428" s="449"/>
    </row>
    <row r="429" spans="1:1">
      <c r="A429" s="449"/>
    </row>
    <row r="430" spans="1:1">
      <c r="A430" s="449"/>
    </row>
    <row r="431" spans="1:1">
      <c r="A431" s="449"/>
    </row>
    <row r="432" spans="1:1">
      <c r="A432" s="449"/>
    </row>
    <row r="433" spans="1:1">
      <c r="A433" s="449"/>
    </row>
    <row r="434" spans="1:1">
      <c r="A434" s="449"/>
    </row>
    <row r="435" spans="1:1">
      <c r="A435" s="449"/>
    </row>
    <row r="436" spans="1:1">
      <c r="A436" s="449"/>
    </row>
    <row r="437" spans="1:1">
      <c r="A437" s="449"/>
    </row>
    <row r="438" spans="1:1">
      <c r="A438" s="449"/>
    </row>
    <row r="439" spans="1:1">
      <c r="A439" s="449"/>
    </row>
    <row r="440" spans="1:1">
      <c r="A440" s="449"/>
    </row>
    <row r="441" spans="1:1">
      <c r="A441" s="449"/>
    </row>
    <row r="442" spans="1:1">
      <c r="A442" s="449"/>
    </row>
    <row r="443" spans="1:1">
      <c r="A443" s="449"/>
    </row>
    <row r="444" spans="1:1">
      <c r="A444" s="449"/>
    </row>
    <row r="445" spans="1:1">
      <c r="A445" s="449"/>
    </row>
    <row r="446" spans="1:1">
      <c r="A446" s="449"/>
    </row>
    <row r="447" spans="1:1">
      <c r="A447" s="449"/>
    </row>
    <row r="448" spans="1:1">
      <c r="A448" s="449"/>
    </row>
    <row r="449" spans="1:1">
      <c r="A449" s="449"/>
    </row>
    <row r="450" spans="1:1">
      <c r="A450" s="449"/>
    </row>
    <row r="451" spans="1:1">
      <c r="A451" s="449"/>
    </row>
    <row r="452" spans="1:1">
      <c r="A452" s="449"/>
    </row>
    <row r="453" spans="1:1">
      <c r="A453" s="449"/>
    </row>
    <row r="454" spans="1:1">
      <c r="A454" s="449"/>
    </row>
    <row r="455" spans="1:1">
      <c r="A455" s="449"/>
    </row>
    <row r="456" spans="1:1">
      <c r="A456" s="449"/>
    </row>
    <row r="457" spans="1:1">
      <c r="A457" s="449"/>
    </row>
    <row r="458" spans="1:1">
      <c r="A458" s="449"/>
    </row>
    <row r="459" spans="1:1">
      <c r="A459" s="449"/>
    </row>
    <row r="460" spans="1:1">
      <c r="A460" s="449"/>
    </row>
    <row r="461" spans="1:1">
      <c r="A461" s="449"/>
    </row>
    <row r="462" spans="1:1">
      <c r="A462" s="449"/>
    </row>
    <row r="463" spans="1:1">
      <c r="A463" s="449"/>
    </row>
    <row r="464" spans="1:1">
      <c r="A464" s="449"/>
    </row>
    <row r="465" spans="1:1">
      <c r="A465" s="449"/>
    </row>
    <row r="466" spans="1:1">
      <c r="A466" s="449"/>
    </row>
    <row r="467" spans="1:1">
      <c r="A467" s="449"/>
    </row>
    <row r="468" spans="1:1">
      <c r="A468" s="449"/>
    </row>
    <row r="469" spans="1:1">
      <c r="A469" s="449"/>
    </row>
    <row r="470" spans="1:1">
      <c r="A470" s="449"/>
    </row>
    <row r="471" spans="1:1">
      <c r="A471" s="449"/>
    </row>
    <row r="472" spans="1:1">
      <c r="A472" s="449"/>
    </row>
    <row r="473" spans="1:1">
      <c r="A473" s="449"/>
    </row>
    <row r="474" spans="1:1">
      <c r="A474" s="449"/>
    </row>
    <row r="475" spans="1:1">
      <c r="A475" s="449"/>
    </row>
    <row r="476" spans="1:1">
      <c r="A476" s="449"/>
    </row>
    <row r="477" spans="1:1">
      <c r="A477" s="449"/>
    </row>
    <row r="478" spans="1:1">
      <c r="A478" s="449"/>
    </row>
    <row r="479" spans="1:1">
      <c r="A479" s="449"/>
    </row>
    <row r="480" spans="1:1">
      <c r="A480" s="449"/>
    </row>
    <row r="481" spans="1:1">
      <c r="A481" s="449"/>
    </row>
    <row r="482" spans="1:1">
      <c r="A482" s="449"/>
    </row>
    <row r="483" spans="1:1">
      <c r="A483" s="449"/>
    </row>
    <row r="484" spans="1:1">
      <c r="A484" s="449"/>
    </row>
    <row r="485" spans="1:1">
      <c r="A485" s="449"/>
    </row>
    <row r="486" spans="1:1">
      <c r="A486" s="449"/>
    </row>
    <row r="487" spans="1:1">
      <c r="A487" s="449"/>
    </row>
    <row r="488" spans="1:1">
      <c r="A488" s="449"/>
    </row>
    <row r="489" spans="1:1">
      <c r="A489" s="449"/>
    </row>
    <row r="490" spans="1:1">
      <c r="A490" s="449"/>
    </row>
    <row r="491" spans="1:1">
      <c r="A491" s="449"/>
    </row>
    <row r="492" spans="1:1">
      <c r="A492" s="449"/>
    </row>
    <row r="493" spans="1:1">
      <c r="A493" s="449"/>
    </row>
    <row r="494" spans="1:1">
      <c r="A494" s="449"/>
    </row>
    <row r="495" spans="1:1">
      <c r="A495" s="449"/>
    </row>
    <row r="496" spans="1:1">
      <c r="A496" s="449"/>
    </row>
    <row r="497" spans="1:1">
      <c r="A497" s="449"/>
    </row>
    <row r="498" spans="1:1">
      <c r="A498" s="449"/>
    </row>
    <row r="499" spans="1:1">
      <c r="A499" s="449"/>
    </row>
    <row r="500" spans="1:1">
      <c r="A500" s="449"/>
    </row>
    <row r="501" spans="1:1">
      <c r="A501" s="449"/>
    </row>
    <row r="502" spans="1:1">
      <c r="A502" s="449"/>
    </row>
    <row r="503" spans="1:1">
      <c r="A503" s="449"/>
    </row>
    <row r="504" spans="1:1">
      <c r="A504" s="449"/>
    </row>
    <row r="505" spans="1:1">
      <c r="A505" s="449"/>
    </row>
    <row r="506" spans="1:1">
      <c r="A506" s="449"/>
    </row>
    <row r="507" spans="1:1">
      <c r="A507" s="449"/>
    </row>
    <row r="508" spans="1:1">
      <c r="A508" s="449"/>
    </row>
    <row r="509" spans="1:1">
      <c r="A509" s="449"/>
    </row>
    <row r="510" spans="1:1">
      <c r="A510" s="449"/>
    </row>
    <row r="511" spans="1:1">
      <c r="A511" s="449"/>
    </row>
    <row r="512" spans="1:1">
      <c r="A512" s="449"/>
    </row>
    <row r="513" spans="1:1">
      <c r="A513" s="449"/>
    </row>
    <row r="514" spans="1:1">
      <c r="A514" s="449"/>
    </row>
    <row r="515" spans="1:1">
      <c r="A515" s="449"/>
    </row>
    <row r="516" spans="1:1">
      <c r="A516" s="449"/>
    </row>
    <row r="517" spans="1:1">
      <c r="A517" s="449"/>
    </row>
    <row r="518" spans="1:1">
      <c r="A518" s="449"/>
    </row>
    <row r="519" spans="1:1">
      <c r="A519" s="449"/>
    </row>
    <row r="520" spans="1:1">
      <c r="A520" s="449"/>
    </row>
    <row r="521" spans="1:1">
      <c r="A521" s="449"/>
    </row>
    <row r="522" spans="1:1">
      <c r="A522" s="449"/>
    </row>
    <row r="523" spans="1:1">
      <c r="A523" s="449"/>
    </row>
    <row r="524" spans="1:1">
      <c r="A524" s="449"/>
    </row>
    <row r="525" spans="1:1">
      <c r="A525" s="449"/>
    </row>
    <row r="526" spans="1:1">
      <c r="A526" s="449"/>
    </row>
    <row r="527" spans="1:1">
      <c r="A527" s="449"/>
    </row>
    <row r="528" spans="1:1">
      <c r="A528" s="449"/>
    </row>
    <row r="529" spans="1:1">
      <c r="A529" s="449"/>
    </row>
    <row r="530" spans="1:1">
      <c r="A530" s="449"/>
    </row>
    <row r="531" spans="1:1">
      <c r="A531" s="449"/>
    </row>
    <row r="532" spans="1:1">
      <c r="A532" s="449"/>
    </row>
    <row r="533" spans="1:1">
      <c r="A533" s="449"/>
    </row>
    <row r="534" spans="1:1">
      <c r="A534" s="449"/>
    </row>
    <row r="535" spans="1:1">
      <c r="A535" s="449"/>
    </row>
    <row r="536" spans="1:1">
      <c r="A536" s="449"/>
    </row>
    <row r="537" spans="1:1">
      <c r="A537" s="449"/>
    </row>
    <row r="538" spans="1:1">
      <c r="A538" s="449"/>
    </row>
    <row r="539" spans="1:1">
      <c r="A539" s="449"/>
    </row>
    <row r="540" spans="1:1">
      <c r="A540" s="449"/>
    </row>
    <row r="541" spans="1:1">
      <c r="A541" s="449"/>
    </row>
    <row r="542" spans="1:1">
      <c r="A542" s="449"/>
    </row>
    <row r="543" spans="1:1">
      <c r="A543" s="449"/>
    </row>
    <row r="544" spans="1:1">
      <c r="A544" s="449"/>
    </row>
    <row r="545" spans="1:1">
      <c r="A545" s="449"/>
    </row>
    <row r="546" spans="1:1">
      <c r="A546" s="449"/>
    </row>
    <row r="547" spans="1:1">
      <c r="A547" s="449"/>
    </row>
    <row r="548" spans="1:1">
      <c r="A548" s="449"/>
    </row>
    <row r="549" spans="1:1">
      <c r="A549" s="449"/>
    </row>
    <row r="550" spans="1:1">
      <c r="A550" s="449"/>
    </row>
    <row r="551" spans="1:1">
      <c r="A551" s="449"/>
    </row>
    <row r="552" spans="1:1">
      <c r="A552" s="449"/>
    </row>
    <row r="553" spans="1:1">
      <c r="A553" s="449"/>
    </row>
    <row r="554" spans="1:1">
      <c r="A554" s="449"/>
    </row>
    <row r="555" spans="1:1">
      <c r="A555" s="449"/>
    </row>
    <row r="556" spans="1:1">
      <c r="A556" s="449"/>
    </row>
    <row r="557" spans="1:1">
      <c r="A557" s="449"/>
    </row>
    <row r="558" spans="1:1">
      <c r="A558" s="449"/>
    </row>
    <row r="559" spans="1:1">
      <c r="A559" s="449"/>
    </row>
    <row r="560" spans="1:1">
      <c r="A560" s="449"/>
    </row>
    <row r="561" spans="1:1">
      <c r="A561" s="449"/>
    </row>
    <row r="562" spans="1:1">
      <c r="A562" s="449"/>
    </row>
    <row r="563" spans="1:1">
      <c r="A563" s="449"/>
    </row>
    <row r="564" spans="1:1">
      <c r="A564" s="449"/>
    </row>
    <row r="565" spans="1:1">
      <c r="A565" s="449"/>
    </row>
    <row r="566" spans="1:1">
      <c r="A566" s="449"/>
    </row>
    <row r="567" spans="1:1">
      <c r="A567" s="449"/>
    </row>
    <row r="568" spans="1:1">
      <c r="A568" s="449"/>
    </row>
    <row r="569" spans="1:1">
      <c r="A569" s="449"/>
    </row>
    <row r="570" spans="1:1">
      <c r="A570" s="449"/>
    </row>
    <row r="571" spans="1:1">
      <c r="A571" s="449"/>
    </row>
    <row r="572" spans="1:1">
      <c r="A572" s="449"/>
    </row>
    <row r="573" spans="1:1">
      <c r="A573" s="449"/>
    </row>
    <row r="574" spans="1:1">
      <c r="A574" s="449"/>
    </row>
    <row r="575" spans="1:1">
      <c r="A575" s="449"/>
    </row>
    <row r="576" spans="1:1">
      <c r="A576" s="449"/>
    </row>
    <row r="577" spans="1:1">
      <c r="A577" s="449"/>
    </row>
    <row r="578" spans="1:1">
      <c r="A578" s="449"/>
    </row>
    <row r="579" spans="1:1">
      <c r="A579" s="449"/>
    </row>
    <row r="580" spans="1:1">
      <c r="A580" s="449"/>
    </row>
    <row r="581" spans="1:1">
      <c r="A581" s="449"/>
    </row>
    <row r="582" spans="1:1">
      <c r="A582" s="449"/>
    </row>
    <row r="583" spans="1:1">
      <c r="A583" s="449"/>
    </row>
    <row r="584" spans="1:1">
      <c r="A584" s="449"/>
    </row>
    <row r="585" spans="1:1">
      <c r="A585" s="449"/>
    </row>
    <row r="586" spans="1:1">
      <c r="A586" s="449"/>
    </row>
    <row r="587" spans="1:1">
      <c r="A587" s="449"/>
    </row>
    <row r="588" spans="1:1">
      <c r="A588" s="449"/>
    </row>
    <row r="589" spans="1:1">
      <c r="A589" s="449"/>
    </row>
    <row r="590" spans="1:1">
      <c r="A590" s="449"/>
    </row>
    <row r="591" spans="1:1">
      <c r="A591" s="449"/>
    </row>
    <row r="592" spans="1:1">
      <c r="A592" s="449"/>
    </row>
    <row r="593" spans="1:1">
      <c r="A593" s="449"/>
    </row>
    <row r="594" spans="1:1">
      <c r="A594" s="449"/>
    </row>
    <row r="595" spans="1:1">
      <c r="A595" s="449"/>
    </row>
    <row r="596" spans="1:1">
      <c r="A596" s="449"/>
    </row>
    <row r="597" spans="1:1">
      <c r="A597" s="449"/>
    </row>
    <row r="598" spans="1:1">
      <c r="A598" s="449"/>
    </row>
    <row r="599" spans="1:1">
      <c r="A599" s="449"/>
    </row>
    <row r="600" spans="1:1">
      <c r="A600" s="449"/>
    </row>
    <row r="601" spans="1:1">
      <c r="A601" s="449"/>
    </row>
    <row r="602" spans="1:1">
      <c r="A602" s="449"/>
    </row>
    <row r="603" spans="1:1">
      <c r="A603" s="449"/>
    </row>
    <row r="604" spans="1:1">
      <c r="A604" s="449"/>
    </row>
    <row r="605" spans="1:1">
      <c r="A605" s="449"/>
    </row>
    <row r="606" spans="1:1">
      <c r="A606" s="449"/>
    </row>
    <row r="607" spans="1:1">
      <c r="A607" s="449"/>
    </row>
    <row r="608" spans="1:1">
      <c r="A608" s="449"/>
    </row>
    <row r="609" spans="1:1">
      <c r="A609" s="449"/>
    </row>
    <row r="610" spans="1:1">
      <c r="A610" s="449"/>
    </row>
    <row r="611" spans="1:1">
      <c r="A611" s="449"/>
    </row>
    <row r="612" spans="1:1">
      <c r="A612" s="449"/>
    </row>
    <row r="613" spans="1:1">
      <c r="A613" s="449"/>
    </row>
    <row r="614" spans="1:1">
      <c r="A614" s="449"/>
    </row>
    <row r="615" spans="1:1">
      <c r="A615" s="449"/>
    </row>
    <row r="616" spans="1:1">
      <c r="A616" s="449"/>
    </row>
    <row r="617" spans="1:1">
      <c r="A617" s="449"/>
    </row>
    <row r="618" spans="1:1">
      <c r="A618" s="449"/>
    </row>
    <row r="619" spans="1:1">
      <c r="A619" s="449"/>
    </row>
    <row r="620" spans="1:1">
      <c r="A620" s="449"/>
    </row>
    <row r="621" spans="1:1">
      <c r="A621" s="449"/>
    </row>
    <row r="622" spans="1:1">
      <c r="A622" s="449"/>
    </row>
    <row r="623" spans="1:1">
      <c r="A623" s="449"/>
    </row>
    <row r="624" spans="1:1">
      <c r="A624" s="449"/>
    </row>
    <row r="625" spans="1:1">
      <c r="A625" s="449"/>
    </row>
    <row r="626" spans="1:1">
      <c r="A626" s="449"/>
    </row>
    <row r="627" spans="1:1">
      <c r="A627" s="449"/>
    </row>
    <row r="628" spans="1:1">
      <c r="A628" s="449"/>
    </row>
    <row r="629" spans="1:1">
      <c r="A629" s="449"/>
    </row>
    <row r="630" spans="1:1">
      <c r="A630" s="449"/>
    </row>
    <row r="631" spans="1:1">
      <c r="A631" s="449"/>
    </row>
    <row r="632" spans="1:1">
      <c r="A632" s="449"/>
    </row>
    <row r="633" spans="1:1">
      <c r="A633" s="449"/>
    </row>
    <row r="634" spans="1:1">
      <c r="A634" s="449"/>
    </row>
    <row r="635" spans="1:1">
      <c r="A635" s="449"/>
    </row>
    <row r="636" spans="1:1">
      <c r="A636" s="449"/>
    </row>
    <row r="637" spans="1:1">
      <c r="A637" s="449"/>
    </row>
    <row r="638" spans="1:1">
      <c r="A638" s="449"/>
    </row>
    <row r="639" spans="1:1">
      <c r="A639" s="449"/>
    </row>
    <row r="640" spans="1:1">
      <c r="A640" s="449"/>
    </row>
    <row r="641" spans="1:1">
      <c r="A641" s="449"/>
    </row>
    <row r="642" spans="1:1">
      <c r="A642" s="449"/>
    </row>
    <row r="643" spans="1:1">
      <c r="A643" s="449"/>
    </row>
    <row r="644" spans="1:1">
      <c r="A644" s="449"/>
    </row>
    <row r="645" spans="1:1">
      <c r="A645" s="449"/>
    </row>
    <row r="646" spans="1:1">
      <c r="A646" s="449"/>
    </row>
    <row r="647" spans="1:1">
      <c r="A647" s="449"/>
    </row>
    <row r="648" spans="1:1">
      <c r="A648" s="449"/>
    </row>
    <row r="649" spans="1:1">
      <c r="A649" s="449"/>
    </row>
    <row r="650" spans="1:1">
      <c r="A650" s="449"/>
    </row>
    <row r="651" spans="1:1">
      <c r="A651" s="449"/>
    </row>
    <row r="652" spans="1:1">
      <c r="A652" s="449"/>
    </row>
    <row r="653" spans="1:1">
      <c r="A653" s="449"/>
    </row>
    <row r="654" spans="1:1">
      <c r="A654" s="449"/>
    </row>
    <row r="655" spans="1:1">
      <c r="A655" s="449"/>
    </row>
    <row r="656" spans="1:1">
      <c r="A656" s="449"/>
    </row>
    <row r="657" spans="1:1">
      <c r="A657" s="449"/>
    </row>
    <row r="658" spans="1:1">
      <c r="A658" s="449"/>
    </row>
    <row r="659" spans="1:1">
      <c r="A659" s="449"/>
    </row>
    <row r="660" spans="1:1">
      <c r="A660" s="449"/>
    </row>
    <row r="661" spans="1:1">
      <c r="A661" s="449"/>
    </row>
    <row r="662" spans="1:1">
      <c r="A662" s="449"/>
    </row>
    <row r="663" spans="1:1">
      <c r="A663" s="449"/>
    </row>
    <row r="664" spans="1:1">
      <c r="A664" s="449"/>
    </row>
    <row r="665" spans="1:1">
      <c r="A665" s="449"/>
    </row>
    <row r="666" spans="1:1">
      <c r="A666" s="449"/>
    </row>
    <row r="667" spans="1:1">
      <c r="A667" s="449"/>
    </row>
    <row r="668" spans="1:1">
      <c r="A668" s="449"/>
    </row>
    <row r="669" spans="1:1">
      <c r="A669" s="449"/>
    </row>
    <row r="670" spans="1:1">
      <c r="A670" s="449"/>
    </row>
    <row r="671" spans="1:1">
      <c r="A671" s="449"/>
    </row>
    <row r="672" spans="1:1">
      <c r="A672" s="449"/>
    </row>
    <row r="673" spans="1:1">
      <c r="A673" s="449"/>
    </row>
    <row r="674" spans="1:1">
      <c r="A674" s="449"/>
    </row>
    <row r="675" spans="1:1">
      <c r="A675" s="449"/>
    </row>
    <row r="676" spans="1:1">
      <c r="A676" s="449"/>
    </row>
    <row r="677" spans="1:1">
      <c r="A677" s="449"/>
    </row>
    <row r="678" spans="1:1">
      <c r="A678" s="449"/>
    </row>
    <row r="679" spans="1:1">
      <c r="A679" s="449"/>
    </row>
    <row r="680" spans="1:1">
      <c r="A680" s="449"/>
    </row>
    <row r="681" spans="1:1">
      <c r="A681" s="449"/>
    </row>
    <row r="682" spans="1:1">
      <c r="A682" s="449"/>
    </row>
    <row r="683" spans="1:1">
      <c r="A683" s="449"/>
    </row>
    <row r="684" spans="1:1">
      <c r="A684" s="449"/>
    </row>
    <row r="685" spans="1:1">
      <c r="A685" s="449"/>
    </row>
    <row r="686" spans="1:1">
      <c r="A686" s="449"/>
    </row>
    <row r="687" spans="1:1">
      <c r="A687" s="449"/>
    </row>
    <row r="688" spans="1:1">
      <c r="A688" s="449"/>
    </row>
    <row r="689" spans="1:1">
      <c r="A689" s="449"/>
    </row>
    <row r="690" spans="1:1">
      <c r="A690" s="449"/>
    </row>
    <row r="691" spans="1:1">
      <c r="A691" s="449"/>
    </row>
    <row r="692" spans="1:1">
      <c r="A692" s="449"/>
    </row>
    <row r="693" spans="1:1">
      <c r="A693" s="449"/>
    </row>
    <row r="694" spans="1:1">
      <c r="A694" s="449"/>
    </row>
    <row r="695" spans="1:1">
      <c r="A695" s="449"/>
    </row>
    <row r="696" spans="1:1">
      <c r="A696" s="449"/>
    </row>
    <row r="697" spans="1:1">
      <c r="A697" s="449"/>
    </row>
    <row r="698" spans="1:1">
      <c r="A698" s="449"/>
    </row>
    <row r="699" spans="1:1">
      <c r="A699" s="449"/>
    </row>
    <row r="700" spans="1:1">
      <c r="A700" s="449"/>
    </row>
    <row r="701" spans="1:1">
      <c r="A701" s="449"/>
    </row>
    <row r="702" spans="1:1">
      <c r="A702" s="449"/>
    </row>
    <row r="703" spans="1:1">
      <c r="A703" s="449"/>
    </row>
    <row r="704" spans="1:1">
      <c r="A704" s="449"/>
    </row>
    <row r="705" spans="1:1">
      <c r="A705" s="449"/>
    </row>
    <row r="706" spans="1:1">
      <c r="A706" s="449"/>
    </row>
    <row r="707" spans="1:1">
      <c r="A707" s="449"/>
    </row>
    <row r="708" spans="1:1">
      <c r="A708" s="449"/>
    </row>
    <row r="709" spans="1:1">
      <c r="A709" s="449"/>
    </row>
    <row r="710" spans="1:1">
      <c r="A710" s="449"/>
    </row>
    <row r="711" spans="1:1">
      <c r="A711" s="449"/>
    </row>
    <row r="712" spans="1:1">
      <c r="A712" s="449"/>
    </row>
    <row r="713" spans="1:1">
      <c r="A713" s="449"/>
    </row>
    <row r="714" spans="1:1">
      <c r="A714" s="449"/>
    </row>
    <row r="715" spans="1:1">
      <c r="A715" s="449"/>
    </row>
    <row r="716" spans="1:1">
      <c r="A716" s="449"/>
    </row>
    <row r="717" spans="1:1">
      <c r="A717" s="449"/>
    </row>
    <row r="718" spans="1:1">
      <c r="A718" s="449"/>
    </row>
    <row r="719" spans="1:1">
      <c r="A719" s="449"/>
    </row>
    <row r="720" spans="1:1">
      <c r="A720" s="449"/>
    </row>
    <row r="721" spans="1:1">
      <c r="A721" s="449"/>
    </row>
    <row r="722" spans="1:1">
      <c r="A722" s="449"/>
    </row>
    <row r="723" spans="1:1">
      <c r="A723" s="449"/>
    </row>
    <row r="724" spans="1:1">
      <c r="A724" s="449"/>
    </row>
    <row r="725" spans="1:1">
      <c r="A725" s="449"/>
    </row>
    <row r="726" spans="1:1">
      <c r="A726" s="44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2026-10-01T17:17:04Z</dcterms:modified>
</cp:coreProperties>
</file>