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68CBDAF9-93A2-48D6-BE46-1DF580756A56}" xr6:coauthVersionLast="47" xr6:coauthVersionMax="47" xr10:uidLastSave="{00000000-0000-0000-0000-000000000000}"/>
  <bookViews>
    <workbookView xWindow="29580" yWindow="780" windowWidth="26145" windowHeight="1288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_xleta.DAYS" hidden="1" xlm="1">#NAME?</definedName>
    <definedName name="_xleta.INDIRECT" hidden="1" xlm="1">#NAME?</definedName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98" i="1" l="1"/>
  <c r="J2867" i="1"/>
  <c r="I2863" i="1"/>
  <c r="J2837" i="1"/>
  <c r="I2833" i="1"/>
  <c r="J2775" i="1"/>
  <c r="I2771" i="1"/>
  <c r="J2684" i="1"/>
  <c r="I2680" i="1"/>
  <c r="J2653" i="1"/>
  <c r="I2649" i="1"/>
  <c r="J2594" i="1"/>
  <c r="I2590" i="1"/>
  <c r="P2590" i="1"/>
  <c r="J2928" i="1"/>
  <c r="I2924" i="1"/>
  <c r="J2563" i="1"/>
  <c r="J2745" i="1"/>
  <c r="I2741" i="1"/>
  <c r="I2529" i="1"/>
  <c r="I2559" i="1"/>
  <c r="I2564" i="1" s="1"/>
  <c r="L1859" i="1"/>
  <c r="L2" i="1"/>
  <c r="I2468" i="1"/>
  <c r="I2437" i="1"/>
  <c r="I2406" i="1"/>
  <c r="I2376" i="1"/>
  <c r="I2345" i="1"/>
  <c r="I2315" i="1"/>
  <c r="I2284" i="1"/>
  <c r="I2256" i="1"/>
  <c r="I2225" i="1"/>
  <c r="I2194" i="1"/>
  <c r="I2164" i="1"/>
  <c r="I2133" i="1"/>
  <c r="I2103" i="1"/>
  <c r="I2072" i="1"/>
  <c r="I2041" i="1"/>
  <c r="I2011" i="1"/>
  <c r="I1980" i="1"/>
  <c r="I1950" i="1"/>
  <c r="I1919" i="1"/>
  <c r="I1891" i="1"/>
  <c r="I1860" i="1"/>
  <c r="I1829" i="1"/>
  <c r="I1799" i="1"/>
  <c r="I1768" i="1"/>
  <c r="I1738" i="1"/>
  <c r="I1707" i="1"/>
  <c r="I1676" i="1"/>
  <c r="I1646" i="1"/>
  <c r="I1615" i="1"/>
  <c r="I1585" i="1"/>
  <c r="I1554" i="1"/>
  <c r="I1525" i="1"/>
  <c r="I1494" i="1"/>
  <c r="I1463" i="1"/>
  <c r="I1433" i="1"/>
  <c r="I1402" i="1"/>
  <c r="I1372" i="1"/>
  <c r="I1341" i="1"/>
  <c r="I1310" i="1"/>
  <c r="I1280" i="1"/>
  <c r="I1249" i="1"/>
  <c r="I1219" i="1"/>
  <c r="I1188" i="1"/>
  <c r="I1160" i="1"/>
  <c r="I1129" i="1"/>
  <c r="I1098" i="1"/>
  <c r="I1068" i="1"/>
  <c r="I1037" i="1"/>
  <c r="I1007" i="1"/>
  <c r="I976" i="1"/>
  <c r="I945" i="1"/>
  <c r="I915" i="1"/>
  <c r="I884" i="1"/>
  <c r="I854" i="1"/>
  <c r="I823" i="1"/>
  <c r="I795" i="1"/>
  <c r="I764" i="1"/>
  <c r="I733" i="1"/>
  <c r="I703" i="1"/>
  <c r="I672" i="1"/>
  <c r="I642" i="1"/>
  <c r="I611" i="1"/>
  <c r="I580" i="1"/>
  <c r="I550" i="1"/>
  <c r="I519" i="1"/>
  <c r="I489" i="1"/>
  <c r="I458" i="1"/>
  <c r="I430" i="1"/>
  <c r="I399" i="1"/>
  <c r="I368" i="1"/>
  <c r="I338" i="1"/>
  <c r="I307" i="1"/>
  <c r="I277" i="1"/>
  <c r="I246" i="1"/>
  <c r="I215" i="1"/>
  <c r="I185" i="1"/>
  <c r="I154" i="1"/>
  <c r="I124" i="1"/>
  <c r="I93" i="1"/>
  <c r="I64" i="1"/>
  <c r="I33" i="1"/>
  <c r="I2" i="1"/>
  <c r="I2894" i="1"/>
  <c r="I2802" i="1"/>
  <c r="I2710" i="1"/>
  <c r="I2621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A4" i="5"/>
  <c r="A20" i="5"/>
  <c r="J20" i="5" s="1"/>
  <c r="A19" i="5"/>
  <c r="J19" i="5" s="1"/>
  <c r="A18" i="5"/>
  <c r="J18" i="5" s="1"/>
  <c r="A17" i="5"/>
  <c r="J17" i="5" s="1"/>
  <c r="A16" i="5"/>
  <c r="J16" i="5" s="1"/>
  <c r="A15" i="5"/>
  <c r="J15" i="5" s="1"/>
  <c r="A14" i="5"/>
  <c r="J14" i="5" s="1"/>
  <c r="A13" i="5"/>
  <c r="J13" i="5" s="1"/>
  <c r="A12" i="5"/>
  <c r="J12" i="5" s="1"/>
  <c r="A11" i="5"/>
  <c r="J11" i="5" s="1"/>
  <c r="A10" i="5"/>
  <c r="J10" i="5" s="1"/>
  <c r="A9" i="5"/>
  <c r="J9" i="5" s="1"/>
  <c r="A8" i="5"/>
  <c r="A7" i="5"/>
  <c r="A6" i="5"/>
  <c r="A5" i="5"/>
  <c r="A3" i="5"/>
  <c r="H50" i="6"/>
  <c r="I50" i="6" s="1"/>
  <c r="H51" i="6"/>
  <c r="I51" i="6" s="1"/>
  <c r="H52" i="6"/>
  <c r="I52" i="6" s="1"/>
  <c r="G37" i="9"/>
  <c r="G36" i="9"/>
  <c r="G35" i="9"/>
  <c r="G34" i="9"/>
  <c r="G33" i="9"/>
  <c r="G32" i="9"/>
  <c r="G31" i="9"/>
  <c r="G30" i="9"/>
  <c r="H49" i="6"/>
  <c r="H48" i="6"/>
  <c r="I48" i="6" s="1"/>
  <c r="H47" i="6"/>
  <c r="I47" i="6" s="1"/>
  <c r="H46" i="6"/>
  <c r="H45" i="6"/>
  <c r="I45" i="6" s="1"/>
  <c r="H44" i="6"/>
  <c r="I44" i="6" s="1"/>
  <c r="H43" i="6"/>
  <c r="H42" i="6"/>
  <c r="H41" i="6"/>
  <c r="H21" i="6"/>
  <c r="I21" i="6" s="1"/>
  <c r="H22" i="6"/>
  <c r="H23" i="6"/>
  <c r="H24" i="6"/>
  <c r="H25" i="6"/>
  <c r="H26" i="6"/>
  <c r="H27" i="6"/>
  <c r="H28" i="6"/>
  <c r="H29" i="6"/>
  <c r="H30" i="6"/>
  <c r="H31" i="6"/>
  <c r="H32" i="6"/>
  <c r="H33" i="6"/>
  <c r="H6" i="6"/>
  <c r="H7" i="6"/>
  <c r="H8" i="6"/>
  <c r="H9" i="6"/>
  <c r="H10" i="6"/>
  <c r="H11" i="6"/>
  <c r="H12" i="6"/>
  <c r="H13" i="6"/>
  <c r="H14" i="6"/>
  <c r="H15" i="6"/>
  <c r="H16" i="6"/>
  <c r="H17" i="6"/>
  <c r="U2" i="5"/>
  <c r="U1" i="5"/>
  <c r="P1" i="5"/>
  <c r="J2503" i="1" l="1"/>
  <c r="I2503" i="1"/>
  <c r="J2863" i="1"/>
  <c r="I2868" i="1"/>
  <c r="J2833" i="1"/>
  <c r="I2838" i="1"/>
  <c r="I2776" i="1"/>
  <c r="J2771" i="1"/>
  <c r="I2685" i="1"/>
  <c r="J2680" i="1"/>
  <c r="I2654" i="1"/>
  <c r="J2649" i="1"/>
  <c r="J2590" i="1"/>
  <c r="I2595" i="1"/>
  <c r="I2929" i="1"/>
  <c r="J2924" i="1"/>
  <c r="I2746" i="1"/>
  <c r="J2741" i="1"/>
  <c r="J2529" i="1"/>
  <c r="J2559" i="1"/>
  <c r="J2564" i="1" s="1"/>
  <c r="J2468" i="1"/>
  <c r="J2437" i="1"/>
  <c r="J2406" i="1"/>
  <c r="J2376" i="1"/>
  <c r="J2345" i="1"/>
  <c r="J2315" i="1"/>
  <c r="J2284" i="1"/>
  <c r="J2256" i="1"/>
  <c r="J2225" i="1"/>
  <c r="J2194" i="1"/>
  <c r="J2164" i="1"/>
  <c r="J2133" i="1"/>
  <c r="J2103" i="1"/>
  <c r="J2072" i="1"/>
  <c r="J2041" i="1"/>
  <c r="J2011" i="1"/>
  <c r="J1980" i="1"/>
  <c r="J1950" i="1"/>
  <c r="J1919" i="1"/>
  <c r="J1891" i="1"/>
  <c r="J1860" i="1"/>
  <c r="J1829" i="1"/>
  <c r="J1799" i="1"/>
  <c r="J1768" i="1"/>
  <c r="J1738" i="1"/>
  <c r="J1707" i="1"/>
  <c r="J1676" i="1"/>
  <c r="J1646" i="1"/>
  <c r="J1615" i="1"/>
  <c r="J1585" i="1"/>
  <c r="J1554" i="1"/>
  <c r="J1525" i="1"/>
  <c r="J1494" i="1"/>
  <c r="J1463" i="1"/>
  <c r="J1433" i="1"/>
  <c r="J1402" i="1"/>
  <c r="J1372" i="1"/>
  <c r="J1341" i="1"/>
  <c r="J1310" i="1"/>
  <c r="J1280" i="1"/>
  <c r="J1249" i="1"/>
  <c r="J1219" i="1"/>
  <c r="J1188" i="1"/>
  <c r="J1160" i="1"/>
  <c r="J1129" i="1"/>
  <c r="J1098" i="1"/>
  <c r="J1068" i="1"/>
  <c r="J1037" i="1"/>
  <c r="J1007" i="1"/>
  <c r="J976" i="1"/>
  <c r="J945" i="1"/>
  <c r="J915" i="1"/>
  <c r="J884" i="1"/>
  <c r="J854" i="1"/>
  <c r="J823" i="1"/>
  <c r="J795" i="1"/>
  <c r="J764" i="1"/>
  <c r="J733" i="1"/>
  <c r="J703" i="1"/>
  <c r="J672" i="1"/>
  <c r="J642" i="1"/>
  <c r="J611" i="1"/>
  <c r="J580" i="1"/>
  <c r="J550" i="1"/>
  <c r="J519" i="1"/>
  <c r="J489" i="1"/>
  <c r="J458" i="1"/>
  <c r="J430" i="1"/>
  <c r="J399" i="1"/>
  <c r="J368" i="1"/>
  <c r="J338" i="1"/>
  <c r="J307" i="1"/>
  <c r="J277" i="1"/>
  <c r="J246" i="1"/>
  <c r="J215" i="1"/>
  <c r="J185" i="1"/>
  <c r="J154" i="1"/>
  <c r="J124" i="1"/>
  <c r="J93" i="1"/>
  <c r="J64" i="1"/>
  <c r="J33" i="1"/>
  <c r="J2" i="1"/>
  <c r="J2894" i="1"/>
  <c r="J2802" i="1"/>
  <c r="J2710" i="1"/>
  <c r="J2621" i="1"/>
  <c r="I49" i="6"/>
  <c r="H17" i="5"/>
  <c r="I17" i="5" s="1"/>
  <c r="I46" i="6"/>
  <c r="H14" i="5"/>
  <c r="I14" i="5" s="1"/>
  <c r="I43" i="6"/>
  <c r="H11" i="5"/>
  <c r="I11" i="5" s="1"/>
  <c r="I42" i="6"/>
  <c r="H10" i="5"/>
  <c r="I10" i="5" s="1"/>
  <c r="I41" i="6"/>
  <c r="H9" i="5"/>
  <c r="I9" i="5" s="1"/>
  <c r="I22" i="6"/>
  <c r="E9" i="5"/>
  <c r="I23" i="6"/>
  <c r="E10" i="5"/>
  <c r="F10" i="5" s="1"/>
  <c r="J2631" i="1" s="1"/>
  <c r="I24" i="6"/>
  <c r="E11" i="5"/>
  <c r="I25" i="6"/>
  <c r="E12" i="5"/>
  <c r="I26" i="6"/>
  <c r="E13" i="5"/>
  <c r="I27" i="6"/>
  <c r="E14" i="5"/>
  <c r="I28" i="6"/>
  <c r="E15" i="5"/>
  <c r="F15" i="5" s="1"/>
  <c r="J2785" i="1" s="1"/>
  <c r="I29" i="6"/>
  <c r="E16" i="5"/>
  <c r="I30" i="6"/>
  <c r="E17" i="5"/>
  <c r="I31" i="6"/>
  <c r="E18" i="5"/>
  <c r="I32" i="6"/>
  <c r="E19" i="5"/>
  <c r="I33" i="6"/>
  <c r="E20" i="5"/>
  <c r="I6" i="6"/>
  <c r="B9" i="5"/>
  <c r="C9" i="5" s="1"/>
  <c r="I2604" i="1" s="1"/>
  <c r="I7" i="6"/>
  <c r="B10" i="5"/>
  <c r="I8" i="6"/>
  <c r="B11" i="5"/>
  <c r="C11" i="5" s="1"/>
  <c r="I2663" i="1" s="1"/>
  <c r="I9" i="6"/>
  <c r="B12" i="5"/>
  <c r="C12" i="5" s="1"/>
  <c r="I2694" i="1" s="1"/>
  <c r="I10" i="6"/>
  <c r="B13" i="5"/>
  <c r="C13" i="5" s="1"/>
  <c r="I2720" i="1" s="1"/>
  <c r="I11" i="6"/>
  <c r="B14" i="5"/>
  <c r="C14" i="5" s="1"/>
  <c r="I2755" i="1" s="1"/>
  <c r="I12" i="6"/>
  <c r="B15" i="5"/>
  <c r="C15" i="5" s="1"/>
  <c r="I2785" i="1" s="1"/>
  <c r="I13" i="6"/>
  <c r="B16" i="5"/>
  <c r="C16" i="5" s="1"/>
  <c r="I2812" i="1" s="1"/>
  <c r="I14" i="6"/>
  <c r="B17" i="5"/>
  <c r="C17" i="5" s="1"/>
  <c r="I2847" i="1" s="1"/>
  <c r="I15" i="6"/>
  <c r="B18" i="5"/>
  <c r="C18" i="5" s="1"/>
  <c r="I2877" i="1" s="1"/>
  <c r="I16" i="6"/>
  <c r="B19" i="5"/>
  <c r="C19" i="5" s="1"/>
  <c r="I2904" i="1" s="1"/>
  <c r="I17" i="6"/>
  <c r="B20" i="5"/>
  <c r="C20" i="5" s="1"/>
  <c r="I2938" i="1" s="1"/>
  <c r="G41" i="9"/>
  <c r="J2868" i="1" l="1"/>
  <c r="I2874" i="1"/>
  <c r="I2881" i="1"/>
  <c r="J2838" i="1"/>
  <c r="J2776" i="1"/>
  <c r="I2691" i="1"/>
  <c r="I2698" i="1"/>
  <c r="J2685" i="1"/>
  <c r="J2654" i="1"/>
  <c r="J2595" i="1"/>
  <c r="J2929" i="1"/>
  <c r="J2746" i="1"/>
  <c r="D15" i="5"/>
  <c r="F20" i="5"/>
  <c r="J2938" i="1" s="1"/>
  <c r="D20" i="5"/>
  <c r="D10" i="5"/>
  <c r="C10" i="5"/>
  <c r="I2631" i="1" s="1"/>
  <c r="F9" i="5"/>
  <c r="J2604" i="1" s="1"/>
  <c r="D9" i="5"/>
  <c r="F11" i="5"/>
  <c r="J2663" i="1" s="1"/>
  <c r="D11" i="5"/>
  <c r="F12" i="5"/>
  <c r="J2694" i="1" s="1"/>
  <c r="D12" i="5"/>
  <c r="F13" i="5"/>
  <c r="J2720" i="1" s="1"/>
  <c r="D13" i="5"/>
  <c r="F14" i="5"/>
  <c r="J2755" i="1" s="1"/>
  <c r="D14" i="5"/>
  <c r="F16" i="5"/>
  <c r="J2812" i="1" s="1"/>
  <c r="D16" i="5"/>
  <c r="F17" i="5"/>
  <c r="J2847" i="1" s="1"/>
  <c r="D17" i="5"/>
  <c r="F18" i="5"/>
  <c r="J2877" i="1" s="1"/>
  <c r="D18" i="5"/>
  <c r="F19" i="5"/>
  <c r="J2904" i="1" s="1"/>
  <c r="D19" i="5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40" i="9"/>
  <c r="G38" i="9"/>
  <c r="J2874" i="1" l="1"/>
  <c r="J2881" i="1"/>
  <c r="J2691" i="1"/>
  <c r="J2698" i="1"/>
  <c r="G6" i="9"/>
  <c r="G15" i="9"/>
  <c r="G14" i="9"/>
  <c r="G13" i="9"/>
  <c r="G12" i="9"/>
  <c r="G11" i="9"/>
  <c r="G10" i="9"/>
  <c r="G9" i="9"/>
  <c r="G8" i="9"/>
  <c r="G7" i="9"/>
  <c r="G42" i="9"/>
  <c r="I42" i="9" s="1"/>
  <c r="I41" i="9"/>
  <c r="I40" i="9"/>
  <c r="G39" i="9"/>
  <c r="I39" i="9" s="1"/>
  <c r="I38" i="9"/>
  <c r="I37" i="9"/>
  <c r="A37" i="9"/>
  <c r="I36" i="9"/>
  <c r="I35" i="9"/>
  <c r="I34" i="9"/>
  <c r="I31" i="9"/>
  <c r="I32" i="9" l="1"/>
  <c r="I33" i="9"/>
  <c r="J3" i="5" l="1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J2507" i="1" s="1"/>
  <c r="H20" i="6"/>
  <c r="E7" i="5" s="1"/>
  <c r="F7" i="5" s="1"/>
  <c r="J2539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I2539" i="1" s="1"/>
  <c r="D6" i="5"/>
  <c r="C6" i="5"/>
  <c r="I2507" i="1" s="1"/>
  <c r="I18" i="6"/>
  <c r="B8" i="5"/>
  <c r="E8" i="5"/>
  <c r="F8" i="5" s="1"/>
  <c r="J2573" i="1" s="1"/>
  <c r="I39" i="6"/>
  <c r="I35" i="6"/>
  <c r="I3" i="6"/>
  <c r="I19" i="6"/>
  <c r="I2" i="6"/>
  <c r="I36" i="6"/>
  <c r="I4" i="6"/>
  <c r="I20" i="6"/>
  <c r="I38" i="6"/>
  <c r="I34" i="6"/>
  <c r="I37" i="6"/>
  <c r="H5" i="5"/>
  <c r="I5" i="5" s="1"/>
  <c r="C39" i="9" l="1"/>
  <c r="B39" i="9"/>
  <c r="R6" i="5"/>
  <c r="C8" i="5"/>
  <c r="I2573" i="1" s="1"/>
  <c r="D8" i="5"/>
  <c r="G20" i="9" l="1"/>
  <c r="G25" i="9"/>
  <c r="I30" i="9" l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G29" i="9" l="1"/>
  <c r="I29" i="9" s="1"/>
  <c r="I27" i="9"/>
  <c r="I23" i="9"/>
  <c r="I20" i="9"/>
  <c r="I24" i="9"/>
  <c r="I28" i="9"/>
  <c r="I26" i="9" l="1"/>
  <c r="I14" i="9" l="1"/>
  <c r="B24" i="9" l="1"/>
  <c r="C7" i="7"/>
  <c r="I13" i="9" l="1"/>
  <c r="I18" i="9" l="1"/>
  <c r="I11" i="9"/>
  <c r="I9" i="9"/>
  <c r="I15" i="9"/>
  <c r="I12" i="9"/>
  <c r="I8" i="9"/>
  <c r="A2" i="5"/>
  <c r="A1" i="5"/>
  <c r="J4" i="5" l="1"/>
  <c r="A38" i="9"/>
  <c r="AB1440" i="1"/>
  <c r="AD1440" i="1" s="1"/>
  <c r="J5" i="5" l="1"/>
  <c r="A39" i="9"/>
  <c r="C1860" i="1"/>
  <c r="L1860" i="1" s="1"/>
  <c r="D1859" i="1"/>
  <c r="M1859" i="1" s="1"/>
  <c r="I6" i="9"/>
  <c r="I5" i="9"/>
  <c r="P1011" i="1"/>
  <c r="P1008" i="1"/>
  <c r="P948" i="1"/>
  <c r="P945" i="1"/>
  <c r="P934" i="1"/>
  <c r="P931" i="1"/>
  <c r="P913" i="1"/>
  <c r="P910" i="1"/>
  <c r="P868" i="1"/>
  <c r="P867" i="1"/>
  <c r="P815" i="1"/>
  <c r="P812" i="1"/>
  <c r="P780" i="1"/>
  <c r="P777" i="1"/>
  <c r="P756" i="1"/>
  <c r="P755" i="1"/>
  <c r="P727" i="1"/>
  <c r="P726" i="1"/>
  <c r="P713" i="1"/>
  <c r="P712" i="1"/>
  <c r="P682" i="1"/>
  <c r="P679" i="1"/>
  <c r="P647" i="1"/>
  <c r="P644" i="1"/>
  <c r="P584" i="1"/>
  <c r="P581" i="1"/>
  <c r="P549" i="1"/>
  <c r="P546" i="1"/>
  <c r="P490" i="1"/>
  <c r="P489" i="1"/>
  <c r="P444" i="1"/>
  <c r="P441" i="1"/>
  <c r="P416" i="1"/>
  <c r="P413" i="1"/>
  <c r="P392" i="1"/>
  <c r="P391" i="1"/>
  <c r="C1861" i="1" l="1"/>
  <c r="J6" i="5"/>
  <c r="A40" i="9"/>
  <c r="D1860" i="1"/>
  <c r="M1860" i="1" s="1"/>
  <c r="I10" i="9"/>
  <c r="I7" i="9"/>
  <c r="I4" i="9"/>
  <c r="I3" i="9"/>
  <c r="L1861" i="1" l="1"/>
  <c r="D1861" i="1"/>
  <c r="M1861" i="1" s="1"/>
  <c r="O1861" i="1"/>
  <c r="C1862" i="1"/>
  <c r="J7" i="5"/>
  <c r="A41" i="9"/>
  <c r="J6" i="4"/>
  <c r="J7" i="4" s="1"/>
  <c r="J8" i="4" s="1"/>
  <c r="J9" i="4" s="1"/>
  <c r="J10" i="4" s="1"/>
  <c r="L1862" i="1" l="1"/>
  <c r="C1863" i="1"/>
  <c r="D1862" i="1"/>
  <c r="M1862" i="1" s="1"/>
  <c r="O1862" i="1"/>
  <c r="I1861" i="1"/>
  <c r="J8" i="5"/>
  <c r="A42" i="9"/>
  <c r="J11" i="4"/>
  <c r="J12" i="4" s="1"/>
  <c r="J13" i="4" s="1"/>
  <c r="H40" i="6"/>
  <c r="H8" i="5" s="1"/>
  <c r="O1863" i="1" l="1"/>
  <c r="L1863" i="1"/>
  <c r="C1864" i="1"/>
  <c r="D1863" i="1"/>
  <c r="M1863" i="1" s="1"/>
  <c r="I1862" i="1"/>
  <c r="J1861" i="1"/>
  <c r="J14" i="4"/>
  <c r="J15" i="4" s="1"/>
  <c r="I8" i="5"/>
  <c r="C42" i="9" s="1"/>
  <c r="B42" i="9"/>
  <c r="I40" i="6"/>
  <c r="O1864" i="1" l="1"/>
  <c r="L1864" i="1"/>
  <c r="C1865" i="1"/>
  <c r="D1864" i="1"/>
  <c r="M1864" i="1" s="1"/>
  <c r="J1862" i="1"/>
  <c r="J1864" i="1" s="1"/>
  <c r="J1866" i="1" s="1"/>
  <c r="J1868" i="1" s="1"/>
  <c r="I1864" i="1"/>
  <c r="I1866" i="1" s="1"/>
  <c r="I1868" i="1" s="1"/>
  <c r="J16" i="4"/>
  <c r="I3" i="1"/>
  <c r="O1865" i="1" l="1"/>
  <c r="L1865" i="1"/>
  <c r="C1866" i="1"/>
  <c r="D1865" i="1"/>
  <c r="M1865" i="1" s="1"/>
  <c r="I4" i="1"/>
  <c r="J3" i="1"/>
  <c r="L1866" i="1" l="1"/>
  <c r="O1866" i="1"/>
  <c r="C1867" i="1"/>
  <c r="D1866" i="1"/>
  <c r="M1866" i="1" s="1"/>
  <c r="I6" i="1"/>
  <c r="I8" i="1" s="1"/>
  <c r="J4" i="1"/>
  <c r="J6" i="1" s="1"/>
  <c r="J8" i="1" s="1"/>
  <c r="D1867" i="1" l="1"/>
  <c r="M1867" i="1" s="1"/>
  <c r="O1867" i="1"/>
  <c r="L1867" i="1"/>
  <c r="C1868" i="1"/>
  <c r="C2" i="7"/>
  <c r="B8" i="7"/>
  <c r="O1868" i="1" l="1"/>
  <c r="D1868" i="1"/>
  <c r="M1868" i="1" s="1"/>
  <c r="L1868" i="1"/>
  <c r="C1869" i="1"/>
  <c r="O1869" i="1" s="1"/>
  <c r="D1869" i="1" l="1"/>
  <c r="M1869" i="1" s="1"/>
  <c r="L1869" i="1"/>
  <c r="C1870" i="1"/>
  <c r="D2" i="1"/>
  <c r="M2" i="1" s="1"/>
  <c r="C3" i="1"/>
  <c r="L3" i="1" s="1"/>
  <c r="L1870" i="1" l="1"/>
  <c r="O1870" i="1"/>
  <c r="C1871" i="1"/>
  <c r="O1871" i="1" s="1"/>
  <c r="D1870" i="1"/>
  <c r="M1870" i="1" s="1"/>
  <c r="D3" i="1"/>
  <c r="M3" i="1" s="1"/>
  <c r="C4" i="1"/>
  <c r="L4" i="1" s="1"/>
  <c r="L1871" i="1" l="1"/>
  <c r="C1872" i="1"/>
  <c r="D1871" i="1"/>
  <c r="M1871" i="1" s="1"/>
  <c r="C5" i="1"/>
  <c r="L5" i="1" s="1"/>
  <c r="D4" i="1"/>
  <c r="M4" i="1" s="1"/>
  <c r="O1872" i="1" l="1"/>
  <c r="L1872" i="1"/>
  <c r="C1873" i="1"/>
  <c r="D1872" i="1"/>
  <c r="M1872" i="1" s="1"/>
  <c r="C6" i="1"/>
  <c r="L6" i="1" s="1"/>
  <c r="D5" i="1"/>
  <c r="M5" i="1" s="1"/>
  <c r="O1873" i="1" l="1"/>
  <c r="L1873" i="1"/>
  <c r="C1874" i="1"/>
  <c r="D1873" i="1"/>
  <c r="M1873" i="1" s="1"/>
  <c r="D6" i="1"/>
  <c r="M6" i="1" s="1"/>
  <c r="C7" i="1"/>
  <c r="L7" i="1" s="1"/>
  <c r="D1874" i="1" l="1"/>
  <c r="M1874" i="1" s="1"/>
  <c r="O1874" i="1"/>
  <c r="L1874" i="1"/>
  <c r="C1875" i="1"/>
  <c r="C8" i="1"/>
  <c r="L8" i="1" s="1"/>
  <c r="D7" i="1"/>
  <c r="M7" i="1" s="1"/>
  <c r="L1875" i="1" l="1"/>
  <c r="O1875" i="1"/>
  <c r="C1876" i="1"/>
  <c r="C1877" i="1" s="1"/>
  <c r="D1875" i="1"/>
  <c r="M1875" i="1" s="1"/>
  <c r="C9" i="1"/>
  <c r="L9" i="1" s="1"/>
  <c r="D8" i="1"/>
  <c r="M8" i="1" s="1"/>
  <c r="L1876" i="1" l="1"/>
  <c r="D1876" i="1"/>
  <c r="M1876" i="1" s="1"/>
  <c r="O1877" i="1"/>
  <c r="L1877" i="1"/>
  <c r="C1878" i="1"/>
  <c r="D1877" i="1"/>
  <c r="M1877" i="1" s="1"/>
  <c r="C10" i="1"/>
  <c r="L10" i="1" s="1"/>
  <c r="D9" i="1"/>
  <c r="M9" i="1" s="1"/>
  <c r="O1878" i="1" l="1"/>
  <c r="L1878" i="1"/>
  <c r="C1879" i="1"/>
  <c r="L1879" i="1" s="1"/>
  <c r="D1878" i="1"/>
  <c r="M1878" i="1" s="1"/>
  <c r="C11" i="1"/>
  <c r="L11" i="1" s="1"/>
  <c r="D10" i="1"/>
  <c r="M10" i="1" s="1"/>
  <c r="C1880" i="1" l="1"/>
  <c r="D1879" i="1"/>
  <c r="M1879" i="1" s="1"/>
  <c r="C12" i="1"/>
  <c r="L12" i="1" s="1"/>
  <c r="D11" i="1"/>
  <c r="M11" i="1" s="1"/>
  <c r="O1880" i="1" l="1"/>
  <c r="L1880" i="1"/>
  <c r="C1881" i="1"/>
  <c r="D1880" i="1"/>
  <c r="M1880" i="1" s="1"/>
  <c r="C13" i="1"/>
  <c r="L13" i="1" s="1"/>
  <c r="D12" i="1"/>
  <c r="M12" i="1" s="1"/>
  <c r="O1881" i="1" l="1"/>
  <c r="L1881" i="1"/>
  <c r="C1882" i="1"/>
  <c r="D1881" i="1"/>
  <c r="M1881" i="1" s="1"/>
  <c r="C14" i="1"/>
  <c r="L14" i="1" s="1"/>
  <c r="D13" i="1"/>
  <c r="M13" i="1" s="1"/>
  <c r="O1882" i="1" l="1"/>
  <c r="L1882" i="1"/>
  <c r="C1883" i="1"/>
  <c r="D1882" i="1"/>
  <c r="M1882" i="1" s="1"/>
  <c r="C15" i="1"/>
  <c r="L15" i="1" s="1"/>
  <c r="D14" i="1"/>
  <c r="M14" i="1" s="1"/>
  <c r="O1883" i="1" l="1"/>
  <c r="L1883" i="1"/>
  <c r="C1884" i="1"/>
  <c r="D1883" i="1"/>
  <c r="M1883" i="1" s="1"/>
  <c r="C16" i="1"/>
  <c r="L16" i="1" s="1"/>
  <c r="D15" i="1"/>
  <c r="M15" i="1" s="1"/>
  <c r="O1884" i="1" l="1"/>
  <c r="L1884" i="1"/>
  <c r="C1885" i="1"/>
  <c r="D1884" i="1"/>
  <c r="M1884" i="1" s="1"/>
  <c r="C17" i="1"/>
  <c r="L17" i="1" s="1"/>
  <c r="D16" i="1"/>
  <c r="M16" i="1" s="1"/>
  <c r="O1885" i="1" l="1"/>
  <c r="L1885" i="1"/>
  <c r="C1886" i="1"/>
  <c r="D1885" i="1"/>
  <c r="M1885" i="1" s="1"/>
  <c r="C18" i="1"/>
  <c r="L18" i="1" s="1"/>
  <c r="D17" i="1"/>
  <c r="M17" i="1" s="1"/>
  <c r="O1886" i="1" l="1"/>
  <c r="L1886" i="1"/>
  <c r="C1887" i="1"/>
  <c r="D1886" i="1"/>
  <c r="M1886" i="1" s="1"/>
  <c r="C19" i="1"/>
  <c r="L19" i="1" s="1"/>
  <c r="D18" i="1"/>
  <c r="M18" i="1" s="1"/>
  <c r="O1887" i="1" l="1"/>
  <c r="L1887" i="1"/>
  <c r="C1888" i="1"/>
  <c r="D1887" i="1"/>
  <c r="M1887" i="1" s="1"/>
  <c r="O19" i="1"/>
  <c r="P19" i="1" s="1"/>
  <c r="C20" i="1"/>
  <c r="L20" i="1" s="1"/>
  <c r="D19" i="1"/>
  <c r="M19" i="1" s="1"/>
  <c r="O1888" i="1" l="1"/>
  <c r="L1888" i="1"/>
  <c r="C1889" i="1"/>
  <c r="D1888" i="1"/>
  <c r="M1888" i="1" s="1"/>
  <c r="O20" i="1"/>
  <c r="P20" i="1" s="1"/>
  <c r="C21" i="1"/>
  <c r="L21" i="1" s="1"/>
  <c r="D20" i="1"/>
  <c r="M20" i="1" s="1"/>
  <c r="O1889" i="1" l="1"/>
  <c r="L1889" i="1"/>
  <c r="C1890" i="1"/>
  <c r="D1889" i="1"/>
  <c r="M1889" i="1" s="1"/>
  <c r="O21" i="1"/>
  <c r="P21" i="1" s="1"/>
  <c r="C22" i="1"/>
  <c r="L22" i="1" s="1"/>
  <c r="D21" i="1"/>
  <c r="M21" i="1" s="1"/>
  <c r="O1890" i="1" l="1"/>
  <c r="L1890" i="1"/>
  <c r="C1891" i="1"/>
  <c r="D1890" i="1"/>
  <c r="M1890" i="1" s="1"/>
  <c r="O22" i="1"/>
  <c r="P22" i="1" s="1"/>
  <c r="C23" i="1"/>
  <c r="L23" i="1" s="1"/>
  <c r="D22" i="1"/>
  <c r="M22" i="1" s="1"/>
  <c r="I1892" i="1" l="1"/>
  <c r="L1891" i="1"/>
  <c r="O1891" i="1"/>
  <c r="C1892" i="1"/>
  <c r="D1891" i="1"/>
  <c r="M1891" i="1" s="1"/>
  <c r="O23" i="1"/>
  <c r="P23" i="1" s="1"/>
  <c r="C24" i="1"/>
  <c r="L24" i="1" s="1"/>
  <c r="D23" i="1"/>
  <c r="M23" i="1" s="1"/>
  <c r="J1892" i="1" l="1"/>
  <c r="I1893" i="1"/>
  <c r="O1892" i="1"/>
  <c r="L1892" i="1"/>
  <c r="C1893" i="1"/>
  <c r="D1892" i="1"/>
  <c r="M1892" i="1" s="1"/>
  <c r="O24" i="1"/>
  <c r="P24" i="1" s="1"/>
  <c r="C25" i="1"/>
  <c r="L25" i="1" s="1"/>
  <c r="D24" i="1"/>
  <c r="M24" i="1" s="1"/>
  <c r="I1895" i="1" l="1"/>
  <c r="I1897" i="1" s="1"/>
  <c r="I1899" i="1" s="1"/>
  <c r="J1893" i="1"/>
  <c r="J1895" i="1" s="1"/>
  <c r="J1897" i="1" s="1"/>
  <c r="J1899" i="1" s="1"/>
  <c r="O1893" i="1"/>
  <c r="L1893" i="1"/>
  <c r="C1894" i="1"/>
  <c r="D1893" i="1"/>
  <c r="M1893" i="1" s="1"/>
  <c r="O25" i="1"/>
  <c r="P25" i="1" s="1"/>
  <c r="C26" i="1"/>
  <c r="L26" i="1" s="1"/>
  <c r="D25" i="1"/>
  <c r="M25" i="1" s="1"/>
  <c r="O1894" i="1" l="1"/>
  <c r="L1894" i="1"/>
  <c r="C1895" i="1"/>
  <c r="D1894" i="1"/>
  <c r="M1894" i="1" s="1"/>
  <c r="O26" i="1"/>
  <c r="P26" i="1" s="1"/>
  <c r="C27" i="1"/>
  <c r="L27" i="1" s="1"/>
  <c r="D26" i="1"/>
  <c r="M26" i="1" s="1"/>
  <c r="O1895" i="1" l="1"/>
  <c r="L1895" i="1"/>
  <c r="C1896" i="1"/>
  <c r="D1895" i="1"/>
  <c r="M1895" i="1" s="1"/>
  <c r="O27" i="1"/>
  <c r="P27" i="1" s="1"/>
  <c r="C28" i="1"/>
  <c r="L28" i="1" s="1"/>
  <c r="D27" i="1"/>
  <c r="M27" i="1" s="1"/>
  <c r="O1896" i="1" l="1"/>
  <c r="L1896" i="1"/>
  <c r="C1897" i="1"/>
  <c r="D1896" i="1"/>
  <c r="M1896" i="1" s="1"/>
  <c r="O28" i="1"/>
  <c r="P28" i="1" s="1"/>
  <c r="C29" i="1"/>
  <c r="L29" i="1" s="1"/>
  <c r="D28" i="1"/>
  <c r="M28" i="1" s="1"/>
  <c r="O1897" i="1" l="1"/>
  <c r="L1897" i="1"/>
  <c r="C1898" i="1"/>
  <c r="D1897" i="1"/>
  <c r="M1897" i="1" s="1"/>
  <c r="O29" i="1"/>
  <c r="P29" i="1" s="1"/>
  <c r="C30" i="1"/>
  <c r="L30" i="1" s="1"/>
  <c r="D29" i="1"/>
  <c r="M29" i="1" s="1"/>
  <c r="O1898" i="1" l="1"/>
  <c r="L1898" i="1"/>
  <c r="C1899" i="1"/>
  <c r="D1898" i="1"/>
  <c r="M1898" i="1" s="1"/>
  <c r="O30" i="1"/>
  <c r="P30" i="1" s="1"/>
  <c r="C31" i="1"/>
  <c r="L31" i="1" s="1"/>
  <c r="D30" i="1"/>
  <c r="M30" i="1" s="1"/>
  <c r="O1899" i="1" l="1"/>
  <c r="L1899" i="1"/>
  <c r="C1900" i="1"/>
  <c r="D1899" i="1"/>
  <c r="M1899" i="1" s="1"/>
  <c r="O31" i="1"/>
  <c r="P31" i="1" s="1"/>
  <c r="C32" i="1"/>
  <c r="L32" i="1" s="1"/>
  <c r="D31" i="1"/>
  <c r="M31" i="1" s="1"/>
  <c r="O1900" i="1" l="1"/>
  <c r="L1900" i="1"/>
  <c r="C1901" i="1"/>
  <c r="D1900" i="1"/>
  <c r="M1900" i="1" s="1"/>
  <c r="O32" i="1"/>
  <c r="P32" i="1" s="1"/>
  <c r="C33" i="1"/>
  <c r="D32" i="1"/>
  <c r="M32" i="1" s="1"/>
  <c r="O1901" i="1" l="1"/>
  <c r="L1901" i="1"/>
  <c r="I34" i="1"/>
  <c r="L33" i="1"/>
  <c r="C1902" i="1"/>
  <c r="D1901" i="1"/>
  <c r="M1901" i="1" s="1"/>
  <c r="O33" i="1"/>
  <c r="P33" i="1" s="1"/>
  <c r="C34" i="1"/>
  <c r="L34" i="1" s="1"/>
  <c r="D33" i="1"/>
  <c r="M33" i="1" s="1"/>
  <c r="J34" i="1" l="1"/>
  <c r="I35" i="1"/>
  <c r="O1902" i="1"/>
  <c r="L1902" i="1"/>
  <c r="C1903" i="1"/>
  <c r="D1902" i="1"/>
  <c r="M1902" i="1" s="1"/>
  <c r="O34" i="1"/>
  <c r="P34" i="1" s="1"/>
  <c r="C35" i="1"/>
  <c r="L35" i="1" s="1"/>
  <c r="D34" i="1"/>
  <c r="M34" i="1" s="1"/>
  <c r="I37" i="1" l="1"/>
  <c r="I39" i="1" s="1"/>
  <c r="J35" i="1"/>
  <c r="J37" i="1" s="1"/>
  <c r="J39" i="1" s="1"/>
  <c r="O1903" i="1"/>
  <c r="L1903" i="1"/>
  <c r="C1904" i="1"/>
  <c r="L1904" i="1" s="1"/>
  <c r="D1903" i="1"/>
  <c r="M1903" i="1" s="1"/>
  <c r="O35" i="1"/>
  <c r="P35" i="1" s="1"/>
  <c r="C36" i="1"/>
  <c r="L36" i="1" s="1"/>
  <c r="D35" i="1"/>
  <c r="M35" i="1" s="1"/>
  <c r="C1905" i="1" l="1"/>
  <c r="D1904" i="1"/>
  <c r="M1904" i="1" s="1"/>
  <c r="O36" i="1"/>
  <c r="P36" i="1" s="1"/>
  <c r="C37" i="1"/>
  <c r="L37" i="1" s="1"/>
  <c r="D36" i="1"/>
  <c r="M36" i="1" s="1"/>
  <c r="O1905" i="1" l="1"/>
  <c r="L1905" i="1"/>
  <c r="C1906" i="1"/>
  <c r="D1905" i="1"/>
  <c r="M1905" i="1" s="1"/>
  <c r="O37" i="1"/>
  <c r="P37" i="1" s="1"/>
  <c r="C38" i="1"/>
  <c r="L38" i="1" s="1"/>
  <c r="D37" i="1"/>
  <c r="M37" i="1" s="1"/>
  <c r="O1906" i="1" l="1"/>
  <c r="L1906" i="1"/>
  <c r="C1907" i="1"/>
  <c r="L1907" i="1" s="1"/>
  <c r="D1906" i="1"/>
  <c r="M1906" i="1" s="1"/>
  <c r="O38" i="1"/>
  <c r="P38" i="1" s="1"/>
  <c r="C39" i="1"/>
  <c r="L39" i="1" s="1"/>
  <c r="D38" i="1"/>
  <c r="M38" i="1" s="1"/>
  <c r="C1908" i="1" l="1"/>
  <c r="D1907" i="1"/>
  <c r="M1907" i="1" s="1"/>
  <c r="O39" i="1"/>
  <c r="P39" i="1" s="1"/>
  <c r="C40" i="1"/>
  <c r="L40" i="1" s="1"/>
  <c r="D39" i="1"/>
  <c r="M39" i="1" s="1"/>
  <c r="O1908" i="1" l="1"/>
  <c r="L1908" i="1"/>
  <c r="C1909" i="1"/>
  <c r="D1908" i="1"/>
  <c r="M1908" i="1" s="1"/>
  <c r="O40" i="1"/>
  <c r="P40" i="1" s="1"/>
  <c r="D40" i="1"/>
  <c r="M40" i="1" s="1"/>
  <c r="C41" i="1"/>
  <c r="L41" i="1" s="1"/>
  <c r="O1909" i="1" l="1"/>
  <c r="L1909" i="1"/>
  <c r="C1910" i="1"/>
  <c r="D1909" i="1"/>
  <c r="M1909" i="1" s="1"/>
  <c r="O41" i="1"/>
  <c r="P41" i="1" s="1"/>
  <c r="C42" i="1"/>
  <c r="L42" i="1" s="1"/>
  <c r="D41" i="1"/>
  <c r="M41" i="1" s="1"/>
  <c r="O1910" i="1" l="1"/>
  <c r="L1910" i="1"/>
  <c r="C1911" i="1"/>
  <c r="D1910" i="1"/>
  <c r="M1910" i="1" s="1"/>
  <c r="O42" i="1"/>
  <c r="P42" i="1" s="1"/>
  <c r="C43" i="1"/>
  <c r="L43" i="1" s="1"/>
  <c r="D42" i="1"/>
  <c r="M42" i="1" s="1"/>
  <c r="O1911" i="1" l="1"/>
  <c r="L1911" i="1"/>
  <c r="C1912" i="1"/>
  <c r="D1911" i="1"/>
  <c r="M1911" i="1" s="1"/>
  <c r="O43" i="1"/>
  <c r="P43" i="1" s="1"/>
  <c r="D43" i="1"/>
  <c r="M43" i="1" s="1"/>
  <c r="C44" i="1"/>
  <c r="L44" i="1" s="1"/>
  <c r="O1912" i="1" l="1"/>
  <c r="L1912" i="1"/>
  <c r="C1913" i="1"/>
  <c r="D1912" i="1"/>
  <c r="M1912" i="1" s="1"/>
  <c r="O44" i="1"/>
  <c r="P44" i="1" s="1"/>
  <c r="C45" i="1"/>
  <c r="L45" i="1" s="1"/>
  <c r="D44" i="1"/>
  <c r="M44" i="1" s="1"/>
  <c r="O1913" i="1" l="1"/>
  <c r="L1913" i="1"/>
  <c r="C1914" i="1"/>
  <c r="D1913" i="1"/>
  <c r="M1913" i="1" s="1"/>
  <c r="O45" i="1"/>
  <c r="P45" i="1" s="1"/>
  <c r="D45" i="1"/>
  <c r="M45" i="1" s="1"/>
  <c r="C46" i="1"/>
  <c r="L46" i="1" s="1"/>
  <c r="O1914" i="1" l="1"/>
  <c r="L1914" i="1"/>
  <c r="C1915" i="1"/>
  <c r="D1914" i="1"/>
  <c r="M1914" i="1" s="1"/>
  <c r="O46" i="1"/>
  <c r="P46" i="1" s="1"/>
  <c r="C47" i="1"/>
  <c r="L47" i="1" s="1"/>
  <c r="D46" i="1"/>
  <c r="M46" i="1" s="1"/>
  <c r="O1915" i="1" l="1"/>
  <c r="L1915" i="1"/>
  <c r="C1916" i="1"/>
  <c r="D1915" i="1"/>
  <c r="M1915" i="1" s="1"/>
  <c r="O47" i="1"/>
  <c r="P47" i="1" s="1"/>
  <c r="C48" i="1"/>
  <c r="L48" i="1" s="1"/>
  <c r="D47" i="1"/>
  <c r="M47" i="1" s="1"/>
  <c r="O1916" i="1" l="1"/>
  <c r="L1916" i="1"/>
  <c r="C1917" i="1"/>
  <c r="D1916" i="1"/>
  <c r="M1916" i="1" s="1"/>
  <c r="O48" i="1"/>
  <c r="P48" i="1" s="1"/>
  <c r="C49" i="1"/>
  <c r="L49" i="1" s="1"/>
  <c r="D48" i="1"/>
  <c r="M48" i="1" s="1"/>
  <c r="O1917" i="1" l="1"/>
  <c r="L1917" i="1"/>
  <c r="C1918" i="1"/>
  <c r="D1917" i="1"/>
  <c r="M1917" i="1" s="1"/>
  <c r="O49" i="1"/>
  <c r="P49" i="1" s="1"/>
  <c r="C50" i="1"/>
  <c r="L50" i="1" s="1"/>
  <c r="D49" i="1"/>
  <c r="M49" i="1" s="1"/>
  <c r="O1918" i="1" l="1"/>
  <c r="L1918" i="1"/>
  <c r="C1919" i="1"/>
  <c r="D1918" i="1"/>
  <c r="M1918" i="1" s="1"/>
  <c r="O50" i="1"/>
  <c r="P50" i="1" s="1"/>
  <c r="C51" i="1"/>
  <c r="L51" i="1" s="1"/>
  <c r="D50" i="1"/>
  <c r="M50" i="1" s="1"/>
  <c r="I1920" i="1" l="1"/>
  <c r="L1919" i="1"/>
  <c r="O1919" i="1"/>
  <c r="C1920" i="1"/>
  <c r="D1919" i="1"/>
  <c r="M1919" i="1" s="1"/>
  <c r="O51" i="1"/>
  <c r="P51" i="1" s="1"/>
  <c r="C52" i="1"/>
  <c r="L52" i="1" s="1"/>
  <c r="D51" i="1"/>
  <c r="M51" i="1" s="1"/>
  <c r="J1920" i="1" l="1"/>
  <c r="I1921" i="1"/>
  <c r="O1920" i="1"/>
  <c r="L1920" i="1"/>
  <c r="C1921" i="1"/>
  <c r="D1920" i="1"/>
  <c r="M1920" i="1" s="1"/>
  <c r="O52" i="1"/>
  <c r="P52" i="1" s="1"/>
  <c r="C53" i="1"/>
  <c r="L53" i="1" s="1"/>
  <c r="D52" i="1"/>
  <c r="M52" i="1" s="1"/>
  <c r="I1923" i="1" l="1"/>
  <c r="I1925" i="1" s="1"/>
  <c r="I1927" i="1" s="1"/>
  <c r="J1921" i="1"/>
  <c r="J1923" i="1" s="1"/>
  <c r="J1925" i="1" s="1"/>
  <c r="J1927" i="1" s="1"/>
  <c r="O1921" i="1"/>
  <c r="L1921" i="1"/>
  <c r="C1922" i="1"/>
  <c r="D1921" i="1"/>
  <c r="M1921" i="1" s="1"/>
  <c r="O53" i="1"/>
  <c r="P53" i="1" s="1"/>
  <c r="C54" i="1"/>
  <c r="L54" i="1" s="1"/>
  <c r="D53" i="1"/>
  <c r="M53" i="1" s="1"/>
  <c r="O1922" i="1" l="1"/>
  <c r="L1922" i="1"/>
  <c r="C1923" i="1"/>
  <c r="D1922" i="1"/>
  <c r="M1922" i="1" s="1"/>
  <c r="O54" i="1"/>
  <c r="P54" i="1" s="1"/>
  <c r="C55" i="1"/>
  <c r="L55" i="1" s="1"/>
  <c r="D54" i="1"/>
  <c r="M54" i="1" s="1"/>
  <c r="O1923" i="1" l="1"/>
  <c r="L1923" i="1"/>
  <c r="C1924" i="1"/>
  <c r="D1923" i="1"/>
  <c r="M1923" i="1" s="1"/>
  <c r="O55" i="1"/>
  <c r="P55" i="1" s="1"/>
  <c r="C56" i="1"/>
  <c r="L56" i="1" s="1"/>
  <c r="D55" i="1"/>
  <c r="M55" i="1" s="1"/>
  <c r="O1924" i="1" l="1"/>
  <c r="L1924" i="1"/>
  <c r="C1925" i="1"/>
  <c r="D1924" i="1"/>
  <c r="M1924" i="1" s="1"/>
  <c r="O56" i="1"/>
  <c r="P56" i="1" s="1"/>
  <c r="D56" i="1"/>
  <c r="M56" i="1" s="1"/>
  <c r="C57" i="1"/>
  <c r="L57" i="1" s="1"/>
  <c r="O1925" i="1" l="1"/>
  <c r="L1925" i="1"/>
  <c r="C1926" i="1"/>
  <c r="D1925" i="1"/>
  <c r="M1925" i="1" s="1"/>
  <c r="O57" i="1"/>
  <c r="P57" i="1" s="1"/>
  <c r="D57" i="1"/>
  <c r="M57" i="1" s="1"/>
  <c r="C58" i="1"/>
  <c r="L58" i="1" s="1"/>
  <c r="O1926" i="1" l="1"/>
  <c r="L1926" i="1"/>
  <c r="C1927" i="1"/>
  <c r="D1926" i="1"/>
  <c r="M1926" i="1" s="1"/>
  <c r="O58" i="1"/>
  <c r="P58" i="1" s="1"/>
  <c r="D58" i="1"/>
  <c r="M58" i="1" s="1"/>
  <c r="C59" i="1"/>
  <c r="L59" i="1" s="1"/>
  <c r="O1927" i="1" l="1"/>
  <c r="L1927" i="1"/>
  <c r="C1928" i="1"/>
  <c r="D1927" i="1"/>
  <c r="M1927" i="1" s="1"/>
  <c r="O59" i="1"/>
  <c r="P59" i="1" s="1"/>
  <c r="C60" i="1"/>
  <c r="L60" i="1" s="1"/>
  <c r="D59" i="1"/>
  <c r="M59" i="1" s="1"/>
  <c r="O1928" i="1" l="1"/>
  <c r="L1928" i="1"/>
  <c r="C1929" i="1"/>
  <c r="D1928" i="1"/>
  <c r="M1928" i="1" s="1"/>
  <c r="O60" i="1"/>
  <c r="P60" i="1" s="1"/>
  <c r="D60" i="1"/>
  <c r="M60" i="1" s="1"/>
  <c r="C61" i="1"/>
  <c r="L61" i="1" s="1"/>
  <c r="O1929" i="1" l="1"/>
  <c r="L1929" i="1"/>
  <c r="C1930" i="1"/>
  <c r="D1929" i="1"/>
  <c r="M1929" i="1" s="1"/>
  <c r="O61" i="1"/>
  <c r="P61" i="1" s="1"/>
  <c r="C62" i="1"/>
  <c r="L62" i="1" s="1"/>
  <c r="D61" i="1"/>
  <c r="M61" i="1" s="1"/>
  <c r="O1930" i="1" l="1"/>
  <c r="L1930" i="1"/>
  <c r="C1931" i="1"/>
  <c r="D1930" i="1"/>
  <c r="M1930" i="1" s="1"/>
  <c r="O62" i="1"/>
  <c r="P62" i="1" s="1"/>
  <c r="D62" i="1"/>
  <c r="M62" i="1" s="1"/>
  <c r="C63" i="1"/>
  <c r="L63" i="1" s="1"/>
  <c r="O1931" i="1" l="1"/>
  <c r="L1931" i="1"/>
  <c r="C1932" i="1"/>
  <c r="D1931" i="1"/>
  <c r="M1931" i="1" s="1"/>
  <c r="O63" i="1"/>
  <c r="P63" i="1" s="1"/>
  <c r="C64" i="1"/>
  <c r="I65" i="1" s="1"/>
  <c r="D63" i="1"/>
  <c r="M63" i="1" s="1"/>
  <c r="O1932" i="1" l="1"/>
  <c r="L1932" i="1"/>
  <c r="L64" i="1"/>
  <c r="C1933" i="1"/>
  <c r="D1932" i="1"/>
  <c r="M1932" i="1" s="1"/>
  <c r="O64" i="1"/>
  <c r="P64" i="1" s="1"/>
  <c r="D64" i="1"/>
  <c r="M64" i="1" s="1"/>
  <c r="C65" i="1"/>
  <c r="L65" i="1" s="1"/>
  <c r="I66" i="1" l="1"/>
  <c r="J65" i="1"/>
  <c r="O1933" i="1"/>
  <c r="L1933" i="1"/>
  <c r="C1934" i="1"/>
  <c r="D1933" i="1"/>
  <c r="M1933" i="1" s="1"/>
  <c r="O65" i="1"/>
  <c r="P65" i="1" s="1"/>
  <c r="D65" i="1"/>
  <c r="M65" i="1" s="1"/>
  <c r="C66" i="1"/>
  <c r="L66" i="1" s="1"/>
  <c r="I68" i="1" l="1"/>
  <c r="I70" i="1" s="1"/>
  <c r="I72" i="1" s="1"/>
  <c r="J66" i="1"/>
  <c r="J68" i="1" s="1"/>
  <c r="J70" i="1" s="1"/>
  <c r="J72" i="1" s="1"/>
  <c r="O1934" i="1"/>
  <c r="L1934" i="1"/>
  <c r="C1935" i="1"/>
  <c r="D1934" i="1"/>
  <c r="M1934" i="1" s="1"/>
  <c r="O66" i="1"/>
  <c r="P66" i="1" s="1"/>
  <c r="C67" i="1"/>
  <c r="L67" i="1" s="1"/>
  <c r="D66" i="1"/>
  <c r="M66" i="1" s="1"/>
  <c r="O1935" i="1" l="1"/>
  <c r="L1935" i="1"/>
  <c r="C1936" i="1"/>
  <c r="D1935" i="1"/>
  <c r="M1935" i="1" s="1"/>
  <c r="O67" i="1"/>
  <c r="P67" i="1" s="1"/>
  <c r="D67" i="1"/>
  <c r="M67" i="1" s="1"/>
  <c r="C68" i="1"/>
  <c r="L68" i="1" s="1"/>
  <c r="O1936" i="1" l="1"/>
  <c r="L1936" i="1"/>
  <c r="C1937" i="1"/>
  <c r="D1936" i="1"/>
  <c r="M1936" i="1" s="1"/>
  <c r="O68" i="1"/>
  <c r="P68" i="1" s="1"/>
  <c r="C69" i="1"/>
  <c r="L69" i="1" s="1"/>
  <c r="D68" i="1"/>
  <c r="M68" i="1" s="1"/>
  <c r="O1937" i="1" l="1"/>
  <c r="L1937" i="1"/>
  <c r="C1938" i="1"/>
  <c r="D1937" i="1"/>
  <c r="M1937" i="1" s="1"/>
  <c r="O69" i="1"/>
  <c r="P69" i="1" s="1"/>
  <c r="D69" i="1"/>
  <c r="M69" i="1" s="1"/>
  <c r="C70" i="1"/>
  <c r="L70" i="1" s="1"/>
  <c r="O1938" i="1" l="1"/>
  <c r="L1938" i="1"/>
  <c r="C1939" i="1"/>
  <c r="D1938" i="1"/>
  <c r="M1938" i="1" s="1"/>
  <c r="O70" i="1"/>
  <c r="P70" i="1" s="1"/>
  <c r="C71" i="1"/>
  <c r="L71" i="1" s="1"/>
  <c r="D70" i="1"/>
  <c r="M70" i="1" s="1"/>
  <c r="O1939" i="1" l="1"/>
  <c r="L1939" i="1"/>
  <c r="C1940" i="1"/>
  <c r="D1939" i="1"/>
  <c r="M1939" i="1" s="1"/>
  <c r="O71" i="1"/>
  <c r="P71" i="1" s="1"/>
  <c r="D71" i="1"/>
  <c r="M71" i="1" s="1"/>
  <c r="C72" i="1"/>
  <c r="L72" i="1" s="1"/>
  <c r="O1940" i="1" l="1"/>
  <c r="L1940" i="1"/>
  <c r="C1941" i="1"/>
  <c r="D1940" i="1"/>
  <c r="M1940" i="1" s="1"/>
  <c r="O72" i="1"/>
  <c r="P72" i="1" s="1"/>
  <c r="D72" i="1"/>
  <c r="M72" i="1" s="1"/>
  <c r="C73" i="1"/>
  <c r="L73" i="1" s="1"/>
  <c r="O1941" i="1" l="1"/>
  <c r="L1941" i="1"/>
  <c r="C1942" i="1"/>
  <c r="D1941" i="1"/>
  <c r="M1941" i="1" s="1"/>
  <c r="O73" i="1"/>
  <c r="P73" i="1" s="1"/>
  <c r="D73" i="1"/>
  <c r="M73" i="1" s="1"/>
  <c r="C74" i="1"/>
  <c r="L74" i="1" s="1"/>
  <c r="O1942" i="1" l="1"/>
  <c r="L1942" i="1"/>
  <c r="C1943" i="1"/>
  <c r="D1942" i="1"/>
  <c r="M1942" i="1" s="1"/>
  <c r="O74" i="1"/>
  <c r="P74" i="1" s="1"/>
  <c r="D74" i="1"/>
  <c r="M74" i="1" s="1"/>
  <c r="C75" i="1"/>
  <c r="L75" i="1" s="1"/>
  <c r="O1943" i="1" l="1"/>
  <c r="L1943" i="1"/>
  <c r="C1944" i="1"/>
  <c r="D1943" i="1"/>
  <c r="M1943" i="1" s="1"/>
  <c r="O75" i="1"/>
  <c r="P75" i="1" s="1"/>
  <c r="D75" i="1"/>
  <c r="M75" i="1" s="1"/>
  <c r="C76" i="1"/>
  <c r="L76" i="1" s="1"/>
  <c r="O1944" i="1" l="1"/>
  <c r="L1944" i="1"/>
  <c r="C1945" i="1"/>
  <c r="D1944" i="1"/>
  <c r="M1944" i="1" s="1"/>
  <c r="O76" i="1"/>
  <c r="P76" i="1" s="1"/>
  <c r="C77" i="1"/>
  <c r="L77" i="1" s="1"/>
  <c r="D76" i="1"/>
  <c r="M76" i="1" s="1"/>
  <c r="O1945" i="1" l="1"/>
  <c r="L1945" i="1"/>
  <c r="C1946" i="1"/>
  <c r="D1945" i="1"/>
  <c r="M1945" i="1" s="1"/>
  <c r="O77" i="1"/>
  <c r="P77" i="1" s="1"/>
  <c r="D77" i="1"/>
  <c r="M77" i="1" s="1"/>
  <c r="C78" i="1"/>
  <c r="L78" i="1" s="1"/>
  <c r="O1946" i="1" l="1"/>
  <c r="L1946" i="1"/>
  <c r="C1947" i="1"/>
  <c r="D1946" i="1"/>
  <c r="M1946" i="1" s="1"/>
  <c r="O78" i="1"/>
  <c r="P78" i="1" s="1"/>
  <c r="C79" i="1"/>
  <c r="L79" i="1" s="1"/>
  <c r="D78" i="1"/>
  <c r="M78" i="1" s="1"/>
  <c r="O1947" i="1" l="1"/>
  <c r="L1947" i="1"/>
  <c r="C1948" i="1"/>
  <c r="D1947" i="1"/>
  <c r="M1947" i="1" s="1"/>
  <c r="O79" i="1"/>
  <c r="P79" i="1" s="1"/>
  <c r="D79" i="1"/>
  <c r="M79" i="1" s="1"/>
  <c r="C80" i="1"/>
  <c r="L80" i="1" s="1"/>
  <c r="O1948" i="1" l="1"/>
  <c r="L1948" i="1"/>
  <c r="C1949" i="1"/>
  <c r="D1948" i="1"/>
  <c r="M1948" i="1" s="1"/>
  <c r="O80" i="1"/>
  <c r="P80" i="1" s="1"/>
  <c r="C81" i="1"/>
  <c r="L81" i="1" s="1"/>
  <c r="D80" i="1"/>
  <c r="M80" i="1" s="1"/>
  <c r="O1949" i="1" l="1"/>
  <c r="L1949" i="1"/>
  <c r="C1950" i="1"/>
  <c r="D1949" i="1"/>
  <c r="M1949" i="1" s="1"/>
  <c r="O81" i="1"/>
  <c r="P81" i="1" s="1"/>
  <c r="D81" i="1"/>
  <c r="M81" i="1" s="1"/>
  <c r="C82" i="1"/>
  <c r="L82" i="1" s="1"/>
  <c r="I1951" i="1" l="1"/>
  <c r="L1950" i="1"/>
  <c r="O1950" i="1"/>
  <c r="C1951" i="1"/>
  <c r="D1950" i="1"/>
  <c r="M1950" i="1" s="1"/>
  <c r="O82" i="1"/>
  <c r="P82" i="1" s="1"/>
  <c r="C83" i="1"/>
  <c r="L83" i="1" s="1"/>
  <c r="D82" i="1"/>
  <c r="M82" i="1" s="1"/>
  <c r="J1951" i="1" l="1"/>
  <c r="I1952" i="1"/>
  <c r="O1951" i="1"/>
  <c r="L1951" i="1"/>
  <c r="C1952" i="1"/>
  <c r="D1951" i="1"/>
  <c r="M1951" i="1" s="1"/>
  <c r="O83" i="1"/>
  <c r="P83" i="1" s="1"/>
  <c r="D83" i="1"/>
  <c r="M83" i="1" s="1"/>
  <c r="C84" i="1"/>
  <c r="L84" i="1" s="1"/>
  <c r="I1954" i="1" l="1"/>
  <c r="I1956" i="1" s="1"/>
  <c r="I1958" i="1" s="1"/>
  <c r="J1952" i="1"/>
  <c r="J1954" i="1" s="1"/>
  <c r="J1956" i="1" s="1"/>
  <c r="J1958" i="1" s="1"/>
  <c r="O1952" i="1"/>
  <c r="L1952" i="1"/>
  <c r="C1953" i="1"/>
  <c r="D1952" i="1"/>
  <c r="M1952" i="1" s="1"/>
  <c r="O84" i="1"/>
  <c r="P84" i="1" s="1"/>
  <c r="C85" i="1"/>
  <c r="L85" i="1" s="1"/>
  <c r="D84" i="1"/>
  <c r="M84" i="1" s="1"/>
  <c r="O1953" i="1" l="1"/>
  <c r="L1953" i="1"/>
  <c r="C1954" i="1"/>
  <c r="D1953" i="1"/>
  <c r="M1953" i="1" s="1"/>
  <c r="O85" i="1"/>
  <c r="P85" i="1" s="1"/>
  <c r="D85" i="1"/>
  <c r="M85" i="1" s="1"/>
  <c r="C86" i="1"/>
  <c r="L86" i="1" s="1"/>
  <c r="O1954" i="1" l="1"/>
  <c r="L1954" i="1"/>
  <c r="C1955" i="1"/>
  <c r="D1954" i="1"/>
  <c r="M1954" i="1" s="1"/>
  <c r="O86" i="1"/>
  <c r="P86" i="1" s="1"/>
  <c r="C87" i="1"/>
  <c r="L87" i="1" s="1"/>
  <c r="D86" i="1"/>
  <c r="M86" i="1" s="1"/>
  <c r="O1955" i="1" l="1"/>
  <c r="L1955" i="1"/>
  <c r="C1956" i="1"/>
  <c r="D1955" i="1"/>
  <c r="M1955" i="1" s="1"/>
  <c r="O87" i="1"/>
  <c r="P87" i="1" s="1"/>
  <c r="D87" i="1"/>
  <c r="M87" i="1" s="1"/>
  <c r="C88" i="1"/>
  <c r="L88" i="1" s="1"/>
  <c r="O1956" i="1" l="1"/>
  <c r="L1956" i="1"/>
  <c r="C1957" i="1"/>
  <c r="D1956" i="1"/>
  <c r="M1956" i="1" s="1"/>
  <c r="O88" i="1"/>
  <c r="P88" i="1" s="1"/>
  <c r="C89" i="1"/>
  <c r="L89" i="1" s="1"/>
  <c r="D88" i="1"/>
  <c r="M88" i="1" s="1"/>
  <c r="O1957" i="1" l="1"/>
  <c r="L1957" i="1"/>
  <c r="C1958" i="1"/>
  <c r="D1957" i="1"/>
  <c r="M1957" i="1" s="1"/>
  <c r="O89" i="1"/>
  <c r="P89" i="1" s="1"/>
  <c r="C90" i="1"/>
  <c r="L90" i="1" s="1"/>
  <c r="D89" i="1"/>
  <c r="M89" i="1" s="1"/>
  <c r="O1958" i="1" l="1"/>
  <c r="L1958" i="1"/>
  <c r="C1959" i="1"/>
  <c r="D1958" i="1"/>
  <c r="M1958" i="1" s="1"/>
  <c r="O90" i="1"/>
  <c r="P90" i="1" s="1"/>
  <c r="C91" i="1"/>
  <c r="L91" i="1" s="1"/>
  <c r="D90" i="1"/>
  <c r="M90" i="1" s="1"/>
  <c r="O1959" i="1" l="1"/>
  <c r="L1959" i="1"/>
  <c r="C1960" i="1"/>
  <c r="D1959" i="1"/>
  <c r="M1959" i="1" s="1"/>
  <c r="O91" i="1"/>
  <c r="P91" i="1" s="1"/>
  <c r="D91" i="1"/>
  <c r="M91" i="1" s="1"/>
  <c r="C92" i="1"/>
  <c r="L92" i="1" s="1"/>
  <c r="O1960" i="1" l="1"/>
  <c r="L1960" i="1"/>
  <c r="C1961" i="1"/>
  <c r="D1960" i="1"/>
  <c r="M1960" i="1" s="1"/>
  <c r="O92" i="1"/>
  <c r="P92" i="1" s="1"/>
  <c r="C93" i="1"/>
  <c r="D92" i="1"/>
  <c r="M92" i="1" s="1"/>
  <c r="O1961" i="1" l="1"/>
  <c r="L1961" i="1"/>
  <c r="I94" i="1"/>
  <c r="L93" i="1"/>
  <c r="C1962" i="1"/>
  <c r="D1961" i="1"/>
  <c r="M1961" i="1" s="1"/>
  <c r="O93" i="1"/>
  <c r="P93" i="1" s="1"/>
  <c r="D93" i="1"/>
  <c r="M93" i="1" s="1"/>
  <c r="C94" i="1"/>
  <c r="L94" i="1" s="1"/>
  <c r="J94" i="1" l="1"/>
  <c r="I95" i="1"/>
  <c r="O1962" i="1"/>
  <c r="L1962" i="1"/>
  <c r="C1963" i="1"/>
  <c r="D1962" i="1"/>
  <c r="M1962" i="1" s="1"/>
  <c r="O94" i="1"/>
  <c r="P94" i="1" s="1"/>
  <c r="C95" i="1"/>
  <c r="L95" i="1" s="1"/>
  <c r="D94" i="1"/>
  <c r="M94" i="1" s="1"/>
  <c r="I97" i="1" l="1"/>
  <c r="I99" i="1" s="1"/>
  <c r="I101" i="1" s="1"/>
  <c r="J95" i="1"/>
  <c r="J97" i="1" s="1"/>
  <c r="J99" i="1" s="1"/>
  <c r="J101" i="1" s="1"/>
  <c r="O1963" i="1"/>
  <c r="L1963" i="1"/>
  <c r="C1964" i="1"/>
  <c r="D1963" i="1"/>
  <c r="M1963" i="1" s="1"/>
  <c r="O95" i="1"/>
  <c r="P95" i="1" s="1"/>
  <c r="D95" i="1"/>
  <c r="M95" i="1" s="1"/>
  <c r="C96" i="1"/>
  <c r="L96" i="1" s="1"/>
  <c r="O1964" i="1" l="1"/>
  <c r="L1964" i="1"/>
  <c r="C1965" i="1"/>
  <c r="D1964" i="1"/>
  <c r="M1964" i="1" s="1"/>
  <c r="O96" i="1"/>
  <c r="P96" i="1" s="1"/>
  <c r="C97" i="1"/>
  <c r="L97" i="1" s="1"/>
  <c r="D96" i="1"/>
  <c r="M96" i="1" s="1"/>
  <c r="O1965" i="1" l="1"/>
  <c r="L1965" i="1"/>
  <c r="C1966" i="1"/>
  <c r="L1966" i="1" s="1"/>
  <c r="D1965" i="1"/>
  <c r="M1965" i="1" s="1"/>
  <c r="O97" i="1"/>
  <c r="P97" i="1" s="1"/>
  <c r="D97" i="1"/>
  <c r="M97" i="1" s="1"/>
  <c r="C98" i="1"/>
  <c r="L98" i="1" s="1"/>
  <c r="C1967" i="1" l="1"/>
  <c r="L1967" i="1" s="1"/>
  <c r="D1966" i="1"/>
  <c r="M1966" i="1" s="1"/>
  <c r="O98" i="1"/>
  <c r="P98" i="1" s="1"/>
  <c r="C99" i="1"/>
  <c r="L99" i="1" s="1"/>
  <c r="D98" i="1"/>
  <c r="M98" i="1" s="1"/>
  <c r="C1968" i="1" l="1"/>
  <c r="D1967" i="1"/>
  <c r="M1967" i="1" s="1"/>
  <c r="O99" i="1"/>
  <c r="P99" i="1" s="1"/>
  <c r="D99" i="1"/>
  <c r="M99" i="1" s="1"/>
  <c r="C100" i="1"/>
  <c r="L100" i="1" s="1"/>
  <c r="O1968" i="1" l="1"/>
  <c r="L1968" i="1"/>
  <c r="C1969" i="1"/>
  <c r="D1968" i="1"/>
  <c r="M1968" i="1" s="1"/>
  <c r="O100" i="1"/>
  <c r="P100" i="1" s="1"/>
  <c r="C101" i="1"/>
  <c r="L101" i="1" s="1"/>
  <c r="D100" i="1"/>
  <c r="M100" i="1" s="1"/>
  <c r="O1969" i="1" l="1"/>
  <c r="L1969" i="1"/>
  <c r="C1970" i="1"/>
  <c r="D1969" i="1"/>
  <c r="M1969" i="1" s="1"/>
  <c r="O101" i="1"/>
  <c r="P101" i="1" s="1"/>
  <c r="D101" i="1"/>
  <c r="M101" i="1" s="1"/>
  <c r="C102" i="1"/>
  <c r="L102" i="1" s="1"/>
  <c r="O1970" i="1" l="1"/>
  <c r="L1970" i="1"/>
  <c r="C1971" i="1"/>
  <c r="D1970" i="1"/>
  <c r="M1970" i="1" s="1"/>
  <c r="O102" i="1"/>
  <c r="P102" i="1" s="1"/>
  <c r="C103" i="1"/>
  <c r="L103" i="1" s="1"/>
  <c r="D102" i="1"/>
  <c r="M102" i="1" s="1"/>
  <c r="O1971" i="1" l="1"/>
  <c r="L1971" i="1"/>
  <c r="C1972" i="1"/>
  <c r="D1971" i="1"/>
  <c r="M1971" i="1" s="1"/>
  <c r="O103" i="1"/>
  <c r="P103" i="1" s="1"/>
  <c r="C104" i="1"/>
  <c r="L104" i="1" s="1"/>
  <c r="D103" i="1"/>
  <c r="M103" i="1" s="1"/>
  <c r="O1972" i="1" l="1"/>
  <c r="L1972" i="1"/>
  <c r="C1973" i="1"/>
  <c r="D1972" i="1"/>
  <c r="M1972" i="1" s="1"/>
  <c r="O104" i="1"/>
  <c r="P104" i="1" s="1"/>
  <c r="C105" i="1"/>
  <c r="L105" i="1" s="1"/>
  <c r="D104" i="1"/>
  <c r="M104" i="1" s="1"/>
  <c r="O1973" i="1" l="1"/>
  <c r="L1973" i="1"/>
  <c r="C1974" i="1"/>
  <c r="D1973" i="1"/>
  <c r="M1973" i="1" s="1"/>
  <c r="O105" i="1"/>
  <c r="P105" i="1" s="1"/>
  <c r="D105" i="1"/>
  <c r="M105" i="1" s="1"/>
  <c r="C106" i="1"/>
  <c r="L106" i="1" s="1"/>
  <c r="O1974" i="1" l="1"/>
  <c r="L1974" i="1"/>
  <c r="C1975" i="1"/>
  <c r="D1974" i="1"/>
  <c r="M1974" i="1" s="1"/>
  <c r="O106" i="1"/>
  <c r="P106" i="1" s="1"/>
  <c r="D106" i="1"/>
  <c r="M106" i="1" s="1"/>
  <c r="C107" i="1"/>
  <c r="L107" i="1" s="1"/>
  <c r="O1975" i="1" l="1"/>
  <c r="L1975" i="1"/>
  <c r="C1976" i="1"/>
  <c r="D1975" i="1"/>
  <c r="M1975" i="1" s="1"/>
  <c r="O107" i="1"/>
  <c r="P107" i="1" s="1"/>
  <c r="D107" i="1"/>
  <c r="M107" i="1" s="1"/>
  <c r="C108" i="1"/>
  <c r="L108" i="1" s="1"/>
  <c r="O1976" i="1" l="1"/>
  <c r="L1976" i="1"/>
  <c r="C1977" i="1"/>
  <c r="D1976" i="1"/>
  <c r="M1976" i="1" s="1"/>
  <c r="O108" i="1"/>
  <c r="P108" i="1" s="1"/>
  <c r="D108" i="1"/>
  <c r="M108" i="1" s="1"/>
  <c r="C109" i="1"/>
  <c r="L109" i="1" s="1"/>
  <c r="O1977" i="1" l="1"/>
  <c r="L1977" i="1"/>
  <c r="C1978" i="1"/>
  <c r="D1977" i="1"/>
  <c r="M1977" i="1" s="1"/>
  <c r="O109" i="1"/>
  <c r="P109" i="1" s="1"/>
  <c r="D109" i="1"/>
  <c r="M109" i="1" s="1"/>
  <c r="C110" i="1"/>
  <c r="L110" i="1" s="1"/>
  <c r="O1978" i="1" l="1"/>
  <c r="L1978" i="1"/>
  <c r="C1979" i="1"/>
  <c r="D1978" i="1"/>
  <c r="M1978" i="1" s="1"/>
  <c r="O110" i="1"/>
  <c r="P110" i="1" s="1"/>
  <c r="C111" i="1"/>
  <c r="L111" i="1" s="1"/>
  <c r="D110" i="1"/>
  <c r="M110" i="1" s="1"/>
  <c r="O1979" i="1" l="1"/>
  <c r="L1979" i="1"/>
  <c r="C1980" i="1"/>
  <c r="D1979" i="1"/>
  <c r="M1979" i="1" s="1"/>
  <c r="O111" i="1"/>
  <c r="P111" i="1" s="1"/>
  <c r="C112" i="1"/>
  <c r="L112" i="1" s="1"/>
  <c r="D111" i="1"/>
  <c r="M111" i="1" s="1"/>
  <c r="I1981" i="1" l="1"/>
  <c r="L1980" i="1"/>
  <c r="O1980" i="1"/>
  <c r="C1981" i="1"/>
  <c r="D1980" i="1"/>
  <c r="M1980" i="1" s="1"/>
  <c r="O112" i="1"/>
  <c r="P112" i="1" s="1"/>
  <c r="C113" i="1"/>
  <c r="L113" i="1" s="1"/>
  <c r="D112" i="1"/>
  <c r="M112" i="1" s="1"/>
  <c r="I1982" i="1" l="1"/>
  <c r="J1981" i="1"/>
  <c r="O1981" i="1"/>
  <c r="L1981" i="1"/>
  <c r="C1982" i="1"/>
  <c r="D1981" i="1"/>
  <c r="M1981" i="1" s="1"/>
  <c r="O113" i="1"/>
  <c r="P113" i="1" s="1"/>
  <c r="D113" i="1"/>
  <c r="M113" i="1" s="1"/>
  <c r="C114" i="1"/>
  <c r="L114" i="1" s="1"/>
  <c r="I1984" i="1" l="1"/>
  <c r="I1986" i="1" s="1"/>
  <c r="I1988" i="1" s="1"/>
  <c r="J1982" i="1"/>
  <c r="J1984" i="1" s="1"/>
  <c r="J1986" i="1" s="1"/>
  <c r="J1988" i="1" s="1"/>
  <c r="O1982" i="1"/>
  <c r="L1982" i="1"/>
  <c r="C1983" i="1"/>
  <c r="D1982" i="1"/>
  <c r="M1982" i="1" s="1"/>
  <c r="O114" i="1"/>
  <c r="P114" i="1" s="1"/>
  <c r="C115" i="1"/>
  <c r="L115" i="1" s="1"/>
  <c r="D114" i="1"/>
  <c r="M114" i="1" s="1"/>
  <c r="O1983" i="1" l="1"/>
  <c r="L1983" i="1"/>
  <c r="C1984" i="1"/>
  <c r="D1983" i="1"/>
  <c r="M1983" i="1" s="1"/>
  <c r="O115" i="1"/>
  <c r="P115" i="1" s="1"/>
  <c r="D115" i="1"/>
  <c r="M115" i="1" s="1"/>
  <c r="C116" i="1"/>
  <c r="L116" i="1" s="1"/>
  <c r="O1984" i="1" l="1"/>
  <c r="L1984" i="1"/>
  <c r="C1985" i="1"/>
  <c r="D1984" i="1"/>
  <c r="M1984" i="1" s="1"/>
  <c r="O116" i="1"/>
  <c r="P116" i="1" s="1"/>
  <c r="C117" i="1"/>
  <c r="L117" i="1" s="1"/>
  <c r="D116" i="1"/>
  <c r="M116" i="1" s="1"/>
  <c r="O1985" i="1" l="1"/>
  <c r="L1985" i="1"/>
  <c r="C1986" i="1"/>
  <c r="D1985" i="1"/>
  <c r="M1985" i="1" s="1"/>
  <c r="O117" i="1"/>
  <c r="P117" i="1" s="1"/>
  <c r="D117" i="1"/>
  <c r="M117" i="1" s="1"/>
  <c r="C118" i="1"/>
  <c r="L118" i="1" s="1"/>
  <c r="O1986" i="1" l="1"/>
  <c r="L1986" i="1"/>
  <c r="C1987" i="1"/>
  <c r="D1986" i="1"/>
  <c r="M1986" i="1" s="1"/>
  <c r="O118" i="1"/>
  <c r="P118" i="1" s="1"/>
  <c r="D118" i="1"/>
  <c r="M118" i="1" s="1"/>
  <c r="C119" i="1"/>
  <c r="L119" i="1" s="1"/>
  <c r="O1987" i="1" l="1"/>
  <c r="L1987" i="1"/>
  <c r="C1988" i="1"/>
  <c r="D1987" i="1"/>
  <c r="M1987" i="1" s="1"/>
  <c r="O119" i="1"/>
  <c r="P119" i="1" s="1"/>
  <c r="D119" i="1"/>
  <c r="M119" i="1" s="1"/>
  <c r="C120" i="1"/>
  <c r="L120" i="1" s="1"/>
  <c r="O1988" i="1" l="1"/>
  <c r="L1988" i="1"/>
  <c r="C1989" i="1"/>
  <c r="D1988" i="1"/>
  <c r="M1988" i="1" s="1"/>
  <c r="O120" i="1"/>
  <c r="P120" i="1" s="1"/>
  <c r="C121" i="1"/>
  <c r="L121" i="1" s="1"/>
  <c r="D120" i="1"/>
  <c r="M120" i="1" s="1"/>
  <c r="O1989" i="1" l="1"/>
  <c r="L1989" i="1"/>
  <c r="C1990" i="1"/>
  <c r="D1989" i="1"/>
  <c r="M1989" i="1" s="1"/>
  <c r="O121" i="1"/>
  <c r="P121" i="1" s="1"/>
  <c r="D121" i="1"/>
  <c r="M121" i="1" s="1"/>
  <c r="C122" i="1"/>
  <c r="L122" i="1" s="1"/>
  <c r="O1990" i="1" l="1"/>
  <c r="L1990" i="1"/>
  <c r="C1991" i="1"/>
  <c r="D1990" i="1"/>
  <c r="M1990" i="1" s="1"/>
  <c r="O122" i="1"/>
  <c r="P122" i="1" s="1"/>
  <c r="C123" i="1"/>
  <c r="L123" i="1" s="1"/>
  <c r="D122" i="1"/>
  <c r="M122" i="1" s="1"/>
  <c r="O1991" i="1" l="1"/>
  <c r="L1991" i="1"/>
  <c r="C1992" i="1"/>
  <c r="D1991" i="1"/>
  <c r="M1991" i="1" s="1"/>
  <c r="O123" i="1"/>
  <c r="P123" i="1" s="1"/>
  <c r="D123" i="1"/>
  <c r="M123" i="1" s="1"/>
  <c r="C124" i="1"/>
  <c r="O1992" i="1" l="1"/>
  <c r="L1992" i="1"/>
  <c r="I125" i="1"/>
  <c r="L124" i="1"/>
  <c r="C1993" i="1"/>
  <c r="D1992" i="1"/>
  <c r="M1992" i="1" s="1"/>
  <c r="O124" i="1"/>
  <c r="P124" i="1" s="1"/>
  <c r="C125" i="1"/>
  <c r="L125" i="1" s="1"/>
  <c r="D124" i="1"/>
  <c r="M124" i="1" s="1"/>
  <c r="J125" i="1" l="1"/>
  <c r="I126" i="1"/>
  <c r="O1993" i="1"/>
  <c r="L1993" i="1"/>
  <c r="C1994" i="1"/>
  <c r="D1993" i="1"/>
  <c r="M1993" i="1" s="1"/>
  <c r="O125" i="1"/>
  <c r="P125" i="1" s="1"/>
  <c r="D125" i="1"/>
  <c r="M125" i="1" s="1"/>
  <c r="C126" i="1"/>
  <c r="L126" i="1" s="1"/>
  <c r="I128" i="1" l="1"/>
  <c r="I130" i="1" s="1"/>
  <c r="I132" i="1" s="1"/>
  <c r="J126" i="1"/>
  <c r="J128" i="1" s="1"/>
  <c r="J130" i="1" s="1"/>
  <c r="J132" i="1" s="1"/>
  <c r="O1994" i="1"/>
  <c r="L1994" i="1"/>
  <c r="C1995" i="1"/>
  <c r="D1994" i="1"/>
  <c r="M1994" i="1" s="1"/>
  <c r="O126" i="1"/>
  <c r="P126" i="1" s="1"/>
  <c r="C127" i="1"/>
  <c r="L127" i="1" s="1"/>
  <c r="D126" i="1"/>
  <c r="M126" i="1" s="1"/>
  <c r="O1995" i="1" l="1"/>
  <c r="L1995" i="1"/>
  <c r="C1996" i="1"/>
  <c r="D1995" i="1"/>
  <c r="M1995" i="1" s="1"/>
  <c r="O127" i="1"/>
  <c r="P127" i="1" s="1"/>
  <c r="D127" i="1"/>
  <c r="M127" i="1" s="1"/>
  <c r="C128" i="1"/>
  <c r="L128" i="1" s="1"/>
  <c r="O1996" i="1" l="1"/>
  <c r="L1996" i="1"/>
  <c r="C1997" i="1"/>
  <c r="D1996" i="1"/>
  <c r="M1996" i="1" s="1"/>
  <c r="O128" i="1"/>
  <c r="P128" i="1" s="1"/>
  <c r="D128" i="1"/>
  <c r="M128" i="1" s="1"/>
  <c r="C129" i="1"/>
  <c r="L129" i="1" s="1"/>
  <c r="O1997" i="1" l="1"/>
  <c r="L1997" i="1"/>
  <c r="C1998" i="1"/>
  <c r="D1997" i="1"/>
  <c r="M1997" i="1" s="1"/>
  <c r="O129" i="1"/>
  <c r="P129" i="1" s="1"/>
  <c r="D129" i="1"/>
  <c r="M129" i="1" s="1"/>
  <c r="C130" i="1"/>
  <c r="L130" i="1" s="1"/>
  <c r="O1998" i="1" l="1"/>
  <c r="L1998" i="1"/>
  <c r="C1999" i="1"/>
  <c r="D1998" i="1"/>
  <c r="M1998" i="1" s="1"/>
  <c r="O130" i="1"/>
  <c r="P130" i="1" s="1"/>
  <c r="C131" i="1"/>
  <c r="L131" i="1" s="1"/>
  <c r="D130" i="1"/>
  <c r="M130" i="1" s="1"/>
  <c r="O1999" i="1" l="1"/>
  <c r="L1999" i="1"/>
  <c r="C2000" i="1"/>
  <c r="D1999" i="1"/>
  <c r="M1999" i="1" s="1"/>
  <c r="O131" i="1"/>
  <c r="P131" i="1" s="1"/>
  <c r="D131" i="1"/>
  <c r="M131" i="1" s="1"/>
  <c r="C132" i="1"/>
  <c r="L132" i="1" s="1"/>
  <c r="O2000" i="1" l="1"/>
  <c r="L2000" i="1"/>
  <c r="C2001" i="1"/>
  <c r="D2000" i="1"/>
  <c r="M2000" i="1" s="1"/>
  <c r="O132" i="1"/>
  <c r="P132" i="1" s="1"/>
  <c r="C133" i="1"/>
  <c r="L133" i="1" s="1"/>
  <c r="D132" i="1"/>
  <c r="M132" i="1" s="1"/>
  <c r="O2001" i="1" l="1"/>
  <c r="L2001" i="1"/>
  <c r="C2002" i="1"/>
  <c r="L2002" i="1" s="1"/>
  <c r="D2001" i="1"/>
  <c r="M2001" i="1" s="1"/>
  <c r="O133" i="1"/>
  <c r="P133" i="1" s="1"/>
  <c r="D133" i="1"/>
  <c r="M133" i="1" s="1"/>
  <c r="C134" i="1"/>
  <c r="L134" i="1" s="1"/>
  <c r="C2003" i="1" l="1"/>
  <c r="D2002" i="1"/>
  <c r="M2002" i="1" s="1"/>
  <c r="O134" i="1"/>
  <c r="P134" i="1" s="1"/>
  <c r="C135" i="1"/>
  <c r="L135" i="1" s="1"/>
  <c r="D134" i="1"/>
  <c r="M134" i="1" s="1"/>
  <c r="O2003" i="1" l="1"/>
  <c r="L2003" i="1"/>
  <c r="C2004" i="1"/>
  <c r="D2003" i="1"/>
  <c r="M2003" i="1" s="1"/>
  <c r="O135" i="1"/>
  <c r="P135" i="1" s="1"/>
  <c r="C136" i="1"/>
  <c r="L136" i="1" s="1"/>
  <c r="D135" i="1"/>
  <c r="M135" i="1" s="1"/>
  <c r="O2004" i="1" l="1"/>
  <c r="L2004" i="1"/>
  <c r="C2005" i="1"/>
  <c r="L2005" i="1" s="1"/>
  <c r="D2004" i="1"/>
  <c r="M2004" i="1" s="1"/>
  <c r="O136" i="1"/>
  <c r="P136" i="1" s="1"/>
  <c r="C137" i="1"/>
  <c r="L137" i="1" s="1"/>
  <c r="D136" i="1"/>
  <c r="M136" i="1" s="1"/>
  <c r="C2006" i="1" l="1"/>
  <c r="D2005" i="1"/>
  <c r="M2005" i="1" s="1"/>
  <c r="O137" i="1"/>
  <c r="P137" i="1" s="1"/>
  <c r="D137" i="1"/>
  <c r="M137" i="1" s="1"/>
  <c r="C138" i="1"/>
  <c r="L138" i="1" s="1"/>
  <c r="O2006" i="1" l="1"/>
  <c r="L2006" i="1"/>
  <c r="C2007" i="1"/>
  <c r="D2006" i="1"/>
  <c r="M2006" i="1" s="1"/>
  <c r="O138" i="1"/>
  <c r="P138" i="1" s="1"/>
  <c r="C139" i="1"/>
  <c r="L139" i="1" s="1"/>
  <c r="D138" i="1"/>
  <c r="M138" i="1" s="1"/>
  <c r="O2007" i="1" l="1"/>
  <c r="L2007" i="1"/>
  <c r="C2008" i="1"/>
  <c r="D2007" i="1"/>
  <c r="M2007" i="1" s="1"/>
  <c r="O139" i="1"/>
  <c r="P139" i="1" s="1"/>
  <c r="C140" i="1"/>
  <c r="L140" i="1" s="1"/>
  <c r="D139" i="1"/>
  <c r="M139" i="1" s="1"/>
  <c r="O2008" i="1" l="1"/>
  <c r="L2008" i="1"/>
  <c r="C2009" i="1"/>
  <c r="D2008" i="1"/>
  <c r="M2008" i="1" s="1"/>
  <c r="O140" i="1"/>
  <c r="P140" i="1" s="1"/>
  <c r="C141" i="1"/>
  <c r="L141" i="1" s="1"/>
  <c r="D140" i="1"/>
  <c r="M140" i="1" s="1"/>
  <c r="O2009" i="1" l="1"/>
  <c r="L2009" i="1"/>
  <c r="C2010" i="1"/>
  <c r="D2009" i="1"/>
  <c r="M2009" i="1" s="1"/>
  <c r="O141" i="1"/>
  <c r="P141" i="1" s="1"/>
  <c r="C142" i="1"/>
  <c r="L142" i="1" s="1"/>
  <c r="D141" i="1"/>
  <c r="M141" i="1" s="1"/>
  <c r="O2010" i="1" l="1"/>
  <c r="L2010" i="1"/>
  <c r="C2011" i="1"/>
  <c r="D2010" i="1"/>
  <c r="M2010" i="1" s="1"/>
  <c r="O142" i="1"/>
  <c r="P142" i="1" s="1"/>
  <c r="D142" i="1"/>
  <c r="M142" i="1" s="1"/>
  <c r="C143" i="1"/>
  <c r="L143" i="1" s="1"/>
  <c r="I2012" i="1" l="1"/>
  <c r="L2011" i="1"/>
  <c r="O2011" i="1"/>
  <c r="C2012" i="1"/>
  <c r="D2011" i="1"/>
  <c r="M2011" i="1" s="1"/>
  <c r="O143" i="1"/>
  <c r="P143" i="1" s="1"/>
  <c r="C144" i="1"/>
  <c r="L144" i="1" s="1"/>
  <c r="D143" i="1"/>
  <c r="M143" i="1" s="1"/>
  <c r="I2013" i="1" l="1"/>
  <c r="J2012" i="1"/>
  <c r="O2012" i="1"/>
  <c r="L2012" i="1"/>
  <c r="C2013" i="1"/>
  <c r="D2012" i="1"/>
  <c r="M2012" i="1" s="1"/>
  <c r="O144" i="1"/>
  <c r="P144" i="1" s="1"/>
  <c r="C145" i="1"/>
  <c r="L145" i="1" s="1"/>
  <c r="D144" i="1"/>
  <c r="M144" i="1" s="1"/>
  <c r="I2015" i="1" l="1"/>
  <c r="I2017" i="1" s="1"/>
  <c r="I2019" i="1" s="1"/>
  <c r="J2013" i="1"/>
  <c r="J2015" i="1" s="1"/>
  <c r="J2017" i="1" s="1"/>
  <c r="J2019" i="1" s="1"/>
  <c r="O2013" i="1"/>
  <c r="L2013" i="1"/>
  <c r="C2014" i="1"/>
  <c r="D2013" i="1"/>
  <c r="M2013" i="1" s="1"/>
  <c r="O145" i="1"/>
  <c r="P145" i="1" s="1"/>
  <c r="D145" i="1"/>
  <c r="M145" i="1" s="1"/>
  <c r="C146" i="1"/>
  <c r="L146" i="1" s="1"/>
  <c r="O2014" i="1" l="1"/>
  <c r="L2014" i="1"/>
  <c r="C2015" i="1"/>
  <c r="D2014" i="1"/>
  <c r="M2014" i="1" s="1"/>
  <c r="O146" i="1"/>
  <c r="P146" i="1" s="1"/>
  <c r="D146" i="1"/>
  <c r="M146" i="1" s="1"/>
  <c r="C147" i="1"/>
  <c r="L147" i="1" s="1"/>
  <c r="O2015" i="1" l="1"/>
  <c r="L2015" i="1"/>
  <c r="C2016" i="1"/>
  <c r="D2015" i="1"/>
  <c r="M2015" i="1" s="1"/>
  <c r="O147" i="1"/>
  <c r="P147" i="1" s="1"/>
  <c r="D147" i="1"/>
  <c r="M147" i="1" s="1"/>
  <c r="C148" i="1"/>
  <c r="L148" i="1" s="1"/>
  <c r="O2016" i="1" l="1"/>
  <c r="L2016" i="1"/>
  <c r="C2017" i="1"/>
  <c r="D2016" i="1"/>
  <c r="M2016" i="1" s="1"/>
  <c r="O148" i="1"/>
  <c r="P148" i="1" s="1"/>
  <c r="C149" i="1"/>
  <c r="L149" i="1" s="1"/>
  <c r="D148" i="1"/>
  <c r="M148" i="1" s="1"/>
  <c r="O2017" i="1" l="1"/>
  <c r="L2017" i="1"/>
  <c r="C2018" i="1"/>
  <c r="D2017" i="1"/>
  <c r="M2017" i="1" s="1"/>
  <c r="O149" i="1"/>
  <c r="P149" i="1" s="1"/>
  <c r="C150" i="1"/>
  <c r="L150" i="1" s="1"/>
  <c r="D149" i="1"/>
  <c r="M149" i="1" s="1"/>
  <c r="O2018" i="1" l="1"/>
  <c r="L2018" i="1"/>
  <c r="C2019" i="1"/>
  <c r="D2018" i="1"/>
  <c r="M2018" i="1" s="1"/>
  <c r="O150" i="1"/>
  <c r="P150" i="1" s="1"/>
  <c r="D150" i="1"/>
  <c r="M150" i="1" s="1"/>
  <c r="C151" i="1"/>
  <c r="L151" i="1" s="1"/>
  <c r="O2019" i="1" l="1"/>
  <c r="L2019" i="1"/>
  <c r="C2020" i="1"/>
  <c r="D2019" i="1"/>
  <c r="M2019" i="1" s="1"/>
  <c r="O151" i="1"/>
  <c r="P151" i="1" s="1"/>
  <c r="D151" i="1"/>
  <c r="M151" i="1" s="1"/>
  <c r="C152" i="1"/>
  <c r="L152" i="1" s="1"/>
  <c r="O2020" i="1" l="1"/>
  <c r="L2020" i="1"/>
  <c r="C2021" i="1"/>
  <c r="D2020" i="1"/>
  <c r="M2020" i="1" s="1"/>
  <c r="O152" i="1"/>
  <c r="P152" i="1" s="1"/>
  <c r="C153" i="1"/>
  <c r="L153" i="1" s="1"/>
  <c r="D152" i="1"/>
  <c r="M152" i="1" s="1"/>
  <c r="O2021" i="1" l="1"/>
  <c r="L2021" i="1"/>
  <c r="C2022" i="1"/>
  <c r="D2021" i="1"/>
  <c r="M2021" i="1" s="1"/>
  <c r="O153" i="1"/>
  <c r="P153" i="1" s="1"/>
  <c r="D153" i="1"/>
  <c r="M153" i="1" s="1"/>
  <c r="C154" i="1"/>
  <c r="O2022" i="1" l="1"/>
  <c r="L2022" i="1"/>
  <c r="I155" i="1"/>
  <c r="L154" i="1"/>
  <c r="C2023" i="1"/>
  <c r="D2022" i="1"/>
  <c r="M2022" i="1" s="1"/>
  <c r="O154" i="1"/>
  <c r="P154" i="1" s="1"/>
  <c r="C155" i="1"/>
  <c r="L155" i="1" s="1"/>
  <c r="D154" i="1"/>
  <c r="M154" i="1" s="1"/>
  <c r="J155" i="1" l="1"/>
  <c r="I156" i="1"/>
  <c r="O2023" i="1"/>
  <c r="L2023" i="1"/>
  <c r="C2024" i="1"/>
  <c r="D2023" i="1"/>
  <c r="M2023" i="1" s="1"/>
  <c r="O155" i="1"/>
  <c r="P155" i="1" s="1"/>
  <c r="D155" i="1"/>
  <c r="M155" i="1" s="1"/>
  <c r="C156" i="1"/>
  <c r="L156" i="1" s="1"/>
  <c r="I158" i="1" l="1"/>
  <c r="I160" i="1" s="1"/>
  <c r="I162" i="1" s="1"/>
  <c r="J156" i="1"/>
  <c r="J158" i="1" s="1"/>
  <c r="J160" i="1" s="1"/>
  <c r="J162" i="1" s="1"/>
  <c r="O2024" i="1"/>
  <c r="L2024" i="1"/>
  <c r="C2025" i="1"/>
  <c r="D2024" i="1"/>
  <c r="M2024" i="1" s="1"/>
  <c r="O156" i="1"/>
  <c r="P156" i="1" s="1"/>
  <c r="C157" i="1"/>
  <c r="L157" i="1" s="1"/>
  <c r="D156" i="1"/>
  <c r="M156" i="1" s="1"/>
  <c r="O2025" i="1" l="1"/>
  <c r="L2025" i="1"/>
  <c r="C2026" i="1"/>
  <c r="D2025" i="1"/>
  <c r="M2025" i="1" s="1"/>
  <c r="O157" i="1"/>
  <c r="P157" i="1" s="1"/>
  <c r="D157" i="1"/>
  <c r="M157" i="1" s="1"/>
  <c r="C158" i="1"/>
  <c r="L158" i="1" s="1"/>
  <c r="O2026" i="1" l="1"/>
  <c r="L2026" i="1"/>
  <c r="C2027" i="1"/>
  <c r="D2026" i="1"/>
  <c r="M2026" i="1" s="1"/>
  <c r="O158" i="1"/>
  <c r="P158" i="1" s="1"/>
  <c r="C159" i="1"/>
  <c r="L159" i="1" s="1"/>
  <c r="D158" i="1"/>
  <c r="M158" i="1" s="1"/>
  <c r="O2027" i="1" l="1"/>
  <c r="L2027" i="1"/>
  <c r="C2028" i="1"/>
  <c r="L2028" i="1" s="1"/>
  <c r="D2027" i="1"/>
  <c r="M2027" i="1" s="1"/>
  <c r="O159" i="1"/>
  <c r="P159" i="1" s="1"/>
  <c r="D159" i="1"/>
  <c r="M159" i="1" s="1"/>
  <c r="C160" i="1"/>
  <c r="L160" i="1" s="1"/>
  <c r="C2029" i="1" l="1"/>
  <c r="L2029" i="1" s="1"/>
  <c r="D2028" i="1"/>
  <c r="M2028" i="1" s="1"/>
  <c r="O160" i="1"/>
  <c r="P160" i="1" s="1"/>
  <c r="C161" i="1"/>
  <c r="L161" i="1" s="1"/>
  <c r="D160" i="1"/>
  <c r="M160" i="1" s="1"/>
  <c r="C2030" i="1" l="1"/>
  <c r="D2029" i="1"/>
  <c r="M2029" i="1" s="1"/>
  <c r="O161" i="1"/>
  <c r="P161" i="1" s="1"/>
  <c r="D161" i="1"/>
  <c r="M161" i="1" s="1"/>
  <c r="C162" i="1"/>
  <c r="L162" i="1" s="1"/>
  <c r="O2030" i="1" l="1"/>
  <c r="L2030" i="1"/>
  <c r="C2031" i="1"/>
  <c r="D2030" i="1"/>
  <c r="M2030" i="1" s="1"/>
  <c r="O162" i="1"/>
  <c r="P162" i="1" s="1"/>
  <c r="C163" i="1"/>
  <c r="L163" i="1" s="1"/>
  <c r="D162" i="1"/>
  <c r="M162" i="1" s="1"/>
  <c r="O2031" i="1" l="1"/>
  <c r="L2031" i="1"/>
  <c r="C2032" i="1"/>
  <c r="D2031" i="1"/>
  <c r="M2031" i="1" s="1"/>
  <c r="O163" i="1"/>
  <c r="P163" i="1" s="1"/>
  <c r="C164" i="1"/>
  <c r="L164" i="1" s="1"/>
  <c r="D163" i="1"/>
  <c r="M163" i="1" s="1"/>
  <c r="O2032" i="1" l="1"/>
  <c r="L2032" i="1"/>
  <c r="C2033" i="1"/>
  <c r="D2032" i="1"/>
  <c r="M2032" i="1" s="1"/>
  <c r="O164" i="1"/>
  <c r="P164" i="1" s="1"/>
  <c r="C165" i="1"/>
  <c r="L165" i="1" s="1"/>
  <c r="D164" i="1"/>
  <c r="M164" i="1" s="1"/>
  <c r="O2033" i="1" l="1"/>
  <c r="L2033" i="1"/>
  <c r="C2034" i="1"/>
  <c r="D2033" i="1"/>
  <c r="M2033" i="1" s="1"/>
  <c r="O165" i="1"/>
  <c r="P165" i="1" s="1"/>
  <c r="D165" i="1"/>
  <c r="M165" i="1" s="1"/>
  <c r="C166" i="1"/>
  <c r="L166" i="1" s="1"/>
  <c r="O2034" i="1" l="1"/>
  <c r="L2034" i="1"/>
  <c r="C2035" i="1"/>
  <c r="D2034" i="1"/>
  <c r="M2034" i="1" s="1"/>
  <c r="O166" i="1"/>
  <c r="P166" i="1" s="1"/>
  <c r="C167" i="1"/>
  <c r="L167" i="1" s="1"/>
  <c r="D166" i="1"/>
  <c r="M166" i="1" s="1"/>
  <c r="O2035" i="1" l="1"/>
  <c r="L2035" i="1"/>
  <c r="C2036" i="1"/>
  <c r="D2035" i="1"/>
  <c r="M2035" i="1" s="1"/>
  <c r="O167" i="1"/>
  <c r="P167" i="1" s="1"/>
  <c r="D167" i="1"/>
  <c r="M167" i="1" s="1"/>
  <c r="C168" i="1"/>
  <c r="L168" i="1" s="1"/>
  <c r="O2036" i="1" l="1"/>
  <c r="L2036" i="1"/>
  <c r="C2037" i="1"/>
  <c r="D2036" i="1"/>
  <c r="M2036" i="1" s="1"/>
  <c r="O168" i="1"/>
  <c r="P168" i="1" s="1"/>
  <c r="C169" i="1"/>
  <c r="L169" i="1" s="1"/>
  <c r="D168" i="1"/>
  <c r="M168" i="1" s="1"/>
  <c r="O2037" i="1" l="1"/>
  <c r="L2037" i="1"/>
  <c r="C2038" i="1"/>
  <c r="D2037" i="1"/>
  <c r="M2037" i="1" s="1"/>
  <c r="O169" i="1"/>
  <c r="P169" i="1" s="1"/>
  <c r="C170" i="1"/>
  <c r="L170" i="1" s="1"/>
  <c r="D169" i="1"/>
  <c r="M169" i="1" s="1"/>
  <c r="O2038" i="1" l="1"/>
  <c r="L2038" i="1"/>
  <c r="C2039" i="1"/>
  <c r="D2038" i="1"/>
  <c r="M2038" i="1" s="1"/>
  <c r="O170" i="1"/>
  <c r="P170" i="1" s="1"/>
  <c r="C171" i="1"/>
  <c r="L171" i="1" s="1"/>
  <c r="D170" i="1"/>
  <c r="M170" i="1" s="1"/>
  <c r="O2039" i="1" l="1"/>
  <c r="L2039" i="1"/>
  <c r="C2040" i="1"/>
  <c r="D2039" i="1"/>
  <c r="M2039" i="1" s="1"/>
  <c r="O171" i="1"/>
  <c r="P171" i="1" s="1"/>
  <c r="C172" i="1"/>
  <c r="L172" i="1" s="1"/>
  <c r="D171" i="1"/>
  <c r="M171" i="1" s="1"/>
  <c r="O2040" i="1" l="1"/>
  <c r="L2040" i="1"/>
  <c r="C2041" i="1"/>
  <c r="D2040" i="1"/>
  <c r="M2040" i="1" s="1"/>
  <c r="O172" i="1"/>
  <c r="P172" i="1" s="1"/>
  <c r="C173" i="1"/>
  <c r="L173" i="1" s="1"/>
  <c r="D172" i="1"/>
  <c r="M172" i="1" s="1"/>
  <c r="I2042" i="1" l="1"/>
  <c r="L2041" i="1"/>
  <c r="O2041" i="1"/>
  <c r="C2042" i="1"/>
  <c r="D2041" i="1"/>
  <c r="M2041" i="1" s="1"/>
  <c r="O173" i="1"/>
  <c r="P173" i="1" s="1"/>
  <c r="D173" i="1"/>
  <c r="M173" i="1" s="1"/>
  <c r="C174" i="1"/>
  <c r="L174" i="1" s="1"/>
  <c r="J2042" i="1" l="1"/>
  <c r="I2043" i="1"/>
  <c r="O2042" i="1"/>
  <c r="L2042" i="1"/>
  <c r="C2043" i="1"/>
  <c r="L2043" i="1" s="1"/>
  <c r="D2042" i="1"/>
  <c r="M2042" i="1" s="1"/>
  <c r="O174" i="1"/>
  <c r="P174" i="1" s="1"/>
  <c r="C175" i="1"/>
  <c r="L175" i="1" s="1"/>
  <c r="D174" i="1"/>
  <c r="M174" i="1" s="1"/>
  <c r="I2045" i="1" l="1"/>
  <c r="I2047" i="1" s="1"/>
  <c r="I2049" i="1" s="1"/>
  <c r="J2043" i="1"/>
  <c r="J2045" i="1" s="1"/>
  <c r="J2047" i="1" s="1"/>
  <c r="J2049" i="1" s="1"/>
  <c r="C2044" i="1"/>
  <c r="L2044" i="1" s="1"/>
  <c r="D2043" i="1"/>
  <c r="M2043" i="1" s="1"/>
  <c r="O175" i="1"/>
  <c r="P175" i="1" s="1"/>
  <c r="C176" i="1"/>
  <c r="L176" i="1" s="1"/>
  <c r="D175" i="1"/>
  <c r="M175" i="1" s="1"/>
  <c r="D2044" i="1" l="1"/>
  <c r="M2044" i="1" s="1"/>
  <c r="C2045" i="1"/>
  <c r="L2045" i="1" s="1"/>
  <c r="O176" i="1"/>
  <c r="P176" i="1" s="1"/>
  <c r="C177" i="1"/>
  <c r="L177" i="1" s="1"/>
  <c r="D176" i="1"/>
  <c r="M176" i="1" s="1"/>
  <c r="C2046" i="1" l="1"/>
  <c r="L2046" i="1" s="1"/>
  <c r="D2045" i="1"/>
  <c r="M2045" i="1" s="1"/>
  <c r="O177" i="1"/>
  <c r="P177" i="1" s="1"/>
  <c r="C178" i="1"/>
  <c r="L178" i="1" s="1"/>
  <c r="D177" i="1"/>
  <c r="M177" i="1" s="1"/>
  <c r="C2047" i="1" l="1"/>
  <c r="D2046" i="1"/>
  <c r="M2046" i="1" s="1"/>
  <c r="O178" i="1"/>
  <c r="P178" i="1" s="1"/>
  <c r="C179" i="1"/>
  <c r="L179" i="1" s="1"/>
  <c r="D178" i="1"/>
  <c r="M178" i="1" s="1"/>
  <c r="O2047" i="1" l="1"/>
  <c r="L2047" i="1"/>
  <c r="C2048" i="1"/>
  <c r="L2048" i="1" s="1"/>
  <c r="D2047" i="1"/>
  <c r="M2047" i="1" s="1"/>
  <c r="O179" i="1"/>
  <c r="P179" i="1" s="1"/>
  <c r="C180" i="1"/>
  <c r="L180" i="1" s="1"/>
  <c r="D179" i="1"/>
  <c r="M179" i="1" s="1"/>
  <c r="O2048" i="1" l="1"/>
  <c r="C2049" i="1"/>
  <c r="D2048" i="1"/>
  <c r="M2048" i="1" s="1"/>
  <c r="O180" i="1"/>
  <c r="P180" i="1" s="1"/>
  <c r="C181" i="1"/>
  <c r="L181" i="1" s="1"/>
  <c r="D180" i="1"/>
  <c r="M180" i="1" s="1"/>
  <c r="O2049" i="1" l="1"/>
  <c r="L2049" i="1"/>
  <c r="C2050" i="1"/>
  <c r="D2049" i="1"/>
  <c r="M2049" i="1" s="1"/>
  <c r="O181" i="1"/>
  <c r="P181" i="1" s="1"/>
  <c r="C182" i="1"/>
  <c r="L182" i="1" s="1"/>
  <c r="D181" i="1"/>
  <c r="M181" i="1" s="1"/>
  <c r="O2050" i="1" l="1"/>
  <c r="L2050" i="1"/>
  <c r="C2051" i="1"/>
  <c r="D2050" i="1"/>
  <c r="M2050" i="1" s="1"/>
  <c r="O182" i="1"/>
  <c r="P182" i="1" s="1"/>
  <c r="C183" i="1"/>
  <c r="L183" i="1" s="1"/>
  <c r="D182" i="1"/>
  <c r="M182" i="1" s="1"/>
  <c r="O2051" i="1" l="1"/>
  <c r="L2051" i="1"/>
  <c r="C2052" i="1"/>
  <c r="D2051" i="1"/>
  <c r="M2051" i="1" s="1"/>
  <c r="O183" i="1"/>
  <c r="P183" i="1" s="1"/>
  <c r="D183" i="1"/>
  <c r="M183" i="1" s="1"/>
  <c r="C184" i="1"/>
  <c r="L184" i="1" s="1"/>
  <c r="O2052" i="1" l="1"/>
  <c r="L2052" i="1"/>
  <c r="C2053" i="1"/>
  <c r="D2052" i="1"/>
  <c r="M2052" i="1" s="1"/>
  <c r="O184" i="1"/>
  <c r="P184" i="1" s="1"/>
  <c r="C185" i="1"/>
  <c r="D184" i="1"/>
  <c r="M184" i="1" s="1"/>
  <c r="O2053" i="1" l="1"/>
  <c r="L2053" i="1"/>
  <c r="I186" i="1"/>
  <c r="L185" i="1"/>
  <c r="C2054" i="1"/>
  <c r="D2053" i="1"/>
  <c r="M2053" i="1" s="1"/>
  <c r="O185" i="1"/>
  <c r="P185" i="1" s="1"/>
  <c r="D185" i="1"/>
  <c r="M185" i="1" s="1"/>
  <c r="C186" i="1"/>
  <c r="L186" i="1" s="1"/>
  <c r="J186" i="1" l="1"/>
  <c r="I187" i="1"/>
  <c r="O2054" i="1"/>
  <c r="L2054" i="1"/>
  <c r="C2055" i="1"/>
  <c r="D2054" i="1"/>
  <c r="M2054" i="1" s="1"/>
  <c r="O186" i="1"/>
  <c r="P186" i="1" s="1"/>
  <c r="C187" i="1"/>
  <c r="L187" i="1" s="1"/>
  <c r="D186" i="1"/>
  <c r="M186" i="1" s="1"/>
  <c r="I189" i="1" l="1"/>
  <c r="I191" i="1" s="1"/>
  <c r="I193" i="1" s="1"/>
  <c r="J187" i="1"/>
  <c r="J189" i="1" s="1"/>
  <c r="J191" i="1" s="1"/>
  <c r="J193" i="1" s="1"/>
  <c r="O2055" i="1"/>
  <c r="L2055" i="1"/>
  <c r="C2056" i="1"/>
  <c r="D2055" i="1"/>
  <c r="M2055" i="1" s="1"/>
  <c r="O187" i="1"/>
  <c r="P187" i="1" s="1"/>
  <c r="C188" i="1"/>
  <c r="L188" i="1" s="1"/>
  <c r="D187" i="1"/>
  <c r="M187" i="1" s="1"/>
  <c r="O2056" i="1" l="1"/>
  <c r="L2056" i="1"/>
  <c r="C2057" i="1"/>
  <c r="D2056" i="1"/>
  <c r="M2056" i="1" s="1"/>
  <c r="O188" i="1"/>
  <c r="P188" i="1" s="1"/>
  <c r="C189" i="1"/>
  <c r="L189" i="1" s="1"/>
  <c r="D188" i="1"/>
  <c r="M188" i="1" s="1"/>
  <c r="O2057" i="1" l="1"/>
  <c r="L2057" i="1"/>
  <c r="C2058" i="1"/>
  <c r="D2057" i="1"/>
  <c r="M2057" i="1" s="1"/>
  <c r="O189" i="1"/>
  <c r="P189" i="1" s="1"/>
  <c r="D189" i="1"/>
  <c r="M189" i="1" s="1"/>
  <c r="C190" i="1"/>
  <c r="L190" i="1" s="1"/>
  <c r="O2058" i="1" l="1"/>
  <c r="L2058" i="1"/>
  <c r="C2059" i="1"/>
  <c r="D2058" i="1"/>
  <c r="M2058" i="1" s="1"/>
  <c r="O190" i="1"/>
  <c r="P190" i="1" s="1"/>
  <c r="C191" i="1"/>
  <c r="L191" i="1" s="1"/>
  <c r="D190" i="1"/>
  <c r="M190" i="1" s="1"/>
  <c r="O2059" i="1" l="1"/>
  <c r="L2059" i="1"/>
  <c r="C2060" i="1"/>
  <c r="D2059" i="1"/>
  <c r="M2059" i="1" s="1"/>
  <c r="O191" i="1"/>
  <c r="P191" i="1" s="1"/>
  <c r="D191" i="1"/>
  <c r="M191" i="1" s="1"/>
  <c r="C192" i="1"/>
  <c r="L192" i="1" s="1"/>
  <c r="O2060" i="1" l="1"/>
  <c r="L2060" i="1"/>
  <c r="C2061" i="1"/>
  <c r="D2060" i="1"/>
  <c r="M2060" i="1" s="1"/>
  <c r="O192" i="1"/>
  <c r="P192" i="1" s="1"/>
  <c r="C193" i="1"/>
  <c r="L193" i="1" s="1"/>
  <c r="D192" i="1"/>
  <c r="M192" i="1" s="1"/>
  <c r="O2061" i="1" l="1"/>
  <c r="L2061" i="1"/>
  <c r="C2062" i="1"/>
  <c r="D2061" i="1"/>
  <c r="M2061" i="1" s="1"/>
  <c r="O193" i="1"/>
  <c r="P193" i="1" s="1"/>
  <c r="C194" i="1"/>
  <c r="L194" i="1" s="1"/>
  <c r="D193" i="1"/>
  <c r="M193" i="1" s="1"/>
  <c r="O2062" i="1" l="1"/>
  <c r="L2062" i="1"/>
  <c r="C2063" i="1"/>
  <c r="D2062" i="1"/>
  <c r="M2062" i="1" s="1"/>
  <c r="O194" i="1"/>
  <c r="P194" i="1" s="1"/>
  <c r="C195" i="1"/>
  <c r="L195" i="1" s="1"/>
  <c r="D194" i="1"/>
  <c r="M194" i="1" s="1"/>
  <c r="O2063" i="1" l="1"/>
  <c r="L2063" i="1"/>
  <c r="C2064" i="1"/>
  <c r="D2063" i="1"/>
  <c r="M2063" i="1" s="1"/>
  <c r="O195" i="1"/>
  <c r="P195" i="1" s="1"/>
  <c r="C196" i="1"/>
  <c r="L196" i="1" s="1"/>
  <c r="D195" i="1"/>
  <c r="M195" i="1" s="1"/>
  <c r="O2064" i="1" l="1"/>
  <c r="L2064" i="1"/>
  <c r="C2065" i="1"/>
  <c r="D2064" i="1"/>
  <c r="M2064" i="1" s="1"/>
  <c r="O196" i="1"/>
  <c r="P196" i="1" s="1"/>
  <c r="D196" i="1"/>
  <c r="M196" i="1" s="1"/>
  <c r="C197" i="1"/>
  <c r="L197" i="1" s="1"/>
  <c r="O2065" i="1" l="1"/>
  <c r="L2065" i="1"/>
  <c r="C2066" i="1"/>
  <c r="D2065" i="1"/>
  <c r="M2065" i="1" s="1"/>
  <c r="O197" i="1"/>
  <c r="P197" i="1" s="1"/>
  <c r="D197" i="1"/>
  <c r="M197" i="1" s="1"/>
  <c r="C198" i="1"/>
  <c r="L198" i="1" s="1"/>
  <c r="O2066" i="1" l="1"/>
  <c r="L2066" i="1"/>
  <c r="C2067" i="1"/>
  <c r="D2066" i="1"/>
  <c r="M2066" i="1" s="1"/>
  <c r="O198" i="1"/>
  <c r="P198" i="1" s="1"/>
  <c r="C199" i="1"/>
  <c r="L199" i="1" s="1"/>
  <c r="D198" i="1"/>
  <c r="M198" i="1" s="1"/>
  <c r="O2067" i="1" l="1"/>
  <c r="L2067" i="1"/>
  <c r="C2068" i="1"/>
  <c r="D2067" i="1"/>
  <c r="M2067" i="1" s="1"/>
  <c r="O199" i="1"/>
  <c r="P199" i="1" s="1"/>
  <c r="D199" i="1"/>
  <c r="M199" i="1" s="1"/>
  <c r="C200" i="1"/>
  <c r="L200" i="1" s="1"/>
  <c r="O2068" i="1" l="1"/>
  <c r="L2068" i="1"/>
  <c r="C2069" i="1"/>
  <c r="D2068" i="1"/>
  <c r="M2068" i="1" s="1"/>
  <c r="O200" i="1"/>
  <c r="P200" i="1" s="1"/>
  <c r="D200" i="1"/>
  <c r="M200" i="1" s="1"/>
  <c r="C201" i="1"/>
  <c r="L201" i="1" s="1"/>
  <c r="O2069" i="1" l="1"/>
  <c r="L2069" i="1"/>
  <c r="C2070" i="1"/>
  <c r="L2070" i="1" s="1"/>
  <c r="D2069" i="1"/>
  <c r="M2069" i="1" s="1"/>
  <c r="O201" i="1"/>
  <c r="P201" i="1" s="1"/>
  <c r="D201" i="1"/>
  <c r="M201" i="1" s="1"/>
  <c r="C202" i="1"/>
  <c r="L202" i="1" s="1"/>
  <c r="O2070" i="1" l="1"/>
  <c r="C2071" i="1"/>
  <c r="L2071" i="1" s="1"/>
  <c r="D2070" i="1"/>
  <c r="M2070" i="1" s="1"/>
  <c r="O202" i="1"/>
  <c r="P202" i="1" s="1"/>
  <c r="C203" i="1"/>
  <c r="L203" i="1" s="1"/>
  <c r="D202" i="1"/>
  <c r="M202" i="1" s="1"/>
  <c r="D2071" i="1" l="1"/>
  <c r="M2071" i="1" s="1"/>
  <c r="O2071" i="1"/>
  <c r="C2072" i="1"/>
  <c r="O203" i="1"/>
  <c r="P203" i="1" s="1"/>
  <c r="D203" i="1"/>
  <c r="M203" i="1" s="1"/>
  <c r="C204" i="1"/>
  <c r="L204" i="1" s="1"/>
  <c r="I2073" i="1" l="1"/>
  <c r="L2072" i="1"/>
  <c r="O2072" i="1"/>
  <c r="C2073" i="1"/>
  <c r="D2072" i="1"/>
  <c r="M2072" i="1" s="1"/>
  <c r="O204" i="1"/>
  <c r="P204" i="1" s="1"/>
  <c r="C205" i="1"/>
  <c r="L205" i="1" s="1"/>
  <c r="D204" i="1"/>
  <c r="M204" i="1" s="1"/>
  <c r="J2073" i="1" l="1"/>
  <c r="I2074" i="1"/>
  <c r="O2073" i="1"/>
  <c r="L2073" i="1"/>
  <c r="C2074" i="1"/>
  <c r="D2073" i="1"/>
  <c r="M2073" i="1" s="1"/>
  <c r="O205" i="1"/>
  <c r="P205" i="1" s="1"/>
  <c r="D205" i="1"/>
  <c r="M205" i="1" s="1"/>
  <c r="C206" i="1"/>
  <c r="L206" i="1" s="1"/>
  <c r="I2076" i="1" l="1"/>
  <c r="I2078" i="1" s="1"/>
  <c r="I2080" i="1" s="1"/>
  <c r="J2074" i="1"/>
  <c r="J2076" i="1" s="1"/>
  <c r="J2078" i="1" s="1"/>
  <c r="J2080" i="1" s="1"/>
  <c r="O2074" i="1"/>
  <c r="L2074" i="1"/>
  <c r="C2075" i="1"/>
  <c r="D2074" i="1"/>
  <c r="M2074" i="1" s="1"/>
  <c r="O206" i="1"/>
  <c r="P206" i="1" s="1"/>
  <c r="C207" i="1"/>
  <c r="L207" i="1" s="1"/>
  <c r="D206" i="1"/>
  <c r="M206" i="1" s="1"/>
  <c r="O2075" i="1" l="1"/>
  <c r="L2075" i="1"/>
  <c r="C2076" i="1"/>
  <c r="D2075" i="1"/>
  <c r="M2075" i="1" s="1"/>
  <c r="O207" i="1"/>
  <c r="P207" i="1" s="1"/>
  <c r="D207" i="1"/>
  <c r="M207" i="1" s="1"/>
  <c r="C208" i="1"/>
  <c r="L208" i="1" s="1"/>
  <c r="O2076" i="1" l="1"/>
  <c r="L2076" i="1"/>
  <c r="C2077" i="1"/>
  <c r="D2076" i="1"/>
  <c r="M2076" i="1" s="1"/>
  <c r="O208" i="1"/>
  <c r="P208" i="1" s="1"/>
  <c r="C209" i="1"/>
  <c r="L209" i="1" s="1"/>
  <c r="D208" i="1"/>
  <c r="M208" i="1" s="1"/>
  <c r="O2077" i="1" l="1"/>
  <c r="L2077" i="1"/>
  <c r="C2078" i="1"/>
  <c r="L2078" i="1" s="1"/>
  <c r="D2077" i="1"/>
  <c r="M2077" i="1" s="1"/>
  <c r="O209" i="1"/>
  <c r="P209" i="1" s="1"/>
  <c r="D209" i="1"/>
  <c r="M209" i="1" s="1"/>
  <c r="C210" i="1"/>
  <c r="L210" i="1" s="1"/>
  <c r="O2078" i="1" l="1"/>
  <c r="C2079" i="1"/>
  <c r="D2078" i="1"/>
  <c r="M2078" i="1" s="1"/>
  <c r="O210" i="1"/>
  <c r="P210" i="1" s="1"/>
  <c r="C211" i="1"/>
  <c r="L211" i="1" s="1"/>
  <c r="D210" i="1"/>
  <c r="M210" i="1" s="1"/>
  <c r="O2079" i="1" l="1"/>
  <c r="L2079" i="1"/>
  <c r="C2080" i="1"/>
  <c r="D2079" i="1"/>
  <c r="M2079" i="1" s="1"/>
  <c r="O211" i="1"/>
  <c r="P211" i="1" s="1"/>
  <c r="D211" i="1"/>
  <c r="M211" i="1" s="1"/>
  <c r="C212" i="1"/>
  <c r="L212" i="1" s="1"/>
  <c r="O2080" i="1" l="1"/>
  <c r="L2080" i="1"/>
  <c r="C2081" i="1"/>
  <c r="D2080" i="1"/>
  <c r="M2080" i="1" s="1"/>
  <c r="O212" i="1"/>
  <c r="P212" i="1" s="1"/>
  <c r="C213" i="1"/>
  <c r="L213" i="1" s="1"/>
  <c r="D212" i="1"/>
  <c r="M212" i="1" s="1"/>
  <c r="O2081" i="1" l="1"/>
  <c r="L2081" i="1"/>
  <c r="C2082" i="1"/>
  <c r="D2081" i="1"/>
  <c r="M2081" i="1" s="1"/>
  <c r="O213" i="1"/>
  <c r="P213" i="1" s="1"/>
  <c r="D213" i="1"/>
  <c r="M213" i="1" s="1"/>
  <c r="C214" i="1"/>
  <c r="L214" i="1" s="1"/>
  <c r="O2082" i="1" l="1"/>
  <c r="L2082" i="1"/>
  <c r="C2083" i="1"/>
  <c r="D2082" i="1"/>
  <c r="M2082" i="1" s="1"/>
  <c r="O214" i="1"/>
  <c r="P214" i="1" s="1"/>
  <c r="C215" i="1"/>
  <c r="D214" i="1"/>
  <c r="M214" i="1" s="1"/>
  <c r="O2083" i="1" l="1"/>
  <c r="L2083" i="1"/>
  <c r="I216" i="1"/>
  <c r="L215" i="1"/>
  <c r="C2084" i="1"/>
  <c r="D2083" i="1"/>
  <c r="M2083" i="1" s="1"/>
  <c r="O215" i="1"/>
  <c r="P215" i="1" s="1"/>
  <c r="D215" i="1"/>
  <c r="M215" i="1" s="1"/>
  <c r="C216" i="1"/>
  <c r="L216" i="1" s="1"/>
  <c r="I217" i="1" l="1"/>
  <c r="J216" i="1"/>
  <c r="O2084" i="1"/>
  <c r="L2084" i="1"/>
  <c r="C2085" i="1"/>
  <c r="D2084" i="1"/>
  <c r="M2084" i="1" s="1"/>
  <c r="O216" i="1"/>
  <c r="P216" i="1" s="1"/>
  <c r="C217" i="1"/>
  <c r="L217" i="1" s="1"/>
  <c r="D216" i="1"/>
  <c r="M216" i="1" s="1"/>
  <c r="I219" i="1" l="1"/>
  <c r="I221" i="1" s="1"/>
  <c r="I223" i="1" s="1"/>
  <c r="J217" i="1"/>
  <c r="J219" i="1" s="1"/>
  <c r="J221" i="1" s="1"/>
  <c r="J223" i="1" s="1"/>
  <c r="O2085" i="1"/>
  <c r="L2085" i="1"/>
  <c r="C2086" i="1"/>
  <c r="D2085" i="1"/>
  <c r="M2085" i="1" s="1"/>
  <c r="O217" i="1"/>
  <c r="P217" i="1" s="1"/>
  <c r="D217" i="1"/>
  <c r="M217" i="1" s="1"/>
  <c r="C218" i="1"/>
  <c r="L218" i="1" s="1"/>
  <c r="O2086" i="1" l="1"/>
  <c r="L2086" i="1"/>
  <c r="C2087" i="1"/>
  <c r="D2086" i="1"/>
  <c r="M2086" i="1" s="1"/>
  <c r="O218" i="1"/>
  <c r="P218" i="1" s="1"/>
  <c r="C219" i="1"/>
  <c r="L219" i="1" s="1"/>
  <c r="D218" i="1"/>
  <c r="M218" i="1" s="1"/>
  <c r="O2087" i="1" l="1"/>
  <c r="L2087" i="1"/>
  <c r="C2088" i="1"/>
  <c r="D2087" i="1"/>
  <c r="M2087" i="1" s="1"/>
  <c r="O219" i="1"/>
  <c r="P219" i="1" s="1"/>
  <c r="D219" i="1"/>
  <c r="M219" i="1" s="1"/>
  <c r="C220" i="1"/>
  <c r="L220" i="1" s="1"/>
  <c r="O2088" i="1" l="1"/>
  <c r="L2088" i="1"/>
  <c r="C2089" i="1"/>
  <c r="D2088" i="1"/>
  <c r="M2088" i="1" s="1"/>
  <c r="O220" i="1"/>
  <c r="P220" i="1" s="1"/>
  <c r="C221" i="1"/>
  <c r="L221" i="1" s="1"/>
  <c r="D220" i="1"/>
  <c r="M220" i="1" s="1"/>
  <c r="O2089" i="1" l="1"/>
  <c r="L2089" i="1"/>
  <c r="C2090" i="1"/>
  <c r="D2089" i="1"/>
  <c r="M2089" i="1" s="1"/>
  <c r="O221" i="1"/>
  <c r="P221" i="1" s="1"/>
  <c r="D221" i="1"/>
  <c r="M221" i="1" s="1"/>
  <c r="C222" i="1"/>
  <c r="L222" i="1" s="1"/>
  <c r="O2090" i="1" l="1"/>
  <c r="L2090" i="1"/>
  <c r="C2091" i="1"/>
  <c r="D2090" i="1"/>
  <c r="M2090" i="1" s="1"/>
  <c r="O222" i="1"/>
  <c r="P222" i="1" s="1"/>
  <c r="C223" i="1"/>
  <c r="L223" i="1" s="1"/>
  <c r="D222" i="1"/>
  <c r="M222" i="1" s="1"/>
  <c r="O2091" i="1" l="1"/>
  <c r="L2091" i="1"/>
  <c r="C2092" i="1"/>
  <c r="D2091" i="1"/>
  <c r="M2091" i="1" s="1"/>
  <c r="O223" i="1"/>
  <c r="P223" i="1" s="1"/>
  <c r="D223" i="1"/>
  <c r="M223" i="1" s="1"/>
  <c r="C224" i="1"/>
  <c r="L224" i="1" s="1"/>
  <c r="O2092" i="1" l="1"/>
  <c r="L2092" i="1"/>
  <c r="C2093" i="1"/>
  <c r="D2092" i="1"/>
  <c r="M2092" i="1" s="1"/>
  <c r="O224" i="1"/>
  <c r="P224" i="1" s="1"/>
  <c r="C225" i="1"/>
  <c r="L225" i="1" s="1"/>
  <c r="D224" i="1"/>
  <c r="M224" i="1" s="1"/>
  <c r="O2093" i="1" l="1"/>
  <c r="L2093" i="1"/>
  <c r="C2094" i="1"/>
  <c r="D2093" i="1"/>
  <c r="M2093" i="1" s="1"/>
  <c r="O225" i="1"/>
  <c r="P225" i="1" s="1"/>
  <c r="C226" i="1"/>
  <c r="L226" i="1" s="1"/>
  <c r="D225" i="1"/>
  <c r="M225" i="1" s="1"/>
  <c r="O2094" i="1" l="1"/>
  <c r="L2094" i="1"/>
  <c r="C2095" i="1"/>
  <c r="D2094" i="1"/>
  <c r="M2094" i="1" s="1"/>
  <c r="O226" i="1"/>
  <c r="P226" i="1" s="1"/>
  <c r="C227" i="1"/>
  <c r="L227" i="1" s="1"/>
  <c r="D226" i="1"/>
  <c r="M226" i="1" s="1"/>
  <c r="O2095" i="1" l="1"/>
  <c r="L2095" i="1"/>
  <c r="C2096" i="1"/>
  <c r="D2095" i="1"/>
  <c r="M2095" i="1" s="1"/>
  <c r="O227" i="1"/>
  <c r="P227" i="1" s="1"/>
  <c r="D227" i="1"/>
  <c r="M227" i="1" s="1"/>
  <c r="C228" i="1"/>
  <c r="L228" i="1" s="1"/>
  <c r="O2096" i="1" l="1"/>
  <c r="L2096" i="1"/>
  <c r="C2097" i="1"/>
  <c r="D2096" i="1"/>
  <c r="M2096" i="1" s="1"/>
  <c r="O228" i="1"/>
  <c r="P228" i="1" s="1"/>
  <c r="C229" i="1"/>
  <c r="L229" i="1" s="1"/>
  <c r="D228" i="1"/>
  <c r="M228" i="1" s="1"/>
  <c r="O2097" i="1" l="1"/>
  <c r="L2097" i="1"/>
  <c r="C2098" i="1"/>
  <c r="D2097" i="1"/>
  <c r="M2097" i="1" s="1"/>
  <c r="O229" i="1"/>
  <c r="P229" i="1" s="1"/>
  <c r="D229" i="1"/>
  <c r="M229" i="1" s="1"/>
  <c r="C230" i="1"/>
  <c r="L230" i="1" s="1"/>
  <c r="O2098" i="1" l="1"/>
  <c r="L2098" i="1"/>
  <c r="C2099" i="1"/>
  <c r="D2098" i="1"/>
  <c r="M2098" i="1" s="1"/>
  <c r="O230" i="1"/>
  <c r="P230" i="1" s="1"/>
  <c r="C231" i="1"/>
  <c r="L231" i="1" s="1"/>
  <c r="D230" i="1"/>
  <c r="M230" i="1" s="1"/>
  <c r="O2099" i="1" l="1"/>
  <c r="L2099" i="1"/>
  <c r="C2100" i="1"/>
  <c r="L2100" i="1" s="1"/>
  <c r="D2099" i="1"/>
  <c r="M2099" i="1" s="1"/>
  <c r="O231" i="1"/>
  <c r="P231" i="1" s="1"/>
  <c r="D231" i="1"/>
  <c r="M231" i="1" s="1"/>
  <c r="C232" i="1"/>
  <c r="L232" i="1" s="1"/>
  <c r="C2101" i="1" l="1"/>
  <c r="L2101" i="1" s="1"/>
  <c r="D2100" i="1"/>
  <c r="M2100" i="1" s="1"/>
  <c r="O232" i="1"/>
  <c r="P232" i="1" s="1"/>
  <c r="C233" i="1"/>
  <c r="L233" i="1" s="1"/>
  <c r="D232" i="1"/>
  <c r="M232" i="1" s="1"/>
  <c r="C2102" i="1" l="1"/>
  <c r="L2102" i="1" s="1"/>
  <c r="O2101" i="1"/>
  <c r="D2101" i="1"/>
  <c r="M2101" i="1" s="1"/>
  <c r="O233" i="1"/>
  <c r="P233" i="1" s="1"/>
  <c r="D233" i="1"/>
  <c r="M233" i="1" s="1"/>
  <c r="C234" i="1"/>
  <c r="L234" i="1" s="1"/>
  <c r="D2102" i="1" l="1"/>
  <c r="M2102" i="1" s="1"/>
  <c r="O2102" i="1"/>
  <c r="C2103" i="1"/>
  <c r="O234" i="1"/>
  <c r="P234" i="1" s="1"/>
  <c r="C235" i="1"/>
  <c r="L235" i="1" s="1"/>
  <c r="D234" i="1"/>
  <c r="M234" i="1" s="1"/>
  <c r="I2104" i="1" l="1"/>
  <c r="L2103" i="1"/>
  <c r="C2104" i="1"/>
  <c r="D2103" i="1"/>
  <c r="M2103" i="1" s="1"/>
  <c r="O235" i="1"/>
  <c r="P235" i="1" s="1"/>
  <c r="C236" i="1"/>
  <c r="L236" i="1" s="1"/>
  <c r="D235" i="1"/>
  <c r="M235" i="1" s="1"/>
  <c r="J2104" i="1" l="1"/>
  <c r="I2105" i="1"/>
  <c r="O2104" i="1"/>
  <c r="L2104" i="1"/>
  <c r="C2105" i="1"/>
  <c r="D2104" i="1"/>
  <c r="M2104" i="1" s="1"/>
  <c r="O236" i="1"/>
  <c r="P236" i="1" s="1"/>
  <c r="C237" i="1"/>
  <c r="L237" i="1" s="1"/>
  <c r="D236" i="1"/>
  <c r="M236" i="1" s="1"/>
  <c r="I2107" i="1" l="1"/>
  <c r="I2109" i="1" s="1"/>
  <c r="I2111" i="1" s="1"/>
  <c r="J2105" i="1"/>
  <c r="J2107" i="1" s="1"/>
  <c r="J2109" i="1" s="1"/>
  <c r="J2111" i="1" s="1"/>
  <c r="O2105" i="1"/>
  <c r="L2105" i="1"/>
  <c r="C2106" i="1"/>
  <c r="D2105" i="1"/>
  <c r="M2105" i="1" s="1"/>
  <c r="O237" i="1"/>
  <c r="P237" i="1" s="1"/>
  <c r="C238" i="1"/>
  <c r="L238" i="1" s="1"/>
  <c r="D237" i="1"/>
  <c r="M237" i="1" s="1"/>
  <c r="O2106" i="1" l="1"/>
  <c r="L2106" i="1"/>
  <c r="C2107" i="1"/>
  <c r="D2106" i="1"/>
  <c r="M2106" i="1" s="1"/>
  <c r="O238" i="1"/>
  <c r="P238" i="1" s="1"/>
  <c r="D238" i="1"/>
  <c r="M238" i="1" s="1"/>
  <c r="C239" i="1"/>
  <c r="L239" i="1" s="1"/>
  <c r="O2107" i="1" l="1"/>
  <c r="L2107" i="1"/>
  <c r="C2108" i="1"/>
  <c r="D2107" i="1"/>
  <c r="M2107" i="1" s="1"/>
  <c r="O239" i="1"/>
  <c r="P239" i="1" s="1"/>
  <c r="C240" i="1"/>
  <c r="L240" i="1" s="1"/>
  <c r="D239" i="1"/>
  <c r="M239" i="1" s="1"/>
  <c r="O2108" i="1" l="1"/>
  <c r="L2108" i="1"/>
  <c r="C2109" i="1"/>
  <c r="L2109" i="1" s="1"/>
  <c r="D2108" i="1"/>
  <c r="M2108" i="1" s="1"/>
  <c r="O240" i="1"/>
  <c r="P240" i="1" s="1"/>
  <c r="D240" i="1"/>
  <c r="M240" i="1" s="1"/>
  <c r="C241" i="1"/>
  <c r="L241" i="1" s="1"/>
  <c r="O2109" i="1" l="1"/>
  <c r="C2110" i="1"/>
  <c r="D2109" i="1"/>
  <c r="M2109" i="1" s="1"/>
  <c r="O241" i="1"/>
  <c r="P241" i="1" s="1"/>
  <c r="C242" i="1"/>
  <c r="L242" i="1" s="1"/>
  <c r="D241" i="1"/>
  <c r="M241" i="1" s="1"/>
  <c r="O2110" i="1" l="1"/>
  <c r="L2110" i="1"/>
  <c r="C2111" i="1"/>
  <c r="D2110" i="1"/>
  <c r="M2110" i="1" s="1"/>
  <c r="O242" i="1"/>
  <c r="P242" i="1" s="1"/>
  <c r="D242" i="1"/>
  <c r="M242" i="1" s="1"/>
  <c r="C243" i="1"/>
  <c r="L243" i="1" s="1"/>
  <c r="O2111" i="1" l="1"/>
  <c r="L2111" i="1"/>
  <c r="C2112" i="1"/>
  <c r="D2111" i="1"/>
  <c r="M2111" i="1" s="1"/>
  <c r="O243" i="1"/>
  <c r="P243" i="1" s="1"/>
  <c r="C244" i="1"/>
  <c r="L244" i="1" s="1"/>
  <c r="D243" i="1"/>
  <c r="M243" i="1" s="1"/>
  <c r="O2112" i="1" l="1"/>
  <c r="L2112" i="1"/>
  <c r="C2113" i="1"/>
  <c r="D2112" i="1"/>
  <c r="M2112" i="1" s="1"/>
  <c r="O244" i="1"/>
  <c r="P244" i="1" s="1"/>
  <c r="D244" i="1"/>
  <c r="M244" i="1" s="1"/>
  <c r="C245" i="1"/>
  <c r="L245" i="1" s="1"/>
  <c r="O2113" i="1" l="1"/>
  <c r="L2113" i="1"/>
  <c r="C2114" i="1"/>
  <c r="D2113" i="1"/>
  <c r="M2113" i="1" s="1"/>
  <c r="O245" i="1"/>
  <c r="P245" i="1" s="1"/>
  <c r="D245" i="1"/>
  <c r="M245" i="1" s="1"/>
  <c r="C246" i="1"/>
  <c r="O2114" i="1" l="1"/>
  <c r="L2114" i="1"/>
  <c r="I247" i="1"/>
  <c r="L246" i="1"/>
  <c r="C2115" i="1"/>
  <c r="D2114" i="1"/>
  <c r="M2114" i="1" s="1"/>
  <c r="O246" i="1"/>
  <c r="P246" i="1" s="1"/>
  <c r="D246" i="1"/>
  <c r="M246" i="1" s="1"/>
  <c r="C247" i="1"/>
  <c r="L247" i="1" s="1"/>
  <c r="I248" i="1" l="1"/>
  <c r="J247" i="1"/>
  <c r="O2115" i="1"/>
  <c r="L2115" i="1"/>
  <c r="C2116" i="1"/>
  <c r="D2115" i="1"/>
  <c r="M2115" i="1" s="1"/>
  <c r="O247" i="1"/>
  <c r="P247" i="1" s="1"/>
  <c r="D247" i="1"/>
  <c r="M247" i="1" s="1"/>
  <c r="C248" i="1"/>
  <c r="L248" i="1" s="1"/>
  <c r="I250" i="1" l="1"/>
  <c r="I252" i="1" s="1"/>
  <c r="I254" i="1" s="1"/>
  <c r="J248" i="1"/>
  <c r="J250" i="1" s="1"/>
  <c r="J252" i="1" s="1"/>
  <c r="J254" i="1" s="1"/>
  <c r="O2116" i="1"/>
  <c r="L2116" i="1"/>
  <c r="C2117" i="1"/>
  <c r="D2116" i="1"/>
  <c r="M2116" i="1" s="1"/>
  <c r="O248" i="1"/>
  <c r="P248" i="1" s="1"/>
  <c r="C249" i="1"/>
  <c r="L249" i="1" s="1"/>
  <c r="D248" i="1"/>
  <c r="M248" i="1" s="1"/>
  <c r="O2117" i="1" l="1"/>
  <c r="L2117" i="1"/>
  <c r="C2118" i="1"/>
  <c r="D2117" i="1"/>
  <c r="M2117" i="1" s="1"/>
  <c r="O249" i="1"/>
  <c r="P249" i="1" s="1"/>
  <c r="D249" i="1"/>
  <c r="M249" i="1" s="1"/>
  <c r="C250" i="1"/>
  <c r="L250" i="1" s="1"/>
  <c r="O2118" i="1" l="1"/>
  <c r="L2118" i="1"/>
  <c r="C2119" i="1"/>
  <c r="D2118" i="1"/>
  <c r="M2118" i="1" s="1"/>
  <c r="O250" i="1"/>
  <c r="P250" i="1" s="1"/>
  <c r="C251" i="1"/>
  <c r="L251" i="1" s="1"/>
  <c r="D250" i="1"/>
  <c r="M250" i="1" s="1"/>
  <c r="O2119" i="1" l="1"/>
  <c r="L2119" i="1"/>
  <c r="C2120" i="1"/>
  <c r="D2119" i="1"/>
  <c r="M2119" i="1" s="1"/>
  <c r="O251" i="1"/>
  <c r="P251" i="1" s="1"/>
  <c r="D251" i="1"/>
  <c r="M251" i="1" s="1"/>
  <c r="C252" i="1"/>
  <c r="L252" i="1" s="1"/>
  <c r="O2120" i="1" l="1"/>
  <c r="L2120" i="1"/>
  <c r="C2121" i="1"/>
  <c r="D2120" i="1"/>
  <c r="M2120" i="1" s="1"/>
  <c r="O252" i="1"/>
  <c r="P252" i="1" s="1"/>
  <c r="C253" i="1"/>
  <c r="L253" i="1" s="1"/>
  <c r="D252" i="1"/>
  <c r="M252" i="1" s="1"/>
  <c r="O2121" i="1" l="1"/>
  <c r="L2121" i="1"/>
  <c r="C2122" i="1"/>
  <c r="D2121" i="1"/>
  <c r="M2121" i="1" s="1"/>
  <c r="O253" i="1"/>
  <c r="P253" i="1" s="1"/>
  <c r="D253" i="1"/>
  <c r="M253" i="1" s="1"/>
  <c r="C254" i="1"/>
  <c r="L254" i="1" s="1"/>
  <c r="O2122" i="1" l="1"/>
  <c r="L2122" i="1"/>
  <c r="C2123" i="1"/>
  <c r="D2122" i="1"/>
  <c r="M2122" i="1" s="1"/>
  <c r="O254" i="1"/>
  <c r="P254" i="1" s="1"/>
  <c r="D254" i="1"/>
  <c r="M254" i="1" s="1"/>
  <c r="C255" i="1"/>
  <c r="L255" i="1" s="1"/>
  <c r="O2123" i="1" l="1"/>
  <c r="L2123" i="1"/>
  <c r="C2124" i="1"/>
  <c r="D2123" i="1"/>
  <c r="M2123" i="1" s="1"/>
  <c r="O255" i="1"/>
  <c r="P255" i="1" s="1"/>
  <c r="D255" i="1"/>
  <c r="M255" i="1" s="1"/>
  <c r="C256" i="1"/>
  <c r="L256" i="1" s="1"/>
  <c r="O2124" i="1" l="1"/>
  <c r="L2124" i="1"/>
  <c r="C2125" i="1"/>
  <c r="D2124" i="1"/>
  <c r="M2124" i="1" s="1"/>
  <c r="O256" i="1"/>
  <c r="P256" i="1" s="1"/>
  <c r="C257" i="1"/>
  <c r="L257" i="1" s="1"/>
  <c r="D256" i="1"/>
  <c r="M256" i="1" s="1"/>
  <c r="O2125" i="1" l="1"/>
  <c r="L2125" i="1"/>
  <c r="C2126" i="1"/>
  <c r="D2125" i="1"/>
  <c r="M2125" i="1" s="1"/>
  <c r="O257" i="1"/>
  <c r="P257" i="1" s="1"/>
  <c r="D257" i="1"/>
  <c r="M257" i="1" s="1"/>
  <c r="C258" i="1"/>
  <c r="L258" i="1" s="1"/>
  <c r="O2126" i="1" l="1"/>
  <c r="L2126" i="1"/>
  <c r="C2127" i="1"/>
  <c r="D2126" i="1"/>
  <c r="M2126" i="1" s="1"/>
  <c r="O258" i="1"/>
  <c r="P258" i="1" s="1"/>
  <c r="C259" i="1"/>
  <c r="L259" i="1" s="1"/>
  <c r="D258" i="1"/>
  <c r="M258" i="1" s="1"/>
  <c r="O2127" i="1" l="1"/>
  <c r="L2127" i="1"/>
  <c r="C2128" i="1"/>
  <c r="D2127" i="1"/>
  <c r="M2127" i="1" s="1"/>
  <c r="O259" i="1"/>
  <c r="P259" i="1" s="1"/>
  <c r="D259" i="1"/>
  <c r="M259" i="1" s="1"/>
  <c r="C260" i="1"/>
  <c r="L260" i="1" s="1"/>
  <c r="O2128" i="1" l="1"/>
  <c r="L2128" i="1"/>
  <c r="C2129" i="1"/>
  <c r="D2128" i="1"/>
  <c r="M2128" i="1" s="1"/>
  <c r="O260" i="1"/>
  <c r="P260" i="1" s="1"/>
  <c r="C261" i="1"/>
  <c r="L261" i="1" s="1"/>
  <c r="D260" i="1"/>
  <c r="M260" i="1" s="1"/>
  <c r="O2129" i="1" l="1"/>
  <c r="L2129" i="1"/>
  <c r="C2130" i="1"/>
  <c r="D2129" i="1"/>
  <c r="M2129" i="1" s="1"/>
  <c r="O261" i="1"/>
  <c r="P261" i="1" s="1"/>
  <c r="D261" i="1"/>
  <c r="M261" i="1" s="1"/>
  <c r="C262" i="1"/>
  <c r="L262" i="1" s="1"/>
  <c r="O2130" i="1" l="1"/>
  <c r="L2130" i="1"/>
  <c r="C2131" i="1"/>
  <c r="L2131" i="1" s="1"/>
  <c r="D2130" i="1"/>
  <c r="M2130" i="1" s="1"/>
  <c r="O262" i="1"/>
  <c r="P262" i="1" s="1"/>
  <c r="D262" i="1"/>
  <c r="M262" i="1" s="1"/>
  <c r="C263" i="1"/>
  <c r="L263" i="1" s="1"/>
  <c r="O2131" i="1" l="1"/>
  <c r="C2132" i="1"/>
  <c r="L2132" i="1" s="1"/>
  <c r="D2131" i="1"/>
  <c r="M2131" i="1" s="1"/>
  <c r="O263" i="1"/>
  <c r="P263" i="1" s="1"/>
  <c r="D263" i="1"/>
  <c r="M263" i="1" s="1"/>
  <c r="C264" i="1"/>
  <c r="L264" i="1" s="1"/>
  <c r="D2132" i="1" l="1"/>
  <c r="M2132" i="1" s="1"/>
  <c r="O2132" i="1"/>
  <c r="C2133" i="1"/>
  <c r="O264" i="1"/>
  <c r="P264" i="1" s="1"/>
  <c r="C265" i="1"/>
  <c r="L265" i="1" s="1"/>
  <c r="D264" i="1"/>
  <c r="M264" i="1" s="1"/>
  <c r="I2134" i="1" l="1"/>
  <c r="L2133" i="1"/>
  <c r="O2133" i="1"/>
  <c r="C2134" i="1"/>
  <c r="D2133" i="1"/>
  <c r="M2133" i="1" s="1"/>
  <c r="O265" i="1"/>
  <c r="P265" i="1" s="1"/>
  <c r="D265" i="1"/>
  <c r="M265" i="1" s="1"/>
  <c r="C266" i="1"/>
  <c r="L266" i="1" s="1"/>
  <c r="I2135" i="1" l="1"/>
  <c r="J2134" i="1"/>
  <c r="O2134" i="1"/>
  <c r="L2134" i="1"/>
  <c r="C2135" i="1"/>
  <c r="D2134" i="1"/>
  <c r="M2134" i="1" s="1"/>
  <c r="O266" i="1"/>
  <c r="P266" i="1" s="1"/>
  <c r="C267" i="1"/>
  <c r="L267" i="1" s="1"/>
  <c r="D266" i="1"/>
  <c r="M266" i="1" s="1"/>
  <c r="I2137" i="1" l="1"/>
  <c r="I2139" i="1" s="1"/>
  <c r="I2141" i="1" s="1"/>
  <c r="J2135" i="1"/>
  <c r="J2137" i="1" s="1"/>
  <c r="J2139" i="1" s="1"/>
  <c r="J2141" i="1" s="1"/>
  <c r="O2135" i="1"/>
  <c r="L2135" i="1"/>
  <c r="C2136" i="1"/>
  <c r="D2135" i="1"/>
  <c r="M2135" i="1" s="1"/>
  <c r="O267" i="1"/>
  <c r="P267" i="1" s="1"/>
  <c r="D267" i="1"/>
  <c r="M267" i="1" s="1"/>
  <c r="C268" i="1"/>
  <c r="L268" i="1" s="1"/>
  <c r="O2136" i="1" l="1"/>
  <c r="L2136" i="1"/>
  <c r="C2137" i="1"/>
  <c r="D2136" i="1"/>
  <c r="M2136" i="1" s="1"/>
  <c r="O268" i="1"/>
  <c r="P268" i="1" s="1"/>
  <c r="C269" i="1"/>
  <c r="L269" i="1" s="1"/>
  <c r="D268" i="1"/>
  <c r="M268" i="1" s="1"/>
  <c r="O2137" i="1" l="1"/>
  <c r="L2137" i="1"/>
  <c r="C2138" i="1"/>
  <c r="D2137" i="1"/>
  <c r="M2137" i="1" s="1"/>
  <c r="O269" i="1"/>
  <c r="P269" i="1" s="1"/>
  <c r="D269" i="1"/>
  <c r="M269" i="1" s="1"/>
  <c r="C270" i="1"/>
  <c r="L270" i="1" s="1"/>
  <c r="O2138" i="1" l="1"/>
  <c r="L2138" i="1"/>
  <c r="C2139" i="1"/>
  <c r="L2139" i="1" s="1"/>
  <c r="D2138" i="1"/>
  <c r="M2138" i="1" s="1"/>
  <c r="O270" i="1"/>
  <c r="P270" i="1" s="1"/>
  <c r="D270" i="1"/>
  <c r="M270" i="1" s="1"/>
  <c r="C271" i="1"/>
  <c r="L271" i="1" s="1"/>
  <c r="O2139" i="1" l="1"/>
  <c r="C2140" i="1"/>
  <c r="D2139" i="1"/>
  <c r="M2139" i="1" s="1"/>
  <c r="O271" i="1"/>
  <c r="P271" i="1" s="1"/>
  <c r="D271" i="1"/>
  <c r="M271" i="1" s="1"/>
  <c r="C272" i="1"/>
  <c r="L272" i="1" s="1"/>
  <c r="O2140" i="1" l="1"/>
  <c r="L2140" i="1"/>
  <c r="C2141" i="1"/>
  <c r="D2140" i="1"/>
  <c r="M2140" i="1" s="1"/>
  <c r="O272" i="1"/>
  <c r="P272" i="1" s="1"/>
  <c r="C273" i="1"/>
  <c r="L273" i="1" s="1"/>
  <c r="D272" i="1"/>
  <c r="M272" i="1" s="1"/>
  <c r="O2141" i="1" l="1"/>
  <c r="L2141" i="1"/>
  <c r="C2142" i="1"/>
  <c r="L2142" i="1" s="1"/>
  <c r="D2141" i="1"/>
  <c r="M2141" i="1" s="1"/>
  <c r="O273" i="1"/>
  <c r="P273" i="1" s="1"/>
  <c r="C274" i="1"/>
  <c r="L274" i="1" s="1"/>
  <c r="D273" i="1"/>
  <c r="M273" i="1" s="1"/>
  <c r="C2143" i="1" l="1"/>
  <c r="D2142" i="1"/>
  <c r="M2142" i="1" s="1"/>
  <c r="O274" i="1"/>
  <c r="P274" i="1" s="1"/>
  <c r="C275" i="1"/>
  <c r="L275" i="1" s="1"/>
  <c r="D274" i="1"/>
  <c r="M274" i="1" s="1"/>
  <c r="O2143" i="1" l="1"/>
  <c r="L2143" i="1"/>
  <c r="C2144" i="1"/>
  <c r="D2143" i="1"/>
  <c r="M2143" i="1" s="1"/>
  <c r="O275" i="1"/>
  <c r="P275" i="1" s="1"/>
  <c r="D275" i="1"/>
  <c r="M275" i="1" s="1"/>
  <c r="C276" i="1"/>
  <c r="L276" i="1" s="1"/>
  <c r="O2144" i="1" l="1"/>
  <c r="L2144" i="1"/>
  <c r="C2145" i="1"/>
  <c r="L2145" i="1" s="1"/>
  <c r="D2144" i="1"/>
  <c r="M2144" i="1" s="1"/>
  <c r="O276" i="1"/>
  <c r="P276" i="1" s="1"/>
  <c r="C277" i="1"/>
  <c r="D276" i="1"/>
  <c r="M276" i="1" s="1"/>
  <c r="I278" i="1" l="1"/>
  <c r="L277" i="1"/>
  <c r="C2146" i="1"/>
  <c r="D2145" i="1"/>
  <c r="M2145" i="1" s="1"/>
  <c r="O277" i="1"/>
  <c r="P277" i="1" s="1"/>
  <c r="D277" i="1"/>
  <c r="M277" i="1" s="1"/>
  <c r="C278" i="1"/>
  <c r="L278" i="1" s="1"/>
  <c r="I279" i="1" l="1"/>
  <c r="J278" i="1"/>
  <c r="O2146" i="1"/>
  <c r="L2146" i="1"/>
  <c r="C2147" i="1"/>
  <c r="D2146" i="1"/>
  <c r="M2146" i="1" s="1"/>
  <c r="O278" i="1"/>
  <c r="P278" i="1" s="1"/>
  <c r="D278" i="1"/>
  <c r="M278" i="1" s="1"/>
  <c r="C279" i="1"/>
  <c r="L279" i="1" s="1"/>
  <c r="I281" i="1" l="1"/>
  <c r="I283" i="1" s="1"/>
  <c r="I285" i="1" s="1"/>
  <c r="J279" i="1"/>
  <c r="J281" i="1" s="1"/>
  <c r="J283" i="1" s="1"/>
  <c r="J285" i="1" s="1"/>
  <c r="O2147" i="1"/>
  <c r="L2147" i="1"/>
  <c r="C2148" i="1"/>
  <c r="D2147" i="1"/>
  <c r="M2147" i="1" s="1"/>
  <c r="O279" i="1"/>
  <c r="P279" i="1" s="1"/>
  <c r="C280" i="1"/>
  <c r="L280" i="1" s="1"/>
  <c r="D279" i="1"/>
  <c r="M279" i="1" s="1"/>
  <c r="O2148" i="1" l="1"/>
  <c r="L2148" i="1"/>
  <c r="C2149" i="1"/>
  <c r="D2148" i="1"/>
  <c r="M2148" i="1" s="1"/>
  <c r="O280" i="1"/>
  <c r="P280" i="1" s="1"/>
  <c r="C281" i="1"/>
  <c r="L281" i="1" s="1"/>
  <c r="D280" i="1"/>
  <c r="M280" i="1" s="1"/>
  <c r="O2149" i="1" l="1"/>
  <c r="L2149" i="1"/>
  <c r="C2150" i="1"/>
  <c r="D2149" i="1"/>
  <c r="M2149" i="1" s="1"/>
  <c r="O281" i="1"/>
  <c r="P281" i="1" s="1"/>
  <c r="D281" i="1"/>
  <c r="M281" i="1" s="1"/>
  <c r="C282" i="1"/>
  <c r="L282" i="1" s="1"/>
  <c r="O2150" i="1" l="1"/>
  <c r="L2150" i="1"/>
  <c r="D2150" i="1"/>
  <c r="M2150" i="1" s="1"/>
  <c r="C2151" i="1"/>
  <c r="O282" i="1"/>
  <c r="P282" i="1" s="1"/>
  <c r="C283" i="1"/>
  <c r="L283" i="1" s="1"/>
  <c r="D282" i="1"/>
  <c r="M282" i="1" s="1"/>
  <c r="O2151" i="1" l="1"/>
  <c r="L2151" i="1"/>
  <c r="D2151" i="1"/>
  <c r="M2151" i="1" s="1"/>
  <c r="C2152" i="1"/>
  <c r="O283" i="1"/>
  <c r="P283" i="1" s="1"/>
  <c r="D283" i="1"/>
  <c r="M283" i="1" s="1"/>
  <c r="C284" i="1"/>
  <c r="L284" i="1" s="1"/>
  <c r="O2152" i="1" l="1"/>
  <c r="L2152" i="1"/>
  <c r="D2152" i="1"/>
  <c r="M2152" i="1" s="1"/>
  <c r="C2153" i="1"/>
  <c r="O284" i="1"/>
  <c r="P284" i="1" s="1"/>
  <c r="D284" i="1"/>
  <c r="M284" i="1" s="1"/>
  <c r="C285" i="1"/>
  <c r="L285" i="1" s="1"/>
  <c r="O2153" i="1" l="1"/>
  <c r="L2153" i="1"/>
  <c r="C2154" i="1"/>
  <c r="D2153" i="1"/>
  <c r="M2153" i="1" s="1"/>
  <c r="O285" i="1"/>
  <c r="P285" i="1" s="1"/>
  <c r="D285" i="1"/>
  <c r="M285" i="1" s="1"/>
  <c r="C286" i="1"/>
  <c r="L286" i="1" s="1"/>
  <c r="O2154" i="1" l="1"/>
  <c r="L2154" i="1"/>
  <c r="C2155" i="1"/>
  <c r="D2154" i="1"/>
  <c r="M2154" i="1" s="1"/>
  <c r="O286" i="1"/>
  <c r="P286" i="1" s="1"/>
  <c r="D286" i="1"/>
  <c r="M286" i="1" s="1"/>
  <c r="C287" i="1"/>
  <c r="L287" i="1" s="1"/>
  <c r="O2155" i="1" l="1"/>
  <c r="L2155" i="1"/>
  <c r="C2156" i="1"/>
  <c r="D2155" i="1"/>
  <c r="M2155" i="1" s="1"/>
  <c r="O287" i="1"/>
  <c r="P287" i="1" s="1"/>
  <c r="D287" i="1"/>
  <c r="M287" i="1" s="1"/>
  <c r="C288" i="1"/>
  <c r="L288" i="1" s="1"/>
  <c r="O2156" i="1" l="1"/>
  <c r="L2156" i="1"/>
  <c r="C2157" i="1"/>
  <c r="D2156" i="1"/>
  <c r="M2156" i="1" s="1"/>
  <c r="O288" i="1"/>
  <c r="P288" i="1" s="1"/>
  <c r="D288" i="1"/>
  <c r="M288" i="1" s="1"/>
  <c r="C289" i="1"/>
  <c r="L289" i="1" s="1"/>
  <c r="O2157" i="1" l="1"/>
  <c r="L2157" i="1"/>
  <c r="C2158" i="1"/>
  <c r="D2157" i="1"/>
  <c r="M2157" i="1" s="1"/>
  <c r="O289" i="1"/>
  <c r="P289" i="1" s="1"/>
  <c r="C290" i="1"/>
  <c r="L290" i="1" s="1"/>
  <c r="D289" i="1"/>
  <c r="M289" i="1" s="1"/>
  <c r="O2158" i="1" l="1"/>
  <c r="L2158" i="1"/>
  <c r="C2159" i="1"/>
  <c r="D2158" i="1"/>
  <c r="M2158" i="1" s="1"/>
  <c r="O290" i="1"/>
  <c r="P290" i="1" s="1"/>
  <c r="C291" i="1"/>
  <c r="L291" i="1" s="1"/>
  <c r="D290" i="1"/>
  <c r="M290" i="1" s="1"/>
  <c r="O2159" i="1" l="1"/>
  <c r="L2159" i="1"/>
  <c r="C2160" i="1"/>
  <c r="D2159" i="1"/>
  <c r="M2159" i="1" s="1"/>
  <c r="O291" i="1"/>
  <c r="P291" i="1" s="1"/>
  <c r="C292" i="1"/>
  <c r="L292" i="1" s="1"/>
  <c r="D291" i="1"/>
  <c r="M291" i="1" s="1"/>
  <c r="O2160" i="1" l="1"/>
  <c r="L2160" i="1"/>
  <c r="C2161" i="1"/>
  <c r="D2160" i="1"/>
  <c r="M2160" i="1" s="1"/>
  <c r="O292" i="1"/>
  <c r="P292" i="1" s="1"/>
  <c r="C293" i="1"/>
  <c r="L293" i="1" s="1"/>
  <c r="D292" i="1"/>
  <c r="M292" i="1" s="1"/>
  <c r="O2161" i="1" l="1"/>
  <c r="L2161" i="1"/>
  <c r="C2162" i="1"/>
  <c r="L2162" i="1" s="1"/>
  <c r="D2161" i="1"/>
  <c r="M2161" i="1" s="1"/>
  <c r="O293" i="1"/>
  <c r="P293" i="1" s="1"/>
  <c r="D293" i="1"/>
  <c r="M293" i="1" s="1"/>
  <c r="C294" i="1"/>
  <c r="L294" i="1" s="1"/>
  <c r="C2163" i="1" l="1"/>
  <c r="L2163" i="1" s="1"/>
  <c r="O2162" i="1"/>
  <c r="D2162" i="1"/>
  <c r="M2162" i="1" s="1"/>
  <c r="O294" i="1"/>
  <c r="P294" i="1" s="1"/>
  <c r="D294" i="1"/>
  <c r="M294" i="1" s="1"/>
  <c r="C295" i="1"/>
  <c r="L295" i="1" s="1"/>
  <c r="D2163" i="1" l="1"/>
  <c r="M2163" i="1" s="1"/>
  <c r="O2163" i="1"/>
  <c r="C2164" i="1"/>
  <c r="O295" i="1"/>
  <c r="P295" i="1" s="1"/>
  <c r="D295" i="1"/>
  <c r="M295" i="1" s="1"/>
  <c r="C296" i="1"/>
  <c r="L296" i="1" s="1"/>
  <c r="I2165" i="1" l="1"/>
  <c r="L2164" i="1"/>
  <c r="O2164" i="1"/>
  <c r="C2165" i="1"/>
  <c r="D2164" i="1"/>
  <c r="M2164" i="1" s="1"/>
  <c r="O296" i="1"/>
  <c r="P296" i="1" s="1"/>
  <c r="C297" i="1"/>
  <c r="L297" i="1" s="1"/>
  <c r="D296" i="1"/>
  <c r="M296" i="1" s="1"/>
  <c r="J2165" i="1" l="1"/>
  <c r="I2166" i="1"/>
  <c r="O2165" i="1"/>
  <c r="L2165" i="1"/>
  <c r="C2166" i="1"/>
  <c r="D2165" i="1"/>
  <c r="M2165" i="1" s="1"/>
  <c r="O297" i="1"/>
  <c r="P297" i="1" s="1"/>
  <c r="C298" i="1"/>
  <c r="L298" i="1" s="1"/>
  <c r="D297" i="1"/>
  <c r="M297" i="1" s="1"/>
  <c r="I2168" i="1" l="1"/>
  <c r="I2170" i="1" s="1"/>
  <c r="I2172" i="1" s="1"/>
  <c r="J2166" i="1"/>
  <c r="J2168" i="1" s="1"/>
  <c r="J2170" i="1" s="1"/>
  <c r="J2172" i="1" s="1"/>
  <c r="O2166" i="1"/>
  <c r="L2166" i="1"/>
  <c r="C2167" i="1"/>
  <c r="D2166" i="1"/>
  <c r="M2166" i="1" s="1"/>
  <c r="O298" i="1"/>
  <c r="P298" i="1" s="1"/>
  <c r="C299" i="1"/>
  <c r="L299" i="1" s="1"/>
  <c r="D298" i="1"/>
  <c r="M298" i="1" s="1"/>
  <c r="O2167" i="1" l="1"/>
  <c r="L2167" i="1"/>
  <c r="C2168" i="1"/>
  <c r="D2167" i="1"/>
  <c r="M2167" i="1" s="1"/>
  <c r="O299" i="1"/>
  <c r="P299" i="1" s="1"/>
  <c r="D299" i="1"/>
  <c r="M299" i="1" s="1"/>
  <c r="C300" i="1"/>
  <c r="L300" i="1" s="1"/>
  <c r="O2168" i="1" l="1"/>
  <c r="L2168" i="1"/>
  <c r="C2169" i="1"/>
  <c r="D2168" i="1"/>
  <c r="M2168" i="1" s="1"/>
  <c r="O300" i="1"/>
  <c r="P300" i="1" s="1"/>
  <c r="D300" i="1"/>
  <c r="M300" i="1" s="1"/>
  <c r="C301" i="1"/>
  <c r="L301" i="1" s="1"/>
  <c r="O2169" i="1" l="1"/>
  <c r="L2169" i="1"/>
  <c r="C2170" i="1"/>
  <c r="L2170" i="1" s="1"/>
  <c r="D2169" i="1"/>
  <c r="M2169" i="1" s="1"/>
  <c r="O301" i="1"/>
  <c r="P301" i="1" s="1"/>
  <c r="D301" i="1"/>
  <c r="M301" i="1" s="1"/>
  <c r="C302" i="1"/>
  <c r="L302" i="1" s="1"/>
  <c r="C2171" i="1" l="1"/>
  <c r="D2170" i="1"/>
  <c r="M2170" i="1" s="1"/>
  <c r="O302" i="1"/>
  <c r="P302" i="1" s="1"/>
  <c r="D302" i="1"/>
  <c r="M302" i="1" s="1"/>
  <c r="C303" i="1"/>
  <c r="L303" i="1" s="1"/>
  <c r="O2171" i="1" l="1"/>
  <c r="L2171" i="1"/>
  <c r="C2172" i="1"/>
  <c r="D2171" i="1"/>
  <c r="M2171" i="1" s="1"/>
  <c r="O303" i="1"/>
  <c r="P303" i="1" s="1"/>
  <c r="D303" i="1"/>
  <c r="M303" i="1" s="1"/>
  <c r="C304" i="1"/>
  <c r="L304" i="1" s="1"/>
  <c r="O2172" i="1" l="1"/>
  <c r="L2172" i="1"/>
  <c r="C2173" i="1"/>
  <c r="L2173" i="1" s="1"/>
  <c r="D2172" i="1"/>
  <c r="M2172" i="1" s="1"/>
  <c r="O304" i="1"/>
  <c r="P304" i="1" s="1"/>
  <c r="D304" i="1"/>
  <c r="M304" i="1" s="1"/>
  <c r="C305" i="1"/>
  <c r="L305" i="1" s="1"/>
  <c r="C2174" i="1" l="1"/>
  <c r="L2174" i="1" s="1"/>
  <c r="D2173" i="1"/>
  <c r="M2173" i="1" s="1"/>
  <c r="O305" i="1"/>
  <c r="P305" i="1" s="1"/>
  <c r="D305" i="1"/>
  <c r="M305" i="1" s="1"/>
  <c r="C306" i="1"/>
  <c r="L306" i="1" s="1"/>
  <c r="C2175" i="1" l="1"/>
  <c r="D2174" i="1"/>
  <c r="M2174" i="1" s="1"/>
  <c r="O306" i="1"/>
  <c r="P306" i="1" s="1"/>
  <c r="C307" i="1"/>
  <c r="D306" i="1"/>
  <c r="M306" i="1" s="1"/>
  <c r="O2175" i="1" l="1"/>
  <c r="L2175" i="1"/>
  <c r="I308" i="1"/>
  <c r="L307" i="1"/>
  <c r="C2176" i="1"/>
  <c r="L2176" i="1" s="1"/>
  <c r="D2175" i="1"/>
  <c r="M2175" i="1" s="1"/>
  <c r="O307" i="1"/>
  <c r="P307" i="1" s="1"/>
  <c r="C308" i="1"/>
  <c r="L308" i="1" s="1"/>
  <c r="D307" i="1"/>
  <c r="M307" i="1" s="1"/>
  <c r="J308" i="1" l="1"/>
  <c r="I309" i="1"/>
  <c r="O2176" i="1"/>
  <c r="C2177" i="1"/>
  <c r="D2176" i="1"/>
  <c r="M2176" i="1" s="1"/>
  <c r="O308" i="1"/>
  <c r="P308" i="1" s="1"/>
  <c r="C309" i="1"/>
  <c r="L309" i="1" s="1"/>
  <c r="D308" i="1"/>
  <c r="M308" i="1" s="1"/>
  <c r="I311" i="1" l="1"/>
  <c r="I313" i="1" s="1"/>
  <c r="I315" i="1" s="1"/>
  <c r="J309" i="1"/>
  <c r="J311" i="1" s="1"/>
  <c r="J313" i="1" s="1"/>
  <c r="J315" i="1" s="1"/>
  <c r="O2177" i="1"/>
  <c r="L2177" i="1"/>
  <c r="C2178" i="1"/>
  <c r="D2177" i="1"/>
  <c r="M2177" i="1" s="1"/>
  <c r="O309" i="1"/>
  <c r="P309" i="1" s="1"/>
  <c r="D309" i="1"/>
  <c r="M309" i="1" s="1"/>
  <c r="C310" i="1"/>
  <c r="L310" i="1" s="1"/>
  <c r="O2178" i="1" l="1"/>
  <c r="L2178" i="1"/>
  <c r="C2179" i="1"/>
  <c r="D2178" i="1"/>
  <c r="M2178" i="1" s="1"/>
  <c r="O310" i="1"/>
  <c r="P310" i="1" s="1"/>
  <c r="D310" i="1"/>
  <c r="M310" i="1" s="1"/>
  <c r="C311" i="1"/>
  <c r="L311" i="1" s="1"/>
  <c r="O2179" i="1" l="1"/>
  <c r="L2179" i="1"/>
  <c r="C2180" i="1"/>
  <c r="D2179" i="1"/>
  <c r="M2179" i="1" s="1"/>
  <c r="O311" i="1"/>
  <c r="P311" i="1" s="1"/>
  <c r="D311" i="1"/>
  <c r="M311" i="1" s="1"/>
  <c r="C312" i="1"/>
  <c r="L312" i="1" s="1"/>
  <c r="O2180" i="1" l="1"/>
  <c r="L2180" i="1"/>
  <c r="C2181" i="1"/>
  <c r="D2180" i="1"/>
  <c r="M2180" i="1" s="1"/>
  <c r="O312" i="1"/>
  <c r="P312" i="1" s="1"/>
  <c r="C313" i="1"/>
  <c r="L313" i="1" s="1"/>
  <c r="D312" i="1"/>
  <c r="M312" i="1" s="1"/>
  <c r="O2181" i="1" l="1"/>
  <c r="L2181" i="1"/>
  <c r="C2182" i="1"/>
  <c r="D2181" i="1"/>
  <c r="M2181" i="1" s="1"/>
  <c r="O313" i="1"/>
  <c r="P313" i="1" s="1"/>
  <c r="C314" i="1"/>
  <c r="L314" i="1" s="1"/>
  <c r="D313" i="1"/>
  <c r="M313" i="1" s="1"/>
  <c r="O2182" i="1" l="1"/>
  <c r="L2182" i="1"/>
  <c r="C2183" i="1"/>
  <c r="D2182" i="1"/>
  <c r="M2182" i="1" s="1"/>
  <c r="O314" i="1"/>
  <c r="P314" i="1" s="1"/>
  <c r="C315" i="1"/>
  <c r="L315" i="1" s="1"/>
  <c r="D314" i="1"/>
  <c r="M314" i="1" s="1"/>
  <c r="O2183" i="1" l="1"/>
  <c r="L2183" i="1"/>
  <c r="C2184" i="1"/>
  <c r="D2183" i="1"/>
  <c r="M2183" i="1" s="1"/>
  <c r="O315" i="1"/>
  <c r="P315" i="1" s="1"/>
  <c r="D315" i="1"/>
  <c r="M315" i="1" s="1"/>
  <c r="C316" i="1"/>
  <c r="L316" i="1" s="1"/>
  <c r="O2184" i="1" l="1"/>
  <c r="L2184" i="1"/>
  <c r="C2185" i="1"/>
  <c r="D2184" i="1"/>
  <c r="M2184" i="1" s="1"/>
  <c r="O316" i="1"/>
  <c r="P316" i="1" s="1"/>
  <c r="D316" i="1"/>
  <c r="M316" i="1" s="1"/>
  <c r="C317" i="1"/>
  <c r="L317" i="1" s="1"/>
  <c r="O2185" i="1" l="1"/>
  <c r="L2185" i="1"/>
  <c r="C2186" i="1"/>
  <c r="D2185" i="1"/>
  <c r="M2185" i="1" s="1"/>
  <c r="O317" i="1"/>
  <c r="P317" i="1" s="1"/>
  <c r="C318" i="1"/>
  <c r="L318" i="1" s="1"/>
  <c r="D317" i="1"/>
  <c r="M317" i="1" s="1"/>
  <c r="O2186" i="1" l="1"/>
  <c r="L2186" i="1"/>
  <c r="C2187" i="1"/>
  <c r="D2186" i="1"/>
  <c r="M2186" i="1" s="1"/>
  <c r="O318" i="1"/>
  <c r="P318" i="1" s="1"/>
  <c r="D318" i="1"/>
  <c r="M318" i="1" s="1"/>
  <c r="C319" i="1"/>
  <c r="L319" i="1" s="1"/>
  <c r="O2187" i="1" l="1"/>
  <c r="L2187" i="1"/>
  <c r="C2188" i="1"/>
  <c r="D2187" i="1"/>
  <c r="M2187" i="1" s="1"/>
  <c r="O319" i="1"/>
  <c r="P319" i="1" s="1"/>
  <c r="C320" i="1"/>
  <c r="L320" i="1" s="1"/>
  <c r="D319" i="1"/>
  <c r="M319" i="1" s="1"/>
  <c r="O2188" i="1" l="1"/>
  <c r="L2188" i="1"/>
  <c r="C2189" i="1"/>
  <c r="L2189" i="1" s="1"/>
  <c r="D2188" i="1"/>
  <c r="M2188" i="1" s="1"/>
  <c r="O320" i="1"/>
  <c r="P320" i="1" s="1"/>
  <c r="D320" i="1"/>
  <c r="M320" i="1" s="1"/>
  <c r="C321" i="1"/>
  <c r="L321" i="1" s="1"/>
  <c r="C2190" i="1" l="1"/>
  <c r="L2190" i="1" s="1"/>
  <c r="D2189" i="1"/>
  <c r="M2189" i="1" s="1"/>
  <c r="O321" i="1"/>
  <c r="P321" i="1" s="1"/>
  <c r="D321" i="1"/>
  <c r="M321" i="1" s="1"/>
  <c r="C322" i="1"/>
  <c r="L322" i="1" s="1"/>
  <c r="C2191" i="1" l="1"/>
  <c r="D2190" i="1"/>
  <c r="M2190" i="1" s="1"/>
  <c r="O322" i="1"/>
  <c r="P322" i="1" s="1"/>
  <c r="D322" i="1"/>
  <c r="M322" i="1" s="1"/>
  <c r="C323" i="1"/>
  <c r="L323" i="1" s="1"/>
  <c r="O2191" i="1" l="1"/>
  <c r="L2191" i="1"/>
  <c r="C2192" i="1"/>
  <c r="L2192" i="1" s="1"/>
  <c r="D2191" i="1"/>
  <c r="M2191" i="1" s="1"/>
  <c r="O323" i="1"/>
  <c r="P323" i="1" s="1"/>
  <c r="C324" i="1"/>
  <c r="L324" i="1" s="1"/>
  <c r="D323" i="1"/>
  <c r="M323" i="1" s="1"/>
  <c r="O2192" i="1" l="1"/>
  <c r="C2193" i="1"/>
  <c r="L2193" i="1" s="1"/>
  <c r="D2192" i="1"/>
  <c r="M2192" i="1" s="1"/>
  <c r="O324" i="1"/>
  <c r="P324" i="1" s="1"/>
  <c r="D324" i="1"/>
  <c r="M324" i="1" s="1"/>
  <c r="C325" i="1"/>
  <c r="L325" i="1" s="1"/>
  <c r="D2193" i="1" l="1"/>
  <c r="M2193" i="1" s="1"/>
  <c r="O2193" i="1"/>
  <c r="C2194" i="1"/>
  <c r="O325" i="1"/>
  <c r="P325" i="1" s="1"/>
  <c r="D325" i="1"/>
  <c r="M325" i="1" s="1"/>
  <c r="C326" i="1"/>
  <c r="L326" i="1" s="1"/>
  <c r="I2195" i="1" l="1"/>
  <c r="L2194" i="1"/>
  <c r="O2194" i="1"/>
  <c r="C2195" i="1"/>
  <c r="D2194" i="1"/>
  <c r="M2194" i="1" s="1"/>
  <c r="O326" i="1"/>
  <c r="P326" i="1" s="1"/>
  <c r="D326" i="1"/>
  <c r="M326" i="1" s="1"/>
  <c r="C327" i="1"/>
  <c r="L327" i="1" s="1"/>
  <c r="I2196" i="1" l="1"/>
  <c r="J2195" i="1"/>
  <c r="O2195" i="1"/>
  <c r="L2195" i="1"/>
  <c r="C2196" i="1"/>
  <c r="D2195" i="1"/>
  <c r="M2195" i="1" s="1"/>
  <c r="O327" i="1"/>
  <c r="P327" i="1" s="1"/>
  <c r="D327" i="1"/>
  <c r="M327" i="1" s="1"/>
  <c r="C328" i="1"/>
  <c r="L328" i="1" s="1"/>
  <c r="I2198" i="1" l="1"/>
  <c r="I2200" i="1" s="1"/>
  <c r="I2202" i="1" s="1"/>
  <c r="J2196" i="1"/>
  <c r="J2198" i="1" s="1"/>
  <c r="J2200" i="1" s="1"/>
  <c r="J2202" i="1" s="1"/>
  <c r="O2196" i="1"/>
  <c r="L2196" i="1"/>
  <c r="C2197" i="1"/>
  <c r="D2196" i="1"/>
  <c r="M2196" i="1" s="1"/>
  <c r="O328" i="1"/>
  <c r="P328" i="1" s="1"/>
  <c r="D328" i="1"/>
  <c r="M328" i="1" s="1"/>
  <c r="C329" i="1"/>
  <c r="L329" i="1" s="1"/>
  <c r="O2197" i="1" l="1"/>
  <c r="L2197" i="1"/>
  <c r="C2198" i="1"/>
  <c r="D2197" i="1"/>
  <c r="M2197" i="1" s="1"/>
  <c r="O329" i="1"/>
  <c r="P329" i="1" s="1"/>
  <c r="D329" i="1"/>
  <c r="M329" i="1" s="1"/>
  <c r="C330" i="1"/>
  <c r="L330" i="1" s="1"/>
  <c r="O2198" i="1" l="1"/>
  <c r="L2198" i="1"/>
  <c r="C2199" i="1"/>
  <c r="D2198" i="1"/>
  <c r="M2198" i="1" s="1"/>
  <c r="O330" i="1"/>
  <c r="P330" i="1" s="1"/>
  <c r="D330" i="1"/>
  <c r="M330" i="1" s="1"/>
  <c r="C331" i="1"/>
  <c r="L331" i="1" s="1"/>
  <c r="O2199" i="1" l="1"/>
  <c r="L2199" i="1"/>
  <c r="C2200" i="1"/>
  <c r="L2200" i="1" s="1"/>
  <c r="D2199" i="1"/>
  <c r="M2199" i="1" s="1"/>
  <c r="O331" i="1"/>
  <c r="P331" i="1" s="1"/>
  <c r="D331" i="1"/>
  <c r="M331" i="1" s="1"/>
  <c r="C332" i="1"/>
  <c r="L332" i="1" s="1"/>
  <c r="O2200" i="1" l="1"/>
  <c r="C2201" i="1"/>
  <c r="D2200" i="1"/>
  <c r="M2200" i="1" s="1"/>
  <c r="O332" i="1"/>
  <c r="P332" i="1" s="1"/>
  <c r="D332" i="1"/>
  <c r="M332" i="1" s="1"/>
  <c r="C333" i="1"/>
  <c r="L333" i="1" s="1"/>
  <c r="O2201" i="1" l="1"/>
  <c r="L2201" i="1"/>
  <c r="C2202" i="1"/>
  <c r="D2201" i="1"/>
  <c r="M2201" i="1" s="1"/>
  <c r="O333" i="1"/>
  <c r="P333" i="1" s="1"/>
  <c r="C334" i="1"/>
  <c r="L334" i="1" s="1"/>
  <c r="D333" i="1"/>
  <c r="M333" i="1" s="1"/>
  <c r="O2202" i="1" l="1"/>
  <c r="L2202" i="1"/>
  <c r="C2203" i="1"/>
  <c r="D2202" i="1"/>
  <c r="M2202" i="1" s="1"/>
  <c r="O334" i="1"/>
  <c r="P334" i="1" s="1"/>
  <c r="D334" i="1"/>
  <c r="M334" i="1" s="1"/>
  <c r="C335" i="1"/>
  <c r="L335" i="1" s="1"/>
  <c r="O2203" i="1" l="1"/>
  <c r="L2203" i="1"/>
  <c r="C2204" i="1"/>
  <c r="D2203" i="1"/>
  <c r="M2203" i="1" s="1"/>
  <c r="O335" i="1"/>
  <c r="P335" i="1" s="1"/>
  <c r="D335" i="1"/>
  <c r="M335" i="1" s="1"/>
  <c r="C336" i="1"/>
  <c r="L336" i="1" s="1"/>
  <c r="O2204" i="1" l="1"/>
  <c r="L2204" i="1"/>
  <c r="C2205" i="1"/>
  <c r="D2204" i="1"/>
  <c r="M2204" i="1" s="1"/>
  <c r="O336" i="1"/>
  <c r="P336" i="1" s="1"/>
  <c r="D336" i="1"/>
  <c r="M336" i="1" s="1"/>
  <c r="C337" i="1"/>
  <c r="L337" i="1" s="1"/>
  <c r="O2205" i="1" l="1"/>
  <c r="L2205" i="1"/>
  <c r="C2206" i="1"/>
  <c r="D2205" i="1"/>
  <c r="M2205" i="1" s="1"/>
  <c r="O337" i="1"/>
  <c r="P337" i="1" s="1"/>
  <c r="D337" i="1"/>
  <c r="M337" i="1" s="1"/>
  <c r="C338" i="1"/>
  <c r="O2206" i="1" l="1"/>
  <c r="L2206" i="1"/>
  <c r="I339" i="1"/>
  <c r="L338" i="1"/>
  <c r="C2207" i="1"/>
  <c r="D2206" i="1"/>
  <c r="M2206" i="1" s="1"/>
  <c r="O338" i="1"/>
  <c r="P338" i="1" s="1"/>
  <c r="D338" i="1"/>
  <c r="M338" i="1" s="1"/>
  <c r="C339" i="1"/>
  <c r="L339" i="1" s="1"/>
  <c r="J339" i="1" l="1"/>
  <c r="I340" i="1"/>
  <c r="O2207" i="1"/>
  <c r="L2207" i="1"/>
  <c r="C2208" i="1"/>
  <c r="L2208" i="1" s="1"/>
  <c r="D2207" i="1"/>
  <c r="M2207" i="1" s="1"/>
  <c r="O339" i="1"/>
  <c r="P339" i="1" s="1"/>
  <c r="D339" i="1"/>
  <c r="M339" i="1" s="1"/>
  <c r="C340" i="1"/>
  <c r="L340" i="1" s="1"/>
  <c r="I342" i="1" l="1"/>
  <c r="I344" i="1" s="1"/>
  <c r="I346" i="1" s="1"/>
  <c r="J340" i="1"/>
  <c r="J342" i="1" s="1"/>
  <c r="J344" i="1" s="1"/>
  <c r="J346" i="1" s="1"/>
  <c r="O2208" i="1"/>
  <c r="C2209" i="1"/>
  <c r="D2208" i="1"/>
  <c r="M2208" i="1" s="1"/>
  <c r="O340" i="1"/>
  <c r="P340" i="1" s="1"/>
  <c r="C341" i="1"/>
  <c r="L341" i="1" s="1"/>
  <c r="D340" i="1"/>
  <c r="M340" i="1" s="1"/>
  <c r="O2209" i="1" l="1"/>
  <c r="L2209" i="1"/>
  <c r="C2210" i="1"/>
  <c r="D2209" i="1"/>
  <c r="M2209" i="1" s="1"/>
  <c r="O341" i="1"/>
  <c r="P341" i="1" s="1"/>
  <c r="D341" i="1"/>
  <c r="M341" i="1" s="1"/>
  <c r="C342" i="1"/>
  <c r="L342" i="1" s="1"/>
  <c r="O2210" i="1" l="1"/>
  <c r="L2210" i="1"/>
  <c r="C2211" i="1"/>
  <c r="D2210" i="1"/>
  <c r="M2210" i="1" s="1"/>
  <c r="O342" i="1"/>
  <c r="P342" i="1" s="1"/>
  <c r="C343" i="1"/>
  <c r="L343" i="1" s="1"/>
  <c r="D342" i="1"/>
  <c r="M342" i="1" s="1"/>
  <c r="O2211" i="1" l="1"/>
  <c r="L2211" i="1"/>
  <c r="C2212" i="1"/>
  <c r="D2211" i="1"/>
  <c r="M2211" i="1" s="1"/>
  <c r="O343" i="1"/>
  <c r="P343" i="1" s="1"/>
  <c r="C344" i="1"/>
  <c r="L344" i="1" s="1"/>
  <c r="D343" i="1"/>
  <c r="M343" i="1" s="1"/>
  <c r="O2212" i="1" l="1"/>
  <c r="L2212" i="1"/>
  <c r="C2213" i="1"/>
  <c r="D2212" i="1"/>
  <c r="M2212" i="1" s="1"/>
  <c r="O344" i="1"/>
  <c r="P344" i="1" s="1"/>
  <c r="D344" i="1"/>
  <c r="M344" i="1" s="1"/>
  <c r="C345" i="1"/>
  <c r="L345" i="1" s="1"/>
  <c r="O2213" i="1" l="1"/>
  <c r="L2213" i="1"/>
  <c r="C2214" i="1"/>
  <c r="D2213" i="1"/>
  <c r="M2213" i="1" s="1"/>
  <c r="O345" i="1"/>
  <c r="P345" i="1" s="1"/>
  <c r="C346" i="1"/>
  <c r="L346" i="1" s="1"/>
  <c r="D345" i="1"/>
  <c r="M345" i="1" s="1"/>
  <c r="O2214" i="1" l="1"/>
  <c r="L2214" i="1"/>
  <c r="C2215" i="1"/>
  <c r="D2214" i="1"/>
  <c r="M2214" i="1" s="1"/>
  <c r="O346" i="1"/>
  <c r="P346" i="1" s="1"/>
  <c r="C347" i="1"/>
  <c r="L347" i="1" s="1"/>
  <c r="D346" i="1"/>
  <c r="M346" i="1" s="1"/>
  <c r="O2215" i="1" l="1"/>
  <c r="L2215" i="1"/>
  <c r="C2216" i="1"/>
  <c r="D2215" i="1"/>
  <c r="M2215" i="1" s="1"/>
  <c r="O347" i="1"/>
  <c r="P347" i="1" s="1"/>
  <c r="D347" i="1"/>
  <c r="M347" i="1" s="1"/>
  <c r="C348" i="1"/>
  <c r="L348" i="1" s="1"/>
  <c r="O2216" i="1" l="1"/>
  <c r="L2216" i="1"/>
  <c r="C2217" i="1"/>
  <c r="L2217" i="1" s="1"/>
  <c r="D2216" i="1"/>
  <c r="M2216" i="1" s="1"/>
  <c r="O348" i="1"/>
  <c r="P348" i="1" s="1"/>
  <c r="D348" i="1"/>
  <c r="M348" i="1" s="1"/>
  <c r="C349" i="1"/>
  <c r="L349" i="1" s="1"/>
  <c r="C2218" i="1" l="1"/>
  <c r="L2218" i="1" s="1"/>
  <c r="D2217" i="1"/>
  <c r="M2217" i="1" s="1"/>
  <c r="O349" i="1"/>
  <c r="P349" i="1" s="1"/>
  <c r="D349" i="1"/>
  <c r="M349" i="1" s="1"/>
  <c r="C350" i="1"/>
  <c r="L350" i="1" s="1"/>
  <c r="C2219" i="1" l="1"/>
  <c r="D2218" i="1"/>
  <c r="M2218" i="1" s="1"/>
  <c r="O350" i="1"/>
  <c r="P350" i="1" s="1"/>
  <c r="D350" i="1"/>
  <c r="M350" i="1" s="1"/>
  <c r="C351" i="1"/>
  <c r="L351" i="1" s="1"/>
  <c r="O2219" i="1" l="1"/>
  <c r="L2219" i="1"/>
  <c r="C2220" i="1"/>
  <c r="D2219" i="1"/>
  <c r="M2219" i="1" s="1"/>
  <c r="O351" i="1"/>
  <c r="P351" i="1" s="1"/>
  <c r="C352" i="1"/>
  <c r="L352" i="1" s="1"/>
  <c r="D351" i="1"/>
  <c r="M351" i="1" s="1"/>
  <c r="O2220" i="1" l="1"/>
  <c r="L2220" i="1"/>
  <c r="C2221" i="1"/>
  <c r="D2220" i="1"/>
  <c r="M2220" i="1" s="1"/>
  <c r="O352" i="1"/>
  <c r="P352" i="1" s="1"/>
  <c r="C353" i="1"/>
  <c r="L353" i="1" s="1"/>
  <c r="D352" i="1"/>
  <c r="M352" i="1" s="1"/>
  <c r="O2221" i="1" l="1"/>
  <c r="L2221" i="1"/>
  <c r="C2222" i="1"/>
  <c r="D2221" i="1"/>
  <c r="M2221" i="1" s="1"/>
  <c r="O353" i="1"/>
  <c r="P353" i="1" s="1"/>
  <c r="D353" i="1"/>
  <c r="M353" i="1" s="1"/>
  <c r="C354" i="1"/>
  <c r="L354" i="1" s="1"/>
  <c r="O2222" i="1" l="1"/>
  <c r="L2222" i="1"/>
  <c r="C2223" i="1"/>
  <c r="L2223" i="1" s="1"/>
  <c r="D2222" i="1"/>
  <c r="M2222" i="1" s="1"/>
  <c r="O354" i="1"/>
  <c r="P354" i="1" s="1"/>
  <c r="C355" i="1"/>
  <c r="L355" i="1" s="1"/>
  <c r="D354" i="1"/>
  <c r="M354" i="1" s="1"/>
  <c r="C2224" i="1" l="1"/>
  <c r="L2224" i="1" s="1"/>
  <c r="O2223" i="1"/>
  <c r="D2223" i="1"/>
  <c r="M2223" i="1" s="1"/>
  <c r="O355" i="1"/>
  <c r="P355" i="1" s="1"/>
  <c r="D355" i="1"/>
  <c r="M355" i="1" s="1"/>
  <c r="C356" i="1"/>
  <c r="L356" i="1" s="1"/>
  <c r="D2224" i="1" l="1"/>
  <c r="M2224" i="1" s="1"/>
  <c r="C2225" i="1"/>
  <c r="O356" i="1"/>
  <c r="P356" i="1" s="1"/>
  <c r="D356" i="1"/>
  <c r="M356" i="1" s="1"/>
  <c r="C357" i="1"/>
  <c r="L357" i="1" s="1"/>
  <c r="I2226" i="1" l="1"/>
  <c r="L2225" i="1"/>
  <c r="P2225" i="1"/>
  <c r="C2226" i="1"/>
  <c r="L2226" i="1" s="1"/>
  <c r="D2225" i="1"/>
  <c r="M2225" i="1" s="1"/>
  <c r="O357" i="1"/>
  <c r="P357" i="1" s="1"/>
  <c r="D357" i="1"/>
  <c r="M357" i="1" s="1"/>
  <c r="C358" i="1"/>
  <c r="L358" i="1" s="1"/>
  <c r="I2227" i="1" l="1"/>
  <c r="J2226" i="1"/>
  <c r="C2227" i="1"/>
  <c r="L2227" i="1" s="1"/>
  <c r="O2226" i="1"/>
  <c r="P2226" i="1" s="1"/>
  <c r="D2226" i="1"/>
  <c r="M2226" i="1" s="1"/>
  <c r="O358" i="1"/>
  <c r="P358" i="1" s="1"/>
  <c r="C359" i="1"/>
  <c r="L359" i="1" s="1"/>
  <c r="D358" i="1"/>
  <c r="M358" i="1" s="1"/>
  <c r="I2229" i="1" l="1"/>
  <c r="I2231" i="1" s="1"/>
  <c r="I2233" i="1" s="1"/>
  <c r="J2227" i="1"/>
  <c r="J2229" i="1" s="1"/>
  <c r="J2231" i="1" s="1"/>
  <c r="J2233" i="1" s="1"/>
  <c r="D2227" i="1"/>
  <c r="M2227" i="1" s="1"/>
  <c r="O2227" i="1"/>
  <c r="P2227" i="1" s="1"/>
  <c r="C2228" i="1"/>
  <c r="L2228" i="1" s="1"/>
  <c r="O359" i="1"/>
  <c r="P359" i="1" s="1"/>
  <c r="D359" i="1"/>
  <c r="M359" i="1" s="1"/>
  <c r="C360" i="1"/>
  <c r="L360" i="1" s="1"/>
  <c r="C2229" i="1" l="1"/>
  <c r="L2229" i="1" s="1"/>
  <c r="O2228" i="1"/>
  <c r="P2228" i="1" s="1"/>
  <c r="D2228" i="1"/>
  <c r="M2228" i="1" s="1"/>
  <c r="O360" i="1"/>
  <c r="P360" i="1" s="1"/>
  <c r="C361" i="1"/>
  <c r="L361" i="1" s="1"/>
  <c r="D360" i="1"/>
  <c r="M360" i="1" s="1"/>
  <c r="D2229" i="1" l="1"/>
  <c r="M2229" i="1" s="1"/>
  <c r="O2229" i="1"/>
  <c r="P2229" i="1" s="1"/>
  <c r="C2230" i="1"/>
  <c r="L2230" i="1" s="1"/>
  <c r="O361" i="1"/>
  <c r="P361" i="1" s="1"/>
  <c r="D361" i="1"/>
  <c r="M361" i="1" s="1"/>
  <c r="C362" i="1"/>
  <c r="L362" i="1" s="1"/>
  <c r="C2231" i="1" l="1"/>
  <c r="L2231" i="1" s="1"/>
  <c r="O2230" i="1"/>
  <c r="P2230" i="1" s="1"/>
  <c r="D2230" i="1"/>
  <c r="M2230" i="1" s="1"/>
  <c r="O362" i="1"/>
  <c r="P362" i="1" s="1"/>
  <c r="C363" i="1"/>
  <c r="L363" i="1" s="1"/>
  <c r="D362" i="1"/>
  <c r="M362" i="1" s="1"/>
  <c r="D2231" i="1" l="1"/>
  <c r="M2231" i="1" s="1"/>
  <c r="O2231" i="1"/>
  <c r="P2231" i="1" s="1"/>
  <c r="C2232" i="1"/>
  <c r="L2232" i="1" s="1"/>
  <c r="O363" i="1"/>
  <c r="P363" i="1" s="1"/>
  <c r="D363" i="1"/>
  <c r="M363" i="1" s="1"/>
  <c r="C364" i="1"/>
  <c r="L364" i="1" s="1"/>
  <c r="C2233" i="1" l="1"/>
  <c r="L2233" i="1" s="1"/>
  <c r="O2232" i="1"/>
  <c r="P2232" i="1" s="1"/>
  <c r="D2232" i="1"/>
  <c r="M2232" i="1" s="1"/>
  <c r="O364" i="1"/>
  <c r="P364" i="1" s="1"/>
  <c r="C365" i="1"/>
  <c r="L365" i="1" s="1"/>
  <c r="D364" i="1"/>
  <c r="M364" i="1" s="1"/>
  <c r="D2233" i="1" l="1"/>
  <c r="M2233" i="1" s="1"/>
  <c r="O2233" i="1"/>
  <c r="P2233" i="1" s="1"/>
  <c r="C2234" i="1"/>
  <c r="L2234" i="1" s="1"/>
  <c r="O365" i="1"/>
  <c r="P365" i="1" s="1"/>
  <c r="D365" i="1"/>
  <c r="M365" i="1" s="1"/>
  <c r="C366" i="1"/>
  <c r="L366" i="1" s="1"/>
  <c r="C2235" i="1" l="1"/>
  <c r="L2235" i="1" s="1"/>
  <c r="O2234" i="1"/>
  <c r="P2234" i="1" s="1"/>
  <c r="D2234" i="1"/>
  <c r="M2234" i="1" s="1"/>
  <c r="O366" i="1"/>
  <c r="P366" i="1" s="1"/>
  <c r="C367" i="1"/>
  <c r="L367" i="1" s="1"/>
  <c r="D366" i="1"/>
  <c r="M366" i="1" s="1"/>
  <c r="O2235" i="1" l="1"/>
  <c r="P2235" i="1" s="1"/>
  <c r="D2235" i="1"/>
  <c r="M2235" i="1" s="1"/>
  <c r="C2236" i="1"/>
  <c r="L2236" i="1" s="1"/>
  <c r="O367" i="1"/>
  <c r="P367" i="1" s="1"/>
  <c r="D367" i="1"/>
  <c r="M367" i="1" s="1"/>
  <c r="C368" i="1"/>
  <c r="I369" i="1" l="1"/>
  <c r="L368" i="1"/>
  <c r="O2236" i="1"/>
  <c r="P2236" i="1" s="1"/>
  <c r="C2237" i="1"/>
  <c r="L2237" i="1" s="1"/>
  <c r="D2236" i="1"/>
  <c r="M2236" i="1" s="1"/>
  <c r="O368" i="1"/>
  <c r="P368" i="1" s="1"/>
  <c r="D368" i="1"/>
  <c r="M368" i="1" s="1"/>
  <c r="C369" i="1"/>
  <c r="L369" i="1" s="1"/>
  <c r="J369" i="1" l="1"/>
  <c r="I370" i="1"/>
  <c r="O2237" i="1"/>
  <c r="P2237" i="1" s="1"/>
  <c r="D2237" i="1"/>
  <c r="M2237" i="1" s="1"/>
  <c r="C2238" i="1"/>
  <c r="L2238" i="1" s="1"/>
  <c r="O369" i="1"/>
  <c r="P369" i="1" s="1"/>
  <c r="D369" i="1"/>
  <c r="M369" i="1" s="1"/>
  <c r="C370" i="1"/>
  <c r="L370" i="1" s="1"/>
  <c r="I372" i="1" l="1"/>
  <c r="I374" i="1" s="1"/>
  <c r="I376" i="1" s="1"/>
  <c r="J370" i="1"/>
  <c r="J372" i="1" s="1"/>
  <c r="J374" i="1" s="1"/>
  <c r="J376" i="1" s="1"/>
  <c r="O2238" i="1"/>
  <c r="P2238" i="1" s="1"/>
  <c r="C2239" i="1"/>
  <c r="L2239" i="1" s="1"/>
  <c r="D2238" i="1"/>
  <c r="M2238" i="1" s="1"/>
  <c r="O370" i="1"/>
  <c r="P370" i="1" s="1"/>
  <c r="C371" i="1"/>
  <c r="L371" i="1" s="1"/>
  <c r="D370" i="1"/>
  <c r="M370" i="1" s="1"/>
  <c r="O2239" i="1" l="1"/>
  <c r="P2239" i="1" s="1"/>
  <c r="C2240" i="1"/>
  <c r="L2240" i="1" s="1"/>
  <c r="D2239" i="1"/>
  <c r="M2239" i="1" s="1"/>
  <c r="O371" i="1"/>
  <c r="P371" i="1" s="1"/>
  <c r="D371" i="1"/>
  <c r="M371" i="1" s="1"/>
  <c r="C372" i="1"/>
  <c r="L372" i="1" s="1"/>
  <c r="P2240" i="1" l="1"/>
  <c r="C2241" i="1"/>
  <c r="L2241" i="1" s="1"/>
  <c r="D2240" i="1"/>
  <c r="M2240" i="1" s="1"/>
  <c r="O372" i="1"/>
  <c r="P372" i="1" s="1"/>
  <c r="D372" i="1"/>
  <c r="M372" i="1" s="1"/>
  <c r="C373" i="1"/>
  <c r="L373" i="1" s="1"/>
  <c r="O2241" i="1" l="1"/>
  <c r="P2241" i="1" s="1"/>
  <c r="D2241" i="1"/>
  <c r="M2241" i="1" s="1"/>
  <c r="C2242" i="1"/>
  <c r="L2242" i="1" s="1"/>
  <c r="O373" i="1"/>
  <c r="P373" i="1" s="1"/>
  <c r="D373" i="1"/>
  <c r="M373" i="1" s="1"/>
  <c r="C374" i="1"/>
  <c r="L374" i="1" s="1"/>
  <c r="O2242" i="1" l="1"/>
  <c r="P2242" i="1" s="1"/>
  <c r="C2243" i="1"/>
  <c r="L2243" i="1" s="1"/>
  <c r="D2242" i="1"/>
  <c r="M2242" i="1" s="1"/>
  <c r="O374" i="1"/>
  <c r="P374" i="1" s="1"/>
  <c r="C375" i="1"/>
  <c r="L375" i="1" s="1"/>
  <c r="D374" i="1"/>
  <c r="M374" i="1" s="1"/>
  <c r="P2243" i="1" l="1"/>
  <c r="D2243" i="1"/>
  <c r="M2243" i="1" s="1"/>
  <c r="C2244" i="1"/>
  <c r="L2244" i="1" s="1"/>
  <c r="O375" i="1"/>
  <c r="P375" i="1" s="1"/>
  <c r="D375" i="1"/>
  <c r="M375" i="1" s="1"/>
  <c r="C376" i="1"/>
  <c r="L376" i="1" s="1"/>
  <c r="O2244" i="1" l="1"/>
  <c r="P2244" i="1" s="1"/>
  <c r="C2245" i="1"/>
  <c r="L2245" i="1" s="1"/>
  <c r="D2244" i="1"/>
  <c r="M2244" i="1" s="1"/>
  <c r="O376" i="1"/>
  <c r="P376" i="1" s="1"/>
  <c r="C377" i="1"/>
  <c r="L377" i="1" s="1"/>
  <c r="D376" i="1"/>
  <c r="M376" i="1" s="1"/>
  <c r="O2245" i="1" l="1"/>
  <c r="P2245" i="1" s="1"/>
  <c r="D2245" i="1"/>
  <c r="M2245" i="1" s="1"/>
  <c r="C2246" i="1"/>
  <c r="L2246" i="1" s="1"/>
  <c r="O377" i="1"/>
  <c r="P377" i="1" s="1"/>
  <c r="D377" i="1"/>
  <c r="M377" i="1" s="1"/>
  <c r="C378" i="1"/>
  <c r="L378" i="1" s="1"/>
  <c r="O2246" i="1" l="1"/>
  <c r="P2246" i="1" s="1"/>
  <c r="D2246" i="1"/>
  <c r="M2246" i="1" s="1"/>
  <c r="C2247" i="1"/>
  <c r="L2247" i="1" s="1"/>
  <c r="O378" i="1"/>
  <c r="P378" i="1" s="1"/>
  <c r="C379" i="1"/>
  <c r="L379" i="1" s="1"/>
  <c r="D378" i="1"/>
  <c r="M378" i="1" s="1"/>
  <c r="O2247" i="1" l="1"/>
  <c r="P2247" i="1" s="1"/>
  <c r="D2247" i="1"/>
  <c r="M2247" i="1" s="1"/>
  <c r="C2248" i="1"/>
  <c r="L2248" i="1" s="1"/>
  <c r="O379" i="1"/>
  <c r="P379" i="1" s="1"/>
  <c r="D379" i="1"/>
  <c r="M379" i="1" s="1"/>
  <c r="C380" i="1"/>
  <c r="L380" i="1" s="1"/>
  <c r="O2248" i="1" l="1"/>
  <c r="P2248" i="1" s="1"/>
  <c r="C2249" i="1"/>
  <c r="L2249" i="1" s="1"/>
  <c r="D2248" i="1"/>
  <c r="M2248" i="1" s="1"/>
  <c r="O380" i="1"/>
  <c r="P380" i="1" s="1"/>
  <c r="C381" i="1"/>
  <c r="L381" i="1" s="1"/>
  <c r="D380" i="1"/>
  <c r="M380" i="1" s="1"/>
  <c r="O2249" i="1" l="1"/>
  <c r="P2249" i="1" s="1"/>
  <c r="D2249" i="1"/>
  <c r="M2249" i="1" s="1"/>
  <c r="C2250" i="1"/>
  <c r="L2250" i="1" s="1"/>
  <c r="O381" i="1"/>
  <c r="P381" i="1" s="1"/>
  <c r="D381" i="1"/>
  <c r="M381" i="1" s="1"/>
  <c r="C382" i="1"/>
  <c r="L382" i="1" s="1"/>
  <c r="O2250" i="1" l="1"/>
  <c r="P2250" i="1" s="1"/>
  <c r="C2251" i="1"/>
  <c r="L2251" i="1" s="1"/>
  <c r="D2250" i="1"/>
  <c r="M2250" i="1" s="1"/>
  <c r="O382" i="1"/>
  <c r="P382" i="1" s="1"/>
  <c r="C383" i="1"/>
  <c r="L383" i="1" s="1"/>
  <c r="D382" i="1"/>
  <c r="M382" i="1" s="1"/>
  <c r="O2251" i="1" l="1"/>
  <c r="P2251" i="1" s="1"/>
  <c r="D2251" i="1"/>
  <c r="M2251" i="1" s="1"/>
  <c r="C2252" i="1"/>
  <c r="L2252" i="1" s="1"/>
  <c r="O383" i="1"/>
  <c r="P383" i="1" s="1"/>
  <c r="D383" i="1"/>
  <c r="M383" i="1" s="1"/>
  <c r="C384" i="1"/>
  <c r="L384" i="1" s="1"/>
  <c r="O2252" i="1" l="1"/>
  <c r="P2252" i="1" s="1"/>
  <c r="C2253" i="1"/>
  <c r="L2253" i="1" s="1"/>
  <c r="D2252" i="1"/>
  <c r="M2252" i="1" s="1"/>
  <c r="O384" i="1"/>
  <c r="P384" i="1" s="1"/>
  <c r="C385" i="1"/>
  <c r="L385" i="1" s="1"/>
  <c r="D384" i="1"/>
  <c r="M384" i="1" s="1"/>
  <c r="O2253" i="1" l="1"/>
  <c r="P2253" i="1" s="1"/>
  <c r="D2253" i="1"/>
  <c r="M2253" i="1" s="1"/>
  <c r="C2254" i="1"/>
  <c r="L2254" i="1" s="1"/>
  <c r="O385" i="1"/>
  <c r="P385" i="1" s="1"/>
  <c r="D385" i="1"/>
  <c r="M385" i="1" s="1"/>
  <c r="C386" i="1"/>
  <c r="L386" i="1" s="1"/>
  <c r="O2254" i="1" l="1"/>
  <c r="P2254" i="1" s="1"/>
  <c r="C2255" i="1"/>
  <c r="L2255" i="1" s="1"/>
  <c r="D2254" i="1"/>
  <c r="M2254" i="1" s="1"/>
  <c r="O386" i="1"/>
  <c r="P386" i="1" s="1"/>
  <c r="C387" i="1"/>
  <c r="L387" i="1" s="1"/>
  <c r="D386" i="1"/>
  <c r="M386" i="1" s="1"/>
  <c r="O2255" i="1" l="1"/>
  <c r="P2255" i="1" s="1"/>
  <c r="D2255" i="1"/>
  <c r="M2255" i="1" s="1"/>
  <c r="C2256" i="1"/>
  <c r="O387" i="1"/>
  <c r="P387" i="1" s="1"/>
  <c r="D387" i="1"/>
  <c r="M387" i="1" s="1"/>
  <c r="C388" i="1"/>
  <c r="L388" i="1" s="1"/>
  <c r="I2257" i="1" l="1"/>
  <c r="L2256" i="1"/>
  <c r="O2256" i="1"/>
  <c r="P2256" i="1" s="1"/>
  <c r="C2257" i="1"/>
  <c r="L2257" i="1" s="1"/>
  <c r="D2256" i="1"/>
  <c r="M2256" i="1" s="1"/>
  <c r="O388" i="1"/>
  <c r="P388" i="1" s="1"/>
  <c r="C389" i="1"/>
  <c r="L389" i="1" s="1"/>
  <c r="D388" i="1"/>
  <c r="M388" i="1" s="1"/>
  <c r="J2257" i="1" l="1"/>
  <c r="I2258" i="1"/>
  <c r="O2257" i="1"/>
  <c r="P2257" i="1" s="1"/>
  <c r="D2257" i="1"/>
  <c r="M2257" i="1" s="1"/>
  <c r="C2258" i="1"/>
  <c r="L2258" i="1" s="1"/>
  <c r="O389" i="1"/>
  <c r="P389" i="1" s="1"/>
  <c r="D389" i="1"/>
  <c r="M389" i="1" s="1"/>
  <c r="C390" i="1"/>
  <c r="L390" i="1" s="1"/>
  <c r="I2260" i="1" l="1"/>
  <c r="I2262" i="1" s="1"/>
  <c r="I2264" i="1" s="1"/>
  <c r="J2258" i="1"/>
  <c r="J2260" i="1" s="1"/>
  <c r="J2262" i="1" s="1"/>
  <c r="J2264" i="1" s="1"/>
  <c r="O2258" i="1"/>
  <c r="P2258" i="1" s="1"/>
  <c r="C2259" i="1"/>
  <c r="L2259" i="1" s="1"/>
  <c r="D2258" i="1"/>
  <c r="M2258" i="1" s="1"/>
  <c r="O390" i="1"/>
  <c r="P390" i="1" s="1"/>
  <c r="C391" i="1"/>
  <c r="L391" i="1" s="1"/>
  <c r="D390" i="1"/>
  <c r="M390" i="1" s="1"/>
  <c r="O2259" i="1" l="1"/>
  <c r="P2259" i="1" s="1"/>
  <c r="C2260" i="1"/>
  <c r="L2260" i="1" s="1"/>
  <c r="D2259" i="1"/>
  <c r="M2259" i="1" s="1"/>
  <c r="D391" i="1"/>
  <c r="M391" i="1" s="1"/>
  <c r="C392" i="1"/>
  <c r="L392" i="1" s="1"/>
  <c r="O2260" i="1" l="1"/>
  <c r="P2260" i="1" s="1"/>
  <c r="D2260" i="1"/>
  <c r="M2260" i="1" s="1"/>
  <c r="C2261" i="1"/>
  <c r="L2261" i="1" s="1"/>
  <c r="C393" i="1"/>
  <c r="L393" i="1" s="1"/>
  <c r="D392" i="1"/>
  <c r="M392" i="1" s="1"/>
  <c r="O2261" i="1" l="1"/>
  <c r="P2261" i="1" s="1"/>
  <c r="D2261" i="1"/>
  <c r="M2261" i="1" s="1"/>
  <c r="C2262" i="1"/>
  <c r="L2262" i="1" s="1"/>
  <c r="O393" i="1"/>
  <c r="P393" i="1" s="1"/>
  <c r="D393" i="1"/>
  <c r="M393" i="1" s="1"/>
  <c r="C394" i="1"/>
  <c r="L394" i="1" s="1"/>
  <c r="O2262" i="1" l="1"/>
  <c r="P2262" i="1" s="1"/>
  <c r="C2263" i="1"/>
  <c r="L2263" i="1" s="1"/>
  <c r="D2262" i="1"/>
  <c r="M2262" i="1" s="1"/>
  <c r="O394" i="1"/>
  <c r="P394" i="1" s="1"/>
  <c r="C395" i="1"/>
  <c r="L395" i="1" s="1"/>
  <c r="D394" i="1"/>
  <c r="M394" i="1" s="1"/>
  <c r="O2263" i="1" l="1"/>
  <c r="P2263" i="1" s="1"/>
  <c r="C2264" i="1"/>
  <c r="L2264" i="1" s="1"/>
  <c r="D2263" i="1"/>
  <c r="M2263" i="1" s="1"/>
  <c r="O395" i="1"/>
  <c r="P395" i="1" s="1"/>
  <c r="D395" i="1"/>
  <c r="M395" i="1" s="1"/>
  <c r="C396" i="1"/>
  <c r="L396" i="1" s="1"/>
  <c r="O2264" i="1" l="1"/>
  <c r="P2264" i="1" s="1"/>
  <c r="C2265" i="1"/>
  <c r="L2265" i="1" s="1"/>
  <c r="D2264" i="1"/>
  <c r="M2264" i="1" s="1"/>
  <c r="O396" i="1"/>
  <c r="P396" i="1" s="1"/>
  <c r="D396" i="1"/>
  <c r="M396" i="1" s="1"/>
  <c r="C397" i="1"/>
  <c r="L397" i="1" s="1"/>
  <c r="O2265" i="1" l="1"/>
  <c r="P2265" i="1" s="1"/>
  <c r="D2265" i="1"/>
  <c r="M2265" i="1" s="1"/>
  <c r="C2266" i="1"/>
  <c r="L2266" i="1" s="1"/>
  <c r="O397" i="1"/>
  <c r="P397" i="1" s="1"/>
  <c r="D397" i="1"/>
  <c r="M397" i="1" s="1"/>
  <c r="C398" i="1"/>
  <c r="L398" i="1" s="1"/>
  <c r="O2266" i="1" l="1"/>
  <c r="P2266" i="1" s="1"/>
  <c r="C2267" i="1"/>
  <c r="L2267" i="1" s="1"/>
  <c r="D2266" i="1"/>
  <c r="M2266" i="1" s="1"/>
  <c r="O398" i="1"/>
  <c r="P398" i="1" s="1"/>
  <c r="C399" i="1"/>
  <c r="D398" i="1"/>
  <c r="M398" i="1" s="1"/>
  <c r="I400" i="1" l="1"/>
  <c r="L399" i="1"/>
  <c r="O2267" i="1"/>
  <c r="P2267" i="1" s="1"/>
  <c r="C2268" i="1"/>
  <c r="L2268" i="1" s="1"/>
  <c r="D2267" i="1"/>
  <c r="M2267" i="1" s="1"/>
  <c r="O399" i="1"/>
  <c r="P399" i="1" s="1"/>
  <c r="C400" i="1"/>
  <c r="L400" i="1" s="1"/>
  <c r="D399" i="1"/>
  <c r="M399" i="1" s="1"/>
  <c r="I401" i="1" l="1"/>
  <c r="J400" i="1"/>
  <c r="P2268" i="1"/>
  <c r="C2269" i="1"/>
  <c r="L2269" i="1" s="1"/>
  <c r="D2268" i="1"/>
  <c r="M2268" i="1" s="1"/>
  <c r="D400" i="1"/>
  <c r="M400" i="1" s="1"/>
  <c r="C401" i="1"/>
  <c r="L401" i="1" s="1"/>
  <c r="O400" i="1"/>
  <c r="P400" i="1" s="1"/>
  <c r="I403" i="1" l="1"/>
  <c r="I405" i="1" s="1"/>
  <c r="I407" i="1" s="1"/>
  <c r="J401" i="1"/>
  <c r="J403" i="1" s="1"/>
  <c r="J405" i="1" s="1"/>
  <c r="J407" i="1" s="1"/>
  <c r="O2269" i="1"/>
  <c r="P2269" i="1" s="1"/>
  <c r="D2269" i="1"/>
  <c r="M2269" i="1" s="1"/>
  <c r="C2270" i="1"/>
  <c r="L2270" i="1" s="1"/>
  <c r="D401" i="1"/>
  <c r="M401" i="1" s="1"/>
  <c r="O401" i="1"/>
  <c r="P401" i="1" s="1"/>
  <c r="C402" i="1"/>
  <c r="L402" i="1" s="1"/>
  <c r="O2270" i="1" l="1"/>
  <c r="P2270" i="1" s="1"/>
  <c r="C2271" i="1"/>
  <c r="L2271" i="1" s="1"/>
  <c r="D2270" i="1"/>
  <c r="M2270" i="1" s="1"/>
  <c r="D402" i="1"/>
  <c r="M402" i="1" s="1"/>
  <c r="O402" i="1"/>
  <c r="P402" i="1" s="1"/>
  <c r="C403" i="1"/>
  <c r="L403" i="1" s="1"/>
  <c r="P2271" i="1" l="1"/>
  <c r="D2271" i="1"/>
  <c r="M2271" i="1" s="1"/>
  <c r="C2272" i="1"/>
  <c r="L2272" i="1" s="1"/>
  <c r="D403" i="1"/>
  <c r="M403" i="1" s="1"/>
  <c r="O403" i="1"/>
  <c r="P403" i="1" s="1"/>
  <c r="C404" i="1"/>
  <c r="L404" i="1" s="1"/>
  <c r="O2272" i="1" l="1"/>
  <c r="P2272" i="1" s="1"/>
  <c r="C2273" i="1"/>
  <c r="L2273" i="1" s="1"/>
  <c r="D2272" i="1"/>
  <c r="M2272" i="1" s="1"/>
  <c r="D404" i="1"/>
  <c r="M404" i="1" s="1"/>
  <c r="O404" i="1"/>
  <c r="P404" i="1" s="1"/>
  <c r="C405" i="1"/>
  <c r="L405" i="1" s="1"/>
  <c r="O2273" i="1" l="1"/>
  <c r="P2273" i="1" s="1"/>
  <c r="C2274" i="1"/>
  <c r="L2274" i="1" s="1"/>
  <c r="D2273" i="1"/>
  <c r="M2273" i="1" s="1"/>
  <c r="D405" i="1"/>
  <c r="M405" i="1" s="1"/>
  <c r="O405" i="1"/>
  <c r="P405" i="1" s="1"/>
  <c r="C406" i="1"/>
  <c r="L406" i="1" s="1"/>
  <c r="O2274" i="1" l="1"/>
  <c r="P2274" i="1" s="1"/>
  <c r="C2275" i="1"/>
  <c r="L2275" i="1" s="1"/>
  <c r="D2274" i="1"/>
  <c r="M2274" i="1" s="1"/>
  <c r="D406" i="1"/>
  <c r="M406" i="1" s="1"/>
  <c r="O406" i="1"/>
  <c r="P406" i="1" s="1"/>
  <c r="C407" i="1"/>
  <c r="L407" i="1" s="1"/>
  <c r="O2275" i="1" l="1"/>
  <c r="P2275" i="1" s="1"/>
  <c r="D2275" i="1"/>
  <c r="M2275" i="1" s="1"/>
  <c r="C2276" i="1"/>
  <c r="L2276" i="1" s="1"/>
  <c r="D407" i="1"/>
  <c r="M407" i="1" s="1"/>
  <c r="O407" i="1"/>
  <c r="P407" i="1" s="1"/>
  <c r="C408" i="1"/>
  <c r="L408" i="1" s="1"/>
  <c r="O2276" i="1" l="1"/>
  <c r="P2276" i="1" s="1"/>
  <c r="C2277" i="1"/>
  <c r="L2277" i="1" s="1"/>
  <c r="D2276" i="1"/>
  <c r="M2276" i="1" s="1"/>
  <c r="D408" i="1"/>
  <c r="M408" i="1" s="1"/>
  <c r="O408" i="1"/>
  <c r="P408" i="1" s="1"/>
  <c r="C409" i="1"/>
  <c r="L409" i="1" s="1"/>
  <c r="O2277" i="1" l="1"/>
  <c r="P2277" i="1" s="1"/>
  <c r="D2277" i="1"/>
  <c r="M2277" i="1" s="1"/>
  <c r="C2278" i="1"/>
  <c r="L2278" i="1" s="1"/>
  <c r="D409" i="1"/>
  <c r="M409" i="1" s="1"/>
  <c r="O409" i="1"/>
  <c r="P409" i="1" s="1"/>
  <c r="C410" i="1"/>
  <c r="L410" i="1" s="1"/>
  <c r="O2278" i="1" l="1"/>
  <c r="P2278" i="1" s="1"/>
  <c r="C2279" i="1"/>
  <c r="L2279" i="1" s="1"/>
  <c r="D2278" i="1"/>
  <c r="M2278" i="1" s="1"/>
  <c r="D410" i="1"/>
  <c r="M410" i="1" s="1"/>
  <c r="O410" i="1"/>
  <c r="P410" i="1" s="1"/>
  <c r="C411" i="1"/>
  <c r="L411" i="1" s="1"/>
  <c r="O2279" i="1" l="1"/>
  <c r="P2279" i="1" s="1"/>
  <c r="D2279" i="1"/>
  <c r="M2279" i="1" s="1"/>
  <c r="C2280" i="1"/>
  <c r="L2280" i="1" s="1"/>
  <c r="O411" i="1"/>
  <c r="P411" i="1" s="1"/>
  <c r="D411" i="1"/>
  <c r="M411" i="1" s="1"/>
  <c r="C412" i="1"/>
  <c r="L412" i="1" s="1"/>
  <c r="O2280" i="1" l="1"/>
  <c r="P2280" i="1" s="1"/>
  <c r="C2281" i="1"/>
  <c r="L2281" i="1" s="1"/>
  <c r="D2280" i="1"/>
  <c r="M2280" i="1" s="1"/>
  <c r="O412" i="1"/>
  <c r="P412" i="1" s="1"/>
  <c r="D412" i="1"/>
  <c r="M412" i="1" s="1"/>
  <c r="C413" i="1"/>
  <c r="L413" i="1" s="1"/>
  <c r="O2281" i="1" l="1"/>
  <c r="P2281" i="1" s="1"/>
  <c r="D2281" i="1"/>
  <c r="M2281" i="1" s="1"/>
  <c r="C2282" i="1"/>
  <c r="L2282" i="1" s="1"/>
  <c r="D413" i="1"/>
  <c r="M413" i="1" s="1"/>
  <c r="C414" i="1"/>
  <c r="L414" i="1" s="1"/>
  <c r="O2282" i="1" l="1"/>
  <c r="P2282" i="1" s="1"/>
  <c r="C2283" i="1"/>
  <c r="L2283" i="1" s="1"/>
  <c r="D2282" i="1"/>
  <c r="M2282" i="1" s="1"/>
  <c r="O414" i="1"/>
  <c r="P414" i="1" s="1"/>
  <c r="D414" i="1"/>
  <c r="M414" i="1" s="1"/>
  <c r="C415" i="1"/>
  <c r="L415" i="1" s="1"/>
  <c r="O2283" i="1" l="1"/>
  <c r="P2283" i="1" s="1"/>
  <c r="C2284" i="1"/>
  <c r="D2283" i="1"/>
  <c r="M2283" i="1" s="1"/>
  <c r="O415" i="1"/>
  <c r="P415" i="1" s="1"/>
  <c r="D415" i="1"/>
  <c r="M415" i="1" s="1"/>
  <c r="C416" i="1"/>
  <c r="L416" i="1" s="1"/>
  <c r="I2285" i="1" l="1"/>
  <c r="L2284" i="1"/>
  <c r="O2284" i="1"/>
  <c r="C2285" i="1"/>
  <c r="L2285" i="1" s="1"/>
  <c r="D2284" i="1"/>
  <c r="M2284" i="1" s="1"/>
  <c r="D416" i="1"/>
  <c r="M416" i="1" s="1"/>
  <c r="C417" i="1"/>
  <c r="L417" i="1" s="1"/>
  <c r="I2286" i="1" l="1"/>
  <c r="J2285" i="1"/>
  <c r="P2284" i="1"/>
  <c r="O2285" i="1"/>
  <c r="D2285" i="1"/>
  <c r="M2285" i="1" s="1"/>
  <c r="C2286" i="1"/>
  <c r="L2286" i="1" s="1"/>
  <c r="O417" i="1"/>
  <c r="P417" i="1" s="1"/>
  <c r="D417" i="1"/>
  <c r="M417" i="1" s="1"/>
  <c r="C418" i="1"/>
  <c r="L418" i="1" s="1"/>
  <c r="I2288" i="1" l="1"/>
  <c r="I2290" i="1" s="1"/>
  <c r="I2292" i="1" s="1"/>
  <c r="J2286" i="1"/>
  <c r="J2288" i="1" s="1"/>
  <c r="J2290" i="1" s="1"/>
  <c r="J2292" i="1" s="1"/>
  <c r="P2285" i="1"/>
  <c r="O2286" i="1"/>
  <c r="C2287" i="1"/>
  <c r="L2287" i="1" s="1"/>
  <c r="D2286" i="1"/>
  <c r="M2286" i="1" s="1"/>
  <c r="O418" i="1"/>
  <c r="P418" i="1" s="1"/>
  <c r="D418" i="1"/>
  <c r="M418" i="1" s="1"/>
  <c r="C419" i="1"/>
  <c r="L419" i="1" s="1"/>
  <c r="P2286" i="1" l="1"/>
  <c r="O2287" i="1"/>
  <c r="C2288" i="1"/>
  <c r="L2288" i="1" s="1"/>
  <c r="D2287" i="1"/>
  <c r="M2287" i="1" s="1"/>
  <c r="O419" i="1"/>
  <c r="P419" i="1" s="1"/>
  <c r="D419" i="1"/>
  <c r="M419" i="1" s="1"/>
  <c r="C420" i="1"/>
  <c r="L420" i="1" s="1"/>
  <c r="P2287" i="1" l="1"/>
  <c r="O2288" i="1"/>
  <c r="D2288" i="1"/>
  <c r="M2288" i="1" s="1"/>
  <c r="C2289" i="1"/>
  <c r="L2289" i="1" s="1"/>
  <c r="O420" i="1"/>
  <c r="P420" i="1" s="1"/>
  <c r="D420" i="1"/>
  <c r="M420" i="1" s="1"/>
  <c r="C421" i="1"/>
  <c r="L421" i="1" s="1"/>
  <c r="P2288" i="1" l="1"/>
  <c r="O2289" i="1"/>
  <c r="D2289" i="1"/>
  <c r="M2289" i="1" s="1"/>
  <c r="C2290" i="1"/>
  <c r="L2290" i="1" s="1"/>
  <c r="O421" i="1"/>
  <c r="P421" i="1" s="1"/>
  <c r="D421" i="1"/>
  <c r="M421" i="1" s="1"/>
  <c r="C422" i="1"/>
  <c r="L422" i="1" s="1"/>
  <c r="P2289" i="1" l="1"/>
  <c r="O2290" i="1"/>
  <c r="C2291" i="1"/>
  <c r="L2291" i="1" s="1"/>
  <c r="D2290" i="1"/>
  <c r="M2290" i="1" s="1"/>
  <c r="O422" i="1"/>
  <c r="P422" i="1" s="1"/>
  <c r="D422" i="1"/>
  <c r="M422" i="1" s="1"/>
  <c r="C423" i="1"/>
  <c r="L423" i="1" s="1"/>
  <c r="P2290" i="1" l="1"/>
  <c r="O2291" i="1"/>
  <c r="D2291" i="1"/>
  <c r="M2291" i="1" s="1"/>
  <c r="C2292" i="1"/>
  <c r="L2292" i="1" s="1"/>
  <c r="O423" i="1"/>
  <c r="P423" i="1" s="1"/>
  <c r="D423" i="1"/>
  <c r="M423" i="1" s="1"/>
  <c r="C424" i="1"/>
  <c r="L424" i="1" s="1"/>
  <c r="P2291" i="1" l="1"/>
  <c r="O2292" i="1"/>
  <c r="C2293" i="1"/>
  <c r="L2293" i="1" s="1"/>
  <c r="D2292" i="1"/>
  <c r="M2292" i="1" s="1"/>
  <c r="O424" i="1"/>
  <c r="P424" i="1" s="1"/>
  <c r="D424" i="1"/>
  <c r="M424" i="1" s="1"/>
  <c r="C425" i="1"/>
  <c r="L425" i="1" s="1"/>
  <c r="P2292" i="1" l="1"/>
  <c r="O2293" i="1"/>
  <c r="D2293" i="1"/>
  <c r="M2293" i="1" s="1"/>
  <c r="C2294" i="1"/>
  <c r="L2294" i="1" s="1"/>
  <c r="O425" i="1"/>
  <c r="P425" i="1" s="1"/>
  <c r="D425" i="1"/>
  <c r="M425" i="1" s="1"/>
  <c r="C426" i="1"/>
  <c r="L426" i="1" s="1"/>
  <c r="P2293" i="1" l="1"/>
  <c r="O2294" i="1"/>
  <c r="C2295" i="1"/>
  <c r="L2295" i="1" s="1"/>
  <c r="D2294" i="1"/>
  <c r="M2294" i="1" s="1"/>
  <c r="O426" i="1"/>
  <c r="P426" i="1" s="1"/>
  <c r="D426" i="1"/>
  <c r="M426" i="1" s="1"/>
  <c r="C427" i="1"/>
  <c r="L427" i="1" s="1"/>
  <c r="P2294" i="1" l="1"/>
  <c r="O2295" i="1"/>
  <c r="D2295" i="1"/>
  <c r="M2295" i="1" s="1"/>
  <c r="C2296" i="1"/>
  <c r="L2296" i="1" s="1"/>
  <c r="O427" i="1"/>
  <c r="P427" i="1" s="1"/>
  <c r="D427" i="1"/>
  <c r="M427" i="1" s="1"/>
  <c r="C428" i="1"/>
  <c r="L428" i="1" s="1"/>
  <c r="O2296" i="1" l="1"/>
  <c r="D2296" i="1"/>
  <c r="M2296" i="1" s="1"/>
  <c r="C2297" i="1"/>
  <c r="L2297" i="1" s="1"/>
  <c r="O428" i="1"/>
  <c r="P428" i="1" s="1"/>
  <c r="D428" i="1"/>
  <c r="M428" i="1" s="1"/>
  <c r="C429" i="1"/>
  <c r="L429" i="1" s="1"/>
  <c r="O2297" i="1" l="1"/>
  <c r="D2297" i="1"/>
  <c r="M2297" i="1" s="1"/>
  <c r="C2298" i="1"/>
  <c r="L2298" i="1" s="1"/>
  <c r="O429" i="1"/>
  <c r="P429" i="1" s="1"/>
  <c r="D429" i="1"/>
  <c r="M429" i="1" s="1"/>
  <c r="C430" i="1"/>
  <c r="I431" i="1" l="1"/>
  <c r="L430" i="1"/>
  <c r="O2298" i="1"/>
  <c r="C2299" i="1"/>
  <c r="L2299" i="1" s="1"/>
  <c r="D2298" i="1"/>
  <c r="M2298" i="1" s="1"/>
  <c r="O430" i="1"/>
  <c r="P430" i="1" s="1"/>
  <c r="D430" i="1"/>
  <c r="M430" i="1" s="1"/>
  <c r="C431" i="1"/>
  <c r="L431" i="1" s="1"/>
  <c r="J431" i="1" l="1"/>
  <c r="I432" i="1"/>
  <c r="O2299" i="1"/>
  <c r="D2299" i="1"/>
  <c r="M2299" i="1" s="1"/>
  <c r="C2300" i="1"/>
  <c r="L2300" i="1" s="1"/>
  <c r="O431" i="1"/>
  <c r="P431" i="1" s="1"/>
  <c r="D431" i="1"/>
  <c r="M431" i="1" s="1"/>
  <c r="C432" i="1"/>
  <c r="L432" i="1" s="1"/>
  <c r="I434" i="1" l="1"/>
  <c r="I436" i="1" s="1"/>
  <c r="I438" i="1" s="1"/>
  <c r="J432" i="1"/>
  <c r="J434" i="1" s="1"/>
  <c r="J436" i="1" s="1"/>
  <c r="J438" i="1" s="1"/>
  <c r="O2300" i="1"/>
  <c r="C2301" i="1"/>
  <c r="L2301" i="1" s="1"/>
  <c r="D2300" i="1"/>
  <c r="M2300" i="1" s="1"/>
  <c r="O432" i="1"/>
  <c r="P432" i="1" s="1"/>
  <c r="D432" i="1"/>
  <c r="M432" i="1" s="1"/>
  <c r="C433" i="1"/>
  <c r="L433" i="1" s="1"/>
  <c r="O2301" i="1" l="1"/>
  <c r="D2301" i="1"/>
  <c r="M2301" i="1" s="1"/>
  <c r="C2302" i="1"/>
  <c r="L2302" i="1" s="1"/>
  <c r="O433" i="1"/>
  <c r="P433" i="1" s="1"/>
  <c r="D433" i="1"/>
  <c r="M433" i="1" s="1"/>
  <c r="C434" i="1"/>
  <c r="L434" i="1" s="1"/>
  <c r="O2302" i="1" l="1"/>
  <c r="C2303" i="1"/>
  <c r="L2303" i="1" s="1"/>
  <c r="D2302" i="1"/>
  <c r="M2302" i="1" s="1"/>
  <c r="O434" i="1"/>
  <c r="P434" i="1" s="1"/>
  <c r="D434" i="1"/>
  <c r="M434" i="1" s="1"/>
  <c r="C435" i="1"/>
  <c r="L435" i="1" s="1"/>
  <c r="O2303" i="1" l="1"/>
  <c r="D2303" i="1"/>
  <c r="M2303" i="1" s="1"/>
  <c r="C2304" i="1"/>
  <c r="L2304" i="1" s="1"/>
  <c r="O435" i="1"/>
  <c r="P435" i="1" s="1"/>
  <c r="D435" i="1"/>
  <c r="M435" i="1" s="1"/>
  <c r="C436" i="1"/>
  <c r="L436" i="1" s="1"/>
  <c r="O2304" i="1" l="1"/>
  <c r="D2304" i="1"/>
  <c r="M2304" i="1" s="1"/>
  <c r="C2305" i="1"/>
  <c r="L2305" i="1" s="1"/>
  <c r="O436" i="1"/>
  <c r="P436" i="1" s="1"/>
  <c r="D436" i="1"/>
  <c r="M436" i="1" s="1"/>
  <c r="C437" i="1"/>
  <c r="L437" i="1" s="1"/>
  <c r="O2305" i="1" l="1"/>
  <c r="D2305" i="1"/>
  <c r="M2305" i="1" s="1"/>
  <c r="C2306" i="1"/>
  <c r="L2306" i="1" s="1"/>
  <c r="O437" i="1"/>
  <c r="P437" i="1" s="1"/>
  <c r="D437" i="1"/>
  <c r="M437" i="1" s="1"/>
  <c r="C438" i="1"/>
  <c r="L438" i="1" s="1"/>
  <c r="O2306" i="1" l="1"/>
  <c r="C2307" i="1"/>
  <c r="L2307" i="1" s="1"/>
  <c r="D2306" i="1"/>
  <c r="M2306" i="1" s="1"/>
  <c r="O438" i="1"/>
  <c r="P438" i="1" s="1"/>
  <c r="D438" i="1"/>
  <c r="M438" i="1" s="1"/>
  <c r="C439" i="1"/>
  <c r="L439" i="1" s="1"/>
  <c r="O2307" i="1" l="1"/>
  <c r="C2308" i="1"/>
  <c r="L2308" i="1" s="1"/>
  <c r="D2307" i="1"/>
  <c r="M2307" i="1" s="1"/>
  <c r="O439" i="1"/>
  <c r="P439" i="1" s="1"/>
  <c r="D439" i="1"/>
  <c r="M439" i="1" s="1"/>
  <c r="C440" i="1"/>
  <c r="L440" i="1" s="1"/>
  <c r="O2308" i="1" l="1"/>
  <c r="D2308" i="1"/>
  <c r="M2308" i="1" s="1"/>
  <c r="C2309" i="1"/>
  <c r="L2309" i="1" s="1"/>
  <c r="O440" i="1"/>
  <c r="P440" i="1" s="1"/>
  <c r="D440" i="1"/>
  <c r="M440" i="1" s="1"/>
  <c r="C441" i="1"/>
  <c r="L441" i="1" s="1"/>
  <c r="O2309" i="1" l="1"/>
  <c r="D2309" i="1"/>
  <c r="M2309" i="1" s="1"/>
  <c r="C2310" i="1"/>
  <c r="L2310" i="1" s="1"/>
  <c r="D441" i="1"/>
  <c r="M441" i="1" s="1"/>
  <c r="C442" i="1"/>
  <c r="L442" i="1" s="1"/>
  <c r="O2310" i="1" l="1"/>
  <c r="C2311" i="1"/>
  <c r="L2311" i="1" s="1"/>
  <c r="D2310" i="1"/>
  <c r="M2310" i="1" s="1"/>
  <c r="O442" i="1"/>
  <c r="P442" i="1" s="1"/>
  <c r="D442" i="1"/>
  <c r="M442" i="1" s="1"/>
  <c r="C443" i="1"/>
  <c r="L443" i="1" s="1"/>
  <c r="O2311" i="1" l="1"/>
  <c r="D2311" i="1"/>
  <c r="M2311" i="1" s="1"/>
  <c r="C2312" i="1"/>
  <c r="L2312" i="1" s="1"/>
  <c r="O443" i="1"/>
  <c r="P443" i="1" s="1"/>
  <c r="D443" i="1"/>
  <c r="M443" i="1" s="1"/>
  <c r="C444" i="1"/>
  <c r="L444" i="1" s="1"/>
  <c r="O2312" i="1" l="1"/>
  <c r="D2312" i="1"/>
  <c r="M2312" i="1" s="1"/>
  <c r="C2313" i="1"/>
  <c r="L2313" i="1" s="1"/>
  <c r="D444" i="1"/>
  <c r="M444" i="1" s="1"/>
  <c r="C445" i="1"/>
  <c r="L445" i="1" s="1"/>
  <c r="O2313" i="1" l="1"/>
  <c r="D2313" i="1"/>
  <c r="M2313" i="1" s="1"/>
  <c r="C2314" i="1"/>
  <c r="L2314" i="1" s="1"/>
  <c r="O445" i="1"/>
  <c r="P445" i="1" s="1"/>
  <c r="D445" i="1"/>
  <c r="M445" i="1" s="1"/>
  <c r="C446" i="1"/>
  <c r="L446" i="1" s="1"/>
  <c r="O2314" i="1" l="1"/>
  <c r="D2314" i="1"/>
  <c r="M2314" i="1" s="1"/>
  <c r="C2315" i="1"/>
  <c r="O446" i="1"/>
  <c r="P446" i="1" s="1"/>
  <c r="D446" i="1"/>
  <c r="M446" i="1" s="1"/>
  <c r="C447" i="1"/>
  <c r="L447" i="1" s="1"/>
  <c r="I2316" i="1" l="1"/>
  <c r="L2315" i="1"/>
  <c r="O2315" i="1"/>
  <c r="C2316" i="1"/>
  <c r="L2316" i="1" s="1"/>
  <c r="D2315" i="1"/>
  <c r="M2315" i="1" s="1"/>
  <c r="O447" i="1"/>
  <c r="P447" i="1" s="1"/>
  <c r="D447" i="1"/>
  <c r="M447" i="1" s="1"/>
  <c r="C448" i="1"/>
  <c r="L448" i="1" s="1"/>
  <c r="J2316" i="1" l="1"/>
  <c r="I2317" i="1"/>
  <c r="O2316" i="1"/>
  <c r="D2316" i="1"/>
  <c r="M2316" i="1" s="1"/>
  <c r="C2317" i="1"/>
  <c r="L2317" i="1" s="1"/>
  <c r="O448" i="1"/>
  <c r="P448" i="1" s="1"/>
  <c r="D448" i="1"/>
  <c r="M448" i="1" s="1"/>
  <c r="C449" i="1"/>
  <c r="L449" i="1" s="1"/>
  <c r="I2319" i="1" l="1"/>
  <c r="I2321" i="1" s="1"/>
  <c r="I2323" i="1" s="1"/>
  <c r="J2317" i="1"/>
  <c r="J2319" i="1" s="1"/>
  <c r="J2321" i="1" s="1"/>
  <c r="J2323" i="1" s="1"/>
  <c r="D2317" i="1"/>
  <c r="M2317" i="1" s="1"/>
  <c r="C2318" i="1"/>
  <c r="L2318" i="1" s="1"/>
  <c r="O449" i="1"/>
  <c r="P449" i="1" s="1"/>
  <c r="D449" i="1"/>
  <c r="M449" i="1" s="1"/>
  <c r="C450" i="1"/>
  <c r="L450" i="1" s="1"/>
  <c r="O2318" i="1" l="1"/>
  <c r="D2318" i="1"/>
  <c r="M2318" i="1" s="1"/>
  <c r="C2319" i="1"/>
  <c r="L2319" i="1" s="1"/>
  <c r="O450" i="1"/>
  <c r="P450" i="1" s="1"/>
  <c r="D450" i="1"/>
  <c r="M450" i="1" s="1"/>
  <c r="C451" i="1"/>
  <c r="L451" i="1" s="1"/>
  <c r="O2319" i="1" l="1"/>
  <c r="C2320" i="1"/>
  <c r="L2320" i="1" s="1"/>
  <c r="D2319" i="1"/>
  <c r="M2319" i="1" s="1"/>
  <c r="O451" i="1"/>
  <c r="P451" i="1" s="1"/>
  <c r="D451" i="1"/>
  <c r="M451" i="1" s="1"/>
  <c r="C452" i="1"/>
  <c r="L452" i="1" s="1"/>
  <c r="D2320" i="1" l="1"/>
  <c r="M2320" i="1" s="1"/>
  <c r="C2321" i="1"/>
  <c r="L2321" i="1" s="1"/>
  <c r="O452" i="1"/>
  <c r="P452" i="1" s="1"/>
  <c r="D452" i="1"/>
  <c r="M452" i="1" s="1"/>
  <c r="C453" i="1"/>
  <c r="L453" i="1" s="1"/>
  <c r="O2321" i="1" l="1"/>
  <c r="D2321" i="1"/>
  <c r="M2321" i="1" s="1"/>
  <c r="C2322" i="1"/>
  <c r="L2322" i="1" s="1"/>
  <c r="O453" i="1"/>
  <c r="P453" i="1" s="1"/>
  <c r="D453" i="1"/>
  <c r="M453" i="1" s="1"/>
  <c r="C454" i="1"/>
  <c r="L454" i="1" s="1"/>
  <c r="P2318" i="1" l="1"/>
  <c r="P2317" i="1"/>
  <c r="P2321" i="1"/>
  <c r="P2316" i="1"/>
  <c r="P2320" i="1"/>
  <c r="P2319" i="1"/>
  <c r="O2322" i="1"/>
  <c r="C2323" i="1"/>
  <c r="L2323" i="1" s="1"/>
  <c r="D2322" i="1"/>
  <c r="M2322" i="1" s="1"/>
  <c r="O454" i="1"/>
  <c r="P454" i="1" s="1"/>
  <c r="D454" i="1"/>
  <c r="M454" i="1" s="1"/>
  <c r="C455" i="1"/>
  <c r="L455" i="1" s="1"/>
  <c r="P2322" i="1" l="1"/>
  <c r="P2315" i="1"/>
  <c r="O2323" i="1"/>
  <c r="D2323" i="1"/>
  <c r="M2323" i="1" s="1"/>
  <c r="C2324" i="1"/>
  <c r="L2324" i="1" s="1"/>
  <c r="O455" i="1"/>
  <c r="P455" i="1" s="1"/>
  <c r="D455" i="1"/>
  <c r="M455" i="1" s="1"/>
  <c r="C456" i="1"/>
  <c r="L456" i="1" s="1"/>
  <c r="P2323" i="1" l="1"/>
  <c r="P2312" i="1"/>
  <c r="P2304" i="1"/>
  <c r="P2314" i="1"/>
  <c r="P2303" i="1"/>
  <c r="P2309" i="1"/>
  <c r="P2308" i="1"/>
  <c r="P2307" i="1"/>
  <c r="P2310" i="1"/>
  <c r="P2305" i="1"/>
  <c r="P2313" i="1"/>
  <c r="P2311" i="1"/>
  <c r="P2306" i="1"/>
  <c r="O2324" i="1"/>
  <c r="C2325" i="1"/>
  <c r="L2325" i="1" s="1"/>
  <c r="D2324" i="1"/>
  <c r="M2324" i="1" s="1"/>
  <c r="O456" i="1"/>
  <c r="P456" i="1" s="1"/>
  <c r="D456" i="1"/>
  <c r="M456" i="1" s="1"/>
  <c r="C457" i="1"/>
  <c r="L457" i="1" s="1"/>
  <c r="P2324" i="1" l="1"/>
  <c r="P2302" i="1"/>
  <c r="O2325" i="1"/>
  <c r="D2325" i="1"/>
  <c r="M2325" i="1" s="1"/>
  <c r="C2326" i="1"/>
  <c r="L2326" i="1" s="1"/>
  <c r="O457" i="1"/>
  <c r="P457" i="1" s="1"/>
  <c r="D457" i="1"/>
  <c r="M457" i="1" s="1"/>
  <c r="C458" i="1"/>
  <c r="I459" i="1" l="1"/>
  <c r="L458" i="1"/>
  <c r="P2325" i="1"/>
  <c r="P2301" i="1"/>
  <c r="O2326" i="1"/>
  <c r="C2327" i="1"/>
  <c r="L2327" i="1" s="1"/>
  <c r="D2326" i="1"/>
  <c r="M2326" i="1" s="1"/>
  <c r="O458" i="1"/>
  <c r="P458" i="1" s="1"/>
  <c r="D458" i="1"/>
  <c r="M458" i="1" s="1"/>
  <c r="C459" i="1"/>
  <c r="L459" i="1" s="1"/>
  <c r="J459" i="1" l="1"/>
  <c r="I460" i="1"/>
  <c r="P2326" i="1"/>
  <c r="P2299" i="1"/>
  <c r="P2296" i="1"/>
  <c r="P2298" i="1"/>
  <c r="P2300" i="1"/>
  <c r="P2295" i="1"/>
  <c r="P2297" i="1"/>
  <c r="O2327" i="1"/>
  <c r="C2328" i="1"/>
  <c r="L2328" i="1" s="1"/>
  <c r="D2327" i="1"/>
  <c r="M2327" i="1" s="1"/>
  <c r="O459" i="1"/>
  <c r="P459" i="1" s="1"/>
  <c r="D459" i="1"/>
  <c r="M459" i="1" s="1"/>
  <c r="C460" i="1"/>
  <c r="L460" i="1" s="1"/>
  <c r="I462" i="1" l="1"/>
  <c r="I464" i="1" s="1"/>
  <c r="I466" i="1" s="1"/>
  <c r="J460" i="1"/>
  <c r="J462" i="1" s="1"/>
  <c r="J464" i="1" s="1"/>
  <c r="J466" i="1" s="1"/>
  <c r="P2327" i="1"/>
  <c r="O2328" i="1"/>
  <c r="P2328" i="1" s="1"/>
  <c r="C2329" i="1"/>
  <c r="L2329" i="1" s="1"/>
  <c r="D2328" i="1"/>
  <c r="M2328" i="1" s="1"/>
  <c r="O460" i="1"/>
  <c r="P460" i="1" s="1"/>
  <c r="D460" i="1"/>
  <c r="M460" i="1" s="1"/>
  <c r="C461" i="1"/>
  <c r="L461" i="1" s="1"/>
  <c r="O2329" i="1" l="1"/>
  <c r="C2330" i="1"/>
  <c r="L2330" i="1" s="1"/>
  <c r="D2329" i="1"/>
  <c r="M2329" i="1" s="1"/>
  <c r="O461" i="1"/>
  <c r="P461" i="1" s="1"/>
  <c r="D461" i="1"/>
  <c r="M461" i="1" s="1"/>
  <c r="C462" i="1"/>
  <c r="L462" i="1" s="1"/>
  <c r="P2329" i="1" l="1"/>
  <c r="O2330" i="1"/>
  <c r="D2330" i="1"/>
  <c r="M2330" i="1" s="1"/>
  <c r="C2331" i="1"/>
  <c r="L2331" i="1" s="1"/>
  <c r="O462" i="1"/>
  <c r="P462" i="1" s="1"/>
  <c r="D462" i="1"/>
  <c r="M462" i="1" s="1"/>
  <c r="C463" i="1"/>
  <c r="L463" i="1" s="1"/>
  <c r="P2330" i="1" l="1"/>
  <c r="O2331" i="1"/>
  <c r="C2332" i="1"/>
  <c r="L2332" i="1" s="1"/>
  <c r="D2331" i="1"/>
  <c r="M2331" i="1" s="1"/>
  <c r="O463" i="1"/>
  <c r="P463" i="1" s="1"/>
  <c r="D463" i="1"/>
  <c r="M463" i="1" s="1"/>
  <c r="C464" i="1"/>
  <c r="L464" i="1" s="1"/>
  <c r="P2331" i="1" l="1"/>
  <c r="O2332" i="1"/>
  <c r="D2332" i="1"/>
  <c r="M2332" i="1" s="1"/>
  <c r="C2333" i="1"/>
  <c r="L2333" i="1" s="1"/>
  <c r="O464" i="1"/>
  <c r="P464" i="1" s="1"/>
  <c r="D464" i="1"/>
  <c r="M464" i="1" s="1"/>
  <c r="C465" i="1"/>
  <c r="L465" i="1" s="1"/>
  <c r="P2332" i="1" l="1"/>
  <c r="O2333" i="1"/>
  <c r="C2334" i="1"/>
  <c r="L2334" i="1" s="1"/>
  <c r="D2333" i="1"/>
  <c r="M2333" i="1" s="1"/>
  <c r="O465" i="1"/>
  <c r="P465" i="1" s="1"/>
  <c r="D465" i="1"/>
  <c r="M465" i="1" s="1"/>
  <c r="C466" i="1"/>
  <c r="L466" i="1" s="1"/>
  <c r="P2333" i="1" l="1"/>
  <c r="O2334" i="1"/>
  <c r="D2334" i="1"/>
  <c r="M2334" i="1" s="1"/>
  <c r="C2335" i="1"/>
  <c r="L2335" i="1" s="1"/>
  <c r="O466" i="1"/>
  <c r="P466" i="1" s="1"/>
  <c r="D466" i="1"/>
  <c r="M466" i="1" s="1"/>
  <c r="C467" i="1"/>
  <c r="L467" i="1" s="1"/>
  <c r="P2334" i="1" l="1"/>
  <c r="O2335" i="1"/>
  <c r="C2336" i="1"/>
  <c r="L2336" i="1" s="1"/>
  <c r="D2335" i="1"/>
  <c r="M2335" i="1" s="1"/>
  <c r="O467" i="1"/>
  <c r="P467" i="1" s="1"/>
  <c r="D467" i="1"/>
  <c r="M467" i="1" s="1"/>
  <c r="C468" i="1"/>
  <c r="L468" i="1" s="1"/>
  <c r="P2335" i="1" l="1"/>
  <c r="O2336" i="1"/>
  <c r="D2336" i="1"/>
  <c r="M2336" i="1" s="1"/>
  <c r="C2337" i="1"/>
  <c r="L2337" i="1" s="1"/>
  <c r="O468" i="1"/>
  <c r="P468" i="1" s="1"/>
  <c r="D468" i="1"/>
  <c r="M468" i="1" s="1"/>
  <c r="C469" i="1"/>
  <c r="L469" i="1" s="1"/>
  <c r="P2336" i="1" l="1"/>
  <c r="O2337" i="1"/>
  <c r="D2337" i="1"/>
  <c r="M2337" i="1" s="1"/>
  <c r="C2338" i="1"/>
  <c r="L2338" i="1" s="1"/>
  <c r="O469" i="1"/>
  <c r="P469" i="1" s="1"/>
  <c r="D469" i="1"/>
  <c r="M469" i="1" s="1"/>
  <c r="C470" i="1"/>
  <c r="L470" i="1" s="1"/>
  <c r="P2337" i="1" l="1"/>
  <c r="O2338" i="1"/>
  <c r="C2339" i="1"/>
  <c r="L2339" i="1" s="1"/>
  <c r="D2338" i="1"/>
  <c r="M2338" i="1" s="1"/>
  <c r="O470" i="1"/>
  <c r="P470" i="1" s="1"/>
  <c r="D470" i="1"/>
  <c r="M470" i="1" s="1"/>
  <c r="C471" i="1"/>
  <c r="L471" i="1" s="1"/>
  <c r="P2338" i="1" l="1"/>
  <c r="O2339" i="1"/>
  <c r="C2340" i="1"/>
  <c r="L2340" i="1" s="1"/>
  <c r="D2339" i="1"/>
  <c r="M2339" i="1" s="1"/>
  <c r="O471" i="1"/>
  <c r="P471" i="1" s="1"/>
  <c r="D471" i="1"/>
  <c r="M471" i="1" s="1"/>
  <c r="C472" i="1"/>
  <c r="L472" i="1" s="1"/>
  <c r="P2339" i="1" l="1"/>
  <c r="O2340" i="1"/>
  <c r="D2340" i="1"/>
  <c r="M2340" i="1" s="1"/>
  <c r="C2341" i="1"/>
  <c r="L2341" i="1" s="1"/>
  <c r="O472" i="1"/>
  <c r="P472" i="1" s="1"/>
  <c r="D472" i="1"/>
  <c r="M472" i="1" s="1"/>
  <c r="C473" i="1"/>
  <c r="L473" i="1" s="1"/>
  <c r="P2340" i="1" l="1"/>
  <c r="O2341" i="1"/>
  <c r="D2341" i="1"/>
  <c r="M2341" i="1" s="1"/>
  <c r="C2342" i="1"/>
  <c r="L2342" i="1" s="1"/>
  <c r="C474" i="1"/>
  <c r="L474" i="1" s="1"/>
  <c r="O473" i="1"/>
  <c r="P473" i="1" s="1"/>
  <c r="D473" i="1"/>
  <c r="M473" i="1" s="1"/>
  <c r="P2341" i="1" l="1"/>
  <c r="O2342" i="1"/>
  <c r="C2343" i="1"/>
  <c r="L2343" i="1" s="1"/>
  <c r="D2342" i="1"/>
  <c r="M2342" i="1" s="1"/>
  <c r="O474" i="1"/>
  <c r="P474" i="1" s="1"/>
  <c r="D474" i="1"/>
  <c r="M474" i="1" s="1"/>
  <c r="C475" i="1"/>
  <c r="L475" i="1" s="1"/>
  <c r="P2342" i="1" l="1"/>
  <c r="O2343" i="1"/>
  <c r="D2343" i="1"/>
  <c r="M2343" i="1" s="1"/>
  <c r="C2344" i="1"/>
  <c r="L2344" i="1" s="1"/>
  <c r="O475" i="1"/>
  <c r="P475" i="1" s="1"/>
  <c r="C476" i="1"/>
  <c r="L476" i="1" s="1"/>
  <c r="D475" i="1"/>
  <c r="M475" i="1" s="1"/>
  <c r="P2343" i="1" l="1"/>
  <c r="O2344" i="1"/>
  <c r="C2345" i="1"/>
  <c r="D2344" i="1"/>
  <c r="M2344" i="1" s="1"/>
  <c r="C477" i="1"/>
  <c r="D476" i="1"/>
  <c r="M476" i="1" s="1"/>
  <c r="O476" i="1"/>
  <c r="P476" i="1" s="1"/>
  <c r="I2346" i="1" l="1"/>
  <c r="L2345" i="1"/>
  <c r="C478" i="1"/>
  <c r="L477" i="1"/>
  <c r="P2344" i="1"/>
  <c r="O2345" i="1"/>
  <c r="C2346" i="1"/>
  <c r="L2346" i="1" s="1"/>
  <c r="D2345" i="1"/>
  <c r="M2345" i="1" s="1"/>
  <c r="O477" i="1"/>
  <c r="P477" i="1" s="1"/>
  <c r="D477" i="1"/>
  <c r="M477" i="1" s="1"/>
  <c r="J2346" i="1" l="1"/>
  <c r="I2347" i="1"/>
  <c r="L478" i="1"/>
  <c r="O478" i="1"/>
  <c r="P478" i="1" s="1"/>
  <c r="D478" i="1"/>
  <c r="M478" i="1" s="1"/>
  <c r="C479" i="1"/>
  <c r="P2345" i="1"/>
  <c r="O2346" i="1"/>
  <c r="C2347" i="1"/>
  <c r="L2347" i="1" s="1"/>
  <c r="D2346" i="1"/>
  <c r="M2346" i="1" s="1"/>
  <c r="L479" i="1" l="1"/>
  <c r="D479" i="1"/>
  <c r="M479" i="1" s="1"/>
  <c r="O479" i="1"/>
  <c r="P479" i="1" s="1"/>
  <c r="C480" i="1"/>
  <c r="I2349" i="1"/>
  <c r="I2351" i="1" s="1"/>
  <c r="I2353" i="1" s="1"/>
  <c r="J2347" i="1"/>
  <c r="J2349" i="1" s="1"/>
  <c r="J2351" i="1" s="1"/>
  <c r="J2353" i="1" s="1"/>
  <c r="O2347" i="1"/>
  <c r="C2348" i="1"/>
  <c r="L2348" i="1" s="1"/>
  <c r="D2347" i="1"/>
  <c r="M2347" i="1" s="1"/>
  <c r="L480" i="1" l="1"/>
  <c r="O480" i="1"/>
  <c r="P480" i="1" s="1"/>
  <c r="D480" i="1"/>
  <c r="M480" i="1" s="1"/>
  <c r="C481" i="1"/>
  <c r="O2348" i="1"/>
  <c r="C2349" i="1"/>
  <c r="L2349" i="1" s="1"/>
  <c r="D2348" i="1"/>
  <c r="M2348" i="1" s="1"/>
  <c r="L481" i="1" l="1"/>
  <c r="O481" i="1"/>
  <c r="P481" i="1" s="1"/>
  <c r="D481" i="1"/>
  <c r="M481" i="1" s="1"/>
  <c r="C482" i="1"/>
  <c r="O2349" i="1"/>
  <c r="D2349" i="1"/>
  <c r="M2349" i="1" s="1"/>
  <c r="C2350" i="1"/>
  <c r="L2350" i="1" s="1"/>
  <c r="O482" i="1" l="1"/>
  <c r="P482" i="1" s="1"/>
  <c r="D482" i="1"/>
  <c r="M482" i="1" s="1"/>
  <c r="L482" i="1"/>
  <c r="C483" i="1"/>
  <c r="O2350" i="1"/>
  <c r="C2351" i="1"/>
  <c r="L2351" i="1" s="1"/>
  <c r="D2350" i="1"/>
  <c r="M2350" i="1" s="1"/>
  <c r="O483" i="1" l="1"/>
  <c r="P483" i="1" s="1"/>
  <c r="D483" i="1"/>
  <c r="M483" i="1" s="1"/>
  <c r="L483" i="1"/>
  <c r="C484" i="1"/>
  <c r="O2351" i="1"/>
  <c r="D2351" i="1"/>
  <c r="M2351" i="1" s="1"/>
  <c r="C2352" i="1"/>
  <c r="L2352" i="1" s="1"/>
  <c r="O484" i="1" l="1"/>
  <c r="P484" i="1" s="1"/>
  <c r="D484" i="1"/>
  <c r="M484" i="1" s="1"/>
  <c r="L484" i="1"/>
  <c r="C485" i="1"/>
  <c r="P2350" i="1"/>
  <c r="P2347" i="1"/>
  <c r="P2346" i="1"/>
  <c r="P2351" i="1"/>
  <c r="P2348" i="1"/>
  <c r="P2349" i="1"/>
  <c r="O2352" i="1"/>
  <c r="C2353" i="1"/>
  <c r="L2353" i="1" s="1"/>
  <c r="D2352" i="1"/>
  <c r="M2352" i="1" s="1"/>
  <c r="L485" i="1" l="1"/>
  <c r="O485" i="1"/>
  <c r="P485" i="1" s="1"/>
  <c r="C486" i="1"/>
  <c r="D485" i="1"/>
  <c r="M485" i="1" s="1"/>
  <c r="P2352" i="1"/>
  <c r="O2353" i="1"/>
  <c r="D2353" i="1"/>
  <c r="M2353" i="1" s="1"/>
  <c r="C2354" i="1"/>
  <c r="L2354" i="1" s="1"/>
  <c r="L486" i="1" l="1"/>
  <c r="O486" i="1"/>
  <c r="P486" i="1" s="1"/>
  <c r="D486" i="1"/>
  <c r="M486" i="1" s="1"/>
  <c r="C487" i="1"/>
  <c r="P2353" i="1"/>
  <c r="O2354" i="1"/>
  <c r="C2355" i="1"/>
  <c r="L2355" i="1" s="1"/>
  <c r="D2354" i="1"/>
  <c r="M2354" i="1" s="1"/>
  <c r="O487" i="1" l="1"/>
  <c r="P487" i="1" s="1"/>
  <c r="D487" i="1"/>
  <c r="M487" i="1" s="1"/>
  <c r="L487" i="1"/>
  <c r="C488" i="1"/>
  <c r="P2354" i="1"/>
  <c r="O2355" i="1"/>
  <c r="C2356" i="1"/>
  <c r="L2356" i="1" s="1"/>
  <c r="D2355" i="1"/>
  <c r="M2355" i="1" s="1"/>
  <c r="L488" i="1" l="1"/>
  <c r="C489" i="1"/>
  <c r="O488" i="1"/>
  <c r="P488" i="1" s="1"/>
  <c r="D488" i="1"/>
  <c r="M488" i="1" s="1"/>
  <c r="P2355" i="1"/>
  <c r="O2356" i="1"/>
  <c r="D2356" i="1"/>
  <c r="M2356" i="1" s="1"/>
  <c r="C2357" i="1"/>
  <c r="L2357" i="1" s="1"/>
  <c r="I490" i="1" l="1"/>
  <c r="L489" i="1"/>
  <c r="C490" i="1"/>
  <c r="D489" i="1"/>
  <c r="M489" i="1" s="1"/>
  <c r="P2356" i="1"/>
  <c r="O2357" i="1"/>
  <c r="D2357" i="1"/>
  <c r="M2357" i="1" s="1"/>
  <c r="C2358" i="1"/>
  <c r="L2358" i="1" s="1"/>
  <c r="J490" i="1" l="1"/>
  <c r="I491" i="1"/>
  <c r="D490" i="1"/>
  <c r="M490" i="1" s="1"/>
  <c r="L490" i="1"/>
  <c r="C491" i="1"/>
  <c r="P2357" i="1"/>
  <c r="O2358" i="1"/>
  <c r="C2359" i="1"/>
  <c r="L2359" i="1" s="1"/>
  <c r="D2358" i="1"/>
  <c r="M2358" i="1" s="1"/>
  <c r="J491" i="1" l="1"/>
  <c r="J493" i="1" s="1"/>
  <c r="J495" i="1" s="1"/>
  <c r="J497" i="1" s="1"/>
  <c r="I493" i="1"/>
  <c r="I495" i="1" s="1"/>
  <c r="I497" i="1" s="1"/>
  <c r="C492" i="1"/>
  <c r="L491" i="1"/>
  <c r="D491" i="1"/>
  <c r="M491" i="1" s="1"/>
  <c r="O491" i="1"/>
  <c r="P491" i="1" s="1"/>
  <c r="P2358" i="1"/>
  <c r="O2359" i="1"/>
  <c r="D2359" i="1"/>
  <c r="M2359" i="1" s="1"/>
  <c r="C2360" i="1"/>
  <c r="L2360" i="1" s="1"/>
  <c r="D492" i="1" l="1"/>
  <c r="M492" i="1" s="1"/>
  <c r="L492" i="1"/>
  <c r="C493" i="1"/>
  <c r="D493" i="1" s="1"/>
  <c r="M493" i="1" s="1"/>
  <c r="O492" i="1"/>
  <c r="P492" i="1" s="1"/>
  <c r="P2359" i="1"/>
  <c r="O2360" i="1"/>
  <c r="C2361" i="1"/>
  <c r="L2361" i="1" s="1"/>
  <c r="D2360" i="1"/>
  <c r="M2360" i="1" s="1"/>
  <c r="C494" i="1" l="1"/>
  <c r="L493" i="1"/>
  <c r="O493" i="1"/>
  <c r="P493" i="1" s="1"/>
  <c r="P2360" i="1"/>
  <c r="O2361" i="1"/>
  <c r="D2361" i="1"/>
  <c r="M2361" i="1" s="1"/>
  <c r="C2362" i="1"/>
  <c r="L2362" i="1" s="1"/>
  <c r="L494" i="1" l="1"/>
  <c r="O494" i="1"/>
  <c r="P494" i="1" s="1"/>
  <c r="C495" i="1"/>
  <c r="O495" i="1" s="1"/>
  <c r="P495" i="1" s="1"/>
  <c r="D494" i="1"/>
  <c r="M494" i="1" s="1"/>
  <c r="P2361" i="1"/>
  <c r="O2362" i="1"/>
  <c r="C2363" i="1"/>
  <c r="L2363" i="1" s="1"/>
  <c r="D2362" i="1"/>
  <c r="M2362" i="1" s="1"/>
  <c r="C496" i="1" l="1"/>
  <c r="L495" i="1"/>
  <c r="D495" i="1"/>
  <c r="M495" i="1" s="1"/>
  <c r="P2362" i="1"/>
  <c r="O2363" i="1"/>
  <c r="D2363" i="1"/>
  <c r="M2363" i="1" s="1"/>
  <c r="C2364" i="1"/>
  <c r="L2364" i="1" s="1"/>
  <c r="L496" i="1" l="1"/>
  <c r="D496" i="1"/>
  <c r="M496" i="1" s="1"/>
  <c r="C497" i="1"/>
  <c r="O496" i="1"/>
  <c r="P496" i="1" s="1"/>
  <c r="P2363" i="1"/>
  <c r="O2364" i="1"/>
  <c r="C2365" i="1"/>
  <c r="L2365" i="1" s="1"/>
  <c r="D2364" i="1"/>
  <c r="M2364" i="1" s="1"/>
  <c r="L497" i="1" l="1"/>
  <c r="C498" i="1"/>
  <c r="O497" i="1"/>
  <c r="P497" i="1" s="1"/>
  <c r="D497" i="1"/>
  <c r="M497" i="1" s="1"/>
  <c r="P2364" i="1"/>
  <c r="O2365" i="1"/>
  <c r="D2365" i="1"/>
  <c r="M2365" i="1" s="1"/>
  <c r="C2366" i="1"/>
  <c r="L2366" i="1" s="1"/>
  <c r="C499" i="1" l="1"/>
  <c r="L498" i="1"/>
  <c r="O498" i="1"/>
  <c r="P498" i="1" s="1"/>
  <c r="D498" i="1"/>
  <c r="M498" i="1" s="1"/>
  <c r="P2365" i="1"/>
  <c r="P2366" i="1"/>
  <c r="C2367" i="1"/>
  <c r="L2367" i="1" s="1"/>
  <c r="D2366" i="1"/>
  <c r="M2366" i="1" s="1"/>
  <c r="D499" i="1" l="1"/>
  <c r="M499" i="1" s="1"/>
  <c r="C500" i="1"/>
  <c r="L499" i="1"/>
  <c r="O499" i="1"/>
  <c r="P499" i="1" s="1"/>
  <c r="O2367" i="1"/>
  <c r="D2367" i="1"/>
  <c r="M2367" i="1" s="1"/>
  <c r="C2368" i="1"/>
  <c r="L2368" i="1" s="1"/>
  <c r="C501" i="1" l="1"/>
  <c r="O500" i="1"/>
  <c r="P500" i="1" s="1"/>
  <c r="L500" i="1"/>
  <c r="D500" i="1"/>
  <c r="M500" i="1" s="1"/>
  <c r="P2367" i="1"/>
  <c r="O2368" i="1"/>
  <c r="C2369" i="1"/>
  <c r="L2369" i="1" s="1"/>
  <c r="D2368" i="1"/>
  <c r="M2368" i="1" s="1"/>
  <c r="C502" i="1" l="1"/>
  <c r="L501" i="1"/>
  <c r="O501" i="1"/>
  <c r="P501" i="1" s="1"/>
  <c r="D501" i="1"/>
  <c r="M501" i="1" s="1"/>
  <c r="P2368" i="1"/>
  <c r="P2369" i="1"/>
  <c r="C2370" i="1"/>
  <c r="L2370" i="1" s="1"/>
  <c r="D2369" i="1"/>
  <c r="M2369" i="1" s="1"/>
  <c r="D502" i="1" l="1"/>
  <c r="M502" i="1" s="1"/>
  <c r="O502" i="1"/>
  <c r="P502" i="1" s="1"/>
  <c r="C503" i="1"/>
  <c r="L502" i="1"/>
  <c r="O2370" i="1"/>
  <c r="C2371" i="1"/>
  <c r="L2371" i="1" s="1"/>
  <c r="D2370" i="1"/>
  <c r="M2370" i="1" s="1"/>
  <c r="D503" i="1" l="1"/>
  <c r="M503" i="1" s="1"/>
  <c r="O503" i="1"/>
  <c r="P503" i="1" s="1"/>
  <c r="C504" i="1"/>
  <c r="L503" i="1"/>
  <c r="P2370" i="1"/>
  <c r="O2371" i="1"/>
  <c r="D2371" i="1"/>
  <c r="M2371" i="1" s="1"/>
  <c r="C2372" i="1"/>
  <c r="L2372" i="1" s="1"/>
  <c r="D504" i="1" l="1"/>
  <c r="M504" i="1" s="1"/>
  <c r="O504" i="1"/>
  <c r="P504" i="1" s="1"/>
  <c r="C505" i="1"/>
  <c r="L504" i="1"/>
  <c r="P2371" i="1"/>
  <c r="O2372" i="1"/>
  <c r="C2373" i="1"/>
  <c r="L2373" i="1" s="1"/>
  <c r="D2372" i="1"/>
  <c r="M2372" i="1" s="1"/>
  <c r="D505" i="1" l="1"/>
  <c r="M505" i="1" s="1"/>
  <c r="O505" i="1"/>
  <c r="P505" i="1" s="1"/>
  <c r="C506" i="1"/>
  <c r="L505" i="1"/>
  <c r="P2372" i="1"/>
  <c r="O2373" i="1"/>
  <c r="D2373" i="1"/>
  <c r="M2373" i="1" s="1"/>
  <c r="C2374" i="1"/>
  <c r="L2374" i="1" s="1"/>
  <c r="D506" i="1" l="1"/>
  <c r="M506" i="1" s="1"/>
  <c r="O506" i="1"/>
  <c r="P506" i="1" s="1"/>
  <c r="C507" i="1"/>
  <c r="L506" i="1"/>
  <c r="P2373" i="1"/>
  <c r="O2374" i="1"/>
  <c r="C2375" i="1"/>
  <c r="L2375" i="1" s="1"/>
  <c r="D2374" i="1"/>
  <c r="M2374" i="1" s="1"/>
  <c r="D507" i="1" l="1"/>
  <c r="M507" i="1" s="1"/>
  <c r="O507" i="1"/>
  <c r="P507" i="1" s="1"/>
  <c r="C508" i="1"/>
  <c r="L507" i="1"/>
  <c r="P2374" i="1"/>
  <c r="O2375" i="1"/>
  <c r="D2375" i="1"/>
  <c r="M2375" i="1" s="1"/>
  <c r="C2376" i="1"/>
  <c r="O508" i="1" l="1"/>
  <c r="P508" i="1" s="1"/>
  <c r="C509" i="1"/>
  <c r="D508" i="1"/>
  <c r="M508" i="1" s="1"/>
  <c r="L508" i="1"/>
  <c r="I2377" i="1"/>
  <c r="L2376" i="1"/>
  <c r="O2376" i="1"/>
  <c r="P2376" i="1" s="1"/>
  <c r="C2" i="10" s="1"/>
  <c r="D2" i="10" s="1"/>
  <c r="A2" i="10"/>
  <c r="P2375" i="1"/>
  <c r="C2377" i="1"/>
  <c r="D2376" i="1"/>
  <c r="M2376" i="1" s="1"/>
  <c r="C510" i="1" l="1"/>
  <c r="O509" i="1"/>
  <c r="P509" i="1" s="1"/>
  <c r="D509" i="1"/>
  <c r="M509" i="1" s="1"/>
  <c r="L509" i="1"/>
  <c r="I2378" i="1"/>
  <c r="J2377" i="1"/>
  <c r="A3" i="10"/>
  <c r="B2" i="10" s="1"/>
  <c r="E2" i="10" s="1"/>
  <c r="L2377" i="1"/>
  <c r="O2377" i="1"/>
  <c r="C2378" i="1"/>
  <c r="D2377" i="1"/>
  <c r="M2377" i="1" s="1"/>
  <c r="D510" i="1" l="1"/>
  <c r="M510" i="1" s="1"/>
  <c r="O510" i="1"/>
  <c r="P510" i="1" s="1"/>
  <c r="C511" i="1"/>
  <c r="L510" i="1"/>
  <c r="I2380" i="1"/>
  <c r="I2382" i="1" s="1"/>
  <c r="I2384" i="1" s="1"/>
  <c r="J2378" i="1"/>
  <c r="J2380" i="1" s="1"/>
  <c r="J2382" i="1" s="1"/>
  <c r="J2384" i="1" s="1"/>
  <c r="A4" i="10"/>
  <c r="B3" i="10" s="1"/>
  <c r="L2378" i="1"/>
  <c r="O2378" i="1"/>
  <c r="C2379" i="1"/>
  <c r="D2378" i="1"/>
  <c r="M2378" i="1" s="1"/>
  <c r="D511" i="1" l="1"/>
  <c r="M511" i="1" s="1"/>
  <c r="O511" i="1"/>
  <c r="P511" i="1" s="1"/>
  <c r="C512" i="1"/>
  <c r="L511" i="1"/>
  <c r="A5" i="10"/>
  <c r="B4" i="10" s="1"/>
  <c r="L2379" i="1"/>
  <c r="O2379" i="1"/>
  <c r="D2379" i="1"/>
  <c r="M2379" i="1" s="1"/>
  <c r="C2380" i="1"/>
  <c r="D512" i="1" l="1"/>
  <c r="M512" i="1" s="1"/>
  <c r="O512" i="1"/>
  <c r="P512" i="1" s="1"/>
  <c r="C513" i="1"/>
  <c r="L512" i="1"/>
  <c r="A6" i="10"/>
  <c r="B5" i="10" s="1"/>
  <c r="L2380" i="1"/>
  <c r="O2380" i="1"/>
  <c r="C2381" i="1"/>
  <c r="D2380" i="1"/>
  <c r="M2380" i="1" s="1"/>
  <c r="D513" i="1" l="1"/>
  <c r="M513" i="1" s="1"/>
  <c r="O513" i="1"/>
  <c r="P513" i="1" s="1"/>
  <c r="C514" i="1"/>
  <c r="L513" i="1"/>
  <c r="A7" i="10"/>
  <c r="B6" i="10" s="1"/>
  <c r="L2381" i="1"/>
  <c r="O2381" i="1"/>
  <c r="D2381" i="1"/>
  <c r="M2381" i="1" s="1"/>
  <c r="C2382" i="1"/>
  <c r="D514" i="1" l="1"/>
  <c r="M514" i="1" s="1"/>
  <c r="O514" i="1"/>
  <c r="P514" i="1" s="1"/>
  <c r="C515" i="1"/>
  <c r="L514" i="1"/>
  <c r="A8" i="10"/>
  <c r="B7" i="10" s="1"/>
  <c r="L2382" i="1"/>
  <c r="O2382" i="1"/>
  <c r="C2383" i="1"/>
  <c r="D2382" i="1"/>
  <c r="M2382" i="1" s="1"/>
  <c r="D515" i="1" l="1"/>
  <c r="M515" i="1" s="1"/>
  <c r="O515" i="1"/>
  <c r="P515" i="1" s="1"/>
  <c r="C516" i="1"/>
  <c r="L515" i="1"/>
  <c r="A9" i="10"/>
  <c r="B8" i="10" s="1"/>
  <c r="L2383" i="1"/>
  <c r="O2383" i="1"/>
  <c r="D2383" i="1"/>
  <c r="M2383" i="1" s="1"/>
  <c r="C2384" i="1"/>
  <c r="D516" i="1" l="1"/>
  <c r="M516" i="1" s="1"/>
  <c r="O516" i="1"/>
  <c r="P516" i="1" s="1"/>
  <c r="C517" i="1"/>
  <c r="L516" i="1"/>
  <c r="A10" i="10"/>
  <c r="B9" i="10" s="1"/>
  <c r="L2384" i="1"/>
  <c r="O2384" i="1"/>
  <c r="C2385" i="1"/>
  <c r="D2384" i="1"/>
  <c r="M2384" i="1" s="1"/>
  <c r="D517" i="1" l="1"/>
  <c r="M517" i="1" s="1"/>
  <c r="O517" i="1"/>
  <c r="P517" i="1" s="1"/>
  <c r="C518" i="1"/>
  <c r="L517" i="1"/>
  <c r="A11" i="10"/>
  <c r="B10" i="10" s="1"/>
  <c r="L2385" i="1"/>
  <c r="O2385" i="1"/>
  <c r="D2385" i="1"/>
  <c r="M2385" i="1" s="1"/>
  <c r="C2386" i="1"/>
  <c r="D518" i="1" l="1"/>
  <c r="M518" i="1" s="1"/>
  <c r="O518" i="1"/>
  <c r="P518" i="1" s="1"/>
  <c r="C519" i="1"/>
  <c r="L518" i="1"/>
  <c r="A12" i="10"/>
  <c r="B11" i="10" s="1"/>
  <c r="L2386" i="1"/>
  <c r="O2386" i="1"/>
  <c r="C2387" i="1"/>
  <c r="D2386" i="1"/>
  <c r="M2386" i="1" s="1"/>
  <c r="D519" i="1" l="1"/>
  <c r="M519" i="1" s="1"/>
  <c r="O519" i="1"/>
  <c r="P519" i="1" s="1"/>
  <c r="C520" i="1"/>
  <c r="L519" i="1"/>
  <c r="I520" i="1"/>
  <c r="A13" i="10"/>
  <c r="B12" i="10" s="1"/>
  <c r="L2387" i="1"/>
  <c r="O2387" i="1"/>
  <c r="D2387" i="1"/>
  <c r="M2387" i="1" s="1"/>
  <c r="C2388" i="1"/>
  <c r="O520" i="1" l="1"/>
  <c r="P520" i="1" s="1"/>
  <c r="D520" i="1"/>
  <c r="M520" i="1" s="1"/>
  <c r="C521" i="1"/>
  <c r="L520" i="1"/>
  <c r="I521" i="1"/>
  <c r="J520" i="1"/>
  <c r="A14" i="10"/>
  <c r="B13" i="10" s="1"/>
  <c r="L2388" i="1"/>
  <c r="O2388" i="1"/>
  <c r="C2389" i="1"/>
  <c r="D2388" i="1"/>
  <c r="M2388" i="1" s="1"/>
  <c r="D521" i="1" l="1"/>
  <c r="M521" i="1" s="1"/>
  <c r="O521" i="1"/>
  <c r="P521" i="1" s="1"/>
  <c r="C522" i="1"/>
  <c r="L521" i="1"/>
  <c r="I523" i="1"/>
  <c r="I525" i="1" s="1"/>
  <c r="I527" i="1" s="1"/>
  <c r="J521" i="1"/>
  <c r="J523" i="1" s="1"/>
  <c r="J525" i="1" s="1"/>
  <c r="J527" i="1" s="1"/>
  <c r="A15" i="10"/>
  <c r="B14" i="10" s="1"/>
  <c r="L2389" i="1"/>
  <c r="O2389" i="1"/>
  <c r="C2390" i="1"/>
  <c r="D2389" i="1"/>
  <c r="M2389" i="1" s="1"/>
  <c r="D522" i="1" l="1"/>
  <c r="M522" i="1" s="1"/>
  <c r="O522" i="1"/>
  <c r="P522" i="1" s="1"/>
  <c r="C523" i="1"/>
  <c r="L522" i="1"/>
  <c r="A16" i="10"/>
  <c r="B15" i="10" s="1"/>
  <c r="L2390" i="1"/>
  <c r="O2390" i="1"/>
  <c r="D2390" i="1"/>
  <c r="M2390" i="1" s="1"/>
  <c r="C2391" i="1"/>
  <c r="O523" i="1" l="1"/>
  <c r="P523" i="1" s="1"/>
  <c r="D523" i="1"/>
  <c r="M523" i="1" s="1"/>
  <c r="C524" i="1"/>
  <c r="L523" i="1"/>
  <c r="A17" i="10"/>
  <c r="B16" i="10" s="1"/>
  <c r="L2391" i="1"/>
  <c r="O2391" i="1"/>
  <c r="D2391" i="1"/>
  <c r="M2391" i="1" s="1"/>
  <c r="C2392" i="1"/>
  <c r="D524" i="1" l="1"/>
  <c r="M524" i="1" s="1"/>
  <c r="O524" i="1"/>
  <c r="P524" i="1" s="1"/>
  <c r="C525" i="1"/>
  <c r="L524" i="1"/>
  <c r="A18" i="10"/>
  <c r="B17" i="10" s="1"/>
  <c r="L2392" i="1"/>
  <c r="O2392" i="1"/>
  <c r="C2393" i="1"/>
  <c r="D2392" i="1"/>
  <c r="M2392" i="1" s="1"/>
  <c r="D525" i="1" l="1"/>
  <c r="M525" i="1" s="1"/>
  <c r="O525" i="1"/>
  <c r="P525" i="1" s="1"/>
  <c r="C526" i="1"/>
  <c r="L525" i="1"/>
  <c r="A19" i="10"/>
  <c r="B18" i="10" s="1"/>
  <c r="L2393" i="1"/>
  <c r="D2393" i="1"/>
  <c r="M2393" i="1" s="1"/>
  <c r="C2394" i="1"/>
  <c r="D526" i="1" l="1"/>
  <c r="M526" i="1" s="1"/>
  <c r="C527" i="1"/>
  <c r="O526" i="1"/>
  <c r="P526" i="1" s="1"/>
  <c r="L526" i="1"/>
  <c r="A20" i="10"/>
  <c r="B19" i="10" s="1"/>
  <c r="L2394" i="1"/>
  <c r="C2395" i="1"/>
  <c r="D2394" i="1"/>
  <c r="M2394" i="1" s="1"/>
  <c r="O527" i="1" l="1"/>
  <c r="P527" i="1" s="1"/>
  <c r="D527" i="1"/>
  <c r="M527" i="1" s="1"/>
  <c r="C528" i="1"/>
  <c r="L527" i="1"/>
  <c r="A21" i="10"/>
  <c r="B20" i="10" s="1"/>
  <c r="L2395" i="1"/>
  <c r="O2395" i="1"/>
  <c r="D2395" i="1"/>
  <c r="M2395" i="1" s="1"/>
  <c r="C2396" i="1"/>
  <c r="D528" i="1" l="1"/>
  <c r="M528" i="1" s="1"/>
  <c r="O528" i="1"/>
  <c r="P528" i="1" s="1"/>
  <c r="C529" i="1"/>
  <c r="L528" i="1"/>
  <c r="A22" i="10"/>
  <c r="B21" i="10" s="1"/>
  <c r="L2396" i="1"/>
  <c r="O2396" i="1"/>
  <c r="C2397" i="1"/>
  <c r="D2396" i="1"/>
  <c r="M2396" i="1" s="1"/>
  <c r="C530" i="1" l="1"/>
  <c r="D529" i="1"/>
  <c r="M529" i="1" s="1"/>
  <c r="O529" i="1"/>
  <c r="P529" i="1" s="1"/>
  <c r="L529" i="1"/>
  <c r="A23" i="10"/>
  <c r="B22" i="10" s="1"/>
  <c r="L2397" i="1"/>
  <c r="O2397" i="1"/>
  <c r="D2397" i="1"/>
  <c r="M2397" i="1" s="1"/>
  <c r="C2398" i="1"/>
  <c r="D530" i="1" l="1"/>
  <c r="M530" i="1" s="1"/>
  <c r="C531" i="1"/>
  <c r="O530" i="1"/>
  <c r="P530" i="1" s="1"/>
  <c r="L530" i="1"/>
  <c r="A24" i="10"/>
  <c r="B23" i="10" s="1"/>
  <c r="L2398" i="1"/>
  <c r="O2398" i="1"/>
  <c r="D2398" i="1"/>
  <c r="M2398" i="1" s="1"/>
  <c r="C2399" i="1"/>
  <c r="D531" i="1" l="1"/>
  <c r="M531" i="1" s="1"/>
  <c r="O531" i="1"/>
  <c r="P531" i="1" s="1"/>
  <c r="C532" i="1"/>
  <c r="L531" i="1"/>
  <c r="A25" i="10"/>
  <c r="B24" i="10" s="1"/>
  <c r="L2399" i="1"/>
  <c r="O2399" i="1"/>
  <c r="C2400" i="1"/>
  <c r="D2399" i="1"/>
  <c r="M2399" i="1" s="1"/>
  <c r="D532" i="1" l="1"/>
  <c r="M532" i="1" s="1"/>
  <c r="O532" i="1"/>
  <c r="P532" i="1" s="1"/>
  <c r="C533" i="1"/>
  <c r="L532" i="1"/>
  <c r="A26" i="10"/>
  <c r="B25" i="10" s="1"/>
  <c r="L2400" i="1"/>
  <c r="O2400" i="1"/>
  <c r="D2400" i="1"/>
  <c r="M2400" i="1" s="1"/>
  <c r="C2401" i="1"/>
  <c r="D533" i="1" l="1"/>
  <c r="M533" i="1" s="1"/>
  <c r="O533" i="1"/>
  <c r="P533" i="1" s="1"/>
  <c r="C534" i="1"/>
  <c r="L533" i="1"/>
  <c r="A27" i="10"/>
  <c r="B26" i="10" s="1"/>
  <c r="L2401" i="1"/>
  <c r="O2401" i="1"/>
  <c r="D2401" i="1"/>
  <c r="M2401" i="1" s="1"/>
  <c r="C2402" i="1"/>
  <c r="D534" i="1" l="1"/>
  <c r="M534" i="1" s="1"/>
  <c r="O534" i="1"/>
  <c r="P534" i="1" s="1"/>
  <c r="C535" i="1"/>
  <c r="L534" i="1"/>
  <c r="A28" i="10"/>
  <c r="B27" i="10" s="1"/>
  <c r="L2402" i="1"/>
  <c r="O2402" i="1"/>
  <c r="D2402" i="1"/>
  <c r="M2402" i="1" s="1"/>
  <c r="C2403" i="1"/>
  <c r="D535" i="1" l="1"/>
  <c r="M535" i="1" s="1"/>
  <c r="O535" i="1"/>
  <c r="P535" i="1" s="1"/>
  <c r="C536" i="1"/>
  <c r="L535" i="1"/>
  <c r="A29" i="10"/>
  <c r="B28" i="10" s="1"/>
  <c r="L2403" i="1"/>
  <c r="O2403" i="1"/>
  <c r="C2404" i="1"/>
  <c r="D2403" i="1"/>
  <c r="M2403" i="1" s="1"/>
  <c r="D536" i="1" l="1"/>
  <c r="M536" i="1" s="1"/>
  <c r="O536" i="1"/>
  <c r="P536" i="1" s="1"/>
  <c r="C537" i="1"/>
  <c r="L536" i="1"/>
  <c r="A30" i="10"/>
  <c r="B29" i="10" s="1"/>
  <c r="L2404" i="1"/>
  <c r="O2404" i="1"/>
  <c r="D2404" i="1"/>
  <c r="M2404" i="1" s="1"/>
  <c r="C2405" i="1"/>
  <c r="O537" i="1" l="1"/>
  <c r="P537" i="1" s="1"/>
  <c r="D537" i="1"/>
  <c r="M537" i="1" s="1"/>
  <c r="C538" i="1"/>
  <c r="L537" i="1"/>
  <c r="A31" i="10"/>
  <c r="B30" i="10" s="1"/>
  <c r="L2405" i="1"/>
  <c r="O2405" i="1"/>
  <c r="D2405" i="1"/>
  <c r="M2405" i="1" s="1"/>
  <c r="C2406" i="1"/>
  <c r="L2406" i="1" s="1"/>
  <c r="D538" i="1" l="1"/>
  <c r="M538" i="1" s="1"/>
  <c r="O538" i="1"/>
  <c r="P538" i="1" s="1"/>
  <c r="C539" i="1"/>
  <c r="L538" i="1"/>
  <c r="A32" i="10"/>
  <c r="B31" i="10" s="1"/>
  <c r="I2407" i="1"/>
  <c r="O2406" i="1"/>
  <c r="D2406" i="1"/>
  <c r="M2406" i="1" s="1"/>
  <c r="C2407" i="1"/>
  <c r="D539" i="1" l="1"/>
  <c r="M539" i="1" s="1"/>
  <c r="O539" i="1"/>
  <c r="P539" i="1" s="1"/>
  <c r="C540" i="1"/>
  <c r="L539" i="1"/>
  <c r="A33" i="10"/>
  <c r="B32" i="10" s="1"/>
  <c r="L2407" i="1"/>
  <c r="J2407" i="1"/>
  <c r="I2408" i="1"/>
  <c r="I2410" i="1" s="1"/>
  <c r="D2407" i="1"/>
  <c r="M2407" i="1" s="1"/>
  <c r="C2408" i="1"/>
  <c r="D540" i="1" l="1"/>
  <c r="M540" i="1" s="1"/>
  <c r="O540" i="1"/>
  <c r="P540" i="1" s="1"/>
  <c r="C541" i="1"/>
  <c r="L540" i="1"/>
  <c r="A34" i="10"/>
  <c r="B33" i="10" s="1"/>
  <c r="L2408" i="1"/>
  <c r="I2412" i="1"/>
  <c r="I2414" i="1" s="1"/>
  <c r="J2408" i="1"/>
  <c r="J2410" i="1" s="1"/>
  <c r="J2412" i="1" s="1"/>
  <c r="J2414" i="1" s="1"/>
  <c r="D2408" i="1"/>
  <c r="M2408" i="1" s="1"/>
  <c r="C2409" i="1"/>
  <c r="D541" i="1" l="1"/>
  <c r="M541" i="1" s="1"/>
  <c r="O541" i="1"/>
  <c r="P541" i="1" s="1"/>
  <c r="C542" i="1"/>
  <c r="L541" i="1"/>
  <c r="A35" i="10"/>
  <c r="B34" i="10" s="1"/>
  <c r="L2409" i="1"/>
  <c r="O2409" i="1"/>
  <c r="D2409" i="1"/>
  <c r="M2409" i="1" s="1"/>
  <c r="C2410" i="1"/>
  <c r="O542" i="1" l="1"/>
  <c r="P542" i="1" s="1"/>
  <c r="D542" i="1"/>
  <c r="M542" i="1" s="1"/>
  <c r="C543" i="1"/>
  <c r="L542" i="1"/>
  <c r="A36" i="10"/>
  <c r="B35" i="10" s="1"/>
  <c r="L2410" i="1"/>
  <c r="O2410" i="1"/>
  <c r="C2411" i="1"/>
  <c r="D2410" i="1"/>
  <c r="M2410" i="1" s="1"/>
  <c r="D543" i="1" l="1"/>
  <c r="M543" i="1" s="1"/>
  <c r="O543" i="1"/>
  <c r="P543" i="1" s="1"/>
  <c r="C544" i="1"/>
  <c r="L543" i="1"/>
  <c r="A37" i="10"/>
  <c r="B36" i="10" s="1"/>
  <c r="L2411" i="1"/>
  <c r="O2411" i="1"/>
  <c r="D2411" i="1"/>
  <c r="M2411" i="1" s="1"/>
  <c r="C2412" i="1"/>
  <c r="D544" i="1" l="1"/>
  <c r="M544" i="1" s="1"/>
  <c r="O544" i="1"/>
  <c r="P544" i="1" s="1"/>
  <c r="C545" i="1"/>
  <c r="L544" i="1"/>
  <c r="A38" i="10"/>
  <c r="B37" i="10" s="1"/>
  <c r="L2412" i="1"/>
  <c r="O2412" i="1"/>
  <c r="D2412" i="1"/>
  <c r="M2412" i="1" s="1"/>
  <c r="C2413" i="1"/>
  <c r="D545" i="1" l="1"/>
  <c r="M545" i="1" s="1"/>
  <c r="C546" i="1"/>
  <c r="O545" i="1"/>
  <c r="P545" i="1" s="1"/>
  <c r="L545" i="1"/>
  <c r="A39" i="10"/>
  <c r="B38" i="10" s="1"/>
  <c r="L2413" i="1"/>
  <c r="O2413" i="1"/>
  <c r="D2413" i="1"/>
  <c r="M2413" i="1" s="1"/>
  <c r="C2414" i="1"/>
  <c r="D546" i="1" l="1"/>
  <c r="M546" i="1" s="1"/>
  <c r="C547" i="1"/>
  <c r="L546" i="1"/>
  <c r="A40" i="10"/>
  <c r="B39" i="10" s="1"/>
  <c r="L2414" i="1"/>
  <c r="P2409" i="1"/>
  <c r="C35" i="10" s="1"/>
  <c r="P2410" i="1"/>
  <c r="C36" i="10" s="1"/>
  <c r="P2413" i="1"/>
  <c r="C39" i="10" s="1"/>
  <c r="P2411" i="1"/>
  <c r="C37" i="10" s="1"/>
  <c r="P2408" i="1"/>
  <c r="C34" i="10" s="1"/>
  <c r="P2407" i="1"/>
  <c r="C33" i="10" s="1"/>
  <c r="P2412" i="1"/>
  <c r="C38" i="10" s="1"/>
  <c r="O2414" i="1"/>
  <c r="D2414" i="1"/>
  <c r="M2414" i="1" s="1"/>
  <c r="C2415" i="1"/>
  <c r="D547" i="1" l="1"/>
  <c r="M547" i="1" s="1"/>
  <c r="C548" i="1"/>
  <c r="O547" i="1"/>
  <c r="P547" i="1" s="1"/>
  <c r="L547" i="1"/>
  <c r="A41" i="10"/>
  <c r="B40" i="10" s="1"/>
  <c r="L2415" i="1"/>
  <c r="P2406" i="1"/>
  <c r="C32" i="10" s="1"/>
  <c r="P2414" i="1"/>
  <c r="C40" i="10" s="1"/>
  <c r="P2399" i="1"/>
  <c r="C25" i="10" s="1"/>
  <c r="P2396" i="1"/>
  <c r="C22" i="10" s="1"/>
  <c r="P2395" i="1"/>
  <c r="C21" i="10" s="1"/>
  <c r="P2404" i="1"/>
  <c r="C30" i="10" s="1"/>
  <c r="P2401" i="1"/>
  <c r="C27" i="10" s="1"/>
  <c r="P2398" i="1"/>
  <c r="C24" i="10" s="1"/>
  <c r="P2397" i="1"/>
  <c r="C23" i="10" s="1"/>
  <c r="P2394" i="1"/>
  <c r="C20" i="10" s="1"/>
  <c r="P2405" i="1"/>
  <c r="C31" i="10" s="1"/>
  <c r="P2402" i="1"/>
  <c r="C28" i="10" s="1"/>
  <c r="P2403" i="1"/>
  <c r="C29" i="10" s="1"/>
  <c r="P2400" i="1"/>
  <c r="C26" i="10" s="1"/>
  <c r="O2415" i="1"/>
  <c r="D2415" i="1"/>
  <c r="M2415" i="1" s="1"/>
  <c r="C2416" i="1"/>
  <c r="D548" i="1" l="1"/>
  <c r="M548" i="1" s="1"/>
  <c r="O548" i="1"/>
  <c r="P548" i="1" s="1"/>
  <c r="C549" i="1"/>
  <c r="L548" i="1"/>
  <c r="A42" i="10"/>
  <c r="B41" i="10" s="1"/>
  <c r="L2416" i="1"/>
  <c r="P2415" i="1"/>
  <c r="C41" i="10" s="1"/>
  <c r="P2393" i="1"/>
  <c r="C19" i="10" s="1"/>
  <c r="O2416" i="1"/>
  <c r="D2416" i="1"/>
  <c r="M2416" i="1" s="1"/>
  <c r="C2417" i="1"/>
  <c r="C550" i="1" l="1"/>
  <c r="D549" i="1"/>
  <c r="M549" i="1" s="1"/>
  <c r="L549" i="1"/>
  <c r="A43" i="10"/>
  <c r="B42" i="10" s="1"/>
  <c r="L2417" i="1"/>
  <c r="P2416" i="1"/>
  <c r="C42" i="10" s="1"/>
  <c r="P2386" i="1"/>
  <c r="O2417" i="1"/>
  <c r="D2417" i="1"/>
  <c r="M2417" i="1" s="1"/>
  <c r="C2418" i="1"/>
  <c r="O550" i="1" l="1"/>
  <c r="P550" i="1" s="1"/>
  <c r="D550" i="1"/>
  <c r="M550" i="1" s="1"/>
  <c r="C551" i="1"/>
  <c r="L550" i="1"/>
  <c r="I551" i="1"/>
  <c r="A44" i="10"/>
  <c r="B43" i="10" s="1"/>
  <c r="L2418" i="1"/>
  <c r="C12" i="10"/>
  <c r="P2417" i="1"/>
  <c r="C43" i="10" s="1"/>
  <c r="P2390" i="1"/>
  <c r="C16" i="10" s="1"/>
  <c r="P2379" i="1"/>
  <c r="C5" i="10" s="1"/>
  <c r="P2380" i="1"/>
  <c r="C6" i="10" s="1"/>
  <c r="P2385" i="1"/>
  <c r="C11" i="10" s="1"/>
  <c r="P2389" i="1"/>
  <c r="C15" i="10" s="1"/>
  <c r="P2387" i="1"/>
  <c r="P2384" i="1"/>
  <c r="C10" i="10" s="1"/>
  <c r="P2378" i="1"/>
  <c r="C4" i="10" s="1"/>
  <c r="P2391" i="1"/>
  <c r="C17" i="10" s="1"/>
  <c r="P2383" i="1"/>
  <c r="C9" i="10" s="1"/>
  <c r="P2377" i="1"/>
  <c r="C3" i="10" s="1"/>
  <c r="D3" i="10" s="1"/>
  <c r="P2382" i="1"/>
  <c r="C8" i="10" s="1"/>
  <c r="P2392" i="1"/>
  <c r="C18" i="10" s="1"/>
  <c r="P2388" i="1"/>
  <c r="C14" i="10" s="1"/>
  <c r="P2381" i="1"/>
  <c r="C7" i="10" s="1"/>
  <c r="O2418" i="1"/>
  <c r="D2418" i="1"/>
  <c r="M2418" i="1" s="1"/>
  <c r="C2419" i="1"/>
  <c r="D551" i="1" l="1"/>
  <c r="M551" i="1" s="1"/>
  <c r="O551" i="1"/>
  <c r="P551" i="1" s="1"/>
  <c r="C552" i="1"/>
  <c r="L551" i="1"/>
  <c r="J551" i="1"/>
  <c r="I552" i="1"/>
  <c r="A45" i="10"/>
  <c r="B44" i="10" s="1"/>
  <c r="L2419" i="1"/>
  <c r="E3" i="10"/>
  <c r="D4" i="10"/>
  <c r="C13" i="10"/>
  <c r="P2418" i="1"/>
  <c r="C44" i="10" s="1"/>
  <c r="O2419" i="1"/>
  <c r="D2419" i="1"/>
  <c r="M2419" i="1" s="1"/>
  <c r="C2420" i="1"/>
  <c r="D552" i="1" l="1"/>
  <c r="M552" i="1" s="1"/>
  <c r="O552" i="1"/>
  <c r="P552" i="1" s="1"/>
  <c r="C553" i="1"/>
  <c r="L552" i="1"/>
  <c r="J552" i="1"/>
  <c r="J554" i="1" s="1"/>
  <c r="J556" i="1" s="1"/>
  <c r="J558" i="1" s="1"/>
  <c r="I554" i="1"/>
  <c r="I556" i="1" s="1"/>
  <c r="I558" i="1" s="1"/>
  <c r="A46" i="10"/>
  <c r="B45" i="10" s="1"/>
  <c r="L2420" i="1"/>
  <c r="D5" i="10"/>
  <c r="E4" i="10"/>
  <c r="P2419" i="1"/>
  <c r="C45" i="10" s="1"/>
  <c r="O2420" i="1"/>
  <c r="D2420" i="1"/>
  <c r="M2420" i="1" s="1"/>
  <c r="C2421" i="1"/>
  <c r="D553" i="1" l="1"/>
  <c r="M553" i="1" s="1"/>
  <c r="O553" i="1"/>
  <c r="P553" i="1" s="1"/>
  <c r="C554" i="1"/>
  <c r="L553" i="1"/>
  <c r="A47" i="10"/>
  <c r="B46" i="10" s="1"/>
  <c r="L2421" i="1"/>
  <c r="D6" i="10"/>
  <c r="E5" i="10"/>
  <c r="P2420" i="1"/>
  <c r="C46" i="10" s="1"/>
  <c r="O2421" i="1"/>
  <c r="D2421" i="1"/>
  <c r="M2421" i="1" s="1"/>
  <c r="C2422" i="1"/>
  <c r="D554" i="1" l="1"/>
  <c r="M554" i="1" s="1"/>
  <c r="O554" i="1"/>
  <c r="P554" i="1" s="1"/>
  <c r="C555" i="1"/>
  <c r="L554" i="1"/>
  <c r="A48" i="10"/>
  <c r="B47" i="10" s="1"/>
  <c r="L2422" i="1"/>
  <c r="D7" i="10"/>
  <c r="E6" i="10"/>
  <c r="P2421" i="1"/>
  <c r="C47" i="10" s="1"/>
  <c r="O2422" i="1"/>
  <c r="D2422" i="1"/>
  <c r="M2422" i="1" s="1"/>
  <c r="C2423" i="1"/>
  <c r="D555" i="1" l="1"/>
  <c r="M555" i="1" s="1"/>
  <c r="O555" i="1"/>
  <c r="P555" i="1" s="1"/>
  <c r="C556" i="1"/>
  <c r="L555" i="1"/>
  <c r="A49" i="10"/>
  <c r="B48" i="10" s="1"/>
  <c r="L2423" i="1"/>
  <c r="D8" i="10"/>
  <c r="E7" i="10"/>
  <c r="P2422" i="1"/>
  <c r="C48" i="10" s="1"/>
  <c r="O2423" i="1"/>
  <c r="D2423" i="1"/>
  <c r="M2423" i="1" s="1"/>
  <c r="C2424" i="1"/>
  <c r="D556" i="1" l="1"/>
  <c r="M556" i="1" s="1"/>
  <c r="O556" i="1"/>
  <c r="P556" i="1" s="1"/>
  <c r="C557" i="1"/>
  <c r="L556" i="1"/>
  <c r="A50" i="10"/>
  <c r="B49" i="10" s="1"/>
  <c r="L2424" i="1"/>
  <c r="D9" i="10"/>
  <c r="E8" i="10"/>
  <c r="P2423" i="1"/>
  <c r="C49" i="10" s="1"/>
  <c r="O2424" i="1"/>
  <c r="D2424" i="1"/>
  <c r="M2424" i="1" s="1"/>
  <c r="C2425" i="1"/>
  <c r="D557" i="1" l="1"/>
  <c r="M557" i="1" s="1"/>
  <c r="O557" i="1"/>
  <c r="P557" i="1" s="1"/>
  <c r="C558" i="1"/>
  <c r="L557" i="1"/>
  <c r="A51" i="10"/>
  <c r="B50" i="10" s="1"/>
  <c r="L2425" i="1"/>
  <c r="D10" i="10"/>
  <c r="E9" i="10"/>
  <c r="P2424" i="1"/>
  <c r="C50" i="10" s="1"/>
  <c r="O2425" i="1"/>
  <c r="D2425" i="1"/>
  <c r="M2425" i="1" s="1"/>
  <c r="C2426" i="1"/>
  <c r="D558" i="1" l="1"/>
  <c r="M558" i="1" s="1"/>
  <c r="O558" i="1"/>
  <c r="P558" i="1" s="1"/>
  <c r="C559" i="1"/>
  <c r="L558" i="1"/>
  <c r="A52" i="10"/>
  <c r="B51" i="10" s="1"/>
  <c r="L2426" i="1"/>
  <c r="D11" i="10"/>
  <c r="E10" i="10"/>
  <c r="P2425" i="1"/>
  <c r="C51" i="10" s="1"/>
  <c r="O2426" i="1"/>
  <c r="D2426" i="1"/>
  <c r="M2426" i="1" s="1"/>
  <c r="C2427" i="1"/>
  <c r="D559" i="1" l="1"/>
  <c r="M559" i="1" s="1"/>
  <c r="O559" i="1"/>
  <c r="P559" i="1" s="1"/>
  <c r="C560" i="1"/>
  <c r="L559" i="1"/>
  <c r="A53" i="10"/>
  <c r="B52" i="10" s="1"/>
  <c r="L2427" i="1"/>
  <c r="D12" i="10"/>
  <c r="E11" i="10"/>
  <c r="P2426" i="1"/>
  <c r="C52" i="10" s="1"/>
  <c r="O2427" i="1"/>
  <c r="C2428" i="1"/>
  <c r="D2427" i="1"/>
  <c r="M2427" i="1" s="1"/>
  <c r="D560" i="1" l="1"/>
  <c r="M560" i="1" s="1"/>
  <c r="O560" i="1"/>
  <c r="P560" i="1" s="1"/>
  <c r="C561" i="1"/>
  <c r="L560" i="1"/>
  <c r="A54" i="10"/>
  <c r="B53" i="10" s="1"/>
  <c r="L2428" i="1"/>
  <c r="D13" i="10"/>
  <c r="E12" i="10"/>
  <c r="P2427" i="1"/>
  <c r="C53" i="10" s="1"/>
  <c r="O2428" i="1"/>
  <c r="D2428" i="1"/>
  <c r="M2428" i="1" s="1"/>
  <c r="C2429" i="1"/>
  <c r="O561" i="1" l="1"/>
  <c r="P561" i="1" s="1"/>
  <c r="C562" i="1"/>
  <c r="D561" i="1"/>
  <c r="M561" i="1" s="1"/>
  <c r="L561" i="1"/>
  <c r="A55" i="10"/>
  <c r="B54" i="10" s="1"/>
  <c r="L2429" i="1"/>
  <c r="D14" i="10"/>
  <c r="E13" i="10"/>
  <c r="P2428" i="1"/>
  <c r="C54" i="10" s="1"/>
  <c r="O2429" i="1"/>
  <c r="C2430" i="1"/>
  <c r="D2429" i="1"/>
  <c r="M2429" i="1" s="1"/>
  <c r="D562" i="1" l="1"/>
  <c r="M562" i="1" s="1"/>
  <c r="O562" i="1"/>
  <c r="P562" i="1" s="1"/>
  <c r="C563" i="1"/>
  <c r="L562" i="1"/>
  <c r="A56" i="10"/>
  <c r="B55" i="10" s="1"/>
  <c r="L2430" i="1"/>
  <c r="D15" i="10"/>
  <c r="E14" i="10"/>
  <c r="P2429" i="1"/>
  <c r="C55" i="10" s="1"/>
  <c r="O2430" i="1"/>
  <c r="C2431" i="1"/>
  <c r="D2430" i="1"/>
  <c r="M2430" i="1" s="1"/>
  <c r="D563" i="1" l="1"/>
  <c r="M563" i="1" s="1"/>
  <c r="O563" i="1"/>
  <c r="P563" i="1" s="1"/>
  <c r="C564" i="1"/>
  <c r="L563" i="1"/>
  <c r="A57" i="10"/>
  <c r="B56" i="10" s="1"/>
  <c r="L2431" i="1"/>
  <c r="D16" i="10"/>
  <c r="E15" i="10"/>
  <c r="P2430" i="1"/>
  <c r="C56" i="10" s="1"/>
  <c r="O2431" i="1"/>
  <c r="C2432" i="1"/>
  <c r="D2431" i="1"/>
  <c r="M2431" i="1" s="1"/>
  <c r="D564" i="1" l="1"/>
  <c r="M564" i="1" s="1"/>
  <c r="O564" i="1"/>
  <c r="P564" i="1" s="1"/>
  <c r="C565" i="1"/>
  <c r="L564" i="1"/>
  <c r="A58" i="10"/>
  <c r="B57" i="10" s="1"/>
  <c r="L2432" i="1"/>
  <c r="D17" i="10"/>
  <c r="E16" i="10"/>
  <c r="P2431" i="1"/>
  <c r="C57" i="10" s="1"/>
  <c r="O2432" i="1"/>
  <c r="D2432" i="1"/>
  <c r="M2432" i="1" s="1"/>
  <c r="C2433" i="1"/>
  <c r="D565" i="1" l="1"/>
  <c r="M565" i="1" s="1"/>
  <c r="O565" i="1"/>
  <c r="P565" i="1" s="1"/>
  <c r="C566" i="1"/>
  <c r="L565" i="1"/>
  <c r="A59" i="10"/>
  <c r="B58" i="10" s="1"/>
  <c r="L2433" i="1"/>
  <c r="D18" i="10"/>
  <c r="E17" i="10"/>
  <c r="P2432" i="1"/>
  <c r="C58" i="10" s="1"/>
  <c r="O2433" i="1"/>
  <c r="D2433" i="1"/>
  <c r="M2433" i="1" s="1"/>
  <c r="C2434" i="1"/>
  <c r="D566" i="1" l="1"/>
  <c r="M566" i="1" s="1"/>
  <c r="O566" i="1"/>
  <c r="P566" i="1" s="1"/>
  <c r="C567" i="1"/>
  <c r="L566" i="1"/>
  <c r="A60" i="10"/>
  <c r="B59" i="10" s="1"/>
  <c r="L2434" i="1"/>
  <c r="D19" i="10"/>
  <c r="E18" i="10"/>
  <c r="P2433" i="1"/>
  <c r="C59" i="10" s="1"/>
  <c r="O2434" i="1"/>
  <c r="D2434" i="1"/>
  <c r="M2434" i="1" s="1"/>
  <c r="C2435" i="1"/>
  <c r="D567" i="1" l="1"/>
  <c r="M567" i="1" s="1"/>
  <c r="O567" i="1"/>
  <c r="P567" i="1" s="1"/>
  <c r="C568" i="1"/>
  <c r="L567" i="1"/>
  <c r="A61" i="10"/>
  <c r="B60" i="10" s="1"/>
  <c r="L2435" i="1"/>
  <c r="D20" i="10"/>
  <c r="E19" i="10"/>
  <c r="P2434" i="1"/>
  <c r="C60" i="10" s="1"/>
  <c r="O2435" i="1"/>
  <c r="D2435" i="1"/>
  <c r="M2435" i="1" s="1"/>
  <c r="C2436" i="1"/>
  <c r="D568" i="1" l="1"/>
  <c r="M568" i="1" s="1"/>
  <c r="O568" i="1"/>
  <c r="P568" i="1" s="1"/>
  <c r="C569" i="1"/>
  <c r="L568" i="1"/>
  <c r="A62" i="10"/>
  <c r="B61" i="10" s="1"/>
  <c r="L2436" i="1"/>
  <c r="D21" i="10"/>
  <c r="E20" i="10"/>
  <c r="P2435" i="1"/>
  <c r="C61" i="10" s="1"/>
  <c r="O2436" i="1"/>
  <c r="C2437" i="1"/>
  <c r="L2437" i="1" s="1"/>
  <c r="D2436" i="1"/>
  <c r="M2436" i="1" s="1"/>
  <c r="D569" i="1" l="1"/>
  <c r="M569" i="1" s="1"/>
  <c r="O569" i="1"/>
  <c r="P569" i="1" s="1"/>
  <c r="C570" i="1"/>
  <c r="L569" i="1"/>
  <c r="A63" i="10"/>
  <c r="B62" i="10" s="1"/>
  <c r="I2438" i="1"/>
  <c r="D22" i="10"/>
  <c r="E21" i="10"/>
  <c r="P2436" i="1"/>
  <c r="C62" i="10" s="1"/>
  <c r="O2437" i="1"/>
  <c r="D2437" i="1"/>
  <c r="M2437" i="1" s="1"/>
  <c r="C2438" i="1"/>
  <c r="D570" i="1" l="1"/>
  <c r="M570" i="1" s="1"/>
  <c r="O570" i="1"/>
  <c r="P570" i="1" s="1"/>
  <c r="C571" i="1"/>
  <c r="L570" i="1"/>
  <c r="A64" i="10"/>
  <c r="B63" i="10" s="1"/>
  <c r="L2438" i="1"/>
  <c r="I2439" i="1"/>
  <c r="I2441" i="1" s="1"/>
  <c r="J2438" i="1"/>
  <c r="D23" i="10"/>
  <c r="E22" i="10"/>
  <c r="P2437" i="1"/>
  <c r="C63" i="10" s="1"/>
  <c r="O2438" i="1"/>
  <c r="D2438" i="1"/>
  <c r="M2438" i="1" s="1"/>
  <c r="C2439" i="1"/>
  <c r="D571" i="1" l="1"/>
  <c r="M571" i="1" s="1"/>
  <c r="O571" i="1"/>
  <c r="P571" i="1" s="1"/>
  <c r="C572" i="1"/>
  <c r="L571" i="1"/>
  <c r="A65" i="10"/>
  <c r="B64" i="10" s="1"/>
  <c r="L2439" i="1"/>
  <c r="I2443" i="1"/>
  <c r="I2445" i="1" s="1"/>
  <c r="J2439" i="1"/>
  <c r="J2441" i="1" s="1"/>
  <c r="J2443" i="1" s="1"/>
  <c r="J2445" i="1" s="1"/>
  <c r="D24" i="10"/>
  <c r="E23" i="10"/>
  <c r="O2439" i="1"/>
  <c r="D2439" i="1"/>
  <c r="M2439" i="1" s="1"/>
  <c r="C2440" i="1"/>
  <c r="D572" i="1" l="1"/>
  <c r="M572" i="1" s="1"/>
  <c r="O572" i="1"/>
  <c r="P572" i="1" s="1"/>
  <c r="C573" i="1"/>
  <c r="L572" i="1"/>
  <c r="A66" i="10"/>
  <c r="B65" i="10" s="1"/>
  <c r="L2440" i="1"/>
  <c r="D25" i="10"/>
  <c r="E24" i="10"/>
  <c r="O2440" i="1"/>
  <c r="D2440" i="1"/>
  <c r="M2440" i="1" s="1"/>
  <c r="C2441" i="1"/>
  <c r="D573" i="1" l="1"/>
  <c r="M573" i="1" s="1"/>
  <c r="O573" i="1"/>
  <c r="P573" i="1" s="1"/>
  <c r="C574" i="1"/>
  <c r="L573" i="1"/>
  <c r="A67" i="10"/>
  <c r="B66" i="10" s="1"/>
  <c r="L2441" i="1"/>
  <c r="D26" i="10"/>
  <c r="E25" i="10"/>
  <c r="O2441" i="1"/>
  <c r="D2441" i="1"/>
  <c r="M2441" i="1" s="1"/>
  <c r="C2442" i="1"/>
  <c r="D574" i="1" l="1"/>
  <c r="M574" i="1" s="1"/>
  <c r="O574" i="1"/>
  <c r="P574" i="1" s="1"/>
  <c r="C575" i="1"/>
  <c r="L574" i="1"/>
  <c r="A68" i="10"/>
  <c r="B67" i="10" s="1"/>
  <c r="L2442" i="1"/>
  <c r="D27" i="10"/>
  <c r="E26" i="10"/>
  <c r="O2442" i="1"/>
  <c r="D2442" i="1"/>
  <c r="M2442" i="1" s="1"/>
  <c r="C2443" i="1"/>
  <c r="D575" i="1" l="1"/>
  <c r="M575" i="1" s="1"/>
  <c r="O575" i="1"/>
  <c r="P575" i="1" s="1"/>
  <c r="C576" i="1"/>
  <c r="L575" i="1"/>
  <c r="A69" i="10"/>
  <c r="B68" i="10" s="1"/>
  <c r="L2443" i="1"/>
  <c r="D28" i="10"/>
  <c r="E27" i="10"/>
  <c r="O2443" i="1"/>
  <c r="D2443" i="1"/>
  <c r="M2443" i="1" s="1"/>
  <c r="C2444" i="1"/>
  <c r="D576" i="1" l="1"/>
  <c r="M576" i="1" s="1"/>
  <c r="O576" i="1"/>
  <c r="P576" i="1" s="1"/>
  <c r="C577" i="1"/>
  <c r="L576" i="1"/>
  <c r="A70" i="10"/>
  <c r="B69" i="10" s="1"/>
  <c r="L2444" i="1"/>
  <c r="D29" i="10"/>
  <c r="E28" i="10"/>
  <c r="O2444" i="1"/>
  <c r="D2444" i="1"/>
  <c r="M2444" i="1" s="1"/>
  <c r="C2445" i="1"/>
  <c r="D577" i="1" l="1"/>
  <c r="M577" i="1" s="1"/>
  <c r="O577" i="1"/>
  <c r="P577" i="1" s="1"/>
  <c r="C578" i="1"/>
  <c r="L577" i="1"/>
  <c r="A71" i="10"/>
  <c r="B70" i="10" s="1"/>
  <c r="L2445" i="1"/>
  <c r="D30" i="10"/>
  <c r="E29" i="10"/>
  <c r="P2438" i="1"/>
  <c r="C64" i="10" s="1"/>
  <c r="P2443" i="1"/>
  <c r="C69" i="10" s="1"/>
  <c r="P2442" i="1"/>
  <c r="C68" i="10" s="1"/>
  <c r="P2439" i="1"/>
  <c r="C65" i="10" s="1"/>
  <c r="P2441" i="1"/>
  <c r="C67" i="10" s="1"/>
  <c r="P2444" i="1"/>
  <c r="C70" i="10" s="1"/>
  <c r="P2440" i="1"/>
  <c r="C66" i="10" s="1"/>
  <c r="O2445" i="1"/>
  <c r="D2445" i="1"/>
  <c r="M2445" i="1" s="1"/>
  <c r="C2446" i="1"/>
  <c r="O578" i="1" l="1"/>
  <c r="P578" i="1" s="1"/>
  <c r="D578" i="1"/>
  <c r="M578" i="1" s="1"/>
  <c r="C579" i="1"/>
  <c r="L578" i="1"/>
  <c r="A72" i="10"/>
  <c r="B71" i="10" s="1"/>
  <c r="L2446" i="1"/>
  <c r="D31" i="10"/>
  <c r="E30" i="10"/>
  <c r="P2445" i="1"/>
  <c r="C71" i="10" s="1"/>
  <c r="O2446" i="1"/>
  <c r="D2446" i="1"/>
  <c r="M2446" i="1" s="1"/>
  <c r="C2447" i="1"/>
  <c r="D579" i="1" l="1"/>
  <c r="M579" i="1" s="1"/>
  <c r="O579" i="1"/>
  <c r="P579" i="1" s="1"/>
  <c r="C580" i="1"/>
  <c r="L579" i="1"/>
  <c r="A73" i="10"/>
  <c r="B72" i="10" s="1"/>
  <c r="L2447" i="1"/>
  <c r="D32" i="10"/>
  <c r="E31" i="10"/>
  <c r="P2446" i="1"/>
  <c r="C72" i="10" s="1"/>
  <c r="O2447" i="1"/>
  <c r="C2448" i="1"/>
  <c r="D2447" i="1"/>
  <c r="M2447" i="1" s="1"/>
  <c r="L580" i="1" l="1"/>
  <c r="D580" i="1"/>
  <c r="M580" i="1" s="1"/>
  <c r="O580" i="1"/>
  <c r="P580" i="1" s="1"/>
  <c r="C581" i="1"/>
  <c r="I581" i="1"/>
  <c r="A74" i="10"/>
  <c r="B73" i="10" s="1"/>
  <c r="L2448" i="1"/>
  <c r="D33" i="10"/>
  <c r="E32" i="10"/>
  <c r="P2447" i="1"/>
  <c r="C73" i="10" s="1"/>
  <c r="O2448" i="1"/>
  <c r="D2448" i="1"/>
  <c r="M2448" i="1" s="1"/>
  <c r="C2449" i="1"/>
  <c r="D581" i="1" l="1"/>
  <c r="M581" i="1" s="1"/>
  <c r="C582" i="1"/>
  <c r="L581" i="1"/>
  <c r="J581" i="1"/>
  <c r="I582" i="1"/>
  <c r="A75" i="10"/>
  <c r="B74" i="10" s="1"/>
  <c r="L2449" i="1"/>
  <c r="D34" i="10"/>
  <c r="E33" i="10"/>
  <c r="P2448" i="1"/>
  <c r="C74" i="10" s="1"/>
  <c r="O2449" i="1"/>
  <c r="D2449" i="1"/>
  <c r="M2449" i="1" s="1"/>
  <c r="C2450" i="1"/>
  <c r="D582" i="1" l="1"/>
  <c r="M582" i="1" s="1"/>
  <c r="O582" i="1"/>
  <c r="P582" i="1" s="1"/>
  <c r="C583" i="1"/>
  <c r="L582" i="1"/>
  <c r="J582" i="1"/>
  <c r="J584" i="1" s="1"/>
  <c r="J586" i="1" s="1"/>
  <c r="J588" i="1" s="1"/>
  <c r="I584" i="1"/>
  <c r="I586" i="1" s="1"/>
  <c r="I588" i="1" s="1"/>
  <c r="A76" i="10"/>
  <c r="B75" i="10" s="1"/>
  <c r="L2450" i="1"/>
  <c r="D35" i="10"/>
  <c r="E34" i="10"/>
  <c r="P2449" i="1"/>
  <c r="C75" i="10" s="1"/>
  <c r="O2450" i="1"/>
  <c r="C2451" i="1"/>
  <c r="D2450" i="1"/>
  <c r="M2450" i="1" s="1"/>
  <c r="D583" i="1" l="1"/>
  <c r="M583" i="1" s="1"/>
  <c r="O583" i="1"/>
  <c r="P583" i="1" s="1"/>
  <c r="C584" i="1"/>
  <c r="L583" i="1"/>
  <c r="A77" i="10"/>
  <c r="B76" i="10" s="1"/>
  <c r="L2451" i="1"/>
  <c r="D36" i="10"/>
  <c r="E35" i="10"/>
  <c r="P2450" i="1"/>
  <c r="C76" i="10" s="1"/>
  <c r="O2451" i="1"/>
  <c r="D2451" i="1"/>
  <c r="M2451" i="1" s="1"/>
  <c r="C2452" i="1"/>
  <c r="C585" i="1" l="1"/>
  <c r="D584" i="1"/>
  <c r="M584" i="1" s="1"/>
  <c r="L584" i="1"/>
  <c r="A78" i="10"/>
  <c r="B77" i="10" s="1"/>
  <c r="L2452" i="1"/>
  <c r="D37" i="10"/>
  <c r="E36" i="10"/>
  <c r="P2451" i="1"/>
  <c r="C77" i="10" s="1"/>
  <c r="O2452" i="1"/>
  <c r="C2453" i="1"/>
  <c r="D2452" i="1"/>
  <c r="M2452" i="1" s="1"/>
  <c r="D585" i="1" l="1"/>
  <c r="M585" i="1" s="1"/>
  <c r="O585" i="1"/>
  <c r="P585" i="1" s="1"/>
  <c r="C586" i="1"/>
  <c r="L585" i="1"/>
  <c r="A79" i="10"/>
  <c r="B78" i="10" s="1"/>
  <c r="L2453" i="1"/>
  <c r="D38" i="10"/>
  <c r="E37" i="10"/>
  <c r="P2452" i="1"/>
  <c r="C78" i="10" s="1"/>
  <c r="O2453" i="1"/>
  <c r="D2453" i="1"/>
  <c r="M2453" i="1" s="1"/>
  <c r="C2454" i="1"/>
  <c r="D586" i="1" l="1"/>
  <c r="M586" i="1" s="1"/>
  <c r="O586" i="1"/>
  <c r="P586" i="1" s="1"/>
  <c r="C587" i="1"/>
  <c r="L586" i="1"/>
  <c r="A80" i="10"/>
  <c r="B79" i="10" s="1"/>
  <c r="L2454" i="1"/>
  <c r="D39" i="10"/>
  <c r="E38" i="10"/>
  <c r="P2453" i="1"/>
  <c r="C79" i="10" s="1"/>
  <c r="O2454" i="1"/>
  <c r="D2454" i="1"/>
  <c r="M2454" i="1" s="1"/>
  <c r="C2455" i="1"/>
  <c r="D587" i="1" l="1"/>
  <c r="M587" i="1" s="1"/>
  <c r="O587" i="1"/>
  <c r="P587" i="1" s="1"/>
  <c r="C588" i="1"/>
  <c r="L587" i="1"/>
  <c r="A81" i="10"/>
  <c r="B80" i="10" s="1"/>
  <c r="L2455" i="1"/>
  <c r="D40" i="10"/>
  <c r="E39" i="10"/>
  <c r="P2454" i="1"/>
  <c r="C80" i="10" s="1"/>
  <c r="O2455" i="1"/>
  <c r="D2455" i="1"/>
  <c r="M2455" i="1" s="1"/>
  <c r="C2456" i="1"/>
  <c r="D588" i="1" l="1"/>
  <c r="M588" i="1" s="1"/>
  <c r="O588" i="1"/>
  <c r="P588" i="1" s="1"/>
  <c r="C589" i="1"/>
  <c r="L588" i="1"/>
  <c r="A82" i="10"/>
  <c r="B81" i="10" s="1"/>
  <c r="L2456" i="1"/>
  <c r="D41" i="10"/>
  <c r="E40" i="10"/>
  <c r="P2455" i="1"/>
  <c r="C81" i="10" s="1"/>
  <c r="O2456" i="1"/>
  <c r="C2457" i="1"/>
  <c r="D2456" i="1"/>
  <c r="M2456" i="1" s="1"/>
  <c r="D589" i="1" l="1"/>
  <c r="M589" i="1" s="1"/>
  <c r="O589" i="1"/>
  <c r="P589" i="1" s="1"/>
  <c r="C590" i="1"/>
  <c r="L589" i="1"/>
  <c r="A83" i="10"/>
  <c r="B82" i="10" s="1"/>
  <c r="L2457" i="1"/>
  <c r="D42" i="10"/>
  <c r="E41" i="10"/>
  <c r="P2456" i="1"/>
  <c r="C82" i="10" s="1"/>
  <c r="O2457" i="1"/>
  <c r="C2458" i="1"/>
  <c r="D2457" i="1"/>
  <c r="M2457" i="1" s="1"/>
  <c r="O590" i="1" l="1"/>
  <c r="P590" i="1" s="1"/>
  <c r="D590" i="1"/>
  <c r="M590" i="1" s="1"/>
  <c r="C591" i="1"/>
  <c r="L590" i="1"/>
  <c r="A84" i="10"/>
  <c r="B83" i="10" s="1"/>
  <c r="L2458" i="1"/>
  <c r="D43" i="10"/>
  <c r="E42" i="10"/>
  <c r="P2457" i="1"/>
  <c r="C83" i="10" s="1"/>
  <c r="O2458" i="1"/>
  <c r="C2459" i="1"/>
  <c r="D2458" i="1"/>
  <c r="M2458" i="1" s="1"/>
  <c r="D591" i="1" l="1"/>
  <c r="M591" i="1" s="1"/>
  <c r="O591" i="1"/>
  <c r="P591" i="1" s="1"/>
  <c r="C592" i="1"/>
  <c r="L591" i="1"/>
  <c r="A85" i="10"/>
  <c r="B84" i="10" s="1"/>
  <c r="L2459" i="1"/>
  <c r="D44" i="10"/>
  <c r="E43" i="10"/>
  <c r="P2458" i="1"/>
  <c r="C84" i="10" s="1"/>
  <c r="O2459" i="1"/>
  <c r="C2460" i="1"/>
  <c r="D2459" i="1"/>
  <c r="M2459" i="1" s="1"/>
  <c r="D592" i="1" l="1"/>
  <c r="M592" i="1" s="1"/>
  <c r="O592" i="1"/>
  <c r="P592" i="1" s="1"/>
  <c r="C593" i="1"/>
  <c r="L592" i="1"/>
  <c r="A86" i="10"/>
  <c r="B85" i="10" s="1"/>
  <c r="L2460" i="1"/>
  <c r="D45" i="10"/>
  <c r="E44" i="10"/>
  <c r="P2459" i="1"/>
  <c r="C85" i="10" s="1"/>
  <c r="O2460" i="1"/>
  <c r="D2460" i="1"/>
  <c r="M2460" i="1" s="1"/>
  <c r="C2461" i="1"/>
  <c r="D593" i="1" l="1"/>
  <c r="M593" i="1" s="1"/>
  <c r="O593" i="1"/>
  <c r="P593" i="1" s="1"/>
  <c r="C594" i="1"/>
  <c r="L593" i="1"/>
  <c r="A87" i="10"/>
  <c r="B86" i="10" s="1"/>
  <c r="L2461" i="1"/>
  <c r="D46" i="10"/>
  <c r="E45" i="10"/>
  <c r="P2460" i="1"/>
  <c r="C86" i="10" s="1"/>
  <c r="O2461" i="1"/>
  <c r="C2462" i="1"/>
  <c r="D2461" i="1"/>
  <c r="M2461" i="1" s="1"/>
  <c r="D594" i="1" l="1"/>
  <c r="M594" i="1" s="1"/>
  <c r="O594" i="1"/>
  <c r="P594" i="1" s="1"/>
  <c r="C595" i="1"/>
  <c r="L594" i="1"/>
  <c r="A88" i="10"/>
  <c r="B87" i="10" s="1"/>
  <c r="L2462" i="1"/>
  <c r="D47" i="10"/>
  <c r="E46" i="10"/>
  <c r="P2461" i="1"/>
  <c r="C87" i="10" s="1"/>
  <c r="O2462" i="1"/>
  <c r="D2462" i="1"/>
  <c r="M2462" i="1" s="1"/>
  <c r="C2463" i="1"/>
  <c r="C596" i="1" l="1"/>
  <c r="D595" i="1"/>
  <c r="M595" i="1" s="1"/>
  <c r="O595" i="1"/>
  <c r="P595" i="1" s="1"/>
  <c r="L595" i="1"/>
  <c r="A89" i="10"/>
  <c r="B88" i="10" s="1"/>
  <c r="L2463" i="1"/>
  <c r="D48" i="10"/>
  <c r="E47" i="10"/>
  <c r="P2462" i="1"/>
  <c r="C88" i="10" s="1"/>
  <c r="O2463" i="1"/>
  <c r="D2463" i="1"/>
  <c r="M2463" i="1" s="1"/>
  <c r="C2464" i="1"/>
  <c r="C597" i="1" l="1"/>
  <c r="D596" i="1"/>
  <c r="M596" i="1" s="1"/>
  <c r="O596" i="1"/>
  <c r="P596" i="1" s="1"/>
  <c r="L596" i="1"/>
  <c r="A90" i="10"/>
  <c r="B89" i="10" s="1"/>
  <c r="L2464" i="1"/>
  <c r="D49" i="10"/>
  <c r="E48" i="10"/>
  <c r="P2463" i="1"/>
  <c r="C89" i="10" s="1"/>
  <c r="O2464" i="1"/>
  <c r="C2465" i="1"/>
  <c r="D2464" i="1"/>
  <c r="M2464" i="1" s="1"/>
  <c r="O597" i="1" l="1"/>
  <c r="P597" i="1" s="1"/>
  <c r="C598" i="1"/>
  <c r="D597" i="1"/>
  <c r="M597" i="1" s="1"/>
  <c r="L597" i="1"/>
  <c r="A91" i="10"/>
  <c r="B90" i="10" s="1"/>
  <c r="L2465" i="1"/>
  <c r="D50" i="10"/>
  <c r="E49" i="10"/>
  <c r="P2464" i="1"/>
  <c r="C90" i="10" s="1"/>
  <c r="O2465" i="1"/>
  <c r="D2465" i="1"/>
  <c r="M2465" i="1" s="1"/>
  <c r="C2466" i="1"/>
  <c r="C599" i="1" l="1"/>
  <c r="D598" i="1"/>
  <c r="M598" i="1" s="1"/>
  <c r="O598" i="1"/>
  <c r="P598" i="1" s="1"/>
  <c r="L598" i="1"/>
  <c r="A92" i="10"/>
  <c r="B91" i="10" s="1"/>
  <c r="L2466" i="1"/>
  <c r="D51" i="10"/>
  <c r="E50" i="10"/>
  <c r="P2465" i="1"/>
  <c r="C91" i="10" s="1"/>
  <c r="O2466" i="1"/>
  <c r="D2466" i="1"/>
  <c r="M2466" i="1" s="1"/>
  <c r="C2467" i="1"/>
  <c r="D599" i="1" l="1"/>
  <c r="M599" i="1" s="1"/>
  <c r="C600" i="1"/>
  <c r="O599" i="1"/>
  <c r="P599" i="1" s="1"/>
  <c r="L599" i="1"/>
  <c r="A93" i="10"/>
  <c r="B92" i="10" s="1"/>
  <c r="L2467" i="1"/>
  <c r="D52" i="10"/>
  <c r="E51" i="10"/>
  <c r="P2466" i="1"/>
  <c r="C92" i="10" s="1"/>
  <c r="O2467" i="1"/>
  <c r="C2468" i="1"/>
  <c r="L2468" i="1" s="1"/>
  <c r="D2467" i="1"/>
  <c r="M2467" i="1" s="1"/>
  <c r="D600" i="1" l="1"/>
  <c r="M600" i="1" s="1"/>
  <c r="O600" i="1"/>
  <c r="P600" i="1" s="1"/>
  <c r="C601" i="1"/>
  <c r="L600" i="1"/>
  <c r="A94" i="10"/>
  <c r="B93" i="10" s="1"/>
  <c r="I2469" i="1"/>
  <c r="D53" i="10"/>
  <c r="E52" i="10"/>
  <c r="P2467" i="1"/>
  <c r="C93" i="10" s="1"/>
  <c r="O2468" i="1"/>
  <c r="C2469" i="1"/>
  <c r="D2468" i="1"/>
  <c r="M2468" i="1" s="1"/>
  <c r="D601" i="1" l="1"/>
  <c r="M601" i="1" s="1"/>
  <c r="O601" i="1"/>
  <c r="P601" i="1" s="1"/>
  <c r="C602" i="1"/>
  <c r="L601" i="1"/>
  <c r="A95" i="10"/>
  <c r="B94" i="10" s="1"/>
  <c r="L2469" i="1"/>
  <c r="J2469" i="1"/>
  <c r="I2470" i="1"/>
  <c r="I2472" i="1" s="1"/>
  <c r="D54" i="10"/>
  <c r="E53" i="10"/>
  <c r="O2469" i="1"/>
  <c r="D2469" i="1"/>
  <c r="M2469" i="1" s="1"/>
  <c r="C2470" i="1"/>
  <c r="D602" i="1" l="1"/>
  <c r="M602" i="1" s="1"/>
  <c r="C603" i="1"/>
  <c r="O602" i="1"/>
  <c r="P602" i="1" s="1"/>
  <c r="L602" i="1"/>
  <c r="A96" i="10"/>
  <c r="B95" i="10" s="1"/>
  <c r="L2470" i="1"/>
  <c r="I2474" i="1"/>
  <c r="I2476" i="1" s="1"/>
  <c r="J2470" i="1"/>
  <c r="J2472" i="1" s="1"/>
  <c r="J2474" i="1" s="1"/>
  <c r="J2476" i="1" s="1"/>
  <c r="D55" i="10"/>
  <c r="E54" i="10"/>
  <c r="O2470" i="1"/>
  <c r="D2470" i="1"/>
  <c r="M2470" i="1" s="1"/>
  <c r="C2471" i="1"/>
  <c r="D603" i="1" l="1"/>
  <c r="M603" i="1" s="1"/>
  <c r="O603" i="1"/>
  <c r="P603" i="1" s="1"/>
  <c r="C604" i="1"/>
  <c r="L603" i="1"/>
  <c r="A97" i="10"/>
  <c r="B96" i="10" s="1"/>
  <c r="L2471" i="1"/>
  <c r="D56" i="10"/>
  <c r="E55" i="10"/>
  <c r="D2471" i="1"/>
  <c r="M2471" i="1" s="1"/>
  <c r="C2472" i="1"/>
  <c r="D604" i="1" l="1"/>
  <c r="M604" i="1" s="1"/>
  <c r="O604" i="1"/>
  <c r="P604" i="1" s="1"/>
  <c r="C605" i="1"/>
  <c r="L604" i="1"/>
  <c r="A98" i="10"/>
  <c r="B97" i="10" s="1"/>
  <c r="L2472" i="1"/>
  <c r="D57" i="10"/>
  <c r="E56" i="10"/>
  <c r="O2472" i="1"/>
  <c r="C2473" i="1"/>
  <c r="D2472" i="1"/>
  <c r="M2472" i="1" s="1"/>
  <c r="D605" i="1" l="1"/>
  <c r="M605" i="1" s="1"/>
  <c r="O605" i="1"/>
  <c r="P605" i="1" s="1"/>
  <c r="C606" i="1"/>
  <c r="L605" i="1"/>
  <c r="A99" i="10"/>
  <c r="B98" i="10" s="1"/>
  <c r="L2473" i="1"/>
  <c r="D58" i="10"/>
  <c r="E57" i="10"/>
  <c r="O2473" i="1"/>
  <c r="D2473" i="1"/>
  <c r="M2473" i="1" s="1"/>
  <c r="C2474" i="1"/>
  <c r="D606" i="1" l="1"/>
  <c r="M606" i="1" s="1"/>
  <c r="O606" i="1"/>
  <c r="P606" i="1" s="1"/>
  <c r="C607" i="1"/>
  <c r="L606" i="1"/>
  <c r="A100" i="10"/>
  <c r="B99" i="10" s="1"/>
  <c r="L2474" i="1"/>
  <c r="D59" i="10"/>
  <c r="E58" i="10"/>
  <c r="D2474" i="1"/>
  <c r="M2474" i="1" s="1"/>
  <c r="C2475" i="1"/>
  <c r="D607" i="1" l="1"/>
  <c r="M607" i="1" s="1"/>
  <c r="O607" i="1"/>
  <c r="P607" i="1" s="1"/>
  <c r="C608" i="1"/>
  <c r="L607" i="1"/>
  <c r="A101" i="10"/>
  <c r="B100" i="10" s="1"/>
  <c r="L2475" i="1"/>
  <c r="D60" i="10"/>
  <c r="E59" i="10"/>
  <c r="O2475" i="1"/>
  <c r="D2475" i="1"/>
  <c r="M2475" i="1" s="1"/>
  <c r="C2476" i="1"/>
  <c r="D608" i="1" l="1"/>
  <c r="M608" i="1" s="1"/>
  <c r="O608" i="1"/>
  <c r="P608" i="1" s="1"/>
  <c r="C609" i="1"/>
  <c r="L608" i="1"/>
  <c r="A102" i="10"/>
  <c r="B101" i="10" s="1"/>
  <c r="L2476" i="1"/>
  <c r="D61" i="10"/>
  <c r="E60" i="10"/>
  <c r="O2476" i="1"/>
  <c r="D2476" i="1"/>
  <c r="M2476" i="1" s="1"/>
  <c r="C2477" i="1"/>
  <c r="D609" i="1" l="1"/>
  <c r="M609" i="1" s="1"/>
  <c r="O609" i="1"/>
  <c r="P609" i="1" s="1"/>
  <c r="C610" i="1"/>
  <c r="L609" i="1"/>
  <c r="A103" i="10"/>
  <c r="B102" i="10" s="1"/>
  <c r="L2477" i="1"/>
  <c r="E61" i="10"/>
  <c r="D62" i="10"/>
  <c r="O2477" i="1"/>
  <c r="C2478" i="1"/>
  <c r="D2477" i="1"/>
  <c r="M2477" i="1" s="1"/>
  <c r="D610" i="1" l="1"/>
  <c r="M610" i="1" s="1"/>
  <c r="C611" i="1"/>
  <c r="O610" i="1"/>
  <c r="P610" i="1" s="1"/>
  <c r="L610" i="1"/>
  <c r="A104" i="10"/>
  <c r="B103" i="10" s="1"/>
  <c r="L2478" i="1"/>
  <c r="D63" i="10"/>
  <c r="E62" i="10"/>
  <c r="O2478" i="1"/>
  <c r="C2479" i="1"/>
  <c r="D2478" i="1"/>
  <c r="M2478" i="1" s="1"/>
  <c r="D611" i="1" l="1"/>
  <c r="M611" i="1" s="1"/>
  <c r="O611" i="1"/>
  <c r="P611" i="1" s="1"/>
  <c r="C612" i="1"/>
  <c r="L611" i="1"/>
  <c r="I612" i="1"/>
  <c r="A105" i="10"/>
  <c r="B104" i="10" s="1"/>
  <c r="L2479" i="1"/>
  <c r="D64" i="10"/>
  <c r="E63" i="10"/>
  <c r="O2479" i="1"/>
  <c r="C2480" i="1"/>
  <c r="D2479" i="1"/>
  <c r="M2479" i="1" s="1"/>
  <c r="D612" i="1" l="1"/>
  <c r="M612" i="1" s="1"/>
  <c r="O612" i="1"/>
  <c r="P612" i="1" s="1"/>
  <c r="C613" i="1"/>
  <c r="L612" i="1"/>
  <c r="I613" i="1"/>
  <c r="J612" i="1"/>
  <c r="A106" i="10"/>
  <c r="B105" i="10" s="1"/>
  <c r="L2480" i="1"/>
  <c r="D65" i="10"/>
  <c r="E64" i="10"/>
  <c r="O2480" i="1"/>
  <c r="C2481" i="1"/>
  <c r="D2480" i="1"/>
  <c r="M2480" i="1" s="1"/>
  <c r="O613" i="1" l="1"/>
  <c r="P613" i="1" s="1"/>
  <c r="C614" i="1"/>
  <c r="D613" i="1"/>
  <c r="M613" i="1" s="1"/>
  <c r="L613" i="1"/>
  <c r="J613" i="1"/>
  <c r="J615" i="1" s="1"/>
  <c r="J617" i="1" s="1"/>
  <c r="J619" i="1" s="1"/>
  <c r="I615" i="1"/>
  <c r="I617" i="1" s="1"/>
  <c r="I619" i="1" s="1"/>
  <c r="A107" i="10"/>
  <c r="B106" i="10" s="1"/>
  <c r="L2481" i="1"/>
  <c r="D66" i="10"/>
  <c r="E65" i="10"/>
  <c r="O2481" i="1"/>
  <c r="C2482" i="1"/>
  <c r="D2481" i="1"/>
  <c r="M2481" i="1" s="1"/>
  <c r="D614" i="1" l="1"/>
  <c r="M614" i="1" s="1"/>
  <c r="O614" i="1"/>
  <c r="P614" i="1" s="1"/>
  <c r="C615" i="1"/>
  <c r="L614" i="1"/>
  <c r="A108" i="10"/>
  <c r="B107" i="10" s="1"/>
  <c r="L2482" i="1"/>
  <c r="D67" i="10"/>
  <c r="E66" i="10"/>
  <c r="O2482" i="1"/>
  <c r="C2483" i="1"/>
  <c r="D2482" i="1"/>
  <c r="M2482" i="1" s="1"/>
  <c r="D615" i="1" l="1"/>
  <c r="M615" i="1" s="1"/>
  <c r="O615" i="1"/>
  <c r="P615" i="1" s="1"/>
  <c r="C616" i="1"/>
  <c r="L615" i="1"/>
  <c r="A109" i="10"/>
  <c r="B108" i="10" s="1"/>
  <c r="L2483" i="1"/>
  <c r="D68" i="10"/>
  <c r="E67" i="10"/>
  <c r="O2483" i="1"/>
  <c r="D2483" i="1"/>
  <c r="M2483" i="1" s="1"/>
  <c r="C2484" i="1"/>
  <c r="O616" i="1" l="1"/>
  <c r="P616" i="1" s="1"/>
  <c r="C617" i="1"/>
  <c r="D616" i="1"/>
  <c r="M616" i="1" s="1"/>
  <c r="L616" i="1"/>
  <c r="A110" i="10"/>
  <c r="B109" i="10" s="1"/>
  <c r="L2484" i="1"/>
  <c r="D69" i="10"/>
  <c r="E68" i="10"/>
  <c r="O2484" i="1"/>
  <c r="C2485" i="1"/>
  <c r="D2484" i="1"/>
  <c r="M2484" i="1" s="1"/>
  <c r="D617" i="1" l="1"/>
  <c r="M617" i="1" s="1"/>
  <c r="O617" i="1"/>
  <c r="P617" i="1" s="1"/>
  <c r="C618" i="1"/>
  <c r="L617" i="1"/>
  <c r="A111" i="10"/>
  <c r="B110" i="10" s="1"/>
  <c r="L2485" i="1"/>
  <c r="D70" i="10"/>
  <c r="E69" i="10"/>
  <c r="O2485" i="1"/>
  <c r="C2486" i="1"/>
  <c r="D2485" i="1"/>
  <c r="M2485" i="1" s="1"/>
  <c r="D618" i="1" l="1"/>
  <c r="M618" i="1" s="1"/>
  <c r="O618" i="1"/>
  <c r="P618" i="1" s="1"/>
  <c r="C619" i="1"/>
  <c r="L618" i="1"/>
  <c r="A112" i="10"/>
  <c r="B111" i="10" s="1"/>
  <c r="L2486" i="1"/>
  <c r="D71" i="10"/>
  <c r="E70" i="10"/>
  <c r="O2486" i="1"/>
  <c r="D2486" i="1"/>
  <c r="M2486" i="1" s="1"/>
  <c r="C2487" i="1"/>
  <c r="C620" i="1" l="1"/>
  <c r="O619" i="1"/>
  <c r="P619" i="1" s="1"/>
  <c r="D619" i="1"/>
  <c r="M619" i="1" s="1"/>
  <c r="L619" i="1"/>
  <c r="A113" i="10"/>
  <c r="B112" i="10" s="1"/>
  <c r="L2487" i="1"/>
  <c r="D72" i="10"/>
  <c r="E71" i="10"/>
  <c r="O2487" i="1"/>
  <c r="D2487" i="1"/>
  <c r="M2487" i="1" s="1"/>
  <c r="C2488" i="1"/>
  <c r="D620" i="1" l="1"/>
  <c r="M620" i="1" s="1"/>
  <c r="O620" i="1"/>
  <c r="P620" i="1" s="1"/>
  <c r="C621" i="1"/>
  <c r="L620" i="1"/>
  <c r="A114" i="10"/>
  <c r="B113" i="10" s="1"/>
  <c r="L2488" i="1"/>
  <c r="D73" i="10"/>
  <c r="E72" i="10"/>
  <c r="O2488" i="1"/>
  <c r="D2488" i="1"/>
  <c r="M2488" i="1" s="1"/>
  <c r="C2489" i="1"/>
  <c r="D621" i="1" l="1"/>
  <c r="M621" i="1" s="1"/>
  <c r="O621" i="1"/>
  <c r="P621" i="1" s="1"/>
  <c r="C622" i="1"/>
  <c r="L621" i="1"/>
  <c r="A115" i="10"/>
  <c r="B114" i="10" s="1"/>
  <c r="L2489" i="1"/>
  <c r="D74" i="10"/>
  <c r="E73" i="10"/>
  <c r="O2489" i="1"/>
  <c r="D2489" i="1"/>
  <c r="M2489" i="1" s="1"/>
  <c r="C2490" i="1"/>
  <c r="O622" i="1" l="1"/>
  <c r="P622" i="1" s="1"/>
  <c r="D622" i="1"/>
  <c r="M622" i="1" s="1"/>
  <c r="C623" i="1"/>
  <c r="L622" i="1"/>
  <c r="A116" i="10"/>
  <c r="B115" i="10" s="1"/>
  <c r="L2490" i="1"/>
  <c r="D75" i="10"/>
  <c r="E74" i="10"/>
  <c r="O2490" i="1"/>
  <c r="D2490" i="1"/>
  <c r="M2490" i="1" s="1"/>
  <c r="C2491" i="1"/>
  <c r="C624" i="1" l="1"/>
  <c r="D623" i="1"/>
  <c r="M623" i="1" s="1"/>
  <c r="O623" i="1"/>
  <c r="P623" i="1" s="1"/>
  <c r="L623" i="1"/>
  <c r="A117" i="10"/>
  <c r="B116" i="10" s="1"/>
  <c r="L2491" i="1"/>
  <c r="D76" i="10"/>
  <c r="E75" i="10"/>
  <c r="O2491" i="1"/>
  <c r="D2491" i="1"/>
  <c r="M2491" i="1" s="1"/>
  <c r="C2492" i="1"/>
  <c r="D624" i="1" l="1"/>
  <c r="M624" i="1" s="1"/>
  <c r="O624" i="1"/>
  <c r="P624" i="1" s="1"/>
  <c r="C625" i="1"/>
  <c r="L624" i="1"/>
  <c r="A118" i="10"/>
  <c r="B117" i="10" s="1"/>
  <c r="L2492" i="1"/>
  <c r="D77" i="10"/>
  <c r="E76" i="10"/>
  <c r="O2492" i="1"/>
  <c r="C2493" i="1"/>
  <c r="D2492" i="1"/>
  <c r="M2492" i="1" s="1"/>
  <c r="D625" i="1" l="1"/>
  <c r="M625" i="1" s="1"/>
  <c r="O625" i="1"/>
  <c r="P625" i="1" s="1"/>
  <c r="C626" i="1"/>
  <c r="L625" i="1"/>
  <c r="A119" i="10"/>
  <c r="B118" i="10" s="1"/>
  <c r="L2493" i="1"/>
  <c r="D78" i="10"/>
  <c r="E77" i="10"/>
  <c r="O2493" i="1"/>
  <c r="C2494" i="1"/>
  <c r="D2493" i="1"/>
  <c r="M2493" i="1" s="1"/>
  <c r="D626" i="1" l="1"/>
  <c r="M626" i="1" s="1"/>
  <c r="C627" i="1"/>
  <c r="O626" i="1"/>
  <c r="P626" i="1" s="1"/>
  <c r="L626" i="1"/>
  <c r="A120" i="10"/>
  <c r="B119" i="10" s="1"/>
  <c r="L2494" i="1"/>
  <c r="D79" i="10"/>
  <c r="E78" i="10"/>
  <c r="O2494" i="1"/>
  <c r="C2495" i="1"/>
  <c r="D2494" i="1"/>
  <c r="M2494" i="1" s="1"/>
  <c r="D627" i="1" l="1"/>
  <c r="M627" i="1" s="1"/>
  <c r="O627" i="1"/>
  <c r="P627" i="1" s="1"/>
  <c r="C628" i="1"/>
  <c r="L627" i="1"/>
  <c r="A121" i="10"/>
  <c r="B120" i="10" s="1"/>
  <c r="L2495" i="1"/>
  <c r="D80" i="10"/>
  <c r="E79" i="10"/>
  <c r="O2495" i="1"/>
  <c r="C2496" i="1"/>
  <c r="D2495" i="1"/>
  <c r="M2495" i="1" s="1"/>
  <c r="O628" i="1" l="1"/>
  <c r="P628" i="1" s="1"/>
  <c r="C629" i="1"/>
  <c r="D628" i="1"/>
  <c r="M628" i="1" s="1"/>
  <c r="L628" i="1"/>
  <c r="A122" i="10"/>
  <c r="B121" i="10" s="1"/>
  <c r="L2496" i="1"/>
  <c r="D81" i="10"/>
  <c r="E80" i="10"/>
  <c r="O2496" i="1"/>
  <c r="C2497" i="1"/>
  <c r="D2496" i="1"/>
  <c r="M2496" i="1" s="1"/>
  <c r="D629" i="1" l="1"/>
  <c r="M629" i="1" s="1"/>
  <c r="O629" i="1"/>
  <c r="P629" i="1" s="1"/>
  <c r="C630" i="1"/>
  <c r="L629" i="1"/>
  <c r="A123" i="10"/>
  <c r="B122" i="10" s="1"/>
  <c r="L2497" i="1"/>
  <c r="D82" i="10"/>
  <c r="E81" i="10"/>
  <c r="O2497" i="1"/>
  <c r="C2498" i="1"/>
  <c r="I2499" i="1" s="1"/>
  <c r="D2497" i="1"/>
  <c r="M2497" i="1" s="1"/>
  <c r="C631" i="1" l="1"/>
  <c r="D630" i="1"/>
  <c r="M630" i="1" s="1"/>
  <c r="O630" i="1"/>
  <c r="P630" i="1" s="1"/>
  <c r="L630" i="1"/>
  <c r="I2508" i="1"/>
  <c r="I2509" i="1" s="1"/>
  <c r="I2500" i="1"/>
  <c r="J2508" i="1"/>
  <c r="J2509" i="1" s="1"/>
  <c r="A124" i="10"/>
  <c r="B123" i="10" s="1"/>
  <c r="L2498" i="1"/>
  <c r="D83" i="10"/>
  <c r="E82" i="10"/>
  <c r="O2498" i="1"/>
  <c r="C2499" i="1"/>
  <c r="D2498" i="1"/>
  <c r="M2498" i="1" s="1"/>
  <c r="D631" i="1" l="1"/>
  <c r="M631" i="1" s="1"/>
  <c r="O631" i="1"/>
  <c r="P631" i="1" s="1"/>
  <c r="C632" i="1"/>
  <c r="L631" i="1"/>
  <c r="I2504" i="1"/>
  <c r="J2504" i="1"/>
  <c r="J2505" i="1"/>
  <c r="I2505" i="1"/>
  <c r="A125" i="10"/>
  <c r="B124" i="10" s="1"/>
  <c r="L2499" i="1"/>
  <c r="D84" i="10"/>
  <c r="E83" i="10"/>
  <c r="O2499" i="1"/>
  <c r="C2500" i="1"/>
  <c r="D2499" i="1"/>
  <c r="M2499" i="1" s="1"/>
  <c r="O632" i="1" l="1"/>
  <c r="P632" i="1" s="1"/>
  <c r="D632" i="1"/>
  <c r="M632" i="1" s="1"/>
  <c r="C633" i="1"/>
  <c r="L632" i="1"/>
  <c r="J2510" i="1"/>
  <c r="J2511" i="1" s="1"/>
  <c r="J2515" i="1" s="1"/>
  <c r="J2523" i="1"/>
  <c r="J2524" i="1" s="1"/>
  <c r="I2510" i="1"/>
  <c r="I2511" i="1" s="1"/>
  <c r="I2515" i="1" s="1"/>
  <c r="I2523" i="1"/>
  <c r="I2524" i="1" s="1"/>
  <c r="A126" i="10"/>
  <c r="B125" i="10" s="1"/>
  <c r="L2500" i="1"/>
  <c r="D85" i="10"/>
  <c r="E84" i="10"/>
  <c r="O2500" i="1"/>
  <c r="D2500" i="1"/>
  <c r="M2500" i="1" s="1"/>
  <c r="C2501" i="1"/>
  <c r="D633" i="1" l="1"/>
  <c r="M633" i="1" s="1"/>
  <c r="O633" i="1"/>
  <c r="P633" i="1" s="1"/>
  <c r="C634" i="1"/>
  <c r="L633" i="1"/>
  <c r="A127" i="10"/>
  <c r="B126" i="10" s="1"/>
  <c r="L2501" i="1"/>
  <c r="D86" i="10"/>
  <c r="E85" i="10"/>
  <c r="O2501" i="1"/>
  <c r="C2502" i="1"/>
  <c r="D2501" i="1"/>
  <c r="M2501" i="1" s="1"/>
  <c r="D634" i="1" l="1"/>
  <c r="M634" i="1" s="1"/>
  <c r="O634" i="1"/>
  <c r="P634" i="1" s="1"/>
  <c r="C635" i="1"/>
  <c r="L634" i="1"/>
  <c r="A128" i="10"/>
  <c r="B127" i="10" s="1"/>
  <c r="L2502" i="1"/>
  <c r="D87" i="10"/>
  <c r="E86" i="10"/>
  <c r="O2502" i="1"/>
  <c r="C2503" i="1"/>
  <c r="D2502" i="1"/>
  <c r="M2502" i="1" s="1"/>
  <c r="D635" i="1" l="1"/>
  <c r="M635" i="1" s="1"/>
  <c r="O635" i="1"/>
  <c r="P635" i="1" s="1"/>
  <c r="C636" i="1"/>
  <c r="L635" i="1"/>
  <c r="A129" i="10"/>
  <c r="B128" i="10" s="1"/>
  <c r="L2503" i="1"/>
  <c r="D88" i="10"/>
  <c r="E87" i="10"/>
  <c r="O2503" i="1"/>
  <c r="C2504" i="1"/>
  <c r="D2503" i="1"/>
  <c r="M2503" i="1" s="1"/>
  <c r="D636" i="1" l="1"/>
  <c r="M636" i="1" s="1"/>
  <c r="O636" i="1"/>
  <c r="P636" i="1" s="1"/>
  <c r="C637" i="1"/>
  <c r="L636" i="1"/>
  <c r="A130" i="10"/>
  <c r="B129" i="10" s="1"/>
  <c r="L2504" i="1"/>
  <c r="D89" i="10"/>
  <c r="E88" i="10"/>
  <c r="O2504" i="1"/>
  <c r="C2505" i="1"/>
  <c r="D2504" i="1"/>
  <c r="M2504" i="1" s="1"/>
  <c r="D637" i="1" l="1"/>
  <c r="M637" i="1" s="1"/>
  <c r="O637" i="1"/>
  <c r="P637" i="1" s="1"/>
  <c r="C638" i="1"/>
  <c r="L637" i="1"/>
  <c r="A131" i="10"/>
  <c r="B130" i="10" s="1"/>
  <c r="L2505" i="1"/>
  <c r="D90" i="10"/>
  <c r="E89" i="10"/>
  <c r="O2505" i="1"/>
  <c r="D2505" i="1"/>
  <c r="M2505" i="1" s="1"/>
  <c r="C2506" i="1"/>
  <c r="D638" i="1" l="1"/>
  <c r="M638" i="1" s="1"/>
  <c r="O638" i="1"/>
  <c r="P638" i="1" s="1"/>
  <c r="C639" i="1"/>
  <c r="L638" i="1"/>
  <c r="A132" i="10"/>
  <c r="B131" i="10" s="1"/>
  <c r="L2506" i="1"/>
  <c r="P2506" i="1"/>
  <c r="C132" i="10" s="1"/>
  <c r="D91" i="10"/>
  <c r="E90" i="10"/>
  <c r="P2504" i="1"/>
  <c r="C130" i="10" s="1"/>
  <c r="P2500" i="1"/>
  <c r="C126" i="10" s="1"/>
  <c r="P2498" i="1"/>
  <c r="C124" i="10" s="1"/>
  <c r="P2505" i="1"/>
  <c r="C131" i="10" s="1"/>
  <c r="P2501" i="1"/>
  <c r="C127" i="10" s="1"/>
  <c r="P2503" i="1"/>
  <c r="C129" i="10" s="1"/>
  <c r="P2502" i="1"/>
  <c r="C128" i="10" s="1"/>
  <c r="C2507" i="1"/>
  <c r="D2506" i="1"/>
  <c r="M2506" i="1" s="1"/>
  <c r="D639" i="1" l="1"/>
  <c r="M639" i="1" s="1"/>
  <c r="O639" i="1"/>
  <c r="P639" i="1" s="1"/>
  <c r="C640" i="1"/>
  <c r="L639" i="1"/>
  <c r="A133" i="10"/>
  <c r="B132" i="10" s="1"/>
  <c r="L2507" i="1"/>
  <c r="D92" i="10"/>
  <c r="E92" i="10" s="1"/>
  <c r="E91" i="10"/>
  <c r="P2499" i="1"/>
  <c r="C125" i="10" s="1"/>
  <c r="P2496" i="1"/>
  <c r="C122" i="10" s="1"/>
  <c r="P2495" i="1"/>
  <c r="C121" i="10" s="1"/>
  <c r="P2485" i="1"/>
  <c r="C111" i="10" s="1"/>
  <c r="P2497" i="1"/>
  <c r="C123" i="10" s="1"/>
  <c r="P2494" i="1"/>
  <c r="C120" i="10" s="1"/>
  <c r="P2492" i="1"/>
  <c r="C118" i="10" s="1"/>
  <c r="P2493" i="1"/>
  <c r="C119" i="10" s="1"/>
  <c r="P2490" i="1"/>
  <c r="C116" i="10" s="1"/>
  <c r="P2491" i="1"/>
  <c r="C117" i="10" s="1"/>
  <c r="P2488" i="1"/>
  <c r="C114" i="10" s="1"/>
  <c r="P2489" i="1"/>
  <c r="C115" i="10" s="1"/>
  <c r="P2486" i="1"/>
  <c r="C112" i="10" s="1"/>
  <c r="P2487" i="1"/>
  <c r="C113" i="10" s="1"/>
  <c r="O2507" i="1"/>
  <c r="C2508" i="1"/>
  <c r="D2507" i="1"/>
  <c r="M2507" i="1" s="1"/>
  <c r="D640" i="1" l="1"/>
  <c r="M640" i="1" s="1"/>
  <c r="O640" i="1"/>
  <c r="P640" i="1" s="1"/>
  <c r="C641" i="1"/>
  <c r="L640" i="1"/>
  <c r="A134" i="10"/>
  <c r="B133" i="10" s="1"/>
  <c r="L2508" i="1"/>
  <c r="P2507" i="1"/>
  <c r="C133" i="10" s="1"/>
  <c r="P2484" i="1"/>
  <c r="C110" i="10" s="1"/>
  <c r="O2508" i="1"/>
  <c r="C2509" i="1"/>
  <c r="D2508" i="1"/>
  <c r="M2508" i="1" s="1"/>
  <c r="D641" i="1" l="1"/>
  <c r="M641" i="1" s="1"/>
  <c r="O641" i="1"/>
  <c r="P641" i="1" s="1"/>
  <c r="C642" i="1"/>
  <c r="L641" i="1"/>
  <c r="A135" i="10"/>
  <c r="B134" i="10" s="1"/>
  <c r="L2509" i="1"/>
  <c r="P2508" i="1"/>
  <c r="C134" i="10" s="1"/>
  <c r="P2483" i="1"/>
  <c r="C109" i="10" s="1"/>
  <c r="P2509" i="1"/>
  <c r="C135" i="10" s="1"/>
  <c r="D2509" i="1"/>
  <c r="M2509" i="1" s="1"/>
  <c r="C2510" i="1"/>
  <c r="D642" i="1" l="1"/>
  <c r="M642" i="1" s="1"/>
  <c r="O642" i="1"/>
  <c r="P642" i="1" s="1"/>
  <c r="C643" i="1"/>
  <c r="L642" i="1"/>
  <c r="I643" i="1"/>
  <c r="A136" i="10"/>
  <c r="B135" i="10" s="1"/>
  <c r="L2510" i="1"/>
  <c r="P2472" i="1"/>
  <c r="C98" i="10" s="1"/>
  <c r="P2480" i="1"/>
  <c r="C106" i="10" s="1"/>
  <c r="P2476" i="1"/>
  <c r="C102" i="10" s="1"/>
  <c r="P2482" i="1"/>
  <c r="C108" i="10" s="1"/>
  <c r="P2477" i="1"/>
  <c r="C103" i="10" s="1"/>
  <c r="P2469" i="1"/>
  <c r="C95" i="10" s="1"/>
  <c r="P2468" i="1"/>
  <c r="P2478" i="1"/>
  <c r="C104" i="10" s="1"/>
  <c r="P2481" i="1"/>
  <c r="C107" i="10" s="1"/>
  <c r="P2475" i="1"/>
  <c r="C101" i="10" s="1"/>
  <c r="P2479" i="1"/>
  <c r="C105" i="10" s="1"/>
  <c r="P2473" i="1"/>
  <c r="C99" i="10" s="1"/>
  <c r="P2471" i="1"/>
  <c r="C97" i="10" s="1"/>
  <c r="P2474" i="1"/>
  <c r="C100" i="10" s="1"/>
  <c r="P2470" i="1"/>
  <c r="C96" i="10" s="1"/>
  <c r="O2510" i="1"/>
  <c r="C2511" i="1"/>
  <c r="D2510" i="1"/>
  <c r="M2510" i="1" s="1"/>
  <c r="D643" i="1" l="1"/>
  <c r="M643" i="1" s="1"/>
  <c r="O643" i="1"/>
  <c r="P643" i="1" s="1"/>
  <c r="C644" i="1"/>
  <c r="L643" i="1"/>
  <c r="J643" i="1"/>
  <c r="I644" i="1"/>
  <c r="A137" i="10"/>
  <c r="B136" i="10" s="1"/>
  <c r="L2511" i="1"/>
  <c r="D93" i="10"/>
  <c r="E93" i="10" s="1"/>
  <c r="C94" i="10"/>
  <c r="P2510" i="1"/>
  <c r="C136" i="10" s="1"/>
  <c r="O2511" i="1"/>
  <c r="C2512" i="1"/>
  <c r="D2511" i="1"/>
  <c r="M2511" i="1" s="1"/>
  <c r="D644" i="1" l="1"/>
  <c r="M644" i="1" s="1"/>
  <c r="C645" i="1"/>
  <c r="L644" i="1"/>
  <c r="J644" i="1"/>
  <c r="J646" i="1" s="1"/>
  <c r="J648" i="1" s="1"/>
  <c r="J650" i="1" s="1"/>
  <c r="I646" i="1"/>
  <c r="I648" i="1" s="1"/>
  <c r="I650" i="1" s="1"/>
  <c r="A138" i="10"/>
  <c r="B137" i="10" s="1"/>
  <c r="L2512" i="1"/>
  <c r="D94" i="10"/>
  <c r="E94" i="10" s="1"/>
  <c r="P2511" i="1"/>
  <c r="C137" i="10" s="1"/>
  <c r="O2512" i="1"/>
  <c r="C2513" i="1"/>
  <c r="D2512" i="1"/>
  <c r="M2512" i="1" s="1"/>
  <c r="C646" i="1" l="1"/>
  <c r="D645" i="1"/>
  <c r="M645" i="1" s="1"/>
  <c r="O645" i="1"/>
  <c r="P645" i="1" s="1"/>
  <c r="L645" i="1"/>
  <c r="A139" i="10"/>
  <c r="B138" i="10" s="1"/>
  <c r="L2513" i="1"/>
  <c r="D95" i="10"/>
  <c r="E95" i="10" s="1"/>
  <c r="O2513" i="1"/>
  <c r="D2513" i="1"/>
  <c r="M2513" i="1" s="1"/>
  <c r="C2514" i="1"/>
  <c r="D646" i="1" l="1"/>
  <c r="M646" i="1" s="1"/>
  <c r="O646" i="1"/>
  <c r="P646" i="1" s="1"/>
  <c r="C647" i="1"/>
  <c r="L646" i="1"/>
  <c r="A140" i="10"/>
  <c r="B139" i="10" s="1"/>
  <c r="L2514" i="1"/>
  <c r="D96" i="10"/>
  <c r="E96" i="10" s="1"/>
  <c r="O2514" i="1"/>
  <c r="C2515" i="1"/>
  <c r="D2514" i="1"/>
  <c r="M2514" i="1" s="1"/>
  <c r="C648" i="1" l="1"/>
  <c r="D647" i="1"/>
  <c r="M647" i="1" s="1"/>
  <c r="L647" i="1"/>
  <c r="A141" i="10"/>
  <c r="B140" i="10" s="1"/>
  <c r="L2515" i="1"/>
  <c r="D97" i="10"/>
  <c r="E97" i="10" s="1"/>
  <c r="O2515" i="1"/>
  <c r="C2516" i="1"/>
  <c r="D2515" i="1"/>
  <c r="M2515" i="1" s="1"/>
  <c r="D648" i="1" l="1"/>
  <c r="M648" i="1" s="1"/>
  <c r="O648" i="1"/>
  <c r="P648" i="1" s="1"/>
  <c r="C649" i="1"/>
  <c r="L648" i="1"/>
  <c r="A142" i="10"/>
  <c r="B141" i="10" s="1"/>
  <c r="L2516" i="1"/>
  <c r="D98" i="10"/>
  <c r="E98" i="10" s="1"/>
  <c r="O2516" i="1"/>
  <c r="C2517" i="1"/>
  <c r="D2516" i="1"/>
  <c r="M2516" i="1" s="1"/>
  <c r="O649" i="1" l="1"/>
  <c r="P649" i="1" s="1"/>
  <c r="C650" i="1"/>
  <c r="D649" i="1"/>
  <c r="M649" i="1" s="1"/>
  <c r="L649" i="1"/>
  <c r="A143" i="10"/>
  <c r="B142" i="10" s="1"/>
  <c r="L2517" i="1"/>
  <c r="D99" i="10"/>
  <c r="E99" i="10" s="1"/>
  <c r="O2517" i="1"/>
  <c r="D2517" i="1"/>
  <c r="M2517" i="1" s="1"/>
  <c r="C2518" i="1"/>
  <c r="D650" i="1" l="1"/>
  <c r="M650" i="1" s="1"/>
  <c r="O650" i="1"/>
  <c r="P650" i="1" s="1"/>
  <c r="C651" i="1"/>
  <c r="L650" i="1"/>
  <c r="A144" i="10"/>
  <c r="B143" i="10" s="1"/>
  <c r="L2518" i="1"/>
  <c r="D100" i="10"/>
  <c r="E100" i="10" s="1"/>
  <c r="O2518" i="1"/>
  <c r="C2519" i="1"/>
  <c r="D2518" i="1"/>
  <c r="M2518" i="1" s="1"/>
  <c r="D651" i="1" l="1"/>
  <c r="M651" i="1" s="1"/>
  <c r="O651" i="1"/>
  <c r="P651" i="1" s="1"/>
  <c r="C652" i="1"/>
  <c r="L651" i="1"/>
  <c r="A145" i="10"/>
  <c r="B144" i="10" s="1"/>
  <c r="L2519" i="1"/>
  <c r="D101" i="10"/>
  <c r="E101" i="10" s="1"/>
  <c r="O2519" i="1"/>
  <c r="C2520" i="1"/>
  <c r="D2519" i="1"/>
  <c r="M2519" i="1" s="1"/>
  <c r="C653" i="1" l="1"/>
  <c r="D652" i="1"/>
  <c r="M652" i="1" s="1"/>
  <c r="O652" i="1"/>
  <c r="P652" i="1" s="1"/>
  <c r="L652" i="1"/>
  <c r="A146" i="10"/>
  <c r="B145" i="10" s="1"/>
  <c r="L2520" i="1"/>
  <c r="D102" i="10"/>
  <c r="E102" i="10" s="1"/>
  <c r="O2520" i="1"/>
  <c r="C2521" i="1"/>
  <c r="D2520" i="1"/>
  <c r="M2520" i="1" s="1"/>
  <c r="D653" i="1" l="1"/>
  <c r="M653" i="1" s="1"/>
  <c r="O653" i="1"/>
  <c r="P653" i="1" s="1"/>
  <c r="C654" i="1"/>
  <c r="L653" i="1"/>
  <c r="A147" i="10"/>
  <c r="B146" i="10" s="1"/>
  <c r="L2521" i="1"/>
  <c r="D103" i="10"/>
  <c r="E103" i="10" s="1"/>
  <c r="O2521" i="1"/>
  <c r="D2521" i="1"/>
  <c r="M2521" i="1" s="1"/>
  <c r="C2522" i="1"/>
  <c r="D654" i="1" l="1"/>
  <c r="M654" i="1" s="1"/>
  <c r="O654" i="1"/>
  <c r="P654" i="1" s="1"/>
  <c r="C655" i="1"/>
  <c r="L654" i="1"/>
  <c r="A148" i="10"/>
  <c r="B147" i="10" s="1"/>
  <c r="L2522" i="1"/>
  <c r="D104" i="10"/>
  <c r="E104" i="10" s="1"/>
  <c r="O2522" i="1"/>
  <c r="C2523" i="1"/>
  <c r="D2522" i="1"/>
  <c r="M2522" i="1" s="1"/>
  <c r="D655" i="1" l="1"/>
  <c r="M655" i="1" s="1"/>
  <c r="O655" i="1"/>
  <c r="P655" i="1" s="1"/>
  <c r="C656" i="1"/>
  <c r="L655" i="1"/>
  <c r="A149" i="10"/>
  <c r="B148" i="10" s="1"/>
  <c r="L2523" i="1"/>
  <c r="D105" i="10"/>
  <c r="E105" i="10" s="1"/>
  <c r="O2523" i="1"/>
  <c r="C2524" i="1"/>
  <c r="D2523" i="1"/>
  <c r="M2523" i="1" s="1"/>
  <c r="D656" i="1" l="1"/>
  <c r="M656" i="1" s="1"/>
  <c r="C657" i="1"/>
  <c r="O656" i="1"/>
  <c r="P656" i="1" s="1"/>
  <c r="L656" i="1"/>
  <c r="A150" i="10"/>
  <c r="B149" i="10" s="1"/>
  <c r="L2524" i="1"/>
  <c r="D106" i="10"/>
  <c r="E106" i="10" s="1"/>
  <c r="O2524" i="1"/>
  <c r="C2525" i="1"/>
  <c r="D2524" i="1"/>
  <c r="M2524" i="1" s="1"/>
  <c r="D657" i="1" l="1"/>
  <c r="M657" i="1" s="1"/>
  <c r="O657" i="1"/>
  <c r="P657" i="1" s="1"/>
  <c r="C658" i="1"/>
  <c r="L657" i="1"/>
  <c r="A151" i="10"/>
  <c r="B150" i="10" s="1"/>
  <c r="L2525" i="1"/>
  <c r="D107" i="10"/>
  <c r="E107" i="10" s="1"/>
  <c r="O2525" i="1"/>
  <c r="D2525" i="1"/>
  <c r="M2525" i="1" s="1"/>
  <c r="C2526" i="1"/>
  <c r="D658" i="1" l="1"/>
  <c r="M658" i="1" s="1"/>
  <c r="O658" i="1"/>
  <c r="P658" i="1" s="1"/>
  <c r="C659" i="1"/>
  <c r="L658" i="1"/>
  <c r="A152" i="10"/>
  <c r="B151" i="10" s="1"/>
  <c r="L2526" i="1"/>
  <c r="D108" i="10"/>
  <c r="E108" i="10" s="1"/>
  <c r="O2526" i="1"/>
  <c r="C2527" i="1"/>
  <c r="D2526" i="1"/>
  <c r="M2526" i="1" s="1"/>
  <c r="D659" i="1" l="1"/>
  <c r="M659" i="1" s="1"/>
  <c r="O659" i="1"/>
  <c r="P659" i="1" s="1"/>
  <c r="C660" i="1"/>
  <c r="L659" i="1"/>
  <c r="A153" i="10"/>
  <c r="B152" i="10" s="1"/>
  <c r="L2527" i="1"/>
  <c r="D109" i="10"/>
  <c r="E109" i="10" s="1"/>
  <c r="O2527" i="1"/>
  <c r="C2528" i="1"/>
  <c r="D2527" i="1"/>
  <c r="M2527" i="1" s="1"/>
  <c r="D660" i="1" l="1"/>
  <c r="M660" i="1" s="1"/>
  <c r="O660" i="1"/>
  <c r="P660" i="1" s="1"/>
  <c r="C661" i="1"/>
  <c r="L660" i="1"/>
  <c r="A154" i="10"/>
  <c r="B153" i="10" s="1"/>
  <c r="L2528" i="1"/>
  <c r="D110" i="10"/>
  <c r="E110" i="10" s="1"/>
  <c r="O2528" i="1"/>
  <c r="C2529" i="1"/>
  <c r="I2530" i="1" s="1"/>
  <c r="D2528" i="1"/>
  <c r="M2528" i="1" s="1"/>
  <c r="D661" i="1" l="1"/>
  <c r="M661" i="1" s="1"/>
  <c r="C662" i="1"/>
  <c r="O661" i="1"/>
  <c r="P661" i="1" s="1"/>
  <c r="L661" i="1"/>
  <c r="J2530" i="1"/>
  <c r="I2531" i="1"/>
  <c r="I2540" i="1"/>
  <c r="I2535" i="1"/>
  <c r="A155" i="10"/>
  <c r="B154" i="10" s="1"/>
  <c r="L2529" i="1"/>
  <c r="D111" i="10"/>
  <c r="E111" i="10" s="1"/>
  <c r="O2529" i="1"/>
  <c r="C2530" i="1"/>
  <c r="D2529" i="1"/>
  <c r="M2529" i="1" s="1"/>
  <c r="D662" i="1" l="1"/>
  <c r="M662" i="1" s="1"/>
  <c r="O662" i="1"/>
  <c r="P662" i="1" s="1"/>
  <c r="C663" i="1"/>
  <c r="L662" i="1"/>
  <c r="J2540" i="1"/>
  <c r="J2541" i="1" s="1"/>
  <c r="J2535" i="1"/>
  <c r="I2533" i="1"/>
  <c r="I2549" i="1" s="1"/>
  <c r="I2550" i="1" s="1"/>
  <c r="J2531" i="1"/>
  <c r="Q7" i="5"/>
  <c r="I2541" i="1"/>
  <c r="A156" i="10"/>
  <c r="B155" i="10" s="1"/>
  <c r="L2530" i="1"/>
  <c r="D112" i="10"/>
  <c r="E112" i="10" s="1"/>
  <c r="O2530" i="1"/>
  <c r="C2531" i="1"/>
  <c r="D2530" i="1"/>
  <c r="M2530" i="1" s="1"/>
  <c r="D663" i="1" l="1"/>
  <c r="M663" i="1" s="1"/>
  <c r="O663" i="1"/>
  <c r="P663" i="1" s="1"/>
  <c r="C664" i="1"/>
  <c r="L663" i="1"/>
  <c r="J2533" i="1"/>
  <c r="J2536" i="1" s="1"/>
  <c r="J2537" i="1" s="1"/>
  <c r="J2546" i="1" s="1"/>
  <c r="I2542" i="1"/>
  <c r="I2543" i="1" s="1"/>
  <c r="I2545" i="1" s="1"/>
  <c r="I2536" i="1"/>
  <c r="I2537" i="1" s="1"/>
  <c r="I2546" i="1" s="1"/>
  <c r="A157" i="10"/>
  <c r="B156" i="10" s="1"/>
  <c r="L2531" i="1"/>
  <c r="P6" i="5"/>
  <c r="S6" i="5" s="1"/>
  <c r="D113" i="10"/>
  <c r="E113" i="10" s="1"/>
  <c r="O2531" i="1"/>
  <c r="C2532" i="1"/>
  <c r="D2531" i="1"/>
  <c r="M2531" i="1" s="1"/>
  <c r="D664" i="1" l="1"/>
  <c r="M664" i="1" s="1"/>
  <c r="O664" i="1"/>
  <c r="P664" i="1" s="1"/>
  <c r="C665" i="1"/>
  <c r="L664" i="1"/>
  <c r="J2542" i="1"/>
  <c r="J2543" i="1" s="1"/>
  <c r="J2545" i="1" s="1"/>
  <c r="J2547" i="1" s="1"/>
  <c r="J2549" i="1"/>
  <c r="J2550" i="1" s="1"/>
  <c r="I2547" i="1"/>
  <c r="A158" i="10"/>
  <c r="B157" i="10" s="1"/>
  <c r="L2532" i="1"/>
  <c r="D114" i="10"/>
  <c r="E114" i="10" s="1"/>
  <c r="O2532" i="1"/>
  <c r="C2533" i="1"/>
  <c r="D2532" i="1"/>
  <c r="M2532" i="1" s="1"/>
  <c r="D665" i="1" l="1"/>
  <c r="M665" i="1" s="1"/>
  <c r="O665" i="1"/>
  <c r="P665" i="1" s="1"/>
  <c r="C666" i="1"/>
  <c r="L665" i="1"/>
  <c r="B2529" i="1"/>
  <c r="B2558" i="1"/>
  <c r="B2559" i="1" s="1"/>
  <c r="B2543" i="1"/>
  <c r="B2542" i="1"/>
  <c r="B2539" i="1"/>
  <c r="B2551" i="1"/>
  <c r="B2537" i="1"/>
  <c r="B2535" i="1"/>
  <c r="B2557" i="1"/>
  <c r="B2531" i="1"/>
  <c r="B2530" i="1"/>
  <c r="B2547" i="1"/>
  <c r="B2556" i="1"/>
  <c r="B2546" i="1"/>
  <c r="B2545" i="1"/>
  <c r="B2555" i="1"/>
  <c r="B2554" i="1"/>
  <c r="B2552" i="1"/>
  <c r="B2550" i="1"/>
  <c r="B2549" i="1"/>
  <c r="B2548" i="1"/>
  <c r="B2544" i="1"/>
  <c r="B2536" i="1"/>
  <c r="B2534" i="1"/>
  <c r="B2533" i="1"/>
  <c r="B2532" i="1"/>
  <c r="B2553" i="1"/>
  <c r="B2541" i="1"/>
  <c r="B2540" i="1"/>
  <c r="B2538" i="1"/>
  <c r="A2529" i="1"/>
  <c r="A2533" i="1"/>
  <c r="A2557" i="1"/>
  <c r="A2545" i="1"/>
  <c r="A2542" i="1"/>
  <c r="A2541" i="1"/>
  <c r="A2551" i="1"/>
  <c r="A2539" i="1"/>
  <c r="A2537" i="1"/>
  <c r="A2530" i="1"/>
  <c r="A2548" i="1"/>
  <c r="A2547" i="1"/>
  <c r="A2546" i="1"/>
  <c r="A2558" i="1"/>
  <c r="A2559" i="1" s="1"/>
  <c r="A2543" i="1"/>
  <c r="A2540" i="1"/>
  <c r="A2538" i="1"/>
  <c r="A2556" i="1"/>
  <c r="A2555" i="1"/>
  <c r="A2554" i="1"/>
  <c r="A2553" i="1"/>
  <c r="A2552" i="1"/>
  <c r="A2544" i="1"/>
  <c r="A2550" i="1"/>
  <c r="A2549" i="1"/>
  <c r="A2535" i="1"/>
  <c r="A2536" i="1"/>
  <c r="A2534" i="1"/>
  <c r="A2532" i="1"/>
  <c r="A2531" i="1"/>
  <c r="A159" i="10"/>
  <c r="B158" i="10" s="1"/>
  <c r="L2533" i="1"/>
  <c r="D115" i="10"/>
  <c r="E115" i="10" s="1"/>
  <c r="O2533" i="1"/>
  <c r="D2533" i="1"/>
  <c r="M2533" i="1" s="1"/>
  <c r="C2534" i="1"/>
  <c r="D666" i="1" l="1"/>
  <c r="M666" i="1" s="1"/>
  <c r="O666" i="1"/>
  <c r="P666" i="1" s="1"/>
  <c r="C667" i="1"/>
  <c r="L666" i="1"/>
  <c r="B2560" i="1"/>
  <c r="P2529" i="1"/>
  <c r="C155" i="10" s="1"/>
  <c r="A2560" i="1"/>
  <c r="A160" i="10"/>
  <c r="B159" i="10" s="1"/>
  <c r="L2534" i="1"/>
  <c r="D116" i="10"/>
  <c r="E116" i="10" s="1"/>
  <c r="O2534" i="1"/>
  <c r="C2535" i="1"/>
  <c r="D2534" i="1"/>
  <c r="M2534" i="1" s="1"/>
  <c r="O667" i="1" l="1"/>
  <c r="P667" i="1" s="1"/>
  <c r="D667" i="1"/>
  <c r="M667" i="1" s="1"/>
  <c r="C668" i="1"/>
  <c r="L667" i="1"/>
  <c r="B2561" i="1"/>
  <c r="A2561" i="1"/>
  <c r="A161" i="10"/>
  <c r="B160" i="10" s="1"/>
  <c r="L2535" i="1"/>
  <c r="D117" i="10"/>
  <c r="O2535" i="1"/>
  <c r="C2536" i="1"/>
  <c r="D2535" i="1"/>
  <c r="M2535" i="1" s="1"/>
  <c r="D668" i="1" l="1"/>
  <c r="M668" i="1" s="1"/>
  <c r="O668" i="1"/>
  <c r="P668" i="1" s="1"/>
  <c r="C669" i="1"/>
  <c r="L668" i="1"/>
  <c r="B2562" i="1"/>
  <c r="A2562" i="1"/>
  <c r="A162" i="10"/>
  <c r="B161" i="10" s="1"/>
  <c r="L2536" i="1"/>
  <c r="E117" i="10"/>
  <c r="D118" i="10"/>
  <c r="E118" i="10" s="1"/>
  <c r="O2536" i="1"/>
  <c r="C2537" i="1"/>
  <c r="D2536" i="1"/>
  <c r="M2536" i="1" s="1"/>
  <c r="D669" i="1" l="1"/>
  <c r="M669" i="1" s="1"/>
  <c r="O669" i="1"/>
  <c r="P669" i="1" s="1"/>
  <c r="C670" i="1"/>
  <c r="L669" i="1"/>
  <c r="B2563" i="1"/>
  <c r="A2563" i="1"/>
  <c r="A163" i="10"/>
  <c r="B162" i="10" s="1"/>
  <c r="L2537" i="1"/>
  <c r="D119" i="10"/>
  <c r="E119" i="10" s="1"/>
  <c r="P2534" i="1"/>
  <c r="C160" i="10" s="1"/>
  <c r="P2530" i="1"/>
  <c r="C156" i="10" s="1"/>
  <c r="P2535" i="1"/>
  <c r="C161" i="10" s="1"/>
  <c r="P2533" i="1"/>
  <c r="C159" i="10" s="1"/>
  <c r="P2531" i="1"/>
  <c r="C157" i="10" s="1"/>
  <c r="P2532" i="1"/>
  <c r="C158" i="10" s="1"/>
  <c r="P2536" i="1"/>
  <c r="C162" i="10" s="1"/>
  <c r="O2537" i="1"/>
  <c r="C2538" i="1"/>
  <c r="D2537" i="1"/>
  <c r="M2537" i="1" s="1"/>
  <c r="D670" i="1" l="1"/>
  <c r="M670" i="1" s="1"/>
  <c r="O670" i="1"/>
  <c r="P670" i="1" s="1"/>
  <c r="C671" i="1"/>
  <c r="L670" i="1"/>
  <c r="B2564" i="1"/>
  <c r="A2564" i="1"/>
  <c r="A164" i="10"/>
  <c r="B163" i="10" s="1"/>
  <c r="L2538" i="1"/>
  <c r="D120" i="10"/>
  <c r="E120" i="10" s="1"/>
  <c r="P2537" i="1"/>
  <c r="C163" i="10" s="1"/>
  <c r="P2538" i="1"/>
  <c r="C164" i="10" s="1"/>
  <c r="C2539" i="1"/>
  <c r="D2538" i="1"/>
  <c r="M2538" i="1" s="1"/>
  <c r="D671" i="1" l="1"/>
  <c r="M671" i="1" s="1"/>
  <c r="O671" i="1"/>
  <c r="P671" i="1" s="1"/>
  <c r="C672" i="1"/>
  <c r="L671" i="1"/>
  <c r="B2565" i="1"/>
  <c r="A2565" i="1"/>
  <c r="A165" i="10"/>
  <c r="B164" i="10" s="1"/>
  <c r="L2539" i="1"/>
  <c r="D121" i="10"/>
  <c r="E121" i="10" s="1"/>
  <c r="P2539" i="1"/>
  <c r="C165" i="10" s="1"/>
  <c r="C2540" i="1"/>
  <c r="D2539" i="1"/>
  <c r="M2539" i="1" s="1"/>
  <c r="D672" i="1" l="1"/>
  <c r="M672" i="1" s="1"/>
  <c r="C673" i="1"/>
  <c r="O672" i="1"/>
  <c r="P672" i="1" s="1"/>
  <c r="L672" i="1"/>
  <c r="I673" i="1"/>
  <c r="B2566" i="1"/>
  <c r="A2566" i="1"/>
  <c r="A166" i="10"/>
  <c r="B165" i="10" s="1"/>
  <c r="L2540" i="1"/>
  <c r="D122" i="10"/>
  <c r="E122" i="10" s="1"/>
  <c r="O2540" i="1"/>
  <c r="D2540" i="1"/>
  <c r="M2540" i="1" s="1"/>
  <c r="C2541" i="1"/>
  <c r="D673" i="1" l="1"/>
  <c r="M673" i="1" s="1"/>
  <c r="O673" i="1"/>
  <c r="P673" i="1" s="1"/>
  <c r="C674" i="1"/>
  <c r="L673" i="1"/>
  <c r="J673" i="1"/>
  <c r="I674" i="1"/>
  <c r="B2567" i="1"/>
  <c r="A2567" i="1"/>
  <c r="I2570" i="1"/>
  <c r="A167" i="10"/>
  <c r="B166" i="10" s="1"/>
  <c r="L2541" i="1"/>
  <c r="D123" i="10"/>
  <c r="E123" i="10" s="1"/>
  <c r="P2540" i="1"/>
  <c r="C166" i="10" s="1"/>
  <c r="O2541" i="1"/>
  <c r="C2542" i="1"/>
  <c r="D2541" i="1"/>
  <c r="M2541" i="1" s="1"/>
  <c r="D674" i="1" l="1"/>
  <c r="M674" i="1" s="1"/>
  <c r="O674" i="1"/>
  <c r="P674" i="1" s="1"/>
  <c r="C675" i="1"/>
  <c r="L674" i="1"/>
  <c r="J674" i="1"/>
  <c r="J676" i="1" s="1"/>
  <c r="J678" i="1" s="1"/>
  <c r="J680" i="1" s="1"/>
  <c r="I676" i="1"/>
  <c r="I678" i="1" s="1"/>
  <c r="I680" i="1" s="1"/>
  <c r="J2570" i="1"/>
  <c r="J2577" i="1"/>
  <c r="I2577" i="1"/>
  <c r="A168" i="10"/>
  <c r="B167" i="10" s="1"/>
  <c r="L2542" i="1"/>
  <c r="D124" i="10"/>
  <c r="E124" i="10" s="1"/>
  <c r="P2541" i="1"/>
  <c r="C167" i="10" s="1"/>
  <c r="O2542" i="1"/>
  <c r="C2543" i="1"/>
  <c r="D2542" i="1"/>
  <c r="M2542" i="1" s="1"/>
  <c r="C676" i="1" l="1"/>
  <c r="D675" i="1"/>
  <c r="M675" i="1" s="1"/>
  <c r="O675" i="1"/>
  <c r="P675" i="1" s="1"/>
  <c r="L675" i="1"/>
  <c r="A169" i="10"/>
  <c r="B168" i="10" s="1"/>
  <c r="L2543" i="1"/>
  <c r="D125" i="10"/>
  <c r="E125" i="10" s="1"/>
  <c r="P2542" i="1"/>
  <c r="C168" i="10" s="1"/>
  <c r="O2543" i="1"/>
  <c r="C2544" i="1"/>
  <c r="D2543" i="1"/>
  <c r="M2543" i="1" s="1"/>
  <c r="D676" i="1" l="1"/>
  <c r="M676" i="1" s="1"/>
  <c r="O676" i="1"/>
  <c r="P676" i="1" s="1"/>
  <c r="C677" i="1"/>
  <c r="L676" i="1"/>
  <c r="A170" i="10"/>
  <c r="B169" i="10" s="1"/>
  <c r="L2544" i="1"/>
  <c r="D126" i="10"/>
  <c r="E126" i="10" s="1"/>
  <c r="P2543" i="1"/>
  <c r="C169" i="10" s="1"/>
  <c r="O2544" i="1"/>
  <c r="C2545" i="1"/>
  <c r="D2544" i="1"/>
  <c r="M2544" i="1" s="1"/>
  <c r="D677" i="1" l="1"/>
  <c r="M677" i="1" s="1"/>
  <c r="O677" i="1"/>
  <c r="P677" i="1" s="1"/>
  <c r="C678" i="1"/>
  <c r="L677" i="1"/>
  <c r="A171" i="10"/>
  <c r="B170" i="10" s="1"/>
  <c r="L2545" i="1"/>
  <c r="D127" i="10"/>
  <c r="E127" i="10" s="1"/>
  <c r="P2544" i="1"/>
  <c r="C170" i="10" s="1"/>
  <c r="O2545" i="1"/>
  <c r="D2545" i="1"/>
  <c r="M2545" i="1" s="1"/>
  <c r="C2546" i="1"/>
  <c r="D678" i="1" l="1"/>
  <c r="M678" i="1" s="1"/>
  <c r="O678" i="1"/>
  <c r="P678" i="1" s="1"/>
  <c r="C679" i="1"/>
  <c r="L678" i="1"/>
  <c r="A172" i="10"/>
  <c r="B171" i="10" s="1"/>
  <c r="L2546" i="1"/>
  <c r="D128" i="10"/>
  <c r="E128" i="10" s="1"/>
  <c r="P2545" i="1"/>
  <c r="C171" i="10" s="1"/>
  <c r="O2546" i="1"/>
  <c r="C2547" i="1"/>
  <c r="D2546" i="1"/>
  <c r="M2546" i="1" s="1"/>
  <c r="C680" i="1" l="1"/>
  <c r="D679" i="1"/>
  <c r="M679" i="1" s="1"/>
  <c r="L679" i="1"/>
  <c r="A173" i="10"/>
  <c r="B172" i="10" s="1"/>
  <c r="L2547" i="1"/>
  <c r="D129" i="10"/>
  <c r="E129" i="10" s="1"/>
  <c r="P2546" i="1"/>
  <c r="C172" i="10" s="1"/>
  <c r="O2547" i="1"/>
  <c r="D2547" i="1"/>
  <c r="M2547" i="1" s="1"/>
  <c r="C2548" i="1"/>
  <c r="D680" i="1" l="1"/>
  <c r="M680" i="1" s="1"/>
  <c r="O680" i="1"/>
  <c r="P680" i="1" s="1"/>
  <c r="C681" i="1"/>
  <c r="L680" i="1"/>
  <c r="A174" i="10"/>
  <c r="B173" i="10" s="1"/>
  <c r="L2548" i="1"/>
  <c r="D130" i="10"/>
  <c r="E130" i="10" s="1"/>
  <c r="P2547" i="1"/>
  <c r="C173" i="10" s="1"/>
  <c r="O2548" i="1"/>
  <c r="C2549" i="1"/>
  <c r="D2548" i="1"/>
  <c r="M2548" i="1" s="1"/>
  <c r="D681" i="1" l="1"/>
  <c r="M681" i="1" s="1"/>
  <c r="O681" i="1"/>
  <c r="P681" i="1" s="1"/>
  <c r="C682" i="1"/>
  <c r="L681" i="1"/>
  <c r="A175" i="10"/>
  <c r="B174" i="10" s="1"/>
  <c r="L2549" i="1"/>
  <c r="D131" i="10"/>
  <c r="E131" i="10" s="1"/>
  <c r="P2548" i="1"/>
  <c r="C174" i="10" s="1"/>
  <c r="O2549" i="1"/>
  <c r="C2550" i="1"/>
  <c r="D2549" i="1"/>
  <c r="M2549" i="1" s="1"/>
  <c r="C683" i="1" l="1"/>
  <c r="D682" i="1"/>
  <c r="M682" i="1" s="1"/>
  <c r="L682" i="1"/>
  <c r="A176" i="10"/>
  <c r="B175" i="10" s="1"/>
  <c r="L2550" i="1"/>
  <c r="D132" i="10"/>
  <c r="E132" i="10" s="1"/>
  <c r="P2549" i="1"/>
  <c r="C175" i="10" s="1"/>
  <c r="O2550" i="1"/>
  <c r="D2550" i="1"/>
  <c r="M2550" i="1" s="1"/>
  <c r="C2551" i="1"/>
  <c r="D683" i="1" l="1"/>
  <c r="M683" i="1" s="1"/>
  <c r="O683" i="1"/>
  <c r="P683" i="1" s="1"/>
  <c r="C684" i="1"/>
  <c r="L683" i="1"/>
  <c r="A177" i="10"/>
  <c r="B176" i="10" s="1"/>
  <c r="L2551" i="1"/>
  <c r="D133" i="10"/>
  <c r="E133" i="10" s="1"/>
  <c r="P2550" i="1"/>
  <c r="C176" i="10" s="1"/>
  <c r="O2551" i="1"/>
  <c r="C2552" i="1"/>
  <c r="D2551" i="1"/>
  <c r="M2551" i="1" s="1"/>
  <c r="D684" i="1" l="1"/>
  <c r="M684" i="1" s="1"/>
  <c r="O684" i="1"/>
  <c r="P684" i="1" s="1"/>
  <c r="C685" i="1"/>
  <c r="L684" i="1"/>
  <c r="A178" i="10"/>
  <c r="B177" i="10" s="1"/>
  <c r="L2552" i="1"/>
  <c r="D134" i="10"/>
  <c r="E134" i="10" s="1"/>
  <c r="P2551" i="1"/>
  <c r="C177" i="10" s="1"/>
  <c r="O2552" i="1"/>
  <c r="C2553" i="1"/>
  <c r="D2552" i="1"/>
  <c r="M2552" i="1" s="1"/>
  <c r="D685" i="1" l="1"/>
  <c r="M685" i="1" s="1"/>
  <c r="C686" i="1"/>
  <c r="O685" i="1"/>
  <c r="P685" i="1" s="1"/>
  <c r="L685" i="1"/>
  <c r="A179" i="10"/>
  <c r="B178" i="10" s="1"/>
  <c r="L2553" i="1"/>
  <c r="D135" i="10"/>
  <c r="E135" i="10" s="1"/>
  <c r="P2552" i="1"/>
  <c r="C178" i="10" s="1"/>
  <c r="P2553" i="1"/>
  <c r="C179" i="10" s="1"/>
  <c r="C2554" i="1"/>
  <c r="D2553" i="1"/>
  <c r="M2553" i="1" s="1"/>
  <c r="D686" i="1" l="1"/>
  <c r="M686" i="1" s="1"/>
  <c r="O686" i="1"/>
  <c r="P686" i="1" s="1"/>
  <c r="C687" i="1"/>
  <c r="L686" i="1"/>
  <c r="A180" i="10"/>
  <c r="B179" i="10" s="1"/>
  <c r="L2554" i="1"/>
  <c r="D136" i="10"/>
  <c r="E136" i="10" s="1"/>
  <c r="P2554" i="1"/>
  <c r="C180" i="10" s="1"/>
  <c r="D2554" i="1"/>
  <c r="M2554" i="1" s="1"/>
  <c r="C2555" i="1"/>
  <c r="D687" i="1" l="1"/>
  <c r="M687" i="1" s="1"/>
  <c r="C688" i="1"/>
  <c r="O687" i="1"/>
  <c r="P687" i="1" s="1"/>
  <c r="L687" i="1"/>
  <c r="A181" i="10"/>
  <c r="B180" i="10" s="1"/>
  <c r="L2555" i="1"/>
  <c r="D137" i="10"/>
  <c r="E137" i="10" s="1"/>
  <c r="O2555" i="1"/>
  <c r="C2556" i="1"/>
  <c r="D2555" i="1"/>
  <c r="M2555" i="1" s="1"/>
  <c r="D688" i="1" l="1"/>
  <c r="M688" i="1" s="1"/>
  <c r="O688" i="1"/>
  <c r="P688" i="1" s="1"/>
  <c r="C689" i="1"/>
  <c r="L688" i="1"/>
  <c r="A182" i="10"/>
  <c r="B181" i="10" s="1"/>
  <c r="L2556" i="1"/>
  <c r="P2555" i="1"/>
  <c r="C181" i="10" s="1"/>
  <c r="O2556" i="1"/>
  <c r="C2557" i="1"/>
  <c r="D2556" i="1"/>
  <c r="M2556" i="1" s="1"/>
  <c r="D689" i="1" l="1"/>
  <c r="M689" i="1" s="1"/>
  <c r="C690" i="1"/>
  <c r="O689" i="1"/>
  <c r="P689" i="1" s="1"/>
  <c r="L689" i="1"/>
  <c r="A183" i="10"/>
  <c r="B182" i="10" s="1"/>
  <c r="L2557" i="1"/>
  <c r="P2556" i="1"/>
  <c r="C182" i="10" s="1"/>
  <c r="O2557" i="1"/>
  <c r="D2557" i="1"/>
  <c r="M2557" i="1" s="1"/>
  <c r="C2558" i="1"/>
  <c r="D690" i="1" l="1"/>
  <c r="M690" i="1" s="1"/>
  <c r="O690" i="1"/>
  <c r="P690" i="1" s="1"/>
  <c r="C691" i="1"/>
  <c r="L690" i="1"/>
  <c r="A184" i="10"/>
  <c r="B183" i="10" s="1"/>
  <c r="L2558" i="1"/>
  <c r="P2557" i="1"/>
  <c r="C183" i="10" s="1"/>
  <c r="O2558" i="1"/>
  <c r="C2559" i="1"/>
  <c r="I2560" i="1" s="1"/>
  <c r="D2558" i="1"/>
  <c r="M2558" i="1" s="1"/>
  <c r="D691" i="1" l="1"/>
  <c r="M691" i="1" s="1"/>
  <c r="O691" i="1"/>
  <c r="P691" i="1" s="1"/>
  <c r="C692" i="1"/>
  <c r="L691" i="1"/>
  <c r="J2560" i="1"/>
  <c r="I2561" i="1"/>
  <c r="I2565" i="1" s="1"/>
  <c r="I2568" i="1"/>
  <c r="I2574" i="1"/>
  <c r="I2575" i="1" s="1"/>
  <c r="A185" i="10"/>
  <c r="B184" i="10" s="1"/>
  <c r="L2559" i="1"/>
  <c r="P2558" i="1"/>
  <c r="C184" i="10" s="1"/>
  <c r="O2559" i="1"/>
  <c r="C2560" i="1"/>
  <c r="D2559" i="1"/>
  <c r="M2559" i="1" s="1"/>
  <c r="D692" i="1" l="1"/>
  <c r="M692" i="1" s="1"/>
  <c r="O692" i="1"/>
  <c r="P692" i="1" s="1"/>
  <c r="C693" i="1"/>
  <c r="L692" i="1"/>
  <c r="J2574" i="1"/>
  <c r="J2575" i="1" s="1"/>
  <c r="J2568" i="1"/>
  <c r="I2566" i="1"/>
  <c r="I2584" i="1" s="1"/>
  <c r="J2561" i="1"/>
  <c r="J30" i="9"/>
  <c r="L2560" i="1"/>
  <c r="A186" i="10"/>
  <c r="B185" i="10" s="1"/>
  <c r="J33" i="9"/>
  <c r="P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O2560" i="1"/>
  <c r="D2560" i="1"/>
  <c r="M2560" i="1" s="1"/>
  <c r="C2561" i="1"/>
  <c r="J27" i="9"/>
  <c r="K24" i="9"/>
  <c r="K27" i="9"/>
  <c r="K30" i="9"/>
  <c r="D693" i="1" l="1"/>
  <c r="M693" i="1" s="1"/>
  <c r="O693" i="1"/>
  <c r="P693" i="1" s="1"/>
  <c r="C694" i="1"/>
  <c r="L693" i="1"/>
  <c r="I2569" i="1"/>
  <c r="I2571" i="1" s="1"/>
  <c r="I2581" i="1" s="1"/>
  <c r="J2566" i="1"/>
  <c r="J2565" i="1"/>
  <c r="I2576" i="1"/>
  <c r="A187" i="10"/>
  <c r="B186" i="10" s="1"/>
  <c r="L2561" i="1"/>
  <c r="P2560" i="1"/>
  <c r="C186" i="10" s="1"/>
  <c r="O2561" i="1"/>
  <c r="D2561" i="1"/>
  <c r="M2561" i="1" s="1"/>
  <c r="C2562" i="1"/>
  <c r="L37" i="9"/>
  <c r="L32" i="9"/>
  <c r="L30" i="9"/>
  <c r="L35" i="9"/>
  <c r="L27" i="9"/>
  <c r="L36" i="9"/>
  <c r="L34" i="9"/>
  <c r="L31" i="9"/>
  <c r="L33" i="9"/>
  <c r="D694" i="1" l="1"/>
  <c r="M694" i="1" s="1"/>
  <c r="O694" i="1"/>
  <c r="P694" i="1" s="1"/>
  <c r="C695" i="1"/>
  <c r="L694" i="1"/>
  <c r="J2569" i="1"/>
  <c r="J2571" i="1" s="1"/>
  <c r="J2581" i="1" s="1"/>
  <c r="J2576" i="1"/>
  <c r="J2578" i="1" s="1"/>
  <c r="J2580" i="1" s="1"/>
  <c r="J2584" i="1"/>
  <c r="I2578" i="1"/>
  <c r="I2580" i="1" s="1"/>
  <c r="I2582" i="1" s="1"/>
  <c r="I2585" i="1" s="1"/>
  <c r="A188" i="10"/>
  <c r="B187" i="10" s="1"/>
  <c r="L2562" i="1"/>
  <c r="P8" i="5"/>
  <c r="P2561" i="1"/>
  <c r="C187" i="10" s="1"/>
  <c r="O2562" i="1"/>
  <c r="D2562" i="1"/>
  <c r="M2562" i="1" s="1"/>
  <c r="C2563" i="1"/>
  <c r="M34" i="9"/>
  <c r="D695" i="1" l="1"/>
  <c r="M695" i="1" s="1"/>
  <c r="O695" i="1"/>
  <c r="P695" i="1" s="1"/>
  <c r="C696" i="1"/>
  <c r="L695" i="1"/>
  <c r="J2582" i="1"/>
  <c r="A2568" i="1"/>
  <c r="A2569" i="1"/>
  <c r="A2582" i="1"/>
  <c r="A2570" i="1"/>
  <c r="A2580" i="1"/>
  <c r="A2571" i="1"/>
  <c r="A2574" i="1"/>
  <c r="A2572" i="1"/>
  <c r="A2581" i="1"/>
  <c r="A2573" i="1"/>
  <c r="A2583" i="1"/>
  <c r="A2584" i="1"/>
  <c r="A2587" i="1"/>
  <c r="A2575" i="1"/>
  <c r="A2585" i="1"/>
  <c r="A2576" i="1"/>
  <c r="A2586" i="1"/>
  <c r="A2577" i="1"/>
  <c r="A2588" i="1"/>
  <c r="A2578" i="1"/>
  <c r="A2589" i="1"/>
  <c r="A2579" i="1"/>
  <c r="A189" i="10"/>
  <c r="B188" i="10" s="1"/>
  <c r="L2563" i="1"/>
  <c r="E34" i="9"/>
  <c r="D34" i="9" s="1"/>
  <c r="F34" i="9" s="1"/>
  <c r="P2562" i="1"/>
  <c r="C188" i="10" s="1"/>
  <c r="O2563" i="1"/>
  <c r="C2564" i="1"/>
  <c r="D2563" i="1"/>
  <c r="M2563" i="1" s="1"/>
  <c r="D696" i="1" l="1"/>
  <c r="M696" i="1" s="1"/>
  <c r="C697" i="1"/>
  <c r="O696" i="1"/>
  <c r="P696" i="1" s="1"/>
  <c r="L696" i="1"/>
  <c r="I2601" i="1"/>
  <c r="I2608" i="1"/>
  <c r="J2585" i="1"/>
  <c r="B2568" i="1"/>
  <c r="B2569" i="1"/>
  <c r="B2570" i="1"/>
  <c r="B2572" i="1"/>
  <c r="B2573" i="1"/>
  <c r="B2571" i="1"/>
  <c r="B2574" i="1"/>
  <c r="B2575" i="1"/>
  <c r="B2576" i="1"/>
  <c r="B2577" i="1"/>
  <c r="B2578" i="1"/>
  <c r="B2579" i="1"/>
  <c r="B2582" i="1"/>
  <c r="B2585" i="1"/>
  <c r="B2580" i="1"/>
  <c r="B2586" i="1"/>
  <c r="B2584" i="1"/>
  <c r="B2587" i="1"/>
  <c r="B2583" i="1"/>
  <c r="B2588" i="1"/>
  <c r="B2581" i="1"/>
  <c r="B2589" i="1"/>
  <c r="A190" i="10"/>
  <c r="B189" i="10" s="1"/>
  <c r="L2564" i="1"/>
  <c r="P2563" i="1"/>
  <c r="C189" i="10" s="1"/>
  <c r="O2564" i="1"/>
  <c r="C2565" i="1"/>
  <c r="D2564" i="1"/>
  <c r="M2564" i="1" s="1"/>
  <c r="D697" i="1" l="1"/>
  <c r="M697" i="1" s="1"/>
  <c r="O697" i="1"/>
  <c r="P697" i="1" s="1"/>
  <c r="C698" i="1"/>
  <c r="L697" i="1"/>
  <c r="J2608" i="1"/>
  <c r="J2601" i="1"/>
  <c r="A191" i="10"/>
  <c r="B190" i="10" s="1"/>
  <c r="L2565" i="1"/>
  <c r="P2564" i="1"/>
  <c r="C190" i="10" s="1"/>
  <c r="O2565" i="1"/>
  <c r="D2565" i="1"/>
  <c r="M2565" i="1" s="1"/>
  <c r="C2566" i="1"/>
  <c r="D698" i="1" l="1"/>
  <c r="M698" i="1" s="1"/>
  <c r="O698" i="1"/>
  <c r="P698" i="1" s="1"/>
  <c r="C699" i="1"/>
  <c r="L698" i="1"/>
  <c r="A192" i="10"/>
  <c r="B191" i="10" s="1"/>
  <c r="L2566" i="1"/>
  <c r="P2565" i="1"/>
  <c r="C191" i="10" s="1"/>
  <c r="O2566" i="1"/>
  <c r="C2567" i="1"/>
  <c r="D2566" i="1"/>
  <c r="M2566" i="1" s="1"/>
  <c r="O699" i="1" l="1"/>
  <c r="P699" i="1" s="1"/>
  <c r="D699" i="1"/>
  <c r="M699" i="1" s="1"/>
  <c r="C700" i="1"/>
  <c r="L699" i="1"/>
  <c r="A193" i="10"/>
  <c r="B192" i="10" s="1"/>
  <c r="L2567" i="1"/>
  <c r="P2566" i="1"/>
  <c r="C192" i="10" s="1"/>
  <c r="O2567" i="1"/>
  <c r="C2568" i="1"/>
  <c r="D2567" i="1"/>
  <c r="M2567" i="1" s="1"/>
  <c r="C701" i="1" l="1"/>
  <c r="O700" i="1"/>
  <c r="P700" i="1" s="1"/>
  <c r="D700" i="1"/>
  <c r="M700" i="1" s="1"/>
  <c r="L700" i="1"/>
  <c r="A194" i="10"/>
  <c r="B193" i="10" s="1"/>
  <c r="L2568" i="1"/>
  <c r="P2567" i="1"/>
  <c r="C193" i="10" s="1"/>
  <c r="O2568" i="1"/>
  <c r="C2569" i="1"/>
  <c r="D2568" i="1"/>
  <c r="M2568" i="1" s="1"/>
  <c r="C702" i="1" l="1"/>
  <c r="O701" i="1"/>
  <c r="P701" i="1" s="1"/>
  <c r="D701" i="1"/>
  <c r="M701" i="1" s="1"/>
  <c r="L701" i="1"/>
  <c r="A195" i="10"/>
  <c r="B194" i="10" s="1"/>
  <c r="L2569" i="1"/>
  <c r="O2569" i="1"/>
  <c r="D2569" i="1"/>
  <c r="M2569" i="1" s="1"/>
  <c r="C2570" i="1"/>
  <c r="D702" i="1" l="1"/>
  <c r="M702" i="1" s="1"/>
  <c r="O702" i="1"/>
  <c r="P702" i="1" s="1"/>
  <c r="C703" i="1"/>
  <c r="L702" i="1"/>
  <c r="A196" i="10"/>
  <c r="B195" i="10" s="1"/>
  <c r="L2570" i="1"/>
  <c r="O2570" i="1"/>
  <c r="D2570" i="1"/>
  <c r="M2570" i="1" s="1"/>
  <c r="C2571" i="1"/>
  <c r="I704" i="1" l="1"/>
  <c r="D703" i="1"/>
  <c r="M703" i="1" s="1"/>
  <c r="O703" i="1"/>
  <c r="P703" i="1" s="1"/>
  <c r="C704" i="1"/>
  <c r="L703" i="1"/>
  <c r="A197" i="10"/>
  <c r="B196" i="10" s="1"/>
  <c r="L2571" i="1"/>
  <c r="O2571" i="1"/>
  <c r="C2572" i="1"/>
  <c r="D2571" i="1"/>
  <c r="M2571" i="1" s="1"/>
  <c r="J704" i="1" l="1"/>
  <c r="I705" i="1"/>
  <c r="D704" i="1"/>
  <c r="M704" i="1" s="1"/>
  <c r="O704" i="1"/>
  <c r="P704" i="1" s="1"/>
  <c r="C705" i="1"/>
  <c r="L704" i="1"/>
  <c r="A198" i="10"/>
  <c r="B197" i="10" s="1"/>
  <c r="L2572" i="1"/>
  <c r="O2572" i="1"/>
  <c r="D2572" i="1"/>
  <c r="M2572" i="1" s="1"/>
  <c r="C2573" i="1"/>
  <c r="J705" i="1" l="1"/>
  <c r="J707" i="1" s="1"/>
  <c r="J709" i="1" s="1"/>
  <c r="J711" i="1" s="1"/>
  <c r="I707" i="1"/>
  <c r="I709" i="1" s="1"/>
  <c r="I711" i="1" s="1"/>
  <c r="D705" i="1"/>
  <c r="M705" i="1" s="1"/>
  <c r="O705" i="1"/>
  <c r="P705" i="1" s="1"/>
  <c r="C706" i="1"/>
  <c r="L705" i="1"/>
  <c r="A199" i="10"/>
  <c r="B198" i="10" s="1"/>
  <c r="L2573" i="1"/>
  <c r="O2573" i="1"/>
  <c r="D2573" i="1"/>
  <c r="M2573" i="1" s="1"/>
  <c r="C2574" i="1"/>
  <c r="D706" i="1" l="1"/>
  <c r="M706" i="1" s="1"/>
  <c r="O706" i="1"/>
  <c r="P706" i="1" s="1"/>
  <c r="C707" i="1"/>
  <c r="L706" i="1"/>
  <c r="A200" i="10"/>
  <c r="B199" i="10" s="1"/>
  <c r="L2574" i="1"/>
  <c r="O2574" i="1"/>
  <c r="C2575" i="1"/>
  <c r="D2574" i="1"/>
  <c r="M2574" i="1" s="1"/>
  <c r="D707" i="1" l="1"/>
  <c r="M707" i="1" s="1"/>
  <c r="O707" i="1"/>
  <c r="P707" i="1" s="1"/>
  <c r="C708" i="1"/>
  <c r="L707" i="1"/>
  <c r="A201" i="10"/>
  <c r="B200" i="10" s="1"/>
  <c r="L2575" i="1"/>
  <c r="O2575" i="1"/>
  <c r="C2576" i="1"/>
  <c r="D2575" i="1"/>
  <c r="M2575" i="1" s="1"/>
  <c r="O708" i="1" l="1"/>
  <c r="P708" i="1" s="1"/>
  <c r="D708" i="1"/>
  <c r="M708" i="1" s="1"/>
  <c r="C709" i="1"/>
  <c r="L708" i="1"/>
  <c r="A202" i="10"/>
  <c r="B201" i="10" s="1"/>
  <c r="L2576" i="1"/>
  <c r="O2576" i="1"/>
  <c r="C2577" i="1"/>
  <c r="D2576" i="1"/>
  <c r="M2576" i="1" s="1"/>
  <c r="D709" i="1" l="1"/>
  <c r="M709" i="1" s="1"/>
  <c r="O709" i="1"/>
  <c r="P709" i="1" s="1"/>
  <c r="C710" i="1"/>
  <c r="L709" i="1"/>
  <c r="A203" i="10"/>
  <c r="B202" i="10" s="1"/>
  <c r="L2577" i="1"/>
  <c r="O2577" i="1"/>
  <c r="D2577" i="1"/>
  <c r="M2577" i="1" s="1"/>
  <c r="C2578" i="1"/>
  <c r="D710" i="1" l="1"/>
  <c r="M710" i="1" s="1"/>
  <c r="O710" i="1"/>
  <c r="P710" i="1" s="1"/>
  <c r="C711" i="1"/>
  <c r="L710" i="1"/>
  <c r="A204" i="10"/>
  <c r="B203" i="10" s="1"/>
  <c r="L2578" i="1"/>
  <c r="O2578" i="1"/>
  <c r="C2579" i="1"/>
  <c r="D2578" i="1"/>
  <c r="M2578" i="1" s="1"/>
  <c r="O711" i="1" l="1"/>
  <c r="P711" i="1" s="1"/>
  <c r="D711" i="1"/>
  <c r="M711" i="1" s="1"/>
  <c r="C712" i="1"/>
  <c r="L711" i="1"/>
  <c r="A205" i="10"/>
  <c r="B204" i="10" s="1"/>
  <c r="L2579" i="1"/>
  <c r="O2579" i="1"/>
  <c r="D2579" i="1"/>
  <c r="M2579" i="1" s="1"/>
  <c r="C2580" i="1"/>
  <c r="D712" i="1" l="1"/>
  <c r="M712" i="1" s="1"/>
  <c r="C713" i="1"/>
  <c r="L712" i="1"/>
  <c r="A206" i="10"/>
  <c r="B205" i="10" s="1"/>
  <c r="L2580" i="1"/>
  <c r="O2580" i="1"/>
  <c r="D2580" i="1"/>
  <c r="M2580" i="1" s="1"/>
  <c r="C2581" i="1"/>
  <c r="D713" i="1" l="1"/>
  <c r="M713" i="1" s="1"/>
  <c r="C714" i="1"/>
  <c r="L713" i="1"/>
  <c r="A207" i="10"/>
  <c r="B206" i="10" s="1"/>
  <c r="L2581" i="1"/>
  <c r="O2581" i="1"/>
  <c r="C2582" i="1"/>
  <c r="D2581" i="1"/>
  <c r="M2581" i="1" s="1"/>
  <c r="D714" i="1" l="1"/>
  <c r="M714" i="1" s="1"/>
  <c r="O714" i="1"/>
  <c r="P714" i="1" s="1"/>
  <c r="C715" i="1"/>
  <c r="L714" i="1"/>
  <c r="A208" i="10"/>
  <c r="B207" i="10" s="1"/>
  <c r="L2582" i="1"/>
  <c r="C2583" i="1"/>
  <c r="D2582" i="1"/>
  <c r="M2582" i="1" s="1"/>
  <c r="D715" i="1" l="1"/>
  <c r="M715" i="1" s="1"/>
  <c r="O715" i="1"/>
  <c r="P715" i="1" s="1"/>
  <c r="C716" i="1"/>
  <c r="L715" i="1"/>
  <c r="A209" i="10"/>
  <c r="B208" i="10" s="1"/>
  <c r="L2583" i="1"/>
  <c r="D2583" i="1"/>
  <c r="M2583" i="1" s="1"/>
  <c r="C2584" i="1"/>
  <c r="D716" i="1" l="1"/>
  <c r="M716" i="1" s="1"/>
  <c r="O716" i="1"/>
  <c r="P716" i="1" s="1"/>
  <c r="C717" i="1"/>
  <c r="L716" i="1"/>
  <c r="A210" i="10"/>
  <c r="B209" i="10" s="1"/>
  <c r="L2584" i="1"/>
  <c r="O2584" i="1"/>
  <c r="C2585" i="1"/>
  <c r="D2584" i="1"/>
  <c r="M2584" i="1" s="1"/>
  <c r="D717" i="1" l="1"/>
  <c r="M717" i="1" s="1"/>
  <c r="O717" i="1"/>
  <c r="P717" i="1" s="1"/>
  <c r="C718" i="1"/>
  <c r="L717" i="1"/>
  <c r="A211" i="10"/>
  <c r="B210" i="10" s="1"/>
  <c r="L2585" i="1"/>
  <c r="O2585" i="1"/>
  <c r="C2586" i="1"/>
  <c r="D2585" i="1"/>
  <c r="M2585" i="1" s="1"/>
  <c r="D718" i="1" l="1"/>
  <c r="M718" i="1" s="1"/>
  <c r="O718" i="1"/>
  <c r="P718" i="1" s="1"/>
  <c r="C719" i="1"/>
  <c r="L718" i="1"/>
  <c r="A212" i="10"/>
  <c r="B211" i="10" s="1"/>
  <c r="L2586" i="1"/>
  <c r="O2586" i="1"/>
  <c r="C2587" i="1"/>
  <c r="D2586" i="1"/>
  <c r="M2586" i="1" s="1"/>
  <c r="D719" i="1" l="1"/>
  <c r="M719" i="1" s="1"/>
  <c r="C720" i="1"/>
  <c r="O719" i="1"/>
  <c r="P719" i="1" s="1"/>
  <c r="L719" i="1"/>
  <c r="A213" i="10"/>
  <c r="B212" i="10" s="1"/>
  <c r="L2587" i="1"/>
  <c r="O2587" i="1"/>
  <c r="D2587" i="1"/>
  <c r="M2587" i="1" s="1"/>
  <c r="C2588" i="1"/>
  <c r="D720" i="1" l="1"/>
  <c r="M720" i="1" s="1"/>
  <c r="O720" i="1"/>
  <c r="P720" i="1" s="1"/>
  <c r="C721" i="1"/>
  <c r="L720" i="1"/>
  <c r="A214" i="10"/>
  <c r="B213" i="10" s="1"/>
  <c r="L2588" i="1"/>
  <c r="O2588" i="1"/>
  <c r="C2589" i="1"/>
  <c r="D2588" i="1"/>
  <c r="M2588" i="1" s="1"/>
  <c r="O721" i="1" l="1"/>
  <c r="P721" i="1" s="1"/>
  <c r="D721" i="1"/>
  <c r="M721" i="1" s="1"/>
  <c r="C722" i="1"/>
  <c r="L721" i="1"/>
  <c r="A215" i="10"/>
  <c r="B214" i="10" s="1"/>
  <c r="L2589" i="1"/>
  <c r="C2590" i="1"/>
  <c r="D2589" i="1"/>
  <c r="M2589" i="1" s="1"/>
  <c r="D722" i="1" l="1"/>
  <c r="M722" i="1" s="1"/>
  <c r="O722" i="1"/>
  <c r="P722" i="1" s="1"/>
  <c r="C723" i="1"/>
  <c r="L722" i="1"/>
  <c r="I2591" i="1"/>
  <c r="L2590" i="1"/>
  <c r="A216" i="10"/>
  <c r="B215" i="10" s="1"/>
  <c r="D2590" i="1"/>
  <c r="M2590" i="1" s="1"/>
  <c r="C2591" i="1"/>
  <c r="C216" i="10"/>
  <c r="D723" i="1" l="1"/>
  <c r="M723" i="1" s="1"/>
  <c r="O723" i="1"/>
  <c r="P723" i="1" s="1"/>
  <c r="C724" i="1"/>
  <c r="L723" i="1"/>
  <c r="I2599" i="1"/>
  <c r="I2605" i="1"/>
  <c r="I2606" i="1" s="1"/>
  <c r="I2592" i="1"/>
  <c r="J2591" i="1"/>
  <c r="L2591" i="1"/>
  <c r="O2591" i="1"/>
  <c r="P2591" i="1" s="1"/>
  <c r="A217" i="10"/>
  <c r="B216" i="10" s="1"/>
  <c r="C2592" i="1"/>
  <c r="D2591" i="1"/>
  <c r="M2591" i="1" s="1"/>
  <c r="D724" i="1" l="1"/>
  <c r="M724" i="1" s="1"/>
  <c r="O724" i="1"/>
  <c r="P724" i="1" s="1"/>
  <c r="C725" i="1"/>
  <c r="L724" i="1"/>
  <c r="I2596" i="1"/>
  <c r="J2592" i="1"/>
  <c r="I2597" i="1"/>
  <c r="J2605" i="1"/>
  <c r="J2606" i="1" s="1"/>
  <c r="J2599" i="1"/>
  <c r="L2592" i="1"/>
  <c r="O2592" i="1"/>
  <c r="P2592" i="1" s="1"/>
  <c r="C2593" i="1"/>
  <c r="R8" i="5"/>
  <c r="S8" i="5" s="1"/>
  <c r="D2592" i="1"/>
  <c r="M2592" i="1" s="1"/>
  <c r="D725" i="1" l="1"/>
  <c r="M725" i="1" s="1"/>
  <c r="O725" i="1"/>
  <c r="P725" i="1" s="1"/>
  <c r="C726" i="1"/>
  <c r="L725" i="1"/>
  <c r="J2597" i="1"/>
  <c r="J2596" i="1"/>
  <c r="I2615" i="1"/>
  <c r="I2616" i="1" s="1"/>
  <c r="I2607" i="1"/>
  <c r="I2609" i="1" s="1"/>
  <c r="I2611" i="1" s="1"/>
  <c r="I2600" i="1"/>
  <c r="I2602" i="1" s="1"/>
  <c r="I2612" i="1" s="1"/>
  <c r="L2593" i="1"/>
  <c r="D2593" i="1"/>
  <c r="M2593" i="1" s="1"/>
  <c r="O2593" i="1"/>
  <c r="P2593" i="1" s="1"/>
  <c r="C2594" i="1"/>
  <c r="D2594" i="1" s="1"/>
  <c r="M2594" i="1" s="1"/>
  <c r="D726" i="1" l="1"/>
  <c r="M726" i="1" s="1"/>
  <c r="C727" i="1"/>
  <c r="L726" i="1"/>
  <c r="J2607" i="1"/>
  <c r="J2609" i="1" s="1"/>
  <c r="J2611" i="1" s="1"/>
  <c r="J2615" i="1"/>
  <c r="J2616" i="1" s="1"/>
  <c r="J2600" i="1"/>
  <c r="J2602" i="1" s="1"/>
  <c r="J2612" i="1" s="1"/>
  <c r="I2613" i="1"/>
  <c r="L2594" i="1"/>
  <c r="O2594" i="1"/>
  <c r="P2594" i="1" s="1"/>
  <c r="C2595" i="1"/>
  <c r="D727" i="1" l="1"/>
  <c r="M727" i="1" s="1"/>
  <c r="C728" i="1"/>
  <c r="L727" i="1"/>
  <c r="J2613" i="1"/>
  <c r="L2595" i="1"/>
  <c r="O2595" i="1"/>
  <c r="P2595" i="1" s="1"/>
  <c r="D2595" i="1"/>
  <c r="M2595" i="1" s="1"/>
  <c r="C2596" i="1"/>
  <c r="D728" i="1" l="1"/>
  <c r="M728" i="1" s="1"/>
  <c r="O728" i="1"/>
  <c r="P728" i="1" s="1"/>
  <c r="C729" i="1"/>
  <c r="L728" i="1"/>
  <c r="L2596" i="1"/>
  <c r="O2596" i="1"/>
  <c r="P2596" i="1" s="1"/>
  <c r="C2597" i="1"/>
  <c r="D2596" i="1"/>
  <c r="M2596" i="1" s="1"/>
  <c r="D729" i="1" l="1"/>
  <c r="M729" i="1" s="1"/>
  <c r="O729" i="1"/>
  <c r="P729" i="1" s="1"/>
  <c r="C730" i="1"/>
  <c r="L729" i="1"/>
  <c r="O2597" i="1"/>
  <c r="P2597" i="1" s="1"/>
  <c r="D2597" i="1"/>
  <c r="M2597" i="1" s="1"/>
  <c r="L2597" i="1"/>
  <c r="C2598" i="1"/>
  <c r="D730" i="1" l="1"/>
  <c r="M730" i="1" s="1"/>
  <c r="O730" i="1"/>
  <c r="P730" i="1" s="1"/>
  <c r="C731" i="1"/>
  <c r="L730" i="1"/>
  <c r="C2599" i="1"/>
  <c r="D2598" i="1"/>
  <c r="M2598" i="1" s="1"/>
  <c r="L2598" i="1"/>
  <c r="O2598" i="1"/>
  <c r="P2598" i="1" s="1"/>
  <c r="D731" i="1" l="1"/>
  <c r="M731" i="1" s="1"/>
  <c r="O731" i="1"/>
  <c r="P731" i="1" s="1"/>
  <c r="C732" i="1"/>
  <c r="L731" i="1"/>
  <c r="D2599" i="1"/>
  <c r="M2599" i="1" s="1"/>
  <c r="C2600" i="1"/>
  <c r="L2599" i="1"/>
  <c r="O2599" i="1"/>
  <c r="P2599" i="1" s="1"/>
  <c r="D732" i="1" l="1"/>
  <c r="M732" i="1" s="1"/>
  <c r="C733" i="1"/>
  <c r="O732" i="1"/>
  <c r="P732" i="1" s="1"/>
  <c r="L732" i="1"/>
  <c r="D2600" i="1"/>
  <c r="M2600" i="1" s="1"/>
  <c r="O2600" i="1"/>
  <c r="P2600" i="1" s="1"/>
  <c r="L2600" i="1"/>
  <c r="C2601" i="1"/>
  <c r="D2601" i="1" s="1"/>
  <c r="M2601" i="1" s="1"/>
  <c r="D733" i="1" l="1"/>
  <c r="M733" i="1" s="1"/>
  <c r="L733" i="1"/>
  <c r="O733" i="1"/>
  <c r="P733" i="1" s="1"/>
  <c r="C734" i="1"/>
  <c r="I734" i="1"/>
  <c r="L2601" i="1"/>
  <c r="O2601" i="1"/>
  <c r="P2601" i="1" s="1"/>
  <c r="C2602" i="1"/>
  <c r="O734" i="1" l="1"/>
  <c r="P734" i="1" s="1"/>
  <c r="D734" i="1"/>
  <c r="M734" i="1" s="1"/>
  <c r="C735" i="1"/>
  <c r="L734" i="1"/>
  <c r="J734" i="1"/>
  <c r="I735" i="1"/>
  <c r="L2602" i="1"/>
  <c r="D2602" i="1"/>
  <c r="M2602" i="1" s="1"/>
  <c r="O2602" i="1"/>
  <c r="P2602" i="1" s="1"/>
  <c r="C2603" i="1"/>
  <c r="D735" i="1" l="1"/>
  <c r="M735" i="1" s="1"/>
  <c r="O735" i="1"/>
  <c r="P735" i="1" s="1"/>
  <c r="C736" i="1"/>
  <c r="L735" i="1"/>
  <c r="J735" i="1"/>
  <c r="J737" i="1" s="1"/>
  <c r="J739" i="1" s="1"/>
  <c r="J741" i="1" s="1"/>
  <c r="I737" i="1"/>
  <c r="I739" i="1" s="1"/>
  <c r="I741" i="1" s="1"/>
  <c r="L2603" i="1"/>
  <c r="D2603" i="1"/>
  <c r="M2603" i="1" s="1"/>
  <c r="O2603" i="1"/>
  <c r="P2603" i="1" s="1"/>
  <c r="C2604" i="1"/>
  <c r="D2604" i="1" s="1"/>
  <c r="M2604" i="1" s="1"/>
  <c r="P2604" i="1"/>
  <c r="D736" i="1" l="1"/>
  <c r="M736" i="1" s="1"/>
  <c r="C737" i="1"/>
  <c r="O736" i="1"/>
  <c r="P736" i="1" s="1"/>
  <c r="L736" i="1"/>
  <c r="L2604" i="1"/>
  <c r="C2605" i="1"/>
  <c r="C738" i="1" l="1"/>
  <c r="D737" i="1"/>
  <c r="M737" i="1" s="1"/>
  <c r="O737" i="1"/>
  <c r="P737" i="1" s="1"/>
  <c r="L737" i="1"/>
  <c r="C2606" i="1"/>
  <c r="D2605" i="1"/>
  <c r="M2605" i="1" s="1"/>
  <c r="L2605" i="1"/>
  <c r="O2605" i="1"/>
  <c r="P2605" i="1" s="1"/>
  <c r="O2606" i="1" l="1"/>
  <c r="P2606" i="1" s="1"/>
  <c r="D2606" i="1"/>
  <c r="M2606" i="1" s="1"/>
  <c r="L2606" i="1"/>
  <c r="C2607" i="1"/>
  <c r="O738" i="1"/>
  <c r="P738" i="1" s="1"/>
  <c r="D738" i="1"/>
  <c r="M738" i="1" s="1"/>
  <c r="C739" i="1"/>
  <c r="L738" i="1"/>
  <c r="P2607" i="1"/>
  <c r="L2607" i="1" l="1"/>
  <c r="D2607" i="1"/>
  <c r="M2607" i="1" s="1"/>
  <c r="C2608" i="1"/>
  <c r="C2609" i="1" s="1"/>
  <c r="L2609" i="1" s="1"/>
  <c r="D739" i="1"/>
  <c r="M739" i="1" s="1"/>
  <c r="O739" i="1"/>
  <c r="P739" i="1" s="1"/>
  <c r="C740" i="1"/>
  <c r="L739" i="1"/>
  <c r="L2608" i="1" l="1"/>
  <c r="O2608" i="1"/>
  <c r="P2608" i="1" s="1"/>
  <c r="D2608" i="1"/>
  <c r="M2608" i="1" s="1"/>
  <c r="D740" i="1"/>
  <c r="M740" i="1" s="1"/>
  <c r="O740" i="1"/>
  <c r="P740" i="1" s="1"/>
  <c r="C741" i="1"/>
  <c r="L740" i="1"/>
  <c r="O2609" i="1"/>
  <c r="P2609" i="1" s="1"/>
  <c r="D2609" i="1"/>
  <c r="M2609" i="1" s="1"/>
  <c r="C2610" i="1"/>
  <c r="L2610" i="1" s="1"/>
  <c r="D741" i="1" l="1"/>
  <c r="M741" i="1" s="1"/>
  <c r="O741" i="1"/>
  <c r="P741" i="1" s="1"/>
  <c r="C742" i="1"/>
  <c r="L741" i="1"/>
  <c r="D2610" i="1"/>
  <c r="M2610" i="1" s="1"/>
  <c r="C2611" i="1"/>
  <c r="L2611" i="1" s="1"/>
  <c r="O2610" i="1"/>
  <c r="P2610" i="1" s="1"/>
  <c r="D742" i="1" l="1"/>
  <c r="M742" i="1" s="1"/>
  <c r="O742" i="1"/>
  <c r="P742" i="1" s="1"/>
  <c r="C743" i="1"/>
  <c r="L742" i="1"/>
  <c r="D2611" i="1"/>
  <c r="M2611" i="1" s="1"/>
  <c r="O2611" i="1"/>
  <c r="P2611" i="1" s="1"/>
  <c r="C2612" i="1"/>
  <c r="L2612" i="1" s="1"/>
  <c r="O743" i="1" l="1"/>
  <c r="P743" i="1" s="1"/>
  <c r="D743" i="1"/>
  <c r="M743" i="1" s="1"/>
  <c r="C744" i="1"/>
  <c r="L743" i="1"/>
  <c r="O2612" i="1"/>
  <c r="P2612" i="1" s="1"/>
  <c r="C2613" i="1"/>
  <c r="L2613" i="1" s="1"/>
  <c r="D2612" i="1"/>
  <c r="M2612" i="1" s="1"/>
  <c r="D744" i="1" l="1"/>
  <c r="M744" i="1" s="1"/>
  <c r="O744" i="1"/>
  <c r="P744" i="1" s="1"/>
  <c r="C745" i="1"/>
  <c r="L744" i="1"/>
  <c r="O2613" i="1"/>
  <c r="P2613" i="1" s="1"/>
  <c r="D2613" i="1"/>
  <c r="M2613" i="1" s="1"/>
  <c r="C2614" i="1"/>
  <c r="L2614" i="1" s="1"/>
  <c r="D745" i="1" l="1"/>
  <c r="M745" i="1" s="1"/>
  <c r="O745" i="1"/>
  <c r="P745" i="1" s="1"/>
  <c r="C746" i="1"/>
  <c r="L745" i="1"/>
  <c r="O2614" i="1"/>
  <c r="P2614" i="1" s="1"/>
  <c r="D2614" i="1"/>
  <c r="M2614" i="1" s="1"/>
  <c r="C2615" i="1"/>
  <c r="L2615" i="1" s="1"/>
  <c r="C747" i="1" l="1"/>
  <c r="D746" i="1"/>
  <c r="M746" i="1" s="1"/>
  <c r="O746" i="1"/>
  <c r="P746" i="1" s="1"/>
  <c r="L746" i="1"/>
  <c r="C2616" i="1"/>
  <c r="L2616" i="1" s="1"/>
  <c r="D2615" i="1"/>
  <c r="M2615" i="1" s="1"/>
  <c r="O2615" i="1"/>
  <c r="P2615" i="1" s="1"/>
  <c r="D747" i="1" l="1"/>
  <c r="M747" i="1" s="1"/>
  <c r="O747" i="1"/>
  <c r="P747" i="1" s="1"/>
  <c r="C748" i="1"/>
  <c r="L747" i="1"/>
  <c r="O2616" i="1"/>
  <c r="P2616" i="1" s="1"/>
  <c r="C2617" i="1"/>
  <c r="L2617" i="1" s="1"/>
  <c r="D2616" i="1"/>
  <c r="M2616" i="1" s="1"/>
  <c r="C749" i="1" l="1"/>
  <c r="D748" i="1"/>
  <c r="M748" i="1" s="1"/>
  <c r="O748" i="1"/>
  <c r="P748" i="1" s="1"/>
  <c r="L748" i="1"/>
  <c r="O2617" i="1"/>
  <c r="P2617" i="1" s="1"/>
  <c r="D2617" i="1"/>
  <c r="M2617" i="1" s="1"/>
  <c r="C2618" i="1"/>
  <c r="L2618" i="1" s="1"/>
  <c r="D749" i="1" l="1"/>
  <c r="M749" i="1" s="1"/>
  <c r="O749" i="1"/>
  <c r="P749" i="1" s="1"/>
  <c r="C750" i="1"/>
  <c r="L749" i="1"/>
  <c r="C2619" i="1"/>
  <c r="L2619" i="1" s="1"/>
  <c r="D2618" i="1"/>
  <c r="M2618" i="1" s="1"/>
  <c r="O2618" i="1"/>
  <c r="P2618" i="1" s="1"/>
  <c r="D750" i="1" l="1"/>
  <c r="M750" i="1" s="1"/>
  <c r="O750" i="1"/>
  <c r="P750" i="1" s="1"/>
  <c r="C751" i="1"/>
  <c r="L750" i="1"/>
  <c r="O2619" i="1"/>
  <c r="P2619" i="1" s="1"/>
  <c r="C2620" i="1"/>
  <c r="L2620" i="1" s="1"/>
  <c r="D2619" i="1"/>
  <c r="M2619" i="1" s="1"/>
  <c r="D751" i="1" l="1"/>
  <c r="M751" i="1" s="1"/>
  <c r="O751" i="1"/>
  <c r="P751" i="1" s="1"/>
  <c r="C752" i="1"/>
  <c r="L751" i="1"/>
  <c r="C2621" i="1"/>
  <c r="D2620" i="1"/>
  <c r="M2620" i="1" s="1"/>
  <c r="O2620" i="1"/>
  <c r="P2620" i="1" s="1"/>
  <c r="D752" i="1" l="1"/>
  <c r="M752" i="1" s="1"/>
  <c r="O752" i="1"/>
  <c r="P752" i="1" s="1"/>
  <c r="C753" i="1"/>
  <c r="L752" i="1"/>
  <c r="I2622" i="1"/>
  <c r="L2621" i="1"/>
  <c r="O2621" i="1"/>
  <c r="C2622" i="1"/>
  <c r="L2622" i="1" s="1"/>
  <c r="D2621" i="1"/>
  <c r="M2621" i="1" s="1"/>
  <c r="D753" i="1" l="1"/>
  <c r="M753" i="1" s="1"/>
  <c r="O753" i="1"/>
  <c r="P753" i="1" s="1"/>
  <c r="C754" i="1"/>
  <c r="L753" i="1"/>
  <c r="J2622" i="1"/>
  <c r="I2623" i="1"/>
  <c r="I2627" i="1"/>
  <c r="I2632" i="1"/>
  <c r="I2633" i="1" s="1"/>
  <c r="O2622" i="1"/>
  <c r="C2623" i="1"/>
  <c r="L2623" i="1" s="1"/>
  <c r="D2622" i="1"/>
  <c r="M2622" i="1" s="1"/>
  <c r="D754" i="1" l="1"/>
  <c r="M754" i="1" s="1"/>
  <c r="O754" i="1"/>
  <c r="P754" i="1" s="1"/>
  <c r="C755" i="1"/>
  <c r="L754" i="1"/>
  <c r="J2632" i="1"/>
  <c r="J2633" i="1" s="1"/>
  <c r="J2627" i="1"/>
  <c r="I2625" i="1"/>
  <c r="I2641" i="1" s="1"/>
  <c r="I2642" i="1" s="1"/>
  <c r="J2623" i="1"/>
  <c r="J2625" i="1" s="1"/>
  <c r="J2641" i="1" s="1"/>
  <c r="J2642" i="1" s="1"/>
  <c r="D2623" i="1"/>
  <c r="M2623" i="1" s="1"/>
  <c r="O2623" i="1"/>
  <c r="C2624" i="1"/>
  <c r="L2624" i="1" s="1"/>
  <c r="D755" i="1" l="1"/>
  <c r="M755" i="1" s="1"/>
  <c r="C756" i="1"/>
  <c r="L755" i="1"/>
  <c r="J2634" i="1"/>
  <c r="J2635" i="1" s="1"/>
  <c r="J2637" i="1" s="1"/>
  <c r="J2628" i="1"/>
  <c r="J2629" i="1" s="1"/>
  <c r="J2638" i="1" s="1"/>
  <c r="D2624" i="1"/>
  <c r="M2624" i="1" s="1"/>
  <c r="O2624" i="1"/>
  <c r="C2625" i="1"/>
  <c r="L2625" i="1" s="1"/>
  <c r="D756" i="1" l="1"/>
  <c r="M756" i="1" s="1"/>
  <c r="C757" i="1"/>
  <c r="L756" i="1"/>
  <c r="J2639" i="1"/>
  <c r="C2626" i="1"/>
  <c r="L2626" i="1" s="1"/>
  <c r="O2625" i="1"/>
  <c r="D2625" i="1"/>
  <c r="M2625" i="1" s="1"/>
  <c r="D757" i="1" l="1"/>
  <c r="M757" i="1" s="1"/>
  <c r="O757" i="1"/>
  <c r="P757" i="1" s="1"/>
  <c r="C758" i="1"/>
  <c r="L757" i="1"/>
  <c r="B2639" i="1"/>
  <c r="B2640" i="1"/>
  <c r="B2638" i="1"/>
  <c r="B2637" i="1"/>
  <c r="B2632" i="1"/>
  <c r="B2631" i="1"/>
  <c r="B2625" i="1"/>
  <c r="P2625" i="1" s="1"/>
  <c r="B2623" i="1"/>
  <c r="P2623" i="1" s="1"/>
  <c r="B2622" i="1"/>
  <c r="P2622" i="1" s="1"/>
  <c r="B2630" i="1"/>
  <c r="B2629" i="1"/>
  <c r="B2628" i="1"/>
  <c r="B2624" i="1"/>
  <c r="P2624" i="1" s="1"/>
  <c r="B2641" i="1"/>
  <c r="B2621" i="1"/>
  <c r="B2626" i="1"/>
  <c r="B2643" i="1"/>
  <c r="B2642" i="1"/>
  <c r="B2627" i="1"/>
  <c r="B2636" i="1"/>
  <c r="B2635" i="1"/>
  <c r="B2634" i="1"/>
  <c r="B2633" i="1"/>
  <c r="B2648" i="1"/>
  <c r="B2647" i="1"/>
  <c r="B2646" i="1"/>
  <c r="B2645" i="1"/>
  <c r="B2644" i="1"/>
  <c r="C2627" i="1"/>
  <c r="L2627" i="1" s="1"/>
  <c r="D2626" i="1"/>
  <c r="M2626" i="1" s="1"/>
  <c r="O2626" i="1"/>
  <c r="D758" i="1" l="1"/>
  <c r="M758" i="1" s="1"/>
  <c r="O758" i="1"/>
  <c r="P758" i="1" s="1"/>
  <c r="C759" i="1"/>
  <c r="L758" i="1"/>
  <c r="J2660" i="1"/>
  <c r="J2667" i="1"/>
  <c r="P2621" i="1"/>
  <c r="P2626" i="1"/>
  <c r="O2627" i="1"/>
  <c r="P2627" i="1" s="1"/>
  <c r="C2628" i="1"/>
  <c r="L2628" i="1" s="1"/>
  <c r="D2627" i="1"/>
  <c r="M2627" i="1" s="1"/>
  <c r="D759" i="1" l="1"/>
  <c r="M759" i="1" s="1"/>
  <c r="O759" i="1"/>
  <c r="P759" i="1" s="1"/>
  <c r="C760" i="1"/>
  <c r="L759" i="1"/>
  <c r="O2628" i="1"/>
  <c r="P2628" i="1" s="1"/>
  <c r="D2628" i="1"/>
  <c r="M2628" i="1" s="1"/>
  <c r="C2629" i="1"/>
  <c r="L2629" i="1" s="1"/>
  <c r="D760" i="1" l="1"/>
  <c r="M760" i="1" s="1"/>
  <c r="C761" i="1"/>
  <c r="O760" i="1"/>
  <c r="P760" i="1" s="1"/>
  <c r="L760" i="1"/>
  <c r="D2629" i="1"/>
  <c r="M2629" i="1" s="1"/>
  <c r="O2629" i="1"/>
  <c r="P2629" i="1" s="1"/>
  <c r="C2630" i="1"/>
  <c r="L2630" i="1" s="1"/>
  <c r="D761" i="1" l="1"/>
  <c r="M761" i="1" s="1"/>
  <c r="C762" i="1"/>
  <c r="O761" i="1"/>
  <c r="P761" i="1" s="1"/>
  <c r="L761" i="1"/>
  <c r="O2630" i="1"/>
  <c r="P2630" i="1" s="1"/>
  <c r="D2630" i="1"/>
  <c r="M2630" i="1" s="1"/>
  <c r="C2631" i="1"/>
  <c r="L2631" i="1" s="1"/>
  <c r="D762" i="1" l="1"/>
  <c r="M762" i="1" s="1"/>
  <c r="C763" i="1"/>
  <c r="O762" i="1"/>
  <c r="P762" i="1" s="1"/>
  <c r="L762" i="1"/>
  <c r="O2631" i="1"/>
  <c r="P2631" i="1" s="1"/>
  <c r="D2631" i="1"/>
  <c r="M2631" i="1" s="1"/>
  <c r="C2632" i="1"/>
  <c r="L2632" i="1" s="1"/>
  <c r="D763" i="1" l="1"/>
  <c r="M763" i="1" s="1"/>
  <c r="O763" i="1"/>
  <c r="P763" i="1" s="1"/>
  <c r="C764" i="1"/>
  <c r="L763" i="1"/>
  <c r="D2632" i="1"/>
  <c r="M2632" i="1" s="1"/>
  <c r="P2632" i="1"/>
  <c r="C2633" i="1"/>
  <c r="I765" i="1" l="1"/>
  <c r="D764" i="1"/>
  <c r="M764" i="1" s="1"/>
  <c r="C765" i="1"/>
  <c r="O764" i="1"/>
  <c r="P764" i="1" s="1"/>
  <c r="L764" i="1"/>
  <c r="O2633" i="1"/>
  <c r="P2633" i="1" s="1"/>
  <c r="L2633" i="1"/>
  <c r="D2633" i="1"/>
  <c r="M2633" i="1" s="1"/>
  <c r="C2634" i="1"/>
  <c r="J765" i="1" l="1"/>
  <c r="I766" i="1"/>
  <c r="D765" i="1"/>
  <c r="M765" i="1" s="1"/>
  <c r="C766" i="1"/>
  <c r="O765" i="1"/>
  <c r="P765" i="1" s="1"/>
  <c r="L765" i="1"/>
  <c r="O2634" i="1"/>
  <c r="P2634" i="1" s="1"/>
  <c r="L2634" i="1"/>
  <c r="D2634" i="1"/>
  <c r="M2634" i="1" s="1"/>
  <c r="C2635" i="1"/>
  <c r="L2635" i="1" s="1"/>
  <c r="J766" i="1" l="1"/>
  <c r="J768" i="1" s="1"/>
  <c r="J770" i="1" s="1"/>
  <c r="J772" i="1" s="1"/>
  <c r="I768" i="1"/>
  <c r="I770" i="1" s="1"/>
  <c r="I772" i="1" s="1"/>
  <c r="D766" i="1"/>
  <c r="M766" i="1" s="1"/>
  <c r="C767" i="1"/>
  <c r="O766" i="1"/>
  <c r="P766" i="1" s="1"/>
  <c r="L766" i="1"/>
  <c r="P2635" i="1"/>
  <c r="D2635" i="1"/>
  <c r="M2635" i="1" s="1"/>
  <c r="C2636" i="1"/>
  <c r="L2636" i="1" s="1"/>
  <c r="D767" i="1" l="1"/>
  <c r="M767" i="1" s="1"/>
  <c r="C768" i="1"/>
  <c r="O767" i="1"/>
  <c r="P767" i="1" s="1"/>
  <c r="L767" i="1"/>
  <c r="D2636" i="1"/>
  <c r="M2636" i="1" s="1"/>
  <c r="O2636" i="1"/>
  <c r="P2636" i="1" s="1"/>
  <c r="C2637" i="1"/>
  <c r="L2637" i="1" s="1"/>
  <c r="D768" i="1" l="1"/>
  <c r="M768" i="1" s="1"/>
  <c r="C769" i="1"/>
  <c r="O768" i="1"/>
  <c r="P768" i="1" s="1"/>
  <c r="L768" i="1"/>
  <c r="D2637" i="1"/>
  <c r="M2637" i="1" s="1"/>
  <c r="O2637" i="1"/>
  <c r="P2637" i="1" s="1"/>
  <c r="C2638" i="1"/>
  <c r="L2638" i="1" s="1"/>
  <c r="D769" i="1" l="1"/>
  <c r="M769" i="1" s="1"/>
  <c r="C770" i="1"/>
  <c r="O769" i="1"/>
  <c r="P769" i="1" s="1"/>
  <c r="L769" i="1"/>
  <c r="O2638" i="1"/>
  <c r="P2638" i="1" s="1"/>
  <c r="D2638" i="1"/>
  <c r="M2638" i="1" s="1"/>
  <c r="C2639" i="1"/>
  <c r="L2639" i="1" s="1"/>
  <c r="D770" i="1" l="1"/>
  <c r="M770" i="1" s="1"/>
  <c r="C771" i="1"/>
  <c r="O770" i="1"/>
  <c r="P770" i="1" s="1"/>
  <c r="L770" i="1"/>
  <c r="D2639" i="1"/>
  <c r="M2639" i="1" s="1"/>
  <c r="O2639" i="1"/>
  <c r="P2639" i="1" s="1"/>
  <c r="C2640" i="1"/>
  <c r="L2640" i="1" s="1"/>
  <c r="D771" i="1" l="1"/>
  <c r="M771" i="1" s="1"/>
  <c r="C772" i="1"/>
  <c r="O771" i="1"/>
  <c r="P771" i="1" s="1"/>
  <c r="L771" i="1"/>
  <c r="D2640" i="1"/>
  <c r="M2640" i="1" s="1"/>
  <c r="O2640" i="1"/>
  <c r="P2640" i="1" s="1"/>
  <c r="C2641" i="1"/>
  <c r="L2641" i="1" s="1"/>
  <c r="D772" i="1" l="1"/>
  <c r="M772" i="1" s="1"/>
  <c r="C773" i="1"/>
  <c r="O772" i="1"/>
  <c r="P772" i="1" s="1"/>
  <c r="L772" i="1"/>
  <c r="D2641" i="1"/>
  <c r="M2641" i="1" s="1"/>
  <c r="O2641" i="1"/>
  <c r="P2641" i="1" s="1"/>
  <c r="C2642" i="1"/>
  <c r="L2642" i="1" s="1"/>
  <c r="D773" i="1" l="1"/>
  <c r="M773" i="1" s="1"/>
  <c r="C774" i="1"/>
  <c r="O773" i="1"/>
  <c r="P773" i="1" s="1"/>
  <c r="L773" i="1"/>
  <c r="O2642" i="1"/>
  <c r="P2642" i="1" s="1"/>
  <c r="D2642" i="1"/>
  <c r="M2642" i="1" s="1"/>
  <c r="C2643" i="1"/>
  <c r="L2643" i="1" s="1"/>
  <c r="D774" i="1" l="1"/>
  <c r="M774" i="1" s="1"/>
  <c r="C775" i="1"/>
  <c r="O774" i="1"/>
  <c r="P774" i="1" s="1"/>
  <c r="L774" i="1"/>
  <c r="D2643" i="1"/>
  <c r="M2643" i="1" s="1"/>
  <c r="O2643" i="1"/>
  <c r="P2643" i="1" s="1"/>
  <c r="C2644" i="1"/>
  <c r="L2644" i="1" s="1"/>
  <c r="D775" i="1" l="1"/>
  <c r="M775" i="1" s="1"/>
  <c r="C776" i="1"/>
  <c r="O775" i="1"/>
  <c r="P775" i="1" s="1"/>
  <c r="L775" i="1"/>
  <c r="D2644" i="1"/>
  <c r="M2644" i="1" s="1"/>
  <c r="O2644" i="1"/>
  <c r="P2644" i="1" s="1"/>
  <c r="C2645" i="1"/>
  <c r="L2645" i="1" s="1"/>
  <c r="D776" i="1" l="1"/>
  <c r="M776" i="1" s="1"/>
  <c r="C777" i="1"/>
  <c r="O776" i="1"/>
  <c r="P776" i="1" s="1"/>
  <c r="L776" i="1"/>
  <c r="D2645" i="1"/>
  <c r="M2645" i="1" s="1"/>
  <c r="O2645" i="1"/>
  <c r="P2645" i="1" s="1"/>
  <c r="C2646" i="1"/>
  <c r="L2646" i="1" s="1"/>
  <c r="D777" i="1" l="1"/>
  <c r="M777" i="1" s="1"/>
  <c r="C778" i="1"/>
  <c r="L777" i="1"/>
  <c r="O2646" i="1"/>
  <c r="P2646" i="1" s="1"/>
  <c r="D2646" i="1"/>
  <c r="M2646" i="1" s="1"/>
  <c r="C2647" i="1"/>
  <c r="L2647" i="1" s="1"/>
  <c r="D778" i="1" l="1"/>
  <c r="M778" i="1" s="1"/>
  <c r="C779" i="1"/>
  <c r="O778" i="1"/>
  <c r="P778" i="1" s="1"/>
  <c r="L778" i="1"/>
  <c r="D2647" i="1"/>
  <c r="M2647" i="1" s="1"/>
  <c r="O2647" i="1"/>
  <c r="P2647" i="1" s="1"/>
  <c r="C2648" i="1"/>
  <c r="L2648" i="1" s="1"/>
  <c r="D779" i="1" l="1"/>
  <c r="M779" i="1" s="1"/>
  <c r="C780" i="1"/>
  <c r="O779" i="1"/>
  <c r="P779" i="1" s="1"/>
  <c r="L779" i="1"/>
  <c r="D2648" i="1"/>
  <c r="M2648" i="1" s="1"/>
  <c r="O2648" i="1"/>
  <c r="P2648" i="1" s="1"/>
  <c r="C2649" i="1"/>
  <c r="I2650" i="1" s="1"/>
  <c r="D780" i="1" l="1"/>
  <c r="M780" i="1" s="1"/>
  <c r="C781" i="1"/>
  <c r="L780" i="1"/>
  <c r="I2651" i="1"/>
  <c r="I2658" i="1"/>
  <c r="I2664" i="1"/>
  <c r="I2665" i="1" s="1"/>
  <c r="J2650" i="1"/>
  <c r="L2649" i="1"/>
  <c r="I2634" i="1"/>
  <c r="I2635" i="1" s="1"/>
  <c r="I2637" i="1" s="1"/>
  <c r="I2628" i="1"/>
  <c r="I2629" i="1" s="1"/>
  <c r="I2638" i="1" s="1"/>
  <c r="D2649" i="1"/>
  <c r="M2649" i="1" s="1"/>
  <c r="O2649" i="1"/>
  <c r="P2649" i="1" s="1"/>
  <c r="C2650" i="1"/>
  <c r="L2650" i="1" s="1"/>
  <c r="D781" i="1" l="1"/>
  <c r="M781" i="1" s="1"/>
  <c r="C782" i="1"/>
  <c r="O781" i="1"/>
  <c r="P781" i="1" s="1"/>
  <c r="L781" i="1"/>
  <c r="I2655" i="1"/>
  <c r="J2651" i="1"/>
  <c r="I2656" i="1"/>
  <c r="J2664" i="1"/>
  <c r="J2665" i="1" s="1"/>
  <c r="J2658" i="1"/>
  <c r="I2639" i="1"/>
  <c r="O2650" i="1"/>
  <c r="P2650" i="1" s="1"/>
  <c r="D2650" i="1"/>
  <c r="M2650" i="1" s="1"/>
  <c r="C2651" i="1"/>
  <c r="L2651" i="1" s="1"/>
  <c r="D782" i="1" l="1"/>
  <c r="M782" i="1" s="1"/>
  <c r="C783" i="1"/>
  <c r="O782" i="1"/>
  <c r="P782" i="1" s="1"/>
  <c r="L782" i="1"/>
  <c r="J2656" i="1"/>
  <c r="J2655" i="1"/>
  <c r="I2674" i="1"/>
  <c r="I2675" i="1" s="1"/>
  <c r="I2666" i="1"/>
  <c r="I2659" i="1"/>
  <c r="A2621" i="1"/>
  <c r="A2642" i="1"/>
  <c r="A2638" i="1"/>
  <c r="A2636" i="1"/>
  <c r="A2634" i="1"/>
  <c r="A2623" i="1"/>
  <c r="A2622" i="1"/>
  <c r="A2648" i="1"/>
  <c r="A2645" i="1"/>
  <c r="A2633" i="1"/>
  <c r="A2631" i="1"/>
  <c r="A2628" i="1"/>
  <c r="A2639" i="1"/>
  <c r="A2624" i="1"/>
  <c r="A2640" i="1"/>
  <c r="A2635" i="1"/>
  <c r="A2643" i="1"/>
  <c r="A2630" i="1"/>
  <c r="A2627" i="1"/>
  <c r="A2641" i="1"/>
  <c r="A2637" i="1"/>
  <c r="A2644" i="1"/>
  <c r="A2626" i="1"/>
  <c r="A2646" i="1"/>
  <c r="A2632" i="1"/>
  <c r="A2629" i="1"/>
  <c r="A2647" i="1"/>
  <c r="A2625" i="1"/>
  <c r="D2651" i="1"/>
  <c r="M2651" i="1" s="1"/>
  <c r="O2651" i="1"/>
  <c r="P2651" i="1" s="1"/>
  <c r="C2652" i="1"/>
  <c r="L2652" i="1" s="1"/>
  <c r="O783" i="1" l="1"/>
  <c r="P783" i="1" s="1"/>
  <c r="D783" i="1"/>
  <c r="M783" i="1" s="1"/>
  <c r="C784" i="1"/>
  <c r="L783" i="1"/>
  <c r="J2674" i="1"/>
  <c r="J2675" i="1" s="1"/>
  <c r="J2666" i="1"/>
  <c r="J2668" i="1" s="1"/>
  <c r="J2670" i="1" s="1"/>
  <c r="J2659" i="1"/>
  <c r="J2661" i="1" s="1"/>
  <c r="J2671" i="1" s="1"/>
  <c r="I2660" i="1"/>
  <c r="I2661" i="1" s="1"/>
  <c r="I2671" i="1" s="1"/>
  <c r="I2667" i="1"/>
  <c r="I2668" i="1" s="1"/>
  <c r="I2670" i="1" s="1"/>
  <c r="O2652" i="1"/>
  <c r="P2652" i="1" s="1"/>
  <c r="D2652" i="1"/>
  <c r="M2652" i="1" s="1"/>
  <c r="C2653" i="1"/>
  <c r="L2653" i="1" s="1"/>
  <c r="D784" i="1" l="1"/>
  <c r="M784" i="1" s="1"/>
  <c r="C785" i="1"/>
  <c r="O784" i="1"/>
  <c r="P784" i="1" s="1"/>
  <c r="L784" i="1"/>
  <c r="J2672" i="1"/>
  <c r="I2672" i="1"/>
  <c r="O2653" i="1"/>
  <c r="P2653" i="1" s="1"/>
  <c r="D2653" i="1"/>
  <c r="M2653" i="1" s="1"/>
  <c r="C2654" i="1"/>
  <c r="L2654" i="1" s="1"/>
  <c r="C786" i="1" l="1"/>
  <c r="D785" i="1"/>
  <c r="M785" i="1" s="1"/>
  <c r="O785" i="1"/>
  <c r="P785" i="1" s="1"/>
  <c r="L785" i="1"/>
  <c r="D2654" i="1"/>
  <c r="M2654" i="1" s="1"/>
  <c r="O2654" i="1"/>
  <c r="P2654" i="1" s="1"/>
  <c r="C2655" i="1"/>
  <c r="L2655" i="1" s="1"/>
  <c r="D786" i="1" l="1"/>
  <c r="M786" i="1" s="1"/>
  <c r="C787" i="1"/>
  <c r="O786" i="1"/>
  <c r="P786" i="1" s="1"/>
  <c r="L786" i="1"/>
  <c r="D2655" i="1"/>
  <c r="M2655" i="1" s="1"/>
  <c r="O2655" i="1"/>
  <c r="P2655" i="1" s="1"/>
  <c r="C2656" i="1"/>
  <c r="L2656" i="1" s="1"/>
  <c r="D787" i="1" l="1"/>
  <c r="M787" i="1" s="1"/>
  <c r="C788" i="1"/>
  <c r="O787" i="1"/>
  <c r="P787" i="1" s="1"/>
  <c r="L787" i="1"/>
  <c r="O2656" i="1"/>
  <c r="P2656" i="1" s="1"/>
  <c r="D2656" i="1"/>
  <c r="M2656" i="1" s="1"/>
  <c r="C2657" i="1"/>
  <c r="L2657" i="1" s="1"/>
  <c r="D788" i="1" l="1"/>
  <c r="M788" i="1" s="1"/>
  <c r="C789" i="1"/>
  <c r="O788" i="1"/>
  <c r="P788" i="1" s="1"/>
  <c r="L788" i="1"/>
  <c r="O2657" i="1"/>
  <c r="P2657" i="1" s="1"/>
  <c r="D2657" i="1"/>
  <c r="M2657" i="1" s="1"/>
  <c r="C2658" i="1"/>
  <c r="L2658" i="1" s="1"/>
  <c r="D789" i="1" l="1"/>
  <c r="M789" i="1" s="1"/>
  <c r="C790" i="1"/>
  <c r="O789" i="1"/>
  <c r="P789" i="1" s="1"/>
  <c r="L789" i="1"/>
  <c r="O2658" i="1"/>
  <c r="P2658" i="1" s="1"/>
  <c r="D2658" i="1"/>
  <c r="M2658" i="1" s="1"/>
  <c r="C2659" i="1"/>
  <c r="L2659" i="1" s="1"/>
  <c r="D790" i="1" l="1"/>
  <c r="M790" i="1" s="1"/>
  <c r="C791" i="1"/>
  <c r="O790" i="1"/>
  <c r="P790" i="1" s="1"/>
  <c r="L790" i="1"/>
  <c r="O2659" i="1"/>
  <c r="P2659" i="1" s="1"/>
  <c r="D2659" i="1"/>
  <c r="M2659" i="1" s="1"/>
  <c r="C2660" i="1"/>
  <c r="L2660" i="1" s="1"/>
  <c r="D791" i="1" l="1"/>
  <c r="M791" i="1" s="1"/>
  <c r="C792" i="1"/>
  <c r="O791" i="1"/>
  <c r="P791" i="1" s="1"/>
  <c r="L791" i="1"/>
  <c r="D2660" i="1"/>
  <c r="M2660" i="1" s="1"/>
  <c r="O2660" i="1"/>
  <c r="P2660" i="1" s="1"/>
  <c r="C2661" i="1"/>
  <c r="L2661" i="1" s="1"/>
  <c r="D792" i="1" l="1"/>
  <c r="M792" i="1" s="1"/>
  <c r="C793" i="1"/>
  <c r="O792" i="1"/>
  <c r="P792" i="1" s="1"/>
  <c r="L792" i="1"/>
  <c r="D2661" i="1"/>
  <c r="M2661" i="1" s="1"/>
  <c r="O2661" i="1"/>
  <c r="P2661" i="1" s="1"/>
  <c r="C2662" i="1"/>
  <c r="L2662" i="1" s="1"/>
  <c r="D793" i="1" l="1"/>
  <c r="M793" i="1" s="1"/>
  <c r="C794" i="1"/>
  <c r="O793" i="1"/>
  <c r="P793" i="1" s="1"/>
  <c r="L793" i="1"/>
  <c r="O2662" i="1"/>
  <c r="P2662" i="1" s="1"/>
  <c r="D2662" i="1"/>
  <c r="M2662" i="1" s="1"/>
  <c r="C2663" i="1"/>
  <c r="L2663" i="1" s="1"/>
  <c r="D794" i="1" l="1"/>
  <c r="M794" i="1" s="1"/>
  <c r="C795" i="1"/>
  <c r="O794" i="1"/>
  <c r="P794" i="1" s="1"/>
  <c r="L794" i="1"/>
  <c r="D2663" i="1"/>
  <c r="M2663" i="1" s="1"/>
  <c r="O2663" i="1"/>
  <c r="P2663" i="1" s="1"/>
  <c r="C2664" i="1"/>
  <c r="L2664" i="1" s="1"/>
  <c r="D795" i="1" l="1"/>
  <c r="M795" i="1" s="1"/>
  <c r="C796" i="1"/>
  <c r="O795" i="1"/>
  <c r="P795" i="1" s="1"/>
  <c r="L795" i="1"/>
  <c r="I796" i="1"/>
  <c r="O2664" i="1"/>
  <c r="P2664" i="1" s="1"/>
  <c r="D2664" i="1"/>
  <c r="M2664" i="1" s="1"/>
  <c r="C2665" i="1"/>
  <c r="L2665" i="1" s="1"/>
  <c r="D796" i="1" l="1"/>
  <c r="M796" i="1" s="1"/>
  <c r="C797" i="1"/>
  <c r="O796" i="1"/>
  <c r="P796" i="1" s="1"/>
  <c r="L796" i="1"/>
  <c r="J796" i="1"/>
  <c r="I797" i="1"/>
  <c r="D2665" i="1"/>
  <c r="M2665" i="1" s="1"/>
  <c r="O2665" i="1"/>
  <c r="P2665" i="1" s="1"/>
  <c r="C2666" i="1"/>
  <c r="L2666" i="1" s="1"/>
  <c r="D797" i="1" l="1"/>
  <c r="M797" i="1" s="1"/>
  <c r="C798" i="1"/>
  <c r="O797" i="1"/>
  <c r="P797" i="1" s="1"/>
  <c r="L797" i="1"/>
  <c r="J797" i="1"/>
  <c r="J799" i="1" s="1"/>
  <c r="J801" i="1" s="1"/>
  <c r="J803" i="1" s="1"/>
  <c r="I799" i="1"/>
  <c r="I801" i="1" s="1"/>
  <c r="I803" i="1" s="1"/>
  <c r="O2666" i="1"/>
  <c r="P2666" i="1" s="1"/>
  <c r="D2666" i="1"/>
  <c r="M2666" i="1" s="1"/>
  <c r="C2667" i="1"/>
  <c r="L2667" i="1" s="1"/>
  <c r="D798" i="1" l="1"/>
  <c r="M798" i="1" s="1"/>
  <c r="C799" i="1"/>
  <c r="O798" i="1"/>
  <c r="P798" i="1" s="1"/>
  <c r="L798" i="1"/>
  <c r="O2667" i="1"/>
  <c r="P2667" i="1" s="1"/>
  <c r="D2667" i="1"/>
  <c r="M2667" i="1" s="1"/>
  <c r="C2668" i="1"/>
  <c r="L2668" i="1" s="1"/>
  <c r="D799" i="1" l="1"/>
  <c r="M799" i="1" s="1"/>
  <c r="C800" i="1"/>
  <c r="O799" i="1"/>
  <c r="P799" i="1" s="1"/>
  <c r="L799" i="1"/>
  <c r="O2668" i="1"/>
  <c r="P2668" i="1" s="1"/>
  <c r="D2668" i="1"/>
  <c r="M2668" i="1" s="1"/>
  <c r="C2669" i="1"/>
  <c r="L2669" i="1" s="1"/>
  <c r="D800" i="1" l="1"/>
  <c r="M800" i="1" s="1"/>
  <c r="C801" i="1"/>
  <c r="O800" i="1"/>
  <c r="P800" i="1" s="1"/>
  <c r="L800" i="1"/>
  <c r="D2669" i="1"/>
  <c r="M2669" i="1" s="1"/>
  <c r="O2669" i="1"/>
  <c r="P2669" i="1" s="1"/>
  <c r="C2670" i="1"/>
  <c r="L2670" i="1" s="1"/>
  <c r="D801" i="1" l="1"/>
  <c r="M801" i="1" s="1"/>
  <c r="C802" i="1"/>
  <c r="O801" i="1"/>
  <c r="P801" i="1" s="1"/>
  <c r="L801" i="1"/>
  <c r="D2670" i="1"/>
  <c r="M2670" i="1" s="1"/>
  <c r="O2670" i="1"/>
  <c r="P2670" i="1" s="1"/>
  <c r="C2671" i="1"/>
  <c r="L2671" i="1" s="1"/>
  <c r="D802" i="1" l="1"/>
  <c r="M802" i="1" s="1"/>
  <c r="C803" i="1"/>
  <c r="O802" i="1"/>
  <c r="P802" i="1" s="1"/>
  <c r="L802" i="1"/>
  <c r="D2671" i="1"/>
  <c r="M2671" i="1" s="1"/>
  <c r="O2671" i="1"/>
  <c r="P2671" i="1" s="1"/>
  <c r="C2672" i="1"/>
  <c r="L2672" i="1" s="1"/>
  <c r="D803" i="1" l="1"/>
  <c r="M803" i="1" s="1"/>
  <c r="C804" i="1"/>
  <c r="O803" i="1"/>
  <c r="P803" i="1" s="1"/>
  <c r="L803" i="1"/>
  <c r="D2672" i="1"/>
  <c r="M2672" i="1" s="1"/>
  <c r="O2672" i="1"/>
  <c r="P2672" i="1" s="1"/>
  <c r="C2673" i="1"/>
  <c r="L2673" i="1" s="1"/>
  <c r="D804" i="1" l="1"/>
  <c r="M804" i="1" s="1"/>
  <c r="C805" i="1"/>
  <c r="O804" i="1"/>
  <c r="P804" i="1" s="1"/>
  <c r="L804" i="1"/>
  <c r="D2673" i="1"/>
  <c r="M2673" i="1" s="1"/>
  <c r="P2673" i="1"/>
  <c r="C2674" i="1"/>
  <c r="L2674" i="1" s="1"/>
  <c r="D805" i="1" l="1"/>
  <c r="M805" i="1" s="1"/>
  <c r="C806" i="1"/>
  <c r="O805" i="1"/>
  <c r="P805" i="1" s="1"/>
  <c r="L805" i="1"/>
  <c r="P2674" i="1"/>
  <c r="D2674" i="1"/>
  <c r="M2674" i="1" s="1"/>
  <c r="C2675" i="1"/>
  <c r="L2675" i="1" s="1"/>
  <c r="D806" i="1" l="1"/>
  <c r="M806" i="1" s="1"/>
  <c r="C807" i="1"/>
  <c r="O806" i="1"/>
  <c r="P806" i="1" s="1"/>
  <c r="L806" i="1"/>
  <c r="D2675" i="1"/>
  <c r="M2675" i="1" s="1"/>
  <c r="O2675" i="1"/>
  <c r="P2675" i="1" s="1"/>
  <c r="C2676" i="1"/>
  <c r="L2676" i="1" s="1"/>
  <c r="D807" i="1" l="1"/>
  <c r="M807" i="1" s="1"/>
  <c r="C808" i="1"/>
  <c r="O807" i="1"/>
  <c r="P807" i="1" s="1"/>
  <c r="L807" i="1"/>
  <c r="D2676" i="1"/>
  <c r="M2676" i="1" s="1"/>
  <c r="O2676" i="1"/>
  <c r="P2676" i="1" s="1"/>
  <c r="C2677" i="1"/>
  <c r="L2677" i="1" s="1"/>
  <c r="O808" i="1" l="1"/>
  <c r="P808" i="1" s="1"/>
  <c r="D808" i="1"/>
  <c r="M808" i="1" s="1"/>
  <c r="C809" i="1"/>
  <c r="L808" i="1"/>
  <c r="D2677" i="1"/>
  <c r="M2677" i="1" s="1"/>
  <c r="O2677" i="1"/>
  <c r="P2677" i="1" s="1"/>
  <c r="C2678" i="1"/>
  <c r="L2678" i="1" s="1"/>
  <c r="D809" i="1" l="1"/>
  <c r="M809" i="1" s="1"/>
  <c r="O809" i="1"/>
  <c r="P809" i="1" s="1"/>
  <c r="C810" i="1"/>
  <c r="L809" i="1"/>
  <c r="D2678" i="1"/>
  <c r="M2678" i="1" s="1"/>
  <c r="O2678" i="1"/>
  <c r="P2678" i="1" s="1"/>
  <c r="C2679" i="1"/>
  <c r="L2679" i="1" s="1"/>
  <c r="D810" i="1" l="1"/>
  <c r="M810" i="1" s="1"/>
  <c r="O810" i="1"/>
  <c r="P810" i="1" s="1"/>
  <c r="C811" i="1"/>
  <c r="L810" i="1"/>
  <c r="O2679" i="1"/>
  <c r="P2679" i="1" s="1"/>
  <c r="D2679" i="1"/>
  <c r="M2679" i="1" s="1"/>
  <c r="C2680" i="1"/>
  <c r="I2681" i="1" s="1"/>
  <c r="C812" i="1" l="1"/>
  <c r="O811" i="1"/>
  <c r="P811" i="1" s="1"/>
  <c r="D811" i="1"/>
  <c r="M811" i="1" s="1"/>
  <c r="L811" i="1"/>
  <c r="I2695" i="1"/>
  <c r="I2696" i="1" s="1"/>
  <c r="J2681" i="1"/>
  <c r="I2682" i="1"/>
  <c r="I2689" i="1"/>
  <c r="L2680" i="1"/>
  <c r="D2680" i="1"/>
  <c r="M2680" i="1" s="1"/>
  <c r="O2680" i="1"/>
  <c r="P2680" i="1" s="1"/>
  <c r="C2681" i="1"/>
  <c r="L2681" i="1" s="1"/>
  <c r="D812" i="1" l="1"/>
  <c r="M812" i="1" s="1"/>
  <c r="C813" i="1"/>
  <c r="L812" i="1"/>
  <c r="J2695" i="1"/>
  <c r="J2696" i="1" s="1"/>
  <c r="J2689" i="1"/>
  <c r="I2686" i="1"/>
  <c r="J2682" i="1"/>
  <c r="I2687" i="1"/>
  <c r="D2681" i="1"/>
  <c r="M2681" i="1" s="1"/>
  <c r="O2681" i="1"/>
  <c r="P2681" i="1" s="1"/>
  <c r="C2682" i="1"/>
  <c r="L2682" i="1" s="1"/>
  <c r="D813" i="1" l="1"/>
  <c r="M813" i="1" s="1"/>
  <c r="C814" i="1"/>
  <c r="O813" i="1"/>
  <c r="P813" i="1" s="1"/>
  <c r="L813" i="1"/>
  <c r="J2687" i="1"/>
  <c r="J2686" i="1"/>
  <c r="I2697" i="1"/>
  <c r="I2699" i="1" s="1"/>
  <c r="I2701" i="1" s="1"/>
  <c r="I2690" i="1"/>
  <c r="I2692" i="1" s="1"/>
  <c r="I2702" i="1" s="1"/>
  <c r="I2705" i="1"/>
  <c r="I2706" i="1" s="1"/>
  <c r="D2682" i="1"/>
  <c r="M2682" i="1" s="1"/>
  <c r="O2682" i="1"/>
  <c r="P2682" i="1" s="1"/>
  <c r="C2683" i="1"/>
  <c r="L2683" i="1" s="1"/>
  <c r="D814" i="1" l="1"/>
  <c r="M814" i="1" s="1"/>
  <c r="C815" i="1"/>
  <c r="O814" i="1"/>
  <c r="P814" i="1" s="1"/>
  <c r="L814" i="1"/>
  <c r="J2697" i="1"/>
  <c r="J2699" i="1" s="1"/>
  <c r="J2701" i="1" s="1"/>
  <c r="J2690" i="1"/>
  <c r="J2692" i="1" s="1"/>
  <c r="J2702" i="1" s="1"/>
  <c r="J2705" i="1"/>
  <c r="J2706" i="1" s="1"/>
  <c r="I2703" i="1"/>
  <c r="O2683" i="1"/>
  <c r="P2683" i="1" s="1"/>
  <c r="D2683" i="1"/>
  <c r="M2683" i="1" s="1"/>
  <c r="C2684" i="1"/>
  <c r="L2684" i="1" s="1"/>
  <c r="D815" i="1" l="1"/>
  <c r="M815" i="1" s="1"/>
  <c r="C816" i="1"/>
  <c r="L815" i="1"/>
  <c r="J2703" i="1"/>
  <c r="D2684" i="1"/>
  <c r="M2684" i="1" s="1"/>
  <c r="O2684" i="1"/>
  <c r="P2684" i="1" s="1"/>
  <c r="C2685" i="1"/>
  <c r="L2685" i="1" s="1"/>
  <c r="D816" i="1" l="1"/>
  <c r="M816" i="1" s="1"/>
  <c r="C817" i="1"/>
  <c r="O816" i="1"/>
  <c r="P816" i="1" s="1"/>
  <c r="L816" i="1"/>
  <c r="D2685" i="1"/>
  <c r="M2685" i="1" s="1"/>
  <c r="O2685" i="1"/>
  <c r="P2685" i="1" s="1"/>
  <c r="C2686" i="1"/>
  <c r="L2686" i="1" s="1"/>
  <c r="D817" i="1" l="1"/>
  <c r="M817" i="1" s="1"/>
  <c r="C818" i="1"/>
  <c r="O817" i="1"/>
  <c r="P817" i="1" s="1"/>
  <c r="L817" i="1"/>
  <c r="O2686" i="1"/>
  <c r="P2686" i="1" s="1"/>
  <c r="D2686" i="1"/>
  <c r="M2686" i="1" s="1"/>
  <c r="C2687" i="1"/>
  <c r="L2687" i="1" s="1"/>
  <c r="D818" i="1" l="1"/>
  <c r="M818" i="1" s="1"/>
  <c r="O818" i="1"/>
  <c r="P818" i="1" s="1"/>
  <c r="C819" i="1"/>
  <c r="L818" i="1"/>
  <c r="D2687" i="1"/>
  <c r="M2687" i="1" s="1"/>
  <c r="O2687" i="1"/>
  <c r="P2687" i="1" s="1"/>
  <c r="C2688" i="1"/>
  <c r="L2688" i="1" s="1"/>
  <c r="D819" i="1" l="1"/>
  <c r="M819" i="1" s="1"/>
  <c r="C820" i="1"/>
  <c r="O819" i="1"/>
  <c r="P819" i="1" s="1"/>
  <c r="L819" i="1"/>
  <c r="D2688" i="1"/>
  <c r="M2688" i="1" s="1"/>
  <c r="O2688" i="1"/>
  <c r="P2688" i="1" s="1"/>
  <c r="C2689" i="1"/>
  <c r="L2689" i="1" s="1"/>
  <c r="D820" i="1" l="1"/>
  <c r="M820" i="1" s="1"/>
  <c r="O820" i="1"/>
  <c r="P820" i="1" s="1"/>
  <c r="C821" i="1"/>
  <c r="L820" i="1"/>
  <c r="D2689" i="1"/>
  <c r="M2689" i="1" s="1"/>
  <c r="O2689" i="1"/>
  <c r="P2689" i="1" s="1"/>
  <c r="C2690" i="1"/>
  <c r="L2690" i="1" s="1"/>
  <c r="D821" i="1" l="1"/>
  <c r="M821" i="1" s="1"/>
  <c r="C822" i="1"/>
  <c r="O821" i="1"/>
  <c r="P821" i="1" s="1"/>
  <c r="L821" i="1"/>
  <c r="O2690" i="1"/>
  <c r="P2690" i="1" s="1"/>
  <c r="D2690" i="1"/>
  <c r="M2690" i="1" s="1"/>
  <c r="C2691" i="1"/>
  <c r="L2691" i="1" s="1"/>
  <c r="D822" i="1" l="1"/>
  <c r="M822" i="1" s="1"/>
  <c r="C823" i="1"/>
  <c r="O822" i="1"/>
  <c r="P822" i="1" s="1"/>
  <c r="L822" i="1"/>
  <c r="D2691" i="1"/>
  <c r="M2691" i="1" s="1"/>
  <c r="O2691" i="1"/>
  <c r="P2691" i="1" s="1"/>
  <c r="C2692" i="1"/>
  <c r="L2692" i="1" s="1"/>
  <c r="D823" i="1" l="1"/>
  <c r="M823" i="1" s="1"/>
  <c r="C824" i="1"/>
  <c r="O823" i="1"/>
  <c r="P823" i="1" s="1"/>
  <c r="L823" i="1"/>
  <c r="I824" i="1"/>
  <c r="D2692" i="1"/>
  <c r="M2692" i="1" s="1"/>
  <c r="O2692" i="1"/>
  <c r="P2692" i="1" s="1"/>
  <c r="C2693" i="1"/>
  <c r="L2693" i="1" s="1"/>
  <c r="O824" i="1" l="1"/>
  <c r="P824" i="1" s="1"/>
  <c r="D824" i="1"/>
  <c r="M824" i="1" s="1"/>
  <c r="C825" i="1"/>
  <c r="L824" i="1"/>
  <c r="I825" i="1"/>
  <c r="J824" i="1"/>
  <c r="D2693" i="1"/>
  <c r="M2693" i="1" s="1"/>
  <c r="O2693" i="1"/>
  <c r="P2693" i="1" s="1"/>
  <c r="C2694" i="1"/>
  <c r="L2694" i="1" s="1"/>
  <c r="D825" i="1" l="1"/>
  <c r="M825" i="1" s="1"/>
  <c r="C826" i="1"/>
  <c r="O825" i="1"/>
  <c r="P825" i="1" s="1"/>
  <c r="L825" i="1"/>
  <c r="J825" i="1"/>
  <c r="J827" i="1" s="1"/>
  <c r="J829" i="1" s="1"/>
  <c r="J831" i="1" s="1"/>
  <c r="I827" i="1"/>
  <c r="I829" i="1" s="1"/>
  <c r="I831" i="1" s="1"/>
  <c r="O2694" i="1"/>
  <c r="P2694" i="1" s="1"/>
  <c r="D2694" i="1"/>
  <c r="M2694" i="1" s="1"/>
  <c r="C2695" i="1"/>
  <c r="L2695" i="1" s="1"/>
  <c r="D826" i="1" l="1"/>
  <c r="M826" i="1" s="1"/>
  <c r="C827" i="1"/>
  <c r="O826" i="1"/>
  <c r="P826" i="1" s="1"/>
  <c r="L826" i="1"/>
  <c r="O2695" i="1"/>
  <c r="P2695" i="1" s="1"/>
  <c r="D2695" i="1"/>
  <c r="M2695" i="1" s="1"/>
  <c r="C2696" i="1"/>
  <c r="L2696" i="1" s="1"/>
  <c r="D827" i="1" l="1"/>
  <c r="M827" i="1" s="1"/>
  <c r="C828" i="1"/>
  <c r="O827" i="1"/>
  <c r="P827" i="1" s="1"/>
  <c r="L827" i="1"/>
  <c r="D2696" i="1"/>
  <c r="M2696" i="1" s="1"/>
  <c r="O2696" i="1"/>
  <c r="P2696" i="1" s="1"/>
  <c r="C2697" i="1"/>
  <c r="L2697" i="1" s="1"/>
  <c r="D828" i="1" l="1"/>
  <c r="M828" i="1" s="1"/>
  <c r="C829" i="1"/>
  <c r="O828" i="1"/>
  <c r="P828" i="1" s="1"/>
  <c r="L828" i="1"/>
  <c r="D2697" i="1"/>
  <c r="M2697" i="1" s="1"/>
  <c r="O2697" i="1"/>
  <c r="P2697" i="1" s="1"/>
  <c r="C2698" i="1"/>
  <c r="L2698" i="1" s="1"/>
  <c r="D829" i="1" l="1"/>
  <c r="M829" i="1" s="1"/>
  <c r="C830" i="1"/>
  <c r="O829" i="1"/>
  <c r="P829" i="1" s="1"/>
  <c r="L829" i="1"/>
  <c r="D2698" i="1"/>
  <c r="M2698" i="1" s="1"/>
  <c r="O2698" i="1"/>
  <c r="P2698" i="1" s="1"/>
  <c r="C2699" i="1"/>
  <c r="L2699" i="1" s="1"/>
  <c r="D830" i="1" l="1"/>
  <c r="M830" i="1" s="1"/>
  <c r="C831" i="1"/>
  <c r="O830" i="1"/>
  <c r="P830" i="1" s="1"/>
  <c r="L830" i="1"/>
  <c r="D2699" i="1"/>
  <c r="M2699" i="1" s="1"/>
  <c r="O2699" i="1"/>
  <c r="P2699" i="1" s="1"/>
  <c r="C2700" i="1"/>
  <c r="L2700" i="1" s="1"/>
  <c r="D831" i="1" l="1"/>
  <c r="M831" i="1" s="1"/>
  <c r="C832" i="1"/>
  <c r="O831" i="1"/>
  <c r="P831" i="1" s="1"/>
  <c r="L831" i="1"/>
  <c r="D2700" i="1"/>
  <c r="M2700" i="1" s="1"/>
  <c r="O2700" i="1"/>
  <c r="P2700" i="1" s="1"/>
  <c r="C2701" i="1"/>
  <c r="L2701" i="1" s="1"/>
  <c r="C833" i="1" l="1"/>
  <c r="O832" i="1"/>
  <c r="P832" i="1" s="1"/>
  <c r="D832" i="1"/>
  <c r="M832" i="1" s="1"/>
  <c r="L832" i="1"/>
  <c r="D2701" i="1"/>
  <c r="M2701" i="1" s="1"/>
  <c r="O2701" i="1"/>
  <c r="P2701" i="1" s="1"/>
  <c r="C2702" i="1"/>
  <c r="L2702" i="1" s="1"/>
  <c r="D833" i="1" l="1"/>
  <c r="M833" i="1" s="1"/>
  <c r="C834" i="1"/>
  <c r="O833" i="1"/>
  <c r="P833" i="1" s="1"/>
  <c r="L833" i="1"/>
  <c r="D2702" i="1"/>
  <c r="M2702" i="1" s="1"/>
  <c r="O2702" i="1"/>
  <c r="P2702" i="1" s="1"/>
  <c r="C2703" i="1"/>
  <c r="L2703" i="1" s="1"/>
  <c r="D834" i="1" l="1"/>
  <c r="M834" i="1" s="1"/>
  <c r="C835" i="1"/>
  <c r="O834" i="1"/>
  <c r="P834" i="1" s="1"/>
  <c r="L834" i="1"/>
  <c r="O2703" i="1"/>
  <c r="P2703" i="1" s="1"/>
  <c r="D2703" i="1"/>
  <c r="M2703" i="1" s="1"/>
  <c r="C2704" i="1"/>
  <c r="L2704" i="1" s="1"/>
  <c r="D835" i="1" l="1"/>
  <c r="M835" i="1" s="1"/>
  <c r="C836" i="1"/>
  <c r="O835" i="1"/>
  <c r="P835" i="1" s="1"/>
  <c r="L835" i="1"/>
  <c r="D2704" i="1"/>
  <c r="M2704" i="1" s="1"/>
  <c r="O2704" i="1"/>
  <c r="P2704" i="1" s="1"/>
  <c r="C2705" i="1"/>
  <c r="L2705" i="1" s="1"/>
  <c r="D836" i="1" l="1"/>
  <c r="M836" i="1" s="1"/>
  <c r="O836" i="1"/>
  <c r="P836" i="1" s="1"/>
  <c r="C837" i="1"/>
  <c r="L836" i="1"/>
  <c r="D2705" i="1"/>
  <c r="M2705" i="1" s="1"/>
  <c r="O2705" i="1"/>
  <c r="P2705" i="1" s="1"/>
  <c r="C2706" i="1"/>
  <c r="L2706" i="1" s="1"/>
  <c r="D837" i="1" l="1"/>
  <c r="M837" i="1" s="1"/>
  <c r="C838" i="1"/>
  <c r="O837" i="1"/>
  <c r="P837" i="1" s="1"/>
  <c r="L837" i="1"/>
  <c r="D2706" i="1"/>
  <c r="M2706" i="1" s="1"/>
  <c r="O2706" i="1"/>
  <c r="P2706" i="1" s="1"/>
  <c r="C2707" i="1"/>
  <c r="L2707" i="1" s="1"/>
  <c r="C839" i="1" l="1"/>
  <c r="O838" i="1"/>
  <c r="P838" i="1" s="1"/>
  <c r="D838" i="1"/>
  <c r="M838" i="1" s="1"/>
  <c r="L838" i="1"/>
  <c r="D2707" i="1"/>
  <c r="M2707" i="1" s="1"/>
  <c r="O2707" i="1"/>
  <c r="P2707" i="1" s="1"/>
  <c r="C2708" i="1"/>
  <c r="L2708" i="1" s="1"/>
  <c r="D839" i="1" l="1"/>
  <c r="M839" i="1" s="1"/>
  <c r="C840" i="1"/>
  <c r="O839" i="1"/>
  <c r="P839" i="1" s="1"/>
  <c r="L839" i="1"/>
  <c r="O2708" i="1"/>
  <c r="P2708" i="1" s="1"/>
  <c r="D2708" i="1"/>
  <c r="M2708" i="1" s="1"/>
  <c r="C2709" i="1"/>
  <c r="L2709" i="1" s="1"/>
  <c r="D840" i="1" l="1"/>
  <c r="M840" i="1" s="1"/>
  <c r="C841" i="1"/>
  <c r="O840" i="1"/>
  <c r="P840" i="1" s="1"/>
  <c r="L840" i="1"/>
  <c r="O2709" i="1"/>
  <c r="P2709" i="1" s="1"/>
  <c r="D2709" i="1"/>
  <c r="M2709" i="1" s="1"/>
  <c r="C2710" i="1"/>
  <c r="D841" i="1" l="1"/>
  <c r="M841" i="1" s="1"/>
  <c r="C842" i="1"/>
  <c r="O841" i="1"/>
  <c r="P841" i="1" s="1"/>
  <c r="L841" i="1"/>
  <c r="I2711" i="1"/>
  <c r="L2710" i="1"/>
  <c r="D2710" i="1"/>
  <c r="M2710" i="1" s="1"/>
  <c r="O2710" i="1"/>
  <c r="C2711" i="1"/>
  <c r="L2711" i="1" s="1"/>
  <c r="C843" i="1" l="1"/>
  <c r="O842" i="1"/>
  <c r="P842" i="1" s="1"/>
  <c r="D842" i="1"/>
  <c r="M842" i="1" s="1"/>
  <c r="L842" i="1"/>
  <c r="I2716" i="1"/>
  <c r="I2721" i="1"/>
  <c r="I2722" i="1" s="1"/>
  <c r="J2711" i="1"/>
  <c r="I2712" i="1"/>
  <c r="D2711" i="1"/>
  <c r="M2711" i="1" s="1"/>
  <c r="O2711" i="1"/>
  <c r="C2712" i="1"/>
  <c r="L2712" i="1" s="1"/>
  <c r="O843" i="1" l="1"/>
  <c r="P843" i="1" s="1"/>
  <c r="D843" i="1"/>
  <c r="M843" i="1" s="1"/>
  <c r="C844" i="1"/>
  <c r="L843" i="1"/>
  <c r="J2721" i="1"/>
  <c r="J2722" i="1" s="1"/>
  <c r="J2716" i="1"/>
  <c r="I2714" i="1"/>
  <c r="I2730" i="1" s="1"/>
  <c r="I2731" i="1" s="1"/>
  <c r="J2712" i="1"/>
  <c r="J2714" i="1" s="1"/>
  <c r="J2730" i="1" s="1"/>
  <c r="J2731" i="1" s="1"/>
  <c r="O2712" i="1"/>
  <c r="D2712" i="1"/>
  <c r="M2712" i="1" s="1"/>
  <c r="C2713" i="1"/>
  <c r="L2713" i="1" s="1"/>
  <c r="D844" i="1" l="1"/>
  <c r="M844" i="1" s="1"/>
  <c r="C845" i="1"/>
  <c r="O844" i="1"/>
  <c r="P844" i="1" s="1"/>
  <c r="L844" i="1"/>
  <c r="J2723" i="1"/>
  <c r="J2724" i="1" s="1"/>
  <c r="J2726" i="1" s="1"/>
  <c r="J2717" i="1"/>
  <c r="J2718" i="1" s="1"/>
  <c r="J2727" i="1" s="1"/>
  <c r="D2713" i="1"/>
  <c r="M2713" i="1" s="1"/>
  <c r="O2713" i="1"/>
  <c r="C2714" i="1"/>
  <c r="L2714" i="1" s="1"/>
  <c r="D845" i="1" l="1"/>
  <c r="M845" i="1" s="1"/>
  <c r="C846" i="1"/>
  <c r="O845" i="1"/>
  <c r="P845" i="1" s="1"/>
  <c r="L845" i="1"/>
  <c r="J2728" i="1"/>
  <c r="D2714" i="1"/>
  <c r="M2714" i="1" s="1"/>
  <c r="O2714" i="1"/>
  <c r="C2715" i="1"/>
  <c r="L2715" i="1" s="1"/>
  <c r="D846" i="1" l="1"/>
  <c r="M846" i="1" s="1"/>
  <c r="C847" i="1"/>
  <c r="O846" i="1"/>
  <c r="P846" i="1" s="1"/>
  <c r="L846" i="1"/>
  <c r="B2719" i="1"/>
  <c r="B2711" i="1"/>
  <c r="P2711" i="1" s="1"/>
  <c r="B2715" i="1"/>
  <c r="B2732" i="1"/>
  <c r="B2725" i="1"/>
  <c r="B2713" i="1"/>
  <c r="P2713" i="1" s="1"/>
  <c r="B2710" i="1"/>
  <c r="P2710" i="1" s="1"/>
  <c r="B2714" i="1"/>
  <c r="P2714" i="1" s="1"/>
  <c r="B2716" i="1"/>
  <c r="B2718" i="1"/>
  <c r="B2721" i="1"/>
  <c r="B2723" i="1"/>
  <c r="B2726" i="1"/>
  <c r="B2728" i="1"/>
  <c r="B2731" i="1"/>
  <c r="B2733" i="1"/>
  <c r="B2738" i="1"/>
  <c r="B2735" i="1"/>
  <c r="B2737" i="1"/>
  <c r="B2712" i="1"/>
  <c r="P2712" i="1" s="1"/>
  <c r="B2729" i="1"/>
  <c r="B2734" i="1"/>
  <c r="B2739" i="1"/>
  <c r="B2740" i="1"/>
  <c r="B2741" i="1" s="1"/>
  <c r="B2717" i="1"/>
  <c r="B2720" i="1"/>
  <c r="B2722" i="1"/>
  <c r="B2724" i="1"/>
  <c r="B2727" i="1"/>
  <c r="B2730" i="1"/>
  <c r="B2736" i="1"/>
  <c r="D2715" i="1"/>
  <c r="M2715" i="1" s="1"/>
  <c r="O2715" i="1"/>
  <c r="C2716" i="1"/>
  <c r="L2716" i="1" s="1"/>
  <c r="D847" i="1" l="1"/>
  <c r="M847" i="1" s="1"/>
  <c r="C848" i="1"/>
  <c r="O847" i="1"/>
  <c r="P847" i="1" s="1"/>
  <c r="L847" i="1"/>
  <c r="B2742" i="1"/>
  <c r="B2743" i="1" s="1"/>
  <c r="B2744" i="1" s="1"/>
  <c r="B2745" i="1" s="1"/>
  <c r="B2746" i="1" s="1"/>
  <c r="B2747" i="1" s="1"/>
  <c r="B2748" i="1" s="1"/>
  <c r="B2749" i="1" s="1"/>
  <c r="J2752" i="1"/>
  <c r="J2759" i="1"/>
  <c r="P2715" i="1"/>
  <c r="D2716" i="1"/>
  <c r="M2716" i="1" s="1"/>
  <c r="O2716" i="1"/>
  <c r="P2716" i="1" s="1"/>
  <c r="C2717" i="1"/>
  <c r="L2717" i="1" s="1"/>
  <c r="D848" i="1" l="1"/>
  <c r="M848" i="1" s="1"/>
  <c r="C849" i="1"/>
  <c r="O848" i="1"/>
  <c r="P848" i="1" s="1"/>
  <c r="L848" i="1"/>
  <c r="O2717" i="1"/>
  <c r="P2717" i="1" s="1"/>
  <c r="D2717" i="1"/>
  <c r="M2717" i="1" s="1"/>
  <c r="C2718" i="1"/>
  <c r="L2718" i="1" s="1"/>
  <c r="D849" i="1" l="1"/>
  <c r="M849" i="1" s="1"/>
  <c r="C850" i="1"/>
  <c r="O849" i="1"/>
  <c r="P849" i="1" s="1"/>
  <c r="L849" i="1"/>
  <c r="D2718" i="1"/>
  <c r="M2718" i="1" s="1"/>
  <c r="O2718" i="1"/>
  <c r="P2718" i="1" s="1"/>
  <c r="C2719" i="1"/>
  <c r="L2719" i="1" s="1"/>
  <c r="D850" i="1" l="1"/>
  <c r="M850" i="1" s="1"/>
  <c r="O850" i="1"/>
  <c r="P850" i="1" s="1"/>
  <c r="C851" i="1"/>
  <c r="L850" i="1"/>
  <c r="D2719" i="1"/>
  <c r="M2719" i="1" s="1"/>
  <c r="O2719" i="1"/>
  <c r="P2719" i="1" s="1"/>
  <c r="C2720" i="1"/>
  <c r="L2720" i="1" s="1"/>
  <c r="C852" i="1" l="1"/>
  <c r="O851" i="1"/>
  <c r="P851" i="1" s="1"/>
  <c r="D851" i="1"/>
  <c r="M851" i="1" s="1"/>
  <c r="L851" i="1"/>
  <c r="D2720" i="1"/>
  <c r="M2720" i="1" s="1"/>
  <c r="O2720" i="1"/>
  <c r="P2720" i="1" s="1"/>
  <c r="C2721" i="1"/>
  <c r="L2721" i="1" s="1"/>
  <c r="D852" i="1" l="1"/>
  <c r="M852" i="1" s="1"/>
  <c r="C853" i="1"/>
  <c r="O852" i="1"/>
  <c r="P852" i="1" s="1"/>
  <c r="L852" i="1"/>
  <c r="D2721" i="1"/>
  <c r="M2721" i="1" s="1"/>
  <c r="O2721" i="1"/>
  <c r="P2721" i="1" s="1"/>
  <c r="C2722" i="1"/>
  <c r="L2722" i="1" s="1"/>
  <c r="C854" i="1" l="1"/>
  <c r="D853" i="1"/>
  <c r="M853" i="1" s="1"/>
  <c r="O853" i="1"/>
  <c r="P853" i="1" s="1"/>
  <c r="L853" i="1"/>
  <c r="D2722" i="1"/>
  <c r="M2722" i="1" s="1"/>
  <c r="O2722" i="1"/>
  <c r="P2722" i="1" s="1"/>
  <c r="C2723" i="1"/>
  <c r="L2723" i="1" s="1"/>
  <c r="D854" i="1" l="1"/>
  <c r="M854" i="1" s="1"/>
  <c r="C855" i="1"/>
  <c r="O854" i="1"/>
  <c r="P854" i="1" s="1"/>
  <c r="L854" i="1"/>
  <c r="I855" i="1"/>
  <c r="D2723" i="1"/>
  <c r="M2723" i="1" s="1"/>
  <c r="O2723" i="1"/>
  <c r="P2723" i="1" s="1"/>
  <c r="C2724" i="1"/>
  <c r="L2724" i="1" s="1"/>
  <c r="D855" i="1" l="1"/>
  <c r="M855" i="1" s="1"/>
  <c r="C856" i="1"/>
  <c r="O855" i="1"/>
  <c r="P855" i="1" s="1"/>
  <c r="L855" i="1"/>
  <c r="J855" i="1"/>
  <c r="I856" i="1"/>
  <c r="D2724" i="1"/>
  <c r="M2724" i="1" s="1"/>
  <c r="O2724" i="1"/>
  <c r="P2724" i="1" s="1"/>
  <c r="C2725" i="1"/>
  <c r="L2725" i="1" s="1"/>
  <c r="D856" i="1" l="1"/>
  <c r="M856" i="1" s="1"/>
  <c r="C857" i="1"/>
  <c r="O856" i="1"/>
  <c r="P856" i="1" s="1"/>
  <c r="L856" i="1"/>
  <c r="J856" i="1"/>
  <c r="J858" i="1" s="1"/>
  <c r="J860" i="1" s="1"/>
  <c r="J862" i="1" s="1"/>
  <c r="I858" i="1"/>
  <c r="I860" i="1" s="1"/>
  <c r="I862" i="1" s="1"/>
  <c r="O2725" i="1"/>
  <c r="P2725" i="1" s="1"/>
  <c r="D2725" i="1"/>
  <c r="M2725" i="1" s="1"/>
  <c r="C2726" i="1"/>
  <c r="L2726" i="1" s="1"/>
  <c r="D857" i="1" l="1"/>
  <c r="M857" i="1" s="1"/>
  <c r="C858" i="1"/>
  <c r="O857" i="1"/>
  <c r="P857" i="1" s="1"/>
  <c r="L857" i="1"/>
  <c r="D2726" i="1"/>
  <c r="M2726" i="1" s="1"/>
  <c r="O2726" i="1"/>
  <c r="P2726" i="1" s="1"/>
  <c r="C2727" i="1"/>
  <c r="L2727" i="1" s="1"/>
  <c r="D858" i="1" l="1"/>
  <c r="M858" i="1" s="1"/>
  <c r="C859" i="1"/>
  <c r="O858" i="1"/>
  <c r="P858" i="1" s="1"/>
  <c r="L858" i="1"/>
  <c r="O2727" i="1"/>
  <c r="P2727" i="1" s="1"/>
  <c r="D2727" i="1"/>
  <c r="M2727" i="1" s="1"/>
  <c r="C2728" i="1"/>
  <c r="L2728" i="1" s="1"/>
  <c r="C860" i="1" l="1"/>
  <c r="D859" i="1"/>
  <c r="M859" i="1" s="1"/>
  <c r="O859" i="1"/>
  <c r="P859" i="1" s="1"/>
  <c r="L859" i="1"/>
  <c r="O2728" i="1"/>
  <c r="P2728" i="1" s="1"/>
  <c r="D2728" i="1"/>
  <c r="M2728" i="1" s="1"/>
  <c r="C2729" i="1"/>
  <c r="L2729" i="1" s="1"/>
  <c r="D860" i="1" l="1"/>
  <c r="M860" i="1" s="1"/>
  <c r="C861" i="1"/>
  <c r="O860" i="1"/>
  <c r="P860" i="1" s="1"/>
  <c r="L860" i="1"/>
  <c r="D2729" i="1"/>
  <c r="M2729" i="1" s="1"/>
  <c r="O2729" i="1"/>
  <c r="P2729" i="1" s="1"/>
  <c r="C2730" i="1"/>
  <c r="L2730" i="1" s="1"/>
  <c r="D861" i="1" l="1"/>
  <c r="M861" i="1" s="1"/>
  <c r="C862" i="1"/>
  <c r="O861" i="1"/>
  <c r="P861" i="1" s="1"/>
  <c r="L861" i="1"/>
  <c r="D2730" i="1"/>
  <c r="M2730" i="1" s="1"/>
  <c r="O2730" i="1"/>
  <c r="P2730" i="1" s="1"/>
  <c r="C2731" i="1"/>
  <c r="L2731" i="1" s="1"/>
  <c r="D862" i="1" l="1"/>
  <c r="M862" i="1" s="1"/>
  <c r="C863" i="1"/>
  <c r="O862" i="1"/>
  <c r="P862" i="1" s="1"/>
  <c r="L862" i="1"/>
  <c r="D2731" i="1"/>
  <c r="M2731" i="1" s="1"/>
  <c r="O2731" i="1"/>
  <c r="P2731" i="1" s="1"/>
  <c r="C2732" i="1"/>
  <c r="L2732" i="1" s="1"/>
  <c r="D863" i="1" l="1"/>
  <c r="M863" i="1" s="1"/>
  <c r="C864" i="1"/>
  <c r="O863" i="1"/>
  <c r="P863" i="1" s="1"/>
  <c r="L863" i="1"/>
  <c r="O2732" i="1"/>
  <c r="P2732" i="1" s="1"/>
  <c r="D2732" i="1"/>
  <c r="M2732" i="1" s="1"/>
  <c r="C2733" i="1"/>
  <c r="L2733" i="1" s="1"/>
  <c r="C865" i="1" l="1"/>
  <c r="D864" i="1"/>
  <c r="M864" i="1" s="1"/>
  <c r="O864" i="1"/>
  <c r="P864" i="1" s="1"/>
  <c r="L864" i="1"/>
  <c r="D2733" i="1"/>
  <c r="M2733" i="1" s="1"/>
  <c r="O2733" i="1"/>
  <c r="P2733" i="1" s="1"/>
  <c r="C2734" i="1"/>
  <c r="L2734" i="1" s="1"/>
  <c r="D865" i="1" l="1"/>
  <c r="M865" i="1" s="1"/>
  <c r="C866" i="1"/>
  <c r="O865" i="1"/>
  <c r="P865" i="1" s="1"/>
  <c r="L865" i="1"/>
  <c r="D2734" i="1"/>
  <c r="M2734" i="1" s="1"/>
  <c r="O2734" i="1"/>
  <c r="P2734" i="1" s="1"/>
  <c r="C2735" i="1"/>
  <c r="L2735" i="1" s="1"/>
  <c r="D866" i="1" l="1"/>
  <c r="M866" i="1" s="1"/>
  <c r="C867" i="1"/>
  <c r="O866" i="1"/>
  <c r="P866" i="1" s="1"/>
  <c r="L866" i="1"/>
  <c r="D2735" i="1"/>
  <c r="M2735" i="1" s="1"/>
  <c r="O2735" i="1"/>
  <c r="P2735" i="1" s="1"/>
  <c r="C2736" i="1"/>
  <c r="L2736" i="1" s="1"/>
  <c r="D867" i="1" l="1"/>
  <c r="M867" i="1" s="1"/>
  <c r="C868" i="1"/>
  <c r="L867" i="1"/>
  <c r="O2736" i="1"/>
  <c r="P2736" i="1" s="1"/>
  <c r="D2736" i="1"/>
  <c r="M2736" i="1" s="1"/>
  <c r="C2737" i="1"/>
  <c r="L2737" i="1" s="1"/>
  <c r="D868" i="1" l="1"/>
  <c r="M868" i="1" s="1"/>
  <c r="C869" i="1"/>
  <c r="L868" i="1"/>
  <c r="D2737" i="1"/>
  <c r="M2737" i="1" s="1"/>
  <c r="P2737" i="1"/>
  <c r="C2738" i="1"/>
  <c r="L2738" i="1" s="1"/>
  <c r="D869" i="1" l="1"/>
  <c r="M869" i="1" s="1"/>
  <c r="C870" i="1"/>
  <c r="O869" i="1"/>
  <c r="P869" i="1" s="1"/>
  <c r="L869" i="1"/>
  <c r="O2738" i="1"/>
  <c r="P2738" i="1" s="1"/>
  <c r="D2738" i="1"/>
  <c r="M2738" i="1" s="1"/>
  <c r="C2739" i="1"/>
  <c r="L2739" i="1" s="1"/>
  <c r="D870" i="1" l="1"/>
  <c r="M870" i="1" s="1"/>
  <c r="C871" i="1"/>
  <c r="O870" i="1"/>
  <c r="P870" i="1" s="1"/>
  <c r="L870" i="1"/>
  <c r="D2739" i="1"/>
  <c r="M2739" i="1" s="1"/>
  <c r="O2739" i="1"/>
  <c r="P2739" i="1" s="1"/>
  <c r="C2740" i="1"/>
  <c r="L2740" i="1" s="1"/>
  <c r="D871" i="1" l="1"/>
  <c r="M871" i="1" s="1"/>
  <c r="C872" i="1"/>
  <c r="O871" i="1"/>
  <c r="P871" i="1" s="1"/>
  <c r="L871" i="1"/>
  <c r="P2740" i="1"/>
  <c r="D2740" i="1"/>
  <c r="M2740" i="1" s="1"/>
  <c r="C2741" i="1"/>
  <c r="I2742" i="1" s="1"/>
  <c r="D872" i="1" l="1"/>
  <c r="M872" i="1" s="1"/>
  <c r="C873" i="1"/>
  <c r="O872" i="1"/>
  <c r="P872" i="1" s="1"/>
  <c r="L872" i="1"/>
  <c r="J2742" i="1"/>
  <c r="I2743" i="1"/>
  <c r="I2750" i="1"/>
  <c r="I2756" i="1"/>
  <c r="I2757" i="1" s="1"/>
  <c r="L2741" i="1"/>
  <c r="I2717" i="1"/>
  <c r="I2718" i="1" s="1"/>
  <c r="I2727" i="1" s="1"/>
  <c r="I2723" i="1"/>
  <c r="I2724" i="1" s="1"/>
  <c r="I2726" i="1" s="1"/>
  <c r="O2741" i="1"/>
  <c r="P2741" i="1" s="1"/>
  <c r="D2741" i="1"/>
  <c r="M2741" i="1" s="1"/>
  <c r="C2742" i="1"/>
  <c r="L2742" i="1" s="1"/>
  <c r="D873" i="1" l="1"/>
  <c r="M873" i="1" s="1"/>
  <c r="C874" i="1"/>
  <c r="O873" i="1"/>
  <c r="P873" i="1" s="1"/>
  <c r="L873" i="1"/>
  <c r="I2728" i="1"/>
  <c r="J2756" i="1"/>
  <c r="J2757" i="1" s="1"/>
  <c r="J2750" i="1"/>
  <c r="J2743" i="1"/>
  <c r="I2747" i="1"/>
  <c r="I2748" i="1"/>
  <c r="D2742" i="1"/>
  <c r="M2742" i="1" s="1"/>
  <c r="O2742" i="1"/>
  <c r="P2742" i="1" s="1"/>
  <c r="C2743" i="1"/>
  <c r="L2743" i="1" s="1"/>
  <c r="D874" i="1" l="1"/>
  <c r="M874" i="1" s="1"/>
  <c r="C875" i="1"/>
  <c r="O874" i="1"/>
  <c r="P874" i="1" s="1"/>
  <c r="L874" i="1"/>
  <c r="J2748" i="1"/>
  <c r="J2747" i="1"/>
  <c r="I2766" i="1"/>
  <c r="I2767" i="1" s="1"/>
  <c r="I2758" i="1"/>
  <c r="I2751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7" i="1"/>
  <c r="A2730" i="1"/>
  <c r="A2734" i="1"/>
  <c r="A2729" i="1"/>
  <c r="A2735" i="1"/>
  <c r="A2737" i="1"/>
  <c r="A2738" i="1"/>
  <c r="A2740" i="1"/>
  <c r="A2741" i="1" s="1"/>
  <c r="A2722" i="1"/>
  <c r="A2723" i="1"/>
  <c r="A2725" i="1"/>
  <c r="A2726" i="1"/>
  <c r="A2728" i="1"/>
  <c r="A2731" i="1"/>
  <c r="A2733" i="1"/>
  <c r="A2724" i="1"/>
  <c r="A2732" i="1"/>
  <c r="A2736" i="1"/>
  <c r="A2739" i="1"/>
  <c r="O2743" i="1"/>
  <c r="P2743" i="1" s="1"/>
  <c r="D2743" i="1"/>
  <c r="M2743" i="1" s="1"/>
  <c r="C2744" i="1"/>
  <c r="L2744" i="1" s="1"/>
  <c r="D875" i="1" l="1"/>
  <c r="M875" i="1" s="1"/>
  <c r="C876" i="1"/>
  <c r="O875" i="1"/>
  <c r="P875" i="1" s="1"/>
  <c r="L875" i="1"/>
  <c r="J2766" i="1"/>
  <c r="J2767" i="1" s="1"/>
  <c r="J2751" i="1"/>
  <c r="J2753" i="1" s="1"/>
  <c r="J2763" i="1" s="1"/>
  <c r="J2758" i="1"/>
  <c r="J2760" i="1" s="1"/>
  <c r="J2762" i="1" s="1"/>
  <c r="A2742" i="1"/>
  <c r="A2743" i="1" s="1"/>
  <c r="A2744" i="1" s="1"/>
  <c r="A2745" i="1" s="1"/>
  <c r="A2746" i="1" s="1"/>
  <c r="A2747" i="1" s="1"/>
  <c r="A2748" i="1" s="1"/>
  <c r="A2749" i="1" s="1"/>
  <c r="I2752" i="1"/>
  <c r="I2753" i="1" s="1"/>
  <c r="I2763" i="1" s="1"/>
  <c r="I2759" i="1"/>
  <c r="I2760" i="1" s="1"/>
  <c r="I2762" i="1" s="1"/>
  <c r="D2744" i="1"/>
  <c r="M2744" i="1" s="1"/>
  <c r="O2744" i="1"/>
  <c r="P2744" i="1" s="1"/>
  <c r="C2745" i="1"/>
  <c r="L2745" i="1" s="1"/>
  <c r="C877" i="1" l="1"/>
  <c r="D876" i="1"/>
  <c r="M876" i="1" s="1"/>
  <c r="O876" i="1"/>
  <c r="P876" i="1" s="1"/>
  <c r="L876" i="1"/>
  <c r="J2764" i="1"/>
  <c r="I2764" i="1"/>
  <c r="O2745" i="1"/>
  <c r="P2745" i="1" s="1"/>
  <c r="D2745" i="1"/>
  <c r="M2745" i="1" s="1"/>
  <c r="C2746" i="1"/>
  <c r="L2746" i="1" s="1"/>
  <c r="D877" i="1" l="1"/>
  <c r="M877" i="1" s="1"/>
  <c r="O877" i="1"/>
  <c r="P877" i="1" s="1"/>
  <c r="C878" i="1"/>
  <c r="L877" i="1"/>
  <c r="B2770" i="1"/>
  <c r="B2752" i="1"/>
  <c r="B2767" i="1"/>
  <c r="B2766" i="1"/>
  <c r="B2763" i="1"/>
  <c r="B2751" i="1"/>
  <c r="B2768" i="1"/>
  <c r="B2765" i="1"/>
  <c r="B2762" i="1"/>
  <c r="B2758" i="1"/>
  <c r="B2755" i="1"/>
  <c r="B2753" i="1"/>
  <c r="B2769" i="1"/>
  <c r="B2764" i="1"/>
  <c r="B2761" i="1"/>
  <c r="B2760" i="1"/>
  <c r="B2759" i="1"/>
  <c r="B2757" i="1"/>
  <c r="B2756" i="1"/>
  <c r="B2754" i="1"/>
  <c r="B2750" i="1"/>
  <c r="A2750" i="1"/>
  <c r="A2752" i="1"/>
  <c r="A2753" i="1"/>
  <c r="A2763" i="1"/>
  <c r="A2766" i="1"/>
  <c r="A2768" i="1"/>
  <c r="A2751" i="1"/>
  <c r="A2760" i="1"/>
  <c r="A2764" i="1"/>
  <c r="A2767" i="1"/>
  <c r="A2770" i="1"/>
  <c r="A2755" i="1"/>
  <c r="A2754" i="1"/>
  <c r="A2756" i="1"/>
  <c r="A2757" i="1"/>
  <c r="A2758" i="1"/>
  <c r="A2759" i="1"/>
  <c r="A2761" i="1"/>
  <c r="A2762" i="1"/>
  <c r="A2765" i="1"/>
  <c r="A2769" i="1"/>
  <c r="D2746" i="1"/>
  <c r="M2746" i="1" s="1"/>
  <c r="O2746" i="1"/>
  <c r="P2746" i="1" s="1"/>
  <c r="C2747" i="1"/>
  <c r="L2747" i="1" s="1"/>
  <c r="C879" i="1" l="1"/>
  <c r="D878" i="1"/>
  <c r="M878" i="1" s="1"/>
  <c r="O878" i="1"/>
  <c r="P878" i="1" s="1"/>
  <c r="L878" i="1"/>
  <c r="J2782" i="1"/>
  <c r="J2789" i="1"/>
  <c r="I2782" i="1"/>
  <c r="I2789" i="1"/>
  <c r="O2747" i="1"/>
  <c r="P2747" i="1" s="1"/>
  <c r="D2747" i="1"/>
  <c r="M2747" i="1" s="1"/>
  <c r="C2748" i="1"/>
  <c r="L2748" i="1" s="1"/>
  <c r="D879" i="1" l="1"/>
  <c r="M879" i="1" s="1"/>
  <c r="C880" i="1"/>
  <c r="O879" i="1"/>
  <c r="P879" i="1" s="1"/>
  <c r="L879" i="1"/>
  <c r="O2748" i="1"/>
  <c r="P2748" i="1" s="1"/>
  <c r="D2748" i="1"/>
  <c r="M2748" i="1" s="1"/>
  <c r="C2749" i="1"/>
  <c r="L2749" i="1" s="1"/>
  <c r="D880" i="1" l="1"/>
  <c r="M880" i="1" s="1"/>
  <c r="C881" i="1"/>
  <c r="O880" i="1"/>
  <c r="P880" i="1" s="1"/>
  <c r="L880" i="1"/>
  <c r="D2749" i="1"/>
  <c r="M2749" i="1" s="1"/>
  <c r="O2749" i="1"/>
  <c r="P2749" i="1" s="1"/>
  <c r="C2750" i="1"/>
  <c r="L2750" i="1" s="1"/>
  <c r="D881" i="1" l="1"/>
  <c r="M881" i="1" s="1"/>
  <c r="C882" i="1"/>
  <c r="O881" i="1"/>
  <c r="P881" i="1" s="1"/>
  <c r="L881" i="1"/>
  <c r="D2750" i="1"/>
  <c r="M2750" i="1" s="1"/>
  <c r="O2750" i="1"/>
  <c r="P2750" i="1" s="1"/>
  <c r="C2751" i="1"/>
  <c r="L2751" i="1" s="1"/>
  <c r="D882" i="1" l="1"/>
  <c r="M882" i="1" s="1"/>
  <c r="C883" i="1"/>
  <c r="O882" i="1"/>
  <c r="P882" i="1" s="1"/>
  <c r="L882" i="1"/>
  <c r="D2751" i="1"/>
  <c r="M2751" i="1" s="1"/>
  <c r="O2751" i="1"/>
  <c r="P2751" i="1" s="1"/>
  <c r="C2752" i="1"/>
  <c r="L2752" i="1" s="1"/>
  <c r="D883" i="1" l="1"/>
  <c r="M883" i="1" s="1"/>
  <c r="C884" i="1"/>
  <c r="O883" i="1"/>
  <c r="P883" i="1" s="1"/>
  <c r="L883" i="1"/>
  <c r="O2752" i="1"/>
  <c r="P2752" i="1" s="1"/>
  <c r="D2752" i="1"/>
  <c r="M2752" i="1" s="1"/>
  <c r="C2753" i="1"/>
  <c r="L2753" i="1" s="1"/>
  <c r="D884" i="1" l="1"/>
  <c r="M884" i="1" s="1"/>
  <c r="C885" i="1"/>
  <c r="O884" i="1"/>
  <c r="P884" i="1" s="1"/>
  <c r="L884" i="1"/>
  <c r="I885" i="1"/>
  <c r="D2753" i="1"/>
  <c r="M2753" i="1" s="1"/>
  <c r="O2753" i="1"/>
  <c r="P2753" i="1" s="1"/>
  <c r="C2754" i="1"/>
  <c r="L2754" i="1" s="1"/>
  <c r="D885" i="1" l="1"/>
  <c r="M885" i="1" s="1"/>
  <c r="C886" i="1"/>
  <c r="O885" i="1"/>
  <c r="P885" i="1" s="1"/>
  <c r="L885" i="1"/>
  <c r="J885" i="1"/>
  <c r="I886" i="1"/>
  <c r="O2754" i="1"/>
  <c r="P2754" i="1" s="1"/>
  <c r="D2754" i="1"/>
  <c r="M2754" i="1" s="1"/>
  <c r="C2755" i="1"/>
  <c r="L2755" i="1" s="1"/>
  <c r="D886" i="1" l="1"/>
  <c r="M886" i="1" s="1"/>
  <c r="C887" i="1"/>
  <c r="O886" i="1"/>
  <c r="P886" i="1" s="1"/>
  <c r="L886" i="1"/>
  <c r="I888" i="1"/>
  <c r="I890" i="1" s="1"/>
  <c r="I892" i="1" s="1"/>
  <c r="J886" i="1"/>
  <c r="J888" i="1" s="1"/>
  <c r="J890" i="1" s="1"/>
  <c r="J892" i="1" s="1"/>
  <c r="D2755" i="1"/>
  <c r="M2755" i="1" s="1"/>
  <c r="O2755" i="1"/>
  <c r="P2755" i="1" s="1"/>
  <c r="C2756" i="1"/>
  <c r="L2756" i="1" s="1"/>
  <c r="D887" i="1" l="1"/>
  <c r="M887" i="1" s="1"/>
  <c r="C888" i="1"/>
  <c r="O887" i="1"/>
  <c r="P887" i="1" s="1"/>
  <c r="L887" i="1"/>
  <c r="D2756" i="1"/>
  <c r="M2756" i="1" s="1"/>
  <c r="O2756" i="1"/>
  <c r="P2756" i="1" s="1"/>
  <c r="C2757" i="1"/>
  <c r="L2757" i="1" s="1"/>
  <c r="O888" i="1" l="1"/>
  <c r="P888" i="1" s="1"/>
  <c r="D888" i="1"/>
  <c r="M888" i="1" s="1"/>
  <c r="C889" i="1"/>
  <c r="L888" i="1"/>
  <c r="P2757" i="1"/>
  <c r="D2757" i="1"/>
  <c r="M2757" i="1" s="1"/>
  <c r="C2758" i="1"/>
  <c r="L2758" i="1" s="1"/>
  <c r="D889" i="1" l="1"/>
  <c r="M889" i="1" s="1"/>
  <c r="O889" i="1"/>
  <c r="P889" i="1" s="1"/>
  <c r="C890" i="1"/>
  <c r="L889" i="1"/>
  <c r="D2758" i="1"/>
  <c r="M2758" i="1" s="1"/>
  <c r="P2758" i="1"/>
  <c r="C2759" i="1"/>
  <c r="L2759" i="1" s="1"/>
  <c r="D890" i="1" l="1"/>
  <c r="M890" i="1" s="1"/>
  <c r="C891" i="1"/>
  <c r="O890" i="1"/>
  <c r="P890" i="1" s="1"/>
  <c r="L890" i="1"/>
  <c r="O2759" i="1"/>
  <c r="P2759" i="1" s="1"/>
  <c r="D2759" i="1"/>
  <c r="M2759" i="1" s="1"/>
  <c r="C2760" i="1"/>
  <c r="L2760" i="1" s="1"/>
  <c r="D891" i="1" l="1"/>
  <c r="M891" i="1" s="1"/>
  <c r="C892" i="1"/>
  <c r="O891" i="1"/>
  <c r="P891" i="1" s="1"/>
  <c r="L891" i="1"/>
  <c r="D2760" i="1"/>
  <c r="M2760" i="1" s="1"/>
  <c r="O2760" i="1"/>
  <c r="P2760" i="1" s="1"/>
  <c r="C2761" i="1"/>
  <c r="L2761" i="1" s="1"/>
  <c r="D892" i="1" l="1"/>
  <c r="M892" i="1" s="1"/>
  <c r="C893" i="1"/>
  <c r="O892" i="1"/>
  <c r="P892" i="1" s="1"/>
  <c r="L892" i="1"/>
  <c r="D2761" i="1"/>
  <c r="M2761" i="1" s="1"/>
  <c r="O2761" i="1"/>
  <c r="P2761" i="1" s="1"/>
  <c r="C2762" i="1"/>
  <c r="L2762" i="1" s="1"/>
  <c r="D893" i="1" l="1"/>
  <c r="M893" i="1" s="1"/>
  <c r="C894" i="1"/>
  <c r="O893" i="1"/>
  <c r="P893" i="1" s="1"/>
  <c r="L893" i="1"/>
  <c r="D2762" i="1"/>
  <c r="M2762" i="1" s="1"/>
  <c r="O2762" i="1"/>
  <c r="P2762" i="1" s="1"/>
  <c r="C2763" i="1"/>
  <c r="L2763" i="1" s="1"/>
  <c r="O894" i="1" l="1"/>
  <c r="P894" i="1" s="1"/>
  <c r="D894" i="1"/>
  <c r="M894" i="1" s="1"/>
  <c r="C895" i="1"/>
  <c r="L894" i="1"/>
  <c r="D2763" i="1"/>
  <c r="M2763" i="1" s="1"/>
  <c r="O2763" i="1"/>
  <c r="P2763" i="1" s="1"/>
  <c r="C2764" i="1"/>
  <c r="L2764" i="1" s="1"/>
  <c r="D895" i="1" l="1"/>
  <c r="M895" i="1" s="1"/>
  <c r="C896" i="1"/>
  <c r="O895" i="1"/>
  <c r="P895" i="1" s="1"/>
  <c r="L895" i="1"/>
  <c r="D2764" i="1"/>
  <c r="M2764" i="1" s="1"/>
  <c r="O2764" i="1"/>
  <c r="P2764" i="1" s="1"/>
  <c r="C2765" i="1"/>
  <c r="L2765" i="1" s="1"/>
  <c r="D896" i="1" l="1"/>
  <c r="M896" i="1" s="1"/>
  <c r="O896" i="1"/>
  <c r="P896" i="1" s="1"/>
  <c r="C897" i="1"/>
  <c r="L896" i="1"/>
  <c r="D2765" i="1"/>
  <c r="M2765" i="1" s="1"/>
  <c r="O2765" i="1"/>
  <c r="P2765" i="1" s="1"/>
  <c r="C2766" i="1"/>
  <c r="L2766" i="1" s="1"/>
  <c r="D897" i="1" l="1"/>
  <c r="M897" i="1" s="1"/>
  <c r="C898" i="1"/>
  <c r="O897" i="1"/>
  <c r="P897" i="1" s="1"/>
  <c r="L897" i="1"/>
  <c r="O2766" i="1"/>
  <c r="P2766" i="1" s="1"/>
  <c r="D2766" i="1"/>
  <c r="M2766" i="1" s="1"/>
  <c r="C2767" i="1"/>
  <c r="L2767" i="1" s="1"/>
  <c r="D898" i="1" l="1"/>
  <c r="M898" i="1" s="1"/>
  <c r="C899" i="1"/>
  <c r="O898" i="1"/>
  <c r="P898" i="1" s="1"/>
  <c r="L898" i="1"/>
  <c r="D2767" i="1"/>
  <c r="M2767" i="1" s="1"/>
  <c r="O2767" i="1"/>
  <c r="P2767" i="1" s="1"/>
  <c r="C2768" i="1"/>
  <c r="L2768" i="1" s="1"/>
  <c r="D899" i="1" l="1"/>
  <c r="M899" i="1" s="1"/>
  <c r="C900" i="1"/>
  <c r="O899" i="1"/>
  <c r="P899" i="1" s="1"/>
  <c r="L899" i="1"/>
  <c r="D2768" i="1"/>
  <c r="M2768" i="1" s="1"/>
  <c r="O2768" i="1"/>
  <c r="P2768" i="1" s="1"/>
  <c r="C2769" i="1"/>
  <c r="L2769" i="1" s="1"/>
  <c r="D900" i="1" l="1"/>
  <c r="M900" i="1" s="1"/>
  <c r="C901" i="1"/>
  <c r="O900" i="1"/>
  <c r="P900" i="1" s="1"/>
  <c r="L900" i="1"/>
  <c r="D2769" i="1"/>
  <c r="M2769" i="1" s="1"/>
  <c r="O2769" i="1"/>
  <c r="P2769" i="1" s="1"/>
  <c r="C2770" i="1"/>
  <c r="L2770" i="1" s="1"/>
  <c r="D901" i="1" l="1"/>
  <c r="M901" i="1" s="1"/>
  <c r="C902" i="1"/>
  <c r="O901" i="1"/>
  <c r="P901" i="1" s="1"/>
  <c r="L901" i="1"/>
  <c r="D2770" i="1"/>
  <c r="M2770" i="1" s="1"/>
  <c r="O2770" i="1"/>
  <c r="P2770" i="1" s="1"/>
  <c r="C2771" i="1"/>
  <c r="I2772" i="1" s="1"/>
  <c r="D902" i="1" l="1"/>
  <c r="M902" i="1" s="1"/>
  <c r="C903" i="1"/>
  <c r="O902" i="1"/>
  <c r="P902" i="1" s="1"/>
  <c r="L902" i="1"/>
  <c r="I2773" i="1"/>
  <c r="I2786" i="1"/>
  <c r="I2787" i="1" s="1"/>
  <c r="J2772" i="1"/>
  <c r="I2780" i="1"/>
  <c r="L2771" i="1"/>
  <c r="D2771" i="1"/>
  <c r="M2771" i="1" s="1"/>
  <c r="O2771" i="1"/>
  <c r="P2771" i="1" s="1"/>
  <c r="C2772" i="1"/>
  <c r="L2772" i="1" s="1"/>
  <c r="D903" i="1" l="1"/>
  <c r="M903" i="1" s="1"/>
  <c r="O903" i="1"/>
  <c r="P903" i="1" s="1"/>
  <c r="C904" i="1"/>
  <c r="L903" i="1"/>
  <c r="J2773" i="1"/>
  <c r="I2777" i="1"/>
  <c r="I2778" i="1"/>
  <c r="J2780" i="1"/>
  <c r="J2786" i="1"/>
  <c r="J2787" i="1" s="1"/>
  <c r="P2772" i="1"/>
  <c r="D2772" i="1"/>
  <c r="M2772" i="1" s="1"/>
  <c r="C2773" i="1"/>
  <c r="L2773" i="1" s="1"/>
  <c r="O904" i="1" l="1"/>
  <c r="P904" i="1" s="1"/>
  <c r="D904" i="1"/>
  <c r="M904" i="1" s="1"/>
  <c r="C905" i="1"/>
  <c r="L904" i="1"/>
  <c r="J2778" i="1"/>
  <c r="J2777" i="1"/>
  <c r="I2788" i="1"/>
  <c r="I2790" i="1" s="1"/>
  <c r="I2792" i="1" s="1"/>
  <c r="I2796" i="1"/>
  <c r="I2797" i="1" s="1"/>
  <c r="I2781" i="1"/>
  <c r="I2783" i="1" s="1"/>
  <c r="I2793" i="1" s="1"/>
  <c r="O2773" i="1"/>
  <c r="P2773" i="1" s="1"/>
  <c r="D2773" i="1"/>
  <c r="M2773" i="1" s="1"/>
  <c r="C2774" i="1"/>
  <c r="L2774" i="1" s="1"/>
  <c r="D905" i="1" l="1"/>
  <c r="M905" i="1" s="1"/>
  <c r="C906" i="1"/>
  <c r="O905" i="1"/>
  <c r="P905" i="1" s="1"/>
  <c r="L905" i="1"/>
  <c r="J2796" i="1"/>
  <c r="J2797" i="1" s="1"/>
  <c r="J2781" i="1"/>
  <c r="J2783" i="1" s="1"/>
  <c r="J2793" i="1" s="1"/>
  <c r="J2788" i="1"/>
  <c r="J2790" i="1" s="1"/>
  <c r="J2792" i="1" s="1"/>
  <c r="I2794" i="1"/>
  <c r="D2774" i="1"/>
  <c r="M2774" i="1" s="1"/>
  <c r="O2774" i="1"/>
  <c r="P2774" i="1" s="1"/>
  <c r="C2775" i="1"/>
  <c r="L2775" i="1" s="1"/>
  <c r="D906" i="1" l="1"/>
  <c r="M906" i="1" s="1"/>
  <c r="C907" i="1"/>
  <c r="O906" i="1"/>
  <c r="P906" i="1" s="1"/>
  <c r="L906" i="1"/>
  <c r="J2794" i="1"/>
  <c r="D2775" i="1"/>
  <c r="M2775" i="1" s="1"/>
  <c r="P2775" i="1"/>
  <c r="C2776" i="1"/>
  <c r="L2776" i="1" s="1"/>
  <c r="D907" i="1" l="1"/>
  <c r="M907" i="1" s="1"/>
  <c r="C908" i="1"/>
  <c r="O907" i="1"/>
  <c r="P907" i="1" s="1"/>
  <c r="L907" i="1"/>
  <c r="D2776" i="1"/>
  <c r="M2776" i="1" s="1"/>
  <c r="O2776" i="1"/>
  <c r="P2776" i="1" s="1"/>
  <c r="C2777" i="1"/>
  <c r="L2777" i="1" s="1"/>
  <c r="D908" i="1" l="1"/>
  <c r="M908" i="1" s="1"/>
  <c r="C909" i="1"/>
  <c r="O908" i="1"/>
  <c r="P908" i="1" s="1"/>
  <c r="L908" i="1"/>
  <c r="D2777" i="1"/>
  <c r="M2777" i="1" s="1"/>
  <c r="O2777" i="1"/>
  <c r="P2777" i="1" s="1"/>
  <c r="C2778" i="1"/>
  <c r="L2778" i="1" s="1"/>
  <c r="D909" i="1" l="1"/>
  <c r="M909" i="1" s="1"/>
  <c r="C910" i="1"/>
  <c r="O909" i="1"/>
  <c r="P909" i="1" s="1"/>
  <c r="L909" i="1"/>
  <c r="O2778" i="1"/>
  <c r="P2778" i="1" s="1"/>
  <c r="D2778" i="1"/>
  <c r="M2778" i="1" s="1"/>
  <c r="C2779" i="1"/>
  <c r="L2779" i="1" s="1"/>
  <c r="D910" i="1" l="1"/>
  <c r="M910" i="1" s="1"/>
  <c r="C911" i="1"/>
  <c r="L910" i="1"/>
  <c r="O2779" i="1"/>
  <c r="P2779" i="1" s="1"/>
  <c r="D2779" i="1"/>
  <c r="M2779" i="1" s="1"/>
  <c r="C2780" i="1"/>
  <c r="L2780" i="1" s="1"/>
  <c r="O911" i="1" l="1"/>
  <c r="P911" i="1" s="1"/>
  <c r="D911" i="1"/>
  <c r="M911" i="1" s="1"/>
  <c r="C912" i="1"/>
  <c r="L911" i="1"/>
  <c r="D2780" i="1"/>
  <c r="M2780" i="1" s="1"/>
  <c r="O2780" i="1"/>
  <c r="P2780" i="1" s="1"/>
  <c r="C2781" i="1"/>
  <c r="L2781" i="1" s="1"/>
  <c r="O912" i="1" l="1"/>
  <c r="P912" i="1" s="1"/>
  <c r="D912" i="1"/>
  <c r="M912" i="1" s="1"/>
  <c r="C913" i="1"/>
  <c r="L912" i="1"/>
  <c r="D2781" i="1"/>
  <c r="M2781" i="1" s="1"/>
  <c r="O2781" i="1"/>
  <c r="P2781" i="1" s="1"/>
  <c r="C2782" i="1"/>
  <c r="L2782" i="1" s="1"/>
  <c r="D913" i="1" l="1"/>
  <c r="M913" i="1" s="1"/>
  <c r="C914" i="1"/>
  <c r="L913" i="1"/>
  <c r="D2782" i="1"/>
  <c r="M2782" i="1" s="1"/>
  <c r="O2782" i="1"/>
  <c r="P2782" i="1" s="1"/>
  <c r="C2783" i="1"/>
  <c r="L2783" i="1" s="1"/>
  <c r="D914" i="1" l="1"/>
  <c r="M914" i="1" s="1"/>
  <c r="C915" i="1"/>
  <c r="O914" i="1"/>
  <c r="P914" i="1" s="1"/>
  <c r="L914" i="1"/>
  <c r="D2783" i="1"/>
  <c r="M2783" i="1" s="1"/>
  <c r="O2783" i="1"/>
  <c r="P2783" i="1" s="1"/>
  <c r="C2784" i="1"/>
  <c r="L2784" i="1" s="1"/>
  <c r="C916" i="1" l="1"/>
  <c r="D915" i="1"/>
  <c r="M915" i="1" s="1"/>
  <c r="O915" i="1"/>
  <c r="P915" i="1" s="1"/>
  <c r="L915" i="1"/>
  <c r="I916" i="1"/>
  <c r="O2784" i="1"/>
  <c r="P2784" i="1" s="1"/>
  <c r="D2784" i="1"/>
  <c r="M2784" i="1" s="1"/>
  <c r="C2785" i="1"/>
  <c r="L2785" i="1" s="1"/>
  <c r="D916" i="1" l="1"/>
  <c r="M916" i="1" s="1"/>
  <c r="C917" i="1"/>
  <c r="O916" i="1"/>
  <c r="P916" i="1" s="1"/>
  <c r="L916" i="1"/>
  <c r="I917" i="1"/>
  <c r="J916" i="1"/>
  <c r="D2785" i="1"/>
  <c r="M2785" i="1" s="1"/>
  <c r="O2785" i="1"/>
  <c r="P2785" i="1" s="1"/>
  <c r="C2786" i="1"/>
  <c r="L2786" i="1" s="1"/>
  <c r="D917" i="1" l="1"/>
  <c r="M917" i="1" s="1"/>
  <c r="C918" i="1"/>
  <c r="O917" i="1"/>
  <c r="P917" i="1" s="1"/>
  <c r="L917" i="1"/>
  <c r="J917" i="1"/>
  <c r="J919" i="1" s="1"/>
  <c r="J921" i="1" s="1"/>
  <c r="J923" i="1" s="1"/>
  <c r="I919" i="1"/>
  <c r="I921" i="1" s="1"/>
  <c r="I923" i="1" s="1"/>
  <c r="O2786" i="1"/>
  <c r="P2786" i="1" s="1"/>
  <c r="D2786" i="1"/>
  <c r="M2786" i="1" s="1"/>
  <c r="C2787" i="1"/>
  <c r="L2787" i="1" s="1"/>
  <c r="D918" i="1" l="1"/>
  <c r="M918" i="1" s="1"/>
  <c r="C919" i="1"/>
  <c r="O918" i="1"/>
  <c r="P918" i="1" s="1"/>
  <c r="L918" i="1"/>
  <c r="O2787" i="1"/>
  <c r="P2787" i="1" s="1"/>
  <c r="D2787" i="1"/>
  <c r="M2787" i="1" s="1"/>
  <c r="C2788" i="1"/>
  <c r="L2788" i="1" s="1"/>
  <c r="D919" i="1" l="1"/>
  <c r="M919" i="1" s="1"/>
  <c r="C920" i="1"/>
  <c r="O919" i="1"/>
  <c r="P919" i="1" s="1"/>
  <c r="L919" i="1"/>
  <c r="D2788" i="1"/>
  <c r="M2788" i="1" s="1"/>
  <c r="O2788" i="1"/>
  <c r="P2788" i="1" s="1"/>
  <c r="C2789" i="1"/>
  <c r="L2789" i="1" s="1"/>
  <c r="D920" i="1" l="1"/>
  <c r="M920" i="1" s="1"/>
  <c r="C921" i="1"/>
  <c r="O920" i="1"/>
  <c r="P920" i="1" s="1"/>
  <c r="L920" i="1"/>
  <c r="D2789" i="1"/>
  <c r="M2789" i="1" s="1"/>
  <c r="O2789" i="1"/>
  <c r="P2789" i="1" s="1"/>
  <c r="C2790" i="1"/>
  <c r="L2790" i="1" s="1"/>
  <c r="D921" i="1" l="1"/>
  <c r="M921" i="1" s="1"/>
  <c r="C922" i="1"/>
  <c r="O921" i="1"/>
  <c r="P921" i="1" s="1"/>
  <c r="L921" i="1"/>
  <c r="O2790" i="1"/>
  <c r="P2790" i="1" s="1"/>
  <c r="D2790" i="1"/>
  <c r="M2790" i="1" s="1"/>
  <c r="C2791" i="1"/>
  <c r="L2791" i="1" s="1"/>
  <c r="D922" i="1" l="1"/>
  <c r="M922" i="1" s="1"/>
  <c r="O922" i="1"/>
  <c r="P922" i="1" s="1"/>
  <c r="C923" i="1"/>
  <c r="L922" i="1"/>
  <c r="D2791" i="1"/>
  <c r="M2791" i="1" s="1"/>
  <c r="O2791" i="1"/>
  <c r="P2791" i="1" s="1"/>
  <c r="C2792" i="1"/>
  <c r="L2792" i="1" s="1"/>
  <c r="D923" i="1" l="1"/>
  <c r="M923" i="1" s="1"/>
  <c r="O923" i="1"/>
  <c r="P923" i="1" s="1"/>
  <c r="C924" i="1"/>
  <c r="L923" i="1"/>
  <c r="D2792" i="1"/>
  <c r="M2792" i="1" s="1"/>
  <c r="O2792" i="1"/>
  <c r="P2792" i="1" s="1"/>
  <c r="C2793" i="1"/>
  <c r="L2793" i="1" s="1"/>
  <c r="D924" i="1" l="1"/>
  <c r="M924" i="1" s="1"/>
  <c r="C925" i="1"/>
  <c r="O924" i="1"/>
  <c r="P924" i="1" s="1"/>
  <c r="L924" i="1"/>
  <c r="D2793" i="1"/>
  <c r="M2793" i="1" s="1"/>
  <c r="O2793" i="1"/>
  <c r="P2793" i="1" s="1"/>
  <c r="C2794" i="1"/>
  <c r="L2794" i="1" s="1"/>
  <c r="D925" i="1" l="1"/>
  <c r="M925" i="1" s="1"/>
  <c r="C926" i="1"/>
  <c r="O925" i="1"/>
  <c r="P925" i="1" s="1"/>
  <c r="L925" i="1"/>
  <c r="D2794" i="1"/>
  <c r="M2794" i="1" s="1"/>
  <c r="O2794" i="1"/>
  <c r="P2794" i="1" s="1"/>
  <c r="C2795" i="1"/>
  <c r="L2795" i="1" s="1"/>
  <c r="D926" i="1" l="1"/>
  <c r="M926" i="1" s="1"/>
  <c r="C927" i="1"/>
  <c r="O926" i="1"/>
  <c r="P926" i="1" s="1"/>
  <c r="L926" i="1"/>
  <c r="D2795" i="1"/>
  <c r="M2795" i="1" s="1"/>
  <c r="O2795" i="1"/>
  <c r="P2795" i="1" s="1"/>
  <c r="C2796" i="1"/>
  <c r="L2796" i="1" s="1"/>
  <c r="D927" i="1" l="1"/>
  <c r="M927" i="1" s="1"/>
  <c r="C928" i="1"/>
  <c r="O927" i="1"/>
  <c r="P927" i="1" s="1"/>
  <c r="L927" i="1"/>
  <c r="D2796" i="1"/>
  <c r="M2796" i="1" s="1"/>
  <c r="O2796" i="1"/>
  <c r="P2796" i="1" s="1"/>
  <c r="C2797" i="1"/>
  <c r="L2797" i="1" s="1"/>
  <c r="D928" i="1" l="1"/>
  <c r="M928" i="1" s="1"/>
  <c r="C929" i="1"/>
  <c r="O928" i="1"/>
  <c r="P928" i="1" s="1"/>
  <c r="L928" i="1"/>
  <c r="O2797" i="1"/>
  <c r="P2797" i="1" s="1"/>
  <c r="D2797" i="1"/>
  <c r="M2797" i="1" s="1"/>
  <c r="C2798" i="1"/>
  <c r="L2798" i="1" s="1"/>
  <c r="D929" i="1" l="1"/>
  <c r="M929" i="1" s="1"/>
  <c r="C930" i="1"/>
  <c r="O929" i="1"/>
  <c r="P929" i="1" s="1"/>
  <c r="L929" i="1"/>
  <c r="D2798" i="1"/>
  <c r="M2798" i="1" s="1"/>
  <c r="O2798" i="1"/>
  <c r="P2798" i="1" s="1"/>
  <c r="C2799" i="1"/>
  <c r="L2799" i="1" s="1"/>
  <c r="D930" i="1" l="1"/>
  <c r="M930" i="1" s="1"/>
  <c r="C931" i="1"/>
  <c r="O930" i="1"/>
  <c r="P930" i="1" s="1"/>
  <c r="L930" i="1"/>
  <c r="D2799" i="1"/>
  <c r="M2799" i="1" s="1"/>
  <c r="O2799" i="1"/>
  <c r="P2799" i="1" s="1"/>
  <c r="C2800" i="1"/>
  <c r="L2800" i="1" s="1"/>
  <c r="D931" i="1" l="1"/>
  <c r="M931" i="1" s="1"/>
  <c r="C932" i="1"/>
  <c r="L931" i="1"/>
  <c r="O2800" i="1"/>
  <c r="P2800" i="1" s="1"/>
  <c r="D2800" i="1"/>
  <c r="M2800" i="1" s="1"/>
  <c r="C2801" i="1"/>
  <c r="L2801" i="1" s="1"/>
  <c r="D932" i="1" l="1"/>
  <c r="M932" i="1" s="1"/>
  <c r="C933" i="1"/>
  <c r="O932" i="1"/>
  <c r="P932" i="1" s="1"/>
  <c r="L932" i="1"/>
  <c r="D2801" i="1"/>
  <c r="M2801" i="1" s="1"/>
  <c r="O2801" i="1"/>
  <c r="P2801" i="1" s="1"/>
  <c r="C2802" i="1"/>
  <c r="D933" i="1" l="1"/>
  <c r="M933" i="1" s="1"/>
  <c r="C934" i="1"/>
  <c r="O933" i="1"/>
  <c r="P933" i="1" s="1"/>
  <c r="L933" i="1"/>
  <c r="I2803" i="1"/>
  <c r="L2802" i="1"/>
  <c r="D2802" i="1"/>
  <c r="M2802" i="1" s="1"/>
  <c r="O2802" i="1"/>
  <c r="C2803" i="1"/>
  <c r="L2803" i="1" s="1"/>
  <c r="D934" i="1" l="1"/>
  <c r="M934" i="1" s="1"/>
  <c r="C935" i="1"/>
  <c r="L934" i="1"/>
  <c r="J2803" i="1"/>
  <c r="I2813" i="1"/>
  <c r="I2814" i="1" s="1"/>
  <c r="I2804" i="1"/>
  <c r="I2808" i="1"/>
  <c r="O2803" i="1"/>
  <c r="D2803" i="1"/>
  <c r="M2803" i="1" s="1"/>
  <c r="C2804" i="1"/>
  <c r="L2804" i="1" s="1"/>
  <c r="O935" i="1" l="1"/>
  <c r="P935" i="1" s="1"/>
  <c r="D935" i="1"/>
  <c r="M935" i="1" s="1"/>
  <c r="C936" i="1"/>
  <c r="L935" i="1"/>
  <c r="J2813" i="1"/>
  <c r="J2814" i="1" s="1"/>
  <c r="J2808" i="1"/>
  <c r="I2806" i="1"/>
  <c r="I2822" i="1" s="1"/>
  <c r="I2823" i="1" s="1"/>
  <c r="J2804" i="1"/>
  <c r="J2806" i="1" s="1"/>
  <c r="J2822" i="1" s="1"/>
  <c r="J2823" i="1" s="1"/>
  <c r="D2804" i="1"/>
  <c r="M2804" i="1" s="1"/>
  <c r="O2804" i="1"/>
  <c r="C2805" i="1"/>
  <c r="L2805" i="1" s="1"/>
  <c r="D936" i="1" l="1"/>
  <c r="M936" i="1" s="1"/>
  <c r="C937" i="1"/>
  <c r="O936" i="1"/>
  <c r="P936" i="1" s="1"/>
  <c r="L936" i="1"/>
  <c r="J2809" i="1"/>
  <c r="J2810" i="1" s="1"/>
  <c r="J2819" i="1" s="1"/>
  <c r="J2815" i="1"/>
  <c r="J2816" i="1" s="1"/>
  <c r="J2818" i="1" s="1"/>
  <c r="D2805" i="1"/>
  <c r="M2805" i="1" s="1"/>
  <c r="O2805" i="1"/>
  <c r="C2806" i="1"/>
  <c r="L2806" i="1" s="1"/>
  <c r="D937" i="1" l="1"/>
  <c r="M937" i="1" s="1"/>
  <c r="C938" i="1"/>
  <c r="O937" i="1"/>
  <c r="P937" i="1" s="1"/>
  <c r="L937" i="1"/>
  <c r="J2820" i="1"/>
  <c r="B2813" i="1" s="1"/>
  <c r="O2806" i="1"/>
  <c r="D2806" i="1"/>
  <c r="M2806" i="1" s="1"/>
  <c r="C2807" i="1"/>
  <c r="L2807" i="1" s="1"/>
  <c r="C939" i="1" l="1"/>
  <c r="D938" i="1"/>
  <c r="M938" i="1" s="1"/>
  <c r="O938" i="1"/>
  <c r="P938" i="1" s="1"/>
  <c r="L938" i="1"/>
  <c r="B2828" i="1"/>
  <c r="B2810" i="1"/>
  <c r="B2807" i="1"/>
  <c r="B2809" i="1"/>
  <c r="B2827" i="1"/>
  <c r="B2824" i="1"/>
  <c r="B2822" i="1"/>
  <c r="B2820" i="1"/>
  <c r="B2816" i="1"/>
  <c r="B2832" i="1"/>
  <c r="B2806" i="1"/>
  <c r="P2806" i="1" s="1"/>
  <c r="B2826" i="1"/>
  <c r="B2819" i="1"/>
  <c r="B2815" i="1"/>
  <c r="B2831" i="1"/>
  <c r="B2829" i="1"/>
  <c r="B2805" i="1"/>
  <c r="P2805" i="1" s="1"/>
  <c r="B2802" i="1"/>
  <c r="B2814" i="1"/>
  <c r="B2811" i="1"/>
  <c r="B2823" i="1"/>
  <c r="B2803" i="1"/>
  <c r="P2803" i="1" s="1"/>
  <c r="B2818" i="1"/>
  <c r="B2808" i="1"/>
  <c r="B2804" i="1"/>
  <c r="P2804" i="1" s="1"/>
  <c r="B2830" i="1"/>
  <c r="B2825" i="1"/>
  <c r="B2821" i="1"/>
  <c r="B2817" i="1"/>
  <c r="B2812" i="1"/>
  <c r="D2807" i="1"/>
  <c r="M2807" i="1" s="1"/>
  <c r="O2807" i="1"/>
  <c r="C2808" i="1"/>
  <c r="L2808" i="1" s="1"/>
  <c r="D939" i="1" l="1"/>
  <c r="M939" i="1" s="1"/>
  <c r="C940" i="1"/>
  <c r="O939" i="1"/>
  <c r="P939" i="1" s="1"/>
  <c r="L939" i="1"/>
  <c r="J2844" i="1"/>
  <c r="J2851" i="1"/>
  <c r="P2802" i="1"/>
  <c r="P2807" i="1"/>
  <c r="O2808" i="1"/>
  <c r="P2808" i="1" s="1"/>
  <c r="D2808" i="1"/>
  <c r="M2808" i="1" s="1"/>
  <c r="C2809" i="1"/>
  <c r="L2809" i="1" s="1"/>
  <c r="D940" i="1" l="1"/>
  <c r="M940" i="1" s="1"/>
  <c r="C941" i="1"/>
  <c r="O940" i="1"/>
  <c r="P940" i="1" s="1"/>
  <c r="L940" i="1"/>
  <c r="D2809" i="1"/>
  <c r="M2809" i="1" s="1"/>
  <c r="O2809" i="1"/>
  <c r="P2809" i="1" s="1"/>
  <c r="C2810" i="1"/>
  <c r="L2810" i="1" s="1"/>
  <c r="C942" i="1" l="1"/>
  <c r="O941" i="1"/>
  <c r="P941" i="1" s="1"/>
  <c r="D941" i="1"/>
  <c r="M941" i="1" s="1"/>
  <c r="L941" i="1"/>
  <c r="D2810" i="1"/>
  <c r="M2810" i="1" s="1"/>
  <c r="O2810" i="1"/>
  <c r="P2810" i="1" s="1"/>
  <c r="C2811" i="1"/>
  <c r="L2811" i="1" s="1"/>
  <c r="D942" i="1" l="1"/>
  <c r="M942" i="1" s="1"/>
  <c r="C943" i="1"/>
  <c r="O942" i="1"/>
  <c r="P942" i="1" s="1"/>
  <c r="L942" i="1"/>
  <c r="D2811" i="1"/>
  <c r="M2811" i="1" s="1"/>
  <c r="O2811" i="1"/>
  <c r="P2811" i="1" s="1"/>
  <c r="C2812" i="1"/>
  <c r="L2812" i="1" s="1"/>
  <c r="D943" i="1" l="1"/>
  <c r="M943" i="1" s="1"/>
  <c r="C944" i="1"/>
  <c r="O943" i="1"/>
  <c r="P943" i="1" s="1"/>
  <c r="L943" i="1"/>
  <c r="O2812" i="1"/>
  <c r="P2812" i="1" s="1"/>
  <c r="D2812" i="1"/>
  <c r="M2812" i="1" s="1"/>
  <c r="C2813" i="1"/>
  <c r="L2813" i="1" s="1"/>
  <c r="D944" i="1" l="1"/>
  <c r="M944" i="1" s="1"/>
  <c r="C945" i="1"/>
  <c r="O944" i="1"/>
  <c r="P944" i="1" s="1"/>
  <c r="L944" i="1"/>
  <c r="D2813" i="1"/>
  <c r="M2813" i="1" s="1"/>
  <c r="O2813" i="1"/>
  <c r="P2813" i="1" s="1"/>
  <c r="C2814" i="1"/>
  <c r="L2814" i="1" s="1"/>
  <c r="L945" i="1" l="1"/>
  <c r="I946" i="1"/>
  <c r="D945" i="1"/>
  <c r="M945" i="1" s="1"/>
  <c r="C946" i="1"/>
  <c r="D2814" i="1"/>
  <c r="M2814" i="1" s="1"/>
  <c r="O2814" i="1"/>
  <c r="P2814" i="1" s="1"/>
  <c r="C2815" i="1"/>
  <c r="L2815" i="1" s="1"/>
  <c r="I947" i="1" l="1"/>
  <c r="J946" i="1"/>
  <c r="D946" i="1"/>
  <c r="M946" i="1" s="1"/>
  <c r="O946" i="1"/>
  <c r="P946" i="1" s="1"/>
  <c r="C947" i="1"/>
  <c r="L946" i="1"/>
  <c r="D2815" i="1"/>
  <c r="M2815" i="1" s="1"/>
  <c r="O2815" i="1"/>
  <c r="P2815" i="1" s="1"/>
  <c r="C2816" i="1"/>
  <c r="L2816" i="1" s="1"/>
  <c r="J947" i="1" l="1"/>
  <c r="J949" i="1" s="1"/>
  <c r="J951" i="1" s="1"/>
  <c r="J953" i="1" s="1"/>
  <c r="I949" i="1"/>
  <c r="I951" i="1" s="1"/>
  <c r="I953" i="1" s="1"/>
  <c r="D947" i="1"/>
  <c r="M947" i="1" s="1"/>
  <c r="O947" i="1"/>
  <c r="P947" i="1" s="1"/>
  <c r="C948" i="1"/>
  <c r="L947" i="1"/>
  <c r="K39" i="9"/>
  <c r="L39" i="9" s="1"/>
  <c r="K42" i="9"/>
  <c r="J42" i="9"/>
  <c r="D2816" i="1"/>
  <c r="M2816" i="1" s="1"/>
  <c r="O2816" i="1"/>
  <c r="P2816" i="1" s="1"/>
  <c r="C2817" i="1"/>
  <c r="L2817" i="1" s="1"/>
  <c r="D948" i="1" l="1"/>
  <c r="M948" i="1" s="1"/>
  <c r="C949" i="1"/>
  <c r="L948" i="1"/>
  <c r="L42" i="9"/>
  <c r="O2817" i="1"/>
  <c r="P2817" i="1" s="1"/>
  <c r="D2817" i="1"/>
  <c r="M2817" i="1" s="1"/>
  <c r="C2818" i="1"/>
  <c r="L2818" i="1" s="1"/>
  <c r="D949" i="1" l="1"/>
  <c r="M949" i="1" s="1"/>
  <c r="C950" i="1"/>
  <c r="O949" i="1"/>
  <c r="P949" i="1" s="1"/>
  <c r="L949" i="1"/>
  <c r="O2818" i="1"/>
  <c r="P2818" i="1" s="1"/>
  <c r="D2818" i="1"/>
  <c r="M2818" i="1" s="1"/>
  <c r="C2819" i="1"/>
  <c r="L2819" i="1" s="1"/>
  <c r="D950" i="1" l="1"/>
  <c r="M950" i="1" s="1"/>
  <c r="C951" i="1"/>
  <c r="O950" i="1"/>
  <c r="P950" i="1" s="1"/>
  <c r="L950" i="1"/>
  <c r="O2819" i="1"/>
  <c r="P2819" i="1" s="1"/>
  <c r="D2819" i="1"/>
  <c r="M2819" i="1" s="1"/>
  <c r="C2820" i="1"/>
  <c r="L2820" i="1" s="1"/>
  <c r="D951" i="1" l="1"/>
  <c r="M951" i="1" s="1"/>
  <c r="C952" i="1"/>
  <c r="O951" i="1"/>
  <c r="P951" i="1" s="1"/>
  <c r="L951" i="1"/>
  <c r="O2820" i="1"/>
  <c r="P2820" i="1" s="1"/>
  <c r="D2820" i="1"/>
  <c r="M2820" i="1" s="1"/>
  <c r="C2821" i="1"/>
  <c r="L2821" i="1" s="1"/>
  <c r="O952" i="1" l="1"/>
  <c r="P952" i="1" s="1"/>
  <c r="D952" i="1"/>
  <c r="M952" i="1" s="1"/>
  <c r="C953" i="1"/>
  <c r="L952" i="1"/>
  <c r="D2821" i="1"/>
  <c r="M2821" i="1" s="1"/>
  <c r="O2821" i="1"/>
  <c r="P2821" i="1" s="1"/>
  <c r="C2822" i="1"/>
  <c r="L2822" i="1" s="1"/>
  <c r="D953" i="1" l="1"/>
  <c r="M953" i="1" s="1"/>
  <c r="C954" i="1"/>
  <c r="O953" i="1"/>
  <c r="P953" i="1" s="1"/>
  <c r="L953" i="1"/>
  <c r="D2822" i="1"/>
  <c r="M2822" i="1" s="1"/>
  <c r="O2822" i="1"/>
  <c r="P2822" i="1" s="1"/>
  <c r="C2823" i="1"/>
  <c r="L2823" i="1" s="1"/>
  <c r="D954" i="1" l="1"/>
  <c r="M954" i="1" s="1"/>
  <c r="C955" i="1"/>
  <c r="O954" i="1"/>
  <c r="P954" i="1" s="1"/>
  <c r="L954" i="1"/>
  <c r="D2823" i="1"/>
  <c r="M2823" i="1" s="1"/>
  <c r="O2823" i="1"/>
  <c r="P2823" i="1" s="1"/>
  <c r="C2824" i="1"/>
  <c r="L2824" i="1" s="1"/>
  <c r="O955" i="1" l="1"/>
  <c r="P955" i="1" s="1"/>
  <c r="D955" i="1"/>
  <c r="M955" i="1" s="1"/>
  <c r="C956" i="1"/>
  <c r="L955" i="1"/>
  <c r="O2824" i="1"/>
  <c r="P2824" i="1" s="1"/>
  <c r="D2824" i="1"/>
  <c r="M2824" i="1" s="1"/>
  <c r="C2825" i="1"/>
  <c r="L2825" i="1" s="1"/>
  <c r="D956" i="1" l="1"/>
  <c r="M956" i="1" s="1"/>
  <c r="C957" i="1"/>
  <c r="O956" i="1"/>
  <c r="P956" i="1" s="1"/>
  <c r="L956" i="1"/>
  <c r="D2825" i="1"/>
  <c r="M2825" i="1" s="1"/>
  <c r="O2825" i="1"/>
  <c r="P2825" i="1" s="1"/>
  <c r="C2826" i="1"/>
  <c r="L2826" i="1" s="1"/>
  <c r="O957" i="1" l="1"/>
  <c r="P957" i="1" s="1"/>
  <c r="D957" i="1"/>
  <c r="M957" i="1" s="1"/>
  <c r="C958" i="1"/>
  <c r="L957" i="1"/>
  <c r="D2826" i="1"/>
  <c r="M2826" i="1" s="1"/>
  <c r="O2826" i="1"/>
  <c r="P2826" i="1" s="1"/>
  <c r="C2827" i="1"/>
  <c r="L2827" i="1" s="1"/>
  <c r="D958" i="1" l="1"/>
  <c r="M958" i="1" s="1"/>
  <c r="C959" i="1"/>
  <c r="O958" i="1"/>
  <c r="P958" i="1" s="1"/>
  <c r="L958" i="1"/>
  <c r="D2827" i="1"/>
  <c r="M2827" i="1" s="1"/>
  <c r="O2827" i="1"/>
  <c r="P2827" i="1" s="1"/>
  <c r="C2828" i="1"/>
  <c r="L2828" i="1" s="1"/>
  <c r="D959" i="1" l="1"/>
  <c r="M959" i="1" s="1"/>
  <c r="C960" i="1"/>
  <c r="O959" i="1"/>
  <c r="P959" i="1" s="1"/>
  <c r="L959" i="1"/>
  <c r="D2828" i="1"/>
  <c r="M2828" i="1" s="1"/>
  <c r="O2828" i="1"/>
  <c r="P2828" i="1" s="1"/>
  <c r="C2829" i="1"/>
  <c r="L2829" i="1" s="1"/>
  <c r="D960" i="1" l="1"/>
  <c r="M960" i="1" s="1"/>
  <c r="C961" i="1"/>
  <c r="O960" i="1"/>
  <c r="P960" i="1" s="1"/>
  <c r="L960" i="1"/>
  <c r="O2829" i="1"/>
  <c r="P2829" i="1" s="1"/>
  <c r="D2829" i="1"/>
  <c r="M2829" i="1" s="1"/>
  <c r="C2830" i="1"/>
  <c r="L2830" i="1" s="1"/>
  <c r="D961" i="1" l="1"/>
  <c r="M961" i="1" s="1"/>
  <c r="C962" i="1"/>
  <c r="O961" i="1"/>
  <c r="P961" i="1" s="1"/>
  <c r="L961" i="1"/>
  <c r="D2830" i="1"/>
  <c r="M2830" i="1" s="1"/>
  <c r="O2830" i="1"/>
  <c r="P2830" i="1" s="1"/>
  <c r="C2831" i="1"/>
  <c r="L2831" i="1" s="1"/>
  <c r="D962" i="1" l="1"/>
  <c r="M962" i="1" s="1"/>
  <c r="C963" i="1"/>
  <c r="O962" i="1"/>
  <c r="P962" i="1" s="1"/>
  <c r="L962" i="1"/>
  <c r="O2831" i="1"/>
  <c r="P2831" i="1" s="1"/>
  <c r="D2831" i="1"/>
  <c r="M2831" i="1" s="1"/>
  <c r="C2832" i="1"/>
  <c r="L2832" i="1" s="1"/>
  <c r="D963" i="1" l="1"/>
  <c r="M963" i="1" s="1"/>
  <c r="C964" i="1"/>
  <c r="O963" i="1"/>
  <c r="P963" i="1" s="1"/>
  <c r="L963" i="1"/>
  <c r="O2832" i="1"/>
  <c r="P2832" i="1" s="1"/>
  <c r="D2832" i="1"/>
  <c r="M2832" i="1" s="1"/>
  <c r="C2833" i="1"/>
  <c r="I2834" i="1" s="1"/>
  <c r="O964" i="1" l="1"/>
  <c r="P964" i="1" s="1"/>
  <c r="D964" i="1"/>
  <c r="M964" i="1" s="1"/>
  <c r="C965" i="1"/>
  <c r="L964" i="1"/>
  <c r="I2835" i="1"/>
  <c r="J2834" i="1"/>
  <c r="I2842" i="1"/>
  <c r="I2848" i="1"/>
  <c r="I2849" i="1" s="1"/>
  <c r="L2833" i="1"/>
  <c r="I2815" i="1"/>
  <c r="I2816" i="1" s="1"/>
  <c r="I2818" i="1" s="1"/>
  <c r="I2809" i="1"/>
  <c r="I2810" i="1" s="1"/>
  <c r="I2819" i="1" s="1"/>
  <c r="D2833" i="1"/>
  <c r="M2833" i="1" s="1"/>
  <c r="O2833" i="1"/>
  <c r="P2833" i="1" s="1"/>
  <c r="C2834" i="1"/>
  <c r="L2834" i="1" s="1"/>
  <c r="D965" i="1" l="1"/>
  <c r="M965" i="1" s="1"/>
  <c r="C966" i="1"/>
  <c r="O965" i="1"/>
  <c r="P965" i="1" s="1"/>
  <c r="L965" i="1"/>
  <c r="I2839" i="1"/>
  <c r="J2835" i="1"/>
  <c r="I2840" i="1"/>
  <c r="J2848" i="1"/>
  <c r="J2849" i="1" s="1"/>
  <c r="J2842" i="1"/>
  <c r="I2820" i="1"/>
  <c r="D2834" i="1"/>
  <c r="M2834" i="1" s="1"/>
  <c r="O2834" i="1"/>
  <c r="P2834" i="1" s="1"/>
  <c r="C2835" i="1"/>
  <c r="L2835" i="1" s="1"/>
  <c r="D966" i="1" l="1"/>
  <c r="M966" i="1" s="1"/>
  <c r="C967" i="1"/>
  <c r="O966" i="1"/>
  <c r="P966" i="1" s="1"/>
  <c r="L966" i="1"/>
  <c r="J2840" i="1"/>
  <c r="J2839" i="1"/>
  <c r="I2858" i="1"/>
  <c r="I2859" i="1" s="1"/>
  <c r="I2850" i="1"/>
  <c r="I2843" i="1"/>
  <c r="A2813" i="1"/>
  <c r="A2812" i="1"/>
  <c r="A2810" i="1"/>
  <c r="A2824" i="1"/>
  <c r="A2822" i="1"/>
  <c r="A2819" i="1"/>
  <c r="A2816" i="1"/>
  <c r="A2811" i="1"/>
  <c r="A2808" i="1"/>
  <c r="A2809" i="1"/>
  <c r="A2823" i="1"/>
  <c r="A2820" i="1"/>
  <c r="A2817" i="1"/>
  <c r="A2815" i="1"/>
  <c r="A2802" i="1"/>
  <c r="A2821" i="1"/>
  <c r="A2818" i="1"/>
  <c r="A2814" i="1"/>
  <c r="A2803" i="1"/>
  <c r="A2804" i="1"/>
  <c r="A2807" i="1"/>
  <c r="A2828" i="1"/>
  <c r="A2805" i="1"/>
  <c r="A2831" i="1"/>
  <c r="A2830" i="1"/>
  <c r="A2827" i="1"/>
  <c r="A2806" i="1"/>
  <c r="A2832" i="1"/>
  <c r="A2829" i="1"/>
  <c r="A2826" i="1"/>
  <c r="A2825" i="1"/>
  <c r="P2835" i="1"/>
  <c r="D2835" i="1"/>
  <c r="M2835" i="1" s="1"/>
  <c r="C2836" i="1"/>
  <c r="L2836" i="1" s="1"/>
  <c r="D967" i="1" l="1"/>
  <c r="M967" i="1" s="1"/>
  <c r="C968" i="1"/>
  <c r="O967" i="1"/>
  <c r="P967" i="1" s="1"/>
  <c r="L967" i="1"/>
  <c r="J2858" i="1"/>
  <c r="J2859" i="1" s="1"/>
  <c r="J2850" i="1"/>
  <c r="J2852" i="1" s="1"/>
  <c r="J2854" i="1" s="1"/>
  <c r="J2843" i="1"/>
  <c r="J2845" i="1" s="1"/>
  <c r="J2855" i="1" s="1"/>
  <c r="I2844" i="1"/>
  <c r="I2845" i="1" s="1"/>
  <c r="I2855" i="1" s="1"/>
  <c r="I2851" i="1"/>
  <c r="I2852" i="1" s="1"/>
  <c r="I2854" i="1" s="1"/>
  <c r="D2836" i="1"/>
  <c r="M2836" i="1" s="1"/>
  <c r="O2836" i="1"/>
  <c r="P2836" i="1" s="1"/>
  <c r="C2837" i="1"/>
  <c r="L2837" i="1" s="1"/>
  <c r="O968" i="1" l="1"/>
  <c r="P968" i="1" s="1"/>
  <c r="D968" i="1"/>
  <c r="M968" i="1" s="1"/>
  <c r="C969" i="1"/>
  <c r="L968" i="1"/>
  <c r="J2856" i="1"/>
  <c r="I2856" i="1"/>
  <c r="D2837" i="1"/>
  <c r="M2837" i="1" s="1"/>
  <c r="O2837" i="1"/>
  <c r="P2837" i="1" s="1"/>
  <c r="C2838" i="1"/>
  <c r="L2838" i="1" s="1"/>
  <c r="D969" i="1" l="1"/>
  <c r="M969" i="1" s="1"/>
  <c r="C970" i="1"/>
  <c r="O969" i="1"/>
  <c r="P969" i="1" s="1"/>
  <c r="L969" i="1"/>
  <c r="D2838" i="1"/>
  <c r="M2838" i="1" s="1"/>
  <c r="P2838" i="1"/>
  <c r="C2839" i="1"/>
  <c r="L2839" i="1" s="1"/>
  <c r="D970" i="1" l="1"/>
  <c r="M970" i="1" s="1"/>
  <c r="C971" i="1"/>
  <c r="O970" i="1"/>
  <c r="P970" i="1" s="1"/>
  <c r="L970" i="1"/>
  <c r="D2839" i="1"/>
  <c r="M2839" i="1" s="1"/>
  <c r="O2839" i="1"/>
  <c r="P2839" i="1" s="1"/>
  <c r="C2840" i="1"/>
  <c r="L2840" i="1" s="1"/>
  <c r="C972" i="1" l="1"/>
  <c r="D971" i="1"/>
  <c r="M971" i="1" s="1"/>
  <c r="O971" i="1"/>
  <c r="P971" i="1" s="1"/>
  <c r="L971" i="1"/>
  <c r="D2840" i="1"/>
  <c r="M2840" i="1" s="1"/>
  <c r="O2840" i="1"/>
  <c r="P2840" i="1" s="1"/>
  <c r="C2841" i="1"/>
  <c r="L2841" i="1" s="1"/>
  <c r="C973" i="1" l="1"/>
  <c r="D972" i="1"/>
  <c r="M972" i="1" s="1"/>
  <c r="O972" i="1"/>
  <c r="P972" i="1" s="1"/>
  <c r="L972" i="1"/>
  <c r="D2841" i="1"/>
  <c r="M2841" i="1" s="1"/>
  <c r="O2841" i="1"/>
  <c r="P2841" i="1" s="1"/>
  <c r="C2842" i="1"/>
  <c r="L2842" i="1" s="1"/>
  <c r="C974" i="1" l="1"/>
  <c r="O973" i="1"/>
  <c r="P973" i="1" s="1"/>
  <c r="D973" i="1"/>
  <c r="M973" i="1" s="1"/>
  <c r="L973" i="1"/>
  <c r="O2842" i="1"/>
  <c r="P2842" i="1" s="1"/>
  <c r="D2842" i="1"/>
  <c r="M2842" i="1" s="1"/>
  <c r="C2843" i="1"/>
  <c r="L2843" i="1" s="1"/>
  <c r="D974" i="1" l="1"/>
  <c r="M974" i="1" s="1"/>
  <c r="C975" i="1"/>
  <c r="O974" i="1"/>
  <c r="P974" i="1" s="1"/>
  <c r="L974" i="1"/>
  <c r="D2843" i="1"/>
  <c r="M2843" i="1" s="1"/>
  <c r="O2843" i="1"/>
  <c r="P2843" i="1" s="1"/>
  <c r="C2844" i="1"/>
  <c r="L2844" i="1" s="1"/>
  <c r="D975" i="1" l="1"/>
  <c r="M975" i="1" s="1"/>
  <c r="C976" i="1"/>
  <c r="O975" i="1"/>
  <c r="P975" i="1" s="1"/>
  <c r="L975" i="1"/>
  <c r="D2844" i="1"/>
  <c r="M2844" i="1" s="1"/>
  <c r="O2844" i="1"/>
  <c r="P2844" i="1" s="1"/>
  <c r="C2845" i="1"/>
  <c r="L2845" i="1" s="1"/>
  <c r="D976" i="1" l="1"/>
  <c r="M976" i="1" s="1"/>
  <c r="C977" i="1"/>
  <c r="O976" i="1"/>
  <c r="P976" i="1" s="1"/>
  <c r="L976" i="1"/>
  <c r="I977" i="1"/>
  <c r="D2845" i="1"/>
  <c r="M2845" i="1" s="1"/>
  <c r="O2845" i="1"/>
  <c r="P2845" i="1" s="1"/>
  <c r="C2846" i="1"/>
  <c r="L2846" i="1" s="1"/>
  <c r="D977" i="1" l="1"/>
  <c r="M977" i="1" s="1"/>
  <c r="C978" i="1"/>
  <c r="O977" i="1"/>
  <c r="P977" i="1" s="1"/>
  <c r="L977" i="1"/>
  <c r="I978" i="1"/>
  <c r="J977" i="1"/>
  <c r="D2846" i="1"/>
  <c r="M2846" i="1" s="1"/>
  <c r="O2846" i="1"/>
  <c r="P2846" i="1" s="1"/>
  <c r="C2847" i="1"/>
  <c r="L2847" i="1" s="1"/>
  <c r="D978" i="1" l="1"/>
  <c r="M978" i="1" s="1"/>
  <c r="C979" i="1"/>
  <c r="O978" i="1"/>
  <c r="P978" i="1" s="1"/>
  <c r="L978" i="1"/>
  <c r="I980" i="1"/>
  <c r="I982" i="1" s="1"/>
  <c r="I984" i="1" s="1"/>
  <c r="J978" i="1"/>
  <c r="J980" i="1" s="1"/>
  <c r="J982" i="1" s="1"/>
  <c r="J984" i="1" s="1"/>
  <c r="D2847" i="1"/>
  <c r="M2847" i="1" s="1"/>
  <c r="O2847" i="1"/>
  <c r="P2847" i="1" s="1"/>
  <c r="C2848" i="1"/>
  <c r="L2848" i="1" s="1"/>
  <c r="D979" i="1" l="1"/>
  <c r="M979" i="1" s="1"/>
  <c r="C980" i="1"/>
  <c r="O979" i="1"/>
  <c r="P979" i="1" s="1"/>
  <c r="L979" i="1"/>
  <c r="D2848" i="1"/>
  <c r="M2848" i="1" s="1"/>
  <c r="O2848" i="1"/>
  <c r="P2848" i="1" s="1"/>
  <c r="C2849" i="1"/>
  <c r="L2849" i="1" s="1"/>
  <c r="D980" i="1" l="1"/>
  <c r="M980" i="1" s="1"/>
  <c r="C981" i="1"/>
  <c r="O980" i="1"/>
  <c r="P980" i="1" s="1"/>
  <c r="L980" i="1"/>
  <c r="D2849" i="1"/>
  <c r="M2849" i="1" s="1"/>
  <c r="O2849" i="1"/>
  <c r="P2849" i="1" s="1"/>
  <c r="C2850" i="1"/>
  <c r="L2850" i="1" s="1"/>
  <c r="O981" i="1" l="1"/>
  <c r="P981" i="1" s="1"/>
  <c r="D981" i="1"/>
  <c r="M981" i="1" s="1"/>
  <c r="C982" i="1"/>
  <c r="L981" i="1"/>
  <c r="D2850" i="1"/>
  <c r="M2850" i="1" s="1"/>
  <c r="O2850" i="1"/>
  <c r="P2850" i="1" s="1"/>
  <c r="C2851" i="1"/>
  <c r="L2851" i="1" s="1"/>
  <c r="D982" i="1" l="1"/>
  <c r="M982" i="1" s="1"/>
  <c r="C983" i="1"/>
  <c r="O982" i="1"/>
  <c r="P982" i="1" s="1"/>
  <c r="L982" i="1"/>
  <c r="D2851" i="1"/>
  <c r="M2851" i="1" s="1"/>
  <c r="O2851" i="1"/>
  <c r="P2851" i="1" s="1"/>
  <c r="C2852" i="1"/>
  <c r="L2852" i="1" s="1"/>
  <c r="D983" i="1" l="1"/>
  <c r="M983" i="1" s="1"/>
  <c r="C984" i="1"/>
  <c r="O983" i="1"/>
  <c r="P983" i="1" s="1"/>
  <c r="L983" i="1"/>
  <c r="D2852" i="1"/>
  <c r="M2852" i="1" s="1"/>
  <c r="O2852" i="1"/>
  <c r="P2852" i="1" s="1"/>
  <c r="C2853" i="1"/>
  <c r="L2853" i="1" s="1"/>
  <c r="D984" i="1" l="1"/>
  <c r="M984" i="1" s="1"/>
  <c r="C985" i="1"/>
  <c r="O984" i="1"/>
  <c r="P984" i="1" s="1"/>
  <c r="L984" i="1"/>
  <c r="D2853" i="1"/>
  <c r="M2853" i="1" s="1"/>
  <c r="O2853" i="1"/>
  <c r="P2853" i="1" s="1"/>
  <c r="C2854" i="1"/>
  <c r="L2854" i="1" s="1"/>
  <c r="D985" i="1" l="1"/>
  <c r="M985" i="1" s="1"/>
  <c r="C986" i="1"/>
  <c r="O985" i="1"/>
  <c r="P985" i="1" s="1"/>
  <c r="L985" i="1"/>
  <c r="D2854" i="1"/>
  <c r="M2854" i="1" s="1"/>
  <c r="O2854" i="1"/>
  <c r="P2854" i="1" s="1"/>
  <c r="C2855" i="1"/>
  <c r="L2855" i="1" s="1"/>
  <c r="D986" i="1" l="1"/>
  <c r="M986" i="1" s="1"/>
  <c r="C987" i="1"/>
  <c r="O986" i="1"/>
  <c r="P986" i="1" s="1"/>
  <c r="L986" i="1"/>
  <c r="D2855" i="1"/>
  <c r="M2855" i="1" s="1"/>
  <c r="O2855" i="1"/>
  <c r="P2855" i="1" s="1"/>
  <c r="C2856" i="1"/>
  <c r="L2856" i="1" s="1"/>
  <c r="D987" i="1" l="1"/>
  <c r="M987" i="1" s="1"/>
  <c r="O987" i="1"/>
  <c r="P987" i="1" s="1"/>
  <c r="C988" i="1"/>
  <c r="L987" i="1"/>
  <c r="O2856" i="1"/>
  <c r="P2856" i="1" s="1"/>
  <c r="D2856" i="1"/>
  <c r="M2856" i="1" s="1"/>
  <c r="C2857" i="1"/>
  <c r="L2857" i="1" s="1"/>
  <c r="D988" i="1" l="1"/>
  <c r="M988" i="1" s="1"/>
  <c r="O988" i="1"/>
  <c r="P988" i="1" s="1"/>
  <c r="C989" i="1"/>
  <c r="L988" i="1"/>
  <c r="O2857" i="1"/>
  <c r="P2857" i="1" s="1"/>
  <c r="D2857" i="1"/>
  <c r="M2857" i="1" s="1"/>
  <c r="C2858" i="1"/>
  <c r="L2858" i="1" s="1"/>
  <c r="D989" i="1" l="1"/>
  <c r="M989" i="1" s="1"/>
  <c r="C990" i="1"/>
  <c r="O989" i="1"/>
  <c r="P989" i="1" s="1"/>
  <c r="L989" i="1"/>
  <c r="O2858" i="1"/>
  <c r="P2858" i="1" s="1"/>
  <c r="D2858" i="1"/>
  <c r="M2858" i="1" s="1"/>
  <c r="C2859" i="1"/>
  <c r="L2859" i="1" s="1"/>
  <c r="D990" i="1" l="1"/>
  <c r="M990" i="1" s="1"/>
  <c r="C991" i="1"/>
  <c r="O990" i="1"/>
  <c r="P990" i="1" s="1"/>
  <c r="L990" i="1"/>
  <c r="D2859" i="1"/>
  <c r="M2859" i="1" s="1"/>
  <c r="O2859" i="1"/>
  <c r="P2859" i="1" s="1"/>
  <c r="C2860" i="1"/>
  <c r="L2860" i="1" s="1"/>
  <c r="D991" i="1" l="1"/>
  <c r="M991" i="1" s="1"/>
  <c r="C992" i="1"/>
  <c r="O991" i="1"/>
  <c r="P991" i="1" s="1"/>
  <c r="L991" i="1"/>
  <c r="O2860" i="1"/>
  <c r="P2860" i="1" s="1"/>
  <c r="D2860" i="1"/>
  <c r="M2860" i="1" s="1"/>
  <c r="C2861" i="1"/>
  <c r="L2861" i="1" s="1"/>
  <c r="D992" i="1" l="1"/>
  <c r="M992" i="1" s="1"/>
  <c r="C993" i="1"/>
  <c r="O992" i="1"/>
  <c r="P992" i="1" s="1"/>
  <c r="L992" i="1"/>
  <c r="D2861" i="1"/>
  <c r="M2861" i="1" s="1"/>
  <c r="O2861" i="1"/>
  <c r="P2861" i="1" s="1"/>
  <c r="C2862" i="1"/>
  <c r="L2862" i="1" s="1"/>
  <c r="O993" i="1" l="1"/>
  <c r="P993" i="1" s="1"/>
  <c r="D993" i="1"/>
  <c r="M993" i="1" s="1"/>
  <c r="C994" i="1"/>
  <c r="L993" i="1"/>
  <c r="D2862" i="1"/>
  <c r="M2862" i="1" s="1"/>
  <c r="O2862" i="1"/>
  <c r="P2862" i="1" s="1"/>
  <c r="C2863" i="1"/>
  <c r="I2864" i="1" s="1"/>
  <c r="C995" i="1" l="1"/>
  <c r="D994" i="1"/>
  <c r="M994" i="1" s="1"/>
  <c r="O994" i="1"/>
  <c r="P994" i="1" s="1"/>
  <c r="L994" i="1"/>
  <c r="I2865" i="1"/>
  <c r="I2878" i="1"/>
  <c r="I2879" i="1" s="1"/>
  <c r="J2864" i="1"/>
  <c r="I2872" i="1"/>
  <c r="L2863" i="1"/>
  <c r="O2863" i="1"/>
  <c r="P2863" i="1" s="1"/>
  <c r="D2863" i="1"/>
  <c r="M2863" i="1" s="1"/>
  <c r="C2864" i="1"/>
  <c r="L2864" i="1" s="1"/>
  <c r="D995" i="1" l="1"/>
  <c r="M995" i="1" s="1"/>
  <c r="C996" i="1"/>
  <c r="O995" i="1"/>
  <c r="P995" i="1" s="1"/>
  <c r="L995" i="1"/>
  <c r="I2869" i="1"/>
  <c r="J2865" i="1"/>
  <c r="I2870" i="1"/>
  <c r="J2878" i="1"/>
  <c r="J2879" i="1" s="1"/>
  <c r="J2872" i="1"/>
  <c r="O2864" i="1"/>
  <c r="P2864" i="1" s="1"/>
  <c r="D2864" i="1"/>
  <c r="M2864" i="1" s="1"/>
  <c r="C2865" i="1"/>
  <c r="L2865" i="1" s="1"/>
  <c r="D996" i="1" l="1"/>
  <c r="M996" i="1" s="1"/>
  <c r="C997" i="1"/>
  <c r="O996" i="1"/>
  <c r="P996" i="1" s="1"/>
  <c r="L996" i="1"/>
  <c r="J2870" i="1"/>
  <c r="J2869" i="1"/>
  <c r="I2888" i="1"/>
  <c r="I2889" i="1" s="1"/>
  <c r="I2880" i="1"/>
  <c r="I2882" i="1" s="1"/>
  <c r="I2884" i="1" s="1"/>
  <c r="I2873" i="1"/>
  <c r="I2875" i="1" s="1"/>
  <c r="I2885" i="1" s="1"/>
  <c r="D2865" i="1"/>
  <c r="M2865" i="1" s="1"/>
  <c r="O2865" i="1"/>
  <c r="P2865" i="1" s="1"/>
  <c r="C2866" i="1"/>
  <c r="L2866" i="1" s="1"/>
  <c r="D997" i="1" l="1"/>
  <c r="M997" i="1" s="1"/>
  <c r="O997" i="1"/>
  <c r="P997" i="1" s="1"/>
  <c r="C998" i="1"/>
  <c r="L997" i="1"/>
  <c r="J2888" i="1"/>
  <c r="J2889" i="1" s="1"/>
  <c r="J2880" i="1"/>
  <c r="J2882" i="1" s="1"/>
  <c r="J2884" i="1" s="1"/>
  <c r="J2873" i="1"/>
  <c r="J2875" i="1" s="1"/>
  <c r="J2885" i="1" s="1"/>
  <c r="I2886" i="1"/>
  <c r="O2866" i="1"/>
  <c r="P2866" i="1" s="1"/>
  <c r="D2866" i="1"/>
  <c r="M2866" i="1" s="1"/>
  <c r="C2867" i="1"/>
  <c r="L2867" i="1" s="1"/>
  <c r="D998" i="1" l="1"/>
  <c r="M998" i="1" s="1"/>
  <c r="C999" i="1"/>
  <c r="O998" i="1"/>
  <c r="P998" i="1" s="1"/>
  <c r="L998" i="1"/>
  <c r="J2886" i="1"/>
  <c r="D2867" i="1"/>
  <c r="M2867" i="1" s="1"/>
  <c r="O2867" i="1"/>
  <c r="P2867" i="1" s="1"/>
  <c r="C2868" i="1"/>
  <c r="L2868" i="1" s="1"/>
  <c r="D999" i="1" l="1"/>
  <c r="M999" i="1" s="1"/>
  <c r="C1000" i="1"/>
  <c r="O999" i="1"/>
  <c r="P999" i="1" s="1"/>
  <c r="L999" i="1"/>
  <c r="O2868" i="1"/>
  <c r="P2868" i="1" s="1"/>
  <c r="D2868" i="1"/>
  <c r="M2868" i="1" s="1"/>
  <c r="C2869" i="1"/>
  <c r="L2869" i="1" s="1"/>
  <c r="C1001" i="1" l="1"/>
  <c r="D1000" i="1"/>
  <c r="M1000" i="1" s="1"/>
  <c r="O1000" i="1"/>
  <c r="P1000" i="1" s="1"/>
  <c r="L1000" i="1"/>
  <c r="D2869" i="1"/>
  <c r="M2869" i="1" s="1"/>
  <c r="O2869" i="1"/>
  <c r="P2869" i="1" s="1"/>
  <c r="C2870" i="1"/>
  <c r="L2870" i="1" s="1"/>
  <c r="C1002" i="1" l="1"/>
  <c r="D1001" i="1"/>
  <c r="M1001" i="1" s="1"/>
  <c r="O1001" i="1"/>
  <c r="P1001" i="1" s="1"/>
  <c r="L1001" i="1"/>
  <c r="D2870" i="1"/>
  <c r="M2870" i="1" s="1"/>
  <c r="P2870" i="1"/>
  <c r="C2871" i="1"/>
  <c r="L2871" i="1" s="1"/>
  <c r="D1002" i="1" l="1"/>
  <c r="M1002" i="1" s="1"/>
  <c r="C1003" i="1"/>
  <c r="O1002" i="1"/>
  <c r="P1002" i="1" s="1"/>
  <c r="L1002" i="1"/>
  <c r="D2871" i="1"/>
  <c r="M2871" i="1" s="1"/>
  <c r="O2871" i="1"/>
  <c r="P2871" i="1" s="1"/>
  <c r="C2872" i="1"/>
  <c r="L2872" i="1" s="1"/>
  <c r="D1003" i="1" l="1"/>
  <c r="M1003" i="1" s="1"/>
  <c r="C1004" i="1"/>
  <c r="O1003" i="1"/>
  <c r="P1003" i="1" s="1"/>
  <c r="L1003" i="1"/>
  <c r="O2872" i="1"/>
  <c r="P2872" i="1" s="1"/>
  <c r="D2872" i="1"/>
  <c r="M2872" i="1" s="1"/>
  <c r="C2873" i="1"/>
  <c r="L2873" i="1" s="1"/>
  <c r="D1004" i="1" l="1"/>
  <c r="M1004" i="1" s="1"/>
  <c r="C1005" i="1"/>
  <c r="O1004" i="1"/>
  <c r="P1004" i="1" s="1"/>
  <c r="L1004" i="1"/>
  <c r="D2873" i="1"/>
  <c r="M2873" i="1" s="1"/>
  <c r="P2873" i="1"/>
  <c r="C2874" i="1"/>
  <c r="L2874" i="1" s="1"/>
  <c r="D1005" i="1" l="1"/>
  <c r="M1005" i="1" s="1"/>
  <c r="C1006" i="1"/>
  <c r="O1005" i="1"/>
  <c r="P1005" i="1" s="1"/>
  <c r="L1005" i="1"/>
  <c r="O2874" i="1"/>
  <c r="P2874" i="1" s="1"/>
  <c r="D2874" i="1"/>
  <c r="M2874" i="1" s="1"/>
  <c r="C2875" i="1"/>
  <c r="L2875" i="1" s="1"/>
  <c r="D1006" i="1" l="1"/>
  <c r="M1006" i="1" s="1"/>
  <c r="O1006" i="1"/>
  <c r="P1006" i="1" s="1"/>
  <c r="C1007" i="1"/>
  <c r="L1006" i="1"/>
  <c r="O2875" i="1"/>
  <c r="P2875" i="1" s="1"/>
  <c r="D2875" i="1"/>
  <c r="M2875" i="1" s="1"/>
  <c r="C2876" i="1"/>
  <c r="L2876" i="1" s="1"/>
  <c r="D1007" i="1" l="1"/>
  <c r="M1007" i="1" s="1"/>
  <c r="C1008" i="1"/>
  <c r="O1007" i="1"/>
  <c r="P1007" i="1" s="1"/>
  <c r="L1007" i="1"/>
  <c r="I1008" i="1"/>
  <c r="D2876" i="1"/>
  <c r="M2876" i="1" s="1"/>
  <c r="O2876" i="1"/>
  <c r="P2876" i="1" s="1"/>
  <c r="C2877" i="1"/>
  <c r="L2877" i="1" s="1"/>
  <c r="D1008" i="1" l="1"/>
  <c r="M1008" i="1" s="1"/>
  <c r="C1009" i="1"/>
  <c r="L1008" i="1"/>
  <c r="J1008" i="1"/>
  <c r="I1009" i="1"/>
  <c r="D2877" i="1"/>
  <c r="M2877" i="1" s="1"/>
  <c r="O2877" i="1"/>
  <c r="P2877" i="1" s="1"/>
  <c r="C2878" i="1"/>
  <c r="L2878" i="1" s="1"/>
  <c r="D1009" i="1" l="1"/>
  <c r="M1009" i="1" s="1"/>
  <c r="C1010" i="1"/>
  <c r="O1009" i="1"/>
  <c r="P1009" i="1" s="1"/>
  <c r="L1009" i="1"/>
  <c r="I1011" i="1"/>
  <c r="I1013" i="1" s="1"/>
  <c r="I1015" i="1" s="1"/>
  <c r="J1009" i="1"/>
  <c r="J1011" i="1" s="1"/>
  <c r="J1013" i="1" s="1"/>
  <c r="J1015" i="1" s="1"/>
  <c r="O2878" i="1"/>
  <c r="P2878" i="1" s="1"/>
  <c r="D2878" i="1"/>
  <c r="M2878" i="1" s="1"/>
  <c r="C2879" i="1"/>
  <c r="L2879" i="1" s="1"/>
  <c r="D1010" i="1" l="1"/>
  <c r="M1010" i="1" s="1"/>
  <c r="C1011" i="1"/>
  <c r="O1010" i="1"/>
  <c r="P1010" i="1" s="1"/>
  <c r="L1010" i="1"/>
  <c r="D2879" i="1"/>
  <c r="M2879" i="1" s="1"/>
  <c r="O2879" i="1"/>
  <c r="P2879" i="1" s="1"/>
  <c r="C2880" i="1"/>
  <c r="L2880" i="1" s="1"/>
  <c r="D1011" i="1" l="1"/>
  <c r="M1011" i="1" s="1"/>
  <c r="C1012" i="1"/>
  <c r="L1011" i="1"/>
  <c r="D2880" i="1"/>
  <c r="M2880" i="1" s="1"/>
  <c r="O2880" i="1"/>
  <c r="P2880" i="1" s="1"/>
  <c r="C2881" i="1"/>
  <c r="L2881" i="1" s="1"/>
  <c r="D1012" i="1" l="1"/>
  <c r="M1012" i="1" s="1"/>
  <c r="C1013" i="1"/>
  <c r="O1012" i="1"/>
  <c r="P1012" i="1" s="1"/>
  <c r="L1012" i="1"/>
  <c r="D2881" i="1"/>
  <c r="M2881" i="1" s="1"/>
  <c r="O2881" i="1"/>
  <c r="P2881" i="1" s="1"/>
  <c r="C2882" i="1"/>
  <c r="L2882" i="1" s="1"/>
  <c r="D1013" i="1" l="1"/>
  <c r="M1013" i="1" s="1"/>
  <c r="C1014" i="1"/>
  <c r="O1013" i="1"/>
  <c r="P1013" i="1" s="1"/>
  <c r="L1013" i="1"/>
  <c r="O2882" i="1"/>
  <c r="P2882" i="1" s="1"/>
  <c r="D2882" i="1"/>
  <c r="M2882" i="1" s="1"/>
  <c r="C2883" i="1"/>
  <c r="L2883" i="1" s="1"/>
  <c r="D1014" i="1" l="1"/>
  <c r="M1014" i="1" s="1"/>
  <c r="C1015" i="1"/>
  <c r="O1014" i="1"/>
  <c r="P1014" i="1" s="1"/>
  <c r="L1014" i="1"/>
  <c r="D2883" i="1"/>
  <c r="M2883" i="1" s="1"/>
  <c r="O2883" i="1"/>
  <c r="P2883" i="1" s="1"/>
  <c r="C2884" i="1"/>
  <c r="L2884" i="1" s="1"/>
  <c r="D1015" i="1" l="1"/>
  <c r="M1015" i="1" s="1"/>
  <c r="C1016" i="1"/>
  <c r="O1015" i="1"/>
  <c r="P1015" i="1" s="1"/>
  <c r="L1015" i="1"/>
  <c r="D2884" i="1"/>
  <c r="M2884" i="1" s="1"/>
  <c r="O2884" i="1"/>
  <c r="P2884" i="1" s="1"/>
  <c r="C2885" i="1"/>
  <c r="L2885" i="1" s="1"/>
  <c r="D1016" i="1" l="1"/>
  <c r="M1016" i="1" s="1"/>
  <c r="C1017" i="1"/>
  <c r="O1016" i="1"/>
  <c r="P1016" i="1" s="1"/>
  <c r="L1016" i="1"/>
  <c r="O2885" i="1"/>
  <c r="P2885" i="1" s="1"/>
  <c r="D2885" i="1"/>
  <c r="M2885" i="1" s="1"/>
  <c r="C2886" i="1"/>
  <c r="L2886" i="1" s="1"/>
  <c r="D1017" i="1" l="1"/>
  <c r="M1017" i="1" s="1"/>
  <c r="C1018" i="1"/>
  <c r="O1017" i="1"/>
  <c r="P1017" i="1" s="1"/>
  <c r="L1017" i="1"/>
  <c r="D2886" i="1"/>
  <c r="M2886" i="1" s="1"/>
  <c r="O2886" i="1"/>
  <c r="P2886" i="1" s="1"/>
  <c r="C2887" i="1"/>
  <c r="L2887" i="1" s="1"/>
  <c r="D1018" i="1" l="1"/>
  <c r="M1018" i="1" s="1"/>
  <c r="O1018" i="1"/>
  <c r="P1018" i="1" s="1"/>
  <c r="C1019" i="1"/>
  <c r="L1018" i="1"/>
  <c r="D2887" i="1"/>
  <c r="M2887" i="1" s="1"/>
  <c r="O2887" i="1"/>
  <c r="P2887" i="1" s="1"/>
  <c r="C2888" i="1"/>
  <c r="L2888" i="1" s="1"/>
  <c r="D1019" i="1" l="1"/>
  <c r="M1019" i="1" s="1"/>
  <c r="C1020" i="1"/>
  <c r="O1019" i="1"/>
  <c r="P1019" i="1" s="1"/>
  <c r="L1019" i="1"/>
  <c r="D2888" i="1"/>
  <c r="M2888" i="1" s="1"/>
  <c r="O2888" i="1"/>
  <c r="P2888" i="1" s="1"/>
  <c r="C2889" i="1"/>
  <c r="L2889" i="1" s="1"/>
  <c r="D1020" i="1" l="1"/>
  <c r="M1020" i="1" s="1"/>
  <c r="C1021" i="1"/>
  <c r="O1020" i="1"/>
  <c r="P1020" i="1" s="1"/>
  <c r="L1020" i="1"/>
  <c r="O2889" i="1"/>
  <c r="P2889" i="1" s="1"/>
  <c r="D2889" i="1"/>
  <c r="M2889" i="1" s="1"/>
  <c r="C2890" i="1"/>
  <c r="L2890" i="1" s="1"/>
  <c r="D1021" i="1" l="1"/>
  <c r="M1021" i="1" s="1"/>
  <c r="C1022" i="1"/>
  <c r="O1021" i="1"/>
  <c r="P1021" i="1" s="1"/>
  <c r="L1021" i="1"/>
  <c r="D2890" i="1"/>
  <c r="M2890" i="1" s="1"/>
  <c r="O2890" i="1"/>
  <c r="P2890" i="1" s="1"/>
  <c r="C2891" i="1"/>
  <c r="L2891" i="1" s="1"/>
  <c r="O1022" i="1" l="1"/>
  <c r="P1022" i="1" s="1"/>
  <c r="C1023" i="1"/>
  <c r="D1022" i="1"/>
  <c r="M1022" i="1" s="1"/>
  <c r="L1022" i="1"/>
  <c r="D2891" i="1"/>
  <c r="M2891" i="1" s="1"/>
  <c r="O2891" i="1"/>
  <c r="P2891" i="1" s="1"/>
  <c r="C2892" i="1"/>
  <c r="L2892" i="1" s="1"/>
  <c r="K40" i="9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O1023" i="1" l="1"/>
  <c r="P1023" i="1" s="1"/>
  <c r="D1023" i="1"/>
  <c r="M1023" i="1" s="1"/>
  <c r="C1024" i="1"/>
  <c r="L1023" i="1"/>
  <c r="D2892" i="1"/>
  <c r="M2892" i="1" s="1"/>
  <c r="O2892" i="1"/>
  <c r="P2892" i="1" s="1"/>
  <c r="C2893" i="1"/>
  <c r="L2893" i="1" s="1"/>
  <c r="L28" i="9"/>
  <c r="L29" i="9"/>
  <c r="L41" i="9"/>
  <c r="L40" i="9"/>
  <c r="L25" i="9"/>
  <c r="L26" i="9"/>
  <c r="L38" i="9"/>
  <c r="D1024" i="1" l="1"/>
  <c r="M1024" i="1" s="1"/>
  <c r="C1025" i="1"/>
  <c r="O1024" i="1"/>
  <c r="P1024" i="1" s="1"/>
  <c r="L1024" i="1"/>
  <c r="O2893" i="1"/>
  <c r="P2893" i="1" s="1"/>
  <c r="D2893" i="1"/>
  <c r="M2893" i="1" s="1"/>
  <c r="C2894" i="1"/>
  <c r="D1025" i="1" l="1"/>
  <c r="M1025" i="1" s="1"/>
  <c r="C1026" i="1"/>
  <c r="O1025" i="1"/>
  <c r="P1025" i="1" s="1"/>
  <c r="L1025" i="1"/>
  <c r="I2895" i="1"/>
  <c r="L2894" i="1"/>
  <c r="D2894" i="1"/>
  <c r="M2894" i="1" s="1"/>
  <c r="O2894" i="1"/>
  <c r="C2895" i="1"/>
  <c r="L2895" i="1" s="1"/>
  <c r="D1026" i="1" l="1"/>
  <c r="M1026" i="1" s="1"/>
  <c r="O1026" i="1"/>
  <c r="P1026" i="1" s="1"/>
  <c r="C1027" i="1"/>
  <c r="L1026" i="1"/>
  <c r="I2905" i="1"/>
  <c r="I2906" i="1" s="1"/>
  <c r="J2895" i="1"/>
  <c r="I2896" i="1"/>
  <c r="I2900" i="1"/>
  <c r="D2895" i="1"/>
  <c r="M2895" i="1" s="1"/>
  <c r="O2895" i="1"/>
  <c r="C2896" i="1"/>
  <c r="L2896" i="1" s="1"/>
  <c r="D1027" i="1" l="1"/>
  <c r="M1027" i="1" s="1"/>
  <c r="C1028" i="1"/>
  <c r="O1027" i="1"/>
  <c r="P1027" i="1" s="1"/>
  <c r="L1027" i="1"/>
  <c r="J2900" i="1"/>
  <c r="J2905" i="1"/>
  <c r="J2906" i="1" s="1"/>
  <c r="I2898" i="1"/>
  <c r="I2914" i="1" s="1"/>
  <c r="I2915" i="1" s="1"/>
  <c r="J2896" i="1"/>
  <c r="J2898" i="1" s="1"/>
  <c r="J2914" i="1" s="1"/>
  <c r="J2915" i="1" s="1"/>
  <c r="O2896" i="1"/>
  <c r="D2896" i="1"/>
  <c r="M2896" i="1" s="1"/>
  <c r="C2897" i="1"/>
  <c r="L2897" i="1" s="1"/>
  <c r="C1029" i="1" l="1"/>
  <c r="D1028" i="1"/>
  <c r="M1028" i="1" s="1"/>
  <c r="O1028" i="1"/>
  <c r="P1028" i="1" s="1"/>
  <c r="L1028" i="1"/>
  <c r="J2901" i="1"/>
  <c r="J2902" i="1" s="1"/>
  <c r="J2911" i="1" s="1"/>
  <c r="J2907" i="1"/>
  <c r="J2908" i="1" s="1"/>
  <c r="J2910" i="1" s="1"/>
  <c r="O2897" i="1"/>
  <c r="D2897" i="1"/>
  <c r="M2897" i="1" s="1"/>
  <c r="C2898" i="1"/>
  <c r="L2898" i="1" s="1"/>
  <c r="D1029" i="1" l="1"/>
  <c r="M1029" i="1" s="1"/>
  <c r="C1030" i="1"/>
  <c r="O1029" i="1"/>
  <c r="P1029" i="1" s="1"/>
  <c r="L1029" i="1"/>
  <c r="J2912" i="1"/>
  <c r="B2921" i="1" s="1"/>
  <c r="D2898" i="1"/>
  <c r="M2898" i="1" s="1"/>
  <c r="O2898" i="1"/>
  <c r="C2899" i="1"/>
  <c r="L2899" i="1" s="1"/>
  <c r="D1030" i="1" l="1"/>
  <c r="M1030" i="1" s="1"/>
  <c r="C1031" i="1"/>
  <c r="O1030" i="1"/>
  <c r="P1030" i="1" s="1"/>
  <c r="L1030" i="1"/>
  <c r="B2895" i="1"/>
  <c r="P2895" i="1" s="1"/>
  <c r="B2917" i="1"/>
  <c r="B2900" i="1"/>
  <c r="B2904" i="1"/>
  <c r="B2907" i="1"/>
  <c r="B2916" i="1"/>
  <c r="B2902" i="1"/>
  <c r="B2910" i="1"/>
  <c r="B2912" i="1"/>
  <c r="B2913" i="1"/>
  <c r="B2896" i="1"/>
  <c r="P2896" i="1" s="1"/>
  <c r="B2897" i="1"/>
  <c r="P2897" i="1" s="1"/>
  <c r="B2923" i="1"/>
  <c r="B2924" i="1" s="1"/>
  <c r="B2925" i="1" s="1"/>
  <c r="B2926" i="1" s="1"/>
  <c r="B2927" i="1" s="1"/>
  <c r="B2928" i="1" s="1"/>
  <c r="B2929" i="1" s="1"/>
  <c r="B2930" i="1" s="1"/>
  <c r="B2931" i="1" s="1"/>
  <c r="B2898" i="1"/>
  <c r="P2898" i="1" s="1"/>
  <c r="B2894" i="1"/>
  <c r="B2915" i="1"/>
  <c r="B2922" i="1"/>
  <c r="B2899" i="1"/>
  <c r="B2901" i="1"/>
  <c r="B2908" i="1"/>
  <c r="B2914" i="1"/>
  <c r="B2903" i="1"/>
  <c r="B2905" i="1"/>
  <c r="B2906" i="1"/>
  <c r="B2909" i="1"/>
  <c r="B2911" i="1"/>
  <c r="B2918" i="1"/>
  <c r="B2919" i="1"/>
  <c r="B2920" i="1"/>
  <c r="D2899" i="1"/>
  <c r="M2899" i="1" s="1"/>
  <c r="O2899" i="1"/>
  <c r="C2900" i="1"/>
  <c r="L2900" i="1" s="1"/>
  <c r="D1031" i="1" l="1"/>
  <c r="M1031" i="1" s="1"/>
  <c r="C1032" i="1"/>
  <c r="O1031" i="1"/>
  <c r="P1031" i="1" s="1"/>
  <c r="L1031" i="1"/>
  <c r="P2894" i="1"/>
  <c r="J2935" i="1"/>
  <c r="J2942" i="1"/>
  <c r="P2899" i="1"/>
  <c r="O2900" i="1"/>
  <c r="P2900" i="1" s="1"/>
  <c r="D2900" i="1"/>
  <c r="M2900" i="1" s="1"/>
  <c r="C2901" i="1"/>
  <c r="L2901" i="1" s="1"/>
  <c r="D1032" i="1" l="1"/>
  <c r="M1032" i="1" s="1"/>
  <c r="C1033" i="1"/>
  <c r="O1032" i="1"/>
  <c r="P1032" i="1" s="1"/>
  <c r="L1032" i="1"/>
  <c r="D2901" i="1"/>
  <c r="M2901" i="1" s="1"/>
  <c r="O2901" i="1"/>
  <c r="P2901" i="1" s="1"/>
  <c r="C2902" i="1"/>
  <c r="L2902" i="1" s="1"/>
  <c r="D1033" i="1" l="1"/>
  <c r="M1033" i="1" s="1"/>
  <c r="C1034" i="1"/>
  <c r="O1033" i="1"/>
  <c r="P1033" i="1" s="1"/>
  <c r="L1033" i="1"/>
  <c r="D2902" i="1"/>
  <c r="M2902" i="1" s="1"/>
  <c r="O2902" i="1"/>
  <c r="P2902" i="1" s="1"/>
  <c r="C2903" i="1"/>
  <c r="L2903" i="1" s="1"/>
  <c r="D1034" i="1" l="1"/>
  <c r="M1034" i="1" s="1"/>
  <c r="C1035" i="1"/>
  <c r="O1034" i="1"/>
  <c r="P1034" i="1" s="1"/>
  <c r="L1034" i="1"/>
  <c r="D2903" i="1"/>
  <c r="M2903" i="1" s="1"/>
  <c r="P2903" i="1"/>
  <c r="C2904" i="1"/>
  <c r="L2904" i="1" s="1"/>
  <c r="D1035" i="1" l="1"/>
  <c r="M1035" i="1" s="1"/>
  <c r="C1036" i="1"/>
  <c r="O1035" i="1"/>
  <c r="P1035" i="1" s="1"/>
  <c r="L1035" i="1"/>
  <c r="P2904" i="1"/>
  <c r="D2904" i="1"/>
  <c r="M2904" i="1" s="1"/>
  <c r="C2905" i="1"/>
  <c r="L2905" i="1" s="1"/>
  <c r="O1036" i="1" l="1"/>
  <c r="P1036" i="1" s="1"/>
  <c r="D1036" i="1"/>
  <c r="M1036" i="1" s="1"/>
  <c r="C1037" i="1"/>
  <c r="L1036" i="1"/>
  <c r="D2905" i="1"/>
  <c r="M2905" i="1" s="1"/>
  <c r="O2905" i="1"/>
  <c r="P2905" i="1" s="1"/>
  <c r="C2906" i="1"/>
  <c r="L2906" i="1" s="1"/>
  <c r="D1037" i="1" l="1"/>
  <c r="M1037" i="1" s="1"/>
  <c r="C1038" i="1"/>
  <c r="O1037" i="1"/>
  <c r="P1037" i="1" s="1"/>
  <c r="L1037" i="1"/>
  <c r="I1038" i="1"/>
  <c r="D2906" i="1"/>
  <c r="M2906" i="1" s="1"/>
  <c r="O2906" i="1"/>
  <c r="P2906" i="1" s="1"/>
  <c r="C2907" i="1"/>
  <c r="L2907" i="1" s="1"/>
  <c r="D1038" i="1" l="1"/>
  <c r="M1038" i="1" s="1"/>
  <c r="C1039" i="1"/>
  <c r="O1038" i="1"/>
  <c r="P1038" i="1" s="1"/>
  <c r="L1038" i="1"/>
  <c r="I1039" i="1"/>
  <c r="J1038" i="1"/>
  <c r="D2907" i="1"/>
  <c r="M2907" i="1" s="1"/>
  <c r="O2907" i="1"/>
  <c r="P2907" i="1" s="1"/>
  <c r="C2908" i="1"/>
  <c r="L2908" i="1" s="1"/>
  <c r="D1039" i="1" l="1"/>
  <c r="M1039" i="1" s="1"/>
  <c r="C1040" i="1"/>
  <c r="O1039" i="1"/>
  <c r="P1039" i="1" s="1"/>
  <c r="L1039" i="1"/>
  <c r="J1039" i="1"/>
  <c r="J1041" i="1" s="1"/>
  <c r="J1043" i="1" s="1"/>
  <c r="J1045" i="1" s="1"/>
  <c r="I1041" i="1"/>
  <c r="I1043" i="1" s="1"/>
  <c r="I1045" i="1" s="1"/>
  <c r="D2908" i="1"/>
  <c r="M2908" i="1" s="1"/>
  <c r="O2908" i="1"/>
  <c r="P2908" i="1" s="1"/>
  <c r="C2909" i="1"/>
  <c r="L2909" i="1" s="1"/>
  <c r="P1046" i="1"/>
  <c r="P1043" i="1"/>
  <c r="D1040" i="1" l="1"/>
  <c r="M1040" i="1" s="1"/>
  <c r="C1041" i="1"/>
  <c r="O1040" i="1"/>
  <c r="P1040" i="1" s="1"/>
  <c r="L1040" i="1"/>
  <c r="O2909" i="1"/>
  <c r="P2909" i="1" s="1"/>
  <c r="D2909" i="1"/>
  <c r="M2909" i="1" s="1"/>
  <c r="C2910" i="1"/>
  <c r="L2910" i="1" s="1"/>
  <c r="D1041" i="1" l="1"/>
  <c r="M1041" i="1" s="1"/>
  <c r="C1042" i="1"/>
  <c r="O1041" i="1"/>
  <c r="P1041" i="1" s="1"/>
  <c r="L1041" i="1"/>
  <c r="D2910" i="1"/>
  <c r="M2910" i="1" s="1"/>
  <c r="O2910" i="1"/>
  <c r="P2910" i="1" s="1"/>
  <c r="C2911" i="1"/>
  <c r="L2911" i="1" s="1"/>
  <c r="D1042" i="1" l="1"/>
  <c r="M1042" i="1" s="1"/>
  <c r="C1043" i="1"/>
  <c r="O1042" i="1"/>
  <c r="P1042" i="1" s="1"/>
  <c r="L1042" i="1"/>
  <c r="D2911" i="1"/>
  <c r="M2911" i="1" s="1"/>
  <c r="O2911" i="1"/>
  <c r="P2911" i="1" s="1"/>
  <c r="C2912" i="1"/>
  <c r="L2912" i="1" s="1"/>
  <c r="D1043" i="1" l="1"/>
  <c r="M1043" i="1" s="1"/>
  <c r="C1044" i="1"/>
  <c r="L1043" i="1"/>
  <c r="D2912" i="1"/>
  <c r="M2912" i="1" s="1"/>
  <c r="O2912" i="1"/>
  <c r="P2912" i="1" s="1"/>
  <c r="C2913" i="1"/>
  <c r="L2913" i="1" s="1"/>
  <c r="D1044" i="1" l="1"/>
  <c r="M1044" i="1" s="1"/>
  <c r="C1045" i="1"/>
  <c r="O1044" i="1"/>
  <c r="P1044" i="1" s="1"/>
  <c r="L1044" i="1"/>
  <c r="D2913" i="1"/>
  <c r="M2913" i="1" s="1"/>
  <c r="O2913" i="1"/>
  <c r="P2913" i="1" s="1"/>
  <c r="C2914" i="1"/>
  <c r="L2914" i="1" s="1"/>
  <c r="D1045" i="1" l="1"/>
  <c r="M1045" i="1" s="1"/>
  <c r="C1046" i="1"/>
  <c r="O1045" i="1"/>
  <c r="P1045" i="1" s="1"/>
  <c r="L1045" i="1"/>
  <c r="D2914" i="1"/>
  <c r="M2914" i="1" s="1"/>
  <c r="O2914" i="1"/>
  <c r="P2914" i="1" s="1"/>
  <c r="C2915" i="1"/>
  <c r="L2915" i="1" s="1"/>
  <c r="D1046" i="1" l="1"/>
  <c r="M1046" i="1" s="1"/>
  <c r="C1047" i="1"/>
  <c r="L1046" i="1"/>
  <c r="D2915" i="1"/>
  <c r="M2915" i="1" s="1"/>
  <c r="O2915" i="1"/>
  <c r="P2915" i="1" s="1"/>
  <c r="C2916" i="1"/>
  <c r="L2916" i="1" s="1"/>
  <c r="D1047" i="1" l="1"/>
  <c r="M1047" i="1" s="1"/>
  <c r="C1048" i="1"/>
  <c r="O1047" i="1"/>
  <c r="P1047" i="1" s="1"/>
  <c r="L1047" i="1"/>
  <c r="D2916" i="1"/>
  <c r="M2916" i="1" s="1"/>
  <c r="O2916" i="1"/>
  <c r="P2916" i="1" s="1"/>
  <c r="C2917" i="1"/>
  <c r="L2917" i="1" s="1"/>
  <c r="D1048" i="1" l="1"/>
  <c r="M1048" i="1" s="1"/>
  <c r="C1049" i="1"/>
  <c r="O1048" i="1"/>
  <c r="P1048" i="1" s="1"/>
  <c r="L1048" i="1"/>
  <c r="D2917" i="1"/>
  <c r="M2917" i="1" s="1"/>
  <c r="P2917" i="1"/>
  <c r="C2918" i="1"/>
  <c r="L2918" i="1" s="1"/>
  <c r="D1049" i="1" l="1"/>
  <c r="M1049" i="1" s="1"/>
  <c r="C1050" i="1"/>
  <c r="O1049" i="1"/>
  <c r="P1049" i="1" s="1"/>
  <c r="L1049" i="1"/>
  <c r="P2918" i="1"/>
  <c r="D2918" i="1"/>
  <c r="M2918" i="1" s="1"/>
  <c r="C2919" i="1"/>
  <c r="L2919" i="1" s="1"/>
  <c r="D1050" i="1" l="1"/>
  <c r="M1050" i="1" s="1"/>
  <c r="C1051" i="1"/>
  <c r="O1050" i="1"/>
  <c r="P1050" i="1" s="1"/>
  <c r="L1050" i="1"/>
  <c r="O2919" i="1"/>
  <c r="P2919" i="1" s="1"/>
  <c r="D2919" i="1"/>
  <c r="M2919" i="1" s="1"/>
  <c r="C2920" i="1"/>
  <c r="L2920" i="1" s="1"/>
  <c r="D1051" i="1" l="1"/>
  <c r="M1051" i="1" s="1"/>
  <c r="O1051" i="1"/>
  <c r="P1051" i="1" s="1"/>
  <c r="C1052" i="1"/>
  <c r="L1051" i="1"/>
  <c r="D2920" i="1"/>
  <c r="M2920" i="1" s="1"/>
  <c r="O2920" i="1"/>
  <c r="P2920" i="1" s="1"/>
  <c r="C2921" i="1"/>
  <c r="L2921" i="1" s="1"/>
  <c r="D1052" i="1" l="1"/>
  <c r="M1052" i="1" s="1"/>
  <c r="C1053" i="1"/>
  <c r="O1052" i="1"/>
  <c r="P1052" i="1" s="1"/>
  <c r="L1052" i="1"/>
  <c r="O2921" i="1"/>
  <c r="P2921" i="1" s="1"/>
  <c r="D2921" i="1"/>
  <c r="M2921" i="1" s="1"/>
  <c r="C2922" i="1"/>
  <c r="L2922" i="1" s="1"/>
  <c r="O1053" i="1" l="1"/>
  <c r="P1053" i="1" s="1"/>
  <c r="D1053" i="1"/>
  <c r="M1053" i="1" s="1"/>
  <c r="C1054" i="1"/>
  <c r="L1053" i="1"/>
  <c r="D2922" i="1"/>
  <c r="M2922" i="1" s="1"/>
  <c r="O2922" i="1"/>
  <c r="P2922" i="1" s="1"/>
  <c r="C2923" i="1"/>
  <c r="L2923" i="1" s="1"/>
  <c r="D1054" i="1" l="1"/>
  <c r="M1054" i="1" s="1"/>
  <c r="C1055" i="1"/>
  <c r="O1054" i="1"/>
  <c r="P1054" i="1" s="1"/>
  <c r="L1054" i="1"/>
  <c r="D2923" i="1"/>
  <c r="M2923" i="1" s="1"/>
  <c r="O2923" i="1"/>
  <c r="P2923" i="1" s="1"/>
  <c r="C2924" i="1"/>
  <c r="I2925" i="1" s="1"/>
  <c r="C1056" i="1" l="1"/>
  <c r="D1055" i="1"/>
  <c r="M1055" i="1" s="1"/>
  <c r="O1055" i="1"/>
  <c r="P1055" i="1" s="1"/>
  <c r="L1055" i="1"/>
  <c r="J2925" i="1"/>
  <c r="I2926" i="1"/>
  <c r="I2933" i="1"/>
  <c r="I2939" i="1"/>
  <c r="I2940" i="1" s="1"/>
  <c r="L2924" i="1"/>
  <c r="I2907" i="1"/>
  <c r="I2908" i="1" s="1"/>
  <c r="I2910" i="1" s="1"/>
  <c r="I2901" i="1"/>
  <c r="I2902" i="1" s="1"/>
  <c r="I2911" i="1" s="1"/>
  <c r="O2924" i="1"/>
  <c r="P2924" i="1" s="1"/>
  <c r="D2924" i="1"/>
  <c r="M2924" i="1" s="1"/>
  <c r="C2925" i="1"/>
  <c r="L2925" i="1" s="1"/>
  <c r="C1057" i="1" l="1"/>
  <c r="D1056" i="1"/>
  <c r="M1056" i="1" s="1"/>
  <c r="O1056" i="1"/>
  <c r="P1056" i="1" s="1"/>
  <c r="L1056" i="1"/>
  <c r="I2912" i="1"/>
  <c r="J2939" i="1"/>
  <c r="J2940" i="1" s="1"/>
  <c r="J2933" i="1"/>
  <c r="I2930" i="1"/>
  <c r="J2926" i="1"/>
  <c r="I2931" i="1"/>
  <c r="D2925" i="1"/>
  <c r="M2925" i="1" s="1"/>
  <c r="O2925" i="1"/>
  <c r="P2925" i="1" s="1"/>
  <c r="C2926" i="1"/>
  <c r="L2926" i="1" s="1"/>
  <c r="D1057" i="1" l="1"/>
  <c r="M1057" i="1" s="1"/>
  <c r="C1058" i="1"/>
  <c r="O1057" i="1"/>
  <c r="P1057" i="1" s="1"/>
  <c r="L1057" i="1"/>
  <c r="J2931" i="1"/>
  <c r="J2930" i="1"/>
  <c r="I2941" i="1"/>
  <c r="I2949" i="1"/>
  <c r="I2950" i="1" s="1"/>
  <c r="I2934" i="1"/>
  <c r="A2896" i="1"/>
  <c r="A2898" i="1"/>
  <c r="A2900" i="1"/>
  <c r="A2901" i="1"/>
  <c r="A2897" i="1"/>
  <c r="A2899" i="1"/>
  <c r="A2902" i="1"/>
  <c r="A2903" i="1"/>
  <c r="A2904" i="1"/>
  <c r="A2907" i="1"/>
  <c r="A2909" i="1"/>
  <c r="A2910" i="1"/>
  <c r="A2911" i="1"/>
  <c r="A2914" i="1"/>
  <c r="A2918" i="1"/>
  <c r="A2920" i="1"/>
  <c r="A2922" i="1"/>
  <c r="A2905" i="1"/>
  <c r="A2923" i="1"/>
  <c r="A2924" i="1" s="1"/>
  <c r="A2906" i="1"/>
  <c r="A2895" i="1"/>
  <c r="A2908" i="1"/>
  <c r="A2912" i="1"/>
  <c r="A2913" i="1"/>
  <c r="A2916" i="1"/>
  <c r="A2917" i="1"/>
  <c r="A2919" i="1"/>
  <c r="A2921" i="1"/>
  <c r="A2894" i="1"/>
  <c r="A2915" i="1"/>
  <c r="O2926" i="1"/>
  <c r="P2926" i="1" s="1"/>
  <c r="D2926" i="1"/>
  <c r="M2926" i="1" s="1"/>
  <c r="C2927" i="1"/>
  <c r="L2927" i="1" s="1"/>
  <c r="D1058" i="1" l="1"/>
  <c r="M1058" i="1" s="1"/>
  <c r="C1059" i="1"/>
  <c r="O1058" i="1"/>
  <c r="P1058" i="1" s="1"/>
  <c r="L1058" i="1"/>
  <c r="J2941" i="1"/>
  <c r="J2943" i="1" s="1"/>
  <c r="J2945" i="1" s="1"/>
  <c r="J2934" i="1"/>
  <c r="J2936" i="1" s="1"/>
  <c r="J2946" i="1" s="1"/>
  <c r="J2949" i="1"/>
  <c r="J2950" i="1" s="1"/>
  <c r="A2925" i="1"/>
  <c r="A2926" i="1" s="1"/>
  <c r="A2927" i="1" s="1"/>
  <c r="A2928" i="1" s="1"/>
  <c r="A2929" i="1" s="1"/>
  <c r="A2930" i="1" s="1"/>
  <c r="A2931" i="1" s="1"/>
  <c r="I2942" i="1"/>
  <c r="I2943" i="1" s="1"/>
  <c r="I2945" i="1" s="1"/>
  <c r="I2935" i="1"/>
  <c r="I2936" i="1" s="1"/>
  <c r="I2946" i="1" s="1"/>
  <c r="O2927" i="1"/>
  <c r="P2927" i="1" s="1"/>
  <c r="D2927" i="1"/>
  <c r="M2927" i="1" s="1"/>
  <c r="C2928" i="1"/>
  <c r="L2928" i="1" s="1"/>
  <c r="D1059" i="1" l="1"/>
  <c r="M1059" i="1" s="1"/>
  <c r="C1060" i="1"/>
  <c r="O1059" i="1"/>
  <c r="P1059" i="1" s="1"/>
  <c r="L1059" i="1"/>
  <c r="J2947" i="1"/>
  <c r="I2947" i="1"/>
  <c r="D2928" i="1"/>
  <c r="M2928" i="1" s="1"/>
  <c r="O2928" i="1"/>
  <c r="P2928" i="1" s="1"/>
  <c r="C2929" i="1"/>
  <c r="L2929" i="1" s="1"/>
  <c r="C1061" i="1" l="1"/>
  <c r="O1060" i="1"/>
  <c r="P1060" i="1" s="1"/>
  <c r="D1060" i="1"/>
  <c r="M1060" i="1" s="1"/>
  <c r="L1060" i="1"/>
  <c r="B2932" i="1"/>
  <c r="B2943" i="1"/>
  <c r="B2952" i="1"/>
  <c r="B2944" i="1"/>
  <c r="B2945" i="1"/>
  <c r="B2934" i="1"/>
  <c r="B2936" i="1"/>
  <c r="B2946" i="1"/>
  <c r="B2947" i="1"/>
  <c r="B2948" i="1"/>
  <c r="B2949" i="1"/>
  <c r="B2950" i="1"/>
  <c r="B2942" i="1"/>
  <c r="B2954" i="1"/>
  <c r="B2933" i="1"/>
  <c r="B2935" i="1"/>
  <c r="B2937" i="1"/>
  <c r="B2938" i="1"/>
  <c r="B2939" i="1"/>
  <c r="B2940" i="1"/>
  <c r="B2941" i="1"/>
  <c r="B2953" i="1"/>
  <c r="B2951" i="1"/>
  <c r="A2932" i="1"/>
  <c r="A2936" i="1"/>
  <c r="A2934" i="1"/>
  <c r="A2954" i="1"/>
  <c r="A2935" i="1"/>
  <c r="A2933" i="1"/>
  <c r="A2953" i="1"/>
  <c r="A2937" i="1"/>
  <c r="A2938" i="1"/>
  <c r="A2939" i="1"/>
  <c r="A2940" i="1"/>
  <c r="A2941" i="1"/>
  <c r="A2950" i="1"/>
  <c r="A2943" i="1"/>
  <c r="A2944" i="1"/>
  <c r="A2945" i="1"/>
  <c r="A2946" i="1"/>
  <c r="A2942" i="1"/>
  <c r="A2948" i="1"/>
  <c r="A2949" i="1"/>
  <c r="A2951" i="1"/>
  <c r="A2952" i="1"/>
  <c r="A2947" i="1"/>
  <c r="D2929" i="1"/>
  <c r="M2929" i="1" s="1"/>
  <c r="O2929" i="1"/>
  <c r="P2929" i="1" s="1"/>
  <c r="C2930" i="1"/>
  <c r="L2930" i="1" s="1"/>
  <c r="D1061" i="1" l="1"/>
  <c r="M1061" i="1" s="1"/>
  <c r="C1062" i="1"/>
  <c r="O1061" i="1"/>
  <c r="P1061" i="1" s="1"/>
  <c r="L1061" i="1"/>
  <c r="O2930" i="1"/>
  <c r="P2930" i="1" s="1"/>
  <c r="D2930" i="1"/>
  <c r="M2930" i="1" s="1"/>
  <c r="C2931" i="1"/>
  <c r="L2931" i="1" s="1"/>
  <c r="D1062" i="1" l="1"/>
  <c r="M1062" i="1" s="1"/>
  <c r="C1063" i="1"/>
  <c r="O1062" i="1"/>
  <c r="P1062" i="1" s="1"/>
  <c r="L1062" i="1"/>
  <c r="D2931" i="1"/>
  <c r="M2931" i="1" s="1"/>
  <c r="O2931" i="1"/>
  <c r="P2931" i="1" s="1"/>
  <c r="C2932" i="1"/>
  <c r="L2932" i="1" s="1"/>
  <c r="D1063" i="1" l="1"/>
  <c r="M1063" i="1" s="1"/>
  <c r="C1064" i="1"/>
  <c r="O1063" i="1"/>
  <c r="P1063" i="1" s="1"/>
  <c r="L1063" i="1"/>
  <c r="O2932" i="1"/>
  <c r="P2932" i="1" s="1"/>
  <c r="D2932" i="1"/>
  <c r="M2932" i="1" s="1"/>
  <c r="C2933" i="1"/>
  <c r="L2933" i="1" s="1"/>
  <c r="D1064" i="1" l="1"/>
  <c r="M1064" i="1" s="1"/>
  <c r="C1065" i="1"/>
  <c r="O1064" i="1"/>
  <c r="P1064" i="1" s="1"/>
  <c r="L1064" i="1"/>
  <c r="D2933" i="1"/>
  <c r="M2933" i="1" s="1"/>
  <c r="O2933" i="1"/>
  <c r="P2933" i="1" s="1"/>
  <c r="C2934" i="1"/>
  <c r="L2934" i="1" s="1"/>
  <c r="D1065" i="1" l="1"/>
  <c r="M1065" i="1" s="1"/>
  <c r="C1066" i="1"/>
  <c r="O1065" i="1"/>
  <c r="P1065" i="1" s="1"/>
  <c r="L1065" i="1"/>
  <c r="D2934" i="1"/>
  <c r="M2934" i="1" s="1"/>
  <c r="O2934" i="1"/>
  <c r="P2934" i="1" s="1"/>
  <c r="C2935" i="1"/>
  <c r="L2935" i="1" s="1"/>
  <c r="D1066" i="1" l="1"/>
  <c r="M1066" i="1" s="1"/>
  <c r="C1067" i="1"/>
  <c r="O1066" i="1"/>
  <c r="P1066" i="1" s="1"/>
  <c r="L1066" i="1"/>
  <c r="D2935" i="1"/>
  <c r="M2935" i="1" s="1"/>
  <c r="O2935" i="1"/>
  <c r="P2935" i="1" s="1"/>
  <c r="C2936" i="1"/>
  <c r="L2936" i="1" s="1"/>
  <c r="D1067" i="1" l="1"/>
  <c r="M1067" i="1" s="1"/>
  <c r="C1068" i="1"/>
  <c r="O1067" i="1"/>
  <c r="P1067" i="1" s="1"/>
  <c r="L1067" i="1"/>
  <c r="D2936" i="1"/>
  <c r="M2936" i="1" s="1"/>
  <c r="O2936" i="1"/>
  <c r="P2936" i="1" s="1"/>
  <c r="C2937" i="1"/>
  <c r="L2937" i="1" s="1"/>
  <c r="D1068" i="1" l="1"/>
  <c r="M1068" i="1" s="1"/>
  <c r="C1069" i="1"/>
  <c r="O1068" i="1"/>
  <c r="P1068" i="1" s="1"/>
  <c r="L1068" i="1"/>
  <c r="I1069" i="1"/>
  <c r="D2937" i="1"/>
  <c r="M2937" i="1" s="1"/>
  <c r="O2937" i="1"/>
  <c r="P2937" i="1" s="1"/>
  <c r="C2938" i="1"/>
  <c r="L2938" i="1" s="1"/>
  <c r="D1069" i="1" l="1"/>
  <c r="M1069" i="1" s="1"/>
  <c r="C1070" i="1"/>
  <c r="O1069" i="1"/>
  <c r="P1069" i="1" s="1"/>
  <c r="L1069" i="1"/>
  <c r="I1070" i="1"/>
  <c r="J1069" i="1"/>
  <c r="D2938" i="1"/>
  <c r="M2938" i="1" s="1"/>
  <c r="O2938" i="1"/>
  <c r="P2938" i="1" s="1"/>
  <c r="C2939" i="1"/>
  <c r="L2939" i="1" s="1"/>
  <c r="D1070" i="1" l="1"/>
  <c r="M1070" i="1" s="1"/>
  <c r="C1071" i="1"/>
  <c r="O1070" i="1"/>
  <c r="P1070" i="1" s="1"/>
  <c r="L1070" i="1"/>
  <c r="J1070" i="1"/>
  <c r="J1072" i="1" s="1"/>
  <c r="J1074" i="1" s="1"/>
  <c r="J1076" i="1" s="1"/>
  <c r="I1072" i="1"/>
  <c r="I1074" i="1" s="1"/>
  <c r="I1076" i="1" s="1"/>
  <c r="D2939" i="1"/>
  <c r="M2939" i="1" s="1"/>
  <c r="O2939" i="1"/>
  <c r="P2939" i="1" s="1"/>
  <c r="C2940" i="1"/>
  <c r="L2940" i="1" s="1"/>
  <c r="P1078" i="1"/>
  <c r="P1077" i="1"/>
  <c r="P1091" i="1"/>
  <c r="P1090" i="1"/>
  <c r="D1071" i="1" l="1"/>
  <c r="M1071" i="1" s="1"/>
  <c r="C1072" i="1"/>
  <c r="O1071" i="1"/>
  <c r="P1071" i="1" s="1"/>
  <c r="L1071" i="1"/>
  <c r="D2940" i="1"/>
  <c r="M2940" i="1" s="1"/>
  <c r="O2940" i="1"/>
  <c r="P2940" i="1" s="1"/>
  <c r="C2941" i="1"/>
  <c r="L2941" i="1" s="1"/>
  <c r="D1072" i="1" l="1"/>
  <c r="M1072" i="1" s="1"/>
  <c r="C1073" i="1"/>
  <c r="O1072" i="1"/>
  <c r="P1072" i="1" s="1"/>
  <c r="L1072" i="1"/>
  <c r="O2941" i="1"/>
  <c r="P2941" i="1" s="1"/>
  <c r="D2941" i="1"/>
  <c r="M2941" i="1" s="1"/>
  <c r="C2942" i="1"/>
  <c r="L2942" i="1" s="1"/>
  <c r="D1073" i="1" l="1"/>
  <c r="M1073" i="1" s="1"/>
  <c r="C1074" i="1"/>
  <c r="O1073" i="1"/>
  <c r="P1073" i="1" s="1"/>
  <c r="L1073" i="1"/>
  <c r="O2942" i="1"/>
  <c r="P2942" i="1" s="1"/>
  <c r="D2942" i="1"/>
  <c r="M2942" i="1" s="1"/>
  <c r="C2943" i="1"/>
  <c r="L2943" i="1" s="1"/>
  <c r="D1074" i="1" l="1"/>
  <c r="M1074" i="1" s="1"/>
  <c r="C1075" i="1"/>
  <c r="O1074" i="1"/>
  <c r="P1074" i="1" s="1"/>
  <c r="L1074" i="1"/>
  <c r="D2943" i="1"/>
  <c r="M2943" i="1" s="1"/>
  <c r="O2943" i="1"/>
  <c r="P2943" i="1" s="1"/>
  <c r="C2944" i="1"/>
  <c r="L2944" i="1" s="1"/>
  <c r="D1075" i="1" l="1"/>
  <c r="M1075" i="1" s="1"/>
  <c r="C1076" i="1"/>
  <c r="O1075" i="1"/>
  <c r="P1075" i="1" s="1"/>
  <c r="L1075" i="1"/>
  <c r="D2944" i="1"/>
  <c r="M2944" i="1" s="1"/>
  <c r="O2944" i="1"/>
  <c r="P2944" i="1" s="1"/>
  <c r="C2945" i="1"/>
  <c r="L2945" i="1" s="1"/>
  <c r="D1076" i="1" l="1"/>
  <c r="M1076" i="1" s="1"/>
  <c r="C1077" i="1"/>
  <c r="O1076" i="1"/>
  <c r="P1076" i="1" s="1"/>
  <c r="L1076" i="1"/>
  <c r="D2945" i="1"/>
  <c r="M2945" i="1" s="1"/>
  <c r="O2945" i="1"/>
  <c r="P2945" i="1" s="1"/>
  <c r="C2946" i="1"/>
  <c r="L2946" i="1" s="1"/>
  <c r="D1077" i="1" l="1"/>
  <c r="M1077" i="1" s="1"/>
  <c r="C1078" i="1"/>
  <c r="L1077" i="1"/>
  <c r="D2946" i="1"/>
  <c r="M2946" i="1" s="1"/>
  <c r="O2946" i="1"/>
  <c r="P2946" i="1" s="1"/>
  <c r="C2947" i="1"/>
  <c r="L2947" i="1" s="1"/>
  <c r="D1078" i="1" l="1"/>
  <c r="M1078" i="1" s="1"/>
  <c r="C1079" i="1"/>
  <c r="L1078" i="1"/>
  <c r="D2947" i="1"/>
  <c r="M2947" i="1" s="1"/>
  <c r="O2947" i="1"/>
  <c r="P2947" i="1" s="1"/>
  <c r="C2948" i="1"/>
  <c r="L2948" i="1" s="1"/>
  <c r="D1079" i="1" l="1"/>
  <c r="M1079" i="1" s="1"/>
  <c r="C1080" i="1"/>
  <c r="O1079" i="1"/>
  <c r="P1079" i="1" s="1"/>
  <c r="L1079" i="1"/>
  <c r="D2948" i="1"/>
  <c r="M2948" i="1" s="1"/>
  <c r="O2948" i="1"/>
  <c r="P2948" i="1" s="1"/>
  <c r="C2949" i="1"/>
  <c r="L2949" i="1" s="1"/>
  <c r="D1080" i="1" l="1"/>
  <c r="M1080" i="1" s="1"/>
  <c r="C1081" i="1"/>
  <c r="O1080" i="1"/>
  <c r="P1080" i="1" s="1"/>
  <c r="L1080" i="1"/>
  <c r="O2949" i="1"/>
  <c r="P2949" i="1" s="1"/>
  <c r="D2949" i="1"/>
  <c r="M2949" i="1" s="1"/>
  <c r="C2950" i="1"/>
  <c r="L2950" i="1" s="1"/>
  <c r="D1081" i="1" l="1"/>
  <c r="M1081" i="1" s="1"/>
  <c r="C1082" i="1"/>
  <c r="O1081" i="1"/>
  <c r="P1081" i="1" s="1"/>
  <c r="L1081" i="1"/>
  <c r="O2950" i="1"/>
  <c r="P2950" i="1" s="1"/>
  <c r="D2950" i="1"/>
  <c r="M2950" i="1" s="1"/>
  <c r="C2951" i="1"/>
  <c r="L2951" i="1" s="1"/>
  <c r="D1082" i="1" l="1"/>
  <c r="M1082" i="1" s="1"/>
  <c r="C1083" i="1"/>
  <c r="O1082" i="1"/>
  <c r="P1082" i="1" s="1"/>
  <c r="L1082" i="1"/>
  <c r="D2951" i="1"/>
  <c r="M2951" i="1" s="1"/>
  <c r="O2951" i="1"/>
  <c r="P2951" i="1" s="1"/>
  <c r="C2952" i="1"/>
  <c r="L2952" i="1" s="1"/>
  <c r="D1083" i="1" l="1"/>
  <c r="M1083" i="1" s="1"/>
  <c r="C1084" i="1"/>
  <c r="O1083" i="1"/>
  <c r="P1083" i="1" s="1"/>
  <c r="L1083" i="1"/>
  <c r="O2952" i="1"/>
  <c r="P2952" i="1" s="1"/>
  <c r="D2952" i="1"/>
  <c r="M2952" i="1" s="1"/>
  <c r="C2953" i="1"/>
  <c r="L2953" i="1" s="1"/>
  <c r="D1084" i="1" l="1"/>
  <c r="M1084" i="1" s="1"/>
  <c r="C1085" i="1"/>
  <c r="O1084" i="1"/>
  <c r="P1084" i="1" s="1"/>
  <c r="L1084" i="1"/>
  <c r="D2953" i="1"/>
  <c r="M2953" i="1" s="1"/>
  <c r="O2953" i="1"/>
  <c r="P2953" i="1" s="1"/>
  <c r="C2954" i="1"/>
  <c r="C1086" i="1" l="1"/>
  <c r="D1085" i="1"/>
  <c r="M1085" i="1" s="1"/>
  <c r="O1085" i="1"/>
  <c r="P1085" i="1" s="1"/>
  <c r="L1085" i="1"/>
  <c r="O2954" i="1"/>
  <c r="P2954" i="1" s="1"/>
  <c r="L2954" i="1"/>
  <c r="D2954" i="1"/>
  <c r="M2954" i="1" s="1"/>
  <c r="C1087" i="1" l="1"/>
  <c r="D1086" i="1"/>
  <c r="M1086" i="1" s="1"/>
  <c r="O1086" i="1"/>
  <c r="P1086" i="1" s="1"/>
  <c r="L1086" i="1"/>
  <c r="D1087" i="1" l="1"/>
  <c r="M1087" i="1" s="1"/>
  <c r="C1088" i="1"/>
  <c r="O1087" i="1"/>
  <c r="P1087" i="1" s="1"/>
  <c r="L1087" i="1"/>
  <c r="O1088" i="1" l="1"/>
  <c r="P1088" i="1" s="1"/>
  <c r="D1088" i="1"/>
  <c r="M1088" i="1" s="1"/>
  <c r="C1089" i="1"/>
  <c r="L1088" i="1"/>
  <c r="D1089" i="1" l="1"/>
  <c r="M1089" i="1" s="1"/>
  <c r="C1090" i="1"/>
  <c r="O1089" i="1"/>
  <c r="P1089" i="1" s="1"/>
  <c r="L1089" i="1"/>
  <c r="D1090" i="1" l="1"/>
  <c r="M1090" i="1" s="1"/>
  <c r="C1091" i="1"/>
  <c r="L1090" i="1"/>
  <c r="D1091" i="1" l="1"/>
  <c r="M1091" i="1" s="1"/>
  <c r="C1092" i="1"/>
  <c r="L1091" i="1"/>
  <c r="O1092" i="1" l="1"/>
  <c r="P1092" i="1" s="1"/>
  <c r="D1092" i="1"/>
  <c r="M1092" i="1" s="1"/>
  <c r="C1093" i="1"/>
  <c r="L1092" i="1"/>
  <c r="D1093" i="1" l="1"/>
  <c r="M1093" i="1" s="1"/>
  <c r="C1094" i="1"/>
  <c r="O1093" i="1"/>
  <c r="P1093" i="1" s="1"/>
  <c r="L1093" i="1"/>
  <c r="D1094" i="1" l="1"/>
  <c r="M1094" i="1" s="1"/>
  <c r="C1095" i="1"/>
  <c r="O1094" i="1"/>
  <c r="P1094" i="1" s="1"/>
  <c r="L1094" i="1"/>
  <c r="O1095" i="1" l="1"/>
  <c r="P1095" i="1" s="1"/>
  <c r="D1095" i="1"/>
  <c r="M1095" i="1" s="1"/>
  <c r="C1096" i="1"/>
  <c r="L1095" i="1"/>
  <c r="O1096" i="1" l="1"/>
  <c r="P1096" i="1" s="1"/>
  <c r="D1096" i="1"/>
  <c r="M1096" i="1" s="1"/>
  <c r="C1097" i="1"/>
  <c r="L1096" i="1"/>
  <c r="D1097" i="1" l="1"/>
  <c r="M1097" i="1" s="1"/>
  <c r="O1097" i="1"/>
  <c r="P1097" i="1" s="1"/>
  <c r="C1098" i="1"/>
  <c r="L1097" i="1"/>
  <c r="D1098" i="1" l="1"/>
  <c r="M1098" i="1" s="1"/>
  <c r="I1099" i="1"/>
  <c r="C1099" i="1"/>
  <c r="O1098" i="1"/>
  <c r="P1098" i="1" s="1"/>
  <c r="L1098" i="1"/>
  <c r="I1100" i="1" l="1"/>
  <c r="J1099" i="1"/>
  <c r="D1099" i="1"/>
  <c r="M1099" i="1" s="1"/>
  <c r="C1100" i="1"/>
  <c r="O1099" i="1"/>
  <c r="P1099" i="1" s="1"/>
  <c r="L1099" i="1"/>
  <c r="J1100" i="1" l="1"/>
  <c r="J1102" i="1" s="1"/>
  <c r="J1104" i="1" s="1"/>
  <c r="J1106" i="1" s="1"/>
  <c r="I1102" i="1"/>
  <c r="I1104" i="1" s="1"/>
  <c r="I1106" i="1" s="1"/>
  <c r="D1100" i="1"/>
  <c r="M1100" i="1" s="1"/>
  <c r="C1101" i="1"/>
  <c r="O1100" i="1"/>
  <c r="P1100" i="1" s="1"/>
  <c r="L1100" i="1"/>
  <c r="P1123" i="1"/>
  <c r="P1127" i="1"/>
  <c r="P1120" i="1"/>
  <c r="D1101" i="1" l="1"/>
  <c r="M1101" i="1" s="1"/>
  <c r="C1102" i="1"/>
  <c r="O1101" i="1"/>
  <c r="P1101" i="1" s="1"/>
  <c r="L1101" i="1"/>
  <c r="D1102" i="1" l="1"/>
  <c r="M1102" i="1" s="1"/>
  <c r="C1103" i="1"/>
  <c r="O1102" i="1"/>
  <c r="P1102" i="1" s="1"/>
  <c r="L1102" i="1"/>
  <c r="D1103" i="1" l="1"/>
  <c r="M1103" i="1" s="1"/>
  <c r="O1103" i="1"/>
  <c r="P1103" i="1" s="1"/>
  <c r="C1104" i="1"/>
  <c r="L1103" i="1"/>
  <c r="P1130" i="1"/>
  <c r="O1104" i="1" l="1"/>
  <c r="P1104" i="1" s="1"/>
  <c r="D1104" i="1"/>
  <c r="M1104" i="1" s="1"/>
  <c r="C1105" i="1"/>
  <c r="L1104" i="1"/>
  <c r="D1105" i="1" l="1"/>
  <c r="M1105" i="1" s="1"/>
  <c r="C1106" i="1"/>
  <c r="O1105" i="1"/>
  <c r="P1105" i="1" s="1"/>
  <c r="L1105" i="1"/>
  <c r="D1106" i="1" l="1"/>
  <c r="M1106" i="1" s="1"/>
  <c r="C1107" i="1"/>
  <c r="O1106" i="1"/>
  <c r="P1106" i="1" s="1"/>
  <c r="L1106" i="1"/>
  <c r="D1107" i="1" l="1"/>
  <c r="M1107" i="1" s="1"/>
  <c r="C1108" i="1"/>
  <c r="O1107" i="1"/>
  <c r="P1107" i="1" s="1"/>
  <c r="L1107" i="1"/>
  <c r="D1108" i="1" l="1"/>
  <c r="M1108" i="1" s="1"/>
  <c r="C1109" i="1"/>
  <c r="O1108" i="1"/>
  <c r="P1108" i="1" s="1"/>
  <c r="L1108" i="1"/>
  <c r="O1109" i="1" l="1"/>
  <c r="P1109" i="1" s="1"/>
  <c r="D1109" i="1"/>
  <c r="M1109" i="1" s="1"/>
  <c r="C1110" i="1"/>
  <c r="L1109" i="1"/>
  <c r="D1110" i="1" l="1"/>
  <c r="M1110" i="1" s="1"/>
  <c r="O1110" i="1"/>
  <c r="P1110" i="1" s="1"/>
  <c r="C1111" i="1"/>
  <c r="L1110" i="1"/>
  <c r="D1111" i="1" l="1"/>
  <c r="M1111" i="1" s="1"/>
  <c r="C1112" i="1"/>
  <c r="O1111" i="1"/>
  <c r="P1111" i="1" s="1"/>
  <c r="L1111" i="1"/>
  <c r="C1113" i="1" l="1"/>
  <c r="O1112" i="1"/>
  <c r="P1112" i="1" s="1"/>
  <c r="D1112" i="1"/>
  <c r="M1112" i="1" s="1"/>
  <c r="L1112" i="1"/>
  <c r="D1113" i="1" l="1"/>
  <c r="M1113" i="1" s="1"/>
  <c r="C1114" i="1"/>
  <c r="O1113" i="1"/>
  <c r="P1113" i="1" s="1"/>
  <c r="L1113" i="1"/>
  <c r="C1115" i="1" l="1"/>
  <c r="O1114" i="1"/>
  <c r="P1114" i="1" s="1"/>
  <c r="D1114" i="1"/>
  <c r="M1114" i="1" s="1"/>
  <c r="L1114" i="1"/>
  <c r="D1115" i="1" l="1"/>
  <c r="M1115" i="1" s="1"/>
  <c r="C1116" i="1"/>
  <c r="O1115" i="1"/>
  <c r="P1115" i="1" s="1"/>
  <c r="L1115" i="1"/>
  <c r="D1116" i="1" l="1"/>
  <c r="M1116" i="1" s="1"/>
  <c r="C1117" i="1"/>
  <c r="O1116" i="1"/>
  <c r="P1116" i="1" s="1"/>
  <c r="L1116" i="1"/>
  <c r="D1117" i="1" l="1"/>
  <c r="M1117" i="1" s="1"/>
  <c r="C1118" i="1"/>
  <c r="O1117" i="1"/>
  <c r="P1117" i="1" s="1"/>
  <c r="L1117" i="1"/>
  <c r="D1118" i="1" l="1"/>
  <c r="M1118" i="1" s="1"/>
  <c r="C1119" i="1"/>
  <c r="O1118" i="1"/>
  <c r="P1118" i="1" s="1"/>
  <c r="L1118" i="1"/>
  <c r="D1119" i="1" l="1"/>
  <c r="M1119" i="1" s="1"/>
  <c r="C1120" i="1"/>
  <c r="O1119" i="1"/>
  <c r="P1119" i="1" s="1"/>
  <c r="L1119" i="1"/>
  <c r="D1120" i="1" l="1"/>
  <c r="M1120" i="1" s="1"/>
  <c r="C1121" i="1"/>
  <c r="L1120" i="1"/>
  <c r="O1121" i="1" l="1"/>
  <c r="P1121" i="1" s="1"/>
  <c r="D1121" i="1"/>
  <c r="M1121" i="1" s="1"/>
  <c r="C1122" i="1"/>
  <c r="L1121" i="1"/>
  <c r="D1122" i="1" l="1"/>
  <c r="M1122" i="1" s="1"/>
  <c r="C1123" i="1"/>
  <c r="O1122" i="1"/>
  <c r="P1122" i="1" s="1"/>
  <c r="L1122" i="1"/>
  <c r="D1123" i="1" l="1"/>
  <c r="M1123" i="1" s="1"/>
  <c r="C1124" i="1"/>
  <c r="L1123" i="1"/>
  <c r="D1124" i="1" l="1"/>
  <c r="M1124" i="1" s="1"/>
  <c r="C1125" i="1"/>
  <c r="O1124" i="1"/>
  <c r="P1124" i="1" s="1"/>
  <c r="L1124" i="1"/>
  <c r="C1126" i="1" l="1"/>
  <c r="D1125" i="1"/>
  <c r="M1125" i="1" s="1"/>
  <c r="O1125" i="1"/>
  <c r="P1125" i="1" s="1"/>
  <c r="L1125" i="1"/>
  <c r="C1127" i="1" l="1"/>
  <c r="D1126" i="1"/>
  <c r="M1126" i="1" s="1"/>
  <c r="O1126" i="1"/>
  <c r="P1126" i="1" s="1"/>
  <c r="L1126" i="1"/>
  <c r="C1128" i="1" l="1"/>
  <c r="D1127" i="1"/>
  <c r="M1127" i="1" s="1"/>
  <c r="L1127" i="1"/>
  <c r="D1128" i="1" l="1"/>
  <c r="M1128" i="1" s="1"/>
  <c r="O1128" i="1"/>
  <c r="P1128" i="1" s="1"/>
  <c r="C1129" i="1"/>
  <c r="L1128" i="1"/>
  <c r="C1130" i="1" l="1"/>
  <c r="O1129" i="1"/>
  <c r="P1129" i="1" s="1"/>
  <c r="L1129" i="1"/>
  <c r="I1130" i="1"/>
  <c r="D1129" i="1"/>
  <c r="M1129" i="1" s="1"/>
  <c r="D1130" i="1" l="1"/>
  <c r="M1130" i="1" s="1"/>
  <c r="C1131" i="1"/>
  <c r="L1130" i="1"/>
  <c r="J1130" i="1"/>
  <c r="I1131" i="1"/>
  <c r="D1131" i="1" l="1"/>
  <c r="M1131" i="1" s="1"/>
  <c r="C1132" i="1"/>
  <c r="L1131" i="1"/>
  <c r="O1131" i="1"/>
  <c r="J1131" i="1"/>
  <c r="J1133" i="1" s="1"/>
  <c r="J1135" i="1" s="1"/>
  <c r="J1137" i="1" s="1"/>
  <c r="I1133" i="1"/>
  <c r="I1135" i="1" s="1"/>
  <c r="I1137" i="1" s="1"/>
  <c r="L1132" i="1" l="1"/>
  <c r="D1132" i="1"/>
  <c r="M1132" i="1" s="1"/>
  <c r="C1133" i="1"/>
  <c r="O1132" i="1"/>
  <c r="P1132" i="1" s="1"/>
  <c r="P1144" i="1"/>
  <c r="P1141" i="1"/>
  <c r="P1131" i="1"/>
  <c r="O1133" i="1" l="1"/>
  <c r="P1133" i="1" s="1"/>
  <c r="D1133" i="1"/>
  <c r="M1133" i="1" s="1"/>
  <c r="C1134" i="1"/>
  <c r="L1133" i="1"/>
  <c r="L1134" i="1" l="1"/>
  <c r="D1134" i="1"/>
  <c r="M1134" i="1" s="1"/>
  <c r="O1134" i="1"/>
  <c r="P1134" i="1" s="1"/>
  <c r="C1135" i="1"/>
  <c r="C1136" i="1" l="1"/>
  <c r="D1135" i="1"/>
  <c r="M1135" i="1" s="1"/>
  <c r="L1135" i="1"/>
  <c r="O1135" i="1"/>
  <c r="P1135" i="1" s="1"/>
  <c r="D1136" i="1" l="1"/>
  <c r="M1136" i="1" s="1"/>
  <c r="C1137" i="1"/>
  <c r="L1136" i="1"/>
  <c r="O1136" i="1"/>
  <c r="P1136" i="1" s="1"/>
  <c r="L1137" i="1" l="1"/>
  <c r="O1137" i="1"/>
  <c r="P1137" i="1" s="1"/>
  <c r="D1137" i="1"/>
  <c r="M1137" i="1" s="1"/>
  <c r="C1138" i="1"/>
  <c r="D1138" i="1" l="1"/>
  <c r="M1138" i="1" s="1"/>
  <c r="C1139" i="1"/>
  <c r="L1138" i="1"/>
  <c r="O1138" i="1"/>
  <c r="P1138" i="1" s="1"/>
  <c r="D1139" i="1" l="1"/>
  <c r="M1139" i="1" s="1"/>
  <c r="C1140" i="1"/>
  <c r="L1139" i="1"/>
  <c r="O1139" i="1"/>
  <c r="P1139" i="1" s="1"/>
  <c r="D1140" i="1" l="1"/>
  <c r="M1140" i="1" s="1"/>
  <c r="C1141" i="1"/>
  <c r="L1140" i="1"/>
  <c r="O1140" i="1"/>
  <c r="P1140" i="1" s="1"/>
  <c r="D1141" i="1" l="1"/>
  <c r="M1141" i="1" s="1"/>
  <c r="C1142" i="1"/>
  <c r="L1141" i="1"/>
  <c r="C1143" i="1" l="1"/>
  <c r="D1142" i="1"/>
  <c r="M1142" i="1" s="1"/>
  <c r="L1142" i="1"/>
  <c r="O1142" i="1"/>
  <c r="P1142" i="1" s="1"/>
  <c r="D1143" i="1" l="1"/>
  <c r="M1143" i="1" s="1"/>
  <c r="L1143" i="1"/>
  <c r="C1144" i="1"/>
  <c r="O1143" i="1"/>
  <c r="P1143" i="1" s="1"/>
  <c r="C1145" i="1" l="1"/>
  <c r="D1144" i="1"/>
  <c r="M1144" i="1" s="1"/>
  <c r="L1144" i="1"/>
  <c r="C1146" i="1" l="1"/>
  <c r="D1145" i="1"/>
  <c r="M1145" i="1" s="1"/>
  <c r="L1145" i="1"/>
  <c r="O1145" i="1"/>
  <c r="P1145" i="1" s="1"/>
  <c r="C1147" i="1" l="1"/>
  <c r="D1146" i="1"/>
  <c r="M1146" i="1" s="1"/>
  <c r="L1146" i="1"/>
  <c r="O1146" i="1"/>
  <c r="P1146" i="1" s="1"/>
  <c r="L1147" i="1" l="1"/>
  <c r="O1147" i="1"/>
  <c r="P1147" i="1" s="1"/>
  <c r="C1148" i="1"/>
  <c r="D1147" i="1"/>
  <c r="M1147" i="1" s="1"/>
  <c r="D1148" i="1" l="1"/>
  <c r="M1148" i="1" s="1"/>
  <c r="C1149" i="1"/>
  <c r="L1148" i="1"/>
  <c r="O1148" i="1"/>
  <c r="P1148" i="1" s="1"/>
  <c r="D1149" i="1" l="1"/>
  <c r="M1149" i="1" s="1"/>
  <c r="C1150" i="1"/>
  <c r="L1149" i="1"/>
  <c r="O1149" i="1"/>
  <c r="P1149" i="1" s="1"/>
  <c r="D1150" i="1" l="1"/>
  <c r="M1150" i="1" s="1"/>
  <c r="C1151" i="1"/>
  <c r="O1150" i="1"/>
  <c r="P1150" i="1" s="1"/>
  <c r="L1150" i="1"/>
  <c r="C1152" i="1" l="1"/>
  <c r="D1151" i="1"/>
  <c r="M1151" i="1" s="1"/>
  <c r="L1151" i="1"/>
  <c r="O1151" i="1"/>
  <c r="P1151" i="1" s="1"/>
  <c r="D1152" i="1" l="1"/>
  <c r="M1152" i="1" s="1"/>
  <c r="C1153" i="1"/>
  <c r="L1152" i="1"/>
  <c r="O1152" i="1"/>
  <c r="P1152" i="1" s="1"/>
  <c r="C1154" i="1" l="1"/>
  <c r="D1153" i="1"/>
  <c r="M1153" i="1" s="1"/>
  <c r="O1153" i="1"/>
  <c r="P1153" i="1" s="1"/>
  <c r="L1153" i="1"/>
  <c r="C1155" i="1" l="1"/>
  <c r="D1154" i="1"/>
  <c r="M1154" i="1" s="1"/>
  <c r="L1154" i="1"/>
  <c r="O1154" i="1"/>
  <c r="P1154" i="1" s="1"/>
  <c r="L1155" i="1" l="1"/>
  <c r="O1155" i="1"/>
  <c r="P1155" i="1" s="1"/>
  <c r="D1155" i="1"/>
  <c r="M1155" i="1" s="1"/>
  <c r="C1156" i="1"/>
  <c r="C1157" i="1" l="1"/>
  <c r="D1156" i="1"/>
  <c r="M1156" i="1" s="1"/>
  <c r="L1156" i="1"/>
  <c r="O1156" i="1"/>
  <c r="P1156" i="1" s="1"/>
  <c r="C1158" i="1" l="1"/>
  <c r="D1157" i="1"/>
  <c r="M1157" i="1" s="1"/>
  <c r="L1157" i="1"/>
  <c r="O1157" i="1"/>
  <c r="P1157" i="1" s="1"/>
  <c r="C1159" i="1" l="1"/>
  <c r="D1158" i="1"/>
  <c r="M1158" i="1" s="1"/>
  <c r="L1158" i="1"/>
  <c r="O1158" i="1"/>
  <c r="P1158" i="1" s="1"/>
  <c r="D1159" i="1" l="1"/>
  <c r="M1159" i="1" s="1"/>
  <c r="C1160" i="1"/>
  <c r="L1159" i="1"/>
  <c r="O1159" i="1"/>
  <c r="P1159" i="1" s="1"/>
  <c r="D1160" i="1" l="1"/>
  <c r="M1160" i="1" s="1"/>
  <c r="C1161" i="1"/>
  <c r="O1160" i="1"/>
  <c r="L1160" i="1"/>
  <c r="I1161" i="1"/>
  <c r="D1161" i="1" l="1"/>
  <c r="M1161" i="1" s="1"/>
  <c r="C1162" i="1"/>
  <c r="L1161" i="1"/>
  <c r="O1161" i="1"/>
  <c r="I1162" i="1"/>
  <c r="J1161" i="1"/>
  <c r="C1163" i="1" l="1"/>
  <c r="D1162" i="1"/>
  <c r="M1162" i="1" s="1"/>
  <c r="L1162" i="1"/>
  <c r="O1162" i="1"/>
  <c r="J1162" i="1"/>
  <c r="J1164" i="1" s="1"/>
  <c r="J1166" i="1" s="1"/>
  <c r="J1168" i="1" s="1"/>
  <c r="I1164" i="1"/>
  <c r="I1166" i="1" s="1"/>
  <c r="I1168" i="1" s="1"/>
  <c r="C1164" i="1" l="1"/>
  <c r="D1163" i="1"/>
  <c r="M1163" i="1" s="1"/>
  <c r="L1163" i="1"/>
  <c r="O1163" i="1"/>
  <c r="P1163" i="1" s="1"/>
  <c r="P1179" i="1"/>
  <c r="P1176" i="1"/>
  <c r="P1161" i="1"/>
  <c r="P1162" i="1"/>
  <c r="P1160" i="1"/>
  <c r="D1164" i="1" l="1"/>
  <c r="M1164" i="1" s="1"/>
  <c r="C1165" i="1"/>
  <c r="L1164" i="1"/>
  <c r="O1164" i="1"/>
  <c r="P1164" i="1" s="1"/>
  <c r="D1165" i="1" l="1"/>
  <c r="M1165" i="1" s="1"/>
  <c r="C1166" i="1"/>
  <c r="O1165" i="1"/>
  <c r="P1165" i="1" s="1"/>
  <c r="L1165" i="1"/>
  <c r="D1166" i="1" l="1"/>
  <c r="M1166" i="1" s="1"/>
  <c r="C1167" i="1"/>
  <c r="L1166" i="1"/>
  <c r="O1166" i="1"/>
  <c r="P1166" i="1" s="1"/>
  <c r="D1167" i="1" l="1"/>
  <c r="M1167" i="1" s="1"/>
  <c r="C1168" i="1"/>
  <c r="L1167" i="1"/>
  <c r="O1167" i="1"/>
  <c r="P1167" i="1" s="1"/>
  <c r="C1169" i="1" l="1"/>
  <c r="L1168" i="1"/>
  <c r="O1168" i="1"/>
  <c r="P1168" i="1" s="1"/>
  <c r="D1168" i="1"/>
  <c r="M1168" i="1" s="1"/>
  <c r="C1170" i="1" l="1"/>
  <c r="D1169" i="1"/>
  <c r="M1169" i="1" s="1"/>
  <c r="L1169" i="1"/>
  <c r="O1169" i="1"/>
  <c r="P1169" i="1" s="1"/>
  <c r="D1170" i="1" l="1"/>
  <c r="M1170" i="1" s="1"/>
  <c r="C1171" i="1"/>
  <c r="L1170" i="1"/>
  <c r="O1170" i="1"/>
  <c r="P1170" i="1" s="1"/>
  <c r="C1172" i="1" l="1"/>
  <c r="D1171" i="1"/>
  <c r="M1171" i="1" s="1"/>
  <c r="L1171" i="1"/>
  <c r="O1171" i="1"/>
  <c r="P1171" i="1" s="1"/>
  <c r="D1172" i="1" l="1"/>
  <c r="M1172" i="1" s="1"/>
  <c r="C1173" i="1"/>
  <c r="L1172" i="1"/>
  <c r="O1172" i="1"/>
  <c r="P1172" i="1" s="1"/>
  <c r="D1173" i="1" l="1"/>
  <c r="M1173" i="1" s="1"/>
  <c r="C1174" i="1"/>
  <c r="L1173" i="1"/>
  <c r="O1173" i="1"/>
  <c r="P1173" i="1" s="1"/>
  <c r="C1175" i="1" l="1"/>
  <c r="D1174" i="1"/>
  <c r="M1174" i="1" s="1"/>
  <c r="L1174" i="1"/>
  <c r="O1174" i="1"/>
  <c r="P1174" i="1" s="1"/>
  <c r="C1176" i="1" l="1"/>
  <c r="D1175" i="1"/>
  <c r="M1175" i="1" s="1"/>
  <c r="L1175" i="1"/>
  <c r="O1175" i="1"/>
  <c r="P1175" i="1" s="1"/>
  <c r="D1176" i="1" l="1"/>
  <c r="M1176" i="1" s="1"/>
  <c r="C1177" i="1"/>
  <c r="L1176" i="1"/>
  <c r="O1177" i="1" l="1"/>
  <c r="P1177" i="1" s="1"/>
  <c r="C1178" i="1"/>
  <c r="D1177" i="1"/>
  <c r="M1177" i="1" s="1"/>
  <c r="L1177" i="1"/>
  <c r="D1178" i="1" l="1"/>
  <c r="M1178" i="1" s="1"/>
  <c r="L1178" i="1"/>
  <c r="O1178" i="1"/>
  <c r="P1178" i="1" s="1"/>
  <c r="C1179" i="1"/>
  <c r="C1180" i="1" l="1"/>
  <c r="D1179" i="1"/>
  <c r="M1179" i="1" s="1"/>
  <c r="L1179" i="1"/>
  <c r="D1180" i="1" l="1"/>
  <c r="M1180" i="1" s="1"/>
  <c r="L1180" i="1"/>
  <c r="O1180" i="1"/>
  <c r="P1180" i="1" s="1"/>
  <c r="C1181" i="1"/>
  <c r="O1181" i="1" l="1"/>
  <c r="P1181" i="1" s="1"/>
  <c r="C1182" i="1"/>
  <c r="D1181" i="1"/>
  <c r="M1181" i="1" s="1"/>
  <c r="L1181" i="1"/>
  <c r="C1183" i="1" l="1"/>
  <c r="L1182" i="1"/>
  <c r="O1182" i="1"/>
  <c r="P1182" i="1" s="1"/>
  <c r="D1182" i="1"/>
  <c r="M1182" i="1" s="1"/>
  <c r="D1183" i="1" l="1"/>
  <c r="M1183" i="1" s="1"/>
  <c r="C1184" i="1"/>
  <c r="L1183" i="1"/>
  <c r="O1183" i="1"/>
  <c r="P1183" i="1" s="1"/>
  <c r="D1184" i="1" l="1"/>
  <c r="M1184" i="1" s="1"/>
  <c r="O1184" i="1"/>
  <c r="P1184" i="1" s="1"/>
  <c r="L1184" i="1"/>
  <c r="C1185" i="1"/>
  <c r="C1186" i="1" l="1"/>
  <c r="D1185" i="1"/>
  <c r="M1185" i="1" s="1"/>
  <c r="L1185" i="1"/>
  <c r="O1185" i="1"/>
  <c r="P1185" i="1" s="1"/>
  <c r="D1186" i="1" l="1"/>
  <c r="M1186" i="1" s="1"/>
  <c r="C1187" i="1"/>
  <c r="L1186" i="1"/>
  <c r="O1186" i="1"/>
  <c r="P1186" i="1" s="1"/>
  <c r="C1188" i="1" l="1"/>
  <c r="D1187" i="1"/>
  <c r="M1187" i="1" s="1"/>
  <c r="L1187" i="1"/>
  <c r="O1187" i="1"/>
  <c r="P1187" i="1" s="1"/>
  <c r="C1189" i="1" l="1"/>
  <c r="D1188" i="1"/>
  <c r="M1188" i="1" s="1"/>
  <c r="O1188" i="1"/>
  <c r="P1188" i="1" s="1"/>
  <c r="L1188" i="1"/>
  <c r="I1189" i="1"/>
  <c r="D1189" i="1" l="1"/>
  <c r="M1189" i="1" s="1"/>
  <c r="C1190" i="1"/>
  <c r="L1189" i="1"/>
  <c r="O1189" i="1"/>
  <c r="P1189" i="1" s="1"/>
  <c r="J1189" i="1"/>
  <c r="I1190" i="1"/>
  <c r="C1191" i="1" l="1"/>
  <c r="D1190" i="1"/>
  <c r="M1190" i="1" s="1"/>
  <c r="L1190" i="1"/>
  <c r="O1190" i="1"/>
  <c r="P1190" i="1" s="1"/>
  <c r="J1190" i="1"/>
  <c r="J1192" i="1" s="1"/>
  <c r="J1194" i="1" s="1"/>
  <c r="J1196" i="1" s="1"/>
  <c r="I1192" i="1"/>
  <c r="I1194" i="1" s="1"/>
  <c r="I1196" i="1" s="1"/>
  <c r="D1191" i="1" l="1"/>
  <c r="M1191" i="1" s="1"/>
  <c r="C1192" i="1"/>
  <c r="L1191" i="1"/>
  <c r="O1191" i="1"/>
  <c r="P1191" i="1" s="1"/>
  <c r="C1193" i="1" l="1"/>
  <c r="D1192" i="1"/>
  <c r="M1192" i="1" s="1"/>
  <c r="L1192" i="1"/>
  <c r="O1192" i="1"/>
  <c r="P1192" i="1" s="1"/>
  <c r="C1194" i="1" l="1"/>
  <c r="D1193" i="1"/>
  <c r="M1193" i="1" s="1"/>
  <c r="L1193" i="1"/>
  <c r="O1193" i="1"/>
  <c r="P1193" i="1" s="1"/>
  <c r="D1194" i="1" l="1"/>
  <c r="M1194" i="1" s="1"/>
  <c r="C1195" i="1"/>
  <c r="L1194" i="1"/>
  <c r="O1194" i="1"/>
  <c r="P1194" i="1" s="1"/>
  <c r="D1195" i="1" l="1"/>
  <c r="M1195" i="1" s="1"/>
  <c r="O1195" i="1"/>
  <c r="P1195" i="1" s="1"/>
  <c r="C1196" i="1"/>
  <c r="L1195" i="1"/>
  <c r="D1196" i="1" l="1"/>
  <c r="M1196" i="1" s="1"/>
  <c r="C1197" i="1"/>
  <c r="L1196" i="1"/>
  <c r="O1196" i="1"/>
  <c r="P1196" i="1" s="1"/>
  <c r="D1197" i="1" l="1"/>
  <c r="M1197" i="1" s="1"/>
  <c r="L1197" i="1"/>
  <c r="O1197" i="1"/>
  <c r="P1197" i="1" s="1"/>
  <c r="C1198" i="1"/>
  <c r="C1199" i="1" l="1"/>
  <c r="D1198" i="1"/>
  <c r="M1198" i="1" s="1"/>
  <c r="O1198" i="1"/>
  <c r="P1198" i="1" s="1"/>
  <c r="L1198" i="1"/>
  <c r="D1199" i="1" l="1"/>
  <c r="M1199" i="1" s="1"/>
  <c r="L1199" i="1"/>
  <c r="C1200" i="1"/>
  <c r="O1199" i="1"/>
  <c r="P1199" i="1" s="1"/>
  <c r="D1200" i="1" l="1"/>
  <c r="M1200" i="1" s="1"/>
  <c r="C1201" i="1"/>
  <c r="L1200" i="1"/>
  <c r="O1200" i="1"/>
  <c r="P1200" i="1" s="1"/>
  <c r="C1202" i="1" l="1"/>
  <c r="D1201" i="1"/>
  <c r="M1201" i="1" s="1"/>
  <c r="L1201" i="1"/>
  <c r="O1201" i="1"/>
  <c r="P1201" i="1" s="1"/>
  <c r="C1203" i="1" l="1"/>
  <c r="D1202" i="1"/>
  <c r="M1202" i="1" s="1"/>
  <c r="L1202" i="1"/>
  <c r="O1202" i="1"/>
  <c r="P1202" i="1" s="1"/>
  <c r="D1203" i="1" l="1"/>
  <c r="M1203" i="1" s="1"/>
  <c r="C1204" i="1"/>
  <c r="L1203" i="1"/>
  <c r="O1203" i="1"/>
  <c r="P1203" i="1" s="1"/>
  <c r="D1204" i="1" l="1"/>
  <c r="M1204" i="1" s="1"/>
  <c r="C1205" i="1"/>
  <c r="L1204" i="1"/>
  <c r="O1204" i="1"/>
  <c r="P1204" i="1" s="1"/>
  <c r="D1205" i="1" l="1"/>
  <c r="M1205" i="1" s="1"/>
  <c r="C1206" i="1"/>
  <c r="L1205" i="1"/>
  <c r="O1205" i="1"/>
  <c r="P1205" i="1" s="1"/>
  <c r="L1206" i="1" l="1"/>
  <c r="D1206" i="1"/>
  <c r="M1206" i="1" s="1"/>
  <c r="C1207" i="1"/>
  <c r="O1206" i="1"/>
  <c r="P1206" i="1" s="1"/>
  <c r="C1208" i="1" l="1"/>
  <c r="L1207" i="1"/>
  <c r="D1207" i="1"/>
  <c r="M1207" i="1" s="1"/>
  <c r="O1207" i="1"/>
  <c r="P1207" i="1" s="1"/>
  <c r="C1209" i="1" l="1"/>
  <c r="D1208" i="1"/>
  <c r="M1208" i="1" s="1"/>
  <c r="O1208" i="1"/>
  <c r="P1208" i="1" s="1"/>
  <c r="L1208" i="1"/>
  <c r="C1210" i="1" l="1"/>
  <c r="D1209" i="1"/>
  <c r="M1209" i="1" s="1"/>
  <c r="L1209" i="1"/>
  <c r="O1209" i="1"/>
  <c r="P1209" i="1" s="1"/>
  <c r="L1210" i="1" l="1"/>
  <c r="D1210" i="1"/>
  <c r="M1210" i="1" s="1"/>
  <c r="C1211" i="1"/>
  <c r="O1210" i="1"/>
  <c r="P1210" i="1" s="1"/>
  <c r="C1212" i="1" l="1"/>
  <c r="D1211" i="1"/>
  <c r="M1211" i="1" s="1"/>
  <c r="L1211" i="1"/>
  <c r="O1211" i="1"/>
  <c r="P1211" i="1" s="1"/>
  <c r="L1212" i="1" l="1"/>
  <c r="C1213" i="1"/>
  <c r="D1212" i="1"/>
  <c r="M1212" i="1" s="1"/>
  <c r="O1212" i="1"/>
  <c r="P1212" i="1" s="1"/>
  <c r="D1213" i="1" l="1"/>
  <c r="M1213" i="1" s="1"/>
  <c r="C1214" i="1"/>
  <c r="L1213" i="1"/>
  <c r="O1213" i="1"/>
  <c r="P1213" i="1" s="1"/>
  <c r="D1214" i="1" l="1"/>
  <c r="M1214" i="1" s="1"/>
  <c r="C1215" i="1"/>
  <c r="O1214" i="1"/>
  <c r="P1214" i="1" s="1"/>
  <c r="L1214" i="1"/>
  <c r="D1215" i="1" l="1"/>
  <c r="M1215" i="1" s="1"/>
  <c r="C1216" i="1"/>
  <c r="L1215" i="1"/>
  <c r="O1215" i="1"/>
  <c r="P1215" i="1" s="1"/>
  <c r="D1216" i="1" l="1"/>
  <c r="M1216" i="1" s="1"/>
  <c r="C1217" i="1"/>
  <c r="L1216" i="1"/>
  <c r="O1216" i="1"/>
  <c r="P1216" i="1" s="1"/>
  <c r="D1217" i="1" l="1"/>
  <c r="M1217" i="1" s="1"/>
  <c r="C1218" i="1"/>
  <c r="L1217" i="1"/>
  <c r="O1217" i="1"/>
  <c r="P1217" i="1" s="1"/>
  <c r="D1218" i="1" l="1"/>
  <c r="M1218" i="1" s="1"/>
  <c r="C1219" i="1"/>
  <c r="L1218" i="1"/>
  <c r="O1218" i="1"/>
  <c r="P1218" i="1" s="1"/>
  <c r="D1219" i="1" l="1"/>
  <c r="M1219" i="1" s="1"/>
  <c r="O1219" i="1"/>
  <c r="C1220" i="1"/>
  <c r="L1219" i="1"/>
  <c r="I1220" i="1"/>
  <c r="C1221" i="1" l="1"/>
  <c r="D1220" i="1"/>
  <c r="M1220" i="1" s="1"/>
  <c r="L1220" i="1"/>
  <c r="O1220" i="1"/>
  <c r="P1220" i="1" s="1"/>
  <c r="I1221" i="1"/>
  <c r="J1220" i="1"/>
  <c r="C1222" i="1" l="1"/>
  <c r="D1221" i="1"/>
  <c r="M1221" i="1" s="1"/>
  <c r="L1221" i="1"/>
  <c r="O1221" i="1"/>
  <c r="J1221" i="1"/>
  <c r="J1223" i="1" s="1"/>
  <c r="J1225" i="1" s="1"/>
  <c r="J1227" i="1" s="1"/>
  <c r="I1223" i="1"/>
  <c r="I1225" i="1" s="1"/>
  <c r="I1227" i="1" s="1"/>
  <c r="C1223" i="1" l="1"/>
  <c r="D1222" i="1"/>
  <c r="M1222" i="1" s="1"/>
  <c r="L1222" i="1"/>
  <c r="O1222" i="1"/>
  <c r="P1222" i="1" s="1"/>
  <c r="P1221" i="1"/>
  <c r="D1223" i="1" l="1"/>
  <c r="M1223" i="1" s="1"/>
  <c r="L1223" i="1"/>
  <c r="O1223" i="1"/>
  <c r="P1223" i="1" s="1"/>
  <c r="C1224" i="1"/>
  <c r="C1225" i="1" l="1"/>
  <c r="O1224" i="1"/>
  <c r="P1224" i="1" s="1"/>
  <c r="D1224" i="1"/>
  <c r="M1224" i="1" s="1"/>
  <c r="L1224" i="1"/>
  <c r="D1225" i="1" l="1"/>
  <c r="M1225" i="1" s="1"/>
  <c r="C1226" i="1"/>
  <c r="L1225" i="1"/>
  <c r="O1225" i="1"/>
  <c r="P1225" i="1" s="1"/>
  <c r="D1226" i="1" l="1"/>
  <c r="M1226" i="1" s="1"/>
  <c r="C1227" i="1"/>
  <c r="L1226" i="1"/>
  <c r="O1226" i="1"/>
  <c r="P1226" i="1" s="1"/>
  <c r="C1228" i="1" l="1"/>
  <c r="L1227" i="1"/>
  <c r="O1227" i="1"/>
  <c r="P1227" i="1" s="1"/>
  <c r="D1227" i="1"/>
  <c r="M1227" i="1" s="1"/>
  <c r="D1228" i="1" l="1"/>
  <c r="M1228" i="1" s="1"/>
  <c r="L1228" i="1"/>
  <c r="C1229" i="1"/>
  <c r="O1228" i="1"/>
  <c r="P1228" i="1" s="1"/>
  <c r="C1230" i="1" l="1"/>
  <c r="D1229" i="1"/>
  <c r="M1229" i="1" s="1"/>
  <c r="L1229" i="1"/>
  <c r="O1229" i="1"/>
  <c r="P1229" i="1" s="1"/>
  <c r="D1230" i="1" l="1"/>
  <c r="M1230" i="1" s="1"/>
  <c r="C1231" i="1"/>
  <c r="L1230" i="1"/>
  <c r="O1230" i="1"/>
  <c r="P1230" i="1" s="1"/>
  <c r="C1232" i="1" l="1"/>
  <c r="D1231" i="1"/>
  <c r="M1231" i="1" s="1"/>
  <c r="L1231" i="1"/>
  <c r="O1231" i="1"/>
  <c r="P1231" i="1" s="1"/>
  <c r="D1232" i="1" l="1"/>
  <c r="M1232" i="1" s="1"/>
  <c r="C1233" i="1"/>
  <c r="L1232" i="1"/>
  <c r="O1232" i="1"/>
  <c r="P1232" i="1" s="1"/>
  <c r="C1234" i="1" l="1"/>
  <c r="D1233" i="1"/>
  <c r="M1233" i="1" s="1"/>
  <c r="L1233" i="1"/>
  <c r="O1233" i="1"/>
  <c r="P1233" i="1" s="1"/>
  <c r="D1234" i="1" l="1"/>
  <c r="M1234" i="1" s="1"/>
  <c r="C1235" i="1"/>
  <c r="L1234" i="1"/>
  <c r="O1234" i="1"/>
  <c r="P1234" i="1" s="1"/>
  <c r="C1236" i="1" l="1"/>
  <c r="D1235" i="1"/>
  <c r="M1235" i="1" s="1"/>
  <c r="L1235" i="1"/>
  <c r="O1235" i="1"/>
  <c r="P1235" i="1" s="1"/>
  <c r="O1236" i="1" l="1"/>
  <c r="P1236" i="1" s="1"/>
  <c r="L1236" i="1"/>
  <c r="C1237" i="1"/>
  <c r="D1236" i="1"/>
  <c r="M1236" i="1" s="1"/>
  <c r="C1238" i="1" l="1"/>
  <c r="D1237" i="1"/>
  <c r="M1237" i="1" s="1"/>
  <c r="L1237" i="1"/>
  <c r="O1237" i="1"/>
  <c r="P1237" i="1" s="1"/>
  <c r="L1238" i="1" l="1"/>
  <c r="O1238" i="1"/>
  <c r="P1238" i="1" s="1"/>
  <c r="D1238" i="1"/>
  <c r="M1238" i="1" s="1"/>
  <c r="C1239" i="1"/>
  <c r="C1240" i="1" l="1"/>
  <c r="D1239" i="1"/>
  <c r="M1239" i="1" s="1"/>
  <c r="L1239" i="1"/>
  <c r="O1239" i="1"/>
  <c r="P1239" i="1" s="1"/>
  <c r="L1240" i="1" l="1"/>
  <c r="O1240" i="1"/>
  <c r="P1240" i="1" s="1"/>
  <c r="D1240" i="1"/>
  <c r="M1240" i="1" s="1"/>
  <c r="C1241" i="1"/>
  <c r="O1241" i="1" l="1"/>
  <c r="P1241" i="1" s="1"/>
  <c r="C1242" i="1"/>
  <c r="D1241" i="1"/>
  <c r="M1241" i="1" s="1"/>
  <c r="L1241" i="1"/>
  <c r="L1242" i="1" l="1"/>
  <c r="D1242" i="1"/>
  <c r="M1242" i="1" s="1"/>
  <c r="C1243" i="1"/>
  <c r="O1242" i="1"/>
  <c r="P1242" i="1" s="1"/>
  <c r="D1243" i="1" l="1"/>
  <c r="M1243" i="1" s="1"/>
  <c r="C1244" i="1"/>
  <c r="L1243" i="1"/>
  <c r="O1243" i="1"/>
  <c r="P1243" i="1" s="1"/>
  <c r="L1244" i="1" l="1"/>
  <c r="O1244" i="1"/>
  <c r="P1244" i="1" s="1"/>
  <c r="D1244" i="1"/>
  <c r="M1244" i="1" s="1"/>
  <c r="C1245" i="1"/>
  <c r="D1245" i="1" l="1"/>
  <c r="M1245" i="1" s="1"/>
  <c r="L1245" i="1"/>
  <c r="O1245" i="1"/>
  <c r="P1245" i="1" s="1"/>
  <c r="C1246" i="1"/>
  <c r="L1246" i="1" l="1"/>
  <c r="O1246" i="1"/>
  <c r="P1246" i="1" s="1"/>
  <c r="D1246" i="1"/>
  <c r="M1246" i="1" s="1"/>
  <c r="C1247" i="1"/>
  <c r="D1247" i="1" l="1"/>
  <c r="M1247" i="1" s="1"/>
  <c r="C1248" i="1"/>
  <c r="L1247" i="1"/>
  <c r="O1247" i="1"/>
  <c r="P1247" i="1" s="1"/>
  <c r="D1248" i="1" l="1"/>
  <c r="M1248" i="1" s="1"/>
  <c r="C1249" i="1"/>
  <c r="L1248" i="1"/>
  <c r="O1248" i="1"/>
  <c r="P1248" i="1" s="1"/>
  <c r="C1250" i="1" l="1"/>
  <c r="D1249" i="1"/>
  <c r="M1249" i="1" s="1"/>
  <c r="O1249" i="1"/>
  <c r="P1249" i="1" s="1"/>
  <c r="L1249" i="1"/>
  <c r="I1250" i="1"/>
  <c r="D1250" i="1" l="1"/>
  <c r="M1250" i="1" s="1"/>
  <c r="C1251" i="1"/>
  <c r="L1250" i="1"/>
  <c r="O1250" i="1"/>
  <c r="P1250" i="1" s="1"/>
  <c r="J1250" i="1"/>
  <c r="I1251" i="1"/>
  <c r="O1251" i="1" l="1"/>
  <c r="P1251" i="1" s="1"/>
  <c r="D1251" i="1"/>
  <c r="M1251" i="1" s="1"/>
  <c r="C1252" i="1"/>
  <c r="L1251" i="1"/>
  <c r="I1253" i="1"/>
  <c r="I1255" i="1" s="1"/>
  <c r="I1257" i="1" s="1"/>
  <c r="J1251" i="1"/>
  <c r="J1253" i="1" s="1"/>
  <c r="J1255" i="1" s="1"/>
  <c r="J1257" i="1" s="1"/>
  <c r="D1252" i="1" l="1"/>
  <c r="M1252" i="1" s="1"/>
  <c r="O1252" i="1"/>
  <c r="P1252" i="1" s="1"/>
  <c r="C1253" i="1"/>
  <c r="L1252" i="1"/>
  <c r="P1274" i="1"/>
  <c r="P1277" i="1"/>
  <c r="D1253" i="1" l="1"/>
  <c r="M1253" i="1" s="1"/>
  <c r="C1254" i="1"/>
  <c r="O1253" i="1"/>
  <c r="P1253" i="1" s="1"/>
  <c r="L1253" i="1"/>
  <c r="C1255" i="1" l="1"/>
  <c r="O1254" i="1"/>
  <c r="P1254" i="1" s="1"/>
  <c r="D1254" i="1"/>
  <c r="M1254" i="1" s="1"/>
  <c r="L1254" i="1"/>
  <c r="C1256" i="1" l="1"/>
  <c r="D1255" i="1"/>
  <c r="M1255" i="1" s="1"/>
  <c r="L1255" i="1"/>
  <c r="O1255" i="1"/>
  <c r="P1255" i="1" s="1"/>
  <c r="D1256" i="1" l="1"/>
  <c r="M1256" i="1" s="1"/>
  <c r="C1257" i="1"/>
  <c r="L1256" i="1"/>
  <c r="O1256" i="1"/>
  <c r="P1256" i="1" s="1"/>
  <c r="C1258" i="1" l="1"/>
  <c r="D1257" i="1"/>
  <c r="M1257" i="1" s="1"/>
  <c r="L1257" i="1"/>
  <c r="O1257" i="1"/>
  <c r="P1257" i="1" s="1"/>
  <c r="D1258" i="1" l="1"/>
  <c r="M1258" i="1" s="1"/>
  <c r="L1258" i="1"/>
  <c r="O1258" i="1"/>
  <c r="P1258" i="1" s="1"/>
  <c r="C1259" i="1"/>
  <c r="D1259" i="1" l="1"/>
  <c r="M1259" i="1" s="1"/>
  <c r="C1260" i="1"/>
  <c r="L1259" i="1"/>
  <c r="O1259" i="1"/>
  <c r="P1259" i="1" s="1"/>
  <c r="C1261" i="1" l="1"/>
  <c r="D1260" i="1"/>
  <c r="M1260" i="1" s="1"/>
  <c r="L1260" i="1"/>
  <c r="O1260" i="1"/>
  <c r="P1260" i="1" s="1"/>
  <c r="D1261" i="1" l="1"/>
  <c r="M1261" i="1" s="1"/>
  <c r="L1261" i="1"/>
  <c r="C1262" i="1"/>
  <c r="O1261" i="1"/>
  <c r="P1261" i="1" s="1"/>
  <c r="C1263" i="1" l="1"/>
  <c r="D1262" i="1"/>
  <c r="M1262" i="1" s="1"/>
  <c r="L1262" i="1"/>
  <c r="O1262" i="1"/>
  <c r="P1262" i="1" s="1"/>
  <c r="D1263" i="1" l="1"/>
  <c r="M1263" i="1" s="1"/>
  <c r="C1264" i="1"/>
  <c r="L1263" i="1"/>
  <c r="O1263" i="1"/>
  <c r="P1263" i="1" s="1"/>
  <c r="C1265" i="1" l="1"/>
  <c r="D1264" i="1"/>
  <c r="M1264" i="1" s="1"/>
  <c r="L1264" i="1"/>
  <c r="O1264" i="1"/>
  <c r="P1264" i="1" s="1"/>
  <c r="D1265" i="1" l="1"/>
  <c r="M1265" i="1" s="1"/>
  <c r="L1265" i="1"/>
  <c r="C1266" i="1"/>
  <c r="O1265" i="1"/>
  <c r="P1265" i="1" s="1"/>
  <c r="D1266" i="1" l="1"/>
  <c r="M1266" i="1" s="1"/>
  <c r="C1267" i="1"/>
  <c r="L1266" i="1"/>
  <c r="O1266" i="1"/>
  <c r="P1266" i="1" s="1"/>
  <c r="C1268" i="1" l="1"/>
  <c r="D1267" i="1"/>
  <c r="M1267" i="1" s="1"/>
  <c r="L1267" i="1"/>
  <c r="O1267" i="1"/>
  <c r="P1267" i="1" s="1"/>
  <c r="O1268" i="1" l="1"/>
  <c r="P1268" i="1" s="1"/>
  <c r="C1269" i="1"/>
  <c r="D1268" i="1"/>
  <c r="M1268" i="1" s="1"/>
  <c r="L1268" i="1"/>
  <c r="D1269" i="1" l="1"/>
  <c r="M1269" i="1" s="1"/>
  <c r="C1270" i="1"/>
  <c r="L1269" i="1"/>
  <c r="O1269" i="1"/>
  <c r="P1269" i="1" s="1"/>
  <c r="C1271" i="1" l="1"/>
  <c r="D1270" i="1"/>
  <c r="M1270" i="1" s="1"/>
  <c r="L1270" i="1"/>
  <c r="O1270" i="1"/>
  <c r="P1270" i="1" s="1"/>
  <c r="D1271" i="1" l="1"/>
  <c r="M1271" i="1" s="1"/>
  <c r="C1272" i="1"/>
  <c r="L1271" i="1"/>
  <c r="O1271" i="1"/>
  <c r="P1271" i="1" s="1"/>
  <c r="C1273" i="1" l="1"/>
  <c r="D1272" i="1"/>
  <c r="M1272" i="1" s="1"/>
  <c r="L1272" i="1"/>
  <c r="O1272" i="1"/>
  <c r="P1272" i="1" s="1"/>
  <c r="D1273" i="1" l="1"/>
  <c r="M1273" i="1" s="1"/>
  <c r="C1274" i="1"/>
  <c r="L1273" i="1"/>
  <c r="O1273" i="1"/>
  <c r="P1273" i="1" s="1"/>
  <c r="D1274" i="1" l="1"/>
  <c r="M1274" i="1" s="1"/>
  <c r="C1275" i="1"/>
  <c r="L1274" i="1"/>
  <c r="L1275" i="1" l="1"/>
  <c r="D1275" i="1"/>
  <c r="M1275" i="1" s="1"/>
  <c r="C1276" i="1"/>
  <c r="O1275" i="1"/>
  <c r="P1275" i="1" s="1"/>
  <c r="C1277" i="1" l="1"/>
  <c r="D1276" i="1"/>
  <c r="M1276" i="1" s="1"/>
  <c r="L1276" i="1"/>
  <c r="O1276" i="1"/>
  <c r="P1276" i="1" s="1"/>
  <c r="C1278" i="1" l="1"/>
  <c r="D1277" i="1"/>
  <c r="M1277" i="1" s="1"/>
  <c r="L1277" i="1"/>
  <c r="C1279" i="1" l="1"/>
  <c r="D1278" i="1"/>
  <c r="M1278" i="1" s="1"/>
  <c r="L1278" i="1"/>
  <c r="O1278" i="1"/>
  <c r="P1278" i="1" s="1"/>
  <c r="C1280" i="1" l="1"/>
  <c r="D1279" i="1"/>
  <c r="M1279" i="1" s="1"/>
  <c r="L1279" i="1"/>
  <c r="O1279" i="1"/>
  <c r="P1279" i="1" s="1"/>
  <c r="C1281" i="1" l="1"/>
  <c r="D1280" i="1"/>
  <c r="M1280" i="1" s="1"/>
  <c r="O1280" i="1"/>
  <c r="P1280" i="1" s="1"/>
  <c r="L1280" i="1"/>
  <c r="I1281" i="1"/>
  <c r="D1281" i="1" l="1"/>
  <c r="M1281" i="1" s="1"/>
  <c r="L1281" i="1"/>
  <c r="O1281" i="1"/>
  <c r="P1281" i="1" s="1"/>
  <c r="C1282" i="1"/>
  <c r="I1282" i="1"/>
  <c r="J1281" i="1"/>
  <c r="C1283" i="1" l="1"/>
  <c r="D1282" i="1"/>
  <c r="M1282" i="1" s="1"/>
  <c r="L1282" i="1"/>
  <c r="O1282" i="1"/>
  <c r="P1282" i="1" s="1"/>
  <c r="J1282" i="1"/>
  <c r="J1284" i="1" s="1"/>
  <c r="J1286" i="1" s="1"/>
  <c r="J1288" i="1" s="1"/>
  <c r="I1284" i="1"/>
  <c r="I1286" i="1" s="1"/>
  <c r="I1288" i="1" s="1"/>
  <c r="D1283" i="1" l="1"/>
  <c r="M1283" i="1" s="1"/>
  <c r="L1283" i="1"/>
  <c r="C1284" i="1"/>
  <c r="O1283" i="1"/>
  <c r="P1283" i="1" s="1"/>
  <c r="P1295" i="1"/>
  <c r="P1298" i="1"/>
  <c r="C1285" i="1" l="1"/>
  <c r="D1284" i="1"/>
  <c r="M1284" i="1" s="1"/>
  <c r="L1284" i="1"/>
  <c r="O1284" i="1"/>
  <c r="P1284" i="1" s="1"/>
  <c r="L1285" i="1" l="1"/>
  <c r="O1285" i="1"/>
  <c r="P1285" i="1" s="1"/>
  <c r="D1285" i="1"/>
  <c r="M1285" i="1" s="1"/>
  <c r="C1286" i="1"/>
  <c r="O1286" i="1" l="1"/>
  <c r="P1286" i="1" s="1"/>
  <c r="D1286" i="1"/>
  <c r="M1286" i="1" s="1"/>
  <c r="C1287" i="1"/>
  <c r="L1286" i="1"/>
  <c r="D1287" i="1" l="1"/>
  <c r="M1287" i="1" s="1"/>
  <c r="C1288" i="1"/>
  <c r="L1287" i="1"/>
  <c r="O1287" i="1"/>
  <c r="P1287" i="1" s="1"/>
  <c r="P1312" i="1"/>
  <c r="D1288" i="1" l="1"/>
  <c r="M1288" i="1" s="1"/>
  <c r="C1289" i="1"/>
  <c r="L1288" i="1"/>
  <c r="O1288" i="1"/>
  <c r="P1288" i="1" s="1"/>
  <c r="P1313" i="1"/>
  <c r="C1290" i="1" l="1"/>
  <c r="D1289" i="1"/>
  <c r="M1289" i="1" s="1"/>
  <c r="L1289" i="1"/>
  <c r="O1289" i="1"/>
  <c r="P1289" i="1" s="1"/>
  <c r="C1291" i="1" l="1"/>
  <c r="D1290" i="1"/>
  <c r="M1290" i="1" s="1"/>
  <c r="L1290" i="1"/>
  <c r="O1290" i="1"/>
  <c r="P1290" i="1" s="1"/>
  <c r="C1292" i="1" l="1"/>
  <c r="D1291" i="1"/>
  <c r="M1291" i="1" s="1"/>
  <c r="L1291" i="1"/>
  <c r="O1291" i="1"/>
  <c r="P1291" i="1" s="1"/>
  <c r="D1292" i="1" l="1"/>
  <c r="M1292" i="1" s="1"/>
  <c r="C1293" i="1"/>
  <c r="L1292" i="1"/>
  <c r="O1292" i="1"/>
  <c r="P1292" i="1" s="1"/>
  <c r="D1293" i="1" l="1"/>
  <c r="M1293" i="1" s="1"/>
  <c r="L1293" i="1"/>
  <c r="O1293" i="1"/>
  <c r="P1293" i="1" s="1"/>
  <c r="C1294" i="1"/>
  <c r="C1295" i="1" l="1"/>
  <c r="D1294" i="1"/>
  <c r="M1294" i="1" s="1"/>
  <c r="L1294" i="1"/>
  <c r="O1294" i="1"/>
  <c r="P1294" i="1" s="1"/>
  <c r="D1295" i="1" l="1"/>
  <c r="M1295" i="1" s="1"/>
  <c r="C1296" i="1"/>
  <c r="L1295" i="1"/>
  <c r="O1296" i="1" l="1"/>
  <c r="P1296" i="1" s="1"/>
  <c r="D1296" i="1"/>
  <c r="M1296" i="1" s="1"/>
  <c r="C1297" i="1"/>
  <c r="L1296" i="1"/>
  <c r="C1298" i="1" l="1"/>
  <c r="L1297" i="1"/>
  <c r="O1297" i="1"/>
  <c r="P1297" i="1" s="1"/>
  <c r="D1297" i="1"/>
  <c r="M1297" i="1" s="1"/>
  <c r="D1298" i="1" l="1"/>
  <c r="M1298" i="1" s="1"/>
  <c r="C1299" i="1"/>
  <c r="L1298" i="1"/>
  <c r="L1299" i="1" l="1"/>
  <c r="O1299" i="1"/>
  <c r="P1299" i="1" s="1"/>
  <c r="C1300" i="1"/>
  <c r="D1299" i="1"/>
  <c r="M1299" i="1" s="1"/>
  <c r="C1301" i="1" l="1"/>
  <c r="L1300" i="1"/>
  <c r="D1300" i="1"/>
  <c r="M1300" i="1" s="1"/>
  <c r="O1300" i="1"/>
  <c r="P1300" i="1" s="1"/>
  <c r="D1301" i="1" l="1"/>
  <c r="M1301" i="1" s="1"/>
  <c r="C1302" i="1"/>
  <c r="L1301" i="1"/>
  <c r="O1301" i="1"/>
  <c r="P1301" i="1" s="1"/>
  <c r="C1303" i="1" l="1"/>
  <c r="D1302" i="1"/>
  <c r="M1302" i="1" s="1"/>
  <c r="L1302" i="1"/>
  <c r="O1302" i="1"/>
  <c r="P1302" i="1" s="1"/>
  <c r="D1303" i="1" l="1"/>
  <c r="M1303" i="1" s="1"/>
  <c r="C1304" i="1"/>
  <c r="L1303" i="1"/>
  <c r="O1303" i="1"/>
  <c r="P1303" i="1" s="1"/>
  <c r="O1304" i="1" l="1"/>
  <c r="P1304" i="1" s="1"/>
  <c r="L1304" i="1"/>
  <c r="C1305" i="1"/>
  <c r="D1304" i="1"/>
  <c r="M1304" i="1" s="1"/>
  <c r="C1306" i="1" l="1"/>
  <c r="D1305" i="1"/>
  <c r="M1305" i="1" s="1"/>
  <c r="L1305" i="1"/>
  <c r="O1305" i="1"/>
  <c r="P1305" i="1" s="1"/>
  <c r="D1306" i="1" l="1"/>
  <c r="M1306" i="1" s="1"/>
  <c r="C1307" i="1"/>
  <c r="L1306" i="1"/>
  <c r="O1306" i="1"/>
  <c r="P1306" i="1" s="1"/>
  <c r="O1307" i="1" l="1"/>
  <c r="P1307" i="1" s="1"/>
  <c r="D1307" i="1"/>
  <c r="M1307" i="1" s="1"/>
  <c r="C1308" i="1"/>
  <c r="L1307" i="1"/>
  <c r="D1308" i="1" l="1"/>
  <c r="M1308" i="1" s="1"/>
  <c r="C1309" i="1"/>
  <c r="L1308" i="1"/>
  <c r="O1308" i="1"/>
  <c r="P1308" i="1" s="1"/>
  <c r="C1310" i="1" l="1"/>
  <c r="D1309" i="1"/>
  <c r="M1309" i="1" s="1"/>
  <c r="O1309" i="1"/>
  <c r="P1309" i="1" s="1"/>
  <c r="L1309" i="1"/>
  <c r="D1310" i="1" l="1"/>
  <c r="M1310" i="1" s="1"/>
  <c r="C1311" i="1"/>
  <c r="O1310" i="1"/>
  <c r="P1310" i="1" s="1"/>
  <c r="L1310" i="1"/>
  <c r="I1311" i="1"/>
  <c r="D1311" i="1" l="1"/>
  <c r="M1311" i="1" s="1"/>
  <c r="C1312" i="1"/>
  <c r="O1311" i="1"/>
  <c r="P1311" i="1" s="1"/>
  <c r="L1311" i="1"/>
  <c r="J1311" i="1"/>
  <c r="I1312" i="1"/>
  <c r="D1312" i="1" l="1"/>
  <c r="M1312" i="1" s="1"/>
  <c r="C1313" i="1"/>
  <c r="L1312" i="1"/>
  <c r="I1314" i="1"/>
  <c r="I1316" i="1" s="1"/>
  <c r="I1318" i="1" s="1"/>
  <c r="J1312" i="1"/>
  <c r="J1314" i="1" s="1"/>
  <c r="J1316" i="1" s="1"/>
  <c r="J1318" i="1" s="1"/>
  <c r="D1313" i="1" l="1"/>
  <c r="M1313" i="1" s="1"/>
  <c r="C1314" i="1"/>
  <c r="L1313" i="1"/>
  <c r="D1314" i="1" l="1"/>
  <c r="M1314" i="1" s="1"/>
  <c r="C1315" i="1"/>
  <c r="L1314" i="1"/>
  <c r="O1314" i="1"/>
  <c r="P1314" i="1" s="1"/>
  <c r="D1315" i="1" l="1"/>
  <c r="M1315" i="1" s="1"/>
  <c r="C1316" i="1"/>
  <c r="L1315" i="1"/>
  <c r="O1315" i="1"/>
  <c r="P1315" i="1" s="1"/>
  <c r="D1316" i="1" l="1"/>
  <c r="M1316" i="1" s="1"/>
  <c r="C1317" i="1"/>
  <c r="L1316" i="1"/>
  <c r="O1316" i="1"/>
  <c r="P1316" i="1" s="1"/>
  <c r="D1317" i="1" l="1"/>
  <c r="M1317" i="1" s="1"/>
  <c r="C1318" i="1"/>
  <c r="L1317" i="1"/>
  <c r="O1317" i="1"/>
  <c r="P1317" i="1" s="1"/>
  <c r="C1319" i="1" l="1"/>
  <c r="D1318" i="1"/>
  <c r="M1318" i="1" s="1"/>
  <c r="L1318" i="1"/>
  <c r="O1318" i="1"/>
  <c r="P1318" i="1" s="1"/>
  <c r="D1319" i="1" l="1"/>
  <c r="M1319" i="1" s="1"/>
  <c r="C1320" i="1"/>
  <c r="L1319" i="1"/>
  <c r="O1319" i="1"/>
  <c r="P1319" i="1" s="1"/>
  <c r="C1321" i="1" l="1"/>
  <c r="D1320" i="1"/>
  <c r="M1320" i="1" s="1"/>
  <c r="L1320" i="1"/>
  <c r="O1320" i="1"/>
  <c r="P1320" i="1" s="1"/>
  <c r="C1322" i="1" l="1"/>
  <c r="D1321" i="1"/>
  <c r="M1321" i="1" s="1"/>
  <c r="L1321" i="1"/>
  <c r="O1321" i="1"/>
  <c r="P1321" i="1" s="1"/>
  <c r="D1322" i="1" l="1"/>
  <c r="M1322" i="1" s="1"/>
  <c r="C1323" i="1"/>
  <c r="L1322" i="1"/>
  <c r="O1322" i="1"/>
  <c r="P1322" i="1" s="1"/>
  <c r="D1323" i="1" l="1"/>
  <c r="M1323" i="1" s="1"/>
  <c r="C1324" i="1"/>
  <c r="L1323" i="1"/>
  <c r="O1323" i="1"/>
  <c r="P1323" i="1" s="1"/>
  <c r="C1325" i="1" l="1"/>
  <c r="D1324" i="1"/>
  <c r="M1324" i="1" s="1"/>
  <c r="L1324" i="1"/>
  <c r="O1324" i="1"/>
  <c r="P1324" i="1" s="1"/>
  <c r="D1325" i="1" l="1"/>
  <c r="M1325" i="1" s="1"/>
  <c r="C1326" i="1"/>
  <c r="L1325" i="1"/>
  <c r="O1325" i="1"/>
  <c r="P1325" i="1" s="1"/>
  <c r="L1326" i="1" l="1"/>
  <c r="O1326" i="1"/>
  <c r="P1326" i="1" s="1"/>
  <c r="D1326" i="1"/>
  <c r="M1326" i="1" s="1"/>
  <c r="C1327" i="1"/>
  <c r="D1327" i="1" l="1"/>
  <c r="M1327" i="1" s="1"/>
  <c r="C1328" i="1"/>
  <c r="L1327" i="1"/>
  <c r="O1327" i="1"/>
  <c r="P1327" i="1" s="1"/>
  <c r="L1328" i="1" l="1"/>
  <c r="D1328" i="1"/>
  <c r="M1328" i="1" s="1"/>
  <c r="C1329" i="1"/>
  <c r="O1328" i="1"/>
  <c r="P1328" i="1" s="1"/>
  <c r="D1329" i="1" l="1"/>
  <c r="M1329" i="1" s="1"/>
  <c r="C1330" i="1"/>
  <c r="L1329" i="1"/>
  <c r="O1329" i="1"/>
  <c r="P1329" i="1" s="1"/>
  <c r="D1330" i="1" l="1"/>
  <c r="M1330" i="1" s="1"/>
  <c r="L1330" i="1"/>
  <c r="C1331" i="1"/>
  <c r="O1330" i="1"/>
  <c r="P1330" i="1" s="1"/>
  <c r="D1331" i="1" l="1"/>
  <c r="M1331" i="1" s="1"/>
  <c r="L1331" i="1"/>
  <c r="O1331" i="1"/>
  <c r="P1331" i="1" s="1"/>
  <c r="C1332" i="1"/>
  <c r="C1333" i="1" l="1"/>
  <c r="O1332" i="1"/>
  <c r="P1332" i="1" s="1"/>
  <c r="D1332" i="1"/>
  <c r="M1332" i="1" s="1"/>
  <c r="L1332" i="1"/>
  <c r="O1333" i="1" l="1"/>
  <c r="P1333" i="1" s="1"/>
  <c r="D1333" i="1"/>
  <c r="M1333" i="1" s="1"/>
  <c r="C1334" i="1"/>
  <c r="L1333" i="1"/>
  <c r="D1334" i="1" l="1"/>
  <c r="M1334" i="1" s="1"/>
  <c r="C1335" i="1"/>
  <c r="L1334" i="1"/>
  <c r="O1334" i="1"/>
  <c r="P1334" i="1" s="1"/>
  <c r="C1336" i="1" l="1"/>
  <c r="D1335" i="1"/>
  <c r="M1335" i="1" s="1"/>
  <c r="L1335" i="1"/>
  <c r="O1335" i="1"/>
  <c r="P1335" i="1" s="1"/>
  <c r="C1337" i="1" l="1"/>
  <c r="D1336" i="1"/>
  <c r="M1336" i="1" s="1"/>
  <c r="L1336" i="1"/>
  <c r="O1336" i="1"/>
  <c r="P1336" i="1" s="1"/>
  <c r="C1338" i="1" l="1"/>
  <c r="L1337" i="1"/>
  <c r="O1337" i="1"/>
  <c r="P1337" i="1" s="1"/>
  <c r="D1337" i="1"/>
  <c r="M1337" i="1" s="1"/>
  <c r="C1339" i="1" l="1"/>
  <c r="D1338" i="1"/>
  <c r="M1338" i="1" s="1"/>
  <c r="L1338" i="1"/>
  <c r="O1338" i="1"/>
  <c r="P1338" i="1" s="1"/>
  <c r="C1340" i="1" l="1"/>
  <c r="D1339" i="1"/>
  <c r="M1339" i="1" s="1"/>
  <c r="L1339" i="1"/>
  <c r="O1339" i="1"/>
  <c r="P1339" i="1" s="1"/>
  <c r="L1340" i="1" l="1"/>
  <c r="O1340" i="1"/>
  <c r="P1340" i="1" s="1"/>
  <c r="C1341" i="1"/>
  <c r="D1340" i="1"/>
  <c r="M1340" i="1" s="1"/>
  <c r="D1341" i="1" l="1"/>
  <c r="M1341" i="1" s="1"/>
  <c r="C1342" i="1"/>
  <c r="O1341" i="1"/>
  <c r="L1341" i="1"/>
  <c r="I1342" i="1"/>
  <c r="C1343" i="1" l="1"/>
  <c r="D1342" i="1"/>
  <c r="M1342" i="1" s="1"/>
  <c r="L1342" i="1"/>
  <c r="O1342" i="1"/>
  <c r="I1343" i="1"/>
  <c r="J1342" i="1"/>
  <c r="C1344" i="1" l="1"/>
  <c r="D1343" i="1"/>
  <c r="M1343" i="1" s="1"/>
  <c r="L1343" i="1"/>
  <c r="O1343" i="1"/>
  <c r="J1343" i="1"/>
  <c r="J1345" i="1" s="1"/>
  <c r="J1347" i="1" s="1"/>
  <c r="J1349" i="1" s="1"/>
  <c r="I1345" i="1"/>
  <c r="I1347" i="1" s="1"/>
  <c r="I1349" i="1" s="1"/>
  <c r="C1345" i="1" l="1"/>
  <c r="D1344" i="1"/>
  <c r="M1344" i="1" s="1"/>
  <c r="L1344" i="1"/>
  <c r="O1344" i="1"/>
  <c r="P1344" i="1" s="1"/>
  <c r="P1343" i="1"/>
  <c r="P1341" i="1"/>
  <c r="P1342" i="1"/>
  <c r="C1346" i="1" l="1"/>
  <c r="D1345" i="1"/>
  <c r="M1345" i="1" s="1"/>
  <c r="L1345" i="1"/>
  <c r="O1345" i="1"/>
  <c r="P1345" i="1" s="1"/>
  <c r="C1347" i="1" l="1"/>
  <c r="L1346" i="1"/>
  <c r="O1346" i="1"/>
  <c r="P1346" i="1" s="1"/>
  <c r="D1346" i="1"/>
  <c r="M1346" i="1" s="1"/>
  <c r="P1372" i="1"/>
  <c r="O1347" i="1" l="1"/>
  <c r="P1347" i="1" s="1"/>
  <c r="C1348" i="1"/>
  <c r="D1347" i="1"/>
  <c r="M1347" i="1" s="1"/>
  <c r="L1347" i="1"/>
  <c r="C1349" i="1" l="1"/>
  <c r="D1348" i="1"/>
  <c r="M1348" i="1" s="1"/>
  <c r="L1348" i="1"/>
  <c r="O1348" i="1"/>
  <c r="P1348" i="1" s="1"/>
  <c r="D1349" i="1" l="1"/>
  <c r="M1349" i="1" s="1"/>
  <c r="C1350" i="1"/>
  <c r="O1349" i="1"/>
  <c r="P1349" i="1" s="1"/>
  <c r="L1349" i="1"/>
  <c r="P1375" i="1"/>
  <c r="D1350" i="1" l="1"/>
  <c r="M1350" i="1" s="1"/>
  <c r="C1351" i="1"/>
  <c r="L1350" i="1"/>
  <c r="O1350" i="1"/>
  <c r="P1350" i="1" s="1"/>
  <c r="D1351" i="1" l="1"/>
  <c r="M1351" i="1" s="1"/>
  <c r="C1352" i="1"/>
  <c r="L1351" i="1"/>
  <c r="O1351" i="1"/>
  <c r="P1351" i="1" s="1"/>
  <c r="D1352" i="1" l="1"/>
  <c r="M1352" i="1" s="1"/>
  <c r="C1353" i="1"/>
  <c r="L1352" i="1"/>
  <c r="O1352" i="1"/>
  <c r="P1352" i="1" s="1"/>
  <c r="D1353" i="1" l="1"/>
  <c r="M1353" i="1" s="1"/>
  <c r="C1354" i="1"/>
  <c r="L1353" i="1"/>
  <c r="O1353" i="1"/>
  <c r="P1353" i="1" s="1"/>
  <c r="D1354" i="1" l="1"/>
  <c r="M1354" i="1" s="1"/>
  <c r="C1355" i="1"/>
  <c r="L1354" i="1"/>
  <c r="O1354" i="1"/>
  <c r="P1354" i="1" s="1"/>
  <c r="D1355" i="1" l="1"/>
  <c r="M1355" i="1" s="1"/>
  <c r="C1356" i="1"/>
  <c r="L1355" i="1"/>
  <c r="O1355" i="1"/>
  <c r="P1355" i="1" s="1"/>
  <c r="D1356" i="1" l="1"/>
  <c r="M1356" i="1" s="1"/>
  <c r="C1357" i="1"/>
  <c r="L1356" i="1"/>
  <c r="O1356" i="1"/>
  <c r="P1356" i="1" s="1"/>
  <c r="D1357" i="1" l="1"/>
  <c r="M1357" i="1" s="1"/>
  <c r="C1358" i="1"/>
  <c r="O1357" i="1"/>
  <c r="P1357" i="1" s="1"/>
  <c r="L1357" i="1"/>
  <c r="D1358" i="1" l="1"/>
  <c r="M1358" i="1" s="1"/>
  <c r="C1359" i="1"/>
  <c r="L1358" i="1"/>
  <c r="O1358" i="1"/>
  <c r="P1358" i="1" s="1"/>
  <c r="D1359" i="1" l="1"/>
  <c r="M1359" i="1" s="1"/>
  <c r="C1360" i="1"/>
  <c r="L1359" i="1"/>
  <c r="O1359" i="1"/>
  <c r="P1359" i="1" s="1"/>
  <c r="O1360" i="1" l="1"/>
  <c r="P1360" i="1" s="1"/>
  <c r="D1360" i="1"/>
  <c r="M1360" i="1" s="1"/>
  <c r="C1361" i="1"/>
  <c r="L1360" i="1"/>
  <c r="D1361" i="1" l="1"/>
  <c r="M1361" i="1" s="1"/>
  <c r="C1362" i="1"/>
  <c r="L1361" i="1"/>
  <c r="O1361" i="1"/>
  <c r="P1361" i="1" s="1"/>
  <c r="D1362" i="1" l="1"/>
  <c r="M1362" i="1" s="1"/>
  <c r="C1363" i="1"/>
  <c r="L1362" i="1"/>
  <c r="O1362" i="1"/>
  <c r="P1362" i="1" s="1"/>
  <c r="D1363" i="1" l="1"/>
  <c r="M1363" i="1" s="1"/>
  <c r="C1364" i="1"/>
  <c r="O1363" i="1"/>
  <c r="P1363" i="1" s="1"/>
  <c r="L1363" i="1"/>
  <c r="L1364" i="1" l="1"/>
  <c r="D1364" i="1"/>
  <c r="M1364" i="1" s="1"/>
  <c r="C1365" i="1"/>
  <c r="O1364" i="1"/>
  <c r="P1364" i="1" s="1"/>
  <c r="D1365" i="1" l="1"/>
  <c r="M1365" i="1" s="1"/>
  <c r="C1366" i="1"/>
  <c r="L1365" i="1"/>
  <c r="O1365" i="1"/>
  <c r="P1365" i="1" s="1"/>
  <c r="C1367" i="1" l="1"/>
  <c r="D1366" i="1"/>
  <c r="M1366" i="1" s="1"/>
  <c r="L1366" i="1"/>
  <c r="O1366" i="1"/>
  <c r="P1366" i="1" s="1"/>
  <c r="C1368" i="1" l="1"/>
  <c r="D1367" i="1"/>
  <c r="M1367" i="1" s="1"/>
  <c r="L1367" i="1"/>
  <c r="O1367" i="1"/>
  <c r="P1367" i="1" s="1"/>
  <c r="C1369" i="1" l="1"/>
  <c r="D1368" i="1"/>
  <c r="M1368" i="1" s="1"/>
  <c r="L1368" i="1"/>
  <c r="O1368" i="1"/>
  <c r="P1368" i="1" s="1"/>
  <c r="C1370" i="1" l="1"/>
  <c r="D1369" i="1"/>
  <c r="M1369" i="1" s="1"/>
  <c r="L1369" i="1"/>
  <c r="O1369" i="1"/>
  <c r="P1369" i="1" s="1"/>
  <c r="O1370" i="1" l="1"/>
  <c r="P1370" i="1" s="1"/>
  <c r="C1371" i="1"/>
  <c r="D1370" i="1"/>
  <c r="M1370" i="1" s="1"/>
  <c r="L1370" i="1"/>
  <c r="C1372" i="1" l="1"/>
  <c r="D1371" i="1"/>
  <c r="M1371" i="1" s="1"/>
  <c r="L1371" i="1"/>
  <c r="O1371" i="1"/>
  <c r="P1371" i="1" s="1"/>
  <c r="D1372" i="1" l="1"/>
  <c r="M1372" i="1" s="1"/>
  <c r="C1373" i="1"/>
  <c r="L1372" i="1"/>
  <c r="I1373" i="1"/>
  <c r="D1373" i="1" l="1"/>
  <c r="M1373" i="1" s="1"/>
  <c r="L1373" i="1"/>
  <c r="O1373" i="1"/>
  <c r="P1373" i="1" s="1"/>
  <c r="C1374" i="1"/>
  <c r="I1374" i="1"/>
  <c r="J1373" i="1"/>
  <c r="D1374" i="1" l="1"/>
  <c r="M1374" i="1" s="1"/>
  <c r="C1375" i="1"/>
  <c r="L1374" i="1"/>
  <c r="O1374" i="1"/>
  <c r="P1374" i="1" s="1"/>
  <c r="J1374" i="1"/>
  <c r="J1376" i="1" s="1"/>
  <c r="J1378" i="1" s="1"/>
  <c r="J1380" i="1" s="1"/>
  <c r="I1376" i="1"/>
  <c r="I1378" i="1" s="1"/>
  <c r="I1380" i="1" s="1"/>
  <c r="C1376" i="1" l="1"/>
  <c r="D1375" i="1"/>
  <c r="M1375" i="1" s="1"/>
  <c r="L1375" i="1"/>
  <c r="C1377" i="1" l="1"/>
  <c r="D1376" i="1"/>
  <c r="M1376" i="1" s="1"/>
  <c r="L1376" i="1"/>
  <c r="O1376" i="1"/>
  <c r="P1376" i="1" s="1"/>
  <c r="L1377" i="1" l="1"/>
  <c r="D1377" i="1"/>
  <c r="M1377" i="1" s="1"/>
  <c r="C1378" i="1"/>
  <c r="O1377" i="1"/>
  <c r="P1377" i="1" s="1"/>
  <c r="D1378" i="1" l="1"/>
  <c r="M1378" i="1" s="1"/>
  <c r="C1379" i="1"/>
  <c r="L1378" i="1"/>
  <c r="O1378" i="1"/>
  <c r="P1378" i="1" s="1"/>
  <c r="C1380" i="1" l="1"/>
  <c r="D1379" i="1"/>
  <c r="M1379" i="1" s="1"/>
  <c r="L1379" i="1"/>
  <c r="O1379" i="1"/>
  <c r="P1379" i="1" s="1"/>
  <c r="C1381" i="1" l="1"/>
  <c r="D1380" i="1"/>
  <c r="M1380" i="1" s="1"/>
  <c r="L1380" i="1"/>
  <c r="O1380" i="1"/>
  <c r="P1380" i="1" s="1"/>
  <c r="D1381" i="1" l="1"/>
  <c r="M1381" i="1" s="1"/>
  <c r="L1381" i="1"/>
  <c r="O1381" i="1"/>
  <c r="P1381" i="1" s="1"/>
  <c r="C1382" i="1"/>
  <c r="L1382" i="1" l="1"/>
  <c r="O1382" i="1"/>
  <c r="P1382" i="1" s="1"/>
  <c r="C1383" i="1"/>
  <c r="D1382" i="1"/>
  <c r="M1382" i="1" s="1"/>
  <c r="C1384" i="1" l="1"/>
  <c r="L1383" i="1"/>
  <c r="D1383" i="1"/>
  <c r="M1383" i="1" s="1"/>
  <c r="O1383" i="1"/>
  <c r="P1383" i="1" s="1"/>
  <c r="C1385" i="1" l="1"/>
  <c r="D1384" i="1"/>
  <c r="M1384" i="1" s="1"/>
  <c r="L1384" i="1"/>
  <c r="O1384" i="1"/>
  <c r="P1384" i="1" s="1"/>
  <c r="D1385" i="1" l="1"/>
  <c r="M1385" i="1" s="1"/>
  <c r="C1386" i="1"/>
  <c r="L1385" i="1"/>
  <c r="O1385" i="1"/>
  <c r="P1385" i="1" s="1"/>
  <c r="O1386" i="1" l="1"/>
  <c r="P1386" i="1" s="1"/>
  <c r="D1386" i="1"/>
  <c r="M1386" i="1" s="1"/>
  <c r="C1387" i="1"/>
  <c r="L1386" i="1"/>
  <c r="O1387" i="1" l="1"/>
  <c r="P1387" i="1" s="1"/>
  <c r="D1387" i="1"/>
  <c r="M1387" i="1" s="1"/>
  <c r="C1388" i="1"/>
  <c r="L1387" i="1"/>
  <c r="C1389" i="1" l="1"/>
  <c r="D1388" i="1"/>
  <c r="M1388" i="1" s="1"/>
  <c r="L1388" i="1"/>
  <c r="O1388" i="1"/>
  <c r="P1388" i="1" s="1"/>
  <c r="C1390" i="1" l="1"/>
  <c r="D1389" i="1"/>
  <c r="M1389" i="1" s="1"/>
  <c r="L1389" i="1"/>
  <c r="O1389" i="1"/>
  <c r="P1389" i="1" s="1"/>
  <c r="C1391" i="1" l="1"/>
  <c r="D1390" i="1"/>
  <c r="M1390" i="1" s="1"/>
  <c r="L1390" i="1"/>
  <c r="O1390" i="1"/>
  <c r="P1390" i="1" s="1"/>
  <c r="C1392" i="1" l="1"/>
  <c r="D1391" i="1"/>
  <c r="M1391" i="1" s="1"/>
  <c r="L1391" i="1"/>
  <c r="O1391" i="1"/>
  <c r="P1391" i="1" s="1"/>
  <c r="D1392" i="1" l="1"/>
  <c r="M1392" i="1" s="1"/>
  <c r="C1393" i="1"/>
  <c r="L1392" i="1"/>
  <c r="O1392" i="1"/>
  <c r="P1392" i="1" s="1"/>
  <c r="C1394" i="1" l="1"/>
  <c r="D1393" i="1"/>
  <c r="M1393" i="1" s="1"/>
  <c r="L1393" i="1"/>
  <c r="O1393" i="1"/>
  <c r="P1393" i="1" s="1"/>
  <c r="D1394" i="1" l="1"/>
  <c r="M1394" i="1" s="1"/>
  <c r="C1395" i="1"/>
  <c r="L1394" i="1"/>
  <c r="O1394" i="1"/>
  <c r="P1394" i="1" s="1"/>
  <c r="D1395" i="1" l="1"/>
  <c r="M1395" i="1" s="1"/>
  <c r="C1396" i="1"/>
  <c r="L1395" i="1"/>
  <c r="O1395" i="1"/>
  <c r="P1395" i="1" s="1"/>
  <c r="C1397" i="1" l="1"/>
  <c r="D1396" i="1"/>
  <c r="M1396" i="1" s="1"/>
  <c r="L1396" i="1"/>
  <c r="O1396" i="1"/>
  <c r="P1396" i="1" s="1"/>
  <c r="C1398" i="1" l="1"/>
  <c r="D1397" i="1"/>
  <c r="M1397" i="1" s="1"/>
  <c r="L1397" i="1"/>
  <c r="O1397" i="1"/>
  <c r="P1397" i="1" s="1"/>
  <c r="C1399" i="1" l="1"/>
  <c r="D1398" i="1"/>
  <c r="M1398" i="1" s="1"/>
  <c r="L1398" i="1"/>
  <c r="O1398" i="1"/>
  <c r="P1398" i="1" s="1"/>
  <c r="L1399" i="1" l="1"/>
  <c r="O1399" i="1"/>
  <c r="P1399" i="1" s="1"/>
  <c r="C1400" i="1"/>
  <c r="D1399" i="1"/>
  <c r="M1399" i="1" s="1"/>
  <c r="L1400" i="1" l="1"/>
  <c r="O1400" i="1"/>
  <c r="P1400" i="1" s="1"/>
  <c r="C1401" i="1"/>
  <c r="D1400" i="1"/>
  <c r="M1400" i="1" s="1"/>
  <c r="C1402" i="1" l="1"/>
  <c r="L1401" i="1"/>
  <c r="O1401" i="1"/>
  <c r="P1401" i="1" s="1"/>
  <c r="D1401" i="1"/>
  <c r="M1401" i="1" s="1"/>
  <c r="D1402" i="1" l="1"/>
  <c r="M1402" i="1" s="1"/>
  <c r="C1403" i="1"/>
  <c r="O1402" i="1"/>
  <c r="L1402" i="1"/>
  <c r="I1403" i="1"/>
  <c r="C1404" i="1" l="1"/>
  <c r="D1403" i="1"/>
  <c r="M1403" i="1" s="1"/>
  <c r="L1403" i="1"/>
  <c r="O1403" i="1"/>
  <c r="I1404" i="1"/>
  <c r="J1403" i="1"/>
  <c r="C1405" i="1" l="1"/>
  <c r="D1404" i="1"/>
  <c r="M1404" i="1" s="1"/>
  <c r="L1404" i="1"/>
  <c r="O1404" i="1"/>
  <c r="I1406" i="1"/>
  <c r="I1408" i="1" s="1"/>
  <c r="I1410" i="1" s="1"/>
  <c r="J1404" i="1"/>
  <c r="J1406" i="1" s="1"/>
  <c r="J1408" i="1" s="1"/>
  <c r="J1410" i="1" s="1"/>
  <c r="C1406" i="1" l="1"/>
  <c r="D1405" i="1"/>
  <c r="M1405" i="1" s="1"/>
  <c r="L1405" i="1"/>
  <c r="O1405" i="1"/>
  <c r="P1405" i="1" s="1"/>
  <c r="P1402" i="1"/>
  <c r="P1407" i="1"/>
  <c r="P1403" i="1"/>
  <c r="P1404" i="1"/>
  <c r="P1410" i="1"/>
  <c r="C1407" i="1" l="1"/>
  <c r="D1406" i="1"/>
  <c r="M1406" i="1" s="1"/>
  <c r="L1406" i="1"/>
  <c r="O1406" i="1"/>
  <c r="P1406" i="1" s="1"/>
  <c r="C1408" i="1" l="1"/>
  <c r="D1407" i="1"/>
  <c r="M1407" i="1" s="1"/>
  <c r="L1407" i="1"/>
  <c r="D1408" i="1" l="1"/>
  <c r="M1408" i="1" s="1"/>
  <c r="C1409" i="1"/>
  <c r="O1408" i="1"/>
  <c r="P1408" i="1" s="1"/>
  <c r="L1408" i="1"/>
  <c r="D1409" i="1" l="1"/>
  <c r="M1409" i="1" s="1"/>
  <c r="C1410" i="1"/>
  <c r="O1409" i="1"/>
  <c r="P1409" i="1" s="1"/>
  <c r="L1409" i="1"/>
  <c r="C1411" i="1" l="1"/>
  <c r="D1410" i="1"/>
  <c r="M1410" i="1" s="1"/>
  <c r="L1410" i="1"/>
  <c r="D1411" i="1" l="1"/>
  <c r="M1411" i="1" s="1"/>
  <c r="C1412" i="1"/>
  <c r="L1411" i="1"/>
  <c r="O1411" i="1"/>
  <c r="P1411" i="1" s="1"/>
  <c r="D1412" i="1" l="1"/>
  <c r="M1412" i="1" s="1"/>
  <c r="C1413" i="1"/>
  <c r="L1412" i="1"/>
  <c r="O1412" i="1"/>
  <c r="P1412" i="1" s="1"/>
  <c r="L1413" i="1" l="1"/>
  <c r="O1413" i="1"/>
  <c r="P1413" i="1" s="1"/>
  <c r="C1414" i="1"/>
  <c r="D1413" i="1"/>
  <c r="M1413" i="1" s="1"/>
  <c r="L1414" i="1" l="1"/>
  <c r="O1414" i="1"/>
  <c r="P1414" i="1" s="1"/>
  <c r="C1415" i="1"/>
  <c r="D1414" i="1"/>
  <c r="M1414" i="1" s="1"/>
  <c r="C1416" i="1" l="1"/>
  <c r="D1415" i="1"/>
  <c r="M1415" i="1" s="1"/>
  <c r="L1415" i="1"/>
  <c r="O1415" i="1"/>
  <c r="P1415" i="1" s="1"/>
  <c r="D1416" i="1" l="1"/>
  <c r="M1416" i="1" s="1"/>
  <c r="C1417" i="1"/>
  <c r="L1416" i="1"/>
  <c r="O1416" i="1"/>
  <c r="P1416" i="1" s="1"/>
  <c r="C1418" i="1" l="1"/>
  <c r="D1417" i="1"/>
  <c r="M1417" i="1" s="1"/>
  <c r="L1417" i="1"/>
  <c r="O1417" i="1"/>
  <c r="P1417" i="1" s="1"/>
  <c r="C1419" i="1" l="1"/>
  <c r="D1418" i="1"/>
  <c r="M1418" i="1" s="1"/>
  <c r="L1418" i="1"/>
  <c r="O1418" i="1"/>
  <c r="P1418" i="1" s="1"/>
  <c r="D1419" i="1" l="1"/>
  <c r="M1419" i="1" s="1"/>
  <c r="O1419" i="1"/>
  <c r="P1419" i="1" s="1"/>
  <c r="C1420" i="1"/>
  <c r="L1419" i="1"/>
  <c r="C1421" i="1" l="1"/>
  <c r="D1420" i="1"/>
  <c r="M1420" i="1" s="1"/>
  <c r="L1420" i="1"/>
  <c r="O1420" i="1"/>
  <c r="P1420" i="1" s="1"/>
  <c r="L1421" i="1" l="1"/>
  <c r="O1421" i="1"/>
  <c r="P1421" i="1" s="1"/>
  <c r="C1422" i="1"/>
  <c r="D1421" i="1"/>
  <c r="M1421" i="1" s="1"/>
  <c r="C1423" i="1" l="1"/>
  <c r="D1422" i="1"/>
  <c r="M1422" i="1" s="1"/>
  <c r="L1422" i="1"/>
  <c r="O1422" i="1"/>
  <c r="P1422" i="1" s="1"/>
  <c r="L1423" i="1" l="1"/>
  <c r="C1424" i="1"/>
  <c r="D1423" i="1"/>
  <c r="M1423" i="1" s="1"/>
  <c r="O1423" i="1"/>
  <c r="P1423" i="1" s="1"/>
  <c r="C1425" i="1" l="1"/>
  <c r="D1424" i="1"/>
  <c r="M1424" i="1" s="1"/>
  <c r="L1424" i="1"/>
  <c r="O1424" i="1"/>
  <c r="P1424" i="1" s="1"/>
  <c r="C1426" i="1" l="1"/>
  <c r="D1425" i="1"/>
  <c r="M1425" i="1" s="1"/>
  <c r="O1425" i="1"/>
  <c r="P1425" i="1" s="1"/>
  <c r="L1425" i="1"/>
  <c r="D1426" i="1" l="1"/>
  <c r="M1426" i="1" s="1"/>
  <c r="C1427" i="1"/>
  <c r="L1426" i="1"/>
  <c r="O1426" i="1"/>
  <c r="P1426" i="1" s="1"/>
  <c r="O1427" i="1" l="1"/>
  <c r="P1427" i="1" s="1"/>
  <c r="D1427" i="1"/>
  <c r="M1427" i="1" s="1"/>
  <c r="C1428" i="1"/>
  <c r="L1427" i="1"/>
  <c r="O1428" i="1" l="1"/>
  <c r="P1428" i="1" s="1"/>
  <c r="D1428" i="1"/>
  <c r="M1428" i="1" s="1"/>
  <c r="C1429" i="1"/>
  <c r="L1428" i="1"/>
  <c r="D1429" i="1" l="1"/>
  <c r="M1429" i="1" s="1"/>
  <c r="C1430" i="1"/>
  <c r="L1429" i="1"/>
  <c r="O1429" i="1"/>
  <c r="P1429" i="1" s="1"/>
  <c r="D1430" i="1" l="1"/>
  <c r="M1430" i="1" s="1"/>
  <c r="C1431" i="1"/>
  <c r="L1430" i="1"/>
  <c r="O1430" i="1"/>
  <c r="P1430" i="1" s="1"/>
  <c r="D1431" i="1" l="1"/>
  <c r="M1431" i="1" s="1"/>
  <c r="C1432" i="1"/>
  <c r="L1431" i="1"/>
  <c r="O1431" i="1"/>
  <c r="D1432" i="1" l="1"/>
  <c r="M1432" i="1" s="1"/>
  <c r="L1432" i="1"/>
  <c r="O1432" i="1"/>
  <c r="C1433" i="1"/>
  <c r="C1434" i="1" l="1"/>
  <c r="D1433" i="1"/>
  <c r="M1433" i="1" s="1"/>
  <c r="O1433" i="1"/>
  <c r="L1433" i="1"/>
  <c r="I1434" i="1"/>
  <c r="D1434" i="1" l="1"/>
  <c r="M1434" i="1" s="1"/>
  <c r="C1435" i="1"/>
  <c r="L1434" i="1"/>
  <c r="O1434" i="1"/>
  <c r="I1435" i="1"/>
  <c r="J1434" i="1"/>
  <c r="D1435" i="1" l="1"/>
  <c r="M1435" i="1" s="1"/>
  <c r="C1436" i="1"/>
  <c r="L1435" i="1"/>
  <c r="O1435" i="1"/>
  <c r="J1435" i="1"/>
  <c r="J1437" i="1" s="1"/>
  <c r="J1439" i="1" s="1"/>
  <c r="J1441" i="1" s="1"/>
  <c r="I1437" i="1"/>
  <c r="I1439" i="1" s="1"/>
  <c r="I1441" i="1" s="1"/>
  <c r="D1436" i="1" l="1"/>
  <c r="M1436" i="1" s="1"/>
  <c r="L1436" i="1"/>
  <c r="C1437" i="1"/>
  <c r="O1436" i="1"/>
  <c r="D1437" i="1" l="1"/>
  <c r="M1437" i="1" s="1"/>
  <c r="C1438" i="1"/>
  <c r="L1437" i="1"/>
  <c r="O1437" i="1"/>
  <c r="C1439" i="1" l="1"/>
  <c r="D1438" i="1"/>
  <c r="M1438" i="1" s="1"/>
  <c r="L1438" i="1"/>
  <c r="O1438" i="1"/>
  <c r="C1440" i="1" l="1"/>
  <c r="D1439" i="1"/>
  <c r="M1439" i="1" s="1"/>
  <c r="L1439" i="1"/>
  <c r="O1439" i="1"/>
  <c r="D1440" i="1" l="1"/>
  <c r="M1440" i="1" s="1"/>
  <c r="C1441" i="1"/>
  <c r="L1440" i="1"/>
  <c r="O1440" i="1"/>
  <c r="C1442" i="1" l="1"/>
  <c r="D1441" i="1"/>
  <c r="M1441" i="1" s="1"/>
  <c r="L1441" i="1"/>
  <c r="O1441" i="1"/>
  <c r="O1442" i="1" l="1"/>
  <c r="D1442" i="1"/>
  <c r="M1442" i="1" s="1"/>
  <c r="C1443" i="1"/>
  <c r="L1442" i="1"/>
  <c r="L1443" i="1" l="1"/>
  <c r="O1443" i="1"/>
  <c r="C1444" i="1"/>
  <c r="D1443" i="1"/>
  <c r="M1443" i="1" s="1"/>
  <c r="L1444" i="1" l="1"/>
  <c r="D1444" i="1"/>
  <c r="M1444" i="1" s="1"/>
  <c r="C1445" i="1"/>
  <c r="O1444" i="1"/>
  <c r="D1445" i="1" l="1"/>
  <c r="M1445" i="1" s="1"/>
  <c r="L1445" i="1"/>
  <c r="C1446" i="1"/>
  <c r="O1445" i="1"/>
  <c r="C1447" i="1" l="1"/>
  <c r="L1446" i="1"/>
  <c r="O1446" i="1"/>
  <c r="D1446" i="1"/>
  <c r="M1446" i="1" s="1"/>
  <c r="D1447" i="1" l="1"/>
  <c r="M1447" i="1" s="1"/>
  <c r="C1448" i="1"/>
  <c r="L1447" i="1"/>
  <c r="O1447" i="1"/>
  <c r="D1448" i="1" l="1"/>
  <c r="M1448" i="1" s="1"/>
  <c r="C1449" i="1"/>
  <c r="L1448" i="1"/>
  <c r="O1448" i="1"/>
  <c r="D1449" i="1" l="1"/>
  <c r="M1449" i="1" s="1"/>
  <c r="C1450" i="1"/>
  <c r="L1449" i="1"/>
  <c r="O1449" i="1"/>
  <c r="D1450" i="1" l="1"/>
  <c r="M1450" i="1" s="1"/>
  <c r="C1451" i="1"/>
  <c r="L1450" i="1"/>
  <c r="O1450" i="1"/>
  <c r="D1451" i="1" l="1"/>
  <c r="M1451" i="1" s="1"/>
  <c r="C1452" i="1"/>
  <c r="L1451" i="1"/>
  <c r="O1451" i="1"/>
  <c r="D1452" i="1" l="1"/>
  <c r="M1452" i="1" s="1"/>
  <c r="C1453" i="1"/>
  <c r="L1452" i="1"/>
  <c r="O1452" i="1"/>
  <c r="D1453" i="1" l="1"/>
  <c r="M1453" i="1" s="1"/>
  <c r="C1454" i="1"/>
  <c r="L1453" i="1"/>
  <c r="O1453" i="1"/>
  <c r="D1454" i="1" l="1"/>
  <c r="M1454" i="1" s="1"/>
  <c r="C1455" i="1"/>
  <c r="L1454" i="1"/>
  <c r="D1455" i="1" l="1"/>
  <c r="M1455" i="1" s="1"/>
  <c r="C1456" i="1"/>
  <c r="L1455" i="1"/>
  <c r="D1456" i="1" l="1"/>
  <c r="M1456" i="1" s="1"/>
  <c r="C1457" i="1"/>
  <c r="L1456" i="1"/>
  <c r="O1456" i="1"/>
  <c r="C1458" i="1" l="1"/>
  <c r="D1457" i="1"/>
  <c r="M1457" i="1" s="1"/>
  <c r="L1457" i="1"/>
  <c r="O1457" i="1"/>
  <c r="C1459" i="1" l="1"/>
  <c r="D1458" i="1"/>
  <c r="M1458" i="1" s="1"/>
  <c r="L1458" i="1"/>
  <c r="O1458" i="1"/>
  <c r="D1459" i="1" l="1"/>
  <c r="M1459" i="1" s="1"/>
  <c r="C1460" i="1"/>
  <c r="L1459" i="1"/>
  <c r="O1459" i="1"/>
  <c r="D1460" i="1" l="1"/>
  <c r="M1460" i="1" s="1"/>
  <c r="C1461" i="1"/>
  <c r="L1460" i="1"/>
  <c r="O1460" i="1"/>
  <c r="D1461" i="1" l="1"/>
  <c r="M1461" i="1" s="1"/>
  <c r="C1462" i="1"/>
  <c r="L1461" i="1"/>
  <c r="O1461" i="1"/>
  <c r="D1462" i="1" l="1"/>
  <c r="M1462" i="1" s="1"/>
  <c r="C1463" i="1"/>
  <c r="L1462" i="1"/>
  <c r="O1462" i="1"/>
  <c r="D1463" i="1" l="1"/>
  <c r="M1463" i="1" s="1"/>
  <c r="C1464" i="1"/>
  <c r="O1463" i="1"/>
  <c r="L1463" i="1"/>
  <c r="I1464" i="1"/>
  <c r="D1464" i="1" l="1"/>
  <c r="M1464" i="1" s="1"/>
  <c r="C1465" i="1"/>
  <c r="L1464" i="1"/>
  <c r="O1464" i="1"/>
  <c r="I1465" i="1"/>
  <c r="J1464" i="1"/>
  <c r="D1465" i="1" l="1"/>
  <c r="M1465" i="1" s="1"/>
  <c r="C1466" i="1"/>
  <c r="L1465" i="1"/>
  <c r="O1465" i="1"/>
  <c r="J1465" i="1"/>
  <c r="J1467" i="1" s="1"/>
  <c r="J1469" i="1" s="1"/>
  <c r="J1471" i="1" s="1"/>
  <c r="I1467" i="1"/>
  <c r="I1469" i="1" s="1"/>
  <c r="I1471" i="1" s="1"/>
  <c r="L1466" i="1" l="1"/>
  <c r="D1466" i="1"/>
  <c r="M1466" i="1" s="1"/>
  <c r="C1467" i="1"/>
  <c r="O1466" i="1"/>
  <c r="D1467" i="1" l="1"/>
  <c r="M1467" i="1" s="1"/>
  <c r="C1468" i="1"/>
  <c r="L1467" i="1"/>
  <c r="O1467" i="1"/>
  <c r="C1469" i="1" l="1"/>
  <c r="D1468" i="1"/>
  <c r="M1468" i="1" s="1"/>
  <c r="L1468" i="1"/>
  <c r="O1468" i="1"/>
  <c r="D1469" i="1" l="1"/>
  <c r="M1469" i="1" s="1"/>
  <c r="L1469" i="1"/>
  <c r="O1469" i="1"/>
  <c r="C1470" i="1"/>
  <c r="C1471" i="1" l="1"/>
  <c r="L1470" i="1"/>
  <c r="O1470" i="1"/>
  <c r="D1470" i="1"/>
  <c r="M1470" i="1" s="1"/>
  <c r="C1472" i="1" l="1"/>
  <c r="O1471" i="1"/>
  <c r="D1471" i="1"/>
  <c r="M1471" i="1" s="1"/>
  <c r="L1471" i="1"/>
  <c r="D1472" i="1" l="1"/>
  <c r="M1472" i="1" s="1"/>
  <c r="C1473" i="1"/>
  <c r="O1472" i="1"/>
  <c r="L1472" i="1"/>
  <c r="L1473" i="1" l="1"/>
  <c r="O1473" i="1"/>
  <c r="C1474" i="1"/>
  <c r="D1473" i="1"/>
  <c r="M1473" i="1" s="1"/>
  <c r="D1474" i="1" l="1"/>
  <c r="M1474" i="1" s="1"/>
  <c r="C1475" i="1"/>
  <c r="L1474" i="1"/>
  <c r="O1474" i="1"/>
  <c r="L1475" i="1" l="1"/>
  <c r="O1475" i="1"/>
  <c r="D1475" i="1"/>
  <c r="M1475" i="1" s="1"/>
  <c r="C1476" i="1"/>
  <c r="C1477" i="1" l="1"/>
  <c r="D1476" i="1"/>
  <c r="M1476" i="1" s="1"/>
  <c r="L1476" i="1"/>
  <c r="O1476" i="1"/>
  <c r="D1477" i="1" l="1"/>
  <c r="M1477" i="1" s="1"/>
  <c r="O1477" i="1"/>
  <c r="C1478" i="1"/>
  <c r="L1477" i="1"/>
  <c r="L1478" i="1" l="1"/>
  <c r="O1478" i="1"/>
  <c r="C1479" i="1"/>
  <c r="D1478" i="1"/>
  <c r="M1478" i="1" s="1"/>
  <c r="C1480" i="1" l="1"/>
  <c r="D1479" i="1"/>
  <c r="M1479" i="1" s="1"/>
  <c r="L1479" i="1"/>
  <c r="O1479" i="1"/>
  <c r="C1481" i="1" l="1"/>
  <c r="D1480" i="1"/>
  <c r="M1480" i="1" s="1"/>
  <c r="L1480" i="1"/>
  <c r="O1480" i="1"/>
  <c r="L1481" i="1" l="1"/>
  <c r="O1481" i="1"/>
  <c r="C1482" i="1"/>
  <c r="D1481" i="1"/>
  <c r="M1481" i="1" s="1"/>
  <c r="L1482" i="1" l="1"/>
  <c r="O1482" i="1"/>
  <c r="C1483" i="1"/>
  <c r="D1482" i="1"/>
  <c r="M1482" i="1" s="1"/>
  <c r="C1484" i="1" l="1"/>
  <c r="D1483" i="1"/>
  <c r="M1483" i="1" s="1"/>
  <c r="L1483" i="1"/>
  <c r="O1483" i="1"/>
  <c r="C1485" i="1" l="1"/>
  <c r="D1484" i="1"/>
  <c r="M1484" i="1" s="1"/>
  <c r="L1484" i="1"/>
  <c r="D1485" i="1" l="1"/>
  <c r="M1485" i="1" s="1"/>
  <c r="C1486" i="1"/>
  <c r="L1485" i="1"/>
  <c r="O1485" i="1"/>
  <c r="D1486" i="1" l="1"/>
  <c r="M1486" i="1" s="1"/>
  <c r="O1486" i="1"/>
  <c r="C1487" i="1"/>
  <c r="L1486" i="1"/>
  <c r="D1487" i="1" l="1"/>
  <c r="M1487" i="1" s="1"/>
  <c r="C1488" i="1"/>
  <c r="L1487" i="1"/>
  <c r="C1489" i="1" l="1"/>
  <c r="D1488" i="1"/>
  <c r="M1488" i="1" s="1"/>
  <c r="O1488" i="1"/>
  <c r="L1488" i="1"/>
  <c r="C1490" i="1" l="1"/>
  <c r="O1489" i="1"/>
  <c r="D1489" i="1"/>
  <c r="M1489" i="1" s="1"/>
  <c r="L1489" i="1"/>
  <c r="D1490" i="1" l="1"/>
  <c r="M1490" i="1" s="1"/>
  <c r="C1491" i="1"/>
  <c r="L1490" i="1"/>
  <c r="O1490" i="1"/>
  <c r="D1491" i="1" l="1"/>
  <c r="M1491" i="1" s="1"/>
  <c r="C1492" i="1"/>
  <c r="L1491" i="1"/>
  <c r="C1493" i="1" l="1"/>
  <c r="O1492" i="1"/>
  <c r="D1492" i="1"/>
  <c r="M1492" i="1" s="1"/>
  <c r="L1492" i="1"/>
  <c r="D1493" i="1" l="1"/>
  <c r="M1493" i="1" s="1"/>
  <c r="C1494" i="1"/>
  <c r="O1493" i="1"/>
  <c r="L1493" i="1"/>
  <c r="D1494" i="1" l="1"/>
  <c r="M1494" i="1" s="1"/>
  <c r="C1495" i="1"/>
  <c r="L1494" i="1"/>
  <c r="I1495" i="1"/>
  <c r="C1496" i="1" l="1"/>
  <c r="D1495" i="1"/>
  <c r="M1495" i="1" s="1"/>
  <c r="L1495" i="1"/>
  <c r="O1495" i="1"/>
  <c r="J1495" i="1"/>
  <c r="I1496" i="1"/>
  <c r="O1496" i="1" l="1"/>
  <c r="C1497" i="1"/>
  <c r="D1496" i="1"/>
  <c r="M1496" i="1" s="1"/>
  <c r="L1496" i="1"/>
  <c r="I1498" i="1"/>
  <c r="I1500" i="1" s="1"/>
  <c r="I1502" i="1" s="1"/>
  <c r="J1496" i="1"/>
  <c r="J1498" i="1" s="1"/>
  <c r="J1500" i="1" s="1"/>
  <c r="J1502" i="1" s="1"/>
  <c r="O1497" i="1" l="1"/>
  <c r="D1497" i="1"/>
  <c r="M1497" i="1" s="1"/>
  <c r="C1498" i="1"/>
  <c r="L1497" i="1"/>
  <c r="C1499" i="1" l="1"/>
  <c r="O1498" i="1"/>
  <c r="D1498" i="1"/>
  <c r="M1498" i="1" s="1"/>
  <c r="L1498" i="1"/>
  <c r="D1499" i="1" l="1"/>
  <c r="M1499" i="1" s="1"/>
  <c r="O1499" i="1"/>
  <c r="C1500" i="1"/>
  <c r="L1499" i="1"/>
  <c r="O1500" i="1" l="1"/>
  <c r="D1500" i="1"/>
  <c r="M1500" i="1" s="1"/>
  <c r="C1501" i="1"/>
  <c r="L1500" i="1"/>
  <c r="O1501" i="1" l="1"/>
  <c r="C1502" i="1"/>
  <c r="D1501" i="1"/>
  <c r="M1501" i="1" s="1"/>
  <c r="L1501" i="1"/>
  <c r="D1502" i="1" l="1"/>
  <c r="M1502" i="1" s="1"/>
  <c r="O1502" i="1"/>
  <c r="C1503" i="1"/>
  <c r="L1502" i="1"/>
  <c r="C1504" i="1" l="1"/>
  <c r="D1503" i="1"/>
  <c r="M1503" i="1" s="1"/>
  <c r="O1503" i="1"/>
  <c r="L1503" i="1"/>
  <c r="C1505" i="1" l="1"/>
  <c r="O1504" i="1"/>
  <c r="D1504" i="1"/>
  <c r="M1504" i="1" s="1"/>
  <c r="L1504" i="1"/>
  <c r="D1505" i="1" l="1"/>
  <c r="M1505" i="1" s="1"/>
  <c r="C1506" i="1"/>
  <c r="L1505" i="1"/>
  <c r="C1507" i="1" l="1"/>
  <c r="D1506" i="1"/>
  <c r="M1506" i="1" s="1"/>
  <c r="L1506" i="1"/>
  <c r="O1506" i="1"/>
  <c r="O1507" i="1" l="1"/>
  <c r="C1508" i="1"/>
  <c r="D1507" i="1"/>
  <c r="M1507" i="1" s="1"/>
  <c r="L1507" i="1"/>
  <c r="C1509" i="1" l="1"/>
  <c r="D1508" i="1"/>
  <c r="M1508" i="1" s="1"/>
  <c r="L1508" i="1"/>
  <c r="P1219" i="1"/>
  <c r="O1509" i="1" l="1"/>
  <c r="D1509" i="1"/>
  <c r="M1509" i="1" s="1"/>
  <c r="C1510" i="1"/>
  <c r="L1509" i="1"/>
  <c r="D1510" i="1" l="1"/>
  <c r="M1510" i="1" s="1"/>
  <c r="C1511" i="1"/>
  <c r="O1510" i="1"/>
  <c r="L1510" i="1"/>
  <c r="C1512" i="1" l="1"/>
  <c r="D1511" i="1"/>
  <c r="M1511" i="1" s="1"/>
  <c r="O1511" i="1"/>
  <c r="L1511" i="1"/>
  <c r="D1512" i="1" l="1"/>
  <c r="M1512" i="1" s="1"/>
  <c r="C1513" i="1"/>
  <c r="O1512" i="1"/>
  <c r="L1512" i="1"/>
  <c r="O1513" i="1" l="1"/>
  <c r="C1514" i="1"/>
  <c r="D1513" i="1"/>
  <c r="M1513" i="1" s="1"/>
  <c r="L1513" i="1"/>
  <c r="O1514" i="1" l="1"/>
  <c r="D1514" i="1"/>
  <c r="M1514" i="1" s="1"/>
  <c r="C1515" i="1"/>
  <c r="L1514" i="1"/>
  <c r="O1515" i="1" l="1"/>
  <c r="D1515" i="1"/>
  <c r="M1515" i="1" s="1"/>
  <c r="C1516" i="1"/>
  <c r="L1515" i="1"/>
  <c r="D1516" i="1" l="1"/>
  <c r="M1516" i="1" s="1"/>
  <c r="O1516" i="1"/>
  <c r="C1517" i="1"/>
  <c r="L1516" i="1"/>
  <c r="C1518" i="1" l="1"/>
  <c r="D1517" i="1"/>
  <c r="M1517" i="1" s="1"/>
  <c r="O1517" i="1"/>
  <c r="L1517" i="1"/>
  <c r="C1519" i="1" l="1"/>
  <c r="O1518" i="1"/>
  <c r="D1518" i="1"/>
  <c r="M1518" i="1" s="1"/>
  <c r="L1518" i="1"/>
  <c r="C1520" i="1" l="1"/>
  <c r="O1519" i="1"/>
  <c r="D1519" i="1"/>
  <c r="M1519" i="1" s="1"/>
  <c r="L1519" i="1"/>
  <c r="D1520" i="1" l="1"/>
  <c r="M1520" i="1" s="1"/>
  <c r="C1521" i="1"/>
  <c r="O1520" i="1"/>
  <c r="L1520" i="1"/>
  <c r="O1521" i="1" l="1"/>
  <c r="C1522" i="1"/>
  <c r="D1521" i="1"/>
  <c r="M1521" i="1" s="1"/>
  <c r="L1521" i="1"/>
  <c r="O1522" i="1" l="1"/>
  <c r="C1523" i="1"/>
  <c r="D1522" i="1"/>
  <c r="M1522" i="1" s="1"/>
  <c r="L1522" i="1"/>
  <c r="O1523" i="1" l="1"/>
  <c r="D1523" i="1"/>
  <c r="M1523" i="1" s="1"/>
  <c r="C1524" i="1"/>
  <c r="L1523" i="1"/>
  <c r="D1524" i="1" l="1"/>
  <c r="M1524" i="1" s="1"/>
  <c r="C1525" i="1"/>
  <c r="O1524" i="1"/>
  <c r="L1524" i="1"/>
  <c r="O1525" i="1" l="1"/>
  <c r="C1526" i="1"/>
  <c r="D1525" i="1"/>
  <c r="M1525" i="1" s="1"/>
  <c r="L1525" i="1"/>
  <c r="I1526" i="1"/>
  <c r="C1527" i="1" l="1"/>
  <c r="O1526" i="1"/>
  <c r="D1526" i="1"/>
  <c r="M1526" i="1" s="1"/>
  <c r="L1526" i="1"/>
  <c r="J1526" i="1"/>
  <c r="I1527" i="1"/>
  <c r="O1527" i="1" l="1"/>
  <c r="C1528" i="1"/>
  <c r="D1527" i="1"/>
  <c r="M1527" i="1" s="1"/>
  <c r="L1527" i="1"/>
  <c r="I1529" i="1"/>
  <c r="I1531" i="1" s="1"/>
  <c r="I1533" i="1" s="1"/>
  <c r="J1527" i="1"/>
  <c r="J1529" i="1" s="1"/>
  <c r="J1531" i="1" s="1"/>
  <c r="J1533" i="1" s="1"/>
  <c r="O1528" i="1" l="1"/>
  <c r="C1529" i="1"/>
  <c r="D1528" i="1"/>
  <c r="M1528" i="1" s="1"/>
  <c r="L1528" i="1"/>
  <c r="D1529" i="1" l="1"/>
  <c r="M1529" i="1" s="1"/>
  <c r="O1529" i="1"/>
  <c r="C1530" i="1"/>
  <c r="L1529" i="1"/>
  <c r="D1530" i="1" l="1"/>
  <c r="M1530" i="1" s="1"/>
  <c r="O1530" i="1"/>
  <c r="C1531" i="1"/>
  <c r="L1530" i="1"/>
  <c r="D1531" i="1" l="1"/>
  <c r="M1531" i="1" s="1"/>
  <c r="C1532" i="1"/>
  <c r="O1531" i="1"/>
  <c r="L1531" i="1"/>
  <c r="O1532" i="1" l="1"/>
  <c r="C1533" i="1"/>
  <c r="D1532" i="1"/>
  <c r="M1532" i="1" s="1"/>
  <c r="L1532" i="1"/>
  <c r="O1533" i="1" l="1"/>
  <c r="C1534" i="1"/>
  <c r="D1533" i="1"/>
  <c r="M1533" i="1" s="1"/>
  <c r="L1533" i="1"/>
  <c r="O1534" i="1" l="1"/>
  <c r="C1535" i="1"/>
  <c r="D1534" i="1"/>
  <c r="M1534" i="1" s="1"/>
  <c r="L1534" i="1"/>
  <c r="O1535" i="1" l="1"/>
  <c r="D1535" i="1"/>
  <c r="M1535" i="1" s="1"/>
  <c r="C1536" i="1"/>
  <c r="L1535" i="1"/>
  <c r="J7" i="9" l="1"/>
  <c r="K3" i="9"/>
  <c r="K4" i="9"/>
  <c r="J4" i="9"/>
  <c r="O1536" i="1"/>
  <c r="J3" i="9"/>
  <c r="J6" i="9"/>
  <c r="J5" i="9"/>
  <c r="C1537" i="1"/>
  <c r="D1536" i="1"/>
  <c r="M1536" i="1" s="1"/>
  <c r="L1536" i="1"/>
  <c r="L3" i="9" l="1"/>
  <c r="L4" i="9"/>
  <c r="D1537" i="1"/>
  <c r="M1537" i="1" s="1"/>
  <c r="O1537" i="1"/>
  <c r="C1538" i="1"/>
  <c r="L1537" i="1"/>
  <c r="C1539" i="1" l="1"/>
  <c r="D1538" i="1"/>
  <c r="M1538" i="1" s="1"/>
  <c r="O1538" i="1"/>
  <c r="L1538" i="1"/>
  <c r="D1539" i="1" l="1"/>
  <c r="M1539" i="1" s="1"/>
  <c r="C1540" i="1"/>
  <c r="O1539" i="1"/>
  <c r="L1539" i="1"/>
  <c r="C1541" i="1" l="1"/>
  <c r="D1540" i="1"/>
  <c r="M1540" i="1" s="1"/>
  <c r="L1540" i="1"/>
  <c r="C1542" i="1" l="1"/>
  <c r="D1541" i="1"/>
  <c r="M1541" i="1" s="1"/>
  <c r="L1541" i="1"/>
  <c r="O1541" i="1"/>
  <c r="O1542" i="1" l="1"/>
  <c r="C1543" i="1"/>
  <c r="D1542" i="1"/>
  <c r="M1542" i="1" s="1"/>
  <c r="L1542" i="1"/>
  <c r="D1543" i="1" l="1"/>
  <c r="M1543" i="1" s="1"/>
  <c r="C1544" i="1"/>
  <c r="L1543" i="1"/>
  <c r="C1545" i="1" l="1"/>
  <c r="D1544" i="1"/>
  <c r="M1544" i="1" s="1"/>
  <c r="L1544" i="1"/>
  <c r="O1544" i="1"/>
  <c r="C1546" i="1" l="1"/>
  <c r="O1545" i="1"/>
  <c r="D1545" i="1"/>
  <c r="M1545" i="1" s="1"/>
  <c r="L1545" i="1"/>
  <c r="C1547" i="1" l="1"/>
  <c r="O1546" i="1"/>
  <c r="D1546" i="1"/>
  <c r="M1546" i="1" s="1"/>
  <c r="L1546" i="1"/>
  <c r="O1547" i="1" l="1"/>
  <c r="C1548" i="1"/>
  <c r="D1547" i="1"/>
  <c r="M1547" i="1" s="1"/>
  <c r="L1547" i="1"/>
  <c r="C1549" i="1" l="1"/>
  <c r="D1548" i="1"/>
  <c r="M1548" i="1" s="1"/>
  <c r="O1548" i="1"/>
  <c r="L1548" i="1"/>
  <c r="C1550" i="1" l="1"/>
  <c r="D1549" i="1"/>
  <c r="M1549" i="1" s="1"/>
  <c r="O1549" i="1"/>
  <c r="L1549" i="1"/>
  <c r="C1551" i="1" l="1"/>
  <c r="O1550" i="1"/>
  <c r="D1550" i="1"/>
  <c r="M1550" i="1" s="1"/>
  <c r="L1550" i="1"/>
  <c r="C1552" i="1" l="1"/>
  <c r="D1551" i="1"/>
  <c r="M1551" i="1" s="1"/>
  <c r="O1551" i="1"/>
  <c r="L1551" i="1"/>
  <c r="O1552" i="1" l="1"/>
  <c r="C1553" i="1"/>
  <c r="D1552" i="1"/>
  <c r="M1552" i="1" s="1"/>
  <c r="L1552" i="1"/>
  <c r="O1553" i="1" l="1"/>
  <c r="C1554" i="1"/>
  <c r="D1553" i="1"/>
  <c r="M1553" i="1" s="1"/>
  <c r="L1553" i="1"/>
  <c r="O1554" i="1" l="1"/>
  <c r="C1555" i="1"/>
  <c r="D1554" i="1"/>
  <c r="M1554" i="1" s="1"/>
  <c r="L1554" i="1"/>
  <c r="I1555" i="1"/>
  <c r="C1556" i="1" l="1"/>
  <c r="O1555" i="1"/>
  <c r="D1555" i="1"/>
  <c r="M1555" i="1" s="1"/>
  <c r="L1555" i="1"/>
  <c r="I1556" i="1"/>
  <c r="J1555" i="1"/>
  <c r="C1557" i="1" l="1"/>
  <c r="O1556" i="1"/>
  <c r="D1556" i="1"/>
  <c r="M1556" i="1" s="1"/>
  <c r="L1556" i="1"/>
  <c r="I1558" i="1"/>
  <c r="I1560" i="1" s="1"/>
  <c r="I1562" i="1" s="1"/>
  <c r="J1556" i="1"/>
  <c r="J1558" i="1" s="1"/>
  <c r="J1560" i="1" s="1"/>
  <c r="J1562" i="1" s="1"/>
  <c r="D1557" i="1" l="1"/>
  <c r="M1557" i="1" s="1"/>
  <c r="O1557" i="1"/>
  <c r="C1558" i="1"/>
  <c r="L1557" i="1"/>
  <c r="O1558" i="1" l="1"/>
  <c r="C1559" i="1"/>
  <c r="D1558" i="1"/>
  <c r="M1558" i="1" s="1"/>
  <c r="L1558" i="1"/>
  <c r="O1559" i="1" l="1"/>
  <c r="C1560" i="1"/>
  <c r="D1559" i="1"/>
  <c r="M1559" i="1" s="1"/>
  <c r="L1559" i="1"/>
  <c r="D1560" i="1" l="1"/>
  <c r="M1560" i="1" s="1"/>
  <c r="C1561" i="1"/>
  <c r="O1560" i="1"/>
  <c r="L1560" i="1"/>
  <c r="O1561" i="1" l="1"/>
  <c r="C1562" i="1"/>
  <c r="D1561" i="1"/>
  <c r="M1561" i="1" s="1"/>
  <c r="L1561" i="1"/>
  <c r="D1562" i="1" l="1"/>
  <c r="M1562" i="1" s="1"/>
  <c r="O1562" i="1"/>
  <c r="C1563" i="1"/>
  <c r="L1562" i="1"/>
  <c r="C1564" i="1" l="1"/>
  <c r="O1563" i="1"/>
  <c r="D1563" i="1"/>
  <c r="M1563" i="1" s="1"/>
  <c r="L1563" i="1"/>
  <c r="C1565" i="1" l="1"/>
  <c r="O1564" i="1"/>
  <c r="D1564" i="1"/>
  <c r="M1564" i="1" s="1"/>
  <c r="L1564" i="1"/>
  <c r="D1565" i="1" l="1"/>
  <c r="M1565" i="1" s="1"/>
  <c r="C1566" i="1"/>
  <c r="O1565" i="1"/>
  <c r="L1565" i="1"/>
  <c r="C1567" i="1" l="1"/>
  <c r="O1566" i="1"/>
  <c r="D1566" i="1"/>
  <c r="M1566" i="1" s="1"/>
  <c r="L1566" i="1"/>
  <c r="C1568" i="1" l="1"/>
  <c r="D1567" i="1"/>
  <c r="M1567" i="1" s="1"/>
  <c r="O1567" i="1"/>
  <c r="L1567" i="1"/>
  <c r="O1568" i="1" l="1"/>
  <c r="C1569" i="1"/>
  <c r="D1568" i="1"/>
  <c r="M1568" i="1" s="1"/>
  <c r="L1568" i="1"/>
  <c r="D1569" i="1" l="1"/>
  <c r="M1569" i="1" s="1"/>
  <c r="C1570" i="1"/>
  <c r="O1569" i="1"/>
  <c r="L1569" i="1"/>
  <c r="C1571" i="1" l="1"/>
  <c r="D1570" i="1"/>
  <c r="M1570" i="1" s="1"/>
  <c r="O1570" i="1"/>
  <c r="L1570" i="1"/>
  <c r="D1571" i="1" l="1"/>
  <c r="M1571" i="1" s="1"/>
  <c r="C1572" i="1"/>
  <c r="O1571" i="1"/>
  <c r="L1571" i="1"/>
  <c r="C1573" i="1" l="1"/>
  <c r="O1572" i="1"/>
  <c r="D1572" i="1"/>
  <c r="M1572" i="1" s="1"/>
  <c r="L1572" i="1"/>
  <c r="D1573" i="1" l="1"/>
  <c r="M1573" i="1" s="1"/>
  <c r="O1573" i="1"/>
  <c r="C1574" i="1"/>
  <c r="L1573" i="1"/>
  <c r="O1574" i="1" l="1"/>
  <c r="C1575" i="1"/>
  <c r="D1574" i="1"/>
  <c r="M1574" i="1" s="1"/>
  <c r="L1574" i="1"/>
  <c r="O1575" i="1" l="1"/>
  <c r="C1576" i="1"/>
  <c r="D1575" i="1"/>
  <c r="M1575" i="1" s="1"/>
  <c r="L1575" i="1"/>
  <c r="C1577" i="1" l="1"/>
  <c r="O1576" i="1"/>
  <c r="D1576" i="1"/>
  <c r="M1576" i="1" s="1"/>
  <c r="L1576" i="1"/>
  <c r="C1578" i="1" l="1"/>
  <c r="O1577" i="1"/>
  <c r="D1577" i="1"/>
  <c r="M1577" i="1" s="1"/>
  <c r="L1577" i="1"/>
  <c r="C1579" i="1" l="1"/>
  <c r="O1578" i="1"/>
  <c r="D1578" i="1"/>
  <c r="M1578" i="1" s="1"/>
  <c r="L1578" i="1"/>
  <c r="D1579" i="1" l="1"/>
  <c r="M1579" i="1" s="1"/>
  <c r="O1579" i="1"/>
  <c r="C1580" i="1"/>
  <c r="L1579" i="1"/>
  <c r="C1581" i="1" l="1"/>
  <c r="O1580" i="1"/>
  <c r="D1580" i="1"/>
  <c r="M1580" i="1" s="1"/>
  <c r="L1580" i="1"/>
  <c r="C1582" i="1" l="1"/>
  <c r="D1581" i="1"/>
  <c r="M1581" i="1" s="1"/>
  <c r="L1581" i="1"/>
  <c r="C1583" i="1" l="1"/>
  <c r="D1582" i="1"/>
  <c r="M1582" i="1" s="1"/>
  <c r="L1582" i="1"/>
  <c r="O1583" i="1" l="1"/>
  <c r="C1584" i="1"/>
  <c r="D1583" i="1"/>
  <c r="M1583" i="1" s="1"/>
  <c r="L1583" i="1"/>
  <c r="C1585" i="1" l="1"/>
  <c r="D1584" i="1"/>
  <c r="M1584" i="1" s="1"/>
  <c r="O1584" i="1"/>
  <c r="L1584" i="1"/>
  <c r="C1586" i="1" l="1"/>
  <c r="D1585" i="1"/>
  <c r="M1585" i="1" s="1"/>
  <c r="I1586" i="1"/>
  <c r="O1585" i="1"/>
  <c r="L1585" i="1"/>
  <c r="C1587" i="1" l="1"/>
  <c r="D1586" i="1"/>
  <c r="M1586" i="1" s="1"/>
  <c r="O1586" i="1"/>
  <c r="L1586" i="1"/>
  <c r="I1587" i="1"/>
  <c r="J1586" i="1"/>
  <c r="O1587" i="1" l="1"/>
  <c r="D1587" i="1"/>
  <c r="M1587" i="1" s="1"/>
  <c r="C1588" i="1"/>
  <c r="L1587" i="1"/>
  <c r="I1589" i="1"/>
  <c r="I1591" i="1" s="1"/>
  <c r="I1593" i="1" s="1"/>
  <c r="J1587" i="1"/>
  <c r="J1589" i="1" s="1"/>
  <c r="J1591" i="1" s="1"/>
  <c r="J1593" i="1" s="1"/>
  <c r="C1589" i="1" l="1"/>
  <c r="O1588" i="1"/>
  <c r="D1588" i="1"/>
  <c r="M1588" i="1" s="1"/>
  <c r="L1588" i="1"/>
  <c r="C1590" i="1" l="1"/>
  <c r="D1589" i="1"/>
  <c r="M1589" i="1" s="1"/>
  <c r="O1589" i="1"/>
  <c r="L1589" i="1"/>
  <c r="D1590" i="1" l="1"/>
  <c r="M1590" i="1" s="1"/>
  <c r="O1590" i="1"/>
  <c r="C1591" i="1"/>
  <c r="L1590" i="1"/>
  <c r="O1591" i="1" l="1"/>
  <c r="C1592" i="1"/>
  <c r="D1591" i="1"/>
  <c r="M1591" i="1" s="1"/>
  <c r="L1591" i="1"/>
  <c r="O1592" i="1" l="1"/>
  <c r="C1593" i="1"/>
  <c r="D1592" i="1"/>
  <c r="M1592" i="1" s="1"/>
  <c r="L1592" i="1"/>
  <c r="D1593" i="1" l="1"/>
  <c r="M1593" i="1" s="1"/>
  <c r="O1593" i="1"/>
  <c r="C1594" i="1"/>
  <c r="L1593" i="1"/>
  <c r="O1594" i="1" l="1"/>
  <c r="C1595" i="1"/>
  <c r="D1594" i="1"/>
  <c r="M1594" i="1" s="1"/>
  <c r="L1594" i="1"/>
  <c r="C1596" i="1" l="1"/>
  <c r="D1595" i="1"/>
  <c r="M1595" i="1" s="1"/>
  <c r="O1595" i="1"/>
  <c r="L1595" i="1"/>
  <c r="D1596" i="1" l="1"/>
  <c r="M1596" i="1" s="1"/>
  <c r="O1596" i="1"/>
  <c r="C1597" i="1"/>
  <c r="L1596" i="1"/>
  <c r="C1598" i="1" l="1"/>
  <c r="D1597" i="1"/>
  <c r="M1597" i="1" s="1"/>
  <c r="O1597" i="1"/>
  <c r="L1597" i="1"/>
  <c r="D1598" i="1" l="1"/>
  <c r="M1598" i="1" s="1"/>
  <c r="O1598" i="1"/>
  <c r="C1599" i="1"/>
  <c r="L1598" i="1"/>
  <c r="O1599" i="1" l="1"/>
  <c r="D1599" i="1"/>
  <c r="M1599" i="1" s="1"/>
  <c r="C1600" i="1"/>
  <c r="L1599" i="1"/>
  <c r="C1601" i="1" l="1"/>
  <c r="O1600" i="1"/>
  <c r="D1600" i="1"/>
  <c r="M1600" i="1" s="1"/>
  <c r="L1600" i="1"/>
  <c r="O1601" i="1" l="1"/>
  <c r="C1602" i="1"/>
  <c r="D1601" i="1"/>
  <c r="M1601" i="1" s="1"/>
  <c r="L1601" i="1"/>
  <c r="D1602" i="1" l="1"/>
  <c r="M1602" i="1" s="1"/>
  <c r="C1603" i="1"/>
  <c r="O1602" i="1"/>
  <c r="L1602" i="1"/>
  <c r="D1603" i="1" l="1"/>
  <c r="M1603" i="1" s="1"/>
  <c r="O1603" i="1"/>
  <c r="C1604" i="1"/>
  <c r="L1603" i="1"/>
  <c r="D1604" i="1" l="1"/>
  <c r="M1604" i="1" s="1"/>
  <c r="O1604" i="1"/>
  <c r="C1605" i="1"/>
  <c r="L1604" i="1"/>
  <c r="D1605" i="1" l="1"/>
  <c r="M1605" i="1" s="1"/>
  <c r="O1605" i="1"/>
  <c r="C1606" i="1"/>
  <c r="L1605" i="1"/>
  <c r="C1607" i="1" l="1"/>
  <c r="D1606" i="1"/>
  <c r="M1606" i="1" s="1"/>
  <c r="O1606" i="1"/>
  <c r="L1606" i="1"/>
  <c r="D1607" i="1" l="1"/>
  <c r="M1607" i="1" s="1"/>
  <c r="C1608" i="1"/>
  <c r="O1607" i="1"/>
  <c r="L1607" i="1"/>
  <c r="O1608" i="1" l="1"/>
  <c r="D1608" i="1"/>
  <c r="M1608" i="1" s="1"/>
  <c r="C1609" i="1"/>
  <c r="L1608" i="1"/>
  <c r="D1609" i="1" l="1"/>
  <c r="M1609" i="1" s="1"/>
  <c r="C1610" i="1"/>
  <c r="O1609" i="1"/>
  <c r="L1609" i="1"/>
  <c r="O1610" i="1" l="1"/>
  <c r="C1611" i="1"/>
  <c r="D1610" i="1"/>
  <c r="M1610" i="1" s="1"/>
  <c r="L1610" i="1"/>
  <c r="C1612" i="1" l="1"/>
  <c r="O1611" i="1"/>
  <c r="D1611" i="1"/>
  <c r="M1611" i="1" s="1"/>
  <c r="L1611" i="1"/>
  <c r="D1612" i="1" l="1"/>
  <c r="M1612" i="1" s="1"/>
  <c r="O1612" i="1"/>
  <c r="C1613" i="1"/>
  <c r="L1612" i="1"/>
  <c r="C1614" i="1" l="1"/>
  <c r="O1613" i="1"/>
  <c r="D1613" i="1"/>
  <c r="M1613" i="1" s="1"/>
  <c r="L1613" i="1"/>
  <c r="D1614" i="1" l="1"/>
  <c r="M1614" i="1" s="1"/>
  <c r="O1614" i="1"/>
  <c r="C1615" i="1"/>
  <c r="L1614" i="1"/>
  <c r="L1615" i="1" l="1"/>
  <c r="O1615" i="1"/>
  <c r="C1616" i="1"/>
  <c r="D1615" i="1"/>
  <c r="M1615" i="1" s="1"/>
  <c r="I1616" i="1"/>
  <c r="D1616" i="1" l="1"/>
  <c r="M1616" i="1" s="1"/>
  <c r="O1616" i="1"/>
  <c r="C1617" i="1"/>
  <c r="L1616" i="1"/>
  <c r="I1617" i="1"/>
  <c r="J1616" i="1"/>
  <c r="D1617" i="1" l="1"/>
  <c r="M1617" i="1" s="1"/>
  <c r="C1618" i="1"/>
  <c r="O1617" i="1"/>
  <c r="L1617" i="1"/>
  <c r="J1617" i="1"/>
  <c r="J1619" i="1" s="1"/>
  <c r="J1621" i="1" s="1"/>
  <c r="J1623" i="1" s="1"/>
  <c r="I1619" i="1"/>
  <c r="I1621" i="1" s="1"/>
  <c r="I1623" i="1" s="1"/>
  <c r="C1619" i="1" l="1"/>
  <c r="D1618" i="1"/>
  <c r="M1618" i="1" s="1"/>
  <c r="O1618" i="1"/>
  <c r="L1618" i="1"/>
  <c r="O1619" i="1" l="1"/>
  <c r="C1620" i="1"/>
  <c r="D1619" i="1"/>
  <c r="M1619" i="1" s="1"/>
  <c r="L1619" i="1"/>
  <c r="O1620" i="1" l="1"/>
  <c r="C1621" i="1"/>
  <c r="D1620" i="1"/>
  <c r="M1620" i="1" s="1"/>
  <c r="L1620" i="1"/>
  <c r="D1621" i="1" l="1"/>
  <c r="M1621" i="1" s="1"/>
  <c r="C1622" i="1"/>
  <c r="O1621" i="1"/>
  <c r="L1621" i="1"/>
  <c r="D1622" i="1" l="1"/>
  <c r="M1622" i="1" s="1"/>
  <c r="O1622" i="1"/>
  <c r="C1623" i="1"/>
  <c r="L1622" i="1"/>
  <c r="C1624" i="1" l="1"/>
  <c r="D1623" i="1"/>
  <c r="M1623" i="1" s="1"/>
  <c r="O1623" i="1"/>
  <c r="L1623" i="1"/>
  <c r="O1624" i="1" l="1"/>
  <c r="D1624" i="1"/>
  <c r="M1624" i="1" s="1"/>
  <c r="C1625" i="1"/>
  <c r="L1624" i="1"/>
  <c r="O1625" i="1" l="1"/>
  <c r="C1626" i="1"/>
  <c r="D1625" i="1"/>
  <c r="M1625" i="1" s="1"/>
  <c r="L1625" i="1"/>
  <c r="C1627" i="1" l="1"/>
  <c r="O1626" i="1"/>
  <c r="D1626" i="1"/>
  <c r="M1626" i="1" s="1"/>
  <c r="L1626" i="1"/>
  <c r="C1628" i="1" l="1"/>
  <c r="O1627" i="1"/>
  <c r="D1627" i="1"/>
  <c r="M1627" i="1" s="1"/>
  <c r="L1627" i="1"/>
  <c r="O1628" i="1" l="1"/>
  <c r="C1629" i="1"/>
  <c r="D1628" i="1"/>
  <c r="M1628" i="1" s="1"/>
  <c r="L1628" i="1"/>
  <c r="O1629" i="1" l="1"/>
  <c r="C1630" i="1"/>
  <c r="D1629" i="1"/>
  <c r="M1629" i="1" s="1"/>
  <c r="L1629" i="1"/>
  <c r="C1631" i="1" l="1"/>
  <c r="D1630" i="1"/>
  <c r="M1630" i="1" s="1"/>
  <c r="O1630" i="1"/>
  <c r="L1630" i="1"/>
  <c r="D1631" i="1" l="1"/>
  <c r="M1631" i="1" s="1"/>
  <c r="O1631" i="1"/>
  <c r="C1632" i="1"/>
  <c r="L1631" i="1"/>
  <c r="O1632" i="1" l="1"/>
  <c r="C1633" i="1"/>
  <c r="D1632" i="1"/>
  <c r="M1632" i="1" s="1"/>
  <c r="L1632" i="1"/>
  <c r="D1633" i="1" l="1"/>
  <c r="M1633" i="1" s="1"/>
  <c r="O1633" i="1"/>
  <c r="C1634" i="1"/>
  <c r="L1633" i="1"/>
  <c r="O1634" i="1" l="1"/>
  <c r="C1635" i="1"/>
  <c r="D1634" i="1"/>
  <c r="M1634" i="1" s="1"/>
  <c r="L1634" i="1"/>
  <c r="C1636" i="1" l="1"/>
  <c r="O1635" i="1"/>
  <c r="D1635" i="1"/>
  <c r="M1635" i="1" s="1"/>
  <c r="L1635" i="1"/>
  <c r="C1637" i="1" l="1"/>
  <c r="O1636" i="1"/>
  <c r="D1636" i="1"/>
  <c r="M1636" i="1" s="1"/>
  <c r="L1636" i="1"/>
  <c r="O1637" i="1" l="1"/>
  <c r="C1638" i="1"/>
  <c r="D1637" i="1"/>
  <c r="M1637" i="1" s="1"/>
  <c r="L1637" i="1"/>
  <c r="D1638" i="1" l="1"/>
  <c r="M1638" i="1" s="1"/>
  <c r="C1639" i="1"/>
  <c r="L1638" i="1"/>
  <c r="L1639" i="1" l="1"/>
  <c r="O1639" i="1"/>
  <c r="D1639" i="1"/>
  <c r="M1639" i="1" s="1"/>
  <c r="C1640" i="1"/>
  <c r="D1640" i="1" l="1"/>
  <c r="M1640" i="1" s="1"/>
  <c r="C1641" i="1"/>
  <c r="O1640" i="1"/>
  <c r="L1640" i="1"/>
  <c r="D1641" i="1" l="1"/>
  <c r="M1641" i="1" s="1"/>
  <c r="C1642" i="1"/>
  <c r="L1641" i="1"/>
  <c r="C1643" i="1" l="1"/>
  <c r="D1642" i="1"/>
  <c r="M1642" i="1" s="1"/>
  <c r="L1642" i="1"/>
  <c r="O1642" i="1"/>
  <c r="O1643" i="1" l="1"/>
  <c r="D1643" i="1"/>
  <c r="M1643" i="1" s="1"/>
  <c r="C1644" i="1"/>
  <c r="L1643" i="1"/>
  <c r="D1644" i="1" l="1"/>
  <c r="M1644" i="1" s="1"/>
  <c r="C1645" i="1"/>
  <c r="O1644" i="1"/>
  <c r="L1644" i="1"/>
  <c r="C1646" i="1" l="1"/>
  <c r="O1645" i="1"/>
  <c r="D1645" i="1"/>
  <c r="M1645" i="1" s="1"/>
  <c r="L1645" i="1"/>
  <c r="D1646" i="1" l="1"/>
  <c r="M1646" i="1" s="1"/>
  <c r="L1646" i="1"/>
  <c r="I1647" i="1"/>
  <c r="C1647" i="1"/>
  <c r="O1646" i="1"/>
  <c r="J1647" i="1" l="1"/>
  <c r="I1648" i="1"/>
  <c r="D1647" i="1"/>
  <c r="M1647" i="1" s="1"/>
  <c r="C1648" i="1"/>
  <c r="O1647" i="1"/>
  <c r="L1647" i="1"/>
  <c r="J1648" i="1" l="1"/>
  <c r="J1650" i="1" s="1"/>
  <c r="J1652" i="1" s="1"/>
  <c r="J1654" i="1" s="1"/>
  <c r="I1650" i="1"/>
  <c r="I1652" i="1" s="1"/>
  <c r="I1654" i="1" s="1"/>
  <c r="O1648" i="1"/>
  <c r="D1648" i="1"/>
  <c r="M1648" i="1" s="1"/>
  <c r="C1649" i="1"/>
  <c r="L1648" i="1"/>
  <c r="D1649" i="1" l="1"/>
  <c r="M1649" i="1" s="1"/>
  <c r="O1649" i="1"/>
  <c r="C1650" i="1"/>
  <c r="L1649" i="1"/>
  <c r="D1650" i="1" l="1"/>
  <c r="M1650" i="1" s="1"/>
  <c r="C1651" i="1"/>
  <c r="O1650" i="1"/>
  <c r="L1650" i="1"/>
  <c r="D1651" i="1" l="1"/>
  <c r="M1651" i="1" s="1"/>
  <c r="C1652" i="1"/>
  <c r="O1651" i="1"/>
  <c r="L1651" i="1"/>
  <c r="D1652" i="1" l="1"/>
  <c r="M1652" i="1" s="1"/>
  <c r="C1653" i="1"/>
  <c r="O1652" i="1"/>
  <c r="L1652" i="1"/>
  <c r="O1653" i="1" l="1"/>
  <c r="C1654" i="1"/>
  <c r="D1653" i="1"/>
  <c r="M1653" i="1" s="1"/>
  <c r="L1653" i="1"/>
  <c r="O1654" i="1" l="1"/>
  <c r="D1654" i="1"/>
  <c r="M1654" i="1" s="1"/>
  <c r="C1655" i="1"/>
  <c r="L1654" i="1"/>
  <c r="D1655" i="1" l="1"/>
  <c r="M1655" i="1" s="1"/>
  <c r="O1655" i="1"/>
  <c r="C1656" i="1"/>
  <c r="L1655" i="1"/>
  <c r="O1656" i="1" l="1"/>
  <c r="C1657" i="1"/>
  <c r="D1656" i="1"/>
  <c r="M1656" i="1" s="1"/>
  <c r="L1656" i="1"/>
  <c r="C1658" i="1" l="1"/>
  <c r="D1657" i="1"/>
  <c r="M1657" i="1" s="1"/>
  <c r="O1657" i="1"/>
  <c r="L1657" i="1"/>
  <c r="O1658" i="1" l="1"/>
  <c r="C1659" i="1"/>
  <c r="D1658" i="1"/>
  <c r="M1658" i="1" s="1"/>
  <c r="L1658" i="1"/>
  <c r="D1659" i="1" l="1"/>
  <c r="M1659" i="1" s="1"/>
  <c r="O1659" i="1"/>
  <c r="C1660" i="1"/>
  <c r="L1659" i="1"/>
  <c r="C1661" i="1" l="1"/>
  <c r="L1660" i="1"/>
  <c r="O1660" i="1"/>
  <c r="D1660" i="1"/>
  <c r="M1660" i="1" s="1"/>
  <c r="C1662" i="1" l="1"/>
  <c r="D1661" i="1"/>
  <c r="M1661" i="1" s="1"/>
  <c r="O1661" i="1"/>
  <c r="L1661" i="1"/>
  <c r="D1662" i="1" l="1"/>
  <c r="M1662" i="1" s="1"/>
  <c r="O1662" i="1"/>
  <c r="C1663" i="1"/>
  <c r="L1662" i="1"/>
  <c r="D1663" i="1" l="1"/>
  <c r="M1663" i="1" s="1"/>
  <c r="C1664" i="1"/>
  <c r="L1663" i="1"/>
  <c r="D1664" i="1" l="1"/>
  <c r="M1664" i="1" s="1"/>
  <c r="C1665" i="1"/>
  <c r="L1664" i="1"/>
  <c r="C1666" i="1" l="1"/>
  <c r="D1665" i="1"/>
  <c r="M1665" i="1" s="1"/>
  <c r="O1665" i="1"/>
  <c r="L1665" i="1"/>
  <c r="D1666" i="1" l="1"/>
  <c r="M1666" i="1" s="1"/>
  <c r="O1666" i="1"/>
  <c r="C1667" i="1"/>
  <c r="L1666" i="1"/>
  <c r="D1667" i="1" l="1"/>
  <c r="M1667" i="1" s="1"/>
  <c r="O1667" i="1"/>
  <c r="C1668" i="1"/>
  <c r="L1667" i="1"/>
  <c r="D1668" i="1" l="1"/>
  <c r="M1668" i="1" s="1"/>
  <c r="O1668" i="1"/>
  <c r="C1669" i="1"/>
  <c r="L1668" i="1"/>
  <c r="D1669" i="1" l="1"/>
  <c r="M1669" i="1" s="1"/>
  <c r="O1669" i="1"/>
  <c r="C1670" i="1"/>
  <c r="L1669" i="1"/>
  <c r="C1671" i="1" l="1"/>
  <c r="D1670" i="1"/>
  <c r="M1670" i="1" s="1"/>
  <c r="O1670" i="1"/>
  <c r="L1670" i="1"/>
  <c r="D1671" i="1" l="1"/>
  <c r="M1671" i="1" s="1"/>
  <c r="C1672" i="1"/>
  <c r="O1671" i="1"/>
  <c r="L1671" i="1"/>
  <c r="O1672" i="1" l="1"/>
  <c r="D1672" i="1"/>
  <c r="M1672" i="1" s="1"/>
  <c r="C1673" i="1"/>
  <c r="L1672" i="1"/>
  <c r="C1674" i="1" l="1"/>
  <c r="D1673" i="1"/>
  <c r="M1673" i="1" s="1"/>
  <c r="O1673" i="1"/>
  <c r="L1673" i="1"/>
  <c r="C1675" i="1" l="1"/>
  <c r="O1674" i="1"/>
  <c r="D1674" i="1"/>
  <c r="M1674" i="1" s="1"/>
  <c r="L1674" i="1"/>
  <c r="O1675" i="1" l="1"/>
  <c r="D1675" i="1"/>
  <c r="M1675" i="1" s="1"/>
  <c r="L1675" i="1"/>
  <c r="C1676" i="1"/>
  <c r="O1676" i="1" l="1"/>
  <c r="I1677" i="1"/>
  <c r="D1676" i="1"/>
  <c r="M1676" i="1" s="1"/>
  <c r="C1677" i="1"/>
  <c r="L1676" i="1"/>
  <c r="I1678" i="1" l="1"/>
  <c r="J1677" i="1"/>
  <c r="C1678" i="1"/>
  <c r="D1677" i="1"/>
  <c r="M1677" i="1" s="1"/>
  <c r="L1677" i="1"/>
  <c r="O1677" i="1"/>
  <c r="I1680" i="1" l="1"/>
  <c r="I1682" i="1" s="1"/>
  <c r="I1684" i="1" s="1"/>
  <c r="J1678" i="1"/>
  <c r="J1680" i="1" s="1"/>
  <c r="J1682" i="1" s="1"/>
  <c r="J1684" i="1" s="1"/>
  <c r="D1678" i="1"/>
  <c r="M1678" i="1" s="1"/>
  <c r="C1679" i="1"/>
  <c r="L1678" i="1"/>
  <c r="D1679" i="1" l="1"/>
  <c r="M1679" i="1" s="1"/>
  <c r="C1680" i="1"/>
  <c r="L1679" i="1"/>
  <c r="C1681" i="1" l="1"/>
  <c r="O1680" i="1"/>
  <c r="D1680" i="1"/>
  <c r="M1680" i="1" s="1"/>
  <c r="L1680" i="1"/>
  <c r="C1682" i="1" l="1"/>
  <c r="D1681" i="1"/>
  <c r="M1681" i="1" s="1"/>
  <c r="O1681" i="1"/>
  <c r="L1681" i="1"/>
  <c r="C1683" i="1" l="1"/>
  <c r="D1682" i="1"/>
  <c r="M1682" i="1" s="1"/>
  <c r="O1682" i="1"/>
  <c r="L1682" i="1"/>
  <c r="D1683" i="1" l="1"/>
  <c r="M1683" i="1" s="1"/>
  <c r="O1683" i="1"/>
  <c r="C1684" i="1"/>
  <c r="L1683" i="1"/>
  <c r="D1684" i="1" l="1"/>
  <c r="M1684" i="1" s="1"/>
  <c r="O1684" i="1"/>
  <c r="C1685" i="1"/>
  <c r="L1684" i="1"/>
  <c r="O1685" i="1" l="1"/>
  <c r="C1686" i="1"/>
  <c r="D1685" i="1"/>
  <c r="M1685" i="1" s="1"/>
  <c r="L1685" i="1"/>
  <c r="D1686" i="1" l="1"/>
  <c r="M1686" i="1" s="1"/>
  <c r="O1686" i="1"/>
  <c r="C1687" i="1"/>
  <c r="L1686" i="1"/>
  <c r="D1687" i="1" l="1"/>
  <c r="M1687" i="1" s="1"/>
  <c r="O1687" i="1"/>
  <c r="C1688" i="1"/>
  <c r="L1687" i="1"/>
  <c r="O1688" i="1" l="1"/>
  <c r="C1689" i="1"/>
  <c r="D1688" i="1"/>
  <c r="M1688" i="1" s="1"/>
  <c r="L1688" i="1"/>
  <c r="D1689" i="1" l="1"/>
  <c r="M1689" i="1" s="1"/>
  <c r="O1689" i="1"/>
  <c r="C1690" i="1"/>
  <c r="L1689" i="1"/>
  <c r="C1691" i="1" l="1"/>
  <c r="O1690" i="1"/>
  <c r="D1690" i="1"/>
  <c r="M1690" i="1" s="1"/>
  <c r="L1690" i="1"/>
  <c r="C1692" i="1" l="1"/>
  <c r="O1691" i="1"/>
  <c r="D1691" i="1"/>
  <c r="M1691" i="1" s="1"/>
  <c r="L1691" i="1"/>
  <c r="C1693" i="1" l="1"/>
  <c r="D1692" i="1"/>
  <c r="M1692" i="1" s="1"/>
  <c r="O1692" i="1"/>
  <c r="L1692" i="1"/>
  <c r="O1693" i="1" l="1"/>
  <c r="C1694" i="1"/>
  <c r="D1693" i="1"/>
  <c r="M1693" i="1" s="1"/>
  <c r="L1693" i="1"/>
  <c r="D1694" i="1" l="1"/>
  <c r="M1694" i="1" s="1"/>
  <c r="O1694" i="1"/>
  <c r="C1695" i="1"/>
  <c r="L1694" i="1"/>
  <c r="D1695" i="1" l="1"/>
  <c r="M1695" i="1" s="1"/>
  <c r="O1695" i="1"/>
  <c r="C1696" i="1"/>
  <c r="L1695" i="1"/>
  <c r="C1697" i="1" l="1"/>
  <c r="O1696" i="1"/>
  <c r="D1696" i="1"/>
  <c r="M1696" i="1" s="1"/>
  <c r="L1696" i="1"/>
  <c r="D1697" i="1" l="1"/>
  <c r="M1697" i="1" s="1"/>
  <c r="O1697" i="1"/>
  <c r="C1698" i="1"/>
  <c r="L1697" i="1"/>
  <c r="C1699" i="1" l="1"/>
  <c r="O1698" i="1"/>
  <c r="D1698" i="1"/>
  <c r="M1698" i="1" s="1"/>
  <c r="L1698" i="1"/>
  <c r="D1699" i="1" l="1"/>
  <c r="M1699" i="1" s="1"/>
  <c r="O1699" i="1"/>
  <c r="C1700" i="1"/>
  <c r="L1699" i="1"/>
  <c r="O1700" i="1" l="1"/>
  <c r="D1700" i="1"/>
  <c r="M1700" i="1" s="1"/>
  <c r="C1701" i="1"/>
  <c r="L1700" i="1"/>
  <c r="D1701" i="1" l="1"/>
  <c r="M1701" i="1" s="1"/>
  <c r="O1701" i="1"/>
  <c r="C1702" i="1"/>
  <c r="L1701" i="1"/>
  <c r="D1702" i="1" l="1"/>
  <c r="M1702" i="1" s="1"/>
  <c r="O1702" i="1"/>
  <c r="C1703" i="1"/>
  <c r="L1702" i="1"/>
  <c r="O1703" i="1" l="1"/>
  <c r="D1703" i="1"/>
  <c r="M1703" i="1" s="1"/>
  <c r="C1704" i="1"/>
  <c r="L1703" i="1"/>
  <c r="D1704" i="1" l="1"/>
  <c r="M1704" i="1" s="1"/>
  <c r="C1705" i="1"/>
  <c r="O1704" i="1"/>
  <c r="L1704" i="1"/>
  <c r="D1705" i="1" l="1"/>
  <c r="M1705" i="1" s="1"/>
  <c r="O1705" i="1"/>
  <c r="C1706" i="1"/>
  <c r="L1705" i="1"/>
  <c r="D1706" i="1" l="1"/>
  <c r="M1706" i="1" s="1"/>
  <c r="O1706" i="1"/>
  <c r="C1707" i="1"/>
  <c r="L1706" i="1"/>
  <c r="O1707" i="1" l="1"/>
  <c r="C1708" i="1"/>
  <c r="D1707" i="1"/>
  <c r="M1707" i="1" s="1"/>
  <c r="L1707" i="1"/>
  <c r="I1708" i="1"/>
  <c r="D1708" i="1" l="1"/>
  <c r="M1708" i="1" s="1"/>
  <c r="O1708" i="1"/>
  <c r="C1709" i="1"/>
  <c r="L1708" i="1"/>
  <c r="I1709" i="1"/>
  <c r="J1708" i="1"/>
  <c r="O1709" i="1" l="1"/>
  <c r="C1710" i="1"/>
  <c r="D1709" i="1"/>
  <c r="M1709" i="1" s="1"/>
  <c r="L1709" i="1"/>
  <c r="J1709" i="1"/>
  <c r="J1711" i="1" s="1"/>
  <c r="J1713" i="1" s="1"/>
  <c r="J1715" i="1" s="1"/>
  <c r="I1711" i="1"/>
  <c r="I1713" i="1" s="1"/>
  <c r="I1715" i="1" s="1"/>
  <c r="C1711" i="1" l="1"/>
  <c r="O1710" i="1"/>
  <c r="D1710" i="1"/>
  <c r="M1710" i="1" s="1"/>
  <c r="L1710" i="1"/>
  <c r="O1711" i="1" l="1"/>
  <c r="C1712" i="1"/>
  <c r="D1711" i="1"/>
  <c r="M1711" i="1" s="1"/>
  <c r="L1711" i="1"/>
  <c r="O1712" i="1" l="1"/>
  <c r="C1713" i="1"/>
  <c r="D1712" i="1"/>
  <c r="M1712" i="1" s="1"/>
  <c r="L1712" i="1"/>
  <c r="O1713" i="1" l="1"/>
  <c r="D1713" i="1"/>
  <c r="M1713" i="1" s="1"/>
  <c r="C1714" i="1"/>
  <c r="L1713" i="1"/>
  <c r="D1714" i="1" l="1"/>
  <c r="M1714" i="1" s="1"/>
  <c r="O1714" i="1"/>
  <c r="C1715" i="1"/>
  <c r="L1714" i="1"/>
  <c r="O1715" i="1" l="1"/>
  <c r="D1715" i="1"/>
  <c r="M1715" i="1" s="1"/>
  <c r="C1716" i="1"/>
  <c r="L1715" i="1"/>
  <c r="D1716" i="1" l="1"/>
  <c r="M1716" i="1" s="1"/>
  <c r="C1717" i="1"/>
  <c r="O1716" i="1"/>
  <c r="L1716" i="1"/>
  <c r="C1718" i="1" l="1"/>
  <c r="O1717" i="1"/>
  <c r="D1717" i="1"/>
  <c r="M1717" i="1" s="1"/>
  <c r="L1717" i="1"/>
  <c r="C1719" i="1" l="1"/>
  <c r="O1718" i="1"/>
  <c r="D1718" i="1"/>
  <c r="M1718" i="1" s="1"/>
  <c r="L1718" i="1"/>
  <c r="D1719" i="1" l="1"/>
  <c r="M1719" i="1" s="1"/>
  <c r="C1720" i="1"/>
  <c r="O1719" i="1"/>
  <c r="L1719" i="1"/>
  <c r="D1720" i="1" l="1"/>
  <c r="M1720" i="1" s="1"/>
  <c r="C1721" i="1"/>
  <c r="O1720" i="1"/>
  <c r="L1720" i="1"/>
  <c r="O1721" i="1" l="1"/>
  <c r="D1721" i="1"/>
  <c r="M1721" i="1" s="1"/>
  <c r="C1722" i="1"/>
  <c r="L1721" i="1"/>
  <c r="D1722" i="1" l="1"/>
  <c r="M1722" i="1" s="1"/>
  <c r="C1723" i="1"/>
  <c r="O1722" i="1"/>
  <c r="L1722" i="1"/>
  <c r="D1723" i="1" l="1"/>
  <c r="M1723" i="1" s="1"/>
  <c r="O1723" i="1"/>
  <c r="C1724" i="1"/>
  <c r="L1723" i="1"/>
  <c r="D1724" i="1" l="1"/>
  <c r="M1724" i="1" s="1"/>
  <c r="O1724" i="1"/>
  <c r="C1725" i="1"/>
  <c r="L1724" i="1"/>
  <c r="D1725" i="1" l="1"/>
  <c r="M1725" i="1" s="1"/>
  <c r="C1726" i="1"/>
  <c r="O1725" i="1"/>
  <c r="L1725" i="1"/>
  <c r="C1727" i="1" l="1"/>
  <c r="D1726" i="1"/>
  <c r="M1726" i="1" s="1"/>
  <c r="O1726" i="1"/>
  <c r="L1726" i="1"/>
  <c r="D1727" i="1" l="1"/>
  <c r="M1727" i="1" s="1"/>
  <c r="C1728" i="1"/>
  <c r="O1727" i="1"/>
  <c r="L1727" i="1"/>
  <c r="C1729" i="1" l="1"/>
  <c r="D1728" i="1"/>
  <c r="M1728" i="1" s="1"/>
  <c r="O1728" i="1"/>
  <c r="L1728" i="1"/>
  <c r="D1729" i="1" l="1"/>
  <c r="M1729" i="1" s="1"/>
  <c r="O1729" i="1"/>
  <c r="C1730" i="1"/>
  <c r="L1729" i="1"/>
  <c r="D1730" i="1" l="1"/>
  <c r="M1730" i="1" s="1"/>
  <c r="C1731" i="1"/>
  <c r="O1730" i="1"/>
  <c r="L1730" i="1"/>
  <c r="C1732" i="1" l="1"/>
  <c r="O1731" i="1"/>
  <c r="D1731" i="1"/>
  <c r="M1731" i="1" s="1"/>
  <c r="L1731" i="1"/>
  <c r="O1732" i="1" l="1"/>
  <c r="D1732" i="1"/>
  <c r="M1732" i="1" s="1"/>
  <c r="C1733" i="1"/>
  <c r="L1732" i="1"/>
  <c r="O1733" i="1" l="1"/>
  <c r="D1733" i="1"/>
  <c r="M1733" i="1" s="1"/>
  <c r="C1734" i="1"/>
  <c r="L1733" i="1"/>
  <c r="C1735" i="1" l="1"/>
  <c r="O1734" i="1"/>
  <c r="D1734" i="1"/>
  <c r="M1734" i="1" s="1"/>
  <c r="L1734" i="1"/>
  <c r="D1735" i="1" l="1"/>
  <c r="M1735" i="1" s="1"/>
  <c r="O1735" i="1"/>
  <c r="C1736" i="1"/>
  <c r="L1735" i="1"/>
  <c r="D1736" i="1" l="1"/>
  <c r="M1736" i="1" s="1"/>
  <c r="C1737" i="1"/>
  <c r="L1736" i="1"/>
  <c r="L1737" i="1" l="1"/>
  <c r="D1737" i="1"/>
  <c r="M1737" i="1" s="1"/>
  <c r="C1738" i="1"/>
  <c r="O1737" i="1"/>
  <c r="C1739" i="1" l="1"/>
  <c r="I1739" i="1"/>
  <c r="O1738" i="1"/>
  <c r="D1738" i="1"/>
  <c r="M1738" i="1" s="1"/>
  <c r="L1738" i="1"/>
  <c r="C1740" i="1" l="1"/>
  <c r="D1739" i="1"/>
  <c r="M1739" i="1" s="1"/>
  <c r="L1739" i="1"/>
  <c r="I1740" i="1"/>
  <c r="J1739" i="1"/>
  <c r="D1740" i="1" l="1"/>
  <c r="M1740" i="1" s="1"/>
  <c r="C1741" i="1"/>
  <c r="L1740" i="1"/>
  <c r="O1740" i="1"/>
  <c r="I1742" i="1"/>
  <c r="I1744" i="1" s="1"/>
  <c r="I1746" i="1" s="1"/>
  <c r="J1740" i="1"/>
  <c r="J1742" i="1" s="1"/>
  <c r="J1744" i="1" s="1"/>
  <c r="J1746" i="1" s="1"/>
  <c r="D1741" i="1" l="1"/>
  <c r="M1741" i="1" s="1"/>
  <c r="O1741" i="1"/>
  <c r="C1742" i="1"/>
  <c r="L1741" i="1"/>
  <c r="O1742" i="1" l="1"/>
  <c r="D1742" i="1"/>
  <c r="M1742" i="1" s="1"/>
  <c r="C1743" i="1"/>
  <c r="L1742" i="1"/>
  <c r="O1743" i="1" l="1"/>
  <c r="D1743" i="1"/>
  <c r="M1743" i="1" s="1"/>
  <c r="C1744" i="1"/>
  <c r="L1743" i="1"/>
  <c r="C1745" i="1" l="1"/>
  <c r="D1744" i="1"/>
  <c r="M1744" i="1" s="1"/>
  <c r="O1744" i="1"/>
  <c r="L1744" i="1"/>
  <c r="D1745" i="1" l="1"/>
  <c r="M1745" i="1" s="1"/>
  <c r="O1745" i="1"/>
  <c r="C1746" i="1"/>
  <c r="L1745" i="1"/>
  <c r="D1746" i="1" l="1"/>
  <c r="M1746" i="1" s="1"/>
  <c r="O1746" i="1"/>
  <c r="C1747" i="1"/>
  <c r="L1746" i="1"/>
  <c r="D1747" i="1" l="1"/>
  <c r="M1747" i="1" s="1"/>
  <c r="C1748" i="1"/>
  <c r="O1747" i="1"/>
  <c r="L1747" i="1"/>
  <c r="C1749" i="1" l="1"/>
  <c r="D1748" i="1"/>
  <c r="M1748" i="1" s="1"/>
  <c r="O1748" i="1"/>
  <c r="L1748" i="1"/>
  <c r="D1749" i="1" l="1"/>
  <c r="M1749" i="1" s="1"/>
  <c r="O1749" i="1"/>
  <c r="C1750" i="1"/>
  <c r="L1749" i="1"/>
  <c r="O1750" i="1" l="1"/>
  <c r="D1750" i="1"/>
  <c r="M1750" i="1" s="1"/>
  <c r="C1751" i="1"/>
  <c r="L1750" i="1"/>
  <c r="C1752" i="1" l="1"/>
  <c r="O1751" i="1"/>
  <c r="D1751" i="1"/>
  <c r="M1751" i="1" s="1"/>
  <c r="L1751" i="1"/>
  <c r="O1752" i="1" l="1"/>
  <c r="C1753" i="1"/>
  <c r="D1752" i="1"/>
  <c r="M1752" i="1" s="1"/>
  <c r="L1752" i="1"/>
  <c r="D1753" i="1" l="1"/>
  <c r="M1753" i="1" s="1"/>
  <c r="O1753" i="1"/>
  <c r="C1754" i="1"/>
  <c r="L1753" i="1"/>
  <c r="C1755" i="1" l="1"/>
  <c r="D1754" i="1"/>
  <c r="M1754" i="1" s="1"/>
  <c r="O1754" i="1"/>
  <c r="L1754" i="1"/>
  <c r="C1756" i="1" l="1"/>
  <c r="D1755" i="1"/>
  <c r="M1755" i="1" s="1"/>
  <c r="O1755" i="1"/>
  <c r="L1755" i="1"/>
  <c r="D1756" i="1" l="1"/>
  <c r="M1756" i="1" s="1"/>
  <c r="C1757" i="1"/>
  <c r="O1756" i="1"/>
  <c r="L1756" i="1"/>
  <c r="C1758" i="1" l="1"/>
  <c r="D1757" i="1"/>
  <c r="M1757" i="1" s="1"/>
  <c r="O1757" i="1"/>
  <c r="L1757" i="1"/>
  <c r="D1758" i="1" l="1"/>
  <c r="M1758" i="1" s="1"/>
  <c r="O1758" i="1"/>
  <c r="C1759" i="1"/>
  <c r="L1758" i="1"/>
  <c r="D1759" i="1" l="1"/>
  <c r="M1759" i="1" s="1"/>
  <c r="C1760" i="1"/>
  <c r="O1759" i="1"/>
  <c r="L1759" i="1"/>
  <c r="O1760" i="1" l="1"/>
  <c r="D1760" i="1"/>
  <c r="M1760" i="1" s="1"/>
  <c r="C1761" i="1"/>
  <c r="L1760" i="1"/>
  <c r="O1761" i="1" l="1"/>
  <c r="D1761" i="1"/>
  <c r="M1761" i="1" s="1"/>
  <c r="C1762" i="1"/>
  <c r="L1761" i="1"/>
  <c r="C1763" i="1" l="1"/>
  <c r="O1762" i="1"/>
  <c r="D1762" i="1"/>
  <c r="M1762" i="1" s="1"/>
  <c r="L1762" i="1"/>
  <c r="C1764" i="1" l="1"/>
  <c r="O1763" i="1"/>
  <c r="D1763" i="1"/>
  <c r="M1763" i="1" s="1"/>
  <c r="L1763" i="1"/>
  <c r="C1765" i="1" l="1"/>
  <c r="O1764" i="1"/>
  <c r="D1764" i="1"/>
  <c r="M1764" i="1" s="1"/>
  <c r="L1764" i="1"/>
  <c r="O1765" i="1" l="1"/>
  <c r="D1765" i="1"/>
  <c r="M1765" i="1" s="1"/>
  <c r="C1766" i="1"/>
  <c r="L1765" i="1"/>
  <c r="O1766" i="1" l="1"/>
  <c r="C1767" i="1"/>
  <c r="D1766" i="1"/>
  <c r="M1766" i="1" s="1"/>
  <c r="L1766" i="1"/>
  <c r="O1767" i="1" l="1"/>
  <c r="C1768" i="1"/>
  <c r="D1767" i="1"/>
  <c r="M1767" i="1" s="1"/>
  <c r="L1767" i="1"/>
  <c r="C1769" i="1" l="1"/>
  <c r="O1768" i="1"/>
  <c r="D1768" i="1"/>
  <c r="M1768" i="1" s="1"/>
  <c r="L1768" i="1"/>
  <c r="I1769" i="1"/>
  <c r="O1769" i="1" l="1"/>
  <c r="D1769" i="1"/>
  <c r="M1769" i="1" s="1"/>
  <c r="C1770" i="1"/>
  <c r="L1769" i="1"/>
  <c r="I1770" i="1"/>
  <c r="J1769" i="1"/>
  <c r="O1770" i="1" l="1"/>
  <c r="D1770" i="1"/>
  <c r="M1770" i="1" s="1"/>
  <c r="C1771" i="1"/>
  <c r="L1770" i="1"/>
  <c r="I1772" i="1"/>
  <c r="I1774" i="1" s="1"/>
  <c r="I1776" i="1" s="1"/>
  <c r="J1770" i="1"/>
  <c r="J1772" i="1" s="1"/>
  <c r="J1774" i="1" s="1"/>
  <c r="J1776" i="1" s="1"/>
  <c r="D1771" i="1" l="1"/>
  <c r="M1771" i="1" s="1"/>
  <c r="O1771" i="1"/>
  <c r="C1772" i="1"/>
  <c r="L1771" i="1"/>
  <c r="O1772" i="1" l="1"/>
  <c r="D1772" i="1"/>
  <c r="M1772" i="1" s="1"/>
  <c r="C1773" i="1"/>
  <c r="L1772" i="1"/>
  <c r="C1774" i="1" l="1"/>
  <c r="D1773" i="1"/>
  <c r="M1773" i="1" s="1"/>
  <c r="L1773" i="1"/>
  <c r="O1773" i="1"/>
  <c r="C1775" i="1" l="1"/>
  <c r="D1774" i="1"/>
  <c r="M1774" i="1" s="1"/>
  <c r="L1774" i="1"/>
  <c r="O1774" i="1"/>
  <c r="D1775" i="1" l="1"/>
  <c r="M1775" i="1" s="1"/>
  <c r="C1776" i="1"/>
  <c r="L1775" i="1"/>
  <c r="O1775" i="1"/>
  <c r="L1776" i="1" l="1"/>
  <c r="O1776" i="1"/>
  <c r="D1776" i="1"/>
  <c r="M1776" i="1" s="1"/>
  <c r="C1777" i="1"/>
  <c r="D1777" i="1" l="1"/>
  <c r="M1777" i="1" s="1"/>
  <c r="C1778" i="1"/>
  <c r="O1777" i="1"/>
  <c r="L1777" i="1"/>
  <c r="D1778" i="1" l="1"/>
  <c r="M1778" i="1" s="1"/>
  <c r="C1779" i="1"/>
  <c r="L1778" i="1"/>
  <c r="C1780" i="1" l="1"/>
  <c r="O1779" i="1"/>
  <c r="D1779" i="1"/>
  <c r="M1779" i="1" s="1"/>
  <c r="L1779" i="1"/>
  <c r="C1781" i="1" l="1"/>
  <c r="D1780" i="1"/>
  <c r="M1780" i="1" s="1"/>
  <c r="O1780" i="1"/>
  <c r="L1780" i="1"/>
  <c r="D1781" i="1" l="1"/>
  <c r="M1781" i="1" s="1"/>
  <c r="C1782" i="1"/>
  <c r="L1781" i="1"/>
  <c r="C1783" i="1" l="1"/>
  <c r="D1782" i="1"/>
  <c r="M1782" i="1" s="1"/>
  <c r="O1782" i="1"/>
  <c r="L1782" i="1"/>
  <c r="O1783" i="1" l="1"/>
  <c r="C1784" i="1"/>
  <c r="D1783" i="1"/>
  <c r="M1783" i="1" s="1"/>
  <c r="L1783" i="1"/>
  <c r="D1784" i="1" l="1"/>
  <c r="M1784" i="1" s="1"/>
  <c r="O1784" i="1"/>
  <c r="C1785" i="1"/>
  <c r="L1784" i="1"/>
  <c r="O1785" i="1" l="1"/>
  <c r="D1785" i="1"/>
  <c r="M1785" i="1" s="1"/>
  <c r="C1786" i="1"/>
  <c r="L1785" i="1"/>
  <c r="O1786" i="1" l="1"/>
  <c r="D1786" i="1"/>
  <c r="M1786" i="1" s="1"/>
  <c r="C1787" i="1"/>
  <c r="L1786" i="1"/>
  <c r="D1787" i="1" l="1"/>
  <c r="M1787" i="1" s="1"/>
  <c r="O1787" i="1"/>
  <c r="C1788" i="1"/>
  <c r="L1787" i="1"/>
  <c r="D1788" i="1" l="1"/>
  <c r="M1788" i="1" s="1"/>
  <c r="O1788" i="1"/>
  <c r="C1789" i="1"/>
  <c r="L1788" i="1"/>
  <c r="D1789" i="1" l="1"/>
  <c r="M1789" i="1" s="1"/>
  <c r="C1790" i="1"/>
  <c r="O1789" i="1"/>
  <c r="L1789" i="1"/>
  <c r="C1791" i="1" l="1"/>
  <c r="O1790" i="1"/>
  <c r="D1790" i="1"/>
  <c r="M1790" i="1" s="1"/>
  <c r="L1790" i="1"/>
  <c r="O1791" i="1" l="1"/>
  <c r="D1791" i="1"/>
  <c r="M1791" i="1" s="1"/>
  <c r="C1792" i="1"/>
  <c r="L1791" i="1"/>
  <c r="J22" i="9" l="1"/>
  <c r="L22" i="9" s="1"/>
  <c r="D1792" i="1"/>
  <c r="M1792" i="1" s="1"/>
  <c r="K21" i="9"/>
  <c r="K18" i="9"/>
  <c r="C1793" i="1"/>
  <c r="O1792" i="1"/>
  <c r="J24" i="9"/>
  <c r="L24" i="9" s="1"/>
  <c r="K19" i="9"/>
  <c r="K20" i="9"/>
  <c r="J23" i="9"/>
  <c r="L23" i="9" s="1"/>
  <c r="J21" i="9"/>
  <c r="L21" i="9" s="1"/>
  <c r="J16" i="9"/>
  <c r="L1792" i="1"/>
  <c r="O1793" i="1" l="1"/>
  <c r="D1793" i="1"/>
  <c r="M1793" i="1" s="1"/>
  <c r="C1794" i="1"/>
  <c r="L1793" i="1"/>
  <c r="D1794" i="1" l="1"/>
  <c r="M1794" i="1" s="1"/>
  <c r="C1795" i="1"/>
  <c r="O1794" i="1"/>
  <c r="L1794" i="1"/>
  <c r="O1795" i="1" l="1"/>
  <c r="D1795" i="1"/>
  <c r="M1795" i="1" s="1"/>
  <c r="C1796" i="1"/>
  <c r="L1795" i="1"/>
  <c r="D1796" i="1" l="1"/>
  <c r="M1796" i="1" s="1"/>
  <c r="C1797" i="1"/>
  <c r="O1796" i="1"/>
  <c r="L1796" i="1"/>
  <c r="C1798" i="1" l="1"/>
  <c r="O1797" i="1"/>
  <c r="D1797" i="1"/>
  <c r="M1797" i="1" s="1"/>
  <c r="L1797" i="1"/>
  <c r="C1799" i="1" l="1"/>
  <c r="O1798" i="1"/>
  <c r="D1798" i="1"/>
  <c r="M1798" i="1" s="1"/>
  <c r="L1798" i="1"/>
  <c r="C1800" i="1" l="1"/>
  <c r="D1799" i="1"/>
  <c r="M1799" i="1" s="1"/>
  <c r="O1799" i="1"/>
  <c r="L1799" i="1"/>
  <c r="I1800" i="1"/>
  <c r="C1801" i="1" l="1"/>
  <c r="O1800" i="1"/>
  <c r="D1800" i="1"/>
  <c r="M1800" i="1" s="1"/>
  <c r="L1800" i="1"/>
  <c r="I1801" i="1"/>
  <c r="J1800" i="1"/>
  <c r="O1801" i="1" l="1"/>
  <c r="D1801" i="1"/>
  <c r="M1801" i="1" s="1"/>
  <c r="C1802" i="1"/>
  <c r="L1801" i="1"/>
  <c r="I1803" i="1"/>
  <c r="I1805" i="1" s="1"/>
  <c r="I1807" i="1" s="1"/>
  <c r="J1801" i="1"/>
  <c r="J1803" i="1" s="1"/>
  <c r="J1805" i="1" s="1"/>
  <c r="J1807" i="1" s="1"/>
  <c r="C1803" i="1" l="1"/>
  <c r="D1802" i="1"/>
  <c r="M1802" i="1" s="1"/>
  <c r="L1802" i="1"/>
  <c r="O1802" i="1"/>
  <c r="D1803" i="1" l="1"/>
  <c r="M1803" i="1" s="1"/>
  <c r="C1804" i="1"/>
  <c r="L1803" i="1"/>
  <c r="O1803" i="1"/>
  <c r="D1804" i="1" l="1"/>
  <c r="M1804" i="1" s="1"/>
  <c r="C1805" i="1"/>
  <c r="L1804" i="1"/>
  <c r="O1804" i="1"/>
  <c r="C1806" i="1" l="1"/>
  <c r="D1805" i="1"/>
  <c r="M1805" i="1" s="1"/>
  <c r="L1805" i="1"/>
  <c r="O1805" i="1"/>
  <c r="C1807" i="1" l="1"/>
  <c r="D1806" i="1"/>
  <c r="M1806" i="1" s="1"/>
  <c r="L1806" i="1"/>
  <c r="O1807" i="1" l="1"/>
  <c r="D1807" i="1"/>
  <c r="M1807" i="1" s="1"/>
  <c r="C1808" i="1"/>
  <c r="L1807" i="1"/>
  <c r="D1808" i="1" l="1"/>
  <c r="M1808" i="1" s="1"/>
  <c r="C1809" i="1"/>
  <c r="L1808" i="1"/>
  <c r="O1808" i="1"/>
  <c r="D1809" i="1" l="1"/>
  <c r="M1809" i="1" s="1"/>
  <c r="C1810" i="1"/>
  <c r="L1809" i="1"/>
  <c r="O1810" i="1" l="1"/>
  <c r="C1811" i="1"/>
  <c r="D1810" i="1"/>
  <c r="M1810" i="1" s="1"/>
  <c r="L1810" i="1"/>
  <c r="O1811" i="1" l="1"/>
  <c r="D1811" i="1"/>
  <c r="M1811" i="1" s="1"/>
  <c r="C1812" i="1"/>
  <c r="L1811" i="1"/>
  <c r="D1812" i="1" l="1"/>
  <c r="M1812" i="1" s="1"/>
  <c r="C1813" i="1"/>
  <c r="L1812" i="1"/>
  <c r="O1812" i="1"/>
  <c r="O1813" i="1" l="1"/>
  <c r="C1814" i="1"/>
  <c r="D1813" i="1"/>
  <c r="M1813" i="1" s="1"/>
  <c r="L1813" i="1"/>
  <c r="C1815" i="1" l="1"/>
  <c r="D1814" i="1"/>
  <c r="M1814" i="1" s="1"/>
  <c r="L1814" i="1"/>
  <c r="O1814" i="1"/>
  <c r="D1815" i="1" l="1"/>
  <c r="M1815" i="1" s="1"/>
  <c r="C1816" i="1"/>
  <c r="L1815" i="1"/>
  <c r="O1815" i="1"/>
  <c r="D1816" i="1" l="1"/>
  <c r="M1816" i="1" s="1"/>
  <c r="L1816" i="1"/>
  <c r="O1816" i="1"/>
  <c r="C1817" i="1"/>
  <c r="L1817" i="1" l="1"/>
  <c r="D1817" i="1"/>
  <c r="M1817" i="1" s="1"/>
  <c r="C1818" i="1"/>
  <c r="O1817" i="1"/>
  <c r="D1818" i="1" l="1"/>
  <c r="M1818" i="1" s="1"/>
  <c r="C1819" i="1"/>
  <c r="L1818" i="1"/>
  <c r="O1818" i="1"/>
  <c r="D1819" i="1" l="1"/>
  <c r="M1819" i="1" s="1"/>
  <c r="C1820" i="1"/>
  <c r="L1819" i="1"/>
  <c r="O1819" i="1"/>
  <c r="C1821" i="1" l="1"/>
  <c r="D1820" i="1"/>
  <c r="M1820" i="1" s="1"/>
  <c r="L1820" i="1"/>
  <c r="O1820" i="1"/>
  <c r="D1821" i="1" l="1"/>
  <c r="M1821" i="1" s="1"/>
  <c r="C1822" i="1"/>
  <c r="L1821" i="1"/>
  <c r="O1821" i="1"/>
  <c r="D1822" i="1" l="1"/>
  <c r="M1822" i="1" s="1"/>
  <c r="C1823" i="1"/>
  <c r="O1822" i="1"/>
  <c r="L1822" i="1"/>
  <c r="D1823" i="1" l="1"/>
  <c r="M1823" i="1" s="1"/>
  <c r="O1823" i="1"/>
  <c r="C1824" i="1"/>
  <c r="L1823" i="1"/>
  <c r="C1825" i="1" l="1"/>
  <c r="O1824" i="1"/>
  <c r="D1824" i="1"/>
  <c r="M1824" i="1" s="1"/>
  <c r="L1824" i="1"/>
  <c r="D1825" i="1" l="1"/>
  <c r="M1825" i="1" s="1"/>
  <c r="C1826" i="1"/>
  <c r="L1825" i="1"/>
  <c r="D1826" i="1" l="1"/>
  <c r="M1826" i="1" s="1"/>
  <c r="C1827" i="1"/>
  <c r="L1826" i="1"/>
  <c r="O1827" i="1" l="1"/>
  <c r="C1828" i="1"/>
  <c r="D1827" i="1"/>
  <c r="M1827" i="1" s="1"/>
  <c r="L1827" i="1"/>
  <c r="O1828" i="1" l="1"/>
  <c r="D1828" i="1"/>
  <c r="M1828" i="1" s="1"/>
  <c r="C1829" i="1"/>
  <c r="L1828" i="1"/>
  <c r="C1830" i="1" l="1"/>
  <c r="O1829" i="1"/>
  <c r="L1829" i="1"/>
  <c r="I1830" i="1"/>
  <c r="D1829" i="1"/>
  <c r="M1829" i="1" s="1"/>
  <c r="D1830" i="1" l="1"/>
  <c r="M1830" i="1" s="1"/>
  <c r="O1830" i="1"/>
  <c r="C1831" i="1"/>
  <c r="L1830" i="1"/>
  <c r="I1831" i="1"/>
  <c r="J1830" i="1"/>
  <c r="O1831" i="1" l="1"/>
  <c r="C1832" i="1"/>
  <c r="D1831" i="1"/>
  <c r="M1831" i="1" s="1"/>
  <c r="L1831" i="1"/>
  <c r="J1831" i="1"/>
  <c r="J1833" i="1" s="1"/>
  <c r="J1835" i="1" s="1"/>
  <c r="J1837" i="1" s="1"/>
  <c r="I1833" i="1"/>
  <c r="I1835" i="1" s="1"/>
  <c r="I1837" i="1" s="1"/>
  <c r="D1832" i="1" l="1"/>
  <c r="M1832" i="1" s="1"/>
  <c r="O1832" i="1"/>
  <c r="C1833" i="1"/>
  <c r="L1832" i="1"/>
  <c r="D1833" i="1" l="1"/>
  <c r="M1833" i="1" s="1"/>
  <c r="O1833" i="1"/>
  <c r="C1834" i="1"/>
  <c r="L1833" i="1"/>
  <c r="D1834" i="1" l="1"/>
  <c r="M1834" i="1" s="1"/>
  <c r="O1834" i="1"/>
  <c r="C1835" i="1"/>
  <c r="L1834" i="1"/>
  <c r="O1835" i="1" l="1"/>
  <c r="D1835" i="1"/>
  <c r="M1835" i="1" s="1"/>
  <c r="C1836" i="1"/>
  <c r="L1835" i="1"/>
  <c r="O1836" i="1" l="1"/>
  <c r="C1837" i="1"/>
  <c r="D1836" i="1"/>
  <c r="M1836" i="1" s="1"/>
  <c r="L1836" i="1"/>
  <c r="O1837" i="1" l="1"/>
  <c r="C1838" i="1"/>
  <c r="D1837" i="1"/>
  <c r="M1837" i="1" s="1"/>
  <c r="L1837" i="1"/>
  <c r="O1838" i="1" l="1"/>
  <c r="C1839" i="1"/>
  <c r="D1838" i="1"/>
  <c r="M1838" i="1" s="1"/>
  <c r="L1838" i="1"/>
  <c r="C1840" i="1" l="1"/>
  <c r="D1839" i="1"/>
  <c r="M1839" i="1" s="1"/>
  <c r="O1839" i="1"/>
  <c r="L1839" i="1"/>
  <c r="O1840" i="1" l="1"/>
  <c r="C1841" i="1"/>
  <c r="D1840" i="1"/>
  <c r="M1840" i="1" s="1"/>
  <c r="L1840" i="1"/>
  <c r="O1841" i="1" l="1"/>
  <c r="C1842" i="1"/>
  <c r="D1841" i="1"/>
  <c r="M1841" i="1" s="1"/>
  <c r="L1841" i="1"/>
  <c r="O1842" i="1" l="1"/>
  <c r="C1843" i="1"/>
  <c r="D1842" i="1"/>
  <c r="M1842" i="1" s="1"/>
  <c r="L1842" i="1"/>
  <c r="O1843" i="1" l="1"/>
  <c r="C1844" i="1"/>
  <c r="D1843" i="1"/>
  <c r="M1843" i="1" s="1"/>
  <c r="L1843" i="1"/>
  <c r="C1845" i="1" l="1"/>
  <c r="O1844" i="1"/>
  <c r="D1844" i="1"/>
  <c r="M1844" i="1" s="1"/>
  <c r="L1844" i="1"/>
  <c r="O1845" i="1" l="1"/>
  <c r="C1846" i="1"/>
  <c r="D1845" i="1"/>
  <c r="M1845" i="1" s="1"/>
  <c r="L1845" i="1"/>
  <c r="C1847" i="1" l="1"/>
  <c r="D1846" i="1"/>
  <c r="M1846" i="1" s="1"/>
  <c r="O1846" i="1"/>
  <c r="L1846" i="1"/>
  <c r="O1847" i="1" l="1"/>
  <c r="D1847" i="1"/>
  <c r="M1847" i="1" s="1"/>
  <c r="C1848" i="1"/>
  <c r="L1847" i="1"/>
  <c r="D1848" i="1" l="1"/>
  <c r="M1848" i="1" s="1"/>
  <c r="O1848" i="1"/>
  <c r="C1849" i="1"/>
  <c r="L1848" i="1"/>
  <c r="C1850" i="1" l="1"/>
  <c r="D1849" i="1"/>
  <c r="M1849" i="1" s="1"/>
  <c r="O1849" i="1"/>
  <c r="L1849" i="1"/>
  <c r="C1851" i="1" l="1"/>
  <c r="D1850" i="1"/>
  <c r="M1850" i="1" s="1"/>
  <c r="L1850" i="1"/>
  <c r="O1850" i="1"/>
  <c r="C1852" i="1" l="1"/>
  <c r="L1851" i="1"/>
  <c r="O1851" i="1"/>
  <c r="D1851" i="1"/>
  <c r="M1851" i="1" s="1"/>
  <c r="C1853" i="1" l="1"/>
  <c r="D1852" i="1"/>
  <c r="M1852" i="1" s="1"/>
  <c r="L1852" i="1"/>
  <c r="D1853" i="1" l="1"/>
  <c r="M1853" i="1" s="1"/>
  <c r="C1854" i="1"/>
  <c r="L1853" i="1"/>
  <c r="O1854" i="1" l="1"/>
  <c r="C1855" i="1"/>
  <c r="D1854" i="1"/>
  <c r="M1854" i="1" s="1"/>
  <c r="L1854" i="1"/>
  <c r="D1855" i="1" l="1"/>
  <c r="M1855" i="1" s="1"/>
  <c r="O1855" i="1"/>
  <c r="C1856" i="1"/>
  <c r="L1855" i="1"/>
  <c r="C1857" i="1" l="1"/>
  <c r="J18" i="9"/>
  <c r="L18" i="9" s="1"/>
  <c r="J17" i="9"/>
  <c r="K16" i="9"/>
  <c r="L16" i="9" s="1"/>
  <c r="J20" i="9"/>
  <c r="L20" i="9" s="1"/>
  <c r="O1856" i="1"/>
  <c r="D1856" i="1"/>
  <c r="M1856" i="1" s="1"/>
  <c r="K17" i="9"/>
  <c r="J19" i="9"/>
  <c r="L19" i="9" s="1"/>
  <c r="L1856" i="1"/>
  <c r="K14" i="9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L17" i="9" l="1"/>
  <c r="O1857" i="1"/>
  <c r="C1858" i="1"/>
  <c r="D1857" i="1"/>
  <c r="M1857" i="1" s="1"/>
  <c r="L1857" i="1"/>
  <c r="L14" i="9"/>
  <c r="L7" i="9"/>
  <c r="L10" i="9"/>
  <c r="L5" i="9"/>
  <c r="L11" i="9"/>
  <c r="L9" i="9"/>
  <c r="L13" i="9"/>
  <c r="L15" i="9"/>
  <c r="L12" i="9"/>
  <c r="L6" i="9"/>
  <c r="L8" i="9"/>
  <c r="O1858" i="1" l="1"/>
  <c r="D1858" i="1"/>
  <c r="M1858" i="1" s="1"/>
  <c r="L1858" i="1"/>
  <c r="P1431" i="1"/>
  <c r="P1433" i="1" l="1"/>
  <c r="P1432" i="1"/>
  <c r="P1461" i="1" l="1"/>
  <c r="P1462" i="1" l="1"/>
  <c r="P1460" i="1" l="1"/>
  <c r="P1463" i="1"/>
  <c r="P1459" i="1"/>
  <c r="P1464" i="1" l="1"/>
  <c r="P1458" i="1"/>
  <c r="P1465" i="1" l="1"/>
  <c r="P1457" i="1"/>
  <c r="P1466" i="1" l="1"/>
  <c r="P1456" i="1"/>
  <c r="P1467" i="1" l="1"/>
  <c r="P1455" i="1"/>
  <c r="P1468" i="1" l="1"/>
  <c r="P1454" i="1"/>
  <c r="P1469" i="1" l="1"/>
  <c r="P1453" i="1"/>
  <c r="P1470" i="1" l="1"/>
  <c r="P1452" i="1"/>
  <c r="P1471" i="1" l="1"/>
  <c r="P1451" i="1"/>
  <c r="P1472" i="1" l="1"/>
  <c r="P1450" i="1"/>
  <c r="P1473" i="1" l="1"/>
  <c r="P1449" i="1"/>
  <c r="P1474" i="1" l="1"/>
  <c r="P1448" i="1"/>
  <c r="P1475" i="1" l="1"/>
  <c r="P1447" i="1"/>
  <c r="P1446" i="1" l="1"/>
  <c r="P1493" i="1" l="1"/>
  <c r="P1445" i="1"/>
  <c r="P1494" i="1" l="1"/>
  <c r="P1492" i="1"/>
  <c r="P1444" i="1"/>
  <c r="P1491" i="1" l="1"/>
  <c r="P1443" i="1"/>
  <c r="P1490" i="1" l="1"/>
  <c r="P1524" i="1"/>
  <c r="P1442" i="1"/>
  <c r="P1525" i="1" l="1"/>
  <c r="P1523" i="1"/>
  <c r="P1489" i="1"/>
  <c r="P1441" i="1"/>
  <c r="P1522" i="1" l="1"/>
  <c r="P1488" i="1"/>
  <c r="P1440" i="1"/>
  <c r="P1553" i="1" l="1"/>
  <c r="P1521" i="1"/>
  <c r="P1487" i="1"/>
  <c r="P1439" i="1"/>
  <c r="P1552" i="1" l="1"/>
  <c r="P1486" i="1"/>
  <c r="P1520" i="1"/>
  <c r="P1438" i="1"/>
  <c r="P1554" i="1" l="1"/>
  <c r="P1551" i="1"/>
  <c r="P1519" i="1"/>
  <c r="P1485" i="1"/>
  <c r="P1437" i="1"/>
  <c r="P1555" i="1" l="1"/>
  <c r="P1550" i="1"/>
  <c r="P1484" i="1"/>
  <c r="P1518" i="1"/>
  <c r="P1436" i="1"/>
  <c r="P1556" i="1" l="1"/>
  <c r="P1549" i="1"/>
  <c r="P1517" i="1"/>
  <c r="P1483" i="1"/>
  <c r="P1434" i="1"/>
  <c r="P1435" i="1"/>
  <c r="P1557" i="1" l="1"/>
  <c r="P1548" i="1"/>
  <c r="P1482" i="1"/>
  <c r="P1516" i="1"/>
  <c r="P1558" i="1" l="1"/>
  <c r="P1547" i="1"/>
  <c r="P1515" i="1"/>
  <c r="P1481" i="1"/>
  <c r="P1559" i="1" l="1"/>
  <c r="P1546" i="1"/>
  <c r="P1480" i="1"/>
  <c r="P1514" i="1"/>
  <c r="P1560" i="1" l="1"/>
  <c r="P1545" i="1"/>
  <c r="P1513" i="1"/>
  <c r="P1479" i="1"/>
  <c r="P1561" i="1" l="1"/>
  <c r="P1544" i="1"/>
  <c r="P1478" i="1"/>
  <c r="P1512" i="1"/>
  <c r="P1562" i="1" l="1"/>
  <c r="P1543" i="1"/>
  <c r="P1511" i="1"/>
  <c r="P1477" i="1"/>
  <c r="P1563" i="1" l="1"/>
  <c r="P1542" i="1"/>
  <c r="P1476" i="1"/>
  <c r="P1510" i="1"/>
  <c r="M3" i="9"/>
  <c r="P1564" i="1" l="1"/>
  <c r="P1541" i="1"/>
  <c r="E3" i="9"/>
  <c r="D3" i="9" s="1"/>
  <c r="F3" i="9" s="1"/>
  <c r="P1509" i="1"/>
  <c r="P1565" i="1" l="1"/>
  <c r="P1540" i="1"/>
  <c r="P1508" i="1"/>
  <c r="P1566" i="1" l="1"/>
  <c r="P1539" i="1"/>
  <c r="P1507" i="1"/>
  <c r="P1567" i="1" l="1"/>
  <c r="P1538" i="1"/>
  <c r="P1506" i="1"/>
  <c r="P1568" i="1" l="1"/>
  <c r="P1537" i="1"/>
  <c r="P1505" i="1"/>
  <c r="P1569" i="1" l="1"/>
  <c r="P1536" i="1"/>
  <c r="P1504" i="1"/>
  <c r="P1570" i="1" l="1"/>
  <c r="P1535" i="1"/>
  <c r="P1503" i="1"/>
  <c r="P1571" i="1" l="1"/>
  <c r="P1534" i="1"/>
  <c r="P1502" i="1"/>
  <c r="P1572" i="1" l="1"/>
  <c r="P1573" i="1" l="1"/>
  <c r="P1533" i="1"/>
  <c r="P1501" i="1"/>
  <c r="P1584" i="1" l="1"/>
  <c r="P1532" i="1"/>
  <c r="P1500" i="1"/>
  <c r="P1583" i="1" l="1"/>
  <c r="P1531" i="1"/>
  <c r="P1585" i="1"/>
  <c r="P1499" i="1"/>
  <c r="P1530" i="1" l="1"/>
  <c r="P1498" i="1"/>
  <c r="P1582" i="1" l="1"/>
  <c r="P1613" i="1"/>
  <c r="P1615" i="1"/>
  <c r="P1614" i="1"/>
  <c r="P1529" i="1"/>
  <c r="P1581" i="1"/>
  <c r="P1497" i="1"/>
  <c r="P1612" i="1"/>
  <c r="P1528" i="1" l="1"/>
  <c r="P1580" i="1"/>
  <c r="P1496" i="1"/>
  <c r="P1611" i="1"/>
  <c r="P1527" i="1" l="1"/>
  <c r="P1579" i="1"/>
  <c r="P1495" i="1"/>
  <c r="P1610" i="1"/>
  <c r="P1645" i="1" l="1"/>
  <c r="P1526" i="1"/>
  <c r="P1578" i="1"/>
  <c r="P1609" i="1"/>
  <c r="M4" i="9"/>
  <c r="E4" i="9" l="1"/>
  <c r="D4" i="9" s="1"/>
  <c r="F4" i="9" s="1"/>
  <c r="P1646" i="1" l="1"/>
  <c r="P1644" i="1"/>
  <c r="P1577" i="1"/>
  <c r="P1608" i="1"/>
  <c r="P1643" i="1" l="1"/>
  <c r="P1647" i="1"/>
  <c r="P1576" i="1"/>
  <c r="P1607" i="1"/>
  <c r="P1648" i="1" l="1"/>
  <c r="P1642" i="1"/>
  <c r="P1575" i="1"/>
  <c r="P1606" i="1"/>
  <c r="P1641" i="1" l="1"/>
  <c r="P1649" i="1"/>
  <c r="P1574" i="1"/>
  <c r="P1605" i="1"/>
  <c r="P1650" i="1" l="1"/>
  <c r="P1640" i="1"/>
  <c r="P1604" i="1"/>
  <c r="P1639" i="1" l="1"/>
  <c r="P1651" i="1"/>
  <c r="P1603" i="1"/>
  <c r="P1652" i="1" l="1"/>
  <c r="P1638" i="1"/>
  <c r="P1602" i="1"/>
  <c r="P1637" i="1" l="1"/>
  <c r="P1653" i="1"/>
  <c r="P1601" i="1"/>
  <c r="P1654" i="1" l="1"/>
  <c r="P1636" i="1"/>
  <c r="P1600" i="1"/>
  <c r="P1635" i="1" l="1"/>
  <c r="P1655" i="1"/>
  <c r="P1599" i="1"/>
  <c r="P1656" i="1" l="1"/>
  <c r="P1634" i="1"/>
  <c r="P1598" i="1"/>
  <c r="P1633" i="1" l="1"/>
  <c r="P1657" i="1"/>
  <c r="P1597" i="1"/>
  <c r="P1675" i="1" l="1"/>
  <c r="P1632" i="1"/>
  <c r="P1596" i="1"/>
  <c r="P1631" i="1" l="1"/>
  <c r="P1595" i="1"/>
  <c r="P1674" i="1" l="1"/>
  <c r="P1676" i="1"/>
  <c r="P1673" i="1"/>
  <c r="P1630" i="1"/>
  <c r="P1594" i="1"/>
  <c r="P1705" i="1" l="1"/>
  <c r="P1672" i="1"/>
  <c r="P1629" i="1"/>
  <c r="P1593" i="1"/>
  <c r="P1706" i="1" l="1"/>
  <c r="P1704" i="1"/>
  <c r="P1628" i="1"/>
  <c r="P1671" i="1"/>
  <c r="P1592" i="1"/>
  <c r="P1707" i="1" l="1"/>
  <c r="P1670" i="1"/>
  <c r="P1627" i="1"/>
  <c r="P1591" i="1"/>
  <c r="P1703" i="1" l="1"/>
  <c r="P1626" i="1"/>
  <c r="P1669" i="1"/>
  <c r="P1590" i="1"/>
  <c r="P1702" i="1" l="1"/>
  <c r="P1668" i="1"/>
  <c r="P1625" i="1"/>
  <c r="P1589" i="1"/>
  <c r="P1738" i="1" l="1"/>
  <c r="P1737" i="1"/>
  <c r="P1736" i="1"/>
  <c r="P1701" i="1"/>
  <c r="P1624" i="1"/>
  <c r="P1667" i="1"/>
  <c r="P1588" i="1"/>
  <c r="P1735" i="1" l="1"/>
  <c r="P1700" i="1"/>
  <c r="P1666" i="1"/>
  <c r="P1623" i="1"/>
  <c r="P1587" i="1"/>
  <c r="P1740" i="1" l="1"/>
  <c r="P1739" i="1"/>
  <c r="P1699" i="1"/>
  <c r="P1741" i="1"/>
  <c r="P1622" i="1"/>
  <c r="P1665" i="1"/>
  <c r="P1586" i="1"/>
  <c r="P1733" i="1" l="1"/>
  <c r="P1734" i="1"/>
  <c r="P1698" i="1"/>
  <c r="P1732" i="1"/>
  <c r="P1742" i="1"/>
  <c r="P1664" i="1"/>
  <c r="P1621" i="1"/>
  <c r="P1697" i="1" l="1"/>
  <c r="P1731" i="1"/>
  <c r="P1743" i="1"/>
  <c r="P1620" i="1"/>
  <c r="P1663" i="1"/>
  <c r="P1696" i="1" l="1"/>
  <c r="P1730" i="1"/>
  <c r="P1744" i="1"/>
  <c r="P1662" i="1"/>
  <c r="P1619" i="1"/>
  <c r="P1695" i="1" l="1"/>
  <c r="P1745" i="1"/>
  <c r="P1729" i="1"/>
  <c r="P1618" i="1"/>
  <c r="P1661" i="1"/>
  <c r="P1694" i="1" l="1"/>
  <c r="P1728" i="1"/>
  <c r="P1746" i="1"/>
  <c r="P1660" i="1"/>
  <c r="P1617" i="1"/>
  <c r="P1693" i="1" l="1"/>
  <c r="P1747" i="1"/>
  <c r="P1727" i="1"/>
  <c r="P1616" i="1"/>
  <c r="P1659" i="1"/>
  <c r="P1692" i="1" l="1"/>
  <c r="P1726" i="1"/>
  <c r="P1748" i="1"/>
  <c r="P1658" i="1"/>
  <c r="P1691" i="1" l="1"/>
  <c r="P1749" i="1"/>
  <c r="P1725" i="1"/>
  <c r="P1690" i="1" l="1"/>
  <c r="P1724" i="1"/>
  <c r="P1750" i="1"/>
  <c r="P1689" i="1" l="1"/>
  <c r="P1723" i="1"/>
  <c r="P1751" i="1"/>
  <c r="P1688" i="1" l="1"/>
  <c r="P1752" i="1"/>
  <c r="P1722" i="1"/>
  <c r="P1687" i="1" l="1"/>
  <c r="P1721" i="1"/>
  <c r="P1753" i="1"/>
  <c r="P1686" i="1" l="1"/>
  <c r="P1754" i="1"/>
  <c r="P1720" i="1"/>
  <c r="P1685" i="1" l="1"/>
  <c r="P1719" i="1"/>
  <c r="P1755" i="1"/>
  <c r="P1684" i="1" l="1"/>
  <c r="P1718" i="1"/>
  <c r="P1683" i="1" l="1"/>
  <c r="P1717" i="1"/>
  <c r="P1767" i="1" l="1"/>
  <c r="P1682" i="1"/>
  <c r="P1716" i="1"/>
  <c r="P1768" i="1" l="1"/>
  <c r="P1765" i="1"/>
  <c r="P1766" i="1"/>
  <c r="P1681" i="1"/>
  <c r="P1715" i="1"/>
  <c r="P1764" i="1"/>
  <c r="P1680" i="1" l="1"/>
  <c r="P1763" i="1"/>
  <c r="P1714" i="1"/>
  <c r="P1679" i="1" l="1"/>
  <c r="P1713" i="1"/>
  <c r="P1762" i="1"/>
  <c r="P1678" i="1" l="1"/>
  <c r="P1761" i="1"/>
  <c r="P1712" i="1"/>
  <c r="P1677" i="1" l="1"/>
  <c r="P1711" i="1"/>
  <c r="P1760" i="1"/>
  <c r="P1759" i="1" l="1"/>
  <c r="P1710" i="1"/>
  <c r="P1758" i="1" l="1"/>
  <c r="P1709" i="1"/>
  <c r="P1708" i="1" l="1"/>
  <c r="P1757" i="1"/>
  <c r="P1756" i="1" l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M8" i="9" l="1"/>
  <c r="E8" i="9" l="1"/>
  <c r="D8" i="9" s="1"/>
  <c r="F8" i="9" s="1"/>
  <c r="P1795" i="1" l="1"/>
  <c r="P1791" i="1"/>
  <c r="P1787" i="1"/>
  <c r="P1783" i="1"/>
  <c r="P1779" i="1"/>
  <c r="P1775" i="1"/>
  <c r="P1771" i="1"/>
  <c r="P1778" i="1"/>
  <c r="P1770" i="1"/>
  <c r="P1789" i="1"/>
  <c r="P1781" i="1"/>
  <c r="P1792" i="1"/>
  <c r="P1780" i="1"/>
  <c r="P1794" i="1"/>
  <c r="P1790" i="1"/>
  <c r="P1786" i="1"/>
  <c r="P1782" i="1"/>
  <c r="P1774" i="1"/>
  <c r="P1793" i="1"/>
  <c r="P1785" i="1"/>
  <c r="P1777" i="1"/>
  <c r="P1796" i="1"/>
  <c r="P1788" i="1"/>
  <c r="P1776" i="1"/>
  <c r="P1797" i="1"/>
  <c r="P1773" i="1"/>
  <c r="P1784" i="1"/>
  <c r="P1772" i="1"/>
  <c r="P1804" i="1" l="1"/>
  <c r="P1799" i="1"/>
  <c r="P1803" i="1"/>
  <c r="P1805" i="1"/>
  <c r="P1801" i="1"/>
  <c r="P1798" i="1"/>
  <c r="P1769" i="1"/>
  <c r="M13" i="9"/>
  <c r="E13" i="9" l="1"/>
  <c r="D13" i="9" s="1"/>
  <c r="F13" i="9" s="1"/>
  <c r="P1800" i="1" l="1"/>
  <c r="P1802" i="1" l="1"/>
  <c r="P1824" i="1" l="1"/>
  <c r="P1822" i="1"/>
  <c r="P1820" i="1"/>
  <c r="P1817" i="1"/>
  <c r="P1814" i="1"/>
  <c r="P1811" i="1"/>
  <c r="P1808" i="1"/>
  <c r="P1806" i="1"/>
  <c r="P1825" i="1"/>
  <c r="P1821" i="1"/>
  <c r="P1818" i="1"/>
  <c r="P1815" i="1"/>
  <c r="P1812" i="1"/>
  <c r="P1810" i="1"/>
  <c r="P1807" i="1"/>
  <c r="P1827" i="1"/>
  <c r="P1826" i="1"/>
  <c r="P1823" i="1"/>
  <c r="P1819" i="1"/>
  <c r="P1816" i="1"/>
  <c r="P1813" i="1"/>
  <c r="P1809" i="1"/>
  <c r="M14" i="9"/>
  <c r="P1846" i="1" l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E14" i="9"/>
  <c r="D14" i="9" s="1"/>
  <c r="F14" i="9" s="1"/>
  <c r="P1828" i="1"/>
  <c r="P1829" i="1" l="1"/>
  <c r="M15" i="9"/>
  <c r="E15" i="9" l="1"/>
  <c r="D15" i="9" s="1"/>
  <c r="F15" i="9" s="1"/>
  <c r="P1858" i="1" l="1"/>
  <c r="P1857" i="1"/>
  <c r="P1856" i="1"/>
  <c r="P1855" i="1"/>
  <c r="P1854" i="1"/>
  <c r="P1853" i="1"/>
  <c r="P1852" i="1"/>
  <c r="P1851" i="1"/>
  <c r="P1850" i="1"/>
  <c r="P1849" i="1"/>
  <c r="P1848" i="1"/>
  <c r="P1859" i="1" l="1"/>
  <c r="P1847" i="1"/>
  <c r="P1889" i="1" l="1"/>
  <c r="P1890" i="1"/>
  <c r="P1891" i="1" l="1"/>
  <c r="P1917" i="1" l="1"/>
  <c r="P1915" i="1"/>
  <c r="P1913" i="1"/>
  <c r="P1911" i="1"/>
  <c r="P1909" i="1"/>
  <c r="P1906" i="1"/>
  <c r="P1904" i="1"/>
  <c r="P1902" i="1"/>
  <c r="P1900" i="1"/>
  <c r="P1898" i="1"/>
  <c r="P1895" i="1"/>
  <c r="P1893" i="1"/>
  <c r="P1916" i="1"/>
  <c r="P1914" i="1"/>
  <c r="P1912" i="1"/>
  <c r="P1910" i="1"/>
  <c r="P1908" i="1"/>
  <c r="P1905" i="1"/>
  <c r="P1903" i="1"/>
  <c r="P1901" i="1"/>
  <c r="P1899" i="1"/>
  <c r="P1896" i="1"/>
  <c r="P1894" i="1"/>
  <c r="P1907" i="1"/>
  <c r="P1897" i="1"/>
  <c r="P1920" i="1" l="1"/>
  <c r="P1918" i="1"/>
  <c r="P1892" i="1"/>
  <c r="P1919" i="1" l="1"/>
  <c r="P1870" i="1" l="1"/>
  <c r="P1872" i="1"/>
  <c r="P1881" i="1"/>
  <c r="P1874" i="1"/>
  <c r="P1885" i="1"/>
  <c r="P1868" i="1"/>
  <c r="P1873" i="1"/>
  <c r="P1886" i="1"/>
  <c r="P1866" i="1"/>
  <c r="P1877" i="1"/>
  <c r="P1876" i="1"/>
  <c r="P1862" i="1"/>
  <c r="P1865" i="1"/>
  <c r="P1884" i="1"/>
  <c r="P1888" i="1"/>
  <c r="P1864" i="1"/>
  <c r="P1863" i="1"/>
  <c r="P1883" i="1"/>
  <c r="P1871" i="1"/>
  <c r="P1882" i="1"/>
  <c r="P1867" i="1"/>
  <c r="P1861" i="1"/>
  <c r="P1878" i="1"/>
  <c r="P1879" i="1"/>
  <c r="P1869" i="1"/>
  <c r="P1880" i="1"/>
  <c r="P1875" i="1"/>
  <c r="P1887" i="1"/>
  <c r="P1860" i="1" l="1"/>
  <c r="M17" i="9"/>
  <c r="M16" i="9"/>
  <c r="E16" i="9" l="1"/>
  <c r="D16" i="9" s="1"/>
  <c r="F16" i="9" s="1"/>
  <c r="E17" i="9"/>
  <c r="D17" i="9" s="1"/>
  <c r="F17" i="9" s="1"/>
  <c r="P1948" i="1" l="1"/>
  <c r="P1949" i="1"/>
  <c r="P1950" i="1"/>
  <c r="P1947" i="1" l="1"/>
  <c r="P1946" i="1" l="1"/>
  <c r="P1965" i="1"/>
  <c r="P1978" i="1"/>
  <c r="P1966" i="1"/>
  <c r="P1954" i="1"/>
  <c r="P1961" i="1"/>
  <c r="P1974" i="1"/>
  <c r="P1962" i="1"/>
  <c r="P1977" i="1"/>
  <c r="P1969" i="1"/>
  <c r="P1957" i="1"/>
  <c r="P1972" i="1"/>
  <c r="P1968" i="1"/>
  <c r="P1964" i="1"/>
  <c r="P1960" i="1"/>
  <c r="P1956" i="1"/>
  <c r="P1952" i="1"/>
  <c r="P1970" i="1"/>
  <c r="P1958" i="1"/>
  <c r="P1973" i="1"/>
  <c r="P1953" i="1"/>
  <c r="P1976" i="1"/>
  <c r="P1975" i="1"/>
  <c r="P1971" i="1"/>
  <c r="P1967" i="1"/>
  <c r="P1963" i="1"/>
  <c r="P1959" i="1"/>
  <c r="P1955" i="1"/>
  <c r="P1945" i="1" l="1"/>
  <c r="P1983" i="1"/>
  <c r="P1982" i="1"/>
  <c r="P1984" i="1"/>
  <c r="P1986" i="1"/>
  <c r="P1981" i="1"/>
  <c r="P1985" i="1"/>
  <c r="P1951" i="1"/>
  <c r="P1979" i="1"/>
  <c r="P1944" i="1" l="1"/>
  <c r="P1980" i="1"/>
  <c r="P1943" i="1" l="1"/>
  <c r="P1942" i="1" l="1"/>
  <c r="P2004" i="1"/>
  <c r="P1994" i="1"/>
  <c r="P2000" i="1"/>
  <c r="P2009" i="1"/>
  <c r="P2005" i="1"/>
  <c r="P1997" i="1"/>
  <c r="P2001" i="1"/>
  <c r="P2008" i="1"/>
  <c r="P2003" i="1"/>
  <c r="P1993" i="1"/>
  <c r="P1992" i="1"/>
  <c r="P1998" i="1"/>
  <c r="P1989" i="1"/>
  <c r="P1991" i="1"/>
  <c r="P2007" i="1"/>
  <c r="P2002" i="1"/>
  <c r="P1990" i="1"/>
  <c r="P1995" i="1"/>
  <c r="P1996" i="1"/>
  <c r="P1988" i="1"/>
  <c r="P2006" i="1"/>
  <c r="P1999" i="1"/>
  <c r="P1941" i="1" l="1"/>
  <c r="P2018" i="1"/>
  <c r="P2022" i="1"/>
  <c r="P2016" i="1"/>
  <c r="P2023" i="1"/>
  <c r="P2014" i="1"/>
  <c r="P2017" i="1"/>
  <c r="P2025" i="1"/>
  <c r="P2013" i="1"/>
  <c r="P2026" i="1"/>
  <c r="P2021" i="1"/>
  <c r="P2015" i="1"/>
  <c r="P2027" i="1"/>
  <c r="P2019" i="1"/>
  <c r="P2024" i="1"/>
  <c r="P2020" i="1"/>
  <c r="P2012" i="1"/>
  <c r="P1987" i="1"/>
  <c r="P2010" i="1"/>
  <c r="P1940" i="1" l="1"/>
  <c r="P2028" i="1"/>
  <c r="P2011" i="1"/>
  <c r="P1939" i="1" l="1"/>
  <c r="P2029" i="1"/>
  <c r="P1938" i="1" l="1"/>
  <c r="P2037" i="1" l="1"/>
  <c r="P2031" i="1"/>
  <c r="P2035" i="1"/>
  <c r="P2036" i="1"/>
  <c r="P2039" i="1"/>
  <c r="P2034" i="1"/>
  <c r="P2038" i="1"/>
  <c r="P2032" i="1"/>
  <c r="P2033" i="1"/>
  <c r="P2030" i="1"/>
  <c r="P2040" i="1"/>
  <c r="P2073" i="1" l="1"/>
  <c r="P2071" i="1" l="1"/>
  <c r="P2074" i="1"/>
  <c r="P2072" i="1"/>
  <c r="P2050" i="1" l="1"/>
  <c r="P2043" i="1"/>
  <c r="P2066" i="1"/>
  <c r="P2049" i="1"/>
  <c r="P2047" i="1"/>
  <c r="P2056" i="1"/>
  <c r="P2064" i="1"/>
  <c r="P2052" i="1"/>
  <c r="P2057" i="1"/>
  <c r="P2053" i="1"/>
  <c r="P2062" i="1"/>
  <c r="P2051" i="1"/>
  <c r="P2044" i="1"/>
  <c r="P2055" i="1"/>
  <c r="P2065" i="1"/>
  <c r="P2042" i="1"/>
  <c r="P2068" i="1"/>
  <c r="P2058" i="1"/>
  <c r="P2045" i="1"/>
  <c r="P2046" i="1"/>
  <c r="P2063" i="1"/>
  <c r="P2060" i="1"/>
  <c r="P2069" i="1"/>
  <c r="P2061" i="1"/>
  <c r="P2054" i="1"/>
  <c r="P2059" i="1"/>
  <c r="P2070" i="1"/>
  <c r="P2048" i="1"/>
  <c r="P2067" i="1"/>
  <c r="P2041" i="1" l="1"/>
  <c r="P2079" i="1"/>
  <c r="P2076" i="1"/>
  <c r="P2081" i="1"/>
  <c r="P2077" i="1"/>
  <c r="P2078" i="1"/>
  <c r="P2083" i="1"/>
  <c r="P2082" i="1"/>
  <c r="P2080" i="1"/>
  <c r="P2075" i="1"/>
  <c r="M22" i="9"/>
  <c r="E22" i="9" l="1"/>
  <c r="D22" i="9" s="1"/>
  <c r="F22" i="9" s="1"/>
  <c r="P2165" i="1" l="1"/>
  <c r="P2164" i="1" l="1"/>
  <c r="P2203" i="1" l="1"/>
  <c r="P2199" i="1"/>
  <c r="P2197" i="1"/>
  <c r="P2200" i="1"/>
  <c r="P2196" i="1"/>
  <c r="P2202" i="1"/>
  <c r="P2195" i="1"/>
  <c r="P2201" i="1"/>
  <c r="P2198" i="1"/>
  <c r="P2194" i="1" l="1"/>
  <c r="P2162" i="1" l="1"/>
  <c r="P2163" i="1" l="1"/>
  <c r="P1933" i="1" l="1"/>
  <c r="P1929" i="1"/>
  <c r="P1925" i="1"/>
  <c r="P1926" i="1"/>
  <c r="P1936" i="1"/>
  <c r="P1932" i="1"/>
  <c r="P1928" i="1"/>
  <c r="P1924" i="1"/>
  <c r="P1934" i="1"/>
  <c r="P1935" i="1"/>
  <c r="P1931" i="1"/>
  <c r="P1927" i="1"/>
  <c r="P1923" i="1"/>
  <c r="P1930" i="1"/>
  <c r="P1922" i="1"/>
  <c r="P1937" i="1"/>
  <c r="M21" i="9"/>
  <c r="E21" i="9" l="1"/>
  <c r="D21" i="9" s="1"/>
  <c r="F21" i="9" s="1"/>
  <c r="P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P2084" i="1" l="1"/>
  <c r="P2193" i="1" l="1"/>
  <c r="P2174" i="1" l="1"/>
  <c r="P2171" i="1" l="1"/>
  <c r="P2169" i="1" l="1"/>
  <c r="P2185" i="1" l="1"/>
  <c r="P2188" i="1" l="1"/>
  <c r="P2180" i="1" l="1"/>
  <c r="P2186" i="1" l="1"/>
  <c r="P2184" i="1" l="1"/>
  <c r="P2177" i="1" l="1"/>
  <c r="P2192" i="1" l="1"/>
  <c r="P2181" i="1" l="1"/>
  <c r="P2167" i="1" l="1"/>
  <c r="P2187" i="1" l="1"/>
  <c r="P2176" i="1" l="1"/>
  <c r="P2175" i="1" l="1"/>
  <c r="P2183" i="1" l="1"/>
  <c r="P2168" i="1" l="1"/>
  <c r="P2179" i="1" l="1"/>
  <c r="P2170" i="1" l="1"/>
  <c r="P2178" i="1" l="1"/>
  <c r="P2190" i="1" l="1"/>
  <c r="P2172" i="1" l="1"/>
  <c r="P2191" i="1" l="1"/>
  <c r="P2219" i="1" l="1"/>
  <c r="P2210" i="1" l="1"/>
  <c r="P2173" i="1" l="1"/>
  <c r="P2182" i="1" l="1"/>
  <c r="P2189" i="1" l="1"/>
  <c r="P2205" i="1" l="1"/>
  <c r="P2166" i="1"/>
  <c r="P2206" i="1" l="1"/>
  <c r="P2211" i="1" l="1"/>
  <c r="P2217" i="1" l="1"/>
  <c r="P2213" i="1" l="1"/>
  <c r="P2208" i="1" l="1"/>
  <c r="P2209" i="1" l="1"/>
  <c r="P2214" i="1" l="1"/>
  <c r="P2212" i="1" l="1"/>
  <c r="P2216" i="1" l="1"/>
  <c r="P2222" i="1" l="1"/>
  <c r="P2224" i="1" l="1"/>
  <c r="P2223" i="1" l="1"/>
  <c r="P2221" i="1" l="1"/>
  <c r="P2218" i="1" l="1"/>
  <c r="P2215" i="1" l="1"/>
  <c r="P2220" i="1" l="1"/>
  <c r="M42" i="9"/>
  <c r="M30" i="9"/>
  <c r="E42" i="9" l="1"/>
  <c r="D42" i="9" s="1"/>
  <c r="F42" i="9" s="1"/>
  <c r="E30" i="9"/>
  <c r="D30" i="9" s="1"/>
  <c r="F30" i="9" s="1"/>
  <c r="P2207" i="1"/>
  <c r="P2204" i="1"/>
  <c r="M41" i="9"/>
  <c r="M29" i="9"/>
  <c r="E41" i="9" l="1"/>
  <c r="D41" i="9" s="1"/>
  <c r="F41" i="9" s="1"/>
  <c r="E29" i="9"/>
  <c r="D29" i="9" s="1"/>
  <c r="F29" i="9" s="1"/>
  <c r="P2097" i="1" l="1"/>
  <c r="P2100" i="1"/>
  <c r="P2093" i="1"/>
  <c r="P2099" i="1"/>
  <c r="P2087" i="1"/>
  <c r="P2091" i="1"/>
  <c r="P2101" i="1"/>
  <c r="P2086" i="1"/>
  <c r="P2098" i="1"/>
  <c r="P2089" i="1"/>
  <c r="P2096" i="1"/>
  <c r="P2088" i="1"/>
  <c r="P2094" i="1"/>
  <c r="P2090" i="1"/>
  <c r="P2095" i="1"/>
  <c r="P2092" i="1"/>
  <c r="P2102" i="1"/>
  <c r="P2085" i="1"/>
  <c r="M23" i="9"/>
  <c r="M35" i="9"/>
  <c r="E35" i="9" l="1"/>
  <c r="D35" i="9" s="1"/>
  <c r="F35" i="9" s="1"/>
  <c r="E23" i="9"/>
  <c r="D23" i="9" s="1"/>
  <c r="F23" i="9" s="1"/>
  <c r="P2115" i="1" l="1"/>
  <c r="P2107" i="1"/>
  <c r="P2117" i="1"/>
  <c r="P2106" i="1"/>
  <c r="P2112" i="1"/>
  <c r="P2105" i="1"/>
  <c r="P2113" i="1"/>
  <c r="P2111" i="1"/>
  <c r="P2114" i="1"/>
  <c r="P2109" i="1"/>
  <c r="P2104" i="1"/>
  <c r="P2116" i="1"/>
  <c r="P2108" i="1"/>
  <c r="P2119" i="1"/>
  <c r="P2118" i="1"/>
  <c r="P2110" i="1"/>
  <c r="P2103" i="1"/>
  <c r="M24" i="9"/>
  <c r="M36" i="9"/>
  <c r="E36" i="9" l="1"/>
  <c r="D36" i="9" s="1"/>
  <c r="F36" i="9" s="1"/>
  <c r="E24" i="9"/>
  <c r="D24" i="9" s="1"/>
  <c r="F24" i="9" s="1"/>
  <c r="P2121" i="1" l="1"/>
  <c r="P2123" i="1"/>
  <c r="P2125" i="1"/>
  <c r="P2127" i="1"/>
  <c r="P2129" i="1"/>
  <c r="P2120" i="1"/>
  <c r="P2131" i="1"/>
  <c r="P2124" i="1"/>
  <c r="P2122" i="1"/>
  <c r="P2126" i="1"/>
  <c r="P2128" i="1"/>
  <c r="P2130" i="1"/>
  <c r="P2132" i="1"/>
  <c r="P2134" i="1" l="1"/>
  <c r="P2152" i="1"/>
  <c r="P2151" i="1"/>
  <c r="P2136" i="1"/>
  <c r="P2144" i="1"/>
  <c r="P2145" i="1"/>
  <c r="P2135" i="1"/>
  <c r="P2137" i="1"/>
  <c r="P2159" i="1"/>
  <c r="P2156" i="1"/>
  <c r="P2157" i="1"/>
  <c r="P2147" i="1"/>
  <c r="P2149" i="1"/>
  <c r="P2155" i="1"/>
  <c r="P2142" i="1"/>
  <c r="P2146" i="1"/>
  <c r="P2143" i="1"/>
  <c r="P2154" i="1"/>
  <c r="P2161" i="1"/>
  <c r="P2153" i="1"/>
  <c r="P2133" i="1"/>
  <c r="P2148" i="1"/>
  <c r="P2141" i="1"/>
  <c r="P2150" i="1"/>
  <c r="P2138" i="1"/>
  <c r="P2140" i="1"/>
  <c r="P2160" i="1"/>
  <c r="P2158" i="1"/>
  <c r="P2139" i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V3" i="5" l="1"/>
  <c r="V4" i="5" l="1"/>
  <c r="T6" i="5" l="1"/>
  <c r="V5" i="5"/>
  <c r="T7" i="5" l="1"/>
  <c r="T8" i="5" s="1"/>
  <c r="V6" i="5"/>
  <c r="T21" i="5" l="1"/>
  <c r="V7" i="5"/>
  <c r="V8" i="5" l="1"/>
  <c r="P2574" i="1"/>
  <c r="C200" i="10" s="1"/>
  <c r="P2577" i="1"/>
  <c r="C203" i="10" s="1"/>
  <c r="P2582" i="1"/>
  <c r="C208" i="10" s="1"/>
  <c r="P2570" i="1"/>
  <c r="C196" i="10" s="1"/>
  <c r="P2584" i="1"/>
  <c r="C210" i="10" s="1"/>
  <c r="P2571" i="1"/>
  <c r="C197" i="10" s="1"/>
  <c r="P2578" i="1"/>
  <c r="C204" i="10" s="1"/>
  <c r="P2583" i="1"/>
  <c r="C209" i="10" s="1"/>
  <c r="P2568" i="1"/>
  <c r="C194" i="10" s="1"/>
  <c r="P2575" i="1"/>
  <c r="C201" i="10" s="1"/>
  <c r="P2579" i="1"/>
  <c r="C205" i="10" s="1"/>
  <c r="P2581" i="1"/>
  <c r="C207" i="10" s="1"/>
  <c r="P2580" i="1"/>
  <c r="C206" i="10" s="1"/>
  <c r="P2589" i="1"/>
  <c r="C215" i="10" s="1"/>
  <c r="P2572" i="1"/>
  <c r="C198" i="10" s="1"/>
  <c r="P2588" i="1"/>
  <c r="C214" i="10" s="1"/>
  <c r="P2587" i="1"/>
  <c r="C213" i="10" s="1"/>
  <c r="P2576" i="1"/>
  <c r="C202" i="10" s="1"/>
  <c r="P2586" i="1"/>
  <c r="C212" i="10" s="1"/>
  <c r="P2585" i="1"/>
  <c r="C211" i="10" s="1"/>
  <c r="P2573" i="1"/>
  <c r="C199" i="10" s="1"/>
  <c r="P2569" i="1"/>
  <c r="C195" i="10" s="1"/>
  <c r="J2516" i="1" l="1"/>
  <c r="J2517" i="1" s="1"/>
  <c r="J2518" i="1" l="1"/>
  <c r="P2512" i="1"/>
  <c r="C138" i="10" s="1"/>
  <c r="D138" i="10" s="1"/>
  <c r="E138" i="10" s="1"/>
  <c r="P2517" i="1"/>
  <c r="C143" i="10" s="1"/>
  <c r="P2524" i="1"/>
  <c r="C150" i="10" s="1"/>
  <c r="P2525" i="1"/>
  <c r="C151" i="10" s="1"/>
  <c r="P2522" i="1"/>
  <c r="C148" i="10" s="1"/>
  <c r="P2515" i="1"/>
  <c r="C141" i="10" s="1"/>
  <c r="P2513" i="1"/>
  <c r="C139" i="10" s="1"/>
  <c r="P2519" i="1"/>
  <c r="C145" i="10" s="1"/>
  <c r="P2520" i="1"/>
  <c r="C146" i="10" s="1"/>
  <c r="P2514" i="1"/>
  <c r="C140" i="10" s="1"/>
  <c r="P2518" i="1"/>
  <c r="C144" i="10" s="1"/>
  <c r="P2521" i="1"/>
  <c r="C147" i="10" s="1"/>
  <c r="P2516" i="1"/>
  <c r="C142" i="10" s="1"/>
  <c r="P2523" i="1"/>
  <c r="C149" i="10" s="1"/>
  <c r="D139" i="10" l="1"/>
  <c r="J2519" i="1"/>
  <c r="J2513" i="1"/>
  <c r="E139" i="10"/>
  <c r="D140" i="10"/>
  <c r="B2526" i="1" l="1"/>
  <c r="P2526" i="1" s="1"/>
  <c r="C152" i="10" s="1"/>
  <c r="B2527" i="1"/>
  <c r="P2527" i="1" s="1"/>
  <c r="C153" i="10" s="1"/>
  <c r="B2528" i="1"/>
  <c r="P2528" i="1" s="1"/>
  <c r="C154" i="10" s="1"/>
  <c r="E140" i="10"/>
  <c r="D141" i="10"/>
  <c r="E141" i="10" l="1"/>
  <c r="D142" i="10"/>
  <c r="E142" i="10" l="1"/>
  <c r="D143" i="10"/>
  <c r="E143" i="10" l="1"/>
  <c r="D144" i="10"/>
  <c r="E144" i="10" l="1"/>
  <c r="D145" i="10"/>
  <c r="E145" i="10" l="1"/>
  <c r="D146" i="10"/>
  <c r="E146" i="10" l="1"/>
  <c r="D147" i="10"/>
  <c r="E147" i="10" l="1"/>
  <c r="D148" i="10"/>
  <c r="E148" i="10" l="1"/>
  <c r="D149" i="10"/>
  <c r="E149" i="10" l="1"/>
  <c r="D150" i="10"/>
  <c r="E150" i="10" l="1"/>
  <c r="D151" i="10"/>
  <c r="E151" i="10" l="1"/>
  <c r="D152" i="10"/>
  <c r="E152" i="10" l="1"/>
  <c r="D153" i="10"/>
  <c r="E153" i="10" l="1"/>
  <c r="D154" i="10"/>
  <c r="E154" i="10" l="1"/>
  <c r="D155" i="10"/>
  <c r="E155" i="10" l="1"/>
  <c r="D156" i="10"/>
  <c r="E156" i="10" l="1"/>
  <c r="D157" i="10"/>
  <c r="E157" i="10" l="1"/>
  <c r="D158" i="10"/>
  <c r="E158" i="10" l="1"/>
  <c r="D159" i="10"/>
  <c r="E159" i="10" l="1"/>
  <c r="D160" i="10"/>
  <c r="E160" i="10" l="1"/>
  <c r="D161" i="10"/>
  <c r="E161" i="10" l="1"/>
  <c r="D162" i="10"/>
  <c r="E162" i="10" l="1"/>
  <c r="D163" i="10"/>
  <c r="E163" i="10" l="1"/>
  <c r="D164" i="10"/>
  <c r="E164" i="10" l="1"/>
  <c r="D165" i="10"/>
  <c r="D166" i="10" l="1"/>
  <c r="E165" i="10"/>
  <c r="E166" i="10" l="1"/>
  <c r="D167" i="10"/>
  <c r="E167" i="10" l="1"/>
  <c r="D168" i="10"/>
  <c r="E168" i="10" l="1"/>
  <c r="D169" i="10"/>
  <c r="E169" i="10" l="1"/>
  <c r="D170" i="10"/>
  <c r="E170" i="10" l="1"/>
  <c r="D171" i="10"/>
  <c r="E171" i="10" l="1"/>
  <c r="D172" i="10"/>
  <c r="E172" i="10" l="1"/>
  <c r="D173" i="10"/>
  <c r="D174" i="10" l="1"/>
  <c r="E173" i="10"/>
  <c r="D175" i="10" l="1"/>
  <c r="E174" i="10"/>
  <c r="E175" i="10" l="1"/>
  <c r="D176" i="10"/>
  <c r="E176" i="10" l="1"/>
  <c r="D177" i="10"/>
  <c r="E177" i="10" l="1"/>
  <c r="D178" i="10"/>
  <c r="E178" i="10" l="1"/>
  <c r="D179" i="10"/>
  <c r="D180" i="10" l="1"/>
  <c r="E179" i="10"/>
  <c r="E180" i="10" l="1"/>
  <c r="D181" i="10"/>
  <c r="D182" i="10" l="1"/>
  <c r="E181" i="10"/>
  <c r="D183" i="10" l="1"/>
  <c r="E182" i="10"/>
  <c r="D184" i="10" l="1"/>
  <c r="E183" i="10"/>
  <c r="E184" i="10" l="1"/>
  <c r="D185" i="10"/>
  <c r="E185" i="10" l="1"/>
  <c r="D186" i="10"/>
  <c r="E186" i="10" l="1"/>
  <c r="D187" i="10"/>
  <c r="E187" i="10" l="1"/>
  <c r="D188" i="10"/>
  <c r="E188" i="10" l="1"/>
  <c r="D189" i="10"/>
  <c r="E189" i="10" l="1"/>
  <c r="D190" i="10"/>
  <c r="E190" i="10" l="1"/>
  <c r="D191" i="10"/>
  <c r="E191" i="10" l="1"/>
  <c r="D192" i="10"/>
  <c r="E192" i="10" l="1"/>
  <c r="D193" i="10"/>
  <c r="E193" i="10" l="1"/>
  <c r="D194" i="10"/>
  <c r="E194" i="10" l="1"/>
  <c r="D195" i="10"/>
  <c r="E195" i="10" l="1"/>
  <c r="D196" i="10"/>
  <c r="D197" i="10" l="1"/>
  <c r="E196" i="10"/>
  <c r="D198" i="10" l="1"/>
  <c r="E197" i="10"/>
  <c r="E198" i="10" l="1"/>
  <c r="D199" i="10"/>
  <c r="E199" i="10" l="1"/>
  <c r="D200" i="10"/>
  <c r="E200" i="10" l="1"/>
  <c r="D201" i="10"/>
  <c r="E201" i="10" l="1"/>
  <c r="D202" i="10"/>
  <c r="D203" i="10" l="1"/>
  <c r="E202" i="10"/>
  <c r="E203" i="10" l="1"/>
  <c r="D204" i="10"/>
  <c r="E204" i="10" l="1"/>
  <c r="D205" i="10"/>
  <c r="E205" i="10" l="1"/>
  <c r="D206" i="10"/>
  <c r="E206" i="10" l="1"/>
  <c r="D207" i="10"/>
  <c r="E207" i="10" l="1"/>
  <c r="D208" i="10"/>
  <c r="E208" i="10" l="1"/>
  <c r="D209" i="10"/>
  <c r="E209" i="10" l="1"/>
  <c r="D210" i="10"/>
  <c r="E210" i="10" l="1"/>
  <c r="D211" i="10"/>
  <c r="E211" i="10" l="1"/>
  <c r="D212" i="10"/>
  <c r="D213" i="10" l="1"/>
  <c r="E212" i="10"/>
  <c r="D214" i="10" l="1"/>
  <c r="E213" i="10"/>
  <c r="D215" i="10" l="1"/>
  <c r="E214" i="10"/>
  <c r="D216" i="10" l="1"/>
  <c r="E216" i="10" s="1"/>
  <c r="E215" i="10"/>
  <c r="I2513" i="1"/>
  <c r="I2518" i="1"/>
  <c r="A2526" i="1" l="1"/>
  <c r="I2516" i="1" s="1"/>
  <c r="I2517" i="1" s="1"/>
  <c r="I2519" i="1" s="1"/>
  <c r="A2528" i="1"/>
  <c r="A25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<sst xmlns="http://schemas.openxmlformats.org/spreadsheetml/2006/main" count="2038" uniqueCount="238">
  <si>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</si>
  <si>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</si>
  <si>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</si>
  <si>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</si>
  <si>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</si>
  <si>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</si>
  <si>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</si>
  <si>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</si>
  <si>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</si>
  <si>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</si>
  <si>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</si>
  <si>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</si>
  <si>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</si>
  <si>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</si>
  <si>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</si>
  <si>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</si>
  <si>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</si>
  <si>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</si>
  <si>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</si>
  <si>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</si>
  <si>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</si>
  <si>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</si>
  <si>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</si>
  <si>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</si>
  <si>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</si>
  <si>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</si>
  <si>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</si>
  <si>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</si>
  <si>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</si>
  <si>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</si>
  <si>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</si>
  <si>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</si>
  <si>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</si>
  <si>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</si>
  <si>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</si>
  <si>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</si>
  <si>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</si>
  <si>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</si>
  <si>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</si>
  <si>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</si>
  <si>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</si>
  <si>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</si>
  <si>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</si>
  <si>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</si>
  <si>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</si>
  <si>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</si>
  <si>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</si>
  <si>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</si>
  <si>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</si>
  <si>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</si>
  <si>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</si>
  <si>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</si>
  <si>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</si>
  <si>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</si>
  <si>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</si>
  <si>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</si>
  <si>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</si>
  <si>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</si>
  <si>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</si>
  <si>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</si>
  <si>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</si>
  <si>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</si>
  <si>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</si>
  <si>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</si>
  <si>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</si>
  <si>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</si>
  <si>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</si>
  <si>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</si>
  <si>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</si>
  <si>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</si>
  <si>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</si>
  <si>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</si>
  <si>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</si>
  <si>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</si>
  <si>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</si>
  <si>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</si>
  <si>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</si>
  <si>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</si>
  <si>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</si>
  <si>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</si>
  <si>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</si>
  <si>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</si>
  <si>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</si>
  <si>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</si>
  <si>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</si>
  <si>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</si>
  <si>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</si>
  <si>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</si>
  <si>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</si>
  <si>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</si>
  <si>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</si>
  <si>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</si>
  <si>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</si>
  <si>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</si>
  <si>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</si>
  <si>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</si>
  <si>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</si>
  <si>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</si>
  <si>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</si>
  <si>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</si>
  <si>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</si>
  <si>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</si>
  <si>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</si>
  <si>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</si>
  <si>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</si>
  <si>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</si>
  <si>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</si>
  <si>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</si>
  <si>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</si>
  <si>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</si>
  <si>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</si>
  <si>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</si>
  <si>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</si>
  <si>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</si>
  <si>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</si>
  <si>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</si>
  <si>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</si>
  <si>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</si>
  <si>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</si>
  <si>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</si>
  <si>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</si>
  <si>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</si>
  <si>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</si>
  <si>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</si>
  <si>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</si>
  <si>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</si>
  <si>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</si>
  <si>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</si>
  <si>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</si>
  <si>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</si>
  <si>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</si>
  <si>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</si>
  <si>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</si>
  <si>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</si>
  <si>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</si>
  <si>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</si>
  <si>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</si>
  <si>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</si>
  <si>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</si>
  <si>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</si>
  <si>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</si>
  <si>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</si>
  <si>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</si>
  <si>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</si>
  <si>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</si>
  <si>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</si>
  <si>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</si>
  <si>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HOLIDAYS</t>
  </si>
  <si>
    <t>DIM</t>
  </si>
  <si>
    <t>top row</t>
  </si>
  <si>
    <t>actual range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</si>
  <si>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</si>
  <si>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</si>
  <si>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</si>
  <si>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</si>
  <si>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</si>
  <si>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</si>
  <si>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</si>
  <si>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</si>
  <si>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</si>
  <si>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</si>
  <si>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</si>
  <si>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</si>
  <si>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</si>
  <si>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</si>
  <si>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</si>
  <si>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</si>
  <si>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</si>
  <si>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</si>
  <si>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</si>
  <si>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</si>
  <si>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</si>
  <si>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</si>
  <si>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</si>
  <si>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</si>
  <si>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futures rate</t>
  </si>
  <si>
    <t>Juneteenth</t>
  </si>
  <si>
    <t>agree on 3M SOFR settle</t>
  </si>
  <si>
    <t>final settle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</si>
  <si>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</si>
  <si>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</si>
  <si>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</si>
  <si>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</si>
  <si>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</si>
  <si>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</si>
  <si>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</si>
  <si>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</si>
  <si>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</si>
  <si>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</si>
  <si>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Good Friday *</t>
  </si>
  <si>
    <t>* Good Friday is only a holiday for SOFR</t>
  </si>
  <si>
    <t>-</t>
  </si>
  <si>
    <t>Three-Month SOFR Futures Calendar - CME Group</t>
  </si>
  <si>
    <t>Events</t>
  </si>
  <si>
    <t>cut size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</si>
  <si>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</si>
  <si>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</si>
  <si>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</si>
  <si>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</si>
  <si>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</si>
  <si>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</si>
  <si>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</si>
  <si>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</si>
  <si>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</si>
  <si>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</si>
  <si>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</si>
  <si>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</si>
  <si>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</si>
  <si>
    <t>7-8</t>
  </si>
  <si>
    <t>* days in month</t>
  </si>
  <si>
    <t>+ days in month</t>
  </si>
  <si>
    <t>= bottom row</t>
  </si>
  <si>
    <t>= projected days</t>
  </si>
  <si>
    <t>- actual days</t>
  </si>
  <si>
    <t>= monthly sum</t>
  </si>
  <si>
    <t>- actual sum</t>
  </si>
  <si>
    <t>= projected sum</t>
  </si>
  <si>
    <t>Diff</t>
  </si>
  <si>
    <t>projected sum</t>
  </si>
  <si>
    <t>/ projected days</t>
  </si>
  <si>
    <t>= projected rate</t>
  </si>
  <si>
    <t>average rate</t>
  </si>
  <si>
    <t>expected settlement</t>
  </si>
  <si>
    <t>FOMC Meetings</t>
  </si>
  <si>
    <t>meeting date row</t>
  </si>
  <si>
    <t>proj head range</t>
  </si>
  <si>
    <t>proj tail range</t>
  </si>
  <si>
    <t>/ tail days</t>
  </si>
  <si>
    <t>proj tail rate</t>
  </si>
  <si>
    <t>- proj head days</t>
  </si>
  <si>
    <t>= proj tail days</t>
  </si>
  <si>
    <t>- proj head sum</t>
  </si>
  <si>
    <t>= proj tail sum</t>
  </si>
  <si>
    <t>proj tail sum</t>
  </si>
  <si>
    <t>- proj tail sum</t>
  </si>
  <si>
    <t>proj head sum</t>
  </si>
  <si>
    <t>/ proj head days</t>
  </si>
  <si>
    <t>proj head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</si>
</sst>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  <numFmt numFmtId="175" formatCode="[$-409]d\-mmm;@"/>
    <numFmt numFmtId="176" formatCode="_(* #,##0_);_(* \(#,##0\);_(* &quot;-&quot;??_);_(@_)"/>
  </numFmts>
  <fonts count="4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50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18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7" fontId="9" fillId="0" borderId="19" xfId="0" quotePrefix="1" applyNumberFormat="1" applyFont="1" applyBorder="1" applyAlignment="1">
      <alignment horizontal="center"/>
    </xf>
    <xf numFmtId="17" fontId="9" fillId="0" borderId="19" xfId="0" applyNumberFormat="1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15" fillId="0" borderId="0" xfId="0" applyFont="1"/>
    <xf numFmtId="17" fontId="11" fillId="4" borderId="19" xfId="0" applyNumberFormat="1" applyFont="1" applyFill="1" applyBorder="1" applyAlignment="1">
      <alignment horizontal="center"/>
    </xf>
    <xf numFmtId="165" fontId="16" fillId="4" borderId="8" xfId="0" applyNumberFormat="1" applyFont="1" applyFill="1" applyBorder="1"/>
    <xf numFmtId="165" fontId="16" fillId="4" borderId="11" xfId="0" applyNumberFormat="1" applyFont="1" applyFill="1" applyBorder="1"/>
    <xf numFmtId="165" fontId="10" fillId="4" borderId="8" xfId="0" applyNumberFormat="1" applyFont="1" applyFill="1" applyBorder="1"/>
    <xf numFmtId="165" fontId="10" fillId="4" borderId="0" xfId="0" applyNumberFormat="1" applyFont="1" applyFill="1"/>
    <xf numFmtId="165" fontId="10" fillId="4" borderId="11" xfId="0" applyNumberFormat="1" applyFont="1" applyFill="1" applyBorder="1"/>
    <xf numFmtId="17" fontId="11" fillId="0" borderId="19" xfId="0" applyNumberFormat="1" applyFont="1" applyBorder="1" applyAlignment="1">
      <alignment horizontal="center"/>
    </xf>
    <xf numFmtId="165" fontId="10" fillId="0" borderId="8" xfId="0" applyNumberFormat="1" applyFont="1" applyBorder="1"/>
    <xf numFmtId="165" fontId="10" fillId="0" borderId="0" xfId="0" applyNumberFormat="1" applyFont="1"/>
    <xf numFmtId="165" fontId="10" fillId="0" borderId="11" xfId="0" applyNumberFormat="1" applyFont="1" applyBorder="1"/>
    <xf numFmtId="165" fontId="10" fillId="0" borderId="8" xfId="0" applyNumberFormat="1" applyFont="1" applyBorder="1" applyAlignment="1">
      <alignment horizontal="center"/>
    </xf>
    <xf numFmtId="17" fontId="11" fillId="4" borderId="20" xfId="0" applyNumberFormat="1" applyFont="1" applyFill="1" applyBorder="1" applyAlignment="1">
      <alignment horizontal="center"/>
    </xf>
    <xf numFmtId="165" fontId="16" fillId="0" borderId="8" xfId="0" applyNumberFormat="1" applyFont="1" applyBorder="1"/>
    <xf numFmtId="165" fontId="16" fillId="0" borderId="11" xfId="0" applyNumberFormat="1" applyFont="1" applyBorder="1"/>
    <xf numFmtId="165" fontId="10" fillId="4" borderId="16" xfId="0" applyNumberFormat="1" applyFont="1" applyFill="1" applyBorder="1"/>
    <xf numFmtId="165" fontId="10" fillId="4" borderId="24" xfId="0" applyNumberFormat="1" applyFont="1" applyFill="1" applyBorder="1"/>
    <xf numFmtId="165" fontId="10" fillId="4" borderId="17" xfId="0" applyNumberFormat="1" applyFont="1" applyFill="1" applyBorder="1"/>
    <xf numFmtId="165" fontId="14" fillId="0" borderId="19" xfId="0" applyNumberFormat="1" applyFont="1" applyBorder="1"/>
    <xf numFmtId="165" fontId="16" fillId="4" borderId="16" xfId="0" applyNumberFormat="1" applyFont="1" applyFill="1" applyBorder="1"/>
    <xf numFmtId="165" fontId="16" fillId="4" borderId="17" xfId="0" applyNumberFormat="1" applyFont="1" applyFill="1" applyBorder="1"/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7" xfId="0" applyFont="1" applyBorder="1"/>
    <xf numFmtId="164" fontId="10" fillId="0" borderId="11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11" xfId="0" applyFont="1" applyBorder="1"/>
    <xf numFmtId="2" fontId="10" fillId="0" borderId="0" xfId="0" applyNumberFormat="1" applyFont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8" xfId="0" applyNumberFormat="1" applyFont="1" applyBorder="1"/>
    <xf numFmtId="164" fontId="10" fillId="0" borderId="10" xfId="0" applyNumberFormat="1" applyFont="1" applyBorder="1" applyAlignment="1">
      <alignment horizontal="center"/>
    </xf>
    <xf numFmtId="165" fontId="20" fillId="0" borderId="9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0" fontId="10" fillId="0" borderId="7" xfId="0" applyFont="1" applyBorder="1"/>
    <xf numFmtId="165" fontId="20" fillId="0" borderId="8" xfId="0" applyNumberFormat="1" applyFont="1" applyBorder="1"/>
    <xf numFmtId="0" fontId="10" fillId="0" borderId="13" xfId="0" applyFont="1" applyBorder="1"/>
    <xf numFmtId="165" fontId="14" fillId="0" borderId="8" xfId="0" applyNumberFormat="1" applyFont="1" applyBorder="1"/>
    <xf numFmtId="0" fontId="17" fillId="0" borderId="0" xfId="2" applyFont="1" applyBorder="1"/>
    <xf numFmtId="0" fontId="10" fillId="0" borderId="10" xfId="0" applyFont="1" applyBorder="1"/>
    <xf numFmtId="164" fontId="10" fillId="5" borderId="7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164" fontId="10" fillId="4" borderId="11" xfId="0" applyNumberFormat="1" applyFont="1" applyFill="1" applyBorder="1" applyAlignment="1">
      <alignment horizontal="center"/>
    </xf>
    <xf numFmtId="165" fontId="14" fillId="4" borderId="8" xfId="0" applyNumberFormat="1" applyFont="1" applyFill="1" applyBorder="1"/>
    <xf numFmtId="165" fontId="11" fillId="2" borderId="0" xfId="0" applyNumberFormat="1" applyFont="1" applyFill="1" applyAlignment="1">
      <alignment horizontal="center"/>
    </xf>
    <xf numFmtId="165" fontId="10" fillId="0" borderId="9" xfId="0" applyNumberFormat="1" applyFont="1" applyBorder="1"/>
    <xf numFmtId="165" fontId="10" fillId="0" borderId="7" xfId="0" applyNumberFormat="1" applyFont="1" applyBorder="1"/>
    <xf numFmtId="165" fontId="10" fillId="0" borderId="12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4" fontId="10" fillId="0" borderId="25" xfId="0" applyNumberFormat="1" applyFont="1" applyBorder="1" applyAlignment="1">
      <alignment horizontal="center"/>
    </xf>
    <xf numFmtId="165" fontId="20" fillId="0" borderId="12" xfId="0" applyNumberFormat="1" applyFont="1" applyBorder="1"/>
    <xf numFmtId="0" fontId="10" fillId="3" borderId="13" xfId="0" applyFont="1" applyFill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0" fillId="4" borderId="13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5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22" fillId="0" borderId="0" xfId="0" applyFont="1"/>
    <xf numFmtId="0" fontId="10" fillId="0" borderId="5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0" xfId="0" applyFont="1" applyBorder="1" applyAlignment="1">
      <alignment horizontal="center"/>
    </xf>
    <xf numFmtId="165" fontId="12" fillId="0" borderId="8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7" fillId="0" borderId="0" xfId="0" applyFont="1" applyAlignment="1">
      <alignment horizontal="center"/>
    </xf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1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1" xfId="0" applyNumberFormat="1" applyFont="1" applyBorder="1" applyAlignment="1">
      <alignment horizontal="right"/>
    </xf>
    <xf numFmtId="165" fontId="11" fillId="0" borderId="11" xfId="0" applyNumberFormat="1" applyFont="1" applyBorder="1" applyAlignment="1">
      <alignment horizontal="right"/>
    </xf>
    <xf numFmtId="165" fontId="12" fillId="0" borderId="11" xfId="0" applyNumberFormat="1" applyFont="1" applyBorder="1" applyAlignment="1">
      <alignment horizontal="right"/>
    </xf>
    <xf numFmtId="0" fontId="13" fillId="0" borderId="11" xfId="0" applyFont="1" applyBorder="1" applyAlignment="1">
      <alignment horizontal="right"/>
    </xf>
    <xf numFmtId="0" fontId="12" fillId="0" borderId="10" xfId="0" applyFont="1" applyBorder="1" applyAlignment="1">
      <alignment horizontal="right"/>
    </xf>
    <xf numFmtId="0" fontId="11" fillId="0" borderId="11" xfId="0" applyFont="1" applyBorder="1" applyAlignment="1">
      <alignment horizontal="right"/>
    </xf>
    <xf numFmtId="165" fontId="13" fillId="0" borderId="11" xfId="0" applyNumberFormat="1" applyFont="1" applyBorder="1" applyAlignment="1">
      <alignment horizontal="right"/>
    </xf>
    <xf numFmtId="1" fontId="10" fillId="0" borderId="11" xfId="0" applyNumberFormat="1" applyFont="1" applyBorder="1" applyAlignment="1">
      <alignment horizontal="right"/>
    </xf>
    <xf numFmtId="165" fontId="14" fillId="0" borderId="11" xfId="0" applyNumberFormat="1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166" fontId="14" fillId="0" borderId="11" xfId="0" applyNumberFormat="1" applyFont="1" applyBorder="1" applyAlignment="1">
      <alignment horizontal="right"/>
    </xf>
    <xf numFmtId="166" fontId="14" fillId="0" borderId="10" xfId="0" applyNumberFormat="1" applyFont="1" applyBorder="1" applyAlignment="1">
      <alignment horizontal="right"/>
    </xf>
    <xf numFmtId="165" fontId="14" fillId="0" borderId="10" xfId="0" applyNumberFormat="1" applyFont="1" applyBorder="1" applyAlignment="1">
      <alignment horizontal="right"/>
    </xf>
    <xf numFmtId="165" fontId="15" fillId="0" borderId="0" xfId="0" applyNumberFormat="1" applyFont="1" applyAlignment="1">
      <alignment horizontal="right"/>
    </xf>
    <xf numFmtId="165" fontId="15" fillId="0" borderId="11" xfId="0" applyNumberFormat="1" applyFont="1" applyBorder="1" applyAlignment="1">
      <alignment horizontal="right"/>
    </xf>
    <xf numFmtId="2" fontId="14" fillId="0" borderId="8" xfId="0" applyNumberFormat="1" applyFont="1" applyBorder="1"/>
    <xf numFmtId="2" fontId="14" fillId="0" borderId="9" xfId="0" applyNumberFormat="1" applyFont="1" applyBorder="1"/>
    <xf numFmtId="2" fontId="14" fillId="4" borderId="8" xfId="0" applyNumberFormat="1" applyFont="1" applyFill="1" applyBorder="1"/>
    <xf numFmtId="2" fontId="14" fillId="0" borderId="12" xfId="0" applyNumberFormat="1" applyFont="1" applyBorder="1"/>
    <xf numFmtId="2" fontId="14" fillId="2" borderId="8" xfId="0" applyNumberFormat="1" applyFont="1" applyFill="1" applyBorder="1"/>
    <xf numFmtId="2" fontId="14" fillId="8" borderId="8" xfId="0" applyNumberFormat="1" applyFont="1" applyFill="1" applyBorder="1"/>
    <xf numFmtId="0" fontId="15" fillId="0" borderId="0" xfId="0" applyFont="1" applyAlignment="1">
      <alignment horizontal="right"/>
    </xf>
    <xf numFmtId="0" fontId="15" fillId="0" borderId="11" xfId="0" applyFont="1" applyBorder="1" applyAlignment="1">
      <alignment horizontal="right"/>
    </xf>
    <xf numFmtId="165" fontId="19" fillId="0" borderId="11" xfId="0" applyNumberFormat="1" applyFont="1" applyBorder="1"/>
    <xf numFmtId="165" fontId="20" fillId="0" borderId="10" xfId="0" applyNumberFormat="1" applyFont="1" applyBorder="1"/>
    <xf numFmtId="165" fontId="20" fillId="0" borderId="11" xfId="0" applyNumberFormat="1" applyFont="1" applyBorder="1"/>
    <xf numFmtId="165" fontId="14" fillId="0" borderId="11" xfId="0" applyNumberFormat="1" applyFont="1" applyBorder="1"/>
    <xf numFmtId="165" fontId="14" fillId="4" borderId="11" xfId="0" applyNumberFormat="1" applyFont="1" applyFill="1" applyBorder="1"/>
    <xf numFmtId="165" fontId="10" fillId="0" borderId="10" xfId="0" applyNumberFormat="1" applyFont="1" applyBorder="1"/>
    <xf numFmtId="165" fontId="10" fillId="0" borderId="25" xfId="0" applyNumberFormat="1" applyFont="1" applyBorder="1"/>
    <xf numFmtId="165" fontId="20" fillId="0" borderId="25" xfId="0" applyNumberFormat="1" applyFont="1" applyBorder="1"/>
    <xf numFmtId="0" fontId="10" fillId="0" borderId="25" xfId="0" applyFont="1" applyBorder="1"/>
    <xf numFmtId="165" fontId="12" fillId="0" borderId="11" xfId="0" applyNumberFormat="1" applyFont="1" applyBorder="1"/>
    <xf numFmtId="0" fontId="30" fillId="0" borderId="0" xfId="0" applyFont="1"/>
    <xf numFmtId="16" fontId="0" fillId="0" borderId="0" xfId="0" applyNumberFormat="1"/>
    <xf numFmtId="0" fontId="32" fillId="0" borderId="0" xfId="0" applyFont="1"/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20" fillId="4" borderId="27" xfId="1" applyNumberFormat="1" applyFont="1" applyFill="1" applyBorder="1" applyAlignment="1">
      <alignment horizontal="center"/>
    </xf>
    <xf numFmtId="169" fontId="16" fillId="0" borderId="11" xfId="0" applyNumberFormat="1" applyFont="1" applyBorder="1"/>
    <xf numFmtId="169" fontId="16" fillId="4" borderId="11" xfId="0" applyNumberFormat="1" applyFont="1" applyFill="1" applyBorder="1"/>
    <xf numFmtId="169" fontId="16" fillId="4" borderId="17" xfId="0" applyNumberFormat="1" applyFont="1" applyFill="1" applyBorder="1"/>
    <xf numFmtId="169" fontId="16" fillId="0" borderId="8" xfId="0" applyNumberFormat="1" applyFont="1" applyBorder="1"/>
    <xf numFmtId="169" fontId="16" fillId="4" borderId="8" xfId="0" applyNumberFormat="1" applyFont="1" applyFill="1" applyBorder="1"/>
    <xf numFmtId="169" fontId="16" fillId="4" borderId="16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4" xfId="0" applyFont="1" applyFill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4" borderId="8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6" fillId="4" borderId="16" xfId="0" applyFont="1" applyFill="1" applyBorder="1" applyAlignment="1">
      <alignment horizontal="center"/>
    </xf>
    <xf numFmtId="0" fontId="16" fillId="4" borderId="17" xfId="0" applyFont="1" applyFill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165" fontId="14" fillId="4" borderId="20" xfId="0" applyNumberFormat="1" applyFont="1" applyFill="1" applyBorder="1" applyAlignment="1">
      <alignment horizontal="right"/>
    </xf>
    <xf numFmtId="0" fontId="9" fillId="0" borderId="18" xfId="0" applyFont="1" applyBorder="1" applyAlignment="1">
      <alignment horizontal="center"/>
    </xf>
    <xf numFmtId="17" fontId="9" fillId="0" borderId="18" xfId="0" applyNumberFormat="1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165" fontId="14" fillId="4" borderId="19" xfId="0" applyNumberFormat="1" applyFont="1" applyFill="1" applyBorder="1" applyAlignment="1">
      <alignment horizontal="right"/>
    </xf>
    <xf numFmtId="0" fontId="16" fillId="4" borderId="20" xfId="0" applyFont="1" applyFill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0" borderId="8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8" xfId="0" applyNumberFormat="1" applyFont="1" applyFill="1" applyBorder="1"/>
    <xf numFmtId="0" fontId="10" fillId="4" borderId="11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1" xfId="0" applyNumberFormat="1" applyFont="1" applyBorder="1" applyAlignment="1">
      <alignment horizontal="right"/>
    </xf>
    <xf numFmtId="0" fontId="20" fillId="0" borderId="27" xfId="1" applyNumberFormat="1" applyFont="1" applyFill="1" applyBorder="1" applyAlignment="1">
      <alignment horizontal="center"/>
    </xf>
    <xf numFmtId="165" fontId="31" fillId="0" borderId="12" xfId="0" applyNumberFormat="1" applyFont="1" applyBorder="1"/>
    <xf numFmtId="165" fontId="31" fillId="0" borderId="25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8" xfId="0" applyNumberFormat="1" applyFont="1" applyBorder="1"/>
    <xf numFmtId="165" fontId="31" fillId="0" borderId="11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1" xfId="0" applyNumberFormat="1" applyFont="1" applyFill="1" applyBorder="1" applyAlignment="1">
      <alignment horizontal="right"/>
    </xf>
    <xf numFmtId="1" fontId="15" fillId="0" borderId="11" xfId="0" applyNumberFormat="1" applyFont="1" applyBorder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1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1" xfId="0" applyNumberFormat="1" applyFont="1" applyBorder="1" applyAlignment="1">
      <alignment horizontal="right"/>
    </xf>
    <xf numFmtId="171" fontId="34" fillId="0" borderId="4" xfId="0" applyNumberFormat="1" applyFont="1" applyBorder="1" applyAlignment="1">
      <alignment horizontal="center" vertical="center" wrapText="1"/>
    </xf>
    <xf numFmtId="172" fontId="34" fillId="0" borderId="6" xfId="0" applyNumberFormat="1" applyFont="1" applyBorder="1" applyAlignment="1">
      <alignment horizontal="center" vertical="center" wrapText="1"/>
    </xf>
    <xf numFmtId="165" fontId="11" fillId="0" borderId="11" xfId="0" applyNumberFormat="1" applyFont="1" applyBorder="1"/>
    <xf numFmtId="165" fontId="35" fillId="4" borderId="11" xfId="0" applyNumberFormat="1" applyFont="1" applyFill="1" applyBorder="1"/>
    <xf numFmtId="165" fontId="35" fillId="4" borderId="17" xfId="0" applyNumberFormat="1" applyFont="1" applyFill="1" applyBorder="1"/>
    <xf numFmtId="0" fontId="14" fillId="4" borderId="8" xfId="0" applyFont="1" applyFill="1" applyBorder="1" applyAlignment="1">
      <alignment horizontal="center"/>
    </xf>
    <xf numFmtId="0" fontId="36" fillId="0" borderId="0" xfId="0" applyFont="1"/>
    <xf numFmtId="165" fontId="35" fillId="0" borderId="11" xfId="0" applyNumberFormat="1" applyFont="1" applyBorder="1"/>
    <xf numFmtId="165" fontId="14" fillId="0" borderId="19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19" xfId="0" applyNumberFormat="1" applyFont="1" applyBorder="1"/>
    <xf numFmtId="0" fontId="12" fillId="0" borderId="0" xfId="0" applyFont="1"/>
    <xf numFmtId="166" fontId="13" fillId="2" borderId="0" xfId="0" applyNumberFormat="1" applyFont="1" applyFill="1" applyAlignment="1">
      <alignment horizontal="right"/>
    </xf>
    <xf numFmtId="166" fontId="13" fillId="2" borderId="11" xfId="0" applyNumberFormat="1" applyFont="1" applyFill="1" applyBorder="1" applyAlignment="1">
      <alignment horizontal="right"/>
    </xf>
    <xf numFmtId="165" fontId="37" fillId="0" borderId="7" xfId="0" applyNumberFormat="1" applyFont="1" applyBorder="1" applyAlignment="1">
      <alignment horizontal="right"/>
    </xf>
    <xf numFmtId="165" fontId="37" fillId="0" borderId="10" xfId="0" applyNumberFormat="1" applyFont="1" applyBorder="1" applyAlignment="1">
      <alignment horizontal="right"/>
    </xf>
    <xf numFmtId="165" fontId="16" fillId="3" borderId="8" xfId="0" applyNumberFormat="1" applyFont="1" applyFill="1" applyBorder="1"/>
    <xf numFmtId="165" fontId="10" fillId="5" borderId="0" xfId="0" applyNumberFormat="1" applyFont="1" applyFill="1"/>
    <xf numFmtId="166" fontId="13" fillId="0" borderId="11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0" xfId="0" applyNumberFormat="1" applyFont="1" applyBorder="1" applyAlignment="1">
      <alignment horizontal="right"/>
    </xf>
    <xf numFmtId="165" fontId="16" fillId="5" borderId="16" xfId="0" applyNumberFormat="1" applyFont="1" applyFill="1" applyBorder="1"/>
    <xf numFmtId="165" fontId="35" fillId="2" borderId="17" xfId="0" applyNumberFormat="1" applyFont="1" applyFill="1" applyBorder="1"/>
    <xf numFmtId="165" fontId="11" fillId="2" borderId="11" xfId="0" applyNumberFormat="1" applyFont="1" applyFill="1" applyBorder="1"/>
    <xf numFmtId="0" fontId="21" fillId="0" borderId="0" xfId="0" applyFont="1"/>
    <xf numFmtId="165" fontId="35" fillId="2" borderId="11" xfId="0" applyNumberFormat="1" applyFont="1" applyFill="1" applyBorder="1"/>
    <xf numFmtId="0" fontId="10" fillId="0" borderId="7" xfId="0" applyFont="1" applyBorder="1" applyAlignment="1">
      <alignment horizontal="right"/>
    </xf>
    <xf numFmtId="0" fontId="10" fillId="0" borderId="10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8" xfId="0" applyNumberFormat="1" applyFont="1" applyBorder="1"/>
    <xf numFmtId="165" fontId="38" fillId="0" borderId="0" xfId="0" applyNumberFormat="1" applyFont="1"/>
    <xf numFmtId="0" fontId="40" fillId="0" borderId="0" xfId="0" applyFont="1"/>
    <xf numFmtId="0" fontId="41" fillId="0" borderId="0" xfId="0" applyFont="1"/>
    <xf numFmtId="0" fontId="39" fillId="0" borderId="0" xfId="0" applyFont="1"/>
    <xf numFmtId="0" fontId="39" fillId="7" borderId="0" xfId="0" applyFont="1" applyFill="1"/>
    <xf numFmtId="165" fontId="11" fillId="0" borderId="9" xfId="0" applyNumberFormat="1" applyFont="1" applyBorder="1"/>
    <xf numFmtId="165" fontId="11" fillId="0" borderId="10" xfId="0" applyNumberFormat="1" applyFont="1" applyBorder="1"/>
    <xf numFmtId="165" fontId="20" fillId="10" borderId="8" xfId="0" applyNumberFormat="1" applyFont="1" applyFill="1" applyBorder="1"/>
    <xf numFmtId="165" fontId="20" fillId="10" borderId="11" xfId="0" applyNumberFormat="1" applyFont="1" applyFill="1" applyBorder="1"/>
    <xf numFmtId="0" fontId="20" fillId="0" borderId="0" xfId="0" applyFont="1"/>
    <xf numFmtId="165" fontId="24" fillId="0" borderId="8" xfId="0" applyNumberFormat="1" applyFont="1" applyBorder="1"/>
    <xf numFmtId="165" fontId="24" fillId="0" borderId="11" xfId="0" applyNumberFormat="1" applyFont="1" applyBorder="1"/>
    <xf numFmtId="165" fontId="21" fillId="0" borderId="8" xfId="0" applyNumberFormat="1" applyFont="1" applyBorder="1"/>
    <xf numFmtId="165" fontId="21" fillId="0" borderId="11" xfId="0" applyNumberFormat="1" applyFont="1" applyBorder="1"/>
    <xf numFmtId="165" fontId="25" fillId="0" borderId="0" xfId="0" applyNumberFormat="1" applyFont="1"/>
    <xf numFmtId="165" fontId="25" fillId="0" borderId="8" xfId="0" applyNumberFormat="1" applyFont="1" applyBorder="1"/>
    <xf numFmtId="165" fontId="25" fillId="4" borderId="16" xfId="0" applyNumberFormat="1" applyFont="1" applyFill="1" applyBorder="1"/>
    <xf numFmtId="0" fontId="2" fillId="0" borderId="8" xfId="2" applyBorder="1"/>
    <xf numFmtId="0" fontId="11" fillId="0" borderId="1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17" fontId="20" fillId="4" borderId="19" xfId="0" applyNumberFormat="1" applyFont="1" applyFill="1" applyBorder="1" applyAlignment="1">
      <alignment horizontal="center"/>
    </xf>
    <xf numFmtId="17" fontId="20" fillId="0" borderId="19" xfId="0" applyNumberFormat="1" applyFont="1" applyBorder="1" applyAlignment="1">
      <alignment horizontal="center"/>
    </xf>
    <xf numFmtId="17" fontId="20" fillId="4" borderId="20" xfId="0" applyNumberFormat="1" applyFont="1" applyFill="1" applyBorder="1" applyAlignment="1">
      <alignment horizontal="center"/>
    </xf>
    <xf numFmtId="0" fontId="42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0" xfId="0" applyNumberFormat="1" applyFont="1" applyBorder="1" applyAlignment="1">
      <alignment horizontal="right"/>
    </xf>
    <xf numFmtId="0" fontId="20" fillId="7" borderId="0" xfId="0" applyFont="1" applyFill="1"/>
    <xf numFmtId="0" fontId="38" fillId="7" borderId="0" xfId="1" applyNumberFormat="1" applyFont="1" applyFill="1" applyBorder="1" applyAlignment="1">
      <alignment horizontal="right"/>
    </xf>
    <xf numFmtId="170" fontId="39" fillId="0" borderId="0" xfId="1" applyNumberFormat="1" applyFont="1" applyBorder="1"/>
    <xf numFmtId="170" fontId="39" fillId="2" borderId="0" xfId="1" applyNumberFormat="1" applyFont="1" applyFill="1" applyBorder="1"/>
    <xf numFmtId="165" fontId="21" fillId="4" borderId="24" xfId="0" applyNumberFormat="1" applyFont="1" applyFill="1" applyBorder="1"/>
    <xf numFmtId="165" fontId="43" fillId="0" borderId="0" xfId="0" applyNumberFormat="1" applyFont="1" applyAlignment="1">
      <alignment horizontal="right"/>
    </xf>
    <xf numFmtId="165" fontId="43" fillId="0" borderId="11" xfId="0" applyNumberFormat="1" applyFont="1" applyBorder="1" applyAlignment="1">
      <alignment horizontal="right"/>
    </xf>
    <xf numFmtId="0" fontId="43" fillId="0" borderId="0" xfId="0" applyFont="1" applyAlignment="1">
      <alignment horizontal="right"/>
    </xf>
    <xf numFmtId="0" fontId="43" fillId="0" borderId="11" xfId="0" applyFont="1" applyBorder="1" applyAlignment="1">
      <alignment horizontal="right"/>
    </xf>
    <xf numFmtId="165" fontId="14" fillId="0" borderId="25" xfId="0" applyNumberFormat="1" applyFont="1" applyBorder="1"/>
    <xf numFmtId="165" fontId="31" fillId="0" borderId="9" xfId="0" applyNumberFormat="1" applyFont="1" applyBorder="1"/>
    <xf numFmtId="165" fontId="31" fillId="0" borderId="10" xfId="0" applyNumberFormat="1" applyFont="1" applyBorder="1"/>
    <xf numFmtId="165" fontId="14" fillId="0" borderId="9" xfId="0" applyNumberFormat="1" applyFont="1" applyBorder="1"/>
    <xf numFmtId="165" fontId="14" fillId="0" borderId="10" xfId="0" applyNumberFormat="1" applyFont="1" applyBorder="1"/>
    <xf numFmtId="165" fontId="25" fillId="4" borderId="0" xfId="0" applyNumberFormat="1" applyFont="1" applyFill="1"/>
    <xf numFmtId="165" fontId="25" fillId="4" borderId="24" xfId="0" applyNumberFormat="1" applyFont="1" applyFill="1" applyBorder="1"/>
    <xf numFmtId="165" fontId="44" fillId="0" borderId="8" xfId="0" applyNumberFormat="1" applyFont="1" applyBorder="1"/>
    <xf numFmtId="165" fontId="44" fillId="0" borderId="0" xfId="0" applyNumberFormat="1" applyFont="1"/>
    <xf numFmtId="165" fontId="44" fillId="4" borderId="8" xfId="0" applyNumberFormat="1" applyFont="1" applyFill="1" applyBorder="1"/>
    <xf numFmtId="165" fontId="44" fillId="4" borderId="0" xfId="0" applyNumberFormat="1" applyFont="1" applyFill="1"/>
    <xf numFmtId="166" fontId="10" fillId="0" borderId="11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0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2" fontId="14" fillId="0" borderId="13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1" fillId="0" borderId="7" xfId="0" applyFont="1" applyBorder="1" applyAlignment="1">
      <alignment horizontal="right"/>
    </xf>
    <xf numFmtId="0" fontId="45" fillId="7" borderId="0" xfId="0" applyFont="1" applyFill="1"/>
    <xf numFmtId="0" fontId="45" fillId="7" borderId="0" xfId="0" applyFont="1" applyFill="1" applyAlignment="1">
      <alignment horizontal="right"/>
    </xf>
    <xf numFmtId="0" fontId="45" fillId="7" borderId="0" xfId="0" applyFont="1" applyFill="1" applyAlignment="1">
      <alignment horizontal="center"/>
    </xf>
    <xf numFmtId="0" fontId="45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8" xfId="0" applyNumberFormat="1" applyBorder="1" applyAlignment="1">
      <alignment horizontal="right"/>
    </xf>
    <xf numFmtId="173" fontId="36" fillId="0" borderId="0" xfId="0" applyNumberFormat="1" applyFont="1"/>
    <xf numFmtId="173" fontId="30" fillId="0" borderId="0" xfId="0" applyNumberFormat="1" applyFont="1"/>
    <xf numFmtId="165" fontId="10" fillId="5" borderId="16" xfId="0" applyNumberFormat="1" applyFont="1" applyFill="1" applyBorder="1"/>
    <xf numFmtId="14" fontId="10" fillId="0" borderId="13" xfId="0" applyNumberFormat="1" applyFont="1" applyBorder="1"/>
    <xf numFmtId="14" fontId="10" fillId="0" borderId="7" xfId="0" applyNumberFormat="1" applyFont="1" applyBorder="1"/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  <xf numFmtId="14" fontId="10" fillId="0" borderId="0" xfId="0" applyNumberFormat="1" applyFont="1"/>
    <xf numFmtId="165" fontId="25" fillId="4" borderId="8" xfId="0" applyNumberFormat="1" applyFont="1" applyFill="1" applyBorder="1"/>
    <xf numFmtId="170" fontId="24" fillId="0" borderId="0" xfId="1" applyNumberFormat="1" applyFont="1"/>
    <xf numFmtId="170" fontId="24" fillId="2" borderId="0" xfId="1" applyNumberFormat="1" applyFont="1" applyFill="1"/>
    <xf numFmtId="170" fontId="24" fillId="2" borderId="0" xfId="1" applyNumberFormat="1" applyFont="1" applyFill="1" applyAlignment="1">
      <alignment horizontal="center"/>
    </xf>
    <xf numFmtId="16" fontId="20" fillId="0" borderId="27" xfId="1" applyNumberFormat="1" applyFont="1" applyFill="1" applyBorder="1" applyAlignment="1">
      <alignment horizontal="center"/>
    </xf>
    <xf numFmtId="16" fontId="20" fillId="4" borderId="28" xfId="1" applyNumberFormat="1" applyFont="1" applyFill="1" applyBorder="1" applyAlignment="1">
      <alignment horizontal="center"/>
    </xf>
    <xf numFmtId="175" fontId="20" fillId="0" borderId="27" xfId="1" applyNumberFormat="1" applyFont="1" applyFill="1" applyBorder="1" applyAlignment="1">
      <alignment horizontal="center"/>
    </xf>
    <xf numFmtId="175" fontId="20" fillId="4" borderId="27" xfId="1" applyNumberFormat="1" applyFont="1" applyFill="1" applyBorder="1" applyAlignment="1">
      <alignment horizontal="center"/>
    </xf>
    <xf numFmtId="175" fontId="20" fillId="4" borderId="28" xfId="1" applyNumberFormat="1" applyFont="1" applyFill="1" applyBorder="1" applyAlignment="1">
      <alignment horizontal="center"/>
    </xf>
    <xf numFmtId="0" fontId="10" fillId="0" borderId="0" xfId="0" quotePrefix="1" applyFont="1" applyAlignment="1">
      <alignment horizontal="right"/>
    </xf>
    <xf numFmtId="164" fontId="10" fillId="4" borderId="8" xfId="0" applyNumberFormat="1" applyFont="1" applyFill="1" applyBorder="1" applyAlignment="1">
      <alignment horizontal="center"/>
    </xf>
    <xf numFmtId="0" fontId="10" fillId="4" borderId="8" xfId="1" applyNumberFormat="1" applyFont="1" applyFill="1" applyBorder="1" applyAlignment="1">
      <alignment horizontal="center"/>
    </xf>
    <xf numFmtId="0" fontId="12" fillId="4" borderId="9" xfId="1" applyNumberFormat="1" applyFont="1" applyFill="1" applyBorder="1" applyAlignment="1">
      <alignment horizontal="center"/>
    </xf>
    <xf numFmtId="0" fontId="12" fillId="4" borderId="8" xfId="1" applyNumberFormat="1" applyFont="1" applyFill="1" applyBorder="1" applyAlignment="1">
      <alignment horizontal="center"/>
    </xf>
    <xf numFmtId="0" fontId="10" fillId="4" borderId="9" xfId="1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/>
    </xf>
    <xf numFmtId="0" fontId="12" fillId="4" borderId="12" xfId="1" applyNumberFormat="1" applyFont="1" applyFill="1" applyBorder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7" fontId="10" fillId="4" borderId="10" xfId="0" applyNumberFormat="1" applyFont="1" applyFill="1" applyBorder="1"/>
    <xf numFmtId="0" fontId="12" fillId="4" borderId="12" xfId="0" applyFont="1" applyFill="1" applyBorder="1" applyAlignment="1">
      <alignment horizontal="center"/>
    </xf>
    <xf numFmtId="167" fontId="10" fillId="4" borderId="25" xfId="0" applyNumberFormat="1" applyFont="1" applyFill="1" applyBorder="1"/>
    <xf numFmtId="0" fontId="14" fillId="4" borderId="8" xfId="1" applyNumberFormat="1" applyFont="1" applyFill="1" applyBorder="1" applyAlignment="1">
      <alignment horizontal="center"/>
    </xf>
    <xf numFmtId="167" fontId="10" fillId="4" borderId="11" xfId="0" applyNumberFormat="1" applyFont="1" applyFill="1" applyBorder="1"/>
    <xf numFmtId="2" fontId="15" fillId="0" borderId="0" xfId="0" applyNumberFormat="1" applyFont="1" applyAlignment="1">
      <alignment horizontal="right"/>
    </xf>
    <xf numFmtId="2" fontId="15" fillId="0" borderId="11" xfId="0" applyNumberFormat="1" applyFont="1" applyBorder="1" applyAlignment="1">
      <alignment horizontal="right"/>
    </xf>
    <xf numFmtId="0" fontId="11" fillId="0" borderId="14" xfId="0" applyFont="1" applyBorder="1"/>
    <xf numFmtId="169" fontId="10" fillId="0" borderId="15" xfId="0" applyNumberFormat="1" applyFont="1" applyBorder="1" applyAlignment="1">
      <alignment horizontal="right"/>
    </xf>
    <xf numFmtId="169" fontId="10" fillId="0" borderId="11" xfId="0" applyNumberFormat="1" applyFont="1" applyBorder="1" applyAlignment="1">
      <alignment horizontal="right"/>
    </xf>
    <xf numFmtId="0" fontId="11" fillId="0" borderId="16" xfId="0" applyFont="1" applyBorder="1"/>
    <xf numFmtId="169" fontId="10" fillId="0" borderId="17" xfId="0" applyNumberFormat="1" applyFont="1" applyBorder="1" applyAlignment="1">
      <alignment horizontal="right"/>
    </xf>
    <xf numFmtId="0" fontId="12" fillId="0" borderId="8" xfId="0" applyFont="1" applyBorder="1"/>
    <xf numFmtId="169" fontId="12" fillId="0" borderId="11" xfId="0" applyNumberFormat="1" applyFont="1" applyBorder="1" applyAlignment="1">
      <alignment horizontal="right"/>
    </xf>
    <xf numFmtId="169" fontId="10" fillId="2" borderId="11" xfId="0" applyNumberFormat="1" applyFont="1" applyFill="1" applyBorder="1" applyAlignment="1">
      <alignment horizontal="right"/>
    </xf>
    <xf numFmtId="169" fontId="11" fillId="0" borderId="8" xfId="0" applyNumberFormat="1" applyFont="1" applyBorder="1" applyAlignment="1">
      <alignment horizontal="center"/>
    </xf>
    <xf numFmtId="169" fontId="11" fillId="0" borderId="9" xfId="0" applyNumberFormat="1" applyFont="1" applyBorder="1" applyAlignment="1">
      <alignment horizontal="center"/>
    </xf>
    <xf numFmtId="169" fontId="11" fillId="4" borderId="8" xfId="0" applyNumberFormat="1" applyFont="1" applyFill="1" applyBorder="1" applyAlignment="1">
      <alignment horizontal="center"/>
    </xf>
    <xf numFmtId="169" fontId="11" fillId="0" borderId="12" xfId="0" applyNumberFormat="1" applyFont="1" applyBorder="1" applyAlignment="1">
      <alignment horizontal="center"/>
    </xf>
    <xf numFmtId="169" fontId="13" fillId="0" borderId="8" xfId="0" applyNumberFormat="1" applyFont="1" applyBorder="1" applyAlignment="1">
      <alignment horizontal="center"/>
    </xf>
    <xf numFmtId="169" fontId="13" fillId="0" borderId="9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4" fillId="0" borderId="19" xfId="0" applyFont="1" applyBorder="1"/>
    <xf numFmtId="2" fontId="14" fillId="0" borderId="19" xfId="0" applyNumberFormat="1" applyFont="1" applyBorder="1"/>
    <xf numFmtId="2" fontId="14" fillId="0" borderId="29" xfId="0" applyNumberFormat="1" applyFont="1" applyBorder="1"/>
    <xf numFmtId="2" fontId="14" fillId="0" borderId="19" xfId="0" applyNumberFormat="1" applyFont="1" applyBorder="1" applyAlignment="1">
      <alignment horizontal="right"/>
    </xf>
    <xf numFmtId="2" fontId="14" fillId="0" borderId="30" xfId="0" applyNumberFormat="1" applyFont="1" applyBorder="1"/>
    <xf numFmtId="0" fontId="13" fillId="0" borderId="29" xfId="0" applyFont="1" applyBorder="1" applyAlignment="1">
      <alignment horizontal="center"/>
    </xf>
    <xf numFmtId="165" fontId="11" fillId="0" borderId="10" xfId="0" applyNumberFormat="1" applyFont="1" applyBorder="1" applyAlignment="1">
      <alignment horizontal="center"/>
    </xf>
    <xf numFmtId="2" fontId="13" fillId="0" borderId="9" xfId="0" applyNumberFormat="1" applyFont="1" applyBorder="1" applyAlignment="1">
      <alignment horizontal="center"/>
    </xf>
    <xf numFmtId="2" fontId="13" fillId="0" borderId="7" xfId="0" applyNumberFormat="1" applyFont="1" applyBorder="1" applyAlignment="1">
      <alignment horizontal="center"/>
    </xf>
    <xf numFmtId="166" fontId="11" fillId="2" borderId="0" xfId="0" applyNumberFormat="1" applyFont="1" applyFill="1"/>
    <xf numFmtId="0" fontId="2" fillId="0" borderId="0" xfId="2" applyFill="1" applyBorder="1"/>
    <xf numFmtId="0" fontId="2" fillId="2" borderId="0" xfId="2" applyFill="1" applyBorder="1"/>
    <xf numFmtId="0" fontId="31" fillId="2" borderId="0" xfId="0" applyFont="1" applyFill="1"/>
    <xf numFmtId="2" fontId="10" fillId="4" borderId="11" xfId="0" applyNumberFormat="1" applyFont="1" applyFill="1" applyBorder="1"/>
    <xf numFmtId="0" fontId="10" fillId="4" borderId="11" xfId="0" applyFont="1" applyFill="1" applyBorder="1"/>
    <xf numFmtId="0" fontId="11" fillId="2" borderId="8" xfId="0" applyFont="1" applyFill="1" applyBorder="1" applyAlignment="1">
      <alignment horizontal="right"/>
    </xf>
    <xf numFmtId="166" fontId="11" fillId="2" borderId="11" xfId="0" applyNumberFormat="1" applyFont="1" applyFill="1" applyBorder="1"/>
    <xf numFmtId="0" fontId="28" fillId="0" borderId="14" xfId="0" applyFont="1" applyBorder="1"/>
    <xf numFmtId="0" fontId="22" fillId="0" borderId="15" xfId="0" applyFont="1" applyBorder="1" applyAlignment="1">
      <alignment horizontal="center"/>
    </xf>
    <xf numFmtId="0" fontId="28" fillId="0" borderId="8" xfId="0" applyFont="1" applyBorder="1"/>
    <xf numFmtId="0" fontId="22" fillId="0" borderId="11" xfId="0" applyFont="1" applyBorder="1" applyAlignment="1">
      <alignment horizontal="center"/>
    </xf>
    <xf numFmtId="16" fontId="22" fillId="0" borderId="11" xfId="0" quotePrefix="1" applyNumberFormat="1" applyFont="1" applyBorder="1" applyAlignment="1">
      <alignment horizontal="center"/>
    </xf>
    <xf numFmtId="0" fontId="28" fillId="0" borderId="16" xfId="0" applyFont="1" applyBorder="1"/>
    <xf numFmtId="0" fontId="22" fillId="0" borderId="1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176" fontId="12" fillId="0" borderId="0" xfId="1" applyNumberFormat="1" applyFont="1" applyAlignment="1">
      <alignment horizontal="right"/>
    </xf>
    <xf numFmtId="166" fontId="13" fillId="2" borderId="11" xfId="0" applyNumberFormat="1" applyFont="1" applyFill="1" applyBorder="1"/>
    <xf numFmtId="0" fontId="10" fillId="0" borderId="9" xfId="0" applyFont="1" applyBorder="1" applyAlignment="1">
      <alignment horizontal="right"/>
    </xf>
    <xf numFmtId="0" fontId="11" fillId="0" borderId="9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2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EXTRAPOLATION'!$C$2500:$C$2589</c:f>
              <c:numCache>
                <c:formatCode>[$-409]dd\-mmm\-yy;@</c:formatCode>
                <c:ptCount val="90"/>
                <c:pt idx="0">
                  <c:v>46298</c:v>
                </c:pt>
                <c:pt idx="1">
                  <c:v>46299</c:v>
                </c:pt>
                <c:pt idx="2">
                  <c:v>46300</c:v>
                </c:pt>
                <c:pt idx="3">
                  <c:v>46301</c:v>
                </c:pt>
                <c:pt idx="4">
                  <c:v>46302</c:v>
                </c:pt>
                <c:pt idx="5">
                  <c:v>46303</c:v>
                </c:pt>
                <c:pt idx="6">
                  <c:v>46304</c:v>
                </c:pt>
                <c:pt idx="7">
                  <c:v>46305</c:v>
                </c:pt>
                <c:pt idx="8">
                  <c:v>46306</c:v>
                </c:pt>
                <c:pt idx="9">
                  <c:v>46307</c:v>
                </c:pt>
                <c:pt idx="10">
                  <c:v>46308</c:v>
                </c:pt>
                <c:pt idx="11">
                  <c:v>46309</c:v>
                </c:pt>
                <c:pt idx="12">
                  <c:v>46310</c:v>
                </c:pt>
                <c:pt idx="13">
                  <c:v>46311</c:v>
                </c:pt>
                <c:pt idx="14">
                  <c:v>46312</c:v>
                </c:pt>
                <c:pt idx="15">
                  <c:v>46313</c:v>
                </c:pt>
                <c:pt idx="16">
                  <c:v>46314</c:v>
                </c:pt>
                <c:pt idx="17">
                  <c:v>46315</c:v>
                </c:pt>
                <c:pt idx="18">
                  <c:v>46316</c:v>
                </c:pt>
                <c:pt idx="19">
                  <c:v>46317</c:v>
                </c:pt>
                <c:pt idx="20">
                  <c:v>46318</c:v>
                </c:pt>
                <c:pt idx="21">
                  <c:v>46319</c:v>
                </c:pt>
                <c:pt idx="22">
                  <c:v>46320</c:v>
                </c:pt>
                <c:pt idx="23">
                  <c:v>46321</c:v>
                </c:pt>
                <c:pt idx="24">
                  <c:v>46322</c:v>
                </c:pt>
                <c:pt idx="25">
                  <c:v>46323</c:v>
                </c:pt>
                <c:pt idx="26">
                  <c:v>46324</c:v>
                </c:pt>
                <c:pt idx="27">
                  <c:v>46325</c:v>
                </c:pt>
                <c:pt idx="28">
                  <c:v>46326</c:v>
                </c:pt>
                <c:pt idx="29">
                  <c:v>46327</c:v>
                </c:pt>
                <c:pt idx="30">
                  <c:v>46328</c:v>
                </c:pt>
                <c:pt idx="31">
                  <c:v>46329</c:v>
                </c:pt>
                <c:pt idx="32">
                  <c:v>46330</c:v>
                </c:pt>
                <c:pt idx="33">
                  <c:v>46331</c:v>
                </c:pt>
                <c:pt idx="34">
                  <c:v>46332</c:v>
                </c:pt>
                <c:pt idx="35">
                  <c:v>46333</c:v>
                </c:pt>
                <c:pt idx="36">
                  <c:v>46334</c:v>
                </c:pt>
                <c:pt idx="37">
                  <c:v>46335</c:v>
                </c:pt>
                <c:pt idx="38">
                  <c:v>46336</c:v>
                </c:pt>
                <c:pt idx="39">
                  <c:v>46337</c:v>
                </c:pt>
                <c:pt idx="40">
                  <c:v>46338</c:v>
                </c:pt>
                <c:pt idx="41">
                  <c:v>46339</c:v>
                </c:pt>
                <c:pt idx="42">
                  <c:v>46340</c:v>
                </c:pt>
                <c:pt idx="43">
                  <c:v>46341</c:v>
                </c:pt>
                <c:pt idx="44">
                  <c:v>46342</c:v>
                </c:pt>
                <c:pt idx="45">
                  <c:v>46343</c:v>
                </c:pt>
                <c:pt idx="46">
                  <c:v>46344</c:v>
                </c:pt>
                <c:pt idx="47">
                  <c:v>46345</c:v>
                </c:pt>
                <c:pt idx="48">
                  <c:v>46346</c:v>
                </c:pt>
                <c:pt idx="49">
                  <c:v>46347</c:v>
                </c:pt>
                <c:pt idx="50">
                  <c:v>46348</c:v>
                </c:pt>
                <c:pt idx="51">
                  <c:v>46349</c:v>
                </c:pt>
                <c:pt idx="52">
                  <c:v>46350</c:v>
                </c:pt>
                <c:pt idx="53">
                  <c:v>46351</c:v>
                </c:pt>
                <c:pt idx="54">
                  <c:v>46352</c:v>
                </c:pt>
                <c:pt idx="55">
                  <c:v>46353</c:v>
                </c:pt>
                <c:pt idx="56">
                  <c:v>46354</c:v>
                </c:pt>
                <c:pt idx="57">
                  <c:v>46355</c:v>
                </c:pt>
                <c:pt idx="58">
                  <c:v>46356</c:v>
                </c:pt>
                <c:pt idx="59">
                  <c:v>46357</c:v>
                </c:pt>
                <c:pt idx="60">
                  <c:v>46358</c:v>
                </c:pt>
                <c:pt idx="61">
                  <c:v>46359</c:v>
                </c:pt>
                <c:pt idx="62">
                  <c:v>46360</c:v>
                </c:pt>
                <c:pt idx="63">
                  <c:v>46361</c:v>
                </c:pt>
                <c:pt idx="64">
                  <c:v>46362</c:v>
                </c:pt>
                <c:pt idx="65">
                  <c:v>46363</c:v>
                </c:pt>
                <c:pt idx="66">
                  <c:v>46364</c:v>
                </c:pt>
                <c:pt idx="67">
                  <c:v>46365</c:v>
                </c:pt>
                <c:pt idx="68">
                  <c:v>46366</c:v>
                </c:pt>
                <c:pt idx="69">
                  <c:v>46367</c:v>
                </c:pt>
                <c:pt idx="70">
                  <c:v>46368</c:v>
                </c:pt>
                <c:pt idx="71">
                  <c:v>46369</c:v>
                </c:pt>
                <c:pt idx="72">
                  <c:v>46370</c:v>
                </c:pt>
                <c:pt idx="73">
                  <c:v>46371</c:v>
                </c:pt>
                <c:pt idx="74">
                  <c:v>46372</c:v>
                </c:pt>
                <c:pt idx="75">
                  <c:v>46373</c:v>
                </c:pt>
                <c:pt idx="76">
                  <c:v>46374</c:v>
                </c:pt>
                <c:pt idx="77">
                  <c:v>46375</c:v>
                </c:pt>
                <c:pt idx="78">
                  <c:v>46376</c:v>
                </c:pt>
                <c:pt idx="79">
                  <c:v>46377</c:v>
                </c:pt>
                <c:pt idx="80">
                  <c:v>46378</c:v>
                </c:pt>
                <c:pt idx="81">
                  <c:v>46379</c:v>
                </c:pt>
                <c:pt idx="82">
                  <c:v>46380</c:v>
                </c:pt>
                <c:pt idx="83">
                  <c:v>46381</c:v>
                </c:pt>
                <c:pt idx="84">
                  <c:v>46382</c:v>
                </c:pt>
                <c:pt idx="85">
                  <c:v>46383</c:v>
                </c:pt>
                <c:pt idx="86">
                  <c:v>46384</c:v>
                </c:pt>
                <c:pt idx="87">
                  <c:v>46385</c:v>
                </c:pt>
                <c:pt idx="88">
                  <c:v>46386</c:v>
                </c:pt>
                <c:pt idx="89">
                  <c:v>46387</c:v>
                </c:pt>
              </c:numCache>
            </c:numRef>
          </c:cat>
          <c:val>
            <c:numRef>
              <c:f>'DAILY EXTRAPOLATION'!$A$2500:$A$2589</c:f>
              <c:numCache>
                <c:formatCode>0.0000</c:formatCode>
                <c:ptCount val="90"/>
                <c:pt idx="24">
                  <c:v>1</c:v>
                </c:pt>
                <c:pt idx="25">
                  <c:v>1</c:v>
                </c:pt>
                <c:pt idx="26">
                  <c:v>3.9050000000000011</c:v>
                </c:pt>
                <c:pt idx="27">
                  <c:v>3.9050000000000011</c:v>
                </c:pt>
                <c:pt idx="28">
                  <c:v>3.9050000000000011</c:v>
                </c:pt>
                <c:pt idx="29">
                  <c:v>3.9050000000000011</c:v>
                </c:pt>
                <c:pt idx="30">
                  <c:v>3.9050000000000011</c:v>
                </c:pt>
                <c:pt idx="31">
                  <c:v>3.9050000000000011</c:v>
                </c:pt>
                <c:pt idx="32">
                  <c:v>3.9050000000000011</c:v>
                </c:pt>
                <c:pt idx="33">
                  <c:v>3.9050000000000011</c:v>
                </c:pt>
                <c:pt idx="34">
                  <c:v>3.9050000000000011</c:v>
                </c:pt>
                <c:pt idx="35">
                  <c:v>3.9050000000000011</c:v>
                </c:pt>
                <c:pt idx="36">
                  <c:v>3.9050000000000011</c:v>
                </c:pt>
                <c:pt idx="37">
                  <c:v>3.9050000000000011</c:v>
                </c:pt>
                <c:pt idx="38">
                  <c:v>3.9050000000000011</c:v>
                </c:pt>
                <c:pt idx="39">
                  <c:v>3.9050000000000011</c:v>
                </c:pt>
                <c:pt idx="40">
                  <c:v>3.9050000000000011</c:v>
                </c:pt>
                <c:pt idx="41">
                  <c:v>3.9050000000000011</c:v>
                </c:pt>
                <c:pt idx="42">
                  <c:v>3.9050000000000011</c:v>
                </c:pt>
                <c:pt idx="43">
                  <c:v>3.9050000000000011</c:v>
                </c:pt>
                <c:pt idx="44">
                  <c:v>3.9050000000000011</c:v>
                </c:pt>
                <c:pt idx="45">
                  <c:v>3.9050000000000011</c:v>
                </c:pt>
                <c:pt idx="46">
                  <c:v>3.9050000000000011</c:v>
                </c:pt>
                <c:pt idx="47">
                  <c:v>3.9050000000000011</c:v>
                </c:pt>
                <c:pt idx="48">
                  <c:v>3.9050000000000011</c:v>
                </c:pt>
                <c:pt idx="49">
                  <c:v>3.9050000000000011</c:v>
                </c:pt>
                <c:pt idx="50">
                  <c:v>3.9050000000000011</c:v>
                </c:pt>
                <c:pt idx="51">
                  <c:v>3.9050000000000011</c:v>
                </c:pt>
                <c:pt idx="52">
                  <c:v>3.9050000000000011</c:v>
                </c:pt>
                <c:pt idx="53">
                  <c:v>3.9050000000000011</c:v>
                </c:pt>
                <c:pt idx="54">
                  <c:v>3.9050000000000011</c:v>
                </c:pt>
                <c:pt idx="55">
                  <c:v>3.9050000000000011</c:v>
                </c:pt>
                <c:pt idx="56">
                  <c:v>3.9050000000000011</c:v>
                </c:pt>
                <c:pt idx="57">
                  <c:v>3.9050000000000011</c:v>
                </c:pt>
                <c:pt idx="58">
                  <c:v>3.9050000000000011</c:v>
                </c:pt>
                <c:pt idx="59">
                  <c:v>3.9050000000000011</c:v>
                </c:pt>
                <c:pt idx="60">
                  <c:v>3.9050000000000011</c:v>
                </c:pt>
                <c:pt idx="61">
                  <c:v>3.9050000000000011</c:v>
                </c:pt>
                <c:pt idx="62">
                  <c:v>3.9050000000000011</c:v>
                </c:pt>
                <c:pt idx="63">
                  <c:v>3.9050000000000011</c:v>
                </c:pt>
                <c:pt idx="64">
                  <c:v>3.9050000000000011</c:v>
                </c:pt>
                <c:pt idx="65">
                  <c:v>3.9050000000000011</c:v>
                </c:pt>
                <c:pt idx="66">
                  <c:v>3.9050000000000011</c:v>
                </c:pt>
                <c:pt idx="67">
                  <c:v>3.9050000000000011</c:v>
                </c:pt>
                <c:pt idx="68">
                  <c:v>4.1093181818181774</c:v>
                </c:pt>
                <c:pt idx="69">
                  <c:v>4.1093181818181774</c:v>
                </c:pt>
                <c:pt idx="70">
                  <c:v>4.1093181818181774</c:v>
                </c:pt>
                <c:pt idx="71">
                  <c:v>4.1093181818181774</c:v>
                </c:pt>
                <c:pt idx="72">
                  <c:v>4.1093181818181774</c:v>
                </c:pt>
                <c:pt idx="73">
                  <c:v>4.1093181818181774</c:v>
                </c:pt>
                <c:pt idx="74">
                  <c:v>4.1093181818181774</c:v>
                </c:pt>
                <c:pt idx="75">
                  <c:v>4.1093181818181774</c:v>
                </c:pt>
                <c:pt idx="76">
                  <c:v>4.1093181818181774</c:v>
                </c:pt>
                <c:pt idx="77">
                  <c:v>4.1093181818181774</c:v>
                </c:pt>
                <c:pt idx="78">
                  <c:v>4.1093181818181774</c:v>
                </c:pt>
                <c:pt idx="79">
                  <c:v>4.1093181818181774</c:v>
                </c:pt>
                <c:pt idx="80">
                  <c:v>4.1093181818181774</c:v>
                </c:pt>
                <c:pt idx="81">
                  <c:v>4.1093181818181774</c:v>
                </c:pt>
                <c:pt idx="82">
                  <c:v>4.1093181818181774</c:v>
                </c:pt>
                <c:pt idx="83">
                  <c:v>4.1093181818181774</c:v>
                </c:pt>
                <c:pt idx="84">
                  <c:v>4.1093181818181774</c:v>
                </c:pt>
                <c:pt idx="85">
                  <c:v>4.1093181818181774</c:v>
                </c:pt>
                <c:pt idx="86">
                  <c:v>4.1093181818181774</c:v>
                </c:pt>
                <c:pt idx="87">
                  <c:v>4.1093181818181774</c:v>
                </c:pt>
                <c:pt idx="88">
                  <c:v>4.1093181818181774</c:v>
                </c:pt>
                <c:pt idx="89">
                  <c:v>4.1093181818181774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EXTRAPOLATION'!$C$2500:$C$2589</c:f>
              <c:numCache>
                <c:formatCode>[$-409]dd\-mmm\-yy;@</c:formatCode>
                <c:ptCount val="90"/>
                <c:pt idx="0">
                  <c:v>46298</c:v>
                </c:pt>
                <c:pt idx="1">
                  <c:v>46299</c:v>
                </c:pt>
                <c:pt idx="2">
                  <c:v>46300</c:v>
                </c:pt>
                <c:pt idx="3">
                  <c:v>46301</c:v>
                </c:pt>
                <c:pt idx="4">
                  <c:v>46302</c:v>
                </c:pt>
                <c:pt idx="5">
                  <c:v>46303</c:v>
                </c:pt>
                <c:pt idx="6">
                  <c:v>46304</c:v>
                </c:pt>
                <c:pt idx="7">
                  <c:v>46305</c:v>
                </c:pt>
                <c:pt idx="8">
                  <c:v>46306</c:v>
                </c:pt>
                <c:pt idx="9">
                  <c:v>46307</c:v>
                </c:pt>
                <c:pt idx="10">
                  <c:v>46308</c:v>
                </c:pt>
                <c:pt idx="11">
                  <c:v>46309</c:v>
                </c:pt>
                <c:pt idx="12">
                  <c:v>46310</c:v>
                </c:pt>
                <c:pt idx="13">
                  <c:v>46311</c:v>
                </c:pt>
                <c:pt idx="14">
                  <c:v>46312</c:v>
                </c:pt>
                <c:pt idx="15">
                  <c:v>46313</c:v>
                </c:pt>
                <c:pt idx="16">
                  <c:v>46314</c:v>
                </c:pt>
                <c:pt idx="17">
                  <c:v>46315</c:v>
                </c:pt>
                <c:pt idx="18">
                  <c:v>46316</c:v>
                </c:pt>
                <c:pt idx="19">
                  <c:v>46317</c:v>
                </c:pt>
                <c:pt idx="20">
                  <c:v>46318</c:v>
                </c:pt>
                <c:pt idx="21">
                  <c:v>46319</c:v>
                </c:pt>
                <c:pt idx="22">
                  <c:v>46320</c:v>
                </c:pt>
                <c:pt idx="23">
                  <c:v>46321</c:v>
                </c:pt>
                <c:pt idx="24">
                  <c:v>46322</c:v>
                </c:pt>
                <c:pt idx="25">
                  <c:v>46323</c:v>
                </c:pt>
                <c:pt idx="26">
                  <c:v>46324</c:v>
                </c:pt>
                <c:pt idx="27">
                  <c:v>46325</c:v>
                </c:pt>
                <c:pt idx="28">
                  <c:v>46326</c:v>
                </c:pt>
                <c:pt idx="29">
                  <c:v>46327</c:v>
                </c:pt>
                <c:pt idx="30">
                  <c:v>46328</c:v>
                </c:pt>
                <c:pt idx="31">
                  <c:v>46329</c:v>
                </c:pt>
                <c:pt idx="32">
                  <c:v>46330</c:v>
                </c:pt>
                <c:pt idx="33">
                  <c:v>46331</c:v>
                </c:pt>
                <c:pt idx="34">
                  <c:v>46332</c:v>
                </c:pt>
                <c:pt idx="35">
                  <c:v>46333</c:v>
                </c:pt>
                <c:pt idx="36">
                  <c:v>46334</c:v>
                </c:pt>
                <c:pt idx="37">
                  <c:v>46335</c:v>
                </c:pt>
                <c:pt idx="38">
                  <c:v>46336</c:v>
                </c:pt>
                <c:pt idx="39">
                  <c:v>46337</c:v>
                </c:pt>
                <c:pt idx="40">
                  <c:v>46338</c:v>
                </c:pt>
                <c:pt idx="41">
                  <c:v>46339</c:v>
                </c:pt>
                <c:pt idx="42">
                  <c:v>46340</c:v>
                </c:pt>
                <c:pt idx="43">
                  <c:v>46341</c:v>
                </c:pt>
                <c:pt idx="44">
                  <c:v>46342</c:v>
                </c:pt>
                <c:pt idx="45">
                  <c:v>46343</c:v>
                </c:pt>
                <c:pt idx="46">
                  <c:v>46344</c:v>
                </c:pt>
                <c:pt idx="47">
                  <c:v>46345</c:v>
                </c:pt>
                <c:pt idx="48">
                  <c:v>46346</c:v>
                </c:pt>
                <c:pt idx="49">
                  <c:v>46347</c:v>
                </c:pt>
                <c:pt idx="50">
                  <c:v>46348</c:v>
                </c:pt>
                <c:pt idx="51">
                  <c:v>46349</c:v>
                </c:pt>
                <c:pt idx="52">
                  <c:v>46350</c:v>
                </c:pt>
                <c:pt idx="53">
                  <c:v>46351</c:v>
                </c:pt>
                <c:pt idx="54">
                  <c:v>46352</c:v>
                </c:pt>
                <c:pt idx="55">
                  <c:v>46353</c:v>
                </c:pt>
                <c:pt idx="56">
                  <c:v>46354</c:v>
                </c:pt>
                <c:pt idx="57">
                  <c:v>46355</c:v>
                </c:pt>
                <c:pt idx="58">
                  <c:v>46356</c:v>
                </c:pt>
                <c:pt idx="59">
                  <c:v>46357</c:v>
                </c:pt>
                <c:pt idx="60">
                  <c:v>46358</c:v>
                </c:pt>
                <c:pt idx="61">
                  <c:v>46359</c:v>
                </c:pt>
                <c:pt idx="62">
                  <c:v>46360</c:v>
                </c:pt>
                <c:pt idx="63">
                  <c:v>46361</c:v>
                </c:pt>
                <c:pt idx="64">
                  <c:v>46362</c:v>
                </c:pt>
                <c:pt idx="65">
                  <c:v>46363</c:v>
                </c:pt>
                <c:pt idx="66">
                  <c:v>46364</c:v>
                </c:pt>
                <c:pt idx="67">
                  <c:v>46365</c:v>
                </c:pt>
                <c:pt idx="68">
                  <c:v>46366</c:v>
                </c:pt>
                <c:pt idx="69">
                  <c:v>46367</c:v>
                </c:pt>
                <c:pt idx="70">
                  <c:v>46368</c:v>
                </c:pt>
                <c:pt idx="71">
                  <c:v>46369</c:v>
                </c:pt>
                <c:pt idx="72">
                  <c:v>46370</c:v>
                </c:pt>
                <c:pt idx="73">
                  <c:v>46371</c:v>
                </c:pt>
                <c:pt idx="74">
                  <c:v>46372</c:v>
                </c:pt>
                <c:pt idx="75">
                  <c:v>46373</c:v>
                </c:pt>
                <c:pt idx="76">
                  <c:v>46374</c:v>
                </c:pt>
                <c:pt idx="77">
                  <c:v>46375</c:v>
                </c:pt>
                <c:pt idx="78">
                  <c:v>46376</c:v>
                </c:pt>
                <c:pt idx="79">
                  <c:v>46377</c:v>
                </c:pt>
                <c:pt idx="80">
                  <c:v>46378</c:v>
                </c:pt>
                <c:pt idx="81">
                  <c:v>46379</c:v>
                </c:pt>
                <c:pt idx="82">
                  <c:v>46380</c:v>
                </c:pt>
                <c:pt idx="83">
                  <c:v>46381</c:v>
                </c:pt>
                <c:pt idx="84">
                  <c:v>46382</c:v>
                </c:pt>
                <c:pt idx="85">
                  <c:v>46383</c:v>
                </c:pt>
                <c:pt idx="86">
                  <c:v>46384</c:v>
                </c:pt>
                <c:pt idx="87">
                  <c:v>46385</c:v>
                </c:pt>
                <c:pt idx="88">
                  <c:v>46386</c:v>
                </c:pt>
                <c:pt idx="89">
                  <c:v>46387</c:v>
                </c:pt>
              </c:numCache>
            </c:numRef>
          </c:cat>
          <c:val>
            <c:numRef>
              <c:f>'DAILY EXTRAPOLATION'!$B$2500:$B$2589</c:f>
              <c:numCache>
                <c:formatCode>0.0000</c:formatCode>
                <c:ptCount val="90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3.9249999999999972</c:v>
                </c:pt>
                <c:pt idx="30">
                  <c:v>3.9249999999999972</c:v>
                </c:pt>
                <c:pt idx="31">
                  <c:v>3.9249999999999972</c:v>
                </c:pt>
                <c:pt idx="32">
                  <c:v>3.9249999999999972</c:v>
                </c:pt>
                <c:pt idx="33">
                  <c:v>3.9249999999999972</c:v>
                </c:pt>
                <c:pt idx="34">
                  <c:v>3.9249999999999972</c:v>
                </c:pt>
                <c:pt idx="35">
                  <c:v>3.9249999999999972</c:v>
                </c:pt>
                <c:pt idx="36">
                  <c:v>3.9249999999999972</c:v>
                </c:pt>
                <c:pt idx="37">
                  <c:v>3.9249999999999972</c:v>
                </c:pt>
                <c:pt idx="38">
                  <c:v>3.9249999999999972</c:v>
                </c:pt>
                <c:pt idx="39">
                  <c:v>3.9249999999999972</c:v>
                </c:pt>
                <c:pt idx="40">
                  <c:v>3.9249999999999972</c:v>
                </c:pt>
                <c:pt idx="41">
                  <c:v>3.9249999999999972</c:v>
                </c:pt>
                <c:pt idx="42">
                  <c:v>3.9249999999999972</c:v>
                </c:pt>
                <c:pt idx="43">
                  <c:v>3.9249999999999972</c:v>
                </c:pt>
                <c:pt idx="44">
                  <c:v>3.9249999999999972</c:v>
                </c:pt>
                <c:pt idx="45">
                  <c:v>3.9249999999999972</c:v>
                </c:pt>
                <c:pt idx="46">
                  <c:v>3.9249999999999972</c:v>
                </c:pt>
                <c:pt idx="47">
                  <c:v>3.9249999999999972</c:v>
                </c:pt>
                <c:pt idx="48">
                  <c:v>3.9249999999999972</c:v>
                </c:pt>
                <c:pt idx="49">
                  <c:v>3.9249999999999972</c:v>
                </c:pt>
                <c:pt idx="50">
                  <c:v>3.9249999999999972</c:v>
                </c:pt>
                <c:pt idx="51">
                  <c:v>3.9249999999999972</c:v>
                </c:pt>
                <c:pt idx="52">
                  <c:v>3.9249999999999972</c:v>
                </c:pt>
                <c:pt idx="53">
                  <c:v>3.9249999999999972</c:v>
                </c:pt>
                <c:pt idx="54">
                  <c:v>3.9249999999999972</c:v>
                </c:pt>
                <c:pt idx="55">
                  <c:v>3.9249999999999972</c:v>
                </c:pt>
                <c:pt idx="56">
                  <c:v>3.9249999999999972</c:v>
                </c:pt>
                <c:pt idx="57">
                  <c:v>3.9249999999999972</c:v>
                </c:pt>
                <c:pt idx="58">
                  <c:v>3.9249999999999972</c:v>
                </c:pt>
                <c:pt idx="59">
                  <c:v>3.9249999999999972</c:v>
                </c:pt>
                <c:pt idx="60">
                  <c:v>3.9249999999999972</c:v>
                </c:pt>
                <c:pt idx="61">
                  <c:v>3.9249999999999972</c:v>
                </c:pt>
                <c:pt idx="62">
                  <c:v>3.9249999999999972</c:v>
                </c:pt>
                <c:pt idx="63">
                  <c:v>3.9249999999999972</c:v>
                </c:pt>
                <c:pt idx="64">
                  <c:v>3.9249999999999972</c:v>
                </c:pt>
                <c:pt idx="65">
                  <c:v>3.9249999999999972</c:v>
                </c:pt>
                <c:pt idx="66">
                  <c:v>3.9249999999999972</c:v>
                </c:pt>
                <c:pt idx="67">
                  <c:v>3.9249999999999972</c:v>
                </c:pt>
                <c:pt idx="68">
                  <c:v>4.1363636363636411</c:v>
                </c:pt>
                <c:pt idx="69">
                  <c:v>4.1363636363636411</c:v>
                </c:pt>
                <c:pt idx="70">
                  <c:v>4.1363636363636411</c:v>
                </c:pt>
                <c:pt idx="71">
                  <c:v>4.1363636363636411</c:v>
                </c:pt>
                <c:pt idx="72">
                  <c:v>4.1363636363636411</c:v>
                </c:pt>
                <c:pt idx="73">
                  <c:v>4.1363636363636411</c:v>
                </c:pt>
                <c:pt idx="74">
                  <c:v>4.1363636363636411</c:v>
                </c:pt>
                <c:pt idx="75">
                  <c:v>4.1363636363636411</c:v>
                </c:pt>
                <c:pt idx="76">
                  <c:v>4.1363636363636411</c:v>
                </c:pt>
                <c:pt idx="77">
                  <c:v>4.1363636363636411</c:v>
                </c:pt>
                <c:pt idx="78">
                  <c:v>4.1363636363636411</c:v>
                </c:pt>
                <c:pt idx="79">
                  <c:v>4.1363636363636411</c:v>
                </c:pt>
                <c:pt idx="80">
                  <c:v>4.1363636363636411</c:v>
                </c:pt>
                <c:pt idx="81">
                  <c:v>4.1363636363636411</c:v>
                </c:pt>
                <c:pt idx="82">
                  <c:v>4.1363636363636411</c:v>
                </c:pt>
                <c:pt idx="83">
                  <c:v>4.1363636363636411</c:v>
                </c:pt>
                <c:pt idx="84">
                  <c:v>4.1363636363636411</c:v>
                </c:pt>
                <c:pt idx="85">
                  <c:v>4.1363636363636411</c:v>
                </c:pt>
                <c:pt idx="86">
                  <c:v>4.1363636363636411</c:v>
                </c:pt>
                <c:pt idx="87">
                  <c:v>4.1363636363636411</c:v>
                </c:pt>
                <c:pt idx="88">
                  <c:v>4.1363636363636411</c:v>
                </c:pt>
                <c:pt idx="89">
                  <c:v>4.1363636363636411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3.678298107374358E-2</c:v>
                </c:pt>
                <c:pt idx="120">
                  <c:v>3.6805105520490933E-2</c:v>
                </c:pt>
                <c:pt idx="121">
                  <c:v>3.6824435548445132E-2</c:v>
                </c:pt>
                <c:pt idx="122">
                  <c:v>3.7477984518229548E-2</c:v>
                </c:pt>
                <c:pt idx="123">
                  <c:v>3.7178160642083707E-2</c:v>
                </c:pt>
                <c:pt idx="124">
                  <c:v>3.6883095875083045E-2</c:v>
                </c:pt>
                <c:pt idx="125">
                  <c:v>3.6902931052053396E-2</c:v>
                </c:pt>
                <c:pt idx="126">
                  <c:v>3.6923280987790769E-2</c:v>
                </c:pt>
                <c:pt idx="127">
                  <c:v>3.6941777857452972E-2</c:v>
                </c:pt>
                <c:pt idx="128">
                  <c:v>3.6959243336275573E-2</c:v>
                </c:pt>
                <c:pt idx="129">
                  <c:v>3.7874562255101663E-2</c:v>
                </c:pt>
                <c:pt idx="130">
                  <c:v>3.7587633753169071E-2</c:v>
                </c:pt>
                <c:pt idx="131">
                  <c:v>3.7305019965551259E-2</c:v>
                </c:pt>
                <c:pt idx="132">
                  <c:v>3.7026624294166546E-2</c:v>
                </c:pt>
                <c:pt idx="133">
                  <c:v>3.7044472447168054E-2</c:v>
                </c:pt>
                <c:pt idx="134">
                  <c:v>3.7061343951777903E-2</c:v>
                </c:pt>
                <c:pt idx="135">
                  <c:v>3.7078740251684367E-2</c:v>
                </c:pt>
                <c:pt idx="136">
                  <c:v>3.7665433906362976E-2</c:v>
                </c:pt>
                <c:pt idx="137">
                  <c:v>3.7394459561712882E-2</c:v>
                </c:pt>
                <c:pt idx="138">
                  <c:v>3.712735627912922E-2</c:v>
                </c:pt>
                <c:pt idx="139">
                  <c:v>3.7142472665177902E-2</c:v>
                </c:pt>
                <c:pt idx="140">
                  <c:v>3.7158120334974488E-2</c:v>
                </c:pt>
                <c:pt idx="141">
                  <c:v>3.7173578824857986E-2</c:v>
                </c:pt>
                <c:pt idx="142">
                  <c:v>3.7190261476712783E-2</c:v>
                </c:pt>
                <c:pt idx="143">
                  <c:v>3.7756876431354731E-2</c:v>
                </c:pt>
                <c:pt idx="144">
                  <c:v>3.7498267688674224E-2</c:v>
                </c:pt>
                <c:pt idx="145">
                  <c:v>3.7243177432288679E-2</c:v>
                </c:pt>
                <c:pt idx="146">
                  <c:v>3.7261113124569138E-2</c:v>
                </c:pt>
                <c:pt idx="147">
                  <c:v>3.7011038539840481E-2</c:v>
                </c:pt>
                <c:pt idx="148">
                  <c:v>3.6764298282908212E-2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21</xdr:row>
      <xdr:rowOff>41251</xdr:rowOff>
    </xdr:from>
    <xdr:to>
      <xdr:col>22</xdr:col>
      <xdr:colOff>609600</xdr:colOff>
      <xdr:row>33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ettlements.html" TargetMode="External"/><Relationship Id="rId2" Type="http://schemas.openxmlformats.org/officeDocument/2006/relationships/hyperlink" Target="https://www.cmegroup.com/education/files/sofr-futures-settlement-calculation-methodologies.pdf" TargetMode="External"/><Relationship Id="rId1" Type="http://schemas.openxmlformats.org/officeDocument/2006/relationships/hyperlink" Target="https://www.cmegroup.com/tools-information/quikstrike/short-term-interest-rate-analytics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newyorkfed.org/markets/reference-rates/effr" TargetMode="External"/><Relationship Id="rId4" Type="http://schemas.openxmlformats.org/officeDocument/2006/relationships/hyperlink" Target="https://www.newyorkfed.org/markets/reference-rates/sof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38"/>
  <sheetViews>
    <sheetView tabSelected="1" zoomScale="75" zoomScaleNormal="75" workbookViewId="0">
      <selection activeCell="X17" sqref="X17"/>
    </sheetView>
  </sheetViews>
  <sheetFormatPr defaultColWidth="10.875" defaultRowHeight="15"/>
  <cols>
    <col min="1" max="1" width="11.25" style="18" bestFit="1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3.625" style="17" bestFit="1" customWidth="1"/>
    <col min="27" max="16384" width="10.875" style="17"/>
  </cols>
  <sheetData>
    <row r="1" spans="1:29" ht="15.75" thickBot="1">
      <c r="A1" s="248">
        <f ca="1">NOW()</f>
        <v>46322.387319907408</v>
      </c>
      <c r="B1" s="444" t="s">
        <v>26</v>
      </c>
      <c r="C1" s="445"/>
      <c r="D1" s="22" t="s">
        <v>127</v>
      </c>
      <c r="E1" s="444" t="s">
        <v>27</v>
      </c>
      <c r="F1" s="445"/>
      <c r="G1" s="22" t="s">
        <v>77</v>
      </c>
      <c r="H1" s="444" t="s">
        <v>30</v>
      </c>
      <c r="I1" s="445"/>
      <c r="K1" s="297" t="s">
        <v>90</v>
      </c>
      <c r="L1" s="298"/>
      <c r="M1" s="298"/>
      <c r="N1" s="298"/>
      <c r="O1" s="299"/>
      <c r="P1" s="446" t="str">
        <f>B1</f>
        <v>FED FUNDS</v>
      </c>
      <c r="Q1" s="447"/>
      <c r="R1" s="447"/>
      <c r="S1" s="447"/>
      <c r="T1" s="448"/>
      <c r="U1" s="272" t="str">
        <f>PYTHON!A15</f>
        <v>cd git-projects\trading\apps</v>
      </c>
    </row>
    <row r="2" spans="1:29" s="31" customFormat="1" ht="15.75" thickBot="1">
      <c r="A2" s="249">
        <f ca="1">NOW()</f>
        <v>46322.387319907408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193" t="s">
        <v>157</v>
      </c>
      <c r="N2" s="29" t="s">
        <v>75</v>
      </c>
      <c r="O2" s="30" t="s">
        <v>115</v>
      </c>
      <c r="P2" s="28" t="s">
        <v>157</v>
      </c>
      <c r="Q2" s="29" t="s">
        <v>186</v>
      </c>
      <c r="R2" s="29" t="s">
        <v>179</v>
      </c>
      <c r="S2" s="29" t="s">
        <v>180</v>
      </c>
      <c r="T2" s="30" t="s">
        <v>181</v>
      </c>
      <c r="U2" s="272" t="str">
        <f>PYTHON!A16</f>
        <v>python App_Stream_ShortRates.py</v>
      </c>
    </row>
    <row r="3" spans="1:29">
      <c r="A3" s="38">
        <f>DATE(LEFT(INPUT!D35,4),RIGHT(INPUT!D35,2),1)</f>
        <v>46204</v>
      </c>
      <c r="B3" s="44"/>
      <c r="C3" s="45"/>
      <c r="D3" s="109"/>
      <c r="E3" s="44"/>
      <c r="F3" s="45"/>
      <c r="G3" s="258"/>
      <c r="H3" s="44" t="str">
        <f>INPUT!H35</f>
        <v>-</v>
      </c>
      <c r="I3" s="45" t="e">
        <f t="shared" ref="I3:I8" si="0">100-H3</f>
        <v>#VALUE!</v>
      </c>
      <c r="J3" s="38">
        <f t="shared" ref="J3:J20" si="1">A3</f>
        <v>46204</v>
      </c>
      <c r="K3" s="39"/>
      <c r="L3" s="40"/>
      <c r="M3" s="230"/>
      <c r="N3" s="40"/>
      <c r="O3" s="41"/>
      <c r="P3" s="294"/>
      <c r="Q3" s="40"/>
      <c r="R3" s="293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f>DATE(LEFT(INPUT!D36,4),RIGHT(INPUT!D36,2),1)</f>
        <v>46235</v>
      </c>
      <c r="B4" s="44"/>
      <c r="C4" s="45"/>
      <c r="D4" s="109"/>
      <c r="E4" s="44"/>
      <c r="F4" s="45"/>
      <c r="G4" s="258"/>
      <c r="H4" s="44">
        <f>INPUT!H36</f>
        <v>96.165000000000006</v>
      </c>
      <c r="I4" s="45">
        <f>100-H4</f>
        <v>3.8349999999999937</v>
      </c>
      <c r="J4" s="38">
        <f t="shared" si="1"/>
        <v>46235</v>
      </c>
      <c r="K4" s="39"/>
      <c r="L4" s="40"/>
      <c r="M4" s="230"/>
      <c r="N4" s="40"/>
      <c r="O4" s="41"/>
      <c r="P4" s="322"/>
      <c r="Q4" s="323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f>DATE(LEFT(INPUT!D37,4),RIGHT(INPUT!D37,2),1)</f>
        <v>46266</v>
      </c>
      <c r="B5" s="79"/>
      <c r="C5" s="34"/>
      <c r="D5" s="224"/>
      <c r="E5" s="33"/>
      <c r="F5" s="34"/>
      <c r="G5" s="257"/>
      <c r="H5" s="33">
        <f>INPUT!H37</f>
        <v>96.0625</v>
      </c>
      <c r="I5" s="34">
        <f>100-H5</f>
        <v>3.9375</v>
      </c>
      <c r="J5" s="32">
        <f t="shared" si="1"/>
        <v>46266</v>
      </c>
      <c r="K5" s="35"/>
      <c r="L5" s="36"/>
      <c r="M5" s="194"/>
      <c r="N5" s="36"/>
      <c r="O5" s="37"/>
      <c r="P5" s="324"/>
      <c r="Q5" s="325"/>
      <c r="R5" s="320"/>
      <c r="S5" s="36"/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f>DATE(LEFT(INPUT!D38,4),RIGHT(INPUT!D38,2),1)</f>
        <v>46296</v>
      </c>
      <c r="B6" s="44">
        <f>INPUT!H3</f>
        <v>96.117500000000007</v>
      </c>
      <c r="C6" s="45">
        <f>100-B6</f>
        <v>3.8824999999999932</v>
      </c>
      <c r="D6" s="109">
        <f>B6-E6</f>
        <v>1.7500000000012506E-2</v>
      </c>
      <c r="E6" s="44">
        <f>INPUT!H19</f>
        <v>96.1</v>
      </c>
      <c r="F6" s="45">
        <f>100-E6</f>
        <v>3.9000000000000057</v>
      </c>
      <c r="G6" s="258"/>
      <c r="H6" s="44">
        <f>INPUT!H38</f>
        <v>95.965000000000003</v>
      </c>
      <c r="I6" s="45">
        <f t="shared" si="0"/>
        <v>4.0349999999999966</v>
      </c>
      <c r="J6" s="38">
        <f t="shared" si="1"/>
        <v>46296</v>
      </c>
      <c r="K6" s="39"/>
      <c r="L6" s="40"/>
      <c r="M6" s="371">
        <v>46323</v>
      </c>
      <c r="N6" s="40"/>
      <c r="O6" s="41"/>
      <c r="P6" s="294">
        <f>'DAILY EXTRAPOLATION'!I2525</f>
        <v>0</v>
      </c>
      <c r="Q6" s="40"/>
      <c r="R6" s="293" t="e">
        <f>'DAILY EXTRAPOLATION'!#REF!</f>
        <v>#REF!</v>
      </c>
      <c r="S6" s="40" t="e">
        <f>R6-P6</f>
        <v>#REF!</v>
      </c>
      <c r="T6" s="41" t="e">
        <f t="shared" ref="T6:T7" si="3">T5+S6</f>
        <v>#REF!</v>
      </c>
      <c r="U6" s="40">
        <v>0.29499999999980275</v>
      </c>
      <c r="V6" s="40" t="e">
        <f t="shared" si="2"/>
        <v>#REF!</v>
      </c>
      <c r="W6" s="18"/>
      <c r="X6" s="18"/>
      <c r="Y6" s="18"/>
      <c r="Z6" s="18"/>
      <c r="AA6" s="18"/>
      <c r="AB6" s="18"/>
      <c r="AC6" s="18"/>
    </row>
    <row r="7" spans="1:29">
      <c r="A7" s="38">
        <f>DATE(LEFT(INPUT!D39,4),RIGHT(INPUT!D39,2),1)</f>
        <v>46327</v>
      </c>
      <c r="B7" s="44">
        <f>INPUT!H4</f>
        <v>96.094999999999999</v>
      </c>
      <c r="C7" s="45">
        <f>100-B7</f>
        <v>3.9050000000000011</v>
      </c>
      <c r="D7" s="109">
        <f>B7-E7</f>
        <v>1.9999999999996021E-2</v>
      </c>
      <c r="E7" s="44">
        <f>INPUT!H20</f>
        <v>96.075000000000003</v>
      </c>
      <c r="F7" s="45">
        <f>100-E7</f>
        <v>3.9249999999999972</v>
      </c>
      <c r="G7" s="258"/>
      <c r="H7" s="44">
        <f>INPUT!H39</f>
        <v>95.877499999999998</v>
      </c>
      <c r="I7" s="45">
        <f t="shared" ref="I7" si="4">100-H7</f>
        <v>4.1225000000000023</v>
      </c>
      <c r="J7" s="38">
        <f t="shared" si="1"/>
        <v>46327</v>
      </c>
      <c r="K7" s="39"/>
      <c r="L7" s="40"/>
      <c r="M7" s="230"/>
      <c r="N7" s="40"/>
      <c r="O7" s="41"/>
      <c r="P7" s="39"/>
      <c r="Q7" s="293">
        <f>'DAILY EXTRAPOLATION'!I2540</f>
        <v>30</v>
      </c>
      <c r="R7" s="40"/>
      <c r="S7" s="40"/>
      <c r="T7" s="41" t="e">
        <f t="shared" si="3"/>
        <v>#REF!</v>
      </c>
      <c r="U7" s="40">
        <v>0.29499999999980275</v>
      </c>
      <c r="V7" s="40" t="e">
        <f t="shared" si="2"/>
        <v>#REF!</v>
      </c>
      <c r="Y7" s="95" t="s">
        <v>152</v>
      </c>
      <c r="Z7" s="361">
        <v>46321</v>
      </c>
      <c r="AA7" s="364">
        <v>3.88</v>
      </c>
      <c r="AB7" s="31"/>
      <c r="AC7" s="31"/>
    </row>
    <row r="8" spans="1:29" ht="15.75" thickBot="1">
      <c r="A8" s="43">
        <f>DATE(LEFT(INPUT!D40,4),RIGHT(INPUT!D40,2),1)</f>
        <v>46357</v>
      </c>
      <c r="B8" s="50">
        <f>INPUT!H5</f>
        <v>95.95</v>
      </c>
      <c r="C8" s="51">
        <f t="shared" ref="C8" si="5">100-B8</f>
        <v>4.0499999999999972</v>
      </c>
      <c r="D8" s="310">
        <f t="shared" ref="D8" si="6">B8-E8</f>
        <v>2.5000000000005684E-2</v>
      </c>
      <c r="E8" s="50">
        <f>INPUT!H21</f>
        <v>95.924999999999997</v>
      </c>
      <c r="F8" s="51">
        <f t="shared" ref="F8" si="7">100-E8</f>
        <v>4.0750000000000028</v>
      </c>
      <c r="G8" s="310"/>
      <c r="H8" s="50">
        <f>INPUT!H40</f>
        <v>95.795000000000002</v>
      </c>
      <c r="I8" s="51">
        <f t="shared" si="0"/>
        <v>4.2049999999999983</v>
      </c>
      <c r="J8" s="43">
        <f t="shared" si="1"/>
        <v>46357</v>
      </c>
      <c r="K8" s="46"/>
      <c r="L8" s="47"/>
      <c r="M8" s="372">
        <v>46365</v>
      </c>
      <c r="N8" s="47"/>
      <c r="O8" s="48"/>
      <c r="P8" s="295">
        <f>'DAILY EXTRAPOLATION'!I2572</f>
        <v>0</v>
      </c>
      <c r="Q8" s="321"/>
      <c r="R8" s="321" t="e">
        <f>'DAILY EXTRAPOLATION'!#REF!</f>
        <v>#REF!</v>
      </c>
      <c r="S8" s="47" t="e">
        <f>R8-P8</f>
        <v>#REF!</v>
      </c>
      <c r="T8" s="48" t="e">
        <f>T7+S8</f>
        <v>#REF!</v>
      </c>
      <c r="U8" s="40">
        <v>0.38659090909070848</v>
      </c>
      <c r="V8" s="40" t="e">
        <f t="shared" si="2"/>
        <v>#REF!</v>
      </c>
      <c r="Y8" s="97" t="s">
        <v>153</v>
      </c>
      <c r="Z8" s="362">
        <v>46321</v>
      </c>
      <c r="AA8" s="365">
        <v>3.93</v>
      </c>
      <c r="AB8" s="31"/>
      <c r="AC8" s="31"/>
    </row>
    <row r="9" spans="1:29">
      <c r="A9" s="38">
        <f>DATE(LEFT(INPUT!D41,4),RIGHT(INPUT!D41,2),1)</f>
        <v>46388</v>
      </c>
      <c r="B9" s="44">
        <f>INPUT!H6</f>
        <v>95.88</v>
      </c>
      <c r="C9" s="45">
        <f t="shared" ref="C9:C20" si="8">100-B9</f>
        <v>4.1200000000000045</v>
      </c>
      <c r="D9" s="109">
        <f t="shared" ref="D9:D20" si="9">B9-E9</f>
        <v>3.0000000000001137E-2</v>
      </c>
      <c r="E9" s="44">
        <f>INPUT!H22</f>
        <v>95.85</v>
      </c>
      <c r="F9" s="45">
        <f t="shared" ref="F9:F20" si="10">100-E9</f>
        <v>4.1500000000000057</v>
      </c>
      <c r="G9" s="258"/>
      <c r="H9" s="44">
        <f>INPUT!H41</f>
        <v>95.704999999999998</v>
      </c>
      <c r="I9" s="45">
        <f t="shared" ref="I9:I17" si="11">100-H9</f>
        <v>4.2950000000000017</v>
      </c>
      <c r="J9" s="38">
        <f t="shared" si="1"/>
        <v>46388</v>
      </c>
      <c r="K9" s="39"/>
      <c r="L9" s="40"/>
      <c r="M9" s="373">
        <v>46414</v>
      </c>
      <c r="N9" s="40"/>
      <c r="O9" s="41"/>
      <c r="P9" s="294"/>
      <c r="Q9" s="40"/>
      <c r="R9" s="293"/>
      <c r="S9" s="40"/>
      <c r="T9" s="41"/>
      <c r="U9" s="40"/>
      <c r="V9" s="40"/>
      <c r="Y9" s="18"/>
      <c r="Z9" s="366"/>
      <c r="AA9" s="59"/>
      <c r="AB9" s="31"/>
      <c r="AC9" s="31"/>
    </row>
    <row r="10" spans="1:29">
      <c r="A10" s="38">
        <f>DATE(LEFT(INPUT!D42,4),RIGHT(INPUT!D42,2),1)</f>
        <v>46419</v>
      </c>
      <c r="B10" s="44">
        <f>INPUT!H7</f>
        <v>95.795000000000002</v>
      </c>
      <c r="C10" s="45">
        <f t="shared" si="8"/>
        <v>4.2049999999999983</v>
      </c>
      <c r="D10" s="109">
        <f t="shared" si="9"/>
        <v>1.5000000000000568E-2</v>
      </c>
      <c r="E10" s="44">
        <f>INPUT!H23</f>
        <v>95.78</v>
      </c>
      <c r="F10" s="45">
        <f t="shared" si="10"/>
        <v>4.2199999999999989</v>
      </c>
      <c r="G10" s="258"/>
      <c r="H10" s="44">
        <f>INPUT!H42</f>
        <v>95.625</v>
      </c>
      <c r="I10" s="45">
        <f t="shared" si="11"/>
        <v>4.375</v>
      </c>
      <c r="J10" s="38">
        <f t="shared" si="1"/>
        <v>46419</v>
      </c>
      <c r="K10" s="39"/>
      <c r="L10" s="40"/>
      <c r="M10" s="373"/>
      <c r="N10" s="40"/>
      <c r="O10" s="41"/>
      <c r="P10" s="322"/>
      <c r="Q10" s="323"/>
      <c r="R10" s="40"/>
      <c r="S10" s="40"/>
      <c r="T10" s="41"/>
      <c r="U10" s="40"/>
      <c r="V10" s="40"/>
      <c r="Y10" s="18"/>
      <c r="Z10" s="366"/>
      <c r="AA10" s="59"/>
      <c r="AB10" s="31"/>
      <c r="AC10" s="31"/>
    </row>
    <row r="11" spans="1:29">
      <c r="A11" s="32">
        <f>DATE(LEFT(INPUT!D43,4),RIGHT(INPUT!D43,2),1)</f>
        <v>46447</v>
      </c>
      <c r="B11" s="79">
        <f>INPUT!H8</f>
        <v>95.72</v>
      </c>
      <c r="C11" s="34">
        <f t="shared" si="8"/>
        <v>4.2800000000000011</v>
      </c>
      <c r="D11" s="224">
        <f t="shared" si="9"/>
        <v>1.9999999999996021E-2</v>
      </c>
      <c r="E11" s="33">
        <f>INPUT!H24</f>
        <v>95.7</v>
      </c>
      <c r="F11" s="34">
        <f t="shared" si="10"/>
        <v>4.2999999999999972</v>
      </c>
      <c r="G11" s="257"/>
      <c r="H11" s="33">
        <f>INPUT!H43</f>
        <v>95.534999999999997</v>
      </c>
      <c r="I11" s="34">
        <f t="shared" si="11"/>
        <v>4.4650000000000034</v>
      </c>
      <c r="J11" s="32">
        <f t="shared" si="1"/>
        <v>46447</v>
      </c>
      <c r="K11" s="35"/>
      <c r="L11" s="36"/>
      <c r="M11" s="374">
        <v>46463</v>
      </c>
      <c r="N11" s="36"/>
      <c r="O11" s="37"/>
      <c r="P11" s="324"/>
      <c r="Q11" s="325"/>
      <c r="R11" s="320"/>
      <c r="S11" s="36"/>
      <c r="T11" s="37"/>
      <c r="U11" s="40"/>
      <c r="V11" s="40"/>
      <c r="Y11" s="18"/>
      <c r="Z11" s="366"/>
      <c r="AA11" s="59"/>
      <c r="AB11" s="31"/>
      <c r="AC11" s="31"/>
    </row>
    <row r="12" spans="1:29">
      <c r="A12" s="38">
        <f>DATE(LEFT(INPUT!D44,4),RIGHT(INPUT!D44,2),1)</f>
        <v>46478</v>
      </c>
      <c r="B12" s="44">
        <f>INPUT!H9</f>
        <v>95.62</v>
      </c>
      <c r="C12" s="45">
        <f t="shared" si="8"/>
        <v>4.3799999999999955</v>
      </c>
      <c r="D12" s="109">
        <f t="shared" si="9"/>
        <v>1.5000000000000568E-2</v>
      </c>
      <c r="E12" s="44">
        <f>INPUT!H25</f>
        <v>95.605000000000004</v>
      </c>
      <c r="F12" s="45">
        <f t="shared" si="10"/>
        <v>4.394999999999996</v>
      </c>
      <c r="G12" s="258"/>
      <c r="H12" s="44"/>
      <c r="I12" s="45"/>
      <c r="J12" s="38">
        <f t="shared" si="1"/>
        <v>46478</v>
      </c>
      <c r="K12" s="39"/>
      <c r="L12" s="40"/>
      <c r="M12" s="373">
        <v>46505</v>
      </c>
      <c r="N12" s="40"/>
      <c r="O12" s="41"/>
      <c r="P12" s="294"/>
      <c r="Q12" s="40"/>
      <c r="R12" s="293"/>
      <c r="S12" s="40"/>
      <c r="T12" s="41"/>
      <c r="U12" s="40"/>
      <c r="V12" s="40"/>
      <c r="Y12" s="18"/>
      <c r="Z12" s="366"/>
      <c r="AA12" s="59"/>
      <c r="AB12" s="31"/>
      <c r="AC12" s="31"/>
    </row>
    <row r="13" spans="1:29">
      <c r="A13" s="38">
        <f>DATE(LEFT(INPUT!D45,4),RIGHT(INPUT!D45,2),1)</f>
        <v>46508</v>
      </c>
      <c r="B13" s="44">
        <f>INPUT!H10</f>
        <v>95.534999999999997</v>
      </c>
      <c r="C13" s="45">
        <f t="shared" si="8"/>
        <v>4.4650000000000034</v>
      </c>
      <c r="D13" s="109">
        <f t="shared" si="9"/>
        <v>1.5000000000000568E-2</v>
      </c>
      <c r="E13" s="44">
        <f>INPUT!H26</f>
        <v>95.52</v>
      </c>
      <c r="F13" s="45">
        <f t="shared" si="10"/>
        <v>4.480000000000004</v>
      </c>
      <c r="G13" s="258"/>
      <c r="H13" s="44"/>
      <c r="I13" s="45"/>
      <c r="J13" s="38">
        <f t="shared" si="1"/>
        <v>46508</v>
      </c>
      <c r="K13" s="39"/>
      <c r="L13" s="40"/>
      <c r="M13" s="373"/>
      <c r="N13" s="40"/>
      <c r="O13" s="41"/>
      <c r="P13" s="39"/>
      <c r="Q13" s="293"/>
      <c r="R13" s="40"/>
      <c r="S13" s="40"/>
      <c r="T13" s="41"/>
      <c r="U13" s="40"/>
      <c r="V13" s="40"/>
      <c r="Y13" s="18"/>
      <c r="Z13" s="366"/>
      <c r="AA13" s="59"/>
      <c r="AB13" s="31"/>
      <c r="AC13" s="31"/>
    </row>
    <row r="14" spans="1:29">
      <c r="A14" s="32">
        <f>DATE(LEFT(INPUT!D46,4),RIGHT(INPUT!D46,2),1)</f>
        <v>46539</v>
      </c>
      <c r="B14" s="33">
        <f>INPUT!H11</f>
        <v>95.47</v>
      </c>
      <c r="C14" s="34">
        <f t="shared" si="8"/>
        <v>4.5300000000000011</v>
      </c>
      <c r="D14" s="257">
        <f t="shared" si="9"/>
        <v>1.9999999999996021E-2</v>
      </c>
      <c r="E14" s="33">
        <f>INPUT!H27</f>
        <v>95.45</v>
      </c>
      <c r="F14" s="34">
        <f t="shared" si="10"/>
        <v>4.5499999999999972</v>
      </c>
      <c r="G14" s="257"/>
      <c r="H14" s="33">
        <f>INPUT!H46</f>
        <v>95.37</v>
      </c>
      <c r="I14" s="34">
        <f t="shared" si="11"/>
        <v>4.6299999999999955</v>
      </c>
      <c r="J14" s="32">
        <f t="shared" si="1"/>
        <v>46539</v>
      </c>
      <c r="K14" s="35"/>
      <c r="L14" s="36"/>
      <c r="M14" s="374">
        <v>46547</v>
      </c>
      <c r="N14" s="36"/>
      <c r="O14" s="37"/>
      <c r="P14" s="367"/>
      <c r="Q14" s="320"/>
      <c r="R14" s="320"/>
      <c r="S14" s="36"/>
      <c r="T14" s="37"/>
      <c r="U14" s="40"/>
      <c r="V14" s="40"/>
      <c r="Y14" s="18"/>
      <c r="Z14" s="366"/>
      <c r="AA14" s="59"/>
      <c r="AB14" s="31"/>
      <c r="AC14" s="31"/>
    </row>
    <row r="15" spans="1:29">
      <c r="A15" s="38">
        <f>DATE(LEFT(INPUT!D47,4),RIGHT(INPUT!D47,2),1)</f>
        <v>46569</v>
      </c>
      <c r="B15" s="44">
        <f>INPUT!H12</f>
        <v>95.435000000000002</v>
      </c>
      <c r="C15" s="45">
        <f t="shared" si="8"/>
        <v>4.5649999999999977</v>
      </c>
      <c r="D15" s="109">
        <f t="shared" si="9"/>
        <v>2.5000000000005684E-2</v>
      </c>
      <c r="E15" s="44">
        <f>INPUT!H28</f>
        <v>95.41</v>
      </c>
      <c r="F15" s="45">
        <f t="shared" si="10"/>
        <v>4.5900000000000034</v>
      </c>
      <c r="G15" s="258"/>
      <c r="H15" s="44"/>
      <c r="I15" s="45"/>
      <c r="J15" s="38">
        <f t="shared" si="1"/>
        <v>46569</v>
      </c>
      <c r="K15" s="39"/>
      <c r="L15" s="40"/>
      <c r="M15" s="373">
        <v>46596</v>
      </c>
      <c r="N15" s="40"/>
      <c r="O15" s="41"/>
      <c r="P15" s="294"/>
      <c r="Q15" s="40"/>
      <c r="R15" s="293"/>
      <c r="S15" s="40"/>
      <c r="T15" s="41"/>
      <c r="U15" s="40"/>
      <c r="V15" s="40"/>
      <c r="Y15" s="18"/>
      <c r="Z15" s="366"/>
      <c r="AA15" s="59"/>
      <c r="AB15" s="31"/>
      <c r="AC15" s="31"/>
    </row>
    <row r="16" spans="1:29">
      <c r="A16" s="38">
        <f>DATE(LEFT(INPUT!D48,4),RIGHT(INPUT!D48,2),1)</f>
        <v>46600</v>
      </c>
      <c r="B16" s="44">
        <f>INPUT!H13</f>
        <v>95.405000000000001</v>
      </c>
      <c r="C16" s="45">
        <f t="shared" si="8"/>
        <v>4.5949999999999989</v>
      </c>
      <c r="D16" s="109">
        <f t="shared" si="9"/>
        <v>2.5000000000005684E-2</v>
      </c>
      <c r="E16" s="44">
        <f>INPUT!H29</f>
        <v>95.38</v>
      </c>
      <c r="F16" s="45">
        <f t="shared" si="10"/>
        <v>4.6200000000000045</v>
      </c>
      <c r="G16" s="258"/>
      <c r="H16" s="44"/>
      <c r="I16" s="45"/>
      <c r="J16" s="38">
        <f t="shared" si="1"/>
        <v>46600</v>
      </c>
      <c r="K16" s="39"/>
      <c r="L16" s="40"/>
      <c r="M16" s="373"/>
      <c r="N16" s="40"/>
      <c r="O16" s="41"/>
      <c r="P16" s="322"/>
      <c r="Q16" s="323"/>
      <c r="R16" s="40"/>
      <c r="S16" s="40"/>
      <c r="T16" s="41"/>
      <c r="U16" s="40"/>
      <c r="V16" s="40"/>
      <c r="Y16" s="18"/>
      <c r="Z16" s="366"/>
      <c r="AA16" s="59"/>
      <c r="AB16" s="31"/>
      <c r="AC16" s="31"/>
    </row>
    <row r="17" spans="1:29">
      <c r="A17" s="32">
        <f>DATE(LEFT(INPUT!D49,4),RIGHT(INPUT!D49,2),1)</f>
        <v>46631</v>
      </c>
      <c r="B17" s="79">
        <f>INPUT!H14</f>
        <v>95.39</v>
      </c>
      <c r="C17" s="34">
        <f t="shared" si="8"/>
        <v>4.6099999999999994</v>
      </c>
      <c r="D17" s="224">
        <f t="shared" si="9"/>
        <v>2.5000000000005684E-2</v>
      </c>
      <c r="E17" s="33">
        <f>INPUT!H30</f>
        <v>95.364999999999995</v>
      </c>
      <c r="F17" s="34">
        <f t="shared" si="10"/>
        <v>4.6350000000000051</v>
      </c>
      <c r="G17" s="257"/>
      <c r="H17" s="33">
        <f>INPUT!H49</f>
        <v>95.32</v>
      </c>
      <c r="I17" s="34">
        <f t="shared" si="11"/>
        <v>4.6800000000000068</v>
      </c>
      <c r="J17" s="32">
        <f t="shared" si="1"/>
        <v>46631</v>
      </c>
      <c r="K17" s="35"/>
      <c r="L17" s="36"/>
      <c r="M17" s="374">
        <v>46645</v>
      </c>
      <c r="N17" s="36"/>
      <c r="O17" s="37"/>
      <c r="P17" s="324"/>
      <c r="Q17" s="325"/>
      <c r="R17" s="320"/>
      <c r="S17" s="36"/>
      <c r="T17" s="37"/>
      <c r="U17" s="40"/>
      <c r="V17" s="40"/>
      <c r="Y17" s="18"/>
      <c r="Z17" s="366"/>
      <c r="AA17" s="59"/>
      <c r="AB17" s="31"/>
      <c r="AC17" s="31"/>
    </row>
    <row r="18" spans="1:29">
      <c r="A18" s="38">
        <f>DATE(LEFT(INPUT!D50,4),RIGHT(INPUT!D50,2),1)</f>
        <v>46661</v>
      </c>
      <c r="B18" s="44">
        <f>INPUT!H15</f>
        <v>95.38</v>
      </c>
      <c r="C18" s="45">
        <f t="shared" si="8"/>
        <v>4.6200000000000045</v>
      </c>
      <c r="D18" s="109">
        <f t="shared" si="9"/>
        <v>3.0000000000001137E-2</v>
      </c>
      <c r="E18" s="44">
        <f>INPUT!H31</f>
        <v>95.35</v>
      </c>
      <c r="F18" s="45">
        <f t="shared" si="10"/>
        <v>4.6500000000000057</v>
      </c>
      <c r="G18" s="258"/>
      <c r="H18" s="44"/>
      <c r="I18" s="45"/>
      <c r="J18" s="38">
        <f t="shared" si="1"/>
        <v>46661</v>
      </c>
      <c r="K18" s="39"/>
      <c r="L18" s="40"/>
      <c r="M18" s="373">
        <v>46687</v>
      </c>
      <c r="N18" s="40"/>
      <c r="O18" s="41"/>
      <c r="P18" s="294"/>
      <c r="Q18" s="40"/>
      <c r="R18" s="293"/>
      <c r="S18" s="40"/>
      <c r="T18" s="41"/>
      <c r="U18" s="40"/>
      <c r="V18" s="40"/>
      <c r="Y18" s="18"/>
      <c r="Z18" s="366"/>
      <c r="AA18" s="59"/>
      <c r="AB18" s="31"/>
      <c r="AC18" s="31"/>
    </row>
    <row r="19" spans="1:29">
      <c r="A19" s="38">
        <f>DATE(LEFT(INPUT!D51,4),RIGHT(INPUT!D51,2),1)</f>
        <v>46692</v>
      </c>
      <c r="B19" s="44">
        <f>INPUT!H16</f>
        <v>95.375</v>
      </c>
      <c r="C19" s="45">
        <f t="shared" si="8"/>
        <v>4.625</v>
      </c>
      <c r="D19" s="109">
        <f t="shared" si="9"/>
        <v>2.5000000000005684E-2</v>
      </c>
      <c r="E19" s="44">
        <f>INPUT!H32</f>
        <v>95.35</v>
      </c>
      <c r="F19" s="45">
        <f t="shared" si="10"/>
        <v>4.6500000000000057</v>
      </c>
      <c r="G19" s="258"/>
      <c r="H19" s="44"/>
      <c r="I19" s="45"/>
      <c r="J19" s="38">
        <f t="shared" si="1"/>
        <v>46692</v>
      </c>
      <c r="K19" s="39"/>
      <c r="L19" s="40"/>
      <c r="M19" s="373"/>
      <c r="N19" s="40"/>
      <c r="O19" s="41"/>
      <c r="P19" s="39"/>
      <c r="Q19" s="293"/>
      <c r="R19" s="40"/>
      <c r="S19" s="40"/>
      <c r="T19" s="41"/>
      <c r="U19" s="40"/>
      <c r="V19" s="40"/>
      <c r="Y19" s="18"/>
      <c r="Z19" s="366"/>
      <c r="AA19" s="59"/>
      <c r="AB19" s="31"/>
      <c r="AC19" s="31"/>
    </row>
    <row r="20" spans="1:29" ht="15.75" thickBot="1">
      <c r="A20" s="43">
        <f>DATE(LEFT(INPUT!D52,4),RIGHT(INPUT!D52,2),1)</f>
        <v>46722</v>
      </c>
      <c r="B20" s="50">
        <f>INPUT!H17</f>
        <v>95.41</v>
      </c>
      <c r="C20" s="51">
        <f t="shared" si="8"/>
        <v>4.5900000000000034</v>
      </c>
      <c r="D20" s="310">
        <f t="shared" si="9"/>
        <v>-0.13000000000000966</v>
      </c>
      <c r="E20" s="50">
        <f>INPUT!H33</f>
        <v>95.54</v>
      </c>
      <c r="F20" s="51">
        <f t="shared" si="10"/>
        <v>4.4599999999999937</v>
      </c>
      <c r="G20" s="310"/>
      <c r="H20" s="50"/>
      <c r="I20" s="51"/>
      <c r="J20" s="43">
        <f t="shared" si="1"/>
        <v>46722</v>
      </c>
      <c r="K20" s="46"/>
      <c r="L20" s="47"/>
      <c r="M20" s="375">
        <v>46729</v>
      </c>
      <c r="N20" s="47"/>
      <c r="O20" s="48"/>
      <c r="P20" s="295"/>
      <c r="Q20" s="321"/>
      <c r="R20" s="321"/>
      <c r="S20" s="47"/>
      <c r="T20" s="48"/>
      <c r="U20" s="40"/>
      <c r="V20" s="40"/>
      <c r="Y20" s="18"/>
      <c r="Z20" s="366"/>
      <c r="AA20" s="59"/>
      <c r="AB20" s="31"/>
      <c r="AC20" s="31"/>
    </row>
    <row r="21" spans="1:29">
      <c r="R21" s="136" t="s">
        <v>194</v>
      </c>
      <c r="S21" s="331">
        <v>0.25</v>
      </c>
      <c r="T21" s="334" t="e">
        <f>T8/S21</f>
        <v>#REF!</v>
      </c>
      <c r="U21" s="21" t="s">
        <v>197</v>
      </c>
      <c r="V21" s="40"/>
      <c r="AB21" s="31"/>
      <c r="AC21" s="31"/>
    </row>
    <row r="22" spans="1:29">
      <c r="AB22" s="31"/>
      <c r="AC22" s="31"/>
    </row>
    <row r="23" spans="1:29">
      <c r="AB23" s="31"/>
      <c r="AC23" s="31"/>
    </row>
    <row r="24" spans="1:29">
      <c r="AB24" s="31"/>
      <c r="AC24" s="31"/>
    </row>
    <row r="25" spans="1:29">
      <c r="AB25" s="31"/>
      <c r="AC25" s="31"/>
    </row>
    <row r="26" spans="1:29">
      <c r="AB26" s="31"/>
      <c r="AC26" s="31"/>
    </row>
    <row r="30" spans="1:29">
      <c r="J30" s="17"/>
    </row>
    <row r="31" spans="1:29">
      <c r="J31" s="17"/>
    </row>
    <row r="32" spans="1:29">
      <c r="J32" s="17"/>
    </row>
    <row r="33" spans="10:10">
      <c r="J33" s="17"/>
    </row>
    <row r="34" spans="10:10">
      <c r="J34" s="17"/>
    </row>
    <row r="35" spans="10:10">
      <c r="J35" s="17"/>
    </row>
    <row r="36" spans="10:10">
      <c r="J36" s="17"/>
    </row>
    <row r="37" spans="10:10">
      <c r="J37" s="17"/>
    </row>
    <row r="38" spans="10:10">
      <c r="J38" s="17"/>
    </row>
  </sheetData>
  <mergeCells count="4">
    <mergeCell ref="B1:C1"/>
    <mergeCell ref="E1:F1"/>
    <mergeCell ref="H1:I1"/>
    <mergeCell ref="P1:T1"/>
  </mergeCells>
  <conditionalFormatting sqref="C3:C20">
    <cfRule type="top10" dxfId="18" priority="3255" bottom="1" rank="1"/>
    <cfRule type="top10" dxfId="17" priority="3256" rank="1"/>
  </conditionalFormatting>
  <conditionalFormatting sqref="F3:F20">
    <cfRule type="top10" dxfId="16" priority="3257" bottom="1" rank="1"/>
    <cfRule type="top10" dxfId="15" priority="3258" rank="1"/>
  </conditionalFormatting>
  <conditionalFormatting sqref="O3:O20">
    <cfRule type="top10" dxfId="14" priority="3259" bottom="1" rank="1"/>
    <cfRule type="top10" dxfId="13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D2954"/>
  <sheetViews>
    <sheetView zoomScale="75" zoomScaleNormal="75" workbookViewId="0">
      <pane ySplit="1" topLeftCell="A2499" activePane="bottomLeft" state="frozen"/>
      <selection pane="bottomLeft" activeCell="A2524" sqref="A2524"/>
    </sheetView>
  </sheetViews>
  <sheetFormatPr defaultColWidth="14.5" defaultRowHeight="15"/>
  <cols>
    <col min="1" max="1" width="12.875" style="39" customWidth="1"/>
    <col min="2" max="2" width="12.875" style="58" customWidth="1"/>
    <col min="3" max="3" width="14" style="409" customWidth="1"/>
    <col min="4" max="4" width="7.125" style="94" customWidth="1"/>
    <col min="5" max="5" width="12.875" style="165" customWidth="1"/>
    <col min="6" max="6" width="12.875" style="336" customWidth="1"/>
    <col min="7" max="7" width="9.625" style="411" customWidth="1"/>
    <col min="8" max="8" width="23.75" style="15" bestFit="1" customWidth="1"/>
    <col min="9" max="9" width="21" style="15" bestFit="1" customWidth="1"/>
    <col min="10" max="10" width="20.625" style="138" bestFit="1" customWidth="1"/>
    <col min="11" max="11" width="12.625" style="18" customWidth="1"/>
    <col min="12" max="12" width="14" style="409" customWidth="1"/>
    <col min="13" max="13" width="7.125" style="94" customWidth="1"/>
    <col min="14" max="14" width="14.125" style="132" customWidth="1"/>
    <col min="15" max="15" width="11.875" style="383" customWidth="1"/>
    <col min="16" max="16" width="11.875" style="424" customWidth="1"/>
    <col min="17" max="17" width="31.5" style="17" customWidth="1"/>
    <col min="18" max="18" width="22.25" style="18" bestFit="1" customWidth="1"/>
    <col min="19" max="19" width="12.125" style="17" bestFit="1" customWidth="1"/>
    <col min="20" max="20" width="10.5" style="17" customWidth="1"/>
    <col min="21" max="30" width="14.5" style="17" customWidth="1"/>
    <col min="31" max="16384" width="14.5" style="17"/>
  </cols>
  <sheetData>
    <row r="1" spans="1:16" s="55" customFormat="1" ht="15.75" thickBot="1">
      <c r="A1" s="52" t="s">
        <v>21</v>
      </c>
      <c r="B1" s="416" t="s">
        <v>29</v>
      </c>
      <c r="C1" s="52" t="s">
        <v>35</v>
      </c>
      <c r="D1" s="53" t="s">
        <v>0</v>
      </c>
      <c r="E1" s="417" t="s">
        <v>22</v>
      </c>
      <c r="F1" s="418" t="s">
        <v>28</v>
      </c>
      <c r="G1" s="415" t="s">
        <v>217</v>
      </c>
      <c r="H1" s="54" t="s">
        <v>151</v>
      </c>
      <c r="I1" s="54" t="s">
        <v>152</v>
      </c>
      <c r="J1" s="53" t="s">
        <v>153</v>
      </c>
      <c r="K1" s="54" t="s">
        <v>38</v>
      </c>
      <c r="L1" s="52" t="s">
        <v>35</v>
      </c>
      <c r="M1" s="53" t="s">
        <v>0</v>
      </c>
      <c r="N1" s="120" t="s">
        <v>193</v>
      </c>
      <c r="O1" s="442" t="s">
        <v>43</v>
      </c>
      <c r="P1" s="443"/>
    </row>
    <row r="2" spans="1:16">
      <c r="A2" s="57"/>
      <c r="B2" s="41"/>
      <c r="C2" s="403">
        <v>43800</v>
      </c>
      <c r="D2" s="56" t="str">
        <f>VLOOKUP(MOD(C2,7),'CALENDAR INFO'!$G$5:$H$11,2)</f>
        <v>SUN</v>
      </c>
      <c r="E2" s="165">
        <v>1.56</v>
      </c>
      <c r="F2" s="336">
        <v>1.65</v>
      </c>
      <c r="G2" s="410">
        <f>F2-E2</f>
        <v>8.9999999999999858E-2</v>
      </c>
      <c r="H2" s="15" t="s">
        <v>149</v>
      </c>
      <c r="I2" s="15">
        <f>ROW(I2)</f>
        <v>2</v>
      </c>
      <c r="J2" s="138">
        <f>I2</f>
        <v>2</v>
      </c>
      <c r="K2" s="123"/>
      <c r="L2" s="403">
        <f>C2</f>
        <v>43800</v>
      </c>
      <c r="M2" s="56" t="str">
        <f>D2</f>
        <v>SUN</v>
      </c>
      <c r="N2" s="131"/>
      <c r="O2" s="377"/>
      <c r="P2" s="423"/>
    </row>
    <row r="3" spans="1:16">
      <c r="A3" s="57"/>
      <c r="B3" s="41"/>
      <c r="C3" s="403">
        <f>C2+1</f>
        <v>43801</v>
      </c>
      <c r="D3" s="56" t="str">
        <f>VLOOKUP(MOD(C3,7),'CALENDAR INFO'!$G$5:$H$11,2)</f>
        <v>MON</v>
      </c>
      <c r="E3" s="165">
        <v>1.56</v>
      </c>
      <c r="F3" s="336">
        <v>1.63</v>
      </c>
      <c r="G3" s="410">
        <f t="shared" ref="G3:G66" si="0">F3-E3</f>
        <v>6.999999999999984E-2</v>
      </c>
      <c r="H3" s="376" t="s">
        <v>210</v>
      </c>
      <c r="I3" s="15">
        <f>VLOOKUP(MONTH($C2),'CALENDAR INFO'!$J$5:$K$16,2)</f>
        <v>31</v>
      </c>
      <c r="J3" s="138">
        <f>I3</f>
        <v>31</v>
      </c>
      <c r="K3" s="123"/>
      <c r="L3" s="403">
        <f t="shared" ref="L3:L66" si="1">C3</f>
        <v>43801</v>
      </c>
      <c r="M3" s="56" t="str">
        <f t="shared" ref="M3:M66" si="2">D3</f>
        <v>MON</v>
      </c>
      <c r="N3" s="131"/>
      <c r="O3" s="377"/>
      <c r="P3" s="423"/>
    </row>
    <row r="4" spans="1:16">
      <c r="A4" s="57"/>
      <c r="B4" s="41"/>
      <c r="C4" s="403">
        <f t="shared" ref="C4:C40" si="3">C3+1</f>
        <v>43802</v>
      </c>
      <c r="D4" s="56" t="str">
        <f>VLOOKUP(MOD(C4,7),'CALENDAR INFO'!$G$5:$H$11,2)</f>
        <v>TUE</v>
      </c>
      <c r="E4" s="165">
        <v>1.55</v>
      </c>
      <c r="F4" s="336">
        <v>1.55</v>
      </c>
      <c r="G4" s="411">
        <f t="shared" si="0"/>
        <v>0</v>
      </c>
      <c r="H4" s="376" t="s">
        <v>211</v>
      </c>
      <c r="I4" s="15">
        <f>I3+I2-1</f>
        <v>32</v>
      </c>
      <c r="J4" s="138">
        <f>I4</f>
        <v>32</v>
      </c>
      <c r="K4" s="123"/>
      <c r="L4" s="403">
        <f t="shared" si="1"/>
        <v>43802</v>
      </c>
      <c r="M4" s="56" t="str">
        <f t="shared" si="2"/>
        <v>TUE</v>
      </c>
      <c r="N4" s="131"/>
      <c r="O4" s="377"/>
      <c r="P4" s="423"/>
    </row>
    <row r="5" spans="1:16">
      <c r="A5" s="57"/>
      <c r="B5" s="41"/>
      <c r="C5" s="403">
        <f t="shared" si="3"/>
        <v>43803</v>
      </c>
      <c r="D5" s="56" t="str">
        <f>VLOOKUP(MOD(C5,7),'CALENDAR INFO'!$G$5:$H$11,2)</f>
        <v>WED</v>
      </c>
      <c r="E5" s="165">
        <v>1.55</v>
      </c>
      <c r="F5" s="336">
        <v>1.54</v>
      </c>
      <c r="G5" s="411">
        <f t="shared" si="0"/>
        <v>-1.0000000000000009E-2</v>
      </c>
      <c r="K5" s="123" t="s">
        <v>19</v>
      </c>
      <c r="L5" s="403">
        <f t="shared" si="1"/>
        <v>43803</v>
      </c>
      <c r="M5" s="56" t="str">
        <f t="shared" si="2"/>
        <v>WED</v>
      </c>
      <c r="N5" s="131"/>
      <c r="O5" s="377"/>
      <c r="P5" s="423"/>
    </row>
    <row r="6" spans="1:16">
      <c r="A6" s="57"/>
      <c r="B6" s="41"/>
      <c r="C6" s="403">
        <f t="shared" si="3"/>
        <v>43804</v>
      </c>
      <c r="D6" s="56" t="str">
        <f>VLOOKUP(MOD(C6,7),'CALENDAR INFO'!$G$5:$H$11,2)</f>
        <v>THU</v>
      </c>
      <c r="E6" s="165">
        <v>1.55</v>
      </c>
      <c r="F6" s="336">
        <v>1.55</v>
      </c>
      <c r="G6" s="411">
        <f t="shared" si="0"/>
        <v>0</v>
      </c>
      <c r="H6" s="15" t="s">
        <v>150</v>
      </c>
      <c r="I6" s="137" t="str">
        <f>_xlfn.CONCAT(ADDRESS(I2,5),":",ADDRESS(I4,5))</f>
        <v>$E$2:$E$32</v>
      </c>
      <c r="J6" s="150" t="str">
        <f>_xlfn.CONCAT(ADDRESS(J2,6),":",ADDRESS(J4,6))</f>
        <v>$F$2:$F$32</v>
      </c>
      <c r="K6" s="124" t="s">
        <v>18</v>
      </c>
      <c r="L6" s="403">
        <f t="shared" si="1"/>
        <v>43804</v>
      </c>
      <c r="M6" s="56" t="str">
        <f t="shared" si="2"/>
        <v>THU</v>
      </c>
      <c r="N6" s="131"/>
      <c r="O6" s="377"/>
      <c r="P6" s="423"/>
    </row>
    <row r="7" spans="1:16">
      <c r="A7" s="57"/>
      <c r="B7" s="41"/>
      <c r="C7" s="403">
        <f t="shared" si="3"/>
        <v>43805</v>
      </c>
      <c r="D7" s="56" t="str">
        <f>VLOOKUP(MOD(C7,7),'CALENDAR INFO'!$G$5:$H$11,2)</f>
        <v>FRI</v>
      </c>
      <c r="E7" s="165">
        <v>1.55</v>
      </c>
      <c r="F7" s="336">
        <v>1.55</v>
      </c>
      <c r="G7" s="411">
        <f t="shared" si="0"/>
        <v>0</v>
      </c>
      <c r="K7" s="124"/>
      <c r="L7" s="403">
        <f t="shared" si="1"/>
        <v>43805</v>
      </c>
      <c r="M7" s="56" t="str">
        <f t="shared" si="2"/>
        <v>FRI</v>
      </c>
      <c r="N7" s="131"/>
      <c r="O7" s="377"/>
      <c r="P7" s="423"/>
    </row>
    <row r="8" spans="1:16">
      <c r="A8" s="57"/>
      <c r="B8" s="41"/>
      <c r="C8" s="403">
        <f t="shared" si="3"/>
        <v>43806</v>
      </c>
      <c r="D8" s="56" t="str">
        <f>VLOOKUP(MOD(C8,7),'CALENDAR INFO'!$G$5:$H$11,2)</f>
        <v>SAT</v>
      </c>
      <c r="E8" s="165">
        <v>1.55</v>
      </c>
      <c r="F8" s="336">
        <v>1.55</v>
      </c>
      <c r="G8" s="411">
        <f t="shared" si="0"/>
        <v>0</v>
      </c>
      <c r="H8" s="376" t="s">
        <v>221</v>
      </c>
      <c r="I8" s="147">
        <f ca="1">AVERAGE(INDIRECT(I6))</f>
        <v>1.550967741935483</v>
      </c>
      <c r="J8" s="326">
        <f ca="1">AVERAGE(INDIRECT(J6))</f>
        <v>1.5464516129032264</v>
      </c>
      <c r="K8" s="124"/>
      <c r="L8" s="403">
        <f t="shared" si="1"/>
        <v>43806</v>
      </c>
      <c r="M8" s="56" t="str">
        <f t="shared" si="2"/>
        <v>SAT</v>
      </c>
      <c r="N8" s="131"/>
      <c r="O8" s="377"/>
      <c r="P8" s="423"/>
    </row>
    <row r="9" spans="1:16">
      <c r="A9" s="57"/>
      <c r="B9" s="41"/>
      <c r="C9" s="403">
        <f t="shared" si="3"/>
        <v>43807</v>
      </c>
      <c r="D9" s="56" t="str">
        <f>VLOOKUP(MOD(C9,7),'CALENDAR INFO'!$G$5:$H$11,2)</f>
        <v>SUN</v>
      </c>
      <c r="E9" s="165">
        <v>1.55</v>
      </c>
      <c r="F9" s="336">
        <v>1.55</v>
      </c>
      <c r="G9" s="411">
        <f t="shared" si="0"/>
        <v>0</v>
      </c>
      <c r="I9" s="240"/>
      <c r="J9" s="157"/>
      <c r="K9" s="124"/>
      <c r="L9" s="403">
        <f t="shared" si="1"/>
        <v>43807</v>
      </c>
      <c r="M9" s="56" t="str">
        <f t="shared" si="2"/>
        <v>SUN</v>
      </c>
      <c r="N9" s="131"/>
      <c r="O9" s="377"/>
      <c r="P9" s="423"/>
    </row>
    <row r="10" spans="1:16">
      <c r="A10" s="57"/>
      <c r="B10" s="41"/>
      <c r="C10" s="403">
        <f t="shared" si="3"/>
        <v>43808</v>
      </c>
      <c r="D10" s="56" t="str">
        <f>VLOOKUP(MOD(C10,7),'CALENDAR INFO'!$G$5:$H$11,2)</f>
        <v>MON</v>
      </c>
      <c r="E10" s="165">
        <v>1.55</v>
      </c>
      <c r="F10" s="336">
        <v>1.56</v>
      </c>
      <c r="G10" s="411">
        <f t="shared" si="0"/>
        <v>1.0000000000000009E-2</v>
      </c>
      <c r="I10" s="240"/>
      <c r="J10" s="157"/>
      <c r="K10" s="124"/>
      <c r="L10" s="403">
        <f t="shared" si="1"/>
        <v>43808</v>
      </c>
      <c r="M10" s="56" t="str">
        <f t="shared" si="2"/>
        <v>MON</v>
      </c>
      <c r="N10" s="131"/>
      <c r="O10" s="377"/>
      <c r="P10" s="423"/>
    </row>
    <row r="11" spans="1:16">
      <c r="A11" s="57"/>
      <c r="B11" s="41"/>
      <c r="C11" s="403">
        <f t="shared" si="3"/>
        <v>43809</v>
      </c>
      <c r="D11" s="56" t="str">
        <f>VLOOKUP(MOD(C11,7),'CALENDAR INFO'!$G$5:$H$11,2)</f>
        <v>TUE</v>
      </c>
      <c r="E11" s="165">
        <v>1.55</v>
      </c>
      <c r="F11" s="336">
        <v>1.55</v>
      </c>
      <c r="G11" s="411">
        <f t="shared" si="0"/>
        <v>0</v>
      </c>
      <c r="I11" s="137"/>
      <c r="J11" s="150"/>
      <c r="K11" s="124"/>
      <c r="L11" s="403">
        <f t="shared" si="1"/>
        <v>43809</v>
      </c>
      <c r="M11" s="56" t="str">
        <f t="shared" si="2"/>
        <v>TUE</v>
      </c>
      <c r="N11" s="131"/>
      <c r="O11" s="377"/>
      <c r="P11" s="423"/>
    </row>
    <row r="12" spans="1:16">
      <c r="A12" s="57"/>
      <c r="B12" s="41"/>
      <c r="C12" s="403">
        <f t="shared" si="3"/>
        <v>43810</v>
      </c>
      <c r="D12" s="56" t="str">
        <f>VLOOKUP(MOD(C12,7),'CALENDAR INFO'!$G$5:$H$11,2)</f>
        <v>WED</v>
      </c>
      <c r="E12" s="165">
        <v>1.55</v>
      </c>
      <c r="F12" s="336">
        <v>1.54</v>
      </c>
      <c r="G12" s="411">
        <f t="shared" si="0"/>
        <v>-1.0000000000000009E-2</v>
      </c>
      <c r="K12" s="124"/>
      <c r="L12" s="403">
        <f t="shared" si="1"/>
        <v>43810</v>
      </c>
      <c r="M12" s="56" t="str">
        <f t="shared" si="2"/>
        <v>WED</v>
      </c>
      <c r="N12" s="131"/>
      <c r="O12" s="377"/>
      <c r="P12" s="423"/>
    </row>
    <row r="13" spans="1:16">
      <c r="A13" s="57"/>
      <c r="B13" s="41"/>
      <c r="C13" s="403">
        <f t="shared" si="3"/>
        <v>43811</v>
      </c>
      <c r="D13" s="56" t="str">
        <f>VLOOKUP(MOD(C13,7),'CALENDAR INFO'!$G$5:$H$11,2)</f>
        <v>THU</v>
      </c>
      <c r="E13" s="165">
        <v>1.55</v>
      </c>
      <c r="F13" s="336">
        <v>1.53</v>
      </c>
      <c r="G13" s="411">
        <f t="shared" si="0"/>
        <v>-2.0000000000000018E-2</v>
      </c>
      <c r="I13" s="137"/>
      <c r="J13" s="150"/>
      <c r="K13" s="124"/>
      <c r="L13" s="403">
        <f t="shared" si="1"/>
        <v>43811</v>
      </c>
      <c r="M13" s="56" t="str">
        <f t="shared" si="2"/>
        <v>THU</v>
      </c>
      <c r="N13" s="131"/>
      <c r="O13" s="377"/>
      <c r="P13" s="423"/>
    </row>
    <row r="14" spans="1:16">
      <c r="A14" s="57"/>
      <c r="B14" s="41"/>
      <c r="C14" s="403">
        <f t="shared" si="3"/>
        <v>43812</v>
      </c>
      <c r="D14" s="56" t="str">
        <f>VLOOKUP(MOD(C14,7),'CALENDAR INFO'!$G$5:$H$11,2)</f>
        <v>FRI</v>
      </c>
      <c r="E14" s="165">
        <v>1.55</v>
      </c>
      <c r="F14" s="336">
        <v>1.54</v>
      </c>
      <c r="G14" s="411">
        <f t="shared" si="0"/>
        <v>-1.0000000000000009E-2</v>
      </c>
      <c r="H14" s="136"/>
      <c r="I14" s="139"/>
      <c r="J14" s="151"/>
      <c r="K14" s="124"/>
      <c r="L14" s="403">
        <f t="shared" si="1"/>
        <v>43812</v>
      </c>
      <c r="M14" s="56" t="str">
        <f t="shared" si="2"/>
        <v>FRI</v>
      </c>
      <c r="N14" s="131"/>
      <c r="O14" s="377"/>
      <c r="P14" s="423"/>
    </row>
    <row r="15" spans="1:16">
      <c r="A15" s="57"/>
      <c r="B15" s="41"/>
      <c r="C15" s="403">
        <f t="shared" si="3"/>
        <v>43813</v>
      </c>
      <c r="D15" s="56" t="str">
        <f>VLOOKUP(MOD(C15,7),'CALENDAR INFO'!$G$5:$H$11,2)</f>
        <v>SAT</v>
      </c>
      <c r="E15" s="165">
        <v>1.55</v>
      </c>
      <c r="F15" s="336">
        <v>1.54</v>
      </c>
      <c r="G15" s="411">
        <f t="shared" si="0"/>
        <v>-1.0000000000000009E-2</v>
      </c>
      <c r="K15" s="124"/>
      <c r="L15" s="403">
        <f t="shared" si="1"/>
        <v>43813</v>
      </c>
      <c r="M15" s="56" t="str">
        <f t="shared" si="2"/>
        <v>SAT</v>
      </c>
      <c r="N15" s="131"/>
      <c r="O15" s="377"/>
      <c r="P15" s="423"/>
    </row>
    <row r="16" spans="1:16">
      <c r="A16" s="57"/>
      <c r="B16" s="41"/>
      <c r="C16" s="403">
        <f t="shared" si="3"/>
        <v>43814</v>
      </c>
      <c r="D16" s="56" t="str">
        <f>VLOOKUP(MOD(C16,7),'CALENDAR INFO'!$G$5:$H$11,2)</f>
        <v>SUN</v>
      </c>
      <c r="E16" s="165">
        <v>1.55</v>
      </c>
      <c r="F16" s="336">
        <v>1.54</v>
      </c>
      <c r="G16" s="411">
        <f t="shared" si="0"/>
        <v>-1.0000000000000009E-2</v>
      </c>
      <c r="H16" s="135"/>
      <c r="I16" s="144"/>
      <c r="J16" s="152"/>
      <c r="K16" s="124"/>
      <c r="L16" s="403">
        <f t="shared" si="1"/>
        <v>43814</v>
      </c>
      <c r="M16" s="56" t="str">
        <f t="shared" si="2"/>
        <v>SUN</v>
      </c>
      <c r="N16" s="131"/>
      <c r="O16" s="377"/>
      <c r="P16" s="423"/>
    </row>
    <row r="17" spans="1:26">
      <c r="A17" s="57"/>
      <c r="B17" s="41"/>
      <c r="C17" s="403">
        <f t="shared" si="3"/>
        <v>43815</v>
      </c>
      <c r="D17" s="56" t="str">
        <f>VLOOKUP(MOD(C17,7),'CALENDAR INFO'!$G$5:$H$11,2)</f>
        <v>MON</v>
      </c>
      <c r="E17" s="165">
        <v>1.56</v>
      </c>
      <c r="F17" s="336">
        <v>1.62</v>
      </c>
      <c r="G17" s="411">
        <f t="shared" si="0"/>
        <v>6.0000000000000053E-2</v>
      </c>
      <c r="K17" s="124"/>
      <c r="L17" s="403">
        <f t="shared" si="1"/>
        <v>43815</v>
      </c>
      <c r="M17" s="56" t="str">
        <f t="shared" si="2"/>
        <v>MON</v>
      </c>
      <c r="N17" s="131"/>
      <c r="O17" s="377"/>
      <c r="P17" s="423"/>
    </row>
    <row r="18" spans="1:26">
      <c r="A18" s="57"/>
      <c r="B18" s="41"/>
      <c r="C18" s="403">
        <f t="shared" si="3"/>
        <v>43816</v>
      </c>
      <c r="D18" s="56" t="str">
        <f>VLOOKUP(MOD(C18,7),'CALENDAR INFO'!$G$5:$H$11,2)</f>
        <v>TUE</v>
      </c>
      <c r="E18" s="165">
        <v>1.55</v>
      </c>
      <c r="F18" s="336">
        <v>1.54</v>
      </c>
      <c r="G18" s="411">
        <f t="shared" si="0"/>
        <v>-1.0000000000000009E-2</v>
      </c>
      <c r="K18" s="124"/>
      <c r="L18" s="403">
        <f t="shared" si="1"/>
        <v>43816</v>
      </c>
      <c r="M18" s="56" t="str">
        <f t="shared" si="2"/>
        <v>TUE</v>
      </c>
      <c r="N18" s="131"/>
      <c r="O18" s="377"/>
      <c r="P18" s="423"/>
    </row>
    <row r="19" spans="1:26">
      <c r="A19" s="57"/>
      <c r="B19" s="41"/>
      <c r="C19" s="403">
        <f t="shared" si="3"/>
        <v>43817</v>
      </c>
      <c r="D19" s="56" t="str">
        <f>VLOOKUP(MOD(C19,7),'CALENDAR INFO'!$G$5:$H$11,2)</f>
        <v>WED</v>
      </c>
      <c r="E19" s="165">
        <v>1.55</v>
      </c>
      <c r="F19" s="336">
        <v>1.53</v>
      </c>
      <c r="G19" s="411">
        <f t="shared" si="0"/>
        <v>-2.0000000000000018E-2</v>
      </c>
      <c r="K19" s="124" t="s">
        <v>19</v>
      </c>
      <c r="L19" s="403">
        <f t="shared" si="1"/>
        <v>43817</v>
      </c>
      <c r="M19" s="56" t="str">
        <f t="shared" si="2"/>
        <v>WED</v>
      </c>
      <c r="N19" s="131"/>
      <c r="O19" s="378">
        <f t="shared" ref="O19:O31" si="4">IF(MOD(C19,7)&lt;2,0,IF(MOD(C19,7)=6,3,1))</f>
        <v>1</v>
      </c>
      <c r="P19" s="392">
        <f t="shared" ref="P19:P82" si="5">1+(O19/360)*(MAX(F19,B19)/100)</f>
        <v>1.0000424999999999</v>
      </c>
    </row>
    <row r="20" spans="1:26">
      <c r="A20" s="57"/>
      <c r="B20" s="41"/>
      <c r="C20" s="403">
        <f t="shared" si="3"/>
        <v>43818</v>
      </c>
      <c r="D20" s="56" t="str">
        <f>VLOOKUP(MOD(C20,7),'CALENDAR INFO'!$G$5:$H$11,2)</f>
        <v>THU</v>
      </c>
      <c r="E20" s="165">
        <v>1.55</v>
      </c>
      <c r="F20" s="336">
        <v>1.53</v>
      </c>
      <c r="G20" s="411">
        <f t="shared" si="0"/>
        <v>-2.0000000000000018E-2</v>
      </c>
      <c r="K20" s="123" t="s">
        <v>18</v>
      </c>
      <c r="L20" s="403">
        <f t="shared" si="1"/>
        <v>43818</v>
      </c>
      <c r="M20" s="56" t="str">
        <f t="shared" si="2"/>
        <v>THU</v>
      </c>
      <c r="N20" s="131"/>
      <c r="O20" s="378">
        <f t="shared" si="4"/>
        <v>1</v>
      </c>
      <c r="P20" s="392">
        <f t="shared" si="5"/>
        <v>1.0000424999999999</v>
      </c>
    </row>
    <row r="21" spans="1:26">
      <c r="A21" s="57"/>
      <c r="B21" s="41"/>
      <c r="C21" s="403">
        <f t="shared" si="3"/>
        <v>43819</v>
      </c>
      <c r="D21" s="56" t="str">
        <f>VLOOKUP(MOD(C21,7),'CALENDAR INFO'!$G$5:$H$11,2)</f>
        <v>FRI</v>
      </c>
      <c r="E21" s="165">
        <v>1.55</v>
      </c>
      <c r="F21" s="336">
        <v>1.53</v>
      </c>
      <c r="G21" s="411">
        <f t="shared" si="0"/>
        <v>-2.0000000000000018E-2</v>
      </c>
      <c r="K21" s="123"/>
      <c r="L21" s="403">
        <f t="shared" si="1"/>
        <v>43819</v>
      </c>
      <c r="M21" s="56" t="str">
        <f t="shared" si="2"/>
        <v>FRI</v>
      </c>
      <c r="N21" s="131"/>
      <c r="O21" s="378">
        <f t="shared" si="4"/>
        <v>3</v>
      </c>
      <c r="P21" s="392">
        <f t="shared" si="5"/>
        <v>1.0001275000000001</v>
      </c>
      <c r="Q21" s="60"/>
      <c r="R21" s="60"/>
      <c r="S21" s="60"/>
    </row>
    <row r="22" spans="1:26">
      <c r="A22" s="57"/>
      <c r="B22" s="41"/>
      <c r="C22" s="403">
        <f t="shared" si="3"/>
        <v>43820</v>
      </c>
      <c r="D22" s="56" t="str">
        <f>VLOOKUP(MOD(C22,7),'CALENDAR INFO'!$G$5:$H$11,2)</f>
        <v>SAT</v>
      </c>
      <c r="E22" s="165">
        <v>1.55</v>
      </c>
      <c r="F22" s="336">
        <v>1.53</v>
      </c>
      <c r="G22" s="411">
        <f t="shared" si="0"/>
        <v>-2.0000000000000018E-2</v>
      </c>
      <c r="K22" s="123"/>
      <c r="L22" s="403">
        <f t="shared" si="1"/>
        <v>43820</v>
      </c>
      <c r="M22" s="56" t="str">
        <f t="shared" si="2"/>
        <v>SAT</v>
      </c>
      <c r="N22" s="131"/>
      <c r="O22" s="378">
        <f t="shared" si="4"/>
        <v>0</v>
      </c>
      <c r="P22" s="392">
        <f t="shared" si="5"/>
        <v>1</v>
      </c>
      <c r="R22" s="61"/>
      <c r="S22" s="62"/>
      <c r="T22" s="62"/>
      <c r="U22" s="62"/>
      <c r="V22" s="62"/>
      <c r="W22" s="62"/>
      <c r="X22" s="62"/>
      <c r="Y22" s="62"/>
      <c r="Z22" s="62"/>
    </row>
    <row r="23" spans="1:26">
      <c r="A23" s="57"/>
      <c r="B23" s="41"/>
      <c r="C23" s="403">
        <f t="shared" si="3"/>
        <v>43821</v>
      </c>
      <c r="D23" s="56" t="str">
        <f>VLOOKUP(MOD(C23,7),'CALENDAR INFO'!$G$5:$H$11,2)</f>
        <v>SUN</v>
      </c>
      <c r="E23" s="165">
        <v>1.55</v>
      </c>
      <c r="F23" s="336">
        <v>1.53</v>
      </c>
      <c r="G23" s="411">
        <f t="shared" si="0"/>
        <v>-2.0000000000000018E-2</v>
      </c>
      <c r="K23" s="123"/>
      <c r="L23" s="403">
        <f t="shared" si="1"/>
        <v>43821</v>
      </c>
      <c r="M23" s="56" t="str">
        <f t="shared" si="2"/>
        <v>SUN</v>
      </c>
      <c r="N23" s="131"/>
      <c r="O23" s="378">
        <f t="shared" si="4"/>
        <v>0</v>
      </c>
      <c r="P23" s="392">
        <f t="shared" si="5"/>
        <v>1</v>
      </c>
      <c r="R23" s="61"/>
      <c r="S23" s="62"/>
      <c r="T23" s="62"/>
      <c r="U23" s="62"/>
      <c r="V23" s="62"/>
      <c r="W23" s="62"/>
      <c r="X23" s="62"/>
      <c r="Y23" s="62"/>
      <c r="Z23" s="62"/>
    </row>
    <row r="24" spans="1:26">
      <c r="A24" s="57"/>
      <c r="B24" s="41"/>
      <c r="C24" s="403">
        <f t="shared" si="3"/>
        <v>43822</v>
      </c>
      <c r="D24" s="56" t="str">
        <f>VLOOKUP(MOD(C24,7),'CALENDAR INFO'!$G$5:$H$11,2)</f>
        <v>MON</v>
      </c>
      <c r="E24" s="165">
        <v>1.55</v>
      </c>
      <c r="F24" s="336">
        <v>1.52</v>
      </c>
      <c r="G24" s="411">
        <f t="shared" si="0"/>
        <v>-3.0000000000000027E-2</v>
      </c>
      <c r="K24" s="123"/>
      <c r="L24" s="403">
        <f t="shared" si="1"/>
        <v>43822</v>
      </c>
      <c r="M24" s="56" t="str">
        <f t="shared" si="2"/>
        <v>MON</v>
      </c>
      <c r="N24" s="131"/>
      <c r="O24" s="378">
        <f t="shared" si="4"/>
        <v>1</v>
      </c>
      <c r="P24" s="392">
        <f t="shared" si="5"/>
        <v>1.0000422222222223</v>
      </c>
      <c r="R24" s="61"/>
      <c r="S24" s="62"/>
      <c r="T24" s="62"/>
      <c r="U24" s="62"/>
      <c r="V24" s="62"/>
      <c r="W24" s="62"/>
      <c r="X24" s="62"/>
      <c r="Y24" s="62"/>
      <c r="Z24" s="62"/>
    </row>
    <row r="25" spans="1:26">
      <c r="A25" s="57"/>
      <c r="B25" s="41"/>
      <c r="C25" s="403">
        <f t="shared" si="3"/>
        <v>43823</v>
      </c>
      <c r="D25" s="56" t="str">
        <f>VLOOKUP(MOD(C25,7),'CALENDAR INFO'!$G$5:$H$11,2)</f>
        <v>TUE</v>
      </c>
      <c r="E25" s="165">
        <v>1.55</v>
      </c>
      <c r="F25" s="336">
        <v>1.52</v>
      </c>
      <c r="G25" s="411">
        <f t="shared" si="0"/>
        <v>-3.0000000000000027E-2</v>
      </c>
      <c r="K25" s="123"/>
      <c r="L25" s="403">
        <f t="shared" si="1"/>
        <v>43823</v>
      </c>
      <c r="M25" s="56" t="str">
        <f t="shared" si="2"/>
        <v>TUE</v>
      </c>
      <c r="N25" s="131"/>
      <c r="O25" s="378">
        <f t="shared" si="4"/>
        <v>1</v>
      </c>
      <c r="P25" s="392">
        <f t="shared" si="5"/>
        <v>1.0000422222222223</v>
      </c>
      <c r="R25" s="61"/>
      <c r="S25" s="62"/>
      <c r="T25" s="62"/>
      <c r="U25" s="62"/>
      <c r="V25" s="62"/>
      <c r="W25" s="62"/>
      <c r="X25" s="62"/>
      <c r="Y25" s="62"/>
      <c r="Z25" s="62"/>
    </row>
    <row r="26" spans="1:26">
      <c r="A26" s="57"/>
      <c r="B26" s="41"/>
      <c r="C26" s="403">
        <f t="shared" si="3"/>
        <v>43824</v>
      </c>
      <c r="D26" s="56" t="str">
        <f>VLOOKUP(MOD(C26,7),'CALENDAR INFO'!$G$5:$H$11,2)</f>
        <v>WED</v>
      </c>
      <c r="E26" s="165">
        <v>1.55</v>
      </c>
      <c r="F26" s="336">
        <v>1.52</v>
      </c>
      <c r="G26" s="411">
        <f t="shared" si="0"/>
        <v>-3.0000000000000027E-2</v>
      </c>
      <c r="K26" s="123"/>
      <c r="L26" s="403">
        <f t="shared" si="1"/>
        <v>43824</v>
      </c>
      <c r="M26" s="56" t="str">
        <f t="shared" si="2"/>
        <v>WED</v>
      </c>
      <c r="N26" s="131"/>
      <c r="O26" s="378">
        <f t="shared" si="4"/>
        <v>1</v>
      </c>
      <c r="P26" s="392">
        <f t="shared" si="5"/>
        <v>1.0000422222222223</v>
      </c>
      <c r="R26" s="61"/>
      <c r="S26" s="62"/>
      <c r="T26" s="62"/>
      <c r="U26" s="62"/>
      <c r="V26" s="62"/>
      <c r="W26" s="62"/>
      <c r="X26" s="62"/>
      <c r="Y26" s="62"/>
      <c r="Z26" s="62"/>
    </row>
    <row r="27" spans="1:26">
      <c r="A27" s="57"/>
      <c r="B27" s="41"/>
      <c r="C27" s="403">
        <f t="shared" si="3"/>
        <v>43825</v>
      </c>
      <c r="D27" s="56" t="str">
        <f>VLOOKUP(MOD(C27,7),'CALENDAR INFO'!$G$5:$H$11,2)</f>
        <v>THU</v>
      </c>
      <c r="E27" s="165">
        <v>1.55</v>
      </c>
      <c r="F27" s="336">
        <v>1.52</v>
      </c>
      <c r="G27" s="411">
        <f t="shared" si="0"/>
        <v>-3.0000000000000027E-2</v>
      </c>
      <c r="K27" s="123"/>
      <c r="L27" s="403">
        <f t="shared" si="1"/>
        <v>43825</v>
      </c>
      <c r="M27" s="56" t="str">
        <f t="shared" si="2"/>
        <v>THU</v>
      </c>
      <c r="N27" s="131"/>
      <c r="O27" s="378">
        <f t="shared" si="4"/>
        <v>1</v>
      </c>
      <c r="P27" s="392">
        <f t="shared" si="5"/>
        <v>1.0000422222222223</v>
      </c>
      <c r="R27" s="61"/>
      <c r="S27" s="62"/>
      <c r="T27" s="62"/>
      <c r="U27" s="62"/>
      <c r="V27" s="62"/>
      <c r="W27" s="62"/>
      <c r="X27" s="62"/>
      <c r="Y27" s="62"/>
      <c r="Z27" s="62"/>
    </row>
    <row r="28" spans="1:26">
      <c r="A28" s="63"/>
      <c r="B28" s="173"/>
      <c r="C28" s="403">
        <f t="shared" si="3"/>
        <v>43826</v>
      </c>
      <c r="D28" s="56" t="str">
        <f>VLOOKUP(MOD(C28,7),'CALENDAR INFO'!$G$5:$H$11,2)</f>
        <v>FRI</v>
      </c>
      <c r="E28" s="165">
        <v>1.55</v>
      </c>
      <c r="F28" s="336">
        <v>1.53</v>
      </c>
      <c r="G28" s="411">
        <f t="shared" si="0"/>
        <v>-2.0000000000000018E-2</v>
      </c>
      <c r="I28" s="137"/>
      <c r="K28" s="123"/>
      <c r="L28" s="403">
        <f t="shared" si="1"/>
        <v>43826</v>
      </c>
      <c r="M28" s="56" t="str">
        <f t="shared" si="2"/>
        <v>FRI</v>
      </c>
      <c r="N28" s="131"/>
      <c r="O28" s="378">
        <f t="shared" si="4"/>
        <v>3</v>
      </c>
      <c r="P28" s="392">
        <f t="shared" si="5"/>
        <v>1.0001275000000001</v>
      </c>
      <c r="R28" s="61"/>
      <c r="S28" s="62"/>
      <c r="T28" s="62"/>
      <c r="U28" s="62"/>
      <c r="V28" s="62"/>
      <c r="W28" s="62"/>
      <c r="X28" s="62"/>
      <c r="Y28" s="62"/>
      <c r="Z28" s="62"/>
    </row>
    <row r="29" spans="1:26">
      <c r="A29" s="63"/>
      <c r="B29" s="173"/>
      <c r="C29" s="403">
        <f t="shared" si="3"/>
        <v>43827</v>
      </c>
      <c r="D29" s="56" t="str">
        <f>VLOOKUP(MOD(C29,7),'CALENDAR INFO'!$G$5:$H$11,2)</f>
        <v>SAT</v>
      </c>
      <c r="E29" s="165">
        <v>1.55</v>
      </c>
      <c r="F29" s="336">
        <v>1.53</v>
      </c>
      <c r="G29" s="411">
        <f t="shared" si="0"/>
        <v>-2.0000000000000018E-2</v>
      </c>
      <c r="I29" s="137"/>
      <c r="K29" s="123"/>
      <c r="L29" s="403">
        <f t="shared" si="1"/>
        <v>43827</v>
      </c>
      <c r="M29" s="56" t="str">
        <f t="shared" si="2"/>
        <v>SAT</v>
      </c>
      <c r="N29" s="131"/>
      <c r="O29" s="378">
        <f t="shared" si="4"/>
        <v>0</v>
      </c>
      <c r="P29" s="392">
        <f t="shared" si="5"/>
        <v>1</v>
      </c>
      <c r="R29" s="61"/>
      <c r="S29" s="62"/>
      <c r="T29" s="62"/>
      <c r="U29" s="62"/>
      <c r="V29" s="62"/>
      <c r="W29" s="62"/>
      <c r="X29" s="62"/>
      <c r="Y29" s="62"/>
      <c r="Z29" s="62"/>
    </row>
    <row r="30" spans="1:26">
      <c r="A30" s="63"/>
      <c r="B30" s="173"/>
      <c r="C30" s="403">
        <f t="shared" si="3"/>
        <v>43828</v>
      </c>
      <c r="D30" s="56" t="str">
        <f>VLOOKUP(MOD(C30,7),'CALENDAR INFO'!$G$5:$H$11,2)</f>
        <v>SUN</v>
      </c>
      <c r="E30" s="165">
        <v>1.55</v>
      </c>
      <c r="F30" s="336">
        <v>1.53</v>
      </c>
      <c r="G30" s="411">
        <f t="shared" si="0"/>
        <v>-2.0000000000000018E-2</v>
      </c>
      <c r="H30" s="343"/>
      <c r="I30" s="145"/>
      <c r="J30" s="153"/>
      <c r="K30" s="123"/>
      <c r="L30" s="403">
        <f t="shared" si="1"/>
        <v>43828</v>
      </c>
      <c r="M30" s="56" t="str">
        <f t="shared" si="2"/>
        <v>SUN</v>
      </c>
      <c r="N30" s="131"/>
      <c r="O30" s="378">
        <f t="shared" si="4"/>
        <v>0</v>
      </c>
      <c r="P30" s="392">
        <f t="shared" si="5"/>
        <v>1</v>
      </c>
      <c r="R30" s="61"/>
      <c r="S30" s="62"/>
      <c r="T30" s="62"/>
      <c r="U30" s="62"/>
      <c r="V30" s="62"/>
      <c r="W30" s="62"/>
      <c r="X30" s="62"/>
      <c r="Y30" s="62"/>
      <c r="Z30" s="62"/>
    </row>
    <row r="31" spans="1:26">
      <c r="A31" s="63"/>
      <c r="B31" s="173"/>
      <c r="C31" s="403">
        <f t="shared" si="3"/>
        <v>43829</v>
      </c>
      <c r="D31" s="56" t="str">
        <f>VLOOKUP(MOD(C31,7),'CALENDAR INFO'!$G$5:$H$11,2)</f>
        <v>MON</v>
      </c>
      <c r="E31" s="165">
        <v>1.55</v>
      </c>
      <c r="F31" s="336">
        <v>1.54</v>
      </c>
      <c r="G31" s="411">
        <f t="shared" si="0"/>
        <v>-1.0000000000000009E-2</v>
      </c>
      <c r="I31" s="137"/>
      <c r="K31" s="123"/>
      <c r="L31" s="403">
        <f t="shared" si="1"/>
        <v>43829</v>
      </c>
      <c r="M31" s="56" t="str">
        <f t="shared" si="2"/>
        <v>MON</v>
      </c>
      <c r="N31" s="131"/>
      <c r="O31" s="378">
        <f t="shared" si="4"/>
        <v>1</v>
      </c>
      <c r="P31" s="392">
        <f t="shared" si="5"/>
        <v>1.0000427777777778</v>
      </c>
      <c r="R31" s="61"/>
      <c r="S31" s="62"/>
      <c r="T31" s="62"/>
      <c r="U31" s="62"/>
      <c r="V31" s="62"/>
      <c r="W31" s="62"/>
      <c r="X31" s="62"/>
      <c r="Y31" s="62"/>
      <c r="Z31" s="62"/>
    </row>
    <row r="32" spans="1:26" s="68" customFormat="1" ht="15.75" thickBot="1">
      <c r="A32" s="65"/>
      <c r="B32" s="174"/>
      <c r="C32" s="404">
        <f t="shared" si="3"/>
        <v>43830</v>
      </c>
      <c r="D32" s="64" t="str">
        <f>VLOOKUP(MOD(C32,7),'CALENDAR INFO'!$G$5:$H$11,2)</f>
        <v>TUE</v>
      </c>
      <c r="E32" s="166">
        <v>1.55</v>
      </c>
      <c r="F32" s="337">
        <v>1.55</v>
      </c>
      <c r="G32" s="412">
        <f t="shared" si="0"/>
        <v>0</v>
      </c>
      <c r="H32" s="344"/>
      <c r="I32" s="146"/>
      <c r="J32" s="154"/>
      <c r="K32" s="67"/>
      <c r="L32" s="404">
        <f t="shared" si="1"/>
        <v>43830</v>
      </c>
      <c r="M32" s="64" t="str">
        <f t="shared" si="2"/>
        <v>TUE</v>
      </c>
      <c r="N32" s="186"/>
      <c r="O32" s="379">
        <f>IF(MOD(C32,7)&lt;2,0,IF(MOD(C32,7)=6,3,1))+1</f>
        <v>2</v>
      </c>
      <c r="P32" s="388">
        <f t="shared" si="5"/>
        <v>1.000086111111111</v>
      </c>
    </row>
    <row r="33" spans="1:26">
      <c r="A33" s="69"/>
      <c r="B33" s="175"/>
      <c r="C33" s="403">
        <f t="shared" si="3"/>
        <v>43831</v>
      </c>
      <c r="D33" s="56" t="str">
        <f>VLOOKUP(MOD(C33,7),'CALENDAR INFO'!$G$5:$H$11,2)</f>
        <v>WED</v>
      </c>
      <c r="E33" s="165">
        <v>1.55</v>
      </c>
      <c r="F33" s="336">
        <v>1.55</v>
      </c>
      <c r="G33" s="411">
        <f t="shared" si="0"/>
        <v>0</v>
      </c>
      <c r="H33" s="15" t="s">
        <v>149</v>
      </c>
      <c r="I33" s="15">
        <f>ROW(I33)</f>
        <v>33</v>
      </c>
      <c r="J33" s="138">
        <f>I33</f>
        <v>33</v>
      </c>
      <c r="K33" s="123" t="s">
        <v>19</v>
      </c>
      <c r="L33" s="403">
        <f t="shared" si="1"/>
        <v>43831</v>
      </c>
      <c r="M33" s="56" t="str">
        <f t="shared" si="2"/>
        <v>WED</v>
      </c>
      <c r="N33" s="131" t="s">
        <v>53</v>
      </c>
      <c r="O33" s="380">
        <f>IF(MOD(C33,7)&lt;2,0,IF(MOD(C33,7)=6,3,1))-1</f>
        <v>0</v>
      </c>
      <c r="P33" s="392">
        <f t="shared" si="5"/>
        <v>1</v>
      </c>
      <c r="Q33" s="70"/>
      <c r="R33" s="70"/>
    </row>
    <row r="34" spans="1:26">
      <c r="A34" s="71"/>
      <c r="B34" s="176"/>
      <c r="C34" s="403">
        <f t="shared" si="3"/>
        <v>43832</v>
      </c>
      <c r="D34" s="56" t="str">
        <f>VLOOKUP(MOD(C34,7),'CALENDAR INFO'!$G$5:$H$11,2)</f>
        <v>THU</v>
      </c>
      <c r="E34" s="165">
        <v>1.55</v>
      </c>
      <c r="F34" s="336">
        <v>1.54</v>
      </c>
      <c r="G34" s="411">
        <f t="shared" si="0"/>
        <v>-1.0000000000000009E-2</v>
      </c>
      <c r="H34" s="376" t="s">
        <v>210</v>
      </c>
      <c r="I34" s="15">
        <f>VLOOKUP(MONTH($C33),'CALENDAR INFO'!$J$5:$K$16,2)</f>
        <v>31</v>
      </c>
      <c r="J34" s="138">
        <f>I34</f>
        <v>31</v>
      </c>
      <c r="K34" s="125" t="s">
        <v>18</v>
      </c>
      <c r="L34" s="403">
        <f t="shared" si="1"/>
        <v>43832</v>
      </c>
      <c r="M34" s="56" t="str">
        <f t="shared" si="2"/>
        <v>THU</v>
      </c>
      <c r="N34" s="131"/>
      <c r="O34" s="378">
        <f t="shared" ref="O34:O48" si="6">IF(MOD(C34,7)&lt;2,0,IF(MOD(C34,7)=6,3,1))</f>
        <v>1</v>
      </c>
      <c r="P34" s="392">
        <f t="shared" si="5"/>
        <v>1.0000427777777778</v>
      </c>
    </row>
    <row r="35" spans="1:26">
      <c r="A35" s="71"/>
      <c r="B35" s="176"/>
      <c r="C35" s="403">
        <f t="shared" si="3"/>
        <v>43833</v>
      </c>
      <c r="D35" s="56" t="str">
        <f>VLOOKUP(MOD(C35,7),'CALENDAR INFO'!$G$5:$H$11,2)</f>
        <v>FRI</v>
      </c>
      <c r="E35" s="165">
        <v>1.55</v>
      </c>
      <c r="F35" s="336">
        <v>1.55</v>
      </c>
      <c r="G35" s="411">
        <f t="shared" si="0"/>
        <v>0</v>
      </c>
      <c r="H35" s="376" t="s">
        <v>211</v>
      </c>
      <c r="I35" s="15">
        <f>I34+I33-1</f>
        <v>63</v>
      </c>
      <c r="J35" s="138">
        <f>I35</f>
        <v>63</v>
      </c>
      <c r="K35" s="125"/>
      <c r="L35" s="403">
        <f t="shared" si="1"/>
        <v>43833</v>
      </c>
      <c r="M35" s="56" t="str">
        <f t="shared" si="2"/>
        <v>FRI</v>
      </c>
      <c r="N35" s="131"/>
      <c r="O35" s="378">
        <f t="shared" si="6"/>
        <v>3</v>
      </c>
      <c r="P35" s="392">
        <f t="shared" si="5"/>
        <v>1.0001291666666667</v>
      </c>
      <c r="T35" s="62"/>
      <c r="U35" s="62"/>
      <c r="V35" s="62"/>
      <c r="W35" s="62"/>
      <c r="X35" s="62"/>
      <c r="Y35" s="62"/>
      <c r="Z35" s="62"/>
    </row>
    <row r="36" spans="1:26">
      <c r="B36" s="176"/>
      <c r="C36" s="403">
        <f t="shared" si="3"/>
        <v>43834</v>
      </c>
      <c r="D36" s="56" t="str">
        <f>VLOOKUP(MOD(C36,7),'CALENDAR INFO'!$G$5:$H$11,2)</f>
        <v>SAT</v>
      </c>
      <c r="E36" s="165">
        <v>1.55</v>
      </c>
      <c r="F36" s="336">
        <v>1.55</v>
      </c>
      <c r="G36" s="411">
        <f t="shared" si="0"/>
        <v>0</v>
      </c>
      <c r="K36" s="125"/>
      <c r="L36" s="403">
        <f t="shared" si="1"/>
        <v>43834</v>
      </c>
      <c r="M36" s="56" t="str">
        <f t="shared" si="2"/>
        <v>SAT</v>
      </c>
      <c r="N36" s="131"/>
      <c r="O36" s="378">
        <f t="shared" si="6"/>
        <v>0</v>
      </c>
      <c r="P36" s="392">
        <f t="shared" si="5"/>
        <v>1</v>
      </c>
      <c r="T36" s="62"/>
      <c r="U36" s="62"/>
      <c r="V36" s="62"/>
      <c r="W36" s="62"/>
      <c r="X36" s="62"/>
      <c r="Y36" s="62"/>
      <c r="Z36" s="62"/>
    </row>
    <row r="37" spans="1:26">
      <c r="B37" s="176"/>
      <c r="C37" s="403">
        <f t="shared" si="3"/>
        <v>43835</v>
      </c>
      <c r="D37" s="56" t="str">
        <f>VLOOKUP(MOD(C37,7),'CALENDAR INFO'!$G$5:$H$11,2)</f>
        <v>SUN</v>
      </c>
      <c r="E37" s="165">
        <v>1.55</v>
      </c>
      <c r="F37" s="336">
        <v>1.55</v>
      </c>
      <c r="G37" s="411">
        <f t="shared" si="0"/>
        <v>0</v>
      </c>
      <c r="H37" s="15" t="s">
        <v>150</v>
      </c>
      <c r="I37" s="137" t="str">
        <f>_xlfn.CONCAT(ADDRESS(I33,5),":",ADDRESS(I35,5))</f>
        <v>$E$33:$E$63</v>
      </c>
      <c r="J37" s="150" t="str">
        <f>_xlfn.CONCAT(ADDRESS(J33,6),":",ADDRESS(J35,6))</f>
        <v>$F$33:$F$63</v>
      </c>
      <c r="K37" s="125"/>
      <c r="L37" s="403">
        <f t="shared" si="1"/>
        <v>43835</v>
      </c>
      <c r="M37" s="56" t="str">
        <f t="shared" si="2"/>
        <v>SUN</v>
      </c>
      <c r="N37" s="131"/>
      <c r="O37" s="378">
        <f t="shared" si="6"/>
        <v>0</v>
      </c>
      <c r="P37" s="392">
        <f t="shared" si="5"/>
        <v>1</v>
      </c>
      <c r="T37" s="62"/>
      <c r="U37" s="62"/>
      <c r="V37" s="62"/>
      <c r="W37" s="62"/>
      <c r="X37" s="62"/>
      <c r="Y37" s="62"/>
      <c r="Z37" s="62"/>
    </row>
    <row r="38" spans="1:26">
      <c r="B38" s="176"/>
      <c r="C38" s="403">
        <f t="shared" si="3"/>
        <v>43836</v>
      </c>
      <c r="D38" s="56" t="str">
        <f>VLOOKUP(MOD(C38,7),'CALENDAR INFO'!$G$5:$H$11,2)</f>
        <v>MON</v>
      </c>
      <c r="E38" s="165">
        <v>1.55</v>
      </c>
      <c r="F38" s="336">
        <v>1.55</v>
      </c>
      <c r="G38" s="411">
        <f t="shared" si="0"/>
        <v>0</v>
      </c>
      <c r="K38" s="125"/>
      <c r="L38" s="403">
        <f t="shared" si="1"/>
        <v>43836</v>
      </c>
      <c r="M38" s="56" t="str">
        <f t="shared" si="2"/>
        <v>MON</v>
      </c>
      <c r="N38" s="131"/>
      <c r="O38" s="378">
        <f t="shared" si="6"/>
        <v>1</v>
      </c>
      <c r="P38" s="392">
        <f t="shared" si="5"/>
        <v>1.0000430555555555</v>
      </c>
      <c r="T38" s="62"/>
      <c r="U38" s="62"/>
      <c r="V38" s="62"/>
      <c r="W38" s="62"/>
      <c r="X38" s="62"/>
      <c r="Y38" s="62"/>
      <c r="Z38" s="62"/>
    </row>
    <row r="39" spans="1:26">
      <c r="B39" s="176"/>
      <c r="C39" s="403">
        <f t="shared" si="3"/>
        <v>43837</v>
      </c>
      <c r="D39" s="56" t="str">
        <f>VLOOKUP(MOD(C39,7),'CALENDAR INFO'!$G$5:$H$11,2)</f>
        <v>TUE</v>
      </c>
      <c r="E39" s="165">
        <v>1.55</v>
      </c>
      <c r="F39" s="336">
        <v>1.56</v>
      </c>
      <c r="G39" s="411">
        <f t="shared" si="0"/>
        <v>1.0000000000000009E-2</v>
      </c>
      <c r="H39" s="376" t="s">
        <v>221</v>
      </c>
      <c r="I39" s="147">
        <f ca="1">AVERAGE(INDIRECT(I37))</f>
        <v>1.5506451612903218</v>
      </c>
      <c r="J39" s="326">
        <f ca="1">AVERAGE(INDIRECT(J37))</f>
        <v>1.546451612903226</v>
      </c>
      <c r="K39" s="125"/>
      <c r="L39" s="403">
        <f t="shared" si="1"/>
        <v>43837</v>
      </c>
      <c r="M39" s="56" t="str">
        <f t="shared" si="2"/>
        <v>TUE</v>
      </c>
      <c r="N39" s="131"/>
      <c r="O39" s="378">
        <f t="shared" si="6"/>
        <v>1</v>
      </c>
      <c r="P39" s="392">
        <f t="shared" si="5"/>
        <v>1.0000433333333334</v>
      </c>
      <c r="R39" s="72"/>
      <c r="S39" s="62"/>
      <c r="T39" s="62"/>
      <c r="U39" s="62"/>
      <c r="V39" s="62"/>
      <c r="W39" s="62"/>
      <c r="X39" s="62"/>
      <c r="Y39" s="62"/>
      <c r="Z39" s="62"/>
    </row>
    <row r="40" spans="1:26">
      <c r="B40" s="176"/>
      <c r="C40" s="403">
        <f t="shared" si="3"/>
        <v>43838</v>
      </c>
      <c r="D40" s="56" t="str">
        <f>VLOOKUP(MOD(C40,7),'CALENDAR INFO'!$G$5:$H$11,2)</f>
        <v>WED</v>
      </c>
      <c r="E40" s="165">
        <v>1.55</v>
      </c>
      <c r="F40" s="336">
        <v>1.55</v>
      </c>
      <c r="G40" s="411">
        <f t="shared" si="0"/>
        <v>0</v>
      </c>
      <c r="I40" s="240"/>
      <c r="J40" s="157"/>
      <c r="K40" s="125"/>
      <c r="L40" s="403">
        <f t="shared" si="1"/>
        <v>43838</v>
      </c>
      <c r="M40" s="56" t="str">
        <f t="shared" si="2"/>
        <v>WED</v>
      </c>
      <c r="N40" s="131"/>
      <c r="O40" s="378">
        <f t="shared" si="6"/>
        <v>1</v>
      </c>
      <c r="P40" s="392">
        <f t="shared" si="5"/>
        <v>1.0000430555555555</v>
      </c>
      <c r="R40" s="72"/>
      <c r="S40" s="62"/>
      <c r="T40" s="62"/>
      <c r="U40" s="62"/>
      <c r="V40" s="62"/>
      <c r="W40" s="62"/>
      <c r="X40" s="62"/>
      <c r="Y40" s="62"/>
      <c r="Z40" s="62"/>
    </row>
    <row r="41" spans="1:26">
      <c r="B41" s="176"/>
      <c r="C41" s="403">
        <f t="shared" ref="C41:C57" si="7">C40+1</f>
        <v>43839</v>
      </c>
      <c r="D41" s="56" t="str">
        <f>VLOOKUP(MOD(C41,7),'CALENDAR INFO'!$G$5:$H$11,2)</f>
        <v>THU</v>
      </c>
      <c r="E41" s="165">
        <v>1.55</v>
      </c>
      <c r="F41" s="336">
        <v>1.55</v>
      </c>
      <c r="G41" s="411">
        <f t="shared" si="0"/>
        <v>0</v>
      </c>
      <c r="I41" s="240"/>
      <c r="J41" s="157"/>
      <c r="K41" s="125"/>
      <c r="L41" s="403">
        <f t="shared" si="1"/>
        <v>43839</v>
      </c>
      <c r="M41" s="56" t="str">
        <f t="shared" si="2"/>
        <v>THU</v>
      </c>
      <c r="N41" s="131"/>
      <c r="O41" s="378">
        <f t="shared" si="6"/>
        <v>1</v>
      </c>
      <c r="P41" s="392">
        <f t="shared" si="5"/>
        <v>1.0000430555555555</v>
      </c>
      <c r="R41" s="61"/>
      <c r="S41" s="62"/>
      <c r="T41" s="62"/>
      <c r="U41" s="62"/>
      <c r="V41" s="62"/>
      <c r="W41" s="62"/>
      <c r="X41" s="62"/>
      <c r="Y41" s="62"/>
      <c r="Z41" s="62"/>
    </row>
    <row r="42" spans="1:26">
      <c r="B42" s="176"/>
      <c r="C42" s="403">
        <f t="shared" si="7"/>
        <v>43840</v>
      </c>
      <c r="D42" s="56" t="str">
        <f>VLOOKUP(MOD(C42,7),'CALENDAR INFO'!$G$5:$H$11,2)</f>
        <v>FRI</v>
      </c>
      <c r="E42" s="165">
        <v>1.54</v>
      </c>
      <c r="F42" s="336">
        <v>1.55</v>
      </c>
      <c r="G42" s="411">
        <f t="shared" si="0"/>
        <v>1.0000000000000009E-2</v>
      </c>
      <c r="I42" s="137"/>
      <c r="J42" s="150"/>
      <c r="K42" s="125"/>
      <c r="L42" s="403">
        <f t="shared" si="1"/>
        <v>43840</v>
      </c>
      <c r="M42" s="56" t="str">
        <f t="shared" si="2"/>
        <v>FRI</v>
      </c>
      <c r="N42" s="131"/>
      <c r="O42" s="378">
        <f t="shared" si="6"/>
        <v>3</v>
      </c>
      <c r="P42" s="392">
        <f t="shared" si="5"/>
        <v>1.0001291666666667</v>
      </c>
      <c r="R42" s="61"/>
      <c r="S42" s="62"/>
      <c r="T42" s="62"/>
      <c r="U42" s="62"/>
      <c r="V42" s="62"/>
      <c r="W42" s="62"/>
      <c r="X42" s="62"/>
      <c r="Y42" s="62"/>
      <c r="Z42" s="62"/>
    </row>
    <row r="43" spans="1:26">
      <c r="B43" s="176"/>
      <c r="C43" s="403">
        <f t="shared" si="7"/>
        <v>43841</v>
      </c>
      <c r="D43" s="56" t="str">
        <f>VLOOKUP(MOD(C43,7),'CALENDAR INFO'!$G$5:$H$11,2)</f>
        <v>SAT</v>
      </c>
      <c r="E43" s="165">
        <v>1.54</v>
      </c>
      <c r="F43" s="336">
        <v>1.55</v>
      </c>
      <c r="G43" s="411">
        <f t="shared" si="0"/>
        <v>1.0000000000000009E-2</v>
      </c>
      <c r="K43" s="125"/>
      <c r="L43" s="403">
        <f t="shared" si="1"/>
        <v>43841</v>
      </c>
      <c r="M43" s="56" t="str">
        <f t="shared" si="2"/>
        <v>SAT</v>
      </c>
      <c r="N43" s="131"/>
      <c r="O43" s="378">
        <f t="shared" si="6"/>
        <v>0</v>
      </c>
      <c r="P43" s="392">
        <f t="shared" si="5"/>
        <v>1</v>
      </c>
      <c r="R43" s="61"/>
      <c r="S43" s="62"/>
      <c r="T43" s="62"/>
      <c r="U43" s="62"/>
      <c r="V43" s="62"/>
      <c r="W43" s="62"/>
      <c r="X43" s="62"/>
      <c r="Y43" s="62"/>
      <c r="Z43" s="62"/>
    </row>
    <row r="44" spans="1:26">
      <c r="B44" s="176"/>
      <c r="C44" s="403">
        <f t="shared" si="7"/>
        <v>43842</v>
      </c>
      <c r="D44" s="56" t="str">
        <f>VLOOKUP(MOD(C44,7),'CALENDAR INFO'!$G$5:$H$11,2)</f>
        <v>SUN</v>
      </c>
      <c r="E44" s="165">
        <v>1.54</v>
      </c>
      <c r="F44" s="336">
        <v>1.55</v>
      </c>
      <c r="G44" s="411">
        <f t="shared" si="0"/>
        <v>1.0000000000000009E-2</v>
      </c>
      <c r="I44" s="137"/>
      <c r="J44" s="150"/>
      <c r="K44" s="125"/>
      <c r="L44" s="403">
        <f t="shared" si="1"/>
        <v>43842</v>
      </c>
      <c r="M44" s="56" t="str">
        <f t="shared" si="2"/>
        <v>SUN</v>
      </c>
      <c r="N44" s="131"/>
      <c r="O44" s="378">
        <f t="shared" si="6"/>
        <v>0</v>
      </c>
      <c r="P44" s="392">
        <f t="shared" si="5"/>
        <v>1</v>
      </c>
      <c r="R44" s="61"/>
      <c r="S44" s="62"/>
      <c r="T44" s="62"/>
      <c r="U44" s="62"/>
      <c r="V44" s="62"/>
      <c r="W44" s="62"/>
      <c r="X44" s="62"/>
      <c r="Y44" s="62"/>
      <c r="Z44" s="62"/>
    </row>
    <row r="45" spans="1:26">
      <c r="B45" s="176"/>
      <c r="C45" s="403">
        <f t="shared" si="7"/>
        <v>43843</v>
      </c>
      <c r="D45" s="56" t="str">
        <f>VLOOKUP(MOD(C45,7),'CALENDAR INFO'!$G$5:$H$11,2)</f>
        <v>MON</v>
      </c>
      <c r="E45" s="165">
        <v>1.54</v>
      </c>
      <c r="F45" s="336">
        <v>1.54</v>
      </c>
      <c r="G45" s="411">
        <f t="shared" si="0"/>
        <v>0</v>
      </c>
      <c r="H45" s="136"/>
      <c r="I45" s="139"/>
      <c r="J45" s="151"/>
      <c r="K45" s="125"/>
      <c r="L45" s="403">
        <f t="shared" si="1"/>
        <v>43843</v>
      </c>
      <c r="M45" s="56" t="str">
        <f t="shared" si="2"/>
        <v>MON</v>
      </c>
      <c r="N45" s="131"/>
      <c r="O45" s="378">
        <f t="shared" si="6"/>
        <v>1</v>
      </c>
      <c r="P45" s="392">
        <f t="shared" si="5"/>
        <v>1.0000427777777778</v>
      </c>
      <c r="R45" s="61"/>
      <c r="S45" s="62"/>
      <c r="T45" s="62"/>
      <c r="U45" s="62"/>
      <c r="V45" s="62"/>
      <c r="W45" s="62"/>
      <c r="X45" s="62"/>
      <c r="Y45" s="62"/>
      <c r="Z45" s="62"/>
    </row>
    <row r="46" spans="1:26">
      <c r="B46" s="176"/>
      <c r="C46" s="403">
        <f t="shared" si="7"/>
        <v>43844</v>
      </c>
      <c r="D46" s="56" t="str">
        <f>VLOOKUP(MOD(C46,7),'CALENDAR INFO'!$G$5:$H$11,2)</f>
        <v>TUE</v>
      </c>
      <c r="E46" s="165">
        <v>1.54</v>
      </c>
      <c r="F46" s="336">
        <v>1.55</v>
      </c>
      <c r="G46" s="411">
        <f t="shared" si="0"/>
        <v>1.0000000000000009E-2</v>
      </c>
      <c r="K46" s="125"/>
      <c r="L46" s="403">
        <f t="shared" si="1"/>
        <v>43844</v>
      </c>
      <c r="M46" s="56" t="str">
        <f t="shared" si="2"/>
        <v>TUE</v>
      </c>
      <c r="N46" s="131"/>
      <c r="O46" s="378">
        <f t="shared" si="6"/>
        <v>1</v>
      </c>
      <c r="P46" s="392">
        <f t="shared" si="5"/>
        <v>1.0000430555555555</v>
      </c>
      <c r="R46" s="61"/>
      <c r="S46" s="62"/>
      <c r="T46" s="62"/>
      <c r="U46" s="62"/>
      <c r="V46" s="62"/>
      <c r="W46" s="62"/>
      <c r="X46" s="62"/>
      <c r="Y46" s="62"/>
      <c r="Z46" s="62"/>
    </row>
    <row r="47" spans="1:26">
      <c r="B47" s="176"/>
      <c r="C47" s="403">
        <f t="shared" si="7"/>
        <v>43845</v>
      </c>
      <c r="D47" s="56" t="str">
        <f>VLOOKUP(MOD(C47,7),'CALENDAR INFO'!$G$5:$H$11,2)</f>
        <v>WED</v>
      </c>
      <c r="E47" s="165">
        <v>1.54</v>
      </c>
      <c r="F47" s="336">
        <v>1.56</v>
      </c>
      <c r="G47" s="411">
        <f t="shared" si="0"/>
        <v>2.0000000000000018E-2</v>
      </c>
      <c r="H47" s="135"/>
      <c r="I47" s="144"/>
      <c r="J47" s="152"/>
      <c r="K47" s="125" t="s">
        <v>19</v>
      </c>
      <c r="L47" s="403">
        <f t="shared" si="1"/>
        <v>43845</v>
      </c>
      <c r="M47" s="56" t="str">
        <f t="shared" si="2"/>
        <v>WED</v>
      </c>
      <c r="N47" s="131"/>
      <c r="O47" s="378">
        <f t="shared" si="6"/>
        <v>1</v>
      </c>
      <c r="P47" s="392">
        <f t="shared" si="5"/>
        <v>1.0000433333333334</v>
      </c>
      <c r="R47" s="61"/>
      <c r="S47" s="62"/>
      <c r="T47" s="62"/>
      <c r="U47" s="62"/>
      <c r="V47" s="62"/>
      <c r="W47" s="62"/>
      <c r="X47" s="62"/>
      <c r="Y47" s="62"/>
      <c r="Z47" s="62"/>
    </row>
    <row r="48" spans="1:26">
      <c r="B48" s="176"/>
      <c r="C48" s="403">
        <f t="shared" si="7"/>
        <v>43846</v>
      </c>
      <c r="D48" s="56" t="str">
        <f>VLOOKUP(MOD(C48,7),'CALENDAR INFO'!$G$5:$H$11,2)</f>
        <v>THU</v>
      </c>
      <c r="E48" s="165">
        <v>1.54</v>
      </c>
      <c r="F48" s="336">
        <v>1.55</v>
      </c>
      <c r="G48" s="411">
        <f t="shared" si="0"/>
        <v>1.0000000000000009E-2</v>
      </c>
      <c r="K48" s="123" t="s">
        <v>18</v>
      </c>
      <c r="L48" s="403">
        <f t="shared" si="1"/>
        <v>43846</v>
      </c>
      <c r="M48" s="56" t="str">
        <f t="shared" si="2"/>
        <v>THU</v>
      </c>
      <c r="N48" s="131"/>
      <c r="O48" s="378">
        <f t="shared" si="6"/>
        <v>1</v>
      </c>
      <c r="P48" s="392">
        <f t="shared" si="5"/>
        <v>1.0000430555555555</v>
      </c>
    </row>
    <row r="49" spans="1:18">
      <c r="B49" s="176"/>
      <c r="C49" s="403">
        <f t="shared" si="7"/>
        <v>43847</v>
      </c>
      <c r="D49" s="56" t="str">
        <f>VLOOKUP(MOD(C49,7),'CALENDAR INFO'!$G$5:$H$11,2)</f>
        <v>FRI</v>
      </c>
      <c r="E49" s="165">
        <v>1.55</v>
      </c>
      <c r="F49" s="336">
        <v>1.54</v>
      </c>
      <c r="G49" s="411">
        <f t="shared" si="0"/>
        <v>-1.0000000000000009E-2</v>
      </c>
      <c r="K49" s="123"/>
      <c r="L49" s="403">
        <f t="shared" si="1"/>
        <v>43847</v>
      </c>
      <c r="M49" s="56" t="str">
        <f t="shared" si="2"/>
        <v>FRI</v>
      </c>
      <c r="N49" s="131"/>
      <c r="O49" s="380">
        <f>IF(MOD(C49,7)&lt;2,0,IF(MOD(C49,7)=6,3,1))+1</f>
        <v>4</v>
      </c>
      <c r="P49" s="392">
        <f t="shared" si="5"/>
        <v>1.0001711111111111</v>
      </c>
    </row>
    <row r="50" spans="1:18">
      <c r="B50" s="176"/>
      <c r="C50" s="403">
        <f t="shared" si="7"/>
        <v>43848</v>
      </c>
      <c r="D50" s="56" t="str">
        <f>VLOOKUP(MOD(C50,7),'CALENDAR INFO'!$G$5:$H$11,2)</f>
        <v>SAT</v>
      </c>
      <c r="E50" s="165">
        <v>1.55</v>
      </c>
      <c r="F50" s="336">
        <v>1.54</v>
      </c>
      <c r="G50" s="411">
        <f t="shared" si="0"/>
        <v>-1.0000000000000009E-2</v>
      </c>
      <c r="K50" s="123"/>
      <c r="L50" s="403">
        <f t="shared" si="1"/>
        <v>43848</v>
      </c>
      <c r="M50" s="56" t="str">
        <f t="shared" si="2"/>
        <v>SAT</v>
      </c>
      <c r="N50" s="131"/>
      <c r="O50" s="378">
        <f>IF(MOD(C50,7)&lt;2,0,IF(MOD(C50,7)=6,3,1))</f>
        <v>0</v>
      </c>
      <c r="P50" s="392">
        <f t="shared" si="5"/>
        <v>1</v>
      </c>
    </row>
    <row r="51" spans="1:18">
      <c r="B51" s="176"/>
      <c r="C51" s="403">
        <f t="shared" si="7"/>
        <v>43849</v>
      </c>
      <c r="D51" s="56" t="str">
        <f>VLOOKUP(MOD(C51,7),'CALENDAR INFO'!$G$5:$H$11,2)</f>
        <v>SUN</v>
      </c>
      <c r="E51" s="165">
        <v>1.55</v>
      </c>
      <c r="F51" s="336">
        <v>1.54</v>
      </c>
      <c r="G51" s="411">
        <f t="shared" si="0"/>
        <v>-1.0000000000000009E-2</v>
      </c>
      <c r="K51" s="123"/>
      <c r="L51" s="403">
        <f t="shared" si="1"/>
        <v>43849</v>
      </c>
      <c r="M51" s="56" t="str">
        <f t="shared" si="2"/>
        <v>SUN</v>
      </c>
      <c r="N51" s="131"/>
      <c r="O51" s="378">
        <f>IF(MOD(C51,7)&lt;2,0,IF(MOD(C51,7)=6,3,1))</f>
        <v>0</v>
      </c>
      <c r="P51" s="392">
        <f t="shared" si="5"/>
        <v>1</v>
      </c>
    </row>
    <row r="52" spans="1:18">
      <c r="B52" s="176"/>
      <c r="C52" s="403">
        <f t="shared" si="7"/>
        <v>43850</v>
      </c>
      <c r="D52" s="56" t="str">
        <f>VLOOKUP(MOD(C52,7),'CALENDAR INFO'!$G$5:$H$11,2)</f>
        <v>MON</v>
      </c>
      <c r="E52" s="165">
        <v>1.55</v>
      </c>
      <c r="F52" s="336">
        <v>1.54</v>
      </c>
      <c r="G52" s="411">
        <f t="shared" si="0"/>
        <v>-1.0000000000000009E-2</v>
      </c>
      <c r="K52" s="123"/>
      <c r="L52" s="403">
        <f t="shared" si="1"/>
        <v>43850</v>
      </c>
      <c r="M52" s="56" t="str">
        <f t="shared" si="2"/>
        <v>MON</v>
      </c>
      <c r="N52" s="131" t="s">
        <v>45</v>
      </c>
      <c r="O52" s="380">
        <f>IF(MOD(C52,7)&lt;2,0,IF(MOD(C52,7)=6,3,1))-1</f>
        <v>0</v>
      </c>
      <c r="P52" s="392">
        <f t="shared" si="5"/>
        <v>1</v>
      </c>
    </row>
    <row r="53" spans="1:18">
      <c r="B53" s="176"/>
      <c r="C53" s="403">
        <f t="shared" si="7"/>
        <v>43851</v>
      </c>
      <c r="D53" s="56" t="str">
        <f>VLOOKUP(MOD(C53,7),'CALENDAR INFO'!$G$5:$H$11,2)</f>
        <v>TUE</v>
      </c>
      <c r="E53" s="165">
        <v>1.55</v>
      </c>
      <c r="F53" s="336">
        <v>1.54</v>
      </c>
      <c r="G53" s="411">
        <f t="shared" si="0"/>
        <v>-1.0000000000000009E-2</v>
      </c>
      <c r="K53" s="123"/>
      <c r="L53" s="403">
        <f t="shared" si="1"/>
        <v>43851</v>
      </c>
      <c r="M53" s="56" t="str">
        <f t="shared" si="2"/>
        <v>TUE</v>
      </c>
      <c r="N53" s="131"/>
      <c r="O53" s="378">
        <f t="shared" ref="O53:O76" si="8">IF(MOD(C53,7)&lt;2,0,IF(MOD(C53,7)=6,3,1))</f>
        <v>1</v>
      </c>
      <c r="P53" s="392">
        <f t="shared" si="5"/>
        <v>1.0000427777777778</v>
      </c>
    </row>
    <row r="54" spans="1:18">
      <c r="B54" s="176"/>
      <c r="C54" s="403">
        <f t="shared" si="7"/>
        <v>43852</v>
      </c>
      <c r="D54" s="56" t="str">
        <f>VLOOKUP(MOD(C54,7),'CALENDAR INFO'!$G$5:$H$11,2)</f>
        <v>WED</v>
      </c>
      <c r="E54" s="165">
        <v>1.55</v>
      </c>
      <c r="F54" s="336">
        <v>1.54</v>
      </c>
      <c r="G54" s="411">
        <f t="shared" si="0"/>
        <v>-1.0000000000000009E-2</v>
      </c>
      <c r="K54" s="123"/>
      <c r="L54" s="403">
        <f t="shared" si="1"/>
        <v>43852</v>
      </c>
      <c r="M54" s="56" t="str">
        <f t="shared" si="2"/>
        <v>WED</v>
      </c>
      <c r="N54" s="131"/>
      <c r="O54" s="378">
        <f t="shared" si="8"/>
        <v>1</v>
      </c>
      <c r="P54" s="392">
        <f t="shared" si="5"/>
        <v>1.0000427777777778</v>
      </c>
    </row>
    <row r="55" spans="1:18">
      <c r="B55" s="176"/>
      <c r="C55" s="403">
        <f t="shared" si="7"/>
        <v>43853</v>
      </c>
      <c r="D55" s="56" t="str">
        <f>VLOOKUP(MOD(C55,7),'CALENDAR INFO'!$G$5:$H$11,2)</f>
        <v>THU</v>
      </c>
      <c r="E55" s="165">
        <v>1.55</v>
      </c>
      <c r="F55" s="336">
        <v>1.54</v>
      </c>
      <c r="G55" s="411">
        <f t="shared" si="0"/>
        <v>-1.0000000000000009E-2</v>
      </c>
      <c r="K55" s="123"/>
      <c r="L55" s="403">
        <f t="shared" si="1"/>
        <v>43853</v>
      </c>
      <c r="M55" s="56" t="str">
        <f t="shared" si="2"/>
        <v>THU</v>
      </c>
      <c r="N55" s="131"/>
      <c r="O55" s="378">
        <f t="shared" si="8"/>
        <v>1</v>
      </c>
      <c r="P55" s="392">
        <f t="shared" si="5"/>
        <v>1.0000427777777778</v>
      </c>
    </row>
    <row r="56" spans="1:18">
      <c r="B56" s="176"/>
      <c r="C56" s="403">
        <f t="shared" si="7"/>
        <v>43854</v>
      </c>
      <c r="D56" s="56" t="str">
        <f>VLOOKUP(MOD(C56,7),'CALENDAR INFO'!$G$5:$H$11,2)</f>
        <v>FRI</v>
      </c>
      <c r="E56" s="165">
        <v>1.55</v>
      </c>
      <c r="F56" s="336">
        <v>1.53</v>
      </c>
      <c r="G56" s="411">
        <f t="shared" si="0"/>
        <v>-2.0000000000000018E-2</v>
      </c>
      <c r="K56" s="123"/>
      <c r="L56" s="403">
        <f t="shared" si="1"/>
        <v>43854</v>
      </c>
      <c r="M56" s="56" t="str">
        <f t="shared" si="2"/>
        <v>FRI</v>
      </c>
      <c r="N56" s="131"/>
      <c r="O56" s="378">
        <f t="shared" si="8"/>
        <v>3</v>
      </c>
      <c r="P56" s="392">
        <f t="shared" si="5"/>
        <v>1.0001275000000001</v>
      </c>
    </row>
    <row r="57" spans="1:18">
      <c r="B57" s="176"/>
      <c r="C57" s="403">
        <f t="shared" si="7"/>
        <v>43855</v>
      </c>
      <c r="D57" s="56" t="str">
        <f>VLOOKUP(MOD(C57,7),'CALENDAR INFO'!$G$5:$H$11,2)</f>
        <v>SAT</v>
      </c>
      <c r="E57" s="165">
        <v>1.55</v>
      </c>
      <c r="F57" s="336">
        <v>1.53</v>
      </c>
      <c r="G57" s="411">
        <f t="shared" si="0"/>
        <v>-2.0000000000000018E-2</v>
      </c>
      <c r="K57" s="123"/>
      <c r="L57" s="403">
        <f t="shared" si="1"/>
        <v>43855</v>
      </c>
      <c r="M57" s="56" t="str">
        <f t="shared" si="2"/>
        <v>SAT</v>
      </c>
      <c r="N57" s="131"/>
      <c r="O57" s="378">
        <f t="shared" si="8"/>
        <v>0</v>
      </c>
      <c r="P57" s="392">
        <f t="shared" si="5"/>
        <v>1</v>
      </c>
    </row>
    <row r="58" spans="1:18">
      <c r="B58" s="176"/>
      <c r="C58" s="403">
        <f t="shared" ref="C58:C64" si="9">C57+1</f>
        <v>43856</v>
      </c>
      <c r="D58" s="56" t="str">
        <f>VLOOKUP(MOD(C58,7),'CALENDAR INFO'!$G$5:$H$11,2)</f>
        <v>SUN</v>
      </c>
      <c r="E58" s="165">
        <v>1.55</v>
      </c>
      <c r="F58" s="336">
        <v>1.53</v>
      </c>
      <c r="G58" s="411">
        <f t="shared" si="0"/>
        <v>-2.0000000000000018E-2</v>
      </c>
      <c r="K58" s="123"/>
      <c r="L58" s="403">
        <f t="shared" si="1"/>
        <v>43856</v>
      </c>
      <c r="M58" s="56" t="str">
        <f t="shared" si="2"/>
        <v>SUN</v>
      </c>
      <c r="N58" s="131"/>
      <c r="O58" s="378">
        <f t="shared" si="8"/>
        <v>0</v>
      </c>
      <c r="P58" s="392">
        <f t="shared" si="5"/>
        <v>1</v>
      </c>
    </row>
    <row r="59" spans="1:18">
      <c r="B59" s="176"/>
      <c r="C59" s="403">
        <f t="shared" si="9"/>
        <v>43857</v>
      </c>
      <c r="D59" s="56" t="str">
        <f>VLOOKUP(MOD(C59,7),'CALENDAR INFO'!$G$5:$H$11,2)</f>
        <v>MON</v>
      </c>
      <c r="E59" s="165">
        <v>1.55</v>
      </c>
      <c r="F59" s="336">
        <v>1.53</v>
      </c>
      <c r="G59" s="411">
        <f t="shared" si="0"/>
        <v>-2.0000000000000018E-2</v>
      </c>
      <c r="I59" s="137"/>
      <c r="K59" s="123"/>
      <c r="L59" s="403">
        <f t="shared" si="1"/>
        <v>43857</v>
      </c>
      <c r="M59" s="56" t="str">
        <f t="shared" si="2"/>
        <v>MON</v>
      </c>
      <c r="N59" s="131"/>
      <c r="O59" s="378">
        <f t="shared" si="8"/>
        <v>1</v>
      </c>
      <c r="P59" s="392">
        <f t="shared" si="5"/>
        <v>1.0000424999999999</v>
      </c>
    </row>
    <row r="60" spans="1:18">
      <c r="B60" s="176"/>
      <c r="C60" s="403">
        <f t="shared" si="9"/>
        <v>43858</v>
      </c>
      <c r="D60" s="56" t="str">
        <f>VLOOKUP(MOD(C60,7),'CALENDAR INFO'!$G$5:$H$11,2)</f>
        <v>TUE</v>
      </c>
      <c r="E60" s="165">
        <v>1.55</v>
      </c>
      <c r="F60" s="336">
        <v>1.53</v>
      </c>
      <c r="G60" s="411">
        <f t="shared" si="0"/>
        <v>-2.0000000000000018E-2</v>
      </c>
      <c r="I60" s="137"/>
      <c r="K60" s="123"/>
      <c r="L60" s="403">
        <f t="shared" si="1"/>
        <v>43858</v>
      </c>
      <c r="M60" s="56" t="str">
        <f t="shared" si="2"/>
        <v>TUE</v>
      </c>
      <c r="N60" s="116" t="s">
        <v>20</v>
      </c>
      <c r="O60" s="378">
        <f t="shared" si="8"/>
        <v>1</v>
      </c>
      <c r="P60" s="392">
        <f t="shared" si="5"/>
        <v>1.0000424999999999</v>
      </c>
    </row>
    <row r="61" spans="1:18">
      <c r="B61" s="176"/>
      <c r="C61" s="403">
        <f t="shared" si="9"/>
        <v>43859</v>
      </c>
      <c r="D61" s="56" t="str">
        <f>VLOOKUP(MOD(C61,7),'CALENDAR INFO'!$G$5:$H$11,2)</f>
        <v>WED</v>
      </c>
      <c r="E61" s="165">
        <v>1.55</v>
      </c>
      <c r="F61" s="336">
        <v>1.53</v>
      </c>
      <c r="G61" s="411">
        <f t="shared" si="0"/>
        <v>-2.0000000000000018E-2</v>
      </c>
      <c r="H61" s="343"/>
      <c r="I61" s="142"/>
      <c r="J61" s="153"/>
      <c r="K61" s="123" t="s">
        <v>19</v>
      </c>
      <c r="L61" s="403">
        <f t="shared" si="1"/>
        <v>43859</v>
      </c>
      <c r="M61" s="56" t="str">
        <f t="shared" si="2"/>
        <v>WED</v>
      </c>
      <c r="N61" s="116" t="s">
        <v>20</v>
      </c>
      <c r="O61" s="378">
        <f t="shared" si="8"/>
        <v>1</v>
      </c>
      <c r="P61" s="392">
        <f t="shared" si="5"/>
        <v>1.0000424999999999</v>
      </c>
    </row>
    <row r="62" spans="1:18">
      <c r="A62" s="71"/>
      <c r="B62" s="176"/>
      <c r="C62" s="403">
        <f t="shared" si="9"/>
        <v>43860</v>
      </c>
      <c r="D62" s="56" t="str">
        <f>VLOOKUP(MOD(C62,7),'CALENDAR INFO'!$G$5:$H$11,2)</f>
        <v>THU</v>
      </c>
      <c r="E62" s="165">
        <v>1.6</v>
      </c>
      <c r="F62" s="336">
        <v>1.58</v>
      </c>
      <c r="G62" s="411">
        <f t="shared" si="0"/>
        <v>-2.0000000000000018E-2</v>
      </c>
      <c r="I62" s="137"/>
      <c r="K62" s="125" t="s">
        <v>18</v>
      </c>
      <c r="L62" s="403">
        <f t="shared" si="1"/>
        <v>43860</v>
      </c>
      <c r="M62" s="56" t="str">
        <f t="shared" si="2"/>
        <v>THU</v>
      </c>
      <c r="N62" s="131"/>
      <c r="O62" s="378">
        <f t="shared" si="8"/>
        <v>1</v>
      </c>
      <c r="P62" s="392">
        <f t="shared" si="5"/>
        <v>1.000043888888889</v>
      </c>
    </row>
    <row r="63" spans="1:18" s="68" customFormat="1" ht="15.75" thickBot="1">
      <c r="A63" s="65"/>
      <c r="B63" s="174"/>
      <c r="C63" s="404">
        <f t="shared" si="9"/>
        <v>43861</v>
      </c>
      <c r="D63" s="64" t="str">
        <f>VLOOKUP(MOD(C63,7),'CALENDAR INFO'!$G$5:$H$11,2)</f>
        <v>FRI</v>
      </c>
      <c r="E63" s="166">
        <v>1.59</v>
      </c>
      <c r="F63" s="337">
        <v>1.6</v>
      </c>
      <c r="G63" s="412">
        <f t="shared" si="0"/>
        <v>1.0000000000000009E-2</v>
      </c>
      <c r="H63" s="344"/>
      <c r="I63" s="140"/>
      <c r="J63" s="154"/>
      <c r="K63" s="74"/>
      <c r="L63" s="404">
        <f t="shared" si="1"/>
        <v>43861</v>
      </c>
      <c r="M63" s="64" t="str">
        <f t="shared" si="2"/>
        <v>FRI</v>
      </c>
      <c r="N63" s="186"/>
      <c r="O63" s="381">
        <f t="shared" si="8"/>
        <v>3</v>
      </c>
      <c r="P63" s="388">
        <f t="shared" si="5"/>
        <v>1.0001333333333333</v>
      </c>
      <c r="R63" s="66"/>
    </row>
    <row r="64" spans="1:18">
      <c r="A64" s="69"/>
      <c r="B64" s="175"/>
      <c r="C64" s="403">
        <f t="shared" si="9"/>
        <v>43862</v>
      </c>
      <c r="D64" s="56" t="str">
        <f>VLOOKUP(MOD(C64,7),'CALENDAR INFO'!$G$5:$H$11,2)</f>
        <v>SAT</v>
      </c>
      <c r="E64" s="165">
        <v>1.59</v>
      </c>
      <c r="F64" s="336">
        <v>1.6</v>
      </c>
      <c r="G64" s="411">
        <f t="shared" si="0"/>
        <v>1.0000000000000009E-2</v>
      </c>
      <c r="H64" s="15" t="s">
        <v>149</v>
      </c>
      <c r="I64" s="15">
        <f>ROW(I64)</f>
        <v>64</v>
      </c>
      <c r="J64" s="138">
        <f>I64</f>
        <v>64</v>
      </c>
      <c r="K64" s="125"/>
      <c r="L64" s="403">
        <f t="shared" si="1"/>
        <v>43862</v>
      </c>
      <c r="M64" s="56" t="str">
        <f t="shared" si="2"/>
        <v>SAT</v>
      </c>
      <c r="N64" s="131"/>
      <c r="O64" s="378">
        <f t="shared" si="8"/>
        <v>0</v>
      </c>
      <c r="P64" s="392">
        <f t="shared" si="5"/>
        <v>1</v>
      </c>
    </row>
    <row r="65" spans="1:19">
      <c r="A65" s="69"/>
      <c r="B65" s="175"/>
      <c r="C65" s="403">
        <f t="shared" ref="C65:C128" si="10">C64+1</f>
        <v>43863</v>
      </c>
      <c r="D65" s="56" t="str">
        <f>VLOOKUP(MOD(C65,7),'CALENDAR INFO'!$G$5:$H$11,2)</f>
        <v>SUN</v>
      </c>
      <c r="E65" s="165">
        <v>1.59</v>
      </c>
      <c r="F65" s="336">
        <v>1.6</v>
      </c>
      <c r="G65" s="411">
        <f t="shared" si="0"/>
        <v>1.0000000000000009E-2</v>
      </c>
      <c r="H65" s="376" t="s">
        <v>210</v>
      </c>
      <c r="I65" s="439">
        <f>VLOOKUP(MONTH($C64),'CALENDAR INFO'!$J$5:$K$16,2)+1</f>
        <v>29</v>
      </c>
      <c r="J65" s="138">
        <f>I65</f>
        <v>29</v>
      </c>
      <c r="K65" s="125"/>
      <c r="L65" s="403">
        <f t="shared" si="1"/>
        <v>43863</v>
      </c>
      <c r="M65" s="56" t="str">
        <f t="shared" si="2"/>
        <v>SUN</v>
      </c>
      <c r="O65" s="378">
        <f t="shared" si="8"/>
        <v>0</v>
      </c>
      <c r="P65" s="392">
        <f t="shared" si="5"/>
        <v>1</v>
      </c>
    </row>
    <row r="66" spans="1:19">
      <c r="A66" s="69"/>
      <c r="B66" s="175"/>
      <c r="C66" s="403">
        <f t="shared" si="10"/>
        <v>43864</v>
      </c>
      <c r="D66" s="56" t="str">
        <f>VLOOKUP(MOD(C66,7),'CALENDAR INFO'!$G$5:$H$11,2)</f>
        <v>MON</v>
      </c>
      <c r="E66" s="165">
        <v>1.59</v>
      </c>
      <c r="F66" s="336">
        <v>1.59</v>
      </c>
      <c r="G66" s="411">
        <f t="shared" si="0"/>
        <v>0</v>
      </c>
      <c r="H66" s="376" t="s">
        <v>211</v>
      </c>
      <c r="I66" s="15">
        <f>I65+I64-1</f>
        <v>92</v>
      </c>
      <c r="J66" s="138">
        <f>I66</f>
        <v>92</v>
      </c>
      <c r="K66" s="125"/>
      <c r="L66" s="403">
        <f t="shared" si="1"/>
        <v>43864</v>
      </c>
      <c r="M66" s="56" t="str">
        <f t="shared" si="2"/>
        <v>MON</v>
      </c>
      <c r="O66" s="378">
        <f t="shared" si="8"/>
        <v>1</v>
      </c>
      <c r="P66" s="392">
        <f t="shared" si="5"/>
        <v>1.0000441666666666</v>
      </c>
      <c r="S66" s="62"/>
    </row>
    <row r="67" spans="1:19">
      <c r="A67" s="69"/>
      <c r="B67" s="175"/>
      <c r="C67" s="403">
        <f t="shared" si="10"/>
        <v>43865</v>
      </c>
      <c r="D67" s="56" t="str">
        <f>VLOOKUP(MOD(C67,7),'CALENDAR INFO'!$G$5:$H$11,2)</f>
        <v>TUE</v>
      </c>
      <c r="E67" s="165">
        <v>1.59</v>
      </c>
      <c r="F67" s="336">
        <v>1.6</v>
      </c>
      <c r="G67" s="411">
        <f t="shared" ref="G67:G130" si="11">F67-E67</f>
        <v>1.0000000000000009E-2</v>
      </c>
      <c r="K67" s="125"/>
      <c r="L67" s="403">
        <f t="shared" ref="L67:L130" si="12">C67</f>
        <v>43865</v>
      </c>
      <c r="M67" s="56" t="str">
        <f t="shared" ref="M67:M130" si="13">D67</f>
        <v>TUE</v>
      </c>
      <c r="O67" s="378">
        <f t="shared" si="8"/>
        <v>1</v>
      </c>
      <c r="P67" s="392">
        <f t="shared" si="5"/>
        <v>1.0000444444444445</v>
      </c>
      <c r="S67" s="62"/>
    </row>
    <row r="68" spans="1:19">
      <c r="A68" s="69"/>
      <c r="B68" s="175"/>
      <c r="C68" s="403">
        <f t="shared" si="10"/>
        <v>43866</v>
      </c>
      <c r="D68" s="56" t="str">
        <f>VLOOKUP(MOD(C68,7),'CALENDAR INFO'!$G$5:$H$11,2)</f>
        <v>WED</v>
      </c>
      <c r="E68" s="165">
        <v>1.59</v>
      </c>
      <c r="F68" s="336">
        <v>1.59</v>
      </c>
      <c r="G68" s="411">
        <f t="shared" si="11"/>
        <v>0</v>
      </c>
      <c r="H68" s="15" t="s">
        <v>150</v>
      </c>
      <c r="I68" s="137" t="str">
        <f>_xlfn.CONCAT(ADDRESS(I64,5),":",ADDRESS(I66,5))</f>
        <v>$E$64:$E$92</v>
      </c>
      <c r="J68" s="150" t="str">
        <f>_xlfn.CONCAT(ADDRESS(J64,6),":",ADDRESS(J66,6))</f>
        <v>$F$64:$F$92</v>
      </c>
      <c r="K68" s="125"/>
      <c r="L68" s="403">
        <f t="shared" si="12"/>
        <v>43866</v>
      </c>
      <c r="M68" s="56" t="str">
        <f t="shared" si="13"/>
        <v>WED</v>
      </c>
      <c r="O68" s="378">
        <f t="shared" si="8"/>
        <v>1</v>
      </c>
      <c r="P68" s="392">
        <f t="shared" si="5"/>
        <v>1.0000441666666666</v>
      </c>
      <c r="S68" s="62"/>
    </row>
    <row r="69" spans="1:19">
      <c r="A69" s="69"/>
      <c r="B69" s="175"/>
      <c r="C69" s="403">
        <f t="shared" si="10"/>
        <v>43867</v>
      </c>
      <c r="D69" s="56" t="str">
        <f>VLOOKUP(MOD(C69,7),'CALENDAR INFO'!$G$5:$H$11,2)</f>
        <v>THU</v>
      </c>
      <c r="E69" s="165">
        <v>1.59</v>
      </c>
      <c r="F69" s="336">
        <v>1.59</v>
      </c>
      <c r="G69" s="411">
        <f t="shared" si="11"/>
        <v>0</v>
      </c>
      <c r="K69" s="125"/>
      <c r="L69" s="403">
        <f t="shared" si="12"/>
        <v>43867</v>
      </c>
      <c r="M69" s="56" t="str">
        <f t="shared" si="13"/>
        <v>THU</v>
      </c>
      <c r="O69" s="378">
        <f t="shared" si="8"/>
        <v>1</v>
      </c>
      <c r="P69" s="392">
        <f t="shared" si="5"/>
        <v>1.0000441666666666</v>
      </c>
      <c r="R69" s="17"/>
      <c r="S69" s="62"/>
    </row>
    <row r="70" spans="1:19">
      <c r="A70" s="69"/>
      <c r="B70" s="175"/>
      <c r="C70" s="403">
        <f t="shared" si="10"/>
        <v>43868</v>
      </c>
      <c r="D70" s="56" t="str">
        <f>VLOOKUP(MOD(C70,7),'CALENDAR INFO'!$G$5:$H$11,2)</f>
        <v>FRI</v>
      </c>
      <c r="E70" s="165">
        <v>1.58</v>
      </c>
      <c r="F70" s="336">
        <v>1.58</v>
      </c>
      <c r="G70" s="411">
        <f t="shared" si="11"/>
        <v>0</v>
      </c>
      <c r="H70" s="376" t="s">
        <v>221</v>
      </c>
      <c r="I70" s="147">
        <f ca="1">AVERAGE(INDIRECT(I68))</f>
        <v>1.5831034482758615</v>
      </c>
      <c r="J70" s="326">
        <f ca="1">AVERAGE(INDIRECT(J68))</f>
        <v>1.585862068965517</v>
      </c>
      <c r="K70" s="125"/>
      <c r="L70" s="403">
        <f t="shared" si="12"/>
        <v>43868</v>
      </c>
      <c r="M70" s="56" t="str">
        <f t="shared" si="13"/>
        <v>FRI</v>
      </c>
      <c r="O70" s="378">
        <f t="shared" si="8"/>
        <v>3</v>
      </c>
      <c r="P70" s="392">
        <f t="shared" si="5"/>
        <v>1.0001316666666666</v>
      </c>
    </row>
    <row r="71" spans="1:19">
      <c r="A71" s="69"/>
      <c r="B71" s="41"/>
      <c r="C71" s="403">
        <f t="shared" si="10"/>
        <v>43869</v>
      </c>
      <c r="D71" s="56" t="str">
        <f>VLOOKUP(MOD(C71,7),'CALENDAR INFO'!$G$5:$H$11,2)</f>
        <v>SAT</v>
      </c>
      <c r="E71" s="165">
        <v>1.58</v>
      </c>
      <c r="F71" s="336">
        <v>1.58</v>
      </c>
      <c r="G71" s="411">
        <f t="shared" si="11"/>
        <v>0</v>
      </c>
      <c r="I71" s="240"/>
      <c r="J71" s="157"/>
      <c r="K71" s="125"/>
      <c r="L71" s="403">
        <f t="shared" si="12"/>
        <v>43869</v>
      </c>
      <c r="M71" s="56" t="str">
        <f t="shared" si="13"/>
        <v>SAT</v>
      </c>
      <c r="O71" s="378">
        <f t="shared" si="8"/>
        <v>0</v>
      </c>
      <c r="P71" s="392">
        <f t="shared" si="5"/>
        <v>1</v>
      </c>
    </row>
    <row r="72" spans="1:19">
      <c r="A72" s="69"/>
      <c r="B72" s="175"/>
      <c r="C72" s="403">
        <f t="shared" si="10"/>
        <v>43870</v>
      </c>
      <c r="D72" s="56" t="str">
        <f>VLOOKUP(MOD(C72,7),'CALENDAR INFO'!$G$5:$H$11,2)</f>
        <v>SUN</v>
      </c>
      <c r="E72" s="165">
        <v>1.58</v>
      </c>
      <c r="F72" s="336">
        <v>1.58</v>
      </c>
      <c r="G72" s="411">
        <f t="shared" si="11"/>
        <v>0</v>
      </c>
      <c r="H72" s="15" t="s">
        <v>222</v>
      </c>
      <c r="I72" s="147">
        <f ca="1">100-I70</f>
        <v>98.416896551724136</v>
      </c>
      <c r="J72" s="160">
        <f ca="1">100-J70</f>
        <v>98.414137931034489</v>
      </c>
      <c r="K72" s="125"/>
      <c r="L72" s="403">
        <f t="shared" si="12"/>
        <v>43870</v>
      </c>
      <c r="M72" s="56" t="str">
        <f t="shared" si="13"/>
        <v>SUN</v>
      </c>
      <c r="O72" s="378">
        <f t="shared" si="8"/>
        <v>0</v>
      </c>
      <c r="P72" s="392">
        <f t="shared" si="5"/>
        <v>1</v>
      </c>
    </row>
    <row r="73" spans="1:19">
      <c r="A73" s="69"/>
      <c r="B73" s="175"/>
      <c r="C73" s="403">
        <f t="shared" si="10"/>
        <v>43871</v>
      </c>
      <c r="D73" s="56" t="str">
        <f>VLOOKUP(MOD(C73,7),'CALENDAR INFO'!$G$5:$H$11,2)</f>
        <v>MON</v>
      </c>
      <c r="E73" s="165">
        <v>1.58</v>
      </c>
      <c r="F73" s="336">
        <v>1.58</v>
      </c>
      <c r="G73" s="411">
        <f t="shared" si="11"/>
        <v>0</v>
      </c>
      <c r="I73" s="137"/>
      <c r="J73" s="158"/>
      <c r="K73" s="125"/>
      <c r="L73" s="403">
        <f t="shared" si="12"/>
        <v>43871</v>
      </c>
      <c r="M73" s="56" t="str">
        <f t="shared" si="13"/>
        <v>MON</v>
      </c>
      <c r="O73" s="378">
        <f t="shared" si="8"/>
        <v>1</v>
      </c>
      <c r="P73" s="392">
        <f t="shared" si="5"/>
        <v>1.000043888888889</v>
      </c>
    </row>
    <row r="74" spans="1:19">
      <c r="A74" s="69"/>
      <c r="B74" s="41"/>
      <c r="C74" s="403">
        <f t="shared" si="10"/>
        <v>43872</v>
      </c>
      <c r="D74" s="56" t="str">
        <f>VLOOKUP(MOD(C74,7),'CALENDAR INFO'!$G$5:$H$11,2)</f>
        <v>TUE</v>
      </c>
      <c r="E74" s="165">
        <v>1.58</v>
      </c>
      <c r="F74" s="336">
        <v>1.58</v>
      </c>
      <c r="G74" s="411">
        <f t="shared" si="11"/>
        <v>0</v>
      </c>
      <c r="H74" s="425" t="s">
        <v>97</v>
      </c>
      <c r="I74" s="419">
        <v>98.417000000000002</v>
      </c>
      <c r="J74" s="440">
        <v>98.414000000000001</v>
      </c>
      <c r="K74" s="125"/>
      <c r="L74" s="403">
        <f t="shared" si="12"/>
        <v>43872</v>
      </c>
      <c r="M74" s="56" t="str">
        <f t="shared" si="13"/>
        <v>TUE</v>
      </c>
      <c r="O74" s="378">
        <f t="shared" si="8"/>
        <v>1</v>
      </c>
      <c r="P74" s="392">
        <f t="shared" si="5"/>
        <v>1.000043888888889</v>
      </c>
    </row>
    <row r="75" spans="1:19">
      <c r="A75" s="69"/>
      <c r="B75" s="175"/>
      <c r="C75" s="403">
        <f t="shared" si="10"/>
        <v>43873</v>
      </c>
      <c r="D75" s="56" t="str">
        <f>VLOOKUP(MOD(C75,7),'CALENDAR INFO'!$G$5:$H$11,2)</f>
        <v>WED</v>
      </c>
      <c r="E75" s="165">
        <v>1.58</v>
      </c>
      <c r="F75" s="336">
        <v>1.57</v>
      </c>
      <c r="G75" s="411">
        <f t="shared" si="11"/>
        <v>-1.0000000000000009E-2</v>
      </c>
      <c r="I75" s="137"/>
      <c r="J75" s="150"/>
      <c r="K75" s="125" t="s">
        <v>19</v>
      </c>
      <c r="L75" s="403">
        <f t="shared" si="12"/>
        <v>43873</v>
      </c>
      <c r="M75" s="56" t="str">
        <f t="shared" si="13"/>
        <v>WED</v>
      </c>
      <c r="O75" s="378">
        <f t="shared" si="8"/>
        <v>1</v>
      </c>
      <c r="P75" s="392">
        <f t="shared" si="5"/>
        <v>1.0000436111111111</v>
      </c>
    </row>
    <row r="76" spans="1:19">
      <c r="A76" s="69"/>
      <c r="B76" s="41"/>
      <c r="C76" s="403">
        <f t="shared" si="10"/>
        <v>43874</v>
      </c>
      <c r="D76" s="56" t="str">
        <f>VLOOKUP(MOD(C76,7),'CALENDAR INFO'!$G$5:$H$11,2)</f>
        <v>THU</v>
      </c>
      <c r="E76" s="165">
        <v>1.58</v>
      </c>
      <c r="F76" s="336">
        <v>1.57</v>
      </c>
      <c r="G76" s="411">
        <f t="shared" si="11"/>
        <v>-1.0000000000000009E-2</v>
      </c>
      <c r="H76" s="136"/>
      <c r="I76" s="139"/>
      <c r="J76" s="151"/>
      <c r="K76" s="123" t="s">
        <v>18</v>
      </c>
      <c r="L76" s="403">
        <f t="shared" si="12"/>
        <v>43874</v>
      </c>
      <c r="M76" s="56" t="str">
        <f t="shared" si="13"/>
        <v>THU</v>
      </c>
      <c r="O76" s="378">
        <f t="shared" si="8"/>
        <v>1</v>
      </c>
      <c r="P76" s="392">
        <f t="shared" si="5"/>
        <v>1.0000436111111111</v>
      </c>
    </row>
    <row r="77" spans="1:19">
      <c r="B77" s="41"/>
      <c r="C77" s="403">
        <f t="shared" si="10"/>
        <v>43875</v>
      </c>
      <c r="D77" s="56" t="str">
        <f>VLOOKUP(MOD(C77,7),'CALENDAR INFO'!$G$5:$H$11,2)</f>
        <v>FRI</v>
      </c>
      <c r="E77" s="165">
        <v>1.58</v>
      </c>
      <c r="F77" s="336">
        <v>1.58</v>
      </c>
      <c r="G77" s="411">
        <f t="shared" si="11"/>
        <v>0</v>
      </c>
      <c r="K77" s="123"/>
      <c r="L77" s="403">
        <f t="shared" si="12"/>
        <v>43875</v>
      </c>
      <c r="M77" s="56" t="str">
        <f t="shared" si="13"/>
        <v>FRI</v>
      </c>
      <c r="O77" s="380">
        <f>IF(MOD(C77,7)&lt;2,0,IF(MOD(C77,7)=6,3,1))+1</f>
        <v>4</v>
      </c>
      <c r="P77" s="392">
        <f t="shared" si="5"/>
        <v>1.0001755555555556</v>
      </c>
    </row>
    <row r="78" spans="1:19">
      <c r="B78" s="41"/>
      <c r="C78" s="403">
        <f t="shared" si="10"/>
        <v>43876</v>
      </c>
      <c r="D78" s="56" t="str">
        <f>VLOOKUP(MOD(C78,7),'CALENDAR INFO'!$G$5:$H$11,2)</f>
        <v>SAT</v>
      </c>
      <c r="E78" s="165">
        <v>1.58</v>
      </c>
      <c r="F78" s="336">
        <v>1.58</v>
      </c>
      <c r="G78" s="411">
        <f t="shared" si="11"/>
        <v>0</v>
      </c>
      <c r="H78" s="135"/>
      <c r="I78" s="144"/>
      <c r="J78" s="152"/>
      <c r="K78" s="123"/>
      <c r="L78" s="403">
        <f t="shared" si="12"/>
        <v>43876</v>
      </c>
      <c r="M78" s="56" t="str">
        <f t="shared" si="13"/>
        <v>SAT</v>
      </c>
      <c r="O78" s="378">
        <f>IF(MOD(C78,7)&lt;2,0,IF(MOD(C78,7)=6,3,1))</f>
        <v>0</v>
      </c>
      <c r="P78" s="392">
        <f t="shared" si="5"/>
        <v>1</v>
      </c>
    </row>
    <row r="79" spans="1:19">
      <c r="B79" s="41"/>
      <c r="C79" s="403">
        <f t="shared" si="10"/>
        <v>43877</v>
      </c>
      <c r="D79" s="56" t="str">
        <f>VLOOKUP(MOD(C79,7),'CALENDAR INFO'!$G$5:$H$11,2)</f>
        <v>SUN</v>
      </c>
      <c r="E79" s="165">
        <v>1.58</v>
      </c>
      <c r="F79" s="336">
        <v>1.58</v>
      </c>
      <c r="G79" s="411">
        <f t="shared" si="11"/>
        <v>0</v>
      </c>
      <c r="K79" s="123"/>
      <c r="L79" s="403">
        <f t="shared" si="12"/>
        <v>43877</v>
      </c>
      <c r="M79" s="56" t="str">
        <f t="shared" si="13"/>
        <v>SUN</v>
      </c>
      <c r="O79" s="378">
        <f>IF(MOD(C79,7)&lt;2,0,IF(MOD(C79,7)=6,3,1))</f>
        <v>0</v>
      </c>
      <c r="P79" s="392">
        <f t="shared" si="5"/>
        <v>1</v>
      </c>
    </row>
    <row r="80" spans="1:19">
      <c r="B80" s="41"/>
      <c r="C80" s="403">
        <f t="shared" si="10"/>
        <v>43878</v>
      </c>
      <c r="D80" s="56" t="str">
        <f>VLOOKUP(MOD(C80,7),'CALENDAR INFO'!$G$5:$H$11,2)</f>
        <v>MON</v>
      </c>
      <c r="E80" s="165">
        <v>1.58</v>
      </c>
      <c r="F80" s="336">
        <v>1.58</v>
      </c>
      <c r="G80" s="411">
        <f t="shared" si="11"/>
        <v>0</v>
      </c>
      <c r="K80" s="123"/>
      <c r="L80" s="403">
        <f t="shared" si="12"/>
        <v>43878</v>
      </c>
      <c r="M80" s="56" t="str">
        <f t="shared" si="13"/>
        <v>MON</v>
      </c>
      <c r="N80" s="132" t="s">
        <v>39</v>
      </c>
      <c r="O80" s="380">
        <f>IF(MOD(C80,7)&lt;2,0,IF(MOD(C80,7)=6,3,1))-1</f>
        <v>0</v>
      </c>
      <c r="P80" s="392">
        <f t="shared" si="5"/>
        <v>1</v>
      </c>
    </row>
    <row r="81" spans="1:20">
      <c r="B81" s="41"/>
      <c r="C81" s="403">
        <f t="shared" si="10"/>
        <v>43879</v>
      </c>
      <c r="D81" s="56" t="str">
        <f>VLOOKUP(MOD(C81,7),'CALENDAR INFO'!$G$5:$H$11,2)</f>
        <v>TUE</v>
      </c>
      <c r="E81" s="165">
        <v>1.59</v>
      </c>
      <c r="F81" s="336">
        <v>1.6</v>
      </c>
      <c r="G81" s="411">
        <f t="shared" si="11"/>
        <v>1.0000000000000009E-2</v>
      </c>
      <c r="K81" s="123"/>
      <c r="L81" s="403">
        <f t="shared" si="12"/>
        <v>43879</v>
      </c>
      <c r="M81" s="56" t="str">
        <f t="shared" si="13"/>
        <v>TUE</v>
      </c>
      <c r="O81" s="378">
        <f t="shared" ref="O81:O112" si="14">IF(MOD(C81,7)&lt;2,0,IF(MOD(C81,7)=6,3,1))</f>
        <v>1</v>
      </c>
      <c r="P81" s="392">
        <f t="shared" si="5"/>
        <v>1.0000444444444445</v>
      </c>
    </row>
    <row r="82" spans="1:20">
      <c r="B82" s="41"/>
      <c r="C82" s="403">
        <f t="shared" si="10"/>
        <v>43880</v>
      </c>
      <c r="D82" s="56" t="str">
        <f>VLOOKUP(MOD(C82,7),'CALENDAR INFO'!$G$5:$H$11,2)</f>
        <v>WED</v>
      </c>
      <c r="E82" s="165">
        <v>1.59</v>
      </c>
      <c r="F82" s="336">
        <v>1.59</v>
      </c>
      <c r="G82" s="411">
        <f t="shared" si="11"/>
        <v>0</v>
      </c>
      <c r="K82" s="123"/>
      <c r="L82" s="403">
        <f t="shared" si="12"/>
        <v>43880</v>
      </c>
      <c r="M82" s="56" t="str">
        <f t="shared" si="13"/>
        <v>WED</v>
      </c>
      <c r="O82" s="378">
        <f t="shared" si="14"/>
        <v>1</v>
      </c>
      <c r="P82" s="392">
        <f t="shared" si="5"/>
        <v>1.0000441666666666</v>
      </c>
    </row>
    <row r="83" spans="1:20">
      <c r="B83" s="41"/>
      <c r="C83" s="403">
        <f t="shared" si="10"/>
        <v>43881</v>
      </c>
      <c r="D83" s="56" t="str">
        <f>VLOOKUP(MOD(C83,7),'CALENDAR INFO'!$G$5:$H$11,2)</f>
        <v>THU</v>
      </c>
      <c r="E83" s="165">
        <v>1.59</v>
      </c>
      <c r="F83" s="336">
        <v>1.6</v>
      </c>
      <c r="G83" s="411">
        <f t="shared" si="11"/>
        <v>1.0000000000000009E-2</v>
      </c>
      <c r="K83" s="123"/>
      <c r="L83" s="403">
        <f t="shared" si="12"/>
        <v>43881</v>
      </c>
      <c r="M83" s="56" t="str">
        <f t="shared" si="13"/>
        <v>THU</v>
      </c>
      <c r="O83" s="378">
        <f t="shared" si="14"/>
        <v>1</v>
      </c>
      <c r="P83" s="392">
        <f t="shared" ref="P83:P146" si="15">1+(O83/360)*(MAX(F83,B83)/100)</f>
        <v>1.0000444444444445</v>
      </c>
    </row>
    <row r="84" spans="1:20">
      <c r="B84" s="41"/>
      <c r="C84" s="403">
        <f t="shared" si="10"/>
        <v>43882</v>
      </c>
      <c r="D84" s="56" t="str">
        <f>VLOOKUP(MOD(C84,7),'CALENDAR INFO'!$G$5:$H$11,2)</f>
        <v>FRI</v>
      </c>
      <c r="E84" s="165">
        <v>1.58</v>
      </c>
      <c r="F84" s="336">
        <v>1.58</v>
      </c>
      <c r="G84" s="411">
        <f t="shared" si="11"/>
        <v>0</v>
      </c>
      <c r="K84" s="123"/>
      <c r="L84" s="403">
        <f t="shared" si="12"/>
        <v>43882</v>
      </c>
      <c r="M84" s="56" t="str">
        <f t="shared" si="13"/>
        <v>FRI</v>
      </c>
      <c r="O84" s="378">
        <f t="shared" si="14"/>
        <v>3</v>
      </c>
      <c r="P84" s="392">
        <f t="shared" si="15"/>
        <v>1.0001316666666666</v>
      </c>
    </row>
    <row r="85" spans="1:20">
      <c r="B85" s="41"/>
      <c r="C85" s="403">
        <f t="shared" si="10"/>
        <v>43883</v>
      </c>
      <c r="D85" s="56" t="str">
        <f>VLOOKUP(MOD(C85,7),'CALENDAR INFO'!$G$5:$H$11,2)</f>
        <v>SAT</v>
      </c>
      <c r="E85" s="165">
        <v>1.58</v>
      </c>
      <c r="F85" s="336">
        <v>1.58</v>
      </c>
      <c r="G85" s="411">
        <f t="shared" si="11"/>
        <v>0</v>
      </c>
      <c r="K85" s="123"/>
      <c r="L85" s="403">
        <f t="shared" si="12"/>
        <v>43883</v>
      </c>
      <c r="M85" s="56" t="str">
        <f t="shared" si="13"/>
        <v>SAT</v>
      </c>
      <c r="O85" s="378">
        <f t="shared" si="14"/>
        <v>0</v>
      </c>
      <c r="P85" s="392">
        <f t="shared" si="15"/>
        <v>1</v>
      </c>
    </row>
    <row r="86" spans="1:20">
      <c r="B86" s="41"/>
      <c r="C86" s="403">
        <f t="shared" si="10"/>
        <v>43884</v>
      </c>
      <c r="D86" s="56" t="str">
        <f>VLOOKUP(MOD(C86,7),'CALENDAR INFO'!$G$5:$H$11,2)</f>
        <v>SUN</v>
      </c>
      <c r="E86" s="165">
        <v>1.58</v>
      </c>
      <c r="F86" s="336">
        <v>1.58</v>
      </c>
      <c r="G86" s="411">
        <f t="shared" si="11"/>
        <v>0</v>
      </c>
      <c r="K86" s="123"/>
      <c r="L86" s="403">
        <f t="shared" si="12"/>
        <v>43884</v>
      </c>
      <c r="M86" s="56" t="str">
        <f t="shared" si="13"/>
        <v>SUN</v>
      </c>
      <c r="O86" s="378">
        <f t="shared" si="14"/>
        <v>0</v>
      </c>
      <c r="P86" s="392">
        <f t="shared" si="15"/>
        <v>1</v>
      </c>
    </row>
    <row r="87" spans="1:20">
      <c r="B87" s="41"/>
      <c r="C87" s="403">
        <f t="shared" si="10"/>
        <v>43885</v>
      </c>
      <c r="D87" s="56" t="str">
        <f>VLOOKUP(MOD(C87,7),'CALENDAR INFO'!$G$5:$H$11,2)</f>
        <v>MON</v>
      </c>
      <c r="E87" s="165">
        <v>1.58</v>
      </c>
      <c r="F87" s="336">
        <v>1.58</v>
      </c>
      <c r="G87" s="411">
        <f t="shared" si="11"/>
        <v>0</v>
      </c>
      <c r="K87" s="123"/>
      <c r="L87" s="403">
        <f t="shared" si="12"/>
        <v>43885</v>
      </c>
      <c r="M87" s="56" t="str">
        <f t="shared" si="13"/>
        <v>MON</v>
      </c>
      <c r="O87" s="378">
        <f t="shared" si="14"/>
        <v>1</v>
      </c>
      <c r="P87" s="392">
        <f t="shared" si="15"/>
        <v>1.000043888888889</v>
      </c>
    </row>
    <row r="88" spans="1:20">
      <c r="B88" s="41"/>
      <c r="C88" s="403">
        <f t="shared" si="10"/>
        <v>43886</v>
      </c>
      <c r="D88" s="56" t="str">
        <f>VLOOKUP(MOD(C88,7),'CALENDAR INFO'!$G$5:$H$11,2)</f>
        <v>TUE</v>
      </c>
      <c r="E88" s="165">
        <v>1.58</v>
      </c>
      <c r="F88" s="336">
        <v>1.59</v>
      </c>
      <c r="G88" s="411">
        <f t="shared" si="11"/>
        <v>1.0000000000000009E-2</v>
      </c>
      <c r="K88" s="123"/>
      <c r="L88" s="403">
        <f t="shared" si="12"/>
        <v>43886</v>
      </c>
      <c r="M88" s="56" t="str">
        <f t="shared" si="13"/>
        <v>TUE</v>
      </c>
      <c r="O88" s="378">
        <f t="shared" si="14"/>
        <v>1</v>
      </c>
      <c r="P88" s="392">
        <f t="shared" si="15"/>
        <v>1.0000441666666666</v>
      </c>
    </row>
    <row r="89" spans="1:20">
      <c r="B89" s="41"/>
      <c r="C89" s="403">
        <f t="shared" si="10"/>
        <v>43887</v>
      </c>
      <c r="D89" s="56" t="str">
        <f>VLOOKUP(MOD(C89,7),'CALENDAR INFO'!$G$5:$H$11,2)</f>
        <v>WED</v>
      </c>
      <c r="E89" s="165">
        <v>1.58</v>
      </c>
      <c r="F89" s="336">
        <v>1.58</v>
      </c>
      <c r="G89" s="411">
        <f t="shared" si="11"/>
        <v>0</v>
      </c>
      <c r="K89" s="123" t="s">
        <v>19</v>
      </c>
      <c r="L89" s="403">
        <f t="shared" si="12"/>
        <v>43887</v>
      </c>
      <c r="M89" s="56" t="str">
        <f t="shared" si="13"/>
        <v>WED</v>
      </c>
      <c r="O89" s="378">
        <f t="shared" si="14"/>
        <v>1</v>
      </c>
      <c r="P89" s="392">
        <f t="shared" si="15"/>
        <v>1.000043888888889</v>
      </c>
      <c r="T89" s="59"/>
    </row>
    <row r="90" spans="1:20">
      <c r="B90" s="41"/>
      <c r="C90" s="403">
        <f t="shared" si="10"/>
        <v>43888</v>
      </c>
      <c r="D90" s="56" t="str">
        <f>VLOOKUP(MOD(C90,7),'CALENDAR INFO'!$G$5:$H$11,2)</f>
        <v>THU</v>
      </c>
      <c r="E90" s="165">
        <v>1.58</v>
      </c>
      <c r="F90" s="336">
        <v>1.58</v>
      </c>
      <c r="G90" s="411">
        <f t="shared" si="11"/>
        <v>0</v>
      </c>
      <c r="I90" s="137"/>
      <c r="K90" s="124" t="s">
        <v>18</v>
      </c>
      <c r="L90" s="403">
        <f t="shared" si="12"/>
        <v>43888</v>
      </c>
      <c r="M90" s="56" t="str">
        <f t="shared" si="13"/>
        <v>THU</v>
      </c>
      <c r="O90" s="378">
        <f t="shared" si="14"/>
        <v>1</v>
      </c>
      <c r="P90" s="392">
        <f t="shared" si="15"/>
        <v>1.000043888888889</v>
      </c>
      <c r="Q90" s="18"/>
    </row>
    <row r="91" spans="1:20">
      <c r="A91" s="69"/>
      <c r="B91" s="175"/>
      <c r="C91" s="403">
        <f t="shared" si="10"/>
        <v>43889</v>
      </c>
      <c r="D91" s="56" t="str">
        <f>VLOOKUP(MOD(C91,7),'CALENDAR INFO'!$G$5:$H$11,2)</f>
        <v>FRI</v>
      </c>
      <c r="E91" s="165">
        <v>1.58</v>
      </c>
      <c r="F91" s="336">
        <v>1.6</v>
      </c>
      <c r="G91" s="411">
        <f t="shared" si="11"/>
        <v>2.0000000000000018E-2</v>
      </c>
      <c r="I91" s="137"/>
      <c r="K91" s="126"/>
      <c r="L91" s="403">
        <f t="shared" si="12"/>
        <v>43889</v>
      </c>
      <c r="M91" s="56" t="str">
        <f t="shared" si="13"/>
        <v>FRI</v>
      </c>
      <c r="O91" s="378">
        <f t="shared" si="14"/>
        <v>3</v>
      </c>
      <c r="P91" s="392">
        <f t="shared" si="15"/>
        <v>1.0001333333333333</v>
      </c>
    </row>
    <row r="92" spans="1:20" s="68" customFormat="1" ht="15.75" thickBot="1">
      <c r="A92" s="65"/>
      <c r="B92" s="174"/>
      <c r="C92" s="404">
        <f t="shared" si="10"/>
        <v>43890</v>
      </c>
      <c r="D92" s="64" t="str">
        <f>VLOOKUP(MOD(C92,7),'CALENDAR INFO'!$G$5:$H$11,2)</f>
        <v>SAT</v>
      </c>
      <c r="E92" s="166">
        <v>1.58</v>
      </c>
      <c r="F92" s="337">
        <v>1.6</v>
      </c>
      <c r="G92" s="412">
        <f t="shared" si="11"/>
        <v>2.0000000000000018E-2</v>
      </c>
      <c r="H92" s="344"/>
      <c r="I92" s="140"/>
      <c r="J92" s="154"/>
      <c r="K92" s="77"/>
      <c r="L92" s="404">
        <f t="shared" si="12"/>
        <v>43890</v>
      </c>
      <c r="M92" s="64" t="str">
        <f t="shared" si="13"/>
        <v>SAT</v>
      </c>
      <c r="N92" s="90"/>
      <c r="O92" s="381">
        <f t="shared" si="14"/>
        <v>0</v>
      </c>
      <c r="P92" s="388">
        <f t="shared" si="15"/>
        <v>1</v>
      </c>
      <c r="R92" s="66"/>
    </row>
    <row r="93" spans="1:20">
      <c r="A93" s="69"/>
      <c r="B93" s="175"/>
      <c r="C93" s="403">
        <f t="shared" si="10"/>
        <v>43891</v>
      </c>
      <c r="D93" s="56" t="str">
        <f>VLOOKUP(MOD(C93,7),'CALENDAR INFO'!$G$5:$H$11,2)</f>
        <v>SUN</v>
      </c>
      <c r="E93" s="165">
        <v>1.58</v>
      </c>
      <c r="F93" s="336">
        <v>1.6</v>
      </c>
      <c r="G93" s="411">
        <f t="shared" si="11"/>
        <v>2.0000000000000018E-2</v>
      </c>
      <c r="H93" s="15" t="s">
        <v>149</v>
      </c>
      <c r="I93" s="15">
        <f>ROW(I93)</f>
        <v>93</v>
      </c>
      <c r="J93" s="138">
        <f>I93</f>
        <v>93</v>
      </c>
      <c r="K93" s="126"/>
      <c r="L93" s="403">
        <f t="shared" si="12"/>
        <v>43891</v>
      </c>
      <c r="M93" s="56" t="str">
        <f t="shared" si="13"/>
        <v>SUN</v>
      </c>
      <c r="O93" s="378">
        <f t="shared" si="14"/>
        <v>0</v>
      </c>
      <c r="P93" s="392">
        <f t="shared" si="15"/>
        <v>1</v>
      </c>
      <c r="R93" s="17"/>
      <c r="T93" s="40"/>
    </row>
    <row r="94" spans="1:20">
      <c r="A94" s="71"/>
      <c r="B94" s="176"/>
      <c r="C94" s="403">
        <f t="shared" si="10"/>
        <v>43892</v>
      </c>
      <c r="D94" s="56" t="str">
        <f>VLOOKUP(MOD(C94,7),'CALENDAR INFO'!$G$5:$H$11,2)</f>
        <v>MON</v>
      </c>
      <c r="E94" s="165">
        <v>1.59</v>
      </c>
      <c r="F94" s="336">
        <v>1.59</v>
      </c>
      <c r="G94" s="411">
        <f t="shared" si="11"/>
        <v>0</v>
      </c>
      <c r="H94" s="376" t="s">
        <v>210</v>
      </c>
      <c r="I94" s="15">
        <f>VLOOKUP(MONTH($C93),'CALENDAR INFO'!$J$5:$K$16,2)</f>
        <v>31</v>
      </c>
      <c r="J94" s="138">
        <f>I94</f>
        <v>31</v>
      </c>
      <c r="K94" s="126"/>
      <c r="L94" s="403">
        <f t="shared" si="12"/>
        <v>43892</v>
      </c>
      <c r="M94" s="56" t="str">
        <f t="shared" si="13"/>
        <v>MON</v>
      </c>
      <c r="O94" s="378">
        <f t="shared" si="14"/>
        <v>1</v>
      </c>
      <c r="P94" s="392">
        <f t="shared" si="15"/>
        <v>1.0000441666666666</v>
      </c>
      <c r="R94" s="17"/>
      <c r="T94" s="40"/>
    </row>
    <row r="95" spans="1:20">
      <c r="A95" s="71"/>
      <c r="B95" s="176"/>
      <c r="C95" s="403">
        <f t="shared" si="10"/>
        <v>43893</v>
      </c>
      <c r="D95" s="56" t="str">
        <f>VLOOKUP(MOD(C95,7),'CALENDAR INFO'!$G$5:$H$11,2)</f>
        <v>TUE</v>
      </c>
      <c r="E95" s="165">
        <v>1.59</v>
      </c>
      <c r="F95" s="338">
        <v>1.64</v>
      </c>
      <c r="G95" s="413">
        <f t="shared" si="11"/>
        <v>4.9999999999999822E-2</v>
      </c>
      <c r="H95" s="376" t="s">
        <v>211</v>
      </c>
      <c r="I95" s="15">
        <f>I94+I93-1</f>
        <v>123</v>
      </c>
      <c r="J95" s="138">
        <f>I95</f>
        <v>123</v>
      </c>
      <c r="K95" s="127" t="s">
        <v>94</v>
      </c>
      <c r="L95" s="403">
        <f t="shared" si="12"/>
        <v>43893</v>
      </c>
      <c r="M95" s="56" t="str">
        <f t="shared" si="13"/>
        <v>TUE</v>
      </c>
      <c r="O95" s="378">
        <f t="shared" si="14"/>
        <v>1</v>
      </c>
      <c r="P95" s="392">
        <f t="shared" si="15"/>
        <v>1.0000455555555556</v>
      </c>
      <c r="R95" s="17"/>
      <c r="T95" s="40"/>
    </row>
    <row r="96" spans="1:20">
      <c r="A96" s="71"/>
      <c r="B96" s="176"/>
      <c r="C96" s="403">
        <f t="shared" si="10"/>
        <v>43894</v>
      </c>
      <c r="D96" s="56" t="str">
        <f>VLOOKUP(MOD(C96,7),'CALENDAR INFO'!$G$5:$H$11,2)</f>
        <v>WED</v>
      </c>
      <c r="E96" s="165">
        <v>1.0900000000000001</v>
      </c>
      <c r="F96" s="336">
        <v>1.23</v>
      </c>
      <c r="G96" s="411">
        <f t="shared" si="11"/>
        <v>0.1399999999999999</v>
      </c>
      <c r="K96" s="126" t="s">
        <v>93</v>
      </c>
      <c r="L96" s="403">
        <f t="shared" si="12"/>
        <v>43894</v>
      </c>
      <c r="M96" s="56" t="str">
        <f t="shared" si="13"/>
        <v>WED</v>
      </c>
      <c r="O96" s="378">
        <f t="shared" si="14"/>
        <v>1</v>
      </c>
      <c r="P96" s="392">
        <f t="shared" si="15"/>
        <v>1.0000341666666666</v>
      </c>
      <c r="R96" s="17"/>
      <c r="T96" s="40"/>
    </row>
    <row r="97" spans="1:20">
      <c r="A97" s="71"/>
      <c r="B97" s="176"/>
      <c r="C97" s="403">
        <f t="shared" si="10"/>
        <v>43895</v>
      </c>
      <c r="D97" s="56" t="str">
        <f>VLOOKUP(MOD(C97,7),'CALENDAR INFO'!$G$5:$H$11,2)</f>
        <v>THU</v>
      </c>
      <c r="E97" s="165">
        <v>1.0900000000000001</v>
      </c>
      <c r="F97" s="336">
        <v>1.1200000000000001</v>
      </c>
      <c r="G97" s="411">
        <f t="shared" si="11"/>
        <v>3.0000000000000027E-2</v>
      </c>
      <c r="H97" s="15" t="s">
        <v>150</v>
      </c>
      <c r="I97" s="137" t="str">
        <f>_xlfn.CONCAT(ADDRESS(I93,5),":",ADDRESS(I95,5))</f>
        <v>$E$93:$E$123</v>
      </c>
      <c r="J97" s="150" t="str">
        <f>_xlfn.CONCAT(ADDRESS(J93,6),":",ADDRESS(J95,6))</f>
        <v>$F$93:$F$123</v>
      </c>
      <c r="K97" s="126"/>
      <c r="L97" s="403">
        <f t="shared" si="12"/>
        <v>43895</v>
      </c>
      <c r="M97" s="56" t="str">
        <f t="shared" si="13"/>
        <v>THU</v>
      </c>
      <c r="O97" s="378">
        <f t="shared" si="14"/>
        <v>1</v>
      </c>
      <c r="P97" s="392">
        <f t="shared" si="15"/>
        <v>1.0000311111111111</v>
      </c>
      <c r="R97" s="17"/>
      <c r="T97" s="40"/>
    </row>
    <row r="98" spans="1:20">
      <c r="A98" s="71"/>
      <c r="B98" s="176"/>
      <c r="C98" s="403">
        <f t="shared" si="10"/>
        <v>43896</v>
      </c>
      <c r="D98" s="56" t="str">
        <f>VLOOKUP(MOD(C98,7),'CALENDAR INFO'!$G$5:$H$11,2)</f>
        <v>FRI</v>
      </c>
      <c r="E98" s="165">
        <v>1.0900000000000001</v>
      </c>
      <c r="F98" s="336">
        <v>1.1000000000000001</v>
      </c>
      <c r="G98" s="411">
        <f t="shared" si="11"/>
        <v>1.0000000000000009E-2</v>
      </c>
      <c r="K98" s="126"/>
      <c r="L98" s="403">
        <f t="shared" si="12"/>
        <v>43896</v>
      </c>
      <c r="M98" s="56" t="str">
        <f t="shared" si="13"/>
        <v>FRI</v>
      </c>
      <c r="O98" s="378">
        <f t="shared" si="14"/>
        <v>3</v>
      </c>
      <c r="P98" s="392">
        <f t="shared" si="15"/>
        <v>1.0000916666666666</v>
      </c>
      <c r="R98" s="17"/>
    </row>
    <row r="99" spans="1:20">
      <c r="A99" s="71"/>
      <c r="B99" s="176"/>
      <c r="C99" s="403">
        <f t="shared" si="10"/>
        <v>43897</v>
      </c>
      <c r="D99" s="56" t="str">
        <f>VLOOKUP(MOD(C99,7),'CALENDAR INFO'!$G$5:$H$11,2)</f>
        <v>SAT</v>
      </c>
      <c r="E99" s="165">
        <v>1.0900000000000001</v>
      </c>
      <c r="F99" s="336">
        <v>1.1000000000000001</v>
      </c>
      <c r="G99" s="411">
        <f t="shared" si="11"/>
        <v>1.0000000000000009E-2</v>
      </c>
      <c r="H99" s="376" t="s">
        <v>221</v>
      </c>
      <c r="I99" s="147">
        <f ca="1">AVERAGE(INDIRECT(I97))</f>
        <v>0.652258064516129</v>
      </c>
      <c r="J99" s="326">
        <f ca="1">AVERAGE(INDIRECT(J97))</f>
        <v>0.62935483870967779</v>
      </c>
      <c r="K99" s="126"/>
      <c r="L99" s="403">
        <f t="shared" si="12"/>
        <v>43897</v>
      </c>
      <c r="M99" s="56" t="str">
        <f t="shared" si="13"/>
        <v>SAT</v>
      </c>
      <c r="O99" s="378">
        <f t="shared" si="14"/>
        <v>0</v>
      </c>
      <c r="P99" s="392">
        <f t="shared" si="15"/>
        <v>1</v>
      </c>
      <c r="R99" s="17"/>
    </row>
    <row r="100" spans="1:20">
      <c r="A100" s="71"/>
      <c r="B100" s="176"/>
      <c r="C100" s="403">
        <f t="shared" si="10"/>
        <v>43898</v>
      </c>
      <c r="D100" s="56" t="str">
        <f>VLOOKUP(MOD(C100,7),'CALENDAR INFO'!$G$5:$H$11,2)</f>
        <v>SUN</v>
      </c>
      <c r="E100" s="165">
        <v>1.0900000000000001</v>
      </c>
      <c r="F100" s="336">
        <v>1.1000000000000001</v>
      </c>
      <c r="G100" s="411">
        <f t="shared" si="11"/>
        <v>1.0000000000000009E-2</v>
      </c>
      <c r="I100" s="240"/>
      <c r="J100" s="157"/>
      <c r="K100" s="126"/>
      <c r="L100" s="403">
        <f t="shared" si="12"/>
        <v>43898</v>
      </c>
      <c r="M100" s="56" t="str">
        <f t="shared" si="13"/>
        <v>SUN</v>
      </c>
      <c r="O100" s="378">
        <f t="shared" si="14"/>
        <v>0</v>
      </c>
      <c r="P100" s="392">
        <f t="shared" si="15"/>
        <v>1</v>
      </c>
      <c r="R100" s="17"/>
    </row>
    <row r="101" spans="1:20">
      <c r="A101" s="71"/>
      <c r="B101" s="176"/>
      <c r="C101" s="403">
        <f t="shared" si="10"/>
        <v>43899</v>
      </c>
      <c r="D101" s="56" t="str">
        <f>VLOOKUP(MOD(C101,7),'CALENDAR INFO'!$G$5:$H$11,2)</f>
        <v>MON</v>
      </c>
      <c r="E101" s="165">
        <v>1.0900000000000001</v>
      </c>
      <c r="F101" s="336">
        <v>1.0900000000000001</v>
      </c>
      <c r="G101" s="411">
        <f t="shared" si="11"/>
        <v>0</v>
      </c>
      <c r="H101" s="15" t="s">
        <v>222</v>
      </c>
      <c r="I101" s="147">
        <f ca="1">100-I99</f>
        <v>99.347741935483867</v>
      </c>
      <c r="J101" s="326">
        <f ca="1">100-J99</f>
        <v>99.370645161290327</v>
      </c>
      <c r="K101" s="126"/>
      <c r="L101" s="403">
        <f t="shared" si="12"/>
        <v>43899</v>
      </c>
      <c r="M101" s="56" t="str">
        <f t="shared" si="13"/>
        <v>MON</v>
      </c>
      <c r="O101" s="378">
        <f t="shared" si="14"/>
        <v>1</v>
      </c>
      <c r="P101" s="392">
        <f t="shared" si="15"/>
        <v>1.0000302777777779</v>
      </c>
      <c r="R101" s="17"/>
    </row>
    <row r="102" spans="1:20">
      <c r="A102" s="71"/>
      <c r="B102" s="176"/>
      <c r="C102" s="403">
        <f t="shared" si="10"/>
        <v>43900</v>
      </c>
      <c r="D102" s="56" t="str">
        <f>VLOOKUP(MOD(C102,7),'CALENDAR INFO'!$G$5:$H$11,2)</f>
        <v>TUE</v>
      </c>
      <c r="E102" s="165">
        <v>1.0900000000000001</v>
      </c>
      <c r="F102" s="336">
        <v>1.1100000000000001</v>
      </c>
      <c r="G102" s="411">
        <f t="shared" si="11"/>
        <v>2.0000000000000018E-2</v>
      </c>
      <c r="I102" s="137"/>
      <c r="J102" s="150"/>
      <c r="K102" s="126"/>
      <c r="L102" s="403">
        <f t="shared" si="12"/>
        <v>43900</v>
      </c>
      <c r="M102" s="56" t="str">
        <f t="shared" si="13"/>
        <v>TUE</v>
      </c>
      <c r="O102" s="378">
        <f t="shared" si="14"/>
        <v>1</v>
      </c>
      <c r="P102" s="392">
        <f t="shared" si="15"/>
        <v>1.0000308333333334</v>
      </c>
      <c r="R102" s="17"/>
    </row>
    <row r="103" spans="1:20">
      <c r="A103" s="71"/>
      <c r="B103" s="176"/>
      <c r="C103" s="403">
        <f t="shared" si="10"/>
        <v>43901</v>
      </c>
      <c r="D103" s="56" t="str">
        <f>VLOOKUP(MOD(C103,7),'CALENDAR INFO'!$G$5:$H$11,2)</f>
        <v>WED</v>
      </c>
      <c r="E103" s="165">
        <v>1.0900000000000001</v>
      </c>
      <c r="F103" s="336">
        <v>1.1499999999999999</v>
      </c>
      <c r="G103" s="411">
        <f t="shared" si="11"/>
        <v>5.9999999999999831E-2</v>
      </c>
      <c r="H103" s="425" t="s">
        <v>97</v>
      </c>
      <c r="I103" s="419">
        <v>99.347999999999999</v>
      </c>
      <c r="J103" s="426">
        <v>99.370999999999995</v>
      </c>
      <c r="K103" s="124" t="s">
        <v>19</v>
      </c>
      <c r="L103" s="403">
        <f t="shared" si="12"/>
        <v>43901</v>
      </c>
      <c r="M103" s="56" t="str">
        <f t="shared" si="13"/>
        <v>WED</v>
      </c>
      <c r="O103" s="378">
        <f t="shared" si="14"/>
        <v>1</v>
      </c>
      <c r="P103" s="392">
        <f t="shared" si="15"/>
        <v>1.0000319444444445</v>
      </c>
    </row>
    <row r="104" spans="1:20">
      <c r="A104" s="79"/>
      <c r="B104" s="177"/>
      <c r="C104" s="405">
        <f t="shared" si="10"/>
        <v>43902</v>
      </c>
      <c r="D104" s="78" t="str">
        <f>VLOOKUP(MOD(C104,7),'CALENDAR INFO'!$G$5:$H$11,2)</f>
        <v>THU</v>
      </c>
      <c r="E104" s="167">
        <v>1.1000000000000001</v>
      </c>
      <c r="F104" s="339">
        <v>1.2</v>
      </c>
      <c r="G104" s="411">
        <f t="shared" si="11"/>
        <v>9.9999999999999867E-2</v>
      </c>
      <c r="I104" s="137"/>
      <c r="J104" s="150"/>
      <c r="K104" s="123" t="s">
        <v>18</v>
      </c>
      <c r="L104" s="405">
        <f t="shared" si="12"/>
        <v>43902</v>
      </c>
      <c r="M104" s="78" t="str">
        <f t="shared" si="13"/>
        <v>THU</v>
      </c>
      <c r="N104" s="187"/>
      <c r="O104" s="378">
        <f t="shared" si="14"/>
        <v>1</v>
      </c>
      <c r="P104" s="392">
        <f t="shared" si="15"/>
        <v>1.0000333333333333</v>
      </c>
    </row>
    <row r="105" spans="1:20">
      <c r="A105" s="71"/>
      <c r="B105" s="176"/>
      <c r="C105" s="403">
        <f t="shared" si="10"/>
        <v>43903</v>
      </c>
      <c r="D105" s="56" t="str">
        <f>VLOOKUP(MOD(C105,7),'CALENDAR INFO'!$G$5:$H$11,2)</f>
        <v>FRI</v>
      </c>
      <c r="E105" s="165">
        <v>1.1000000000000001</v>
      </c>
      <c r="F105" s="336">
        <v>1.1000000000000001</v>
      </c>
      <c r="G105" s="411">
        <f t="shared" si="11"/>
        <v>0</v>
      </c>
      <c r="H105" s="136"/>
      <c r="I105" s="139"/>
      <c r="J105" s="151"/>
      <c r="K105" s="123"/>
      <c r="L105" s="403">
        <f t="shared" si="12"/>
        <v>43903</v>
      </c>
      <c r="M105" s="56" t="str">
        <f t="shared" si="13"/>
        <v>FRI</v>
      </c>
      <c r="O105" s="378">
        <f t="shared" si="14"/>
        <v>3</v>
      </c>
      <c r="P105" s="392">
        <f t="shared" si="15"/>
        <v>1.0000916666666666</v>
      </c>
    </row>
    <row r="106" spans="1:20">
      <c r="B106" s="176"/>
      <c r="C106" s="403">
        <f t="shared" si="10"/>
        <v>43904</v>
      </c>
      <c r="D106" s="56" t="str">
        <f>VLOOKUP(MOD(C106,7),'CALENDAR INFO'!$G$5:$H$11,2)</f>
        <v>SAT</v>
      </c>
      <c r="E106" s="165">
        <v>1.1000000000000001</v>
      </c>
      <c r="F106" s="336">
        <v>1.1000000000000001</v>
      </c>
      <c r="G106" s="411">
        <f t="shared" si="11"/>
        <v>0</v>
      </c>
      <c r="K106" s="123"/>
      <c r="L106" s="403">
        <f t="shared" si="12"/>
        <v>43904</v>
      </c>
      <c r="M106" s="56" t="str">
        <f t="shared" si="13"/>
        <v>SAT</v>
      </c>
      <c r="O106" s="378">
        <f t="shared" si="14"/>
        <v>0</v>
      </c>
      <c r="P106" s="392">
        <f t="shared" si="15"/>
        <v>1</v>
      </c>
      <c r="Q106" s="331" t="s">
        <v>97</v>
      </c>
      <c r="R106" s="75"/>
    </row>
    <row r="107" spans="1:20">
      <c r="B107" s="176"/>
      <c r="C107" s="403">
        <f t="shared" si="10"/>
        <v>43905</v>
      </c>
      <c r="D107" s="56" t="str">
        <f>VLOOKUP(MOD(C107,7),'CALENDAR INFO'!$G$5:$H$11,2)</f>
        <v>SUN</v>
      </c>
      <c r="E107" s="165">
        <v>1.1000000000000001</v>
      </c>
      <c r="F107" s="336">
        <v>1.1000000000000001</v>
      </c>
      <c r="G107" s="411">
        <f t="shared" si="11"/>
        <v>0</v>
      </c>
      <c r="H107" s="135"/>
      <c r="I107" s="144"/>
      <c r="J107" s="152"/>
      <c r="K107" s="128" t="s">
        <v>95</v>
      </c>
      <c r="L107" s="403">
        <f t="shared" si="12"/>
        <v>43905</v>
      </c>
      <c r="M107" s="56" t="str">
        <f t="shared" si="13"/>
        <v>SUN</v>
      </c>
      <c r="O107" s="378">
        <f t="shared" si="14"/>
        <v>0</v>
      </c>
      <c r="P107" s="392">
        <f t="shared" si="15"/>
        <v>1</v>
      </c>
      <c r="Q107" s="331" t="s">
        <v>76</v>
      </c>
      <c r="R107" s="80">
        <v>98.519599999999997</v>
      </c>
    </row>
    <row r="108" spans="1:20">
      <c r="B108" s="176"/>
      <c r="C108" s="403">
        <f t="shared" si="10"/>
        <v>43906</v>
      </c>
      <c r="D108" s="56" t="str">
        <f>VLOOKUP(MOD(C108,7),'CALENDAR INFO'!$G$5:$H$11,2)</f>
        <v>MON</v>
      </c>
      <c r="E108" s="165">
        <v>0.25</v>
      </c>
      <c r="F108" s="336">
        <v>0.26</v>
      </c>
      <c r="G108" s="411">
        <f t="shared" si="11"/>
        <v>1.0000000000000009E-2</v>
      </c>
      <c r="K108" s="128" t="s">
        <v>96</v>
      </c>
      <c r="L108" s="403">
        <f t="shared" si="12"/>
        <v>43906</v>
      </c>
      <c r="M108" s="56" t="str">
        <f t="shared" si="13"/>
        <v>MON</v>
      </c>
      <c r="O108" s="378">
        <f t="shared" si="14"/>
        <v>1</v>
      </c>
      <c r="P108" s="392">
        <f t="shared" si="15"/>
        <v>1.0000072222222223</v>
      </c>
    </row>
    <row r="109" spans="1:20">
      <c r="B109" s="176"/>
      <c r="C109" s="403">
        <f t="shared" si="10"/>
        <v>43907</v>
      </c>
      <c r="D109" s="56" t="str">
        <f>VLOOKUP(MOD(C109,7),'CALENDAR INFO'!$G$5:$H$11,2)</f>
        <v>TUE</v>
      </c>
      <c r="E109" s="165">
        <v>0.25</v>
      </c>
      <c r="F109" s="336">
        <v>0.54</v>
      </c>
      <c r="G109" s="411">
        <f t="shared" si="11"/>
        <v>0.29000000000000004</v>
      </c>
      <c r="K109" s="123"/>
      <c r="L109" s="403">
        <f t="shared" si="12"/>
        <v>43907</v>
      </c>
      <c r="M109" s="56" t="str">
        <f t="shared" si="13"/>
        <v>TUE</v>
      </c>
      <c r="N109" s="116" t="s">
        <v>20</v>
      </c>
      <c r="O109" s="378">
        <f t="shared" si="14"/>
        <v>1</v>
      </c>
      <c r="P109" s="392">
        <f t="shared" si="15"/>
        <v>1.0000150000000001</v>
      </c>
    </row>
    <row r="110" spans="1:20">
      <c r="B110" s="176"/>
      <c r="C110" s="403">
        <f t="shared" si="10"/>
        <v>43908</v>
      </c>
      <c r="D110" s="56" t="str">
        <f>VLOOKUP(MOD(C110,7),'CALENDAR INFO'!$G$5:$H$11,2)</f>
        <v>WED</v>
      </c>
      <c r="E110" s="165">
        <v>0.25</v>
      </c>
      <c r="F110" s="336">
        <v>0.1</v>
      </c>
      <c r="G110" s="411">
        <f t="shared" si="11"/>
        <v>-0.15</v>
      </c>
      <c r="K110" s="123"/>
      <c r="L110" s="403">
        <f t="shared" si="12"/>
        <v>43908</v>
      </c>
      <c r="M110" s="56" t="str">
        <f t="shared" si="13"/>
        <v>WED</v>
      </c>
      <c r="N110" s="116" t="s">
        <v>20</v>
      </c>
      <c r="O110" s="378">
        <f t="shared" si="14"/>
        <v>1</v>
      </c>
      <c r="P110" s="392">
        <f t="shared" si="15"/>
        <v>1.0000027777777778</v>
      </c>
      <c r="R110" s="17"/>
    </row>
    <row r="111" spans="1:20">
      <c r="B111" s="176"/>
      <c r="C111" s="403">
        <f t="shared" si="10"/>
        <v>43909</v>
      </c>
      <c r="D111" s="56" t="str">
        <f>VLOOKUP(MOD(C111,7),'CALENDAR INFO'!$G$5:$H$11,2)</f>
        <v>THU</v>
      </c>
      <c r="E111" s="165">
        <v>0.2</v>
      </c>
      <c r="F111" s="336">
        <v>0.06</v>
      </c>
      <c r="G111" s="411">
        <f t="shared" si="11"/>
        <v>-0.14000000000000001</v>
      </c>
      <c r="K111" s="123"/>
      <c r="L111" s="403">
        <f t="shared" si="12"/>
        <v>43909</v>
      </c>
      <c r="M111" s="56" t="str">
        <f t="shared" si="13"/>
        <v>THU</v>
      </c>
      <c r="O111" s="378">
        <f t="shared" si="14"/>
        <v>1</v>
      </c>
      <c r="P111" s="392">
        <f t="shared" si="15"/>
        <v>1.0000016666666667</v>
      </c>
    </row>
    <row r="112" spans="1:20">
      <c r="B112" s="176"/>
      <c r="C112" s="403">
        <f t="shared" si="10"/>
        <v>43910</v>
      </c>
      <c r="D112" s="56" t="str">
        <f>VLOOKUP(MOD(C112,7),'CALENDAR INFO'!$G$5:$H$11,2)</f>
        <v>FRI</v>
      </c>
      <c r="E112" s="165">
        <v>0.15</v>
      </c>
      <c r="F112" s="336">
        <v>0.04</v>
      </c>
      <c r="G112" s="411">
        <f t="shared" si="11"/>
        <v>-0.10999999999999999</v>
      </c>
      <c r="K112" s="123"/>
      <c r="L112" s="403">
        <f t="shared" si="12"/>
        <v>43910</v>
      </c>
      <c r="M112" s="56" t="str">
        <f t="shared" si="13"/>
        <v>FRI</v>
      </c>
      <c r="O112" s="378">
        <f t="shared" si="14"/>
        <v>3</v>
      </c>
      <c r="P112" s="392">
        <f t="shared" si="15"/>
        <v>1.0000033333333334</v>
      </c>
    </row>
    <row r="113" spans="1:22">
      <c r="B113" s="176"/>
      <c r="C113" s="403">
        <f t="shared" si="10"/>
        <v>43911</v>
      </c>
      <c r="D113" s="56" t="str">
        <f>VLOOKUP(MOD(C113,7),'CALENDAR INFO'!$G$5:$H$11,2)</f>
        <v>SAT</v>
      </c>
      <c r="E113" s="165">
        <v>0.15</v>
      </c>
      <c r="F113" s="336">
        <v>0.04</v>
      </c>
      <c r="G113" s="411">
        <f t="shared" si="11"/>
        <v>-0.10999999999999999</v>
      </c>
      <c r="K113" s="123"/>
      <c r="L113" s="403">
        <f t="shared" si="12"/>
        <v>43911</v>
      </c>
      <c r="M113" s="56" t="str">
        <f t="shared" si="13"/>
        <v>SAT</v>
      </c>
      <c r="O113" s="378">
        <f t="shared" ref="O113:O131" si="16">IF(MOD(C113,7)&lt;2,0,IF(MOD(C113,7)=6,3,1))</f>
        <v>0</v>
      </c>
      <c r="P113" s="392">
        <f t="shared" si="15"/>
        <v>1</v>
      </c>
    </row>
    <row r="114" spans="1:22">
      <c r="B114" s="176"/>
      <c r="C114" s="403">
        <f t="shared" si="10"/>
        <v>43912</v>
      </c>
      <c r="D114" s="56" t="str">
        <f>VLOOKUP(MOD(C114,7),'CALENDAR INFO'!$G$5:$H$11,2)</f>
        <v>SUN</v>
      </c>
      <c r="E114" s="165">
        <v>0.15</v>
      </c>
      <c r="F114" s="336">
        <v>0.04</v>
      </c>
      <c r="G114" s="411">
        <f t="shared" si="11"/>
        <v>-0.10999999999999999</v>
      </c>
      <c r="K114" s="123"/>
      <c r="L114" s="403">
        <f t="shared" si="12"/>
        <v>43912</v>
      </c>
      <c r="M114" s="56" t="str">
        <f t="shared" si="13"/>
        <v>SUN</v>
      </c>
      <c r="O114" s="378">
        <f t="shared" si="16"/>
        <v>0</v>
      </c>
      <c r="P114" s="392">
        <f t="shared" si="15"/>
        <v>1</v>
      </c>
    </row>
    <row r="115" spans="1:22">
      <c r="B115" s="176"/>
      <c r="C115" s="403">
        <f t="shared" si="10"/>
        <v>43913</v>
      </c>
      <c r="D115" s="56" t="str">
        <f>VLOOKUP(MOD(C115,7),'CALENDAR INFO'!$G$5:$H$11,2)</f>
        <v>MON</v>
      </c>
      <c r="E115" s="165">
        <v>0.15</v>
      </c>
      <c r="F115" s="336">
        <v>0.02</v>
      </c>
      <c r="G115" s="411">
        <f t="shared" si="11"/>
        <v>-0.13</v>
      </c>
      <c r="K115" s="123"/>
      <c r="L115" s="403">
        <f t="shared" si="12"/>
        <v>43913</v>
      </c>
      <c r="M115" s="56" t="str">
        <f t="shared" si="13"/>
        <v>MON</v>
      </c>
      <c r="O115" s="378">
        <f t="shared" si="16"/>
        <v>1</v>
      </c>
      <c r="P115" s="392">
        <f t="shared" si="15"/>
        <v>1.0000005555555556</v>
      </c>
    </row>
    <row r="116" spans="1:22">
      <c r="B116" s="176"/>
      <c r="C116" s="403">
        <f t="shared" si="10"/>
        <v>43914</v>
      </c>
      <c r="D116" s="56" t="str">
        <f>VLOOKUP(MOD(C116,7),'CALENDAR INFO'!$G$5:$H$11,2)</f>
        <v>TUE</v>
      </c>
      <c r="E116" s="165">
        <v>0.12</v>
      </c>
      <c r="F116" s="336">
        <v>0.01</v>
      </c>
      <c r="G116" s="411">
        <f t="shared" si="11"/>
        <v>-0.11</v>
      </c>
      <c r="K116" s="123"/>
      <c r="L116" s="403">
        <f t="shared" si="12"/>
        <v>43914</v>
      </c>
      <c r="M116" s="56" t="str">
        <f t="shared" si="13"/>
        <v>TUE</v>
      </c>
      <c r="O116" s="378">
        <f t="shared" si="16"/>
        <v>1</v>
      </c>
      <c r="P116" s="392">
        <f t="shared" si="15"/>
        <v>1.0000002777777777</v>
      </c>
    </row>
    <row r="117" spans="1:22">
      <c r="B117" s="176"/>
      <c r="C117" s="403">
        <f t="shared" si="10"/>
        <v>43915</v>
      </c>
      <c r="D117" s="56" t="str">
        <f>VLOOKUP(MOD(C117,7),'CALENDAR INFO'!$G$5:$H$11,2)</f>
        <v>WED</v>
      </c>
      <c r="E117" s="165">
        <v>0.1</v>
      </c>
      <c r="F117" s="336">
        <v>0.01</v>
      </c>
      <c r="G117" s="411">
        <f t="shared" si="11"/>
        <v>-9.0000000000000011E-2</v>
      </c>
      <c r="K117" s="123" t="s">
        <v>19</v>
      </c>
      <c r="L117" s="403">
        <f t="shared" si="12"/>
        <v>43915</v>
      </c>
      <c r="M117" s="56" t="str">
        <f t="shared" si="13"/>
        <v>WED</v>
      </c>
      <c r="O117" s="378">
        <f t="shared" si="16"/>
        <v>1</v>
      </c>
      <c r="P117" s="392">
        <f t="shared" si="15"/>
        <v>1.0000002777777777</v>
      </c>
    </row>
    <row r="118" spans="1:22">
      <c r="B118" s="176"/>
      <c r="C118" s="403">
        <f t="shared" si="10"/>
        <v>43916</v>
      </c>
      <c r="D118" s="56" t="str">
        <f>VLOOKUP(MOD(C118,7),'CALENDAR INFO'!$G$5:$H$11,2)</f>
        <v>THU</v>
      </c>
      <c r="E118" s="165">
        <v>0.1</v>
      </c>
      <c r="F118" s="336">
        <v>0.01</v>
      </c>
      <c r="G118" s="411">
        <f t="shared" si="11"/>
        <v>-9.0000000000000011E-2</v>
      </c>
      <c r="K118" s="124" t="s">
        <v>18</v>
      </c>
      <c r="L118" s="403">
        <f t="shared" si="12"/>
        <v>43916</v>
      </c>
      <c r="M118" s="56" t="str">
        <f t="shared" si="13"/>
        <v>THU</v>
      </c>
      <c r="O118" s="378">
        <f t="shared" si="16"/>
        <v>1</v>
      </c>
      <c r="P118" s="392">
        <f t="shared" si="15"/>
        <v>1.0000002777777777</v>
      </c>
    </row>
    <row r="119" spans="1:22">
      <c r="B119" s="176"/>
      <c r="C119" s="403">
        <f t="shared" si="10"/>
        <v>43917</v>
      </c>
      <c r="D119" s="56" t="str">
        <f>VLOOKUP(MOD(C119,7),'CALENDAR INFO'!$G$5:$H$11,2)</f>
        <v>FRI</v>
      </c>
      <c r="E119" s="165">
        <v>0.1</v>
      </c>
      <c r="F119" s="336">
        <v>0.01</v>
      </c>
      <c r="G119" s="411">
        <f t="shared" si="11"/>
        <v>-9.0000000000000011E-2</v>
      </c>
      <c r="I119" s="137"/>
      <c r="K119" s="126"/>
      <c r="L119" s="403">
        <f t="shared" si="12"/>
        <v>43917</v>
      </c>
      <c r="M119" s="56" t="str">
        <f t="shared" si="13"/>
        <v>FRI</v>
      </c>
      <c r="O119" s="378">
        <f t="shared" si="16"/>
        <v>3</v>
      </c>
      <c r="P119" s="392">
        <f t="shared" si="15"/>
        <v>1.0000008333333332</v>
      </c>
    </row>
    <row r="120" spans="1:22">
      <c r="B120" s="176"/>
      <c r="C120" s="403">
        <f t="shared" si="10"/>
        <v>43918</v>
      </c>
      <c r="D120" s="56" t="str">
        <f>VLOOKUP(MOD(C120,7),'CALENDAR INFO'!$G$5:$H$11,2)</f>
        <v>SAT</v>
      </c>
      <c r="E120" s="165">
        <v>0.1</v>
      </c>
      <c r="F120" s="336">
        <v>0.01</v>
      </c>
      <c r="G120" s="411">
        <f t="shared" si="11"/>
        <v>-9.0000000000000011E-2</v>
      </c>
      <c r="I120" s="147"/>
      <c r="K120" s="126"/>
      <c r="L120" s="403">
        <f t="shared" si="12"/>
        <v>43918</v>
      </c>
      <c r="M120" s="56" t="str">
        <f t="shared" si="13"/>
        <v>SAT</v>
      </c>
      <c r="O120" s="378">
        <f t="shared" si="16"/>
        <v>0</v>
      </c>
      <c r="P120" s="392">
        <f t="shared" si="15"/>
        <v>1</v>
      </c>
    </row>
    <row r="121" spans="1:22">
      <c r="B121" s="176"/>
      <c r="C121" s="403">
        <f t="shared" si="10"/>
        <v>43919</v>
      </c>
      <c r="D121" s="56" t="str">
        <f>VLOOKUP(MOD(C121,7),'CALENDAR INFO'!$G$5:$H$11,2)</f>
        <v>SUN</v>
      </c>
      <c r="E121" s="165">
        <v>0.1</v>
      </c>
      <c r="F121" s="336">
        <v>0.01</v>
      </c>
      <c r="G121" s="411">
        <f t="shared" si="11"/>
        <v>-9.0000000000000011E-2</v>
      </c>
      <c r="H121" s="343"/>
      <c r="I121" s="145"/>
      <c r="J121" s="153"/>
      <c r="K121" s="126"/>
      <c r="L121" s="403">
        <f t="shared" si="12"/>
        <v>43919</v>
      </c>
      <c r="M121" s="56" t="str">
        <f t="shared" si="13"/>
        <v>SUN</v>
      </c>
      <c r="O121" s="378">
        <f t="shared" si="16"/>
        <v>0</v>
      </c>
      <c r="P121" s="392">
        <f t="shared" si="15"/>
        <v>1</v>
      </c>
    </row>
    <row r="122" spans="1:22">
      <c r="B122" s="176"/>
      <c r="C122" s="403">
        <f t="shared" si="10"/>
        <v>43920</v>
      </c>
      <c r="D122" s="56" t="str">
        <f>VLOOKUP(MOD(C122,7),'CALENDAR INFO'!$G$5:$H$11,2)</f>
        <v>MON</v>
      </c>
      <c r="E122" s="165">
        <v>0.09</v>
      </c>
      <c r="F122" s="336">
        <v>0.01</v>
      </c>
      <c r="G122" s="411">
        <f t="shared" si="11"/>
        <v>-0.08</v>
      </c>
      <c r="I122" s="137"/>
      <c r="K122" s="126"/>
      <c r="L122" s="403">
        <f t="shared" si="12"/>
        <v>43920</v>
      </c>
      <c r="M122" s="56" t="str">
        <f t="shared" si="13"/>
        <v>MON</v>
      </c>
      <c r="O122" s="378">
        <f t="shared" si="16"/>
        <v>1</v>
      </c>
      <c r="P122" s="392">
        <f t="shared" si="15"/>
        <v>1.0000002777777777</v>
      </c>
    </row>
    <row r="123" spans="1:22" s="68" customFormat="1" ht="15.75" thickBot="1">
      <c r="A123" s="81"/>
      <c r="B123" s="178"/>
      <c r="C123" s="404">
        <f t="shared" si="10"/>
        <v>43921</v>
      </c>
      <c r="D123" s="64" t="str">
        <f>VLOOKUP(MOD(C123,7),'CALENDAR INFO'!$G$5:$H$11,2)</f>
        <v>TUE</v>
      </c>
      <c r="E123" s="166">
        <v>0.08</v>
      </c>
      <c r="F123" s="337">
        <v>0.01</v>
      </c>
      <c r="G123" s="412">
        <f t="shared" si="11"/>
        <v>-7.0000000000000007E-2</v>
      </c>
      <c r="H123" s="344"/>
      <c r="I123" s="140"/>
      <c r="J123" s="154"/>
      <c r="K123" s="77"/>
      <c r="L123" s="404">
        <f t="shared" si="12"/>
        <v>43921</v>
      </c>
      <c r="M123" s="64" t="str">
        <f t="shared" si="13"/>
        <v>TUE</v>
      </c>
      <c r="N123" s="90"/>
      <c r="O123" s="382">
        <f t="shared" si="16"/>
        <v>1</v>
      </c>
      <c r="P123" s="388">
        <f t="shared" si="15"/>
        <v>1.0000002777777777</v>
      </c>
      <c r="R123" s="82"/>
      <c r="V123" s="82"/>
    </row>
    <row r="124" spans="1:22">
      <c r="B124" s="41"/>
      <c r="C124" s="403">
        <f t="shared" si="10"/>
        <v>43922</v>
      </c>
      <c r="D124" s="56" t="str">
        <f>VLOOKUP(MOD(C124,7),'CALENDAR INFO'!$G$5:$H$11,2)</f>
        <v>WED</v>
      </c>
      <c r="E124" s="165">
        <v>0.06</v>
      </c>
      <c r="F124" s="336">
        <v>0.01</v>
      </c>
      <c r="G124" s="411">
        <f t="shared" si="11"/>
        <v>-4.9999999999999996E-2</v>
      </c>
      <c r="H124" s="15" t="s">
        <v>149</v>
      </c>
      <c r="I124" s="15">
        <f>ROW(I124)</f>
        <v>124</v>
      </c>
      <c r="J124" s="138">
        <f>I124</f>
        <v>124</v>
      </c>
      <c r="K124" s="126"/>
      <c r="L124" s="403">
        <f t="shared" si="12"/>
        <v>43922</v>
      </c>
      <c r="M124" s="56" t="str">
        <f t="shared" si="13"/>
        <v>WED</v>
      </c>
      <c r="O124" s="383">
        <f t="shared" si="16"/>
        <v>1</v>
      </c>
      <c r="P124" s="392">
        <f t="shared" si="15"/>
        <v>1.0000002777777777</v>
      </c>
    </row>
    <row r="125" spans="1:22">
      <c r="B125" s="41"/>
      <c r="C125" s="403">
        <f t="shared" si="10"/>
        <v>43923</v>
      </c>
      <c r="D125" s="56" t="str">
        <f>VLOOKUP(MOD(C125,7),'CALENDAR INFO'!$G$5:$H$11,2)</f>
        <v>THU</v>
      </c>
      <c r="E125" s="165">
        <v>0.05</v>
      </c>
      <c r="F125" s="336">
        <v>0.01</v>
      </c>
      <c r="G125" s="411">
        <f t="shared" si="11"/>
        <v>-0.04</v>
      </c>
      <c r="H125" s="376" t="s">
        <v>210</v>
      </c>
      <c r="I125" s="15">
        <f>VLOOKUP(MONTH($C124),'CALENDAR INFO'!$J$5:$K$16,2)</f>
        <v>30</v>
      </c>
      <c r="J125" s="138">
        <f>I125</f>
        <v>30</v>
      </c>
      <c r="K125" s="126"/>
      <c r="L125" s="403">
        <f t="shared" si="12"/>
        <v>43923</v>
      </c>
      <c r="M125" s="56" t="str">
        <f t="shared" si="13"/>
        <v>THU</v>
      </c>
      <c r="O125" s="383">
        <f t="shared" si="16"/>
        <v>1</v>
      </c>
      <c r="P125" s="392">
        <f t="shared" si="15"/>
        <v>1.0000002777777777</v>
      </c>
    </row>
    <row r="126" spans="1:22">
      <c r="B126" s="41"/>
      <c r="C126" s="403">
        <f t="shared" si="10"/>
        <v>43924</v>
      </c>
      <c r="D126" s="56" t="str">
        <f>VLOOKUP(MOD(C126,7),'CALENDAR INFO'!$G$5:$H$11,2)</f>
        <v>FRI</v>
      </c>
      <c r="E126" s="165">
        <v>0.05</v>
      </c>
      <c r="F126" s="336">
        <v>0.01</v>
      </c>
      <c r="G126" s="411">
        <f t="shared" si="11"/>
        <v>-0.04</v>
      </c>
      <c r="H126" s="376" t="s">
        <v>211</v>
      </c>
      <c r="I126" s="15">
        <f>I125+I124-1</f>
        <v>153</v>
      </c>
      <c r="J126" s="138">
        <f>I126</f>
        <v>153</v>
      </c>
      <c r="K126" s="126"/>
      <c r="L126" s="403">
        <f t="shared" si="12"/>
        <v>43924</v>
      </c>
      <c r="M126" s="56" t="str">
        <f t="shared" si="13"/>
        <v>FRI</v>
      </c>
      <c r="O126" s="383">
        <f t="shared" si="16"/>
        <v>3</v>
      </c>
      <c r="P126" s="392">
        <f t="shared" si="15"/>
        <v>1.0000008333333332</v>
      </c>
    </row>
    <row r="127" spans="1:22">
      <c r="B127" s="41"/>
      <c r="C127" s="403">
        <f t="shared" si="10"/>
        <v>43925</v>
      </c>
      <c r="D127" s="56" t="str">
        <f>VLOOKUP(MOD(C127,7),'CALENDAR INFO'!$G$5:$H$11,2)</f>
        <v>SAT</v>
      </c>
      <c r="E127" s="165">
        <v>0.05</v>
      </c>
      <c r="F127" s="336">
        <v>0.01</v>
      </c>
      <c r="G127" s="411">
        <f t="shared" si="11"/>
        <v>-0.04</v>
      </c>
      <c r="K127" s="126"/>
      <c r="L127" s="403">
        <f t="shared" si="12"/>
        <v>43925</v>
      </c>
      <c r="M127" s="56" t="str">
        <f t="shared" si="13"/>
        <v>SAT</v>
      </c>
      <c r="O127" s="383">
        <f t="shared" si="16"/>
        <v>0</v>
      </c>
      <c r="P127" s="392">
        <f t="shared" si="15"/>
        <v>1</v>
      </c>
    </row>
    <row r="128" spans="1:22">
      <c r="B128" s="41"/>
      <c r="C128" s="403">
        <f t="shared" si="10"/>
        <v>43926</v>
      </c>
      <c r="D128" s="56" t="str">
        <f>VLOOKUP(MOD(C128,7),'CALENDAR INFO'!$G$5:$H$11,2)</f>
        <v>SUN</v>
      </c>
      <c r="E128" s="165">
        <v>0.05</v>
      </c>
      <c r="F128" s="336">
        <v>0.01</v>
      </c>
      <c r="G128" s="411">
        <f t="shared" si="11"/>
        <v>-0.04</v>
      </c>
      <c r="H128" s="15" t="s">
        <v>150</v>
      </c>
      <c r="I128" s="137" t="str">
        <f>_xlfn.CONCAT(ADDRESS(I124,5),":",ADDRESS(I126,5))</f>
        <v>$E$124:$E$153</v>
      </c>
      <c r="J128" s="150" t="str">
        <f>_xlfn.CONCAT(ADDRESS(J124,6),":",ADDRESS(J126,6))</f>
        <v>$F$124:$F$153</v>
      </c>
      <c r="K128" s="126"/>
      <c r="L128" s="403">
        <f t="shared" si="12"/>
        <v>43926</v>
      </c>
      <c r="M128" s="56" t="str">
        <f t="shared" si="13"/>
        <v>SUN</v>
      </c>
      <c r="O128" s="383">
        <f t="shared" si="16"/>
        <v>0</v>
      </c>
      <c r="P128" s="392">
        <f t="shared" si="15"/>
        <v>1</v>
      </c>
    </row>
    <row r="129" spans="2:16">
      <c r="B129" s="41"/>
      <c r="C129" s="403">
        <f t="shared" ref="C129:C192" si="17">C128+1</f>
        <v>43927</v>
      </c>
      <c r="D129" s="56" t="str">
        <f>VLOOKUP(MOD(C129,7),'CALENDAR INFO'!$G$5:$H$11,2)</f>
        <v>MON</v>
      </c>
      <c r="E129" s="165">
        <v>0.05</v>
      </c>
      <c r="F129" s="336">
        <v>0.01</v>
      </c>
      <c r="G129" s="411">
        <f t="shared" si="11"/>
        <v>-0.04</v>
      </c>
      <c r="K129" s="126"/>
      <c r="L129" s="403">
        <f t="shared" si="12"/>
        <v>43927</v>
      </c>
      <c r="M129" s="56" t="str">
        <f t="shared" si="13"/>
        <v>MON</v>
      </c>
      <c r="O129" s="383">
        <f t="shared" si="16"/>
        <v>1</v>
      </c>
      <c r="P129" s="392">
        <f t="shared" si="15"/>
        <v>1.0000002777777777</v>
      </c>
    </row>
    <row r="130" spans="2:16">
      <c r="B130" s="41"/>
      <c r="C130" s="403">
        <f t="shared" si="17"/>
        <v>43928</v>
      </c>
      <c r="D130" s="56" t="str">
        <f>VLOOKUP(MOD(C130,7),'CALENDAR INFO'!$G$5:$H$11,2)</f>
        <v>TUE</v>
      </c>
      <c r="E130" s="165">
        <v>0.05</v>
      </c>
      <c r="F130" s="336">
        <v>0.01</v>
      </c>
      <c r="G130" s="411">
        <f t="shared" si="11"/>
        <v>-0.04</v>
      </c>
      <c r="H130" s="376" t="s">
        <v>221</v>
      </c>
      <c r="I130" s="147">
        <f ca="1">AVERAGE(INDIRECT(I128))</f>
        <v>4.900000000000003E-2</v>
      </c>
      <c r="J130" s="326">
        <f ca="1">AVERAGE(INDIRECT(J128))</f>
        <v>1.9333333333333345E-2</v>
      </c>
      <c r="K130" s="126"/>
      <c r="L130" s="403">
        <f t="shared" si="12"/>
        <v>43928</v>
      </c>
      <c r="M130" s="56" t="str">
        <f t="shared" si="13"/>
        <v>TUE</v>
      </c>
      <c r="O130" s="383">
        <f t="shared" si="16"/>
        <v>1</v>
      </c>
      <c r="P130" s="392">
        <f t="shared" si="15"/>
        <v>1.0000002777777777</v>
      </c>
    </row>
    <row r="131" spans="2:16">
      <c r="B131" s="41"/>
      <c r="C131" s="403">
        <f t="shared" si="17"/>
        <v>43929</v>
      </c>
      <c r="D131" s="56" t="str">
        <f>VLOOKUP(MOD(C131,7),'CALENDAR INFO'!$G$5:$H$11,2)</f>
        <v>WED</v>
      </c>
      <c r="E131" s="165">
        <v>0.05</v>
      </c>
      <c r="F131" s="336">
        <v>0.01</v>
      </c>
      <c r="G131" s="411">
        <f t="shared" ref="G131:G194" si="18">F131-E131</f>
        <v>-0.04</v>
      </c>
      <c r="I131" s="240"/>
      <c r="J131" s="157"/>
      <c r="K131" s="126" t="s">
        <v>19</v>
      </c>
      <c r="L131" s="403">
        <f t="shared" ref="L131:L194" si="19">C131</f>
        <v>43929</v>
      </c>
      <c r="M131" s="56" t="str">
        <f t="shared" ref="M131:M194" si="20">D131</f>
        <v>WED</v>
      </c>
      <c r="O131" s="383">
        <f t="shared" si="16"/>
        <v>1</v>
      </c>
      <c r="P131" s="392">
        <f t="shared" si="15"/>
        <v>1.0000002777777777</v>
      </c>
    </row>
    <row r="132" spans="2:16">
      <c r="B132" s="41"/>
      <c r="C132" s="403">
        <f t="shared" si="17"/>
        <v>43930</v>
      </c>
      <c r="D132" s="56" t="str">
        <f>VLOOKUP(MOD(C132,7),'CALENDAR INFO'!$G$5:$H$11,2)</f>
        <v>THU</v>
      </c>
      <c r="E132" s="165">
        <v>0.05</v>
      </c>
      <c r="F132" s="336">
        <v>0.01</v>
      </c>
      <c r="G132" s="411">
        <f t="shared" si="18"/>
        <v>-0.04</v>
      </c>
      <c r="H132" s="15" t="s">
        <v>222</v>
      </c>
      <c r="I132" s="147">
        <f ca="1">100-I130</f>
        <v>99.950999999999993</v>
      </c>
      <c r="J132" s="326">
        <f ca="1">100-J130</f>
        <v>99.980666666666664</v>
      </c>
      <c r="K132" s="129" t="s">
        <v>18</v>
      </c>
      <c r="L132" s="403">
        <f t="shared" si="19"/>
        <v>43930</v>
      </c>
      <c r="M132" s="56" t="str">
        <f t="shared" si="20"/>
        <v>THU</v>
      </c>
      <c r="O132" s="384">
        <f>IF(MOD(C132,7)&lt;2,0,IF(MOD(C132,7)=6,3,1))+3</f>
        <v>4</v>
      </c>
      <c r="P132" s="392">
        <f t="shared" si="15"/>
        <v>1.0000011111111111</v>
      </c>
    </row>
    <row r="133" spans="2:16">
      <c r="B133" s="41"/>
      <c r="C133" s="403">
        <f t="shared" si="17"/>
        <v>43931</v>
      </c>
      <c r="D133" s="56" t="str">
        <f>VLOOKUP(MOD(C133,7),'CALENDAR INFO'!$G$5:$H$11,2)</f>
        <v>FRI</v>
      </c>
      <c r="E133" s="165">
        <v>0.05</v>
      </c>
      <c r="F133" s="336">
        <v>0.01</v>
      </c>
      <c r="G133" s="411">
        <f t="shared" si="18"/>
        <v>-0.04</v>
      </c>
      <c r="I133" s="137"/>
      <c r="J133" s="150"/>
      <c r="K133" s="129"/>
      <c r="L133" s="403">
        <f t="shared" si="19"/>
        <v>43931</v>
      </c>
      <c r="M133" s="56" t="str">
        <f t="shared" si="20"/>
        <v>FRI</v>
      </c>
      <c r="N133" s="132" t="s">
        <v>56</v>
      </c>
      <c r="O133" s="384">
        <f>IF(MOD(C133,7)&lt;2,0,IF(MOD(C133,7)=6,3,1))-3</f>
        <v>0</v>
      </c>
      <c r="P133" s="392">
        <f t="shared" si="15"/>
        <v>1</v>
      </c>
    </row>
    <row r="134" spans="2:16">
      <c r="B134" s="41"/>
      <c r="C134" s="403">
        <f t="shared" si="17"/>
        <v>43932</v>
      </c>
      <c r="D134" s="56" t="str">
        <f>VLOOKUP(MOD(C134,7),'CALENDAR INFO'!$G$5:$H$11,2)</f>
        <v>SAT</v>
      </c>
      <c r="E134" s="165">
        <v>0.05</v>
      </c>
      <c r="F134" s="336">
        <v>0.01</v>
      </c>
      <c r="G134" s="411">
        <f t="shared" si="18"/>
        <v>-0.04</v>
      </c>
      <c r="H134" s="425" t="s">
        <v>97</v>
      </c>
      <c r="I134" s="419">
        <v>99.950999999999993</v>
      </c>
      <c r="J134" s="426">
        <v>99.980999999999995</v>
      </c>
      <c r="K134" s="129"/>
      <c r="L134" s="403">
        <f t="shared" si="19"/>
        <v>43932</v>
      </c>
      <c r="M134" s="56" t="str">
        <f t="shared" si="20"/>
        <v>SAT</v>
      </c>
      <c r="O134" s="383">
        <f t="shared" ref="O134:O174" si="21">IF(MOD(C134,7)&lt;2,0,IF(MOD(C134,7)=6,3,1))</f>
        <v>0</v>
      </c>
      <c r="P134" s="392">
        <f t="shared" si="15"/>
        <v>1</v>
      </c>
    </row>
    <row r="135" spans="2:16">
      <c r="B135" s="41"/>
      <c r="C135" s="403">
        <f t="shared" si="17"/>
        <v>43933</v>
      </c>
      <c r="D135" s="56" t="str">
        <f>VLOOKUP(MOD(C135,7),'CALENDAR INFO'!$G$5:$H$11,2)</f>
        <v>SUN</v>
      </c>
      <c r="E135" s="165">
        <v>0.05</v>
      </c>
      <c r="F135" s="336">
        <v>0.01</v>
      </c>
      <c r="G135" s="411">
        <f t="shared" si="18"/>
        <v>-0.04</v>
      </c>
      <c r="I135" s="137"/>
      <c r="J135" s="150"/>
      <c r="K135" s="129"/>
      <c r="L135" s="403">
        <f t="shared" si="19"/>
        <v>43933</v>
      </c>
      <c r="M135" s="56" t="str">
        <f t="shared" si="20"/>
        <v>SUN</v>
      </c>
      <c r="O135" s="383">
        <f t="shared" si="21"/>
        <v>0</v>
      </c>
      <c r="P135" s="392">
        <f t="shared" si="15"/>
        <v>1</v>
      </c>
    </row>
    <row r="136" spans="2:16">
      <c r="B136" s="41"/>
      <c r="C136" s="403">
        <f t="shared" si="17"/>
        <v>43934</v>
      </c>
      <c r="D136" s="56" t="str">
        <f>VLOOKUP(MOD(C136,7),'CALENDAR INFO'!$G$5:$H$11,2)</f>
        <v>MON</v>
      </c>
      <c r="E136" s="165">
        <v>0.05</v>
      </c>
      <c r="F136" s="336">
        <v>0.02</v>
      </c>
      <c r="G136" s="411">
        <f t="shared" si="18"/>
        <v>-3.0000000000000002E-2</v>
      </c>
      <c r="H136" s="136"/>
      <c r="I136" s="139"/>
      <c r="J136" s="151"/>
      <c r="K136" s="129"/>
      <c r="L136" s="403">
        <f t="shared" si="19"/>
        <v>43934</v>
      </c>
      <c r="M136" s="56" t="str">
        <f t="shared" si="20"/>
        <v>MON</v>
      </c>
      <c r="O136" s="383">
        <f t="shared" si="21"/>
        <v>1</v>
      </c>
      <c r="P136" s="392">
        <f t="shared" si="15"/>
        <v>1.0000005555555556</v>
      </c>
    </row>
    <row r="137" spans="2:16">
      <c r="B137" s="41"/>
      <c r="C137" s="403">
        <f t="shared" si="17"/>
        <v>43935</v>
      </c>
      <c r="D137" s="56" t="str">
        <f>VLOOKUP(MOD(C137,7),'CALENDAR INFO'!$G$5:$H$11,2)</f>
        <v>TUE</v>
      </c>
      <c r="E137" s="165">
        <v>0.05</v>
      </c>
      <c r="F137" s="336">
        <v>0.06</v>
      </c>
      <c r="G137" s="411">
        <f t="shared" si="18"/>
        <v>9.999999999999995E-3</v>
      </c>
      <c r="K137" s="129"/>
      <c r="L137" s="403">
        <f t="shared" si="19"/>
        <v>43935</v>
      </c>
      <c r="M137" s="56" t="str">
        <f t="shared" si="20"/>
        <v>TUE</v>
      </c>
      <c r="O137" s="383">
        <f t="shared" si="21"/>
        <v>1</v>
      </c>
      <c r="P137" s="392">
        <f t="shared" si="15"/>
        <v>1.0000016666666667</v>
      </c>
    </row>
    <row r="138" spans="2:16">
      <c r="B138" s="41"/>
      <c r="C138" s="403">
        <f t="shared" si="17"/>
        <v>43936</v>
      </c>
      <c r="D138" s="56" t="str">
        <f>VLOOKUP(MOD(C138,7),'CALENDAR INFO'!$G$5:$H$11,2)</f>
        <v>WED</v>
      </c>
      <c r="E138" s="165">
        <v>0.05</v>
      </c>
      <c r="F138" s="336">
        <v>0.03</v>
      </c>
      <c r="G138" s="411">
        <f t="shared" si="18"/>
        <v>-2.0000000000000004E-2</v>
      </c>
      <c r="H138" s="135"/>
      <c r="I138" s="144"/>
      <c r="J138" s="152"/>
      <c r="K138" s="129"/>
      <c r="L138" s="403">
        <f t="shared" si="19"/>
        <v>43936</v>
      </c>
      <c r="M138" s="56" t="str">
        <f t="shared" si="20"/>
        <v>WED</v>
      </c>
      <c r="O138" s="383">
        <f t="shared" si="21"/>
        <v>1</v>
      </c>
      <c r="P138" s="392">
        <f t="shared" si="15"/>
        <v>1.0000008333333332</v>
      </c>
    </row>
    <row r="139" spans="2:16">
      <c r="B139" s="41"/>
      <c r="C139" s="403">
        <f t="shared" si="17"/>
        <v>43937</v>
      </c>
      <c r="D139" s="56" t="str">
        <f>VLOOKUP(MOD(C139,7),'CALENDAR INFO'!$G$5:$H$11,2)</f>
        <v>THU</v>
      </c>
      <c r="E139" s="165">
        <v>0.05</v>
      </c>
      <c r="F139" s="336">
        <v>0.03</v>
      </c>
      <c r="G139" s="411">
        <f t="shared" si="18"/>
        <v>-2.0000000000000004E-2</v>
      </c>
      <c r="K139" s="129"/>
      <c r="L139" s="403">
        <f t="shared" si="19"/>
        <v>43937</v>
      </c>
      <c r="M139" s="56" t="str">
        <f t="shared" si="20"/>
        <v>THU</v>
      </c>
      <c r="O139" s="383">
        <f t="shared" si="21"/>
        <v>1</v>
      </c>
      <c r="P139" s="392">
        <f t="shared" si="15"/>
        <v>1.0000008333333332</v>
      </c>
    </row>
    <row r="140" spans="2:16">
      <c r="B140" s="41"/>
      <c r="C140" s="403">
        <f t="shared" si="17"/>
        <v>43938</v>
      </c>
      <c r="D140" s="56" t="str">
        <f>VLOOKUP(MOD(C140,7),'CALENDAR INFO'!$G$5:$H$11,2)</f>
        <v>FRI</v>
      </c>
      <c r="E140" s="165">
        <v>0.05</v>
      </c>
      <c r="F140" s="336">
        <v>0.03</v>
      </c>
      <c r="G140" s="411">
        <f t="shared" si="18"/>
        <v>-2.0000000000000004E-2</v>
      </c>
      <c r="K140" s="129"/>
      <c r="L140" s="403">
        <f t="shared" si="19"/>
        <v>43938</v>
      </c>
      <c r="M140" s="56" t="str">
        <f t="shared" si="20"/>
        <v>FRI</v>
      </c>
      <c r="O140" s="383">
        <f t="shared" si="21"/>
        <v>3</v>
      </c>
      <c r="P140" s="392">
        <f t="shared" si="15"/>
        <v>1.0000024999999999</v>
      </c>
    </row>
    <row r="141" spans="2:16">
      <c r="B141" s="41"/>
      <c r="C141" s="403">
        <f t="shared" si="17"/>
        <v>43939</v>
      </c>
      <c r="D141" s="56" t="str">
        <f>VLOOKUP(MOD(C141,7),'CALENDAR INFO'!$G$5:$H$11,2)</f>
        <v>SAT</v>
      </c>
      <c r="E141" s="165">
        <v>0.05</v>
      </c>
      <c r="F141" s="336">
        <v>0.03</v>
      </c>
      <c r="G141" s="411">
        <f t="shared" si="18"/>
        <v>-2.0000000000000004E-2</v>
      </c>
      <c r="K141" s="129"/>
      <c r="L141" s="403">
        <f t="shared" si="19"/>
        <v>43939</v>
      </c>
      <c r="M141" s="56" t="str">
        <f t="shared" si="20"/>
        <v>SAT</v>
      </c>
      <c r="O141" s="383">
        <f t="shared" si="21"/>
        <v>0</v>
      </c>
      <c r="P141" s="392">
        <f t="shared" si="15"/>
        <v>1</v>
      </c>
    </row>
    <row r="142" spans="2:16">
      <c r="B142" s="41"/>
      <c r="C142" s="403">
        <f t="shared" si="17"/>
        <v>43940</v>
      </c>
      <c r="D142" s="56" t="str">
        <f>VLOOKUP(MOD(C142,7),'CALENDAR INFO'!$G$5:$H$11,2)</f>
        <v>SUN</v>
      </c>
      <c r="E142" s="165">
        <v>0.05</v>
      </c>
      <c r="F142" s="336">
        <v>0.03</v>
      </c>
      <c r="G142" s="411">
        <f t="shared" si="18"/>
        <v>-2.0000000000000004E-2</v>
      </c>
      <c r="K142" s="129"/>
      <c r="L142" s="403">
        <f t="shared" si="19"/>
        <v>43940</v>
      </c>
      <c r="M142" s="56" t="str">
        <f t="shared" si="20"/>
        <v>SUN</v>
      </c>
      <c r="O142" s="383">
        <f t="shared" si="21"/>
        <v>0</v>
      </c>
      <c r="P142" s="392">
        <f t="shared" si="15"/>
        <v>1</v>
      </c>
    </row>
    <row r="143" spans="2:16">
      <c r="B143" s="41"/>
      <c r="C143" s="403">
        <f t="shared" si="17"/>
        <v>43941</v>
      </c>
      <c r="D143" s="56" t="str">
        <f>VLOOKUP(MOD(C143,7),'CALENDAR INFO'!$G$5:$H$11,2)</f>
        <v>MON</v>
      </c>
      <c r="E143" s="165">
        <v>0.05</v>
      </c>
      <c r="F143" s="336">
        <v>0.02</v>
      </c>
      <c r="G143" s="411">
        <f t="shared" si="18"/>
        <v>-3.0000000000000002E-2</v>
      </c>
      <c r="K143" s="129"/>
      <c r="L143" s="403">
        <f t="shared" si="19"/>
        <v>43941</v>
      </c>
      <c r="M143" s="56" t="str">
        <f t="shared" si="20"/>
        <v>MON</v>
      </c>
      <c r="O143" s="383">
        <f t="shared" si="21"/>
        <v>1</v>
      </c>
      <c r="P143" s="392">
        <f t="shared" si="15"/>
        <v>1.0000005555555556</v>
      </c>
    </row>
    <row r="144" spans="2:16">
      <c r="B144" s="41"/>
      <c r="C144" s="403">
        <f t="shared" si="17"/>
        <v>43942</v>
      </c>
      <c r="D144" s="56" t="str">
        <f>VLOOKUP(MOD(C144,7),'CALENDAR INFO'!$G$5:$H$11,2)</f>
        <v>TUE</v>
      </c>
      <c r="E144" s="165">
        <v>0.05</v>
      </c>
      <c r="F144" s="336">
        <v>0.01</v>
      </c>
      <c r="G144" s="411">
        <f t="shared" si="18"/>
        <v>-0.04</v>
      </c>
      <c r="K144" s="129"/>
      <c r="L144" s="403">
        <f t="shared" si="19"/>
        <v>43942</v>
      </c>
      <c r="M144" s="56" t="str">
        <f t="shared" si="20"/>
        <v>TUE</v>
      </c>
      <c r="O144" s="383">
        <f t="shared" si="21"/>
        <v>1</v>
      </c>
      <c r="P144" s="392">
        <f t="shared" si="15"/>
        <v>1.0000002777777777</v>
      </c>
    </row>
    <row r="145" spans="1:18">
      <c r="B145" s="41"/>
      <c r="C145" s="403">
        <f t="shared" si="17"/>
        <v>43943</v>
      </c>
      <c r="D145" s="56" t="str">
        <f>VLOOKUP(MOD(C145,7),'CALENDAR INFO'!$G$5:$H$11,2)</f>
        <v>WED</v>
      </c>
      <c r="E145" s="165">
        <v>0.05</v>
      </c>
      <c r="F145" s="336">
        <v>0.01</v>
      </c>
      <c r="G145" s="411">
        <f t="shared" si="18"/>
        <v>-0.04</v>
      </c>
      <c r="K145" s="129" t="s">
        <v>19</v>
      </c>
      <c r="L145" s="403">
        <f t="shared" si="19"/>
        <v>43943</v>
      </c>
      <c r="M145" s="56" t="str">
        <f t="shared" si="20"/>
        <v>WED</v>
      </c>
      <c r="O145" s="383">
        <f t="shared" si="21"/>
        <v>1</v>
      </c>
      <c r="P145" s="392">
        <f t="shared" si="15"/>
        <v>1.0000002777777777</v>
      </c>
    </row>
    <row r="146" spans="1:18">
      <c r="B146" s="41"/>
      <c r="C146" s="403">
        <f t="shared" si="17"/>
        <v>43944</v>
      </c>
      <c r="D146" s="56" t="str">
        <f>VLOOKUP(MOD(C146,7),'CALENDAR INFO'!$G$5:$H$11,2)</f>
        <v>THU</v>
      </c>
      <c r="E146" s="165">
        <v>0.04</v>
      </c>
      <c r="F146" s="336">
        <v>0.01</v>
      </c>
      <c r="G146" s="411">
        <f t="shared" si="18"/>
        <v>-0.03</v>
      </c>
      <c r="K146" s="126" t="s">
        <v>18</v>
      </c>
      <c r="L146" s="403">
        <f t="shared" si="19"/>
        <v>43944</v>
      </c>
      <c r="M146" s="56" t="str">
        <f t="shared" si="20"/>
        <v>THU</v>
      </c>
      <c r="O146" s="383">
        <f t="shared" si="21"/>
        <v>1</v>
      </c>
      <c r="P146" s="392">
        <f t="shared" si="15"/>
        <v>1.0000002777777777</v>
      </c>
    </row>
    <row r="147" spans="1:18">
      <c r="B147" s="41"/>
      <c r="C147" s="403">
        <f t="shared" si="17"/>
        <v>43945</v>
      </c>
      <c r="D147" s="56" t="str">
        <f>VLOOKUP(MOD(C147,7),'CALENDAR INFO'!$G$5:$H$11,2)</f>
        <v>FRI</v>
      </c>
      <c r="E147" s="165">
        <v>0.05</v>
      </c>
      <c r="F147" s="336">
        <v>0.03</v>
      </c>
      <c r="G147" s="411">
        <f t="shared" si="18"/>
        <v>-2.0000000000000004E-2</v>
      </c>
      <c r="K147" s="126"/>
      <c r="L147" s="403">
        <f t="shared" si="19"/>
        <v>43945</v>
      </c>
      <c r="M147" s="56" t="str">
        <f t="shared" si="20"/>
        <v>FRI</v>
      </c>
      <c r="O147" s="383">
        <f t="shared" si="21"/>
        <v>3</v>
      </c>
      <c r="P147" s="392">
        <f t="shared" ref="P147:P210" si="22">1+(O147/360)*(MAX(F147,B147)/100)</f>
        <v>1.0000024999999999</v>
      </c>
    </row>
    <row r="148" spans="1:18">
      <c r="B148" s="41"/>
      <c r="C148" s="403">
        <f t="shared" si="17"/>
        <v>43946</v>
      </c>
      <c r="D148" s="56" t="str">
        <f>VLOOKUP(MOD(C148,7),'CALENDAR INFO'!$G$5:$H$11,2)</f>
        <v>SAT</v>
      </c>
      <c r="E148" s="165">
        <v>0.05</v>
      </c>
      <c r="F148" s="336">
        <v>0.03</v>
      </c>
      <c r="G148" s="411">
        <f t="shared" si="18"/>
        <v>-2.0000000000000004E-2</v>
      </c>
      <c r="K148" s="126"/>
      <c r="L148" s="403">
        <f t="shared" si="19"/>
        <v>43946</v>
      </c>
      <c r="M148" s="56" t="str">
        <f t="shared" si="20"/>
        <v>SAT</v>
      </c>
      <c r="O148" s="383">
        <f t="shared" si="21"/>
        <v>0</v>
      </c>
      <c r="P148" s="392">
        <f t="shared" si="22"/>
        <v>1</v>
      </c>
    </row>
    <row r="149" spans="1:18">
      <c r="B149" s="41"/>
      <c r="C149" s="403">
        <f t="shared" si="17"/>
        <v>43947</v>
      </c>
      <c r="D149" s="56" t="str">
        <f>VLOOKUP(MOD(C149,7),'CALENDAR INFO'!$G$5:$H$11,2)</f>
        <v>SUN</v>
      </c>
      <c r="E149" s="165">
        <v>0.05</v>
      </c>
      <c r="F149" s="336">
        <v>0.03</v>
      </c>
      <c r="G149" s="411">
        <f t="shared" si="18"/>
        <v>-2.0000000000000004E-2</v>
      </c>
      <c r="K149" s="126"/>
      <c r="L149" s="403">
        <f t="shared" si="19"/>
        <v>43947</v>
      </c>
      <c r="M149" s="56" t="str">
        <f t="shared" si="20"/>
        <v>SUN</v>
      </c>
      <c r="O149" s="383">
        <f t="shared" si="21"/>
        <v>0</v>
      </c>
      <c r="P149" s="392">
        <f t="shared" si="22"/>
        <v>1</v>
      </c>
    </row>
    <row r="150" spans="1:18">
      <c r="B150" s="41"/>
      <c r="C150" s="403">
        <f t="shared" si="17"/>
        <v>43948</v>
      </c>
      <c r="D150" s="56" t="str">
        <f>VLOOKUP(MOD(C150,7),'CALENDAR INFO'!$G$5:$H$11,2)</f>
        <v>MON</v>
      </c>
      <c r="E150" s="165">
        <v>0.04</v>
      </c>
      <c r="F150" s="336">
        <v>0.03</v>
      </c>
      <c r="G150" s="411">
        <f t="shared" si="18"/>
        <v>-1.0000000000000002E-2</v>
      </c>
      <c r="I150" s="137"/>
      <c r="K150" s="126"/>
      <c r="L150" s="403">
        <f t="shared" si="19"/>
        <v>43948</v>
      </c>
      <c r="M150" s="56" t="str">
        <f t="shared" si="20"/>
        <v>MON</v>
      </c>
      <c r="O150" s="383">
        <f t="shared" si="21"/>
        <v>1</v>
      </c>
      <c r="P150" s="392">
        <f t="shared" si="22"/>
        <v>1.0000008333333332</v>
      </c>
    </row>
    <row r="151" spans="1:18">
      <c r="B151" s="41"/>
      <c r="C151" s="403">
        <f t="shared" si="17"/>
        <v>43949</v>
      </c>
      <c r="D151" s="56" t="str">
        <f>VLOOKUP(MOD(C151,7),'CALENDAR INFO'!$G$5:$H$11,2)</f>
        <v>TUE</v>
      </c>
      <c r="E151" s="165">
        <v>0.04</v>
      </c>
      <c r="F151" s="336">
        <v>0.01</v>
      </c>
      <c r="G151" s="411">
        <f t="shared" si="18"/>
        <v>-0.03</v>
      </c>
      <c r="H151" s="343"/>
      <c r="I151" s="145"/>
      <c r="J151" s="153"/>
      <c r="K151" s="126"/>
      <c r="L151" s="403">
        <f t="shared" si="19"/>
        <v>43949</v>
      </c>
      <c r="M151" s="56" t="str">
        <f t="shared" si="20"/>
        <v>TUE</v>
      </c>
      <c r="N151" s="116" t="s">
        <v>20</v>
      </c>
      <c r="O151" s="383">
        <f t="shared" si="21"/>
        <v>1</v>
      </c>
      <c r="P151" s="392">
        <f t="shared" si="22"/>
        <v>1.0000002777777777</v>
      </c>
    </row>
    <row r="152" spans="1:18">
      <c r="B152" s="41"/>
      <c r="C152" s="403">
        <f t="shared" si="17"/>
        <v>43950</v>
      </c>
      <c r="D152" s="56" t="str">
        <f>VLOOKUP(MOD(C152,7),'CALENDAR INFO'!$G$5:$H$11,2)</f>
        <v>WED</v>
      </c>
      <c r="E152" s="165">
        <v>0.04</v>
      </c>
      <c r="F152" s="336">
        <v>0.01</v>
      </c>
      <c r="G152" s="411">
        <f t="shared" si="18"/>
        <v>-0.03</v>
      </c>
      <c r="I152" s="137"/>
      <c r="K152" s="126"/>
      <c r="L152" s="403">
        <f t="shared" si="19"/>
        <v>43950</v>
      </c>
      <c r="M152" s="56" t="str">
        <f t="shared" si="20"/>
        <v>WED</v>
      </c>
      <c r="N152" s="116" t="s">
        <v>20</v>
      </c>
      <c r="O152" s="383">
        <f t="shared" si="21"/>
        <v>1</v>
      </c>
      <c r="P152" s="392">
        <f t="shared" si="22"/>
        <v>1.0000002777777777</v>
      </c>
    </row>
    <row r="153" spans="1:18" s="68" customFormat="1" ht="15.75" thickBot="1">
      <c r="A153" s="81"/>
      <c r="B153" s="178"/>
      <c r="C153" s="404">
        <f t="shared" si="17"/>
        <v>43951</v>
      </c>
      <c r="D153" s="64" t="str">
        <f>VLOOKUP(MOD(C153,7),'CALENDAR INFO'!$G$5:$H$11,2)</f>
        <v>THU</v>
      </c>
      <c r="E153" s="166">
        <v>0.05</v>
      </c>
      <c r="F153" s="337">
        <v>0.04</v>
      </c>
      <c r="G153" s="412">
        <f t="shared" si="18"/>
        <v>-1.0000000000000002E-2</v>
      </c>
      <c r="H153" s="344"/>
      <c r="I153" s="140"/>
      <c r="J153" s="154"/>
      <c r="K153" s="77"/>
      <c r="L153" s="404">
        <f t="shared" si="19"/>
        <v>43951</v>
      </c>
      <c r="M153" s="64" t="str">
        <f t="shared" si="20"/>
        <v>THU</v>
      </c>
      <c r="N153" s="90"/>
      <c r="O153" s="382">
        <f t="shared" si="21"/>
        <v>1</v>
      </c>
      <c r="P153" s="388">
        <f t="shared" si="22"/>
        <v>1.0000011111111111</v>
      </c>
      <c r="R153" s="66"/>
    </row>
    <row r="154" spans="1:18">
      <c r="B154" s="41"/>
      <c r="C154" s="403">
        <f t="shared" si="17"/>
        <v>43952</v>
      </c>
      <c r="D154" s="56" t="str">
        <f>VLOOKUP(MOD(C154,7),'CALENDAR INFO'!$G$5:$H$11,2)</f>
        <v>FRI</v>
      </c>
      <c r="E154" s="165">
        <v>0.05</v>
      </c>
      <c r="F154" s="336">
        <v>0.03</v>
      </c>
      <c r="G154" s="411">
        <f t="shared" si="18"/>
        <v>-2.0000000000000004E-2</v>
      </c>
      <c r="H154" s="15" t="s">
        <v>149</v>
      </c>
      <c r="I154" s="15">
        <f>ROW(I154)</f>
        <v>154</v>
      </c>
      <c r="J154" s="138">
        <f>I154</f>
        <v>154</v>
      </c>
      <c r="K154" s="126"/>
      <c r="L154" s="403">
        <f t="shared" si="19"/>
        <v>43952</v>
      </c>
      <c r="M154" s="56" t="str">
        <f t="shared" si="20"/>
        <v>FRI</v>
      </c>
      <c r="O154" s="383">
        <f t="shared" si="21"/>
        <v>3</v>
      </c>
      <c r="P154" s="392">
        <f t="shared" si="22"/>
        <v>1.0000024999999999</v>
      </c>
    </row>
    <row r="155" spans="1:18">
      <c r="B155" s="41"/>
      <c r="C155" s="403">
        <f t="shared" si="17"/>
        <v>43953</v>
      </c>
      <c r="D155" s="56" t="str">
        <f>VLOOKUP(MOD(C155,7),'CALENDAR INFO'!$G$5:$H$11,2)</f>
        <v>SAT</v>
      </c>
      <c r="E155" s="165">
        <v>0.05</v>
      </c>
      <c r="F155" s="336">
        <v>0.03</v>
      </c>
      <c r="G155" s="411">
        <f t="shared" si="18"/>
        <v>-2.0000000000000004E-2</v>
      </c>
      <c r="H155" s="376" t="s">
        <v>210</v>
      </c>
      <c r="I155" s="15">
        <f>VLOOKUP(MONTH($C154),'CALENDAR INFO'!$J$5:$K$16,2)</f>
        <v>31</v>
      </c>
      <c r="J155" s="138">
        <f>I155</f>
        <v>31</v>
      </c>
      <c r="K155" s="126"/>
      <c r="L155" s="403">
        <f t="shared" si="19"/>
        <v>43953</v>
      </c>
      <c r="M155" s="56" t="str">
        <f t="shared" si="20"/>
        <v>SAT</v>
      </c>
      <c r="O155" s="383">
        <f t="shared" si="21"/>
        <v>0</v>
      </c>
      <c r="P155" s="392">
        <f t="shared" si="22"/>
        <v>1</v>
      </c>
    </row>
    <row r="156" spans="1:18">
      <c r="B156" s="41"/>
      <c r="C156" s="403">
        <f t="shared" si="17"/>
        <v>43954</v>
      </c>
      <c r="D156" s="56" t="str">
        <f>VLOOKUP(MOD(C156,7),'CALENDAR INFO'!$G$5:$H$11,2)</f>
        <v>SUN</v>
      </c>
      <c r="E156" s="165">
        <v>0.05</v>
      </c>
      <c r="F156" s="336">
        <v>0.03</v>
      </c>
      <c r="G156" s="411">
        <f t="shared" si="18"/>
        <v>-2.0000000000000004E-2</v>
      </c>
      <c r="H156" s="376" t="s">
        <v>211</v>
      </c>
      <c r="I156" s="15">
        <f>I155+I154-1</f>
        <v>184</v>
      </c>
      <c r="J156" s="138">
        <f>I156</f>
        <v>184</v>
      </c>
      <c r="K156" s="126"/>
      <c r="L156" s="403">
        <f t="shared" si="19"/>
        <v>43954</v>
      </c>
      <c r="M156" s="56" t="str">
        <f t="shared" si="20"/>
        <v>SUN</v>
      </c>
      <c r="O156" s="383">
        <f t="shared" si="21"/>
        <v>0</v>
      </c>
      <c r="P156" s="392">
        <f t="shared" si="22"/>
        <v>1</v>
      </c>
    </row>
    <row r="157" spans="1:18">
      <c r="B157" s="41"/>
      <c r="C157" s="403">
        <f t="shared" si="17"/>
        <v>43955</v>
      </c>
      <c r="D157" s="56" t="str">
        <f>VLOOKUP(MOD(C157,7),'CALENDAR INFO'!$G$5:$H$11,2)</f>
        <v>MON</v>
      </c>
      <c r="E157" s="165">
        <v>0.05</v>
      </c>
      <c r="F157" s="336">
        <v>0.05</v>
      </c>
      <c r="G157" s="411">
        <f t="shared" si="18"/>
        <v>0</v>
      </c>
      <c r="K157" s="126"/>
      <c r="L157" s="403">
        <f t="shared" si="19"/>
        <v>43955</v>
      </c>
      <c r="M157" s="56" t="str">
        <f t="shared" si="20"/>
        <v>MON</v>
      </c>
      <c r="O157" s="383">
        <f t="shared" si="21"/>
        <v>1</v>
      </c>
      <c r="P157" s="392">
        <f t="shared" si="22"/>
        <v>1.0000013888888888</v>
      </c>
    </row>
    <row r="158" spans="1:18">
      <c r="B158" s="41"/>
      <c r="C158" s="403">
        <f t="shared" si="17"/>
        <v>43956</v>
      </c>
      <c r="D158" s="56" t="str">
        <f>VLOOKUP(MOD(C158,7),'CALENDAR INFO'!$G$5:$H$11,2)</f>
        <v>TUE</v>
      </c>
      <c r="E158" s="165">
        <v>0.05</v>
      </c>
      <c r="F158" s="336">
        <v>0.05</v>
      </c>
      <c r="G158" s="411">
        <f t="shared" si="18"/>
        <v>0</v>
      </c>
      <c r="H158" s="15" t="s">
        <v>150</v>
      </c>
      <c r="I158" s="137" t="str">
        <f>_xlfn.CONCAT(ADDRESS(I154,5),":",ADDRESS(I156,5))</f>
        <v>$E$154:$E$184</v>
      </c>
      <c r="J158" s="150" t="str">
        <f>_xlfn.CONCAT(ADDRESS(J154,6),":",ADDRESS(J156,6))</f>
        <v>$F$154:$F$184</v>
      </c>
      <c r="K158" s="126"/>
      <c r="L158" s="403">
        <f t="shared" si="19"/>
        <v>43956</v>
      </c>
      <c r="M158" s="56" t="str">
        <f t="shared" si="20"/>
        <v>TUE</v>
      </c>
      <c r="O158" s="383">
        <f t="shared" si="21"/>
        <v>1</v>
      </c>
      <c r="P158" s="392">
        <f t="shared" si="22"/>
        <v>1.0000013888888888</v>
      </c>
    </row>
    <row r="159" spans="1:18">
      <c r="B159" s="41"/>
      <c r="C159" s="403">
        <f t="shared" si="17"/>
        <v>43957</v>
      </c>
      <c r="D159" s="56" t="str">
        <f>VLOOKUP(MOD(C159,7),'CALENDAR INFO'!$G$5:$H$11,2)</f>
        <v>WED</v>
      </c>
      <c r="E159" s="165">
        <v>0.05</v>
      </c>
      <c r="F159" s="336">
        <v>0.05</v>
      </c>
      <c r="G159" s="411">
        <f t="shared" si="18"/>
        <v>0</v>
      </c>
      <c r="K159" s="126" t="s">
        <v>19</v>
      </c>
      <c r="L159" s="403">
        <f t="shared" si="19"/>
        <v>43957</v>
      </c>
      <c r="M159" s="56" t="str">
        <f t="shared" si="20"/>
        <v>WED</v>
      </c>
      <c r="O159" s="383">
        <f t="shared" si="21"/>
        <v>1</v>
      </c>
      <c r="P159" s="392">
        <f t="shared" si="22"/>
        <v>1.0000013888888888</v>
      </c>
    </row>
    <row r="160" spans="1:18">
      <c r="B160" s="41"/>
      <c r="C160" s="403">
        <f t="shared" si="17"/>
        <v>43958</v>
      </c>
      <c r="D160" s="56" t="str">
        <f>VLOOKUP(MOD(C160,7),'CALENDAR INFO'!$G$5:$H$11,2)</f>
        <v>THU</v>
      </c>
      <c r="E160" s="165">
        <v>0.05</v>
      </c>
      <c r="F160" s="336">
        <v>0.05</v>
      </c>
      <c r="G160" s="411">
        <f t="shared" si="18"/>
        <v>0</v>
      </c>
      <c r="H160" s="376" t="s">
        <v>221</v>
      </c>
      <c r="I160" s="147">
        <f ca="1">AVERAGE(INDIRECT(I158))</f>
        <v>5.0000000000000024E-2</v>
      </c>
      <c r="J160" s="326">
        <f ca="1">AVERAGE(INDIRECT(J158))</f>
        <v>4.6129032258064542E-2</v>
      </c>
      <c r="K160" s="129" t="s">
        <v>18</v>
      </c>
      <c r="L160" s="403">
        <f t="shared" si="19"/>
        <v>43958</v>
      </c>
      <c r="M160" s="56" t="str">
        <f t="shared" si="20"/>
        <v>THU</v>
      </c>
      <c r="O160" s="383">
        <f t="shared" si="21"/>
        <v>1</v>
      </c>
      <c r="P160" s="392">
        <f t="shared" si="22"/>
        <v>1.0000013888888888</v>
      </c>
    </row>
    <row r="161" spans="2:16">
      <c r="B161" s="41"/>
      <c r="C161" s="403">
        <f t="shared" si="17"/>
        <v>43959</v>
      </c>
      <c r="D161" s="56" t="str">
        <f>VLOOKUP(MOD(C161,7),'CALENDAR INFO'!$G$5:$H$11,2)</f>
        <v>FRI</v>
      </c>
      <c r="E161" s="165">
        <v>0.05</v>
      </c>
      <c r="F161" s="336">
        <v>0.06</v>
      </c>
      <c r="G161" s="411">
        <f t="shared" si="18"/>
        <v>9.999999999999995E-3</v>
      </c>
      <c r="I161" s="240"/>
      <c r="J161" s="157"/>
      <c r="K161" s="129"/>
      <c r="L161" s="403">
        <f t="shared" si="19"/>
        <v>43959</v>
      </c>
      <c r="M161" s="56" t="str">
        <f t="shared" si="20"/>
        <v>FRI</v>
      </c>
      <c r="O161" s="383">
        <f t="shared" si="21"/>
        <v>3</v>
      </c>
      <c r="P161" s="392">
        <f t="shared" si="22"/>
        <v>1.000005</v>
      </c>
    </row>
    <row r="162" spans="2:16">
      <c r="B162" s="41"/>
      <c r="C162" s="403">
        <f t="shared" si="17"/>
        <v>43960</v>
      </c>
      <c r="D162" s="56" t="str">
        <f>VLOOKUP(MOD(C162,7),'CALENDAR INFO'!$G$5:$H$11,2)</f>
        <v>SAT</v>
      </c>
      <c r="E162" s="165">
        <v>0.05</v>
      </c>
      <c r="F162" s="336">
        <v>0.06</v>
      </c>
      <c r="G162" s="411">
        <f t="shared" si="18"/>
        <v>9.999999999999995E-3</v>
      </c>
      <c r="H162" s="15" t="s">
        <v>222</v>
      </c>
      <c r="I162" s="147">
        <f ca="1">100-I160</f>
        <v>99.95</v>
      </c>
      <c r="J162" s="326">
        <f ca="1">100-J160</f>
        <v>99.953870967741935</v>
      </c>
      <c r="K162" s="129"/>
      <c r="L162" s="403">
        <f t="shared" si="19"/>
        <v>43960</v>
      </c>
      <c r="M162" s="56" t="str">
        <f t="shared" si="20"/>
        <v>SAT</v>
      </c>
      <c r="O162" s="383">
        <f t="shared" si="21"/>
        <v>0</v>
      </c>
      <c r="P162" s="392">
        <f t="shared" si="22"/>
        <v>1</v>
      </c>
    </row>
    <row r="163" spans="2:16">
      <c r="B163" s="41"/>
      <c r="C163" s="403">
        <f t="shared" si="17"/>
        <v>43961</v>
      </c>
      <c r="D163" s="56" t="str">
        <f>VLOOKUP(MOD(C163,7),'CALENDAR INFO'!$G$5:$H$11,2)</f>
        <v>SUN</v>
      </c>
      <c r="E163" s="165">
        <v>0.05</v>
      </c>
      <c r="F163" s="336">
        <v>0.06</v>
      </c>
      <c r="G163" s="411">
        <f t="shared" si="18"/>
        <v>9.999999999999995E-3</v>
      </c>
      <c r="I163" s="137"/>
      <c r="J163" s="150"/>
      <c r="K163" s="129"/>
      <c r="L163" s="403">
        <f t="shared" si="19"/>
        <v>43961</v>
      </c>
      <c r="M163" s="56" t="str">
        <f t="shared" si="20"/>
        <v>SUN</v>
      </c>
      <c r="O163" s="383">
        <f t="shared" si="21"/>
        <v>0</v>
      </c>
      <c r="P163" s="392">
        <f t="shared" si="22"/>
        <v>1</v>
      </c>
    </row>
    <row r="164" spans="2:16">
      <c r="B164" s="41"/>
      <c r="C164" s="403">
        <f t="shared" si="17"/>
        <v>43962</v>
      </c>
      <c r="D164" s="56" t="str">
        <f>VLOOKUP(MOD(C164,7),'CALENDAR INFO'!$G$5:$H$11,2)</f>
        <v>MON</v>
      </c>
      <c r="E164" s="165">
        <v>0.05</v>
      </c>
      <c r="F164" s="336">
        <v>0.06</v>
      </c>
      <c r="G164" s="411">
        <f t="shared" si="18"/>
        <v>9.999999999999995E-3</v>
      </c>
      <c r="H164" s="425" t="s">
        <v>97</v>
      </c>
      <c r="I164" s="419">
        <v>99.95</v>
      </c>
      <c r="J164" s="426">
        <v>99.953999999999994</v>
      </c>
      <c r="K164" s="129"/>
      <c r="L164" s="403">
        <f t="shared" si="19"/>
        <v>43962</v>
      </c>
      <c r="M164" s="56" t="str">
        <f t="shared" si="20"/>
        <v>MON</v>
      </c>
      <c r="O164" s="383">
        <f t="shared" si="21"/>
        <v>1</v>
      </c>
      <c r="P164" s="392">
        <f t="shared" si="22"/>
        <v>1.0000016666666667</v>
      </c>
    </row>
    <row r="165" spans="2:16">
      <c r="B165" s="41"/>
      <c r="C165" s="403">
        <f t="shared" si="17"/>
        <v>43963</v>
      </c>
      <c r="D165" s="56" t="str">
        <f>VLOOKUP(MOD(C165,7),'CALENDAR INFO'!$G$5:$H$11,2)</f>
        <v>TUE</v>
      </c>
      <c r="E165" s="165">
        <v>0.05</v>
      </c>
      <c r="F165" s="336">
        <v>0.06</v>
      </c>
      <c r="G165" s="411">
        <f t="shared" si="18"/>
        <v>9.999999999999995E-3</v>
      </c>
      <c r="I165" s="137"/>
      <c r="J165" s="150"/>
      <c r="K165" s="129"/>
      <c r="L165" s="403">
        <f t="shared" si="19"/>
        <v>43963</v>
      </c>
      <c r="M165" s="56" t="str">
        <f t="shared" si="20"/>
        <v>TUE</v>
      </c>
      <c r="O165" s="383">
        <f t="shared" si="21"/>
        <v>1</v>
      </c>
      <c r="P165" s="392">
        <f t="shared" si="22"/>
        <v>1.0000016666666667</v>
      </c>
    </row>
    <row r="166" spans="2:16">
      <c r="B166" s="41"/>
      <c r="C166" s="403">
        <f t="shared" si="17"/>
        <v>43964</v>
      </c>
      <c r="D166" s="56" t="str">
        <f>VLOOKUP(MOD(C166,7),'CALENDAR INFO'!$G$5:$H$11,2)</f>
        <v>WED</v>
      </c>
      <c r="E166" s="165">
        <v>0.05</v>
      </c>
      <c r="F166" s="336">
        <v>0.04</v>
      </c>
      <c r="G166" s="411">
        <f t="shared" si="18"/>
        <v>-1.0000000000000002E-2</v>
      </c>
      <c r="H166" s="136"/>
      <c r="I166" s="139"/>
      <c r="J166" s="151"/>
      <c r="K166" s="129"/>
      <c r="L166" s="403">
        <f t="shared" si="19"/>
        <v>43964</v>
      </c>
      <c r="M166" s="56" t="str">
        <f t="shared" si="20"/>
        <v>WED</v>
      </c>
      <c r="O166" s="383">
        <f t="shared" si="21"/>
        <v>1</v>
      </c>
      <c r="P166" s="392">
        <f t="shared" si="22"/>
        <v>1.0000011111111111</v>
      </c>
    </row>
    <row r="167" spans="2:16">
      <c r="B167" s="41"/>
      <c r="C167" s="403">
        <f t="shared" si="17"/>
        <v>43965</v>
      </c>
      <c r="D167" s="56" t="str">
        <f>VLOOKUP(MOD(C167,7),'CALENDAR INFO'!$G$5:$H$11,2)</f>
        <v>THU</v>
      </c>
      <c r="E167" s="165">
        <v>0.05</v>
      </c>
      <c r="F167" s="336">
        <v>0.02</v>
      </c>
      <c r="G167" s="411">
        <f t="shared" si="18"/>
        <v>-3.0000000000000002E-2</v>
      </c>
      <c r="K167" s="129"/>
      <c r="L167" s="403">
        <f t="shared" si="19"/>
        <v>43965</v>
      </c>
      <c r="M167" s="56" t="str">
        <f t="shared" si="20"/>
        <v>THU</v>
      </c>
      <c r="O167" s="383">
        <f t="shared" si="21"/>
        <v>1</v>
      </c>
      <c r="P167" s="392">
        <f t="shared" si="22"/>
        <v>1.0000005555555556</v>
      </c>
    </row>
    <row r="168" spans="2:16">
      <c r="B168" s="41"/>
      <c r="C168" s="403">
        <f t="shared" si="17"/>
        <v>43966</v>
      </c>
      <c r="D168" s="56" t="str">
        <f>VLOOKUP(MOD(C168,7),'CALENDAR INFO'!$G$5:$H$11,2)</f>
        <v>FRI</v>
      </c>
      <c r="E168" s="165">
        <v>0.05</v>
      </c>
      <c r="F168" s="336">
        <v>0.05</v>
      </c>
      <c r="G168" s="411">
        <f t="shared" si="18"/>
        <v>0</v>
      </c>
      <c r="H168" s="135"/>
      <c r="I168" s="144"/>
      <c r="J168" s="152"/>
      <c r="K168" s="129"/>
      <c r="L168" s="403">
        <f t="shared" si="19"/>
        <v>43966</v>
      </c>
      <c r="M168" s="56" t="str">
        <f t="shared" si="20"/>
        <v>FRI</v>
      </c>
      <c r="O168" s="383">
        <f t="shared" si="21"/>
        <v>3</v>
      </c>
      <c r="P168" s="392">
        <f t="shared" si="22"/>
        <v>1.0000041666666666</v>
      </c>
    </row>
    <row r="169" spans="2:16">
      <c r="B169" s="41"/>
      <c r="C169" s="403">
        <f t="shared" si="17"/>
        <v>43967</v>
      </c>
      <c r="D169" s="56" t="str">
        <f>VLOOKUP(MOD(C169,7),'CALENDAR INFO'!$G$5:$H$11,2)</f>
        <v>SAT</v>
      </c>
      <c r="E169" s="165">
        <v>0.05</v>
      </c>
      <c r="F169" s="336">
        <v>0.05</v>
      </c>
      <c r="G169" s="411">
        <f t="shared" si="18"/>
        <v>0</v>
      </c>
      <c r="K169" s="129"/>
      <c r="L169" s="403">
        <f t="shared" si="19"/>
        <v>43967</v>
      </c>
      <c r="M169" s="56" t="str">
        <f t="shared" si="20"/>
        <v>SAT</v>
      </c>
      <c r="O169" s="383">
        <f t="shared" si="21"/>
        <v>0</v>
      </c>
      <c r="P169" s="392">
        <f t="shared" si="22"/>
        <v>1</v>
      </c>
    </row>
    <row r="170" spans="2:16">
      <c r="B170" s="41"/>
      <c r="C170" s="403">
        <f t="shared" si="17"/>
        <v>43968</v>
      </c>
      <c r="D170" s="56" t="str">
        <f>VLOOKUP(MOD(C170,7),'CALENDAR INFO'!$G$5:$H$11,2)</f>
        <v>SUN</v>
      </c>
      <c r="E170" s="165">
        <v>0.05</v>
      </c>
      <c r="F170" s="336">
        <v>0.05</v>
      </c>
      <c r="G170" s="411">
        <f t="shared" si="18"/>
        <v>0</v>
      </c>
      <c r="K170" s="129"/>
      <c r="L170" s="403">
        <f t="shared" si="19"/>
        <v>43968</v>
      </c>
      <c r="M170" s="56" t="str">
        <f t="shared" si="20"/>
        <v>SUN</v>
      </c>
      <c r="O170" s="383">
        <f t="shared" si="21"/>
        <v>0</v>
      </c>
      <c r="P170" s="392">
        <f t="shared" si="22"/>
        <v>1</v>
      </c>
    </row>
    <row r="171" spans="2:16">
      <c r="B171" s="41"/>
      <c r="C171" s="403">
        <f t="shared" si="17"/>
        <v>43969</v>
      </c>
      <c r="D171" s="56" t="str">
        <f>VLOOKUP(MOD(C171,7),'CALENDAR INFO'!$G$5:$H$11,2)</f>
        <v>MON</v>
      </c>
      <c r="E171" s="165">
        <v>0.05</v>
      </c>
      <c r="F171" s="336">
        <v>0.04</v>
      </c>
      <c r="G171" s="411">
        <f t="shared" si="18"/>
        <v>-1.0000000000000002E-2</v>
      </c>
      <c r="K171" s="129"/>
      <c r="L171" s="403">
        <f t="shared" si="19"/>
        <v>43969</v>
      </c>
      <c r="M171" s="56" t="str">
        <f t="shared" si="20"/>
        <v>MON</v>
      </c>
      <c r="O171" s="383">
        <f t="shared" si="21"/>
        <v>1</v>
      </c>
      <c r="P171" s="392">
        <f t="shared" si="22"/>
        <v>1.0000011111111111</v>
      </c>
    </row>
    <row r="172" spans="2:16">
      <c r="B172" s="41"/>
      <c r="C172" s="403">
        <f t="shared" si="17"/>
        <v>43970</v>
      </c>
      <c r="D172" s="56" t="str">
        <f>VLOOKUP(MOD(C172,7),'CALENDAR INFO'!$G$5:$H$11,2)</f>
        <v>TUE</v>
      </c>
      <c r="E172" s="165">
        <v>0.05</v>
      </c>
      <c r="F172" s="336">
        <v>0.04</v>
      </c>
      <c r="G172" s="411">
        <f t="shared" si="18"/>
        <v>-1.0000000000000002E-2</v>
      </c>
      <c r="K172" s="129"/>
      <c r="L172" s="403">
        <f t="shared" si="19"/>
        <v>43970</v>
      </c>
      <c r="M172" s="56" t="str">
        <f t="shared" si="20"/>
        <v>TUE</v>
      </c>
      <c r="O172" s="383">
        <f t="shared" si="21"/>
        <v>1</v>
      </c>
      <c r="P172" s="392">
        <f t="shared" si="22"/>
        <v>1.0000011111111111</v>
      </c>
    </row>
    <row r="173" spans="2:16">
      <c r="B173" s="41"/>
      <c r="C173" s="403">
        <f t="shared" si="17"/>
        <v>43971</v>
      </c>
      <c r="D173" s="56" t="str">
        <f>VLOOKUP(MOD(C173,7),'CALENDAR INFO'!$G$5:$H$11,2)</f>
        <v>WED</v>
      </c>
      <c r="E173" s="165">
        <v>0.05</v>
      </c>
      <c r="F173" s="336">
        <v>0.01</v>
      </c>
      <c r="G173" s="411">
        <f t="shared" si="18"/>
        <v>-0.04</v>
      </c>
      <c r="K173" s="129" t="s">
        <v>19</v>
      </c>
      <c r="L173" s="403">
        <f t="shared" si="19"/>
        <v>43971</v>
      </c>
      <c r="M173" s="56" t="str">
        <f t="shared" si="20"/>
        <v>WED</v>
      </c>
      <c r="O173" s="383">
        <f t="shared" si="21"/>
        <v>1</v>
      </c>
      <c r="P173" s="392">
        <f t="shared" si="22"/>
        <v>1.0000002777777777</v>
      </c>
    </row>
    <row r="174" spans="2:16">
      <c r="B174" s="41"/>
      <c r="C174" s="403">
        <f t="shared" si="17"/>
        <v>43972</v>
      </c>
      <c r="D174" s="56" t="str">
        <f>VLOOKUP(MOD(C174,7),'CALENDAR INFO'!$G$5:$H$11,2)</f>
        <v>THU</v>
      </c>
      <c r="E174" s="165">
        <v>0.05</v>
      </c>
      <c r="F174" s="336">
        <v>0.02</v>
      </c>
      <c r="G174" s="411">
        <f t="shared" si="18"/>
        <v>-3.0000000000000002E-2</v>
      </c>
      <c r="K174" s="126" t="s">
        <v>18</v>
      </c>
      <c r="L174" s="403">
        <f t="shared" si="19"/>
        <v>43972</v>
      </c>
      <c r="M174" s="56" t="str">
        <f t="shared" si="20"/>
        <v>THU</v>
      </c>
      <c r="O174" s="383">
        <f t="shared" si="21"/>
        <v>1</v>
      </c>
      <c r="P174" s="392">
        <f t="shared" si="22"/>
        <v>1.0000005555555556</v>
      </c>
    </row>
    <row r="175" spans="2:16">
      <c r="B175" s="41"/>
      <c r="C175" s="403">
        <f t="shared" si="17"/>
        <v>43973</v>
      </c>
      <c r="D175" s="56" t="str">
        <f>VLOOKUP(MOD(C175,7),'CALENDAR INFO'!$G$5:$H$11,2)</f>
        <v>FRI</v>
      </c>
      <c r="E175" s="165">
        <v>0.05</v>
      </c>
      <c r="F175" s="336">
        <v>0.04</v>
      </c>
      <c r="G175" s="411">
        <f t="shared" si="18"/>
        <v>-1.0000000000000002E-2</v>
      </c>
      <c r="K175" s="126"/>
      <c r="L175" s="403">
        <f t="shared" si="19"/>
        <v>43973</v>
      </c>
      <c r="M175" s="56" t="str">
        <f t="shared" si="20"/>
        <v>FRI</v>
      </c>
      <c r="O175" s="384">
        <f>IF(MOD(C175,7)&lt;2,0,IF(MOD(C175,7)=6,3,1))+1</f>
        <v>4</v>
      </c>
      <c r="P175" s="392">
        <f t="shared" si="22"/>
        <v>1.0000044444444445</v>
      </c>
    </row>
    <row r="176" spans="2:16">
      <c r="B176" s="41"/>
      <c r="C176" s="403">
        <f t="shared" si="17"/>
        <v>43974</v>
      </c>
      <c r="D176" s="56" t="str">
        <f>VLOOKUP(MOD(C176,7),'CALENDAR INFO'!$G$5:$H$11,2)</f>
        <v>SAT</v>
      </c>
      <c r="E176" s="165">
        <v>0.05</v>
      </c>
      <c r="F176" s="336">
        <v>0.04</v>
      </c>
      <c r="G176" s="411">
        <f t="shared" si="18"/>
        <v>-1.0000000000000002E-2</v>
      </c>
      <c r="K176" s="126"/>
      <c r="L176" s="403">
        <f t="shared" si="19"/>
        <v>43974</v>
      </c>
      <c r="M176" s="56" t="str">
        <f t="shared" si="20"/>
        <v>SAT</v>
      </c>
      <c r="O176" s="383">
        <f>IF(MOD(C176,7)&lt;2,0,IF(MOD(C176,7)=6,3,1))</f>
        <v>0</v>
      </c>
      <c r="P176" s="392">
        <f t="shared" si="22"/>
        <v>1</v>
      </c>
    </row>
    <row r="177" spans="1:18">
      <c r="B177" s="41"/>
      <c r="C177" s="403">
        <f t="shared" si="17"/>
        <v>43975</v>
      </c>
      <c r="D177" s="56" t="str">
        <f>VLOOKUP(MOD(C177,7),'CALENDAR INFO'!$G$5:$H$11,2)</f>
        <v>SUN</v>
      </c>
      <c r="E177" s="165">
        <v>0.05</v>
      </c>
      <c r="F177" s="336">
        <v>0.04</v>
      </c>
      <c r="G177" s="411">
        <f t="shared" si="18"/>
        <v>-1.0000000000000002E-2</v>
      </c>
      <c r="K177" s="126"/>
      <c r="L177" s="403">
        <f t="shared" si="19"/>
        <v>43975</v>
      </c>
      <c r="M177" s="56" t="str">
        <f t="shared" si="20"/>
        <v>SUN</v>
      </c>
      <c r="O177" s="383">
        <f>IF(MOD(C177,7)&lt;2,0,IF(MOD(C177,7)=6,3,1))</f>
        <v>0</v>
      </c>
      <c r="P177" s="392">
        <f t="shared" si="22"/>
        <v>1</v>
      </c>
    </row>
    <row r="178" spans="1:18">
      <c r="B178" s="41"/>
      <c r="C178" s="403">
        <f t="shared" si="17"/>
        <v>43976</v>
      </c>
      <c r="D178" s="56" t="str">
        <f>VLOOKUP(MOD(C178,7),'CALENDAR INFO'!$G$5:$H$11,2)</f>
        <v>MON</v>
      </c>
      <c r="E178" s="165">
        <v>0.05</v>
      </c>
      <c r="F178" s="336">
        <v>0.04</v>
      </c>
      <c r="G178" s="411">
        <f t="shared" si="18"/>
        <v>-1.0000000000000002E-2</v>
      </c>
      <c r="K178" s="126"/>
      <c r="L178" s="403">
        <f t="shared" si="19"/>
        <v>43976</v>
      </c>
      <c r="M178" s="56" t="str">
        <f t="shared" si="20"/>
        <v>MON</v>
      </c>
      <c r="N178" s="132" t="s">
        <v>40</v>
      </c>
      <c r="O178" s="384">
        <f>IF(MOD(C178,7)&lt;2,0,IF(MOD(C178,7)=6,3,1))-1</f>
        <v>0</v>
      </c>
      <c r="P178" s="392">
        <f t="shared" si="22"/>
        <v>1</v>
      </c>
    </row>
    <row r="179" spans="1:18">
      <c r="B179" s="41"/>
      <c r="C179" s="403">
        <f t="shared" si="17"/>
        <v>43977</v>
      </c>
      <c r="D179" s="56" t="str">
        <f>VLOOKUP(MOD(C179,7),'CALENDAR INFO'!$G$5:$H$11,2)</f>
        <v>TUE</v>
      </c>
      <c r="E179" s="165">
        <v>0.05</v>
      </c>
      <c r="F179" s="336">
        <v>0.06</v>
      </c>
      <c r="G179" s="411">
        <f t="shared" si="18"/>
        <v>9.999999999999995E-3</v>
      </c>
      <c r="K179" s="126"/>
      <c r="L179" s="403">
        <f t="shared" si="19"/>
        <v>43977</v>
      </c>
      <c r="M179" s="56" t="str">
        <f t="shared" si="20"/>
        <v>TUE</v>
      </c>
      <c r="O179" s="383">
        <f t="shared" ref="O179:O215" si="23">IF(MOD(C179,7)&lt;2,0,IF(MOD(C179,7)=6,3,1))</f>
        <v>1</v>
      </c>
      <c r="P179" s="392">
        <f t="shared" si="22"/>
        <v>1.0000016666666667</v>
      </c>
    </row>
    <row r="180" spans="1:18">
      <c r="B180" s="41"/>
      <c r="C180" s="403">
        <f t="shared" si="17"/>
        <v>43978</v>
      </c>
      <c r="D180" s="56" t="str">
        <f>VLOOKUP(MOD(C180,7),'CALENDAR INFO'!$G$5:$H$11,2)</f>
        <v>WED</v>
      </c>
      <c r="E180" s="165">
        <v>0.05</v>
      </c>
      <c r="F180" s="336">
        <v>0.06</v>
      </c>
      <c r="G180" s="411">
        <f t="shared" si="18"/>
        <v>9.999999999999995E-3</v>
      </c>
      <c r="I180" s="137"/>
      <c r="K180" s="126"/>
      <c r="L180" s="403">
        <f t="shared" si="19"/>
        <v>43978</v>
      </c>
      <c r="M180" s="56" t="str">
        <f t="shared" si="20"/>
        <v>WED</v>
      </c>
      <c r="O180" s="383">
        <f t="shared" si="23"/>
        <v>1</v>
      </c>
      <c r="P180" s="392">
        <f t="shared" si="22"/>
        <v>1.0000016666666667</v>
      </c>
    </row>
    <row r="181" spans="1:18">
      <c r="B181" s="41"/>
      <c r="C181" s="403">
        <f t="shared" si="17"/>
        <v>43979</v>
      </c>
      <c r="D181" s="56" t="str">
        <f>VLOOKUP(MOD(C181,7),'CALENDAR INFO'!$G$5:$H$11,2)</f>
        <v>THU</v>
      </c>
      <c r="E181" s="165">
        <v>0.05</v>
      </c>
      <c r="F181" s="336">
        <v>0.06</v>
      </c>
      <c r="G181" s="411">
        <f t="shared" si="18"/>
        <v>9.999999999999995E-3</v>
      </c>
      <c r="I181" s="147"/>
      <c r="K181" s="126"/>
      <c r="L181" s="403">
        <f t="shared" si="19"/>
        <v>43979</v>
      </c>
      <c r="M181" s="56" t="str">
        <f t="shared" si="20"/>
        <v>THU</v>
      </c>
      <c r="O181" s="383">
        <f t="shared" si="23"/>
        <v>1</v>
      </c>
      <c r="P181" s="392">
        <f t="shared" si="22"/>
        <v>1.0000016666666667</v>
      </c>
    </row>
    <row r="182" spans="1:18">
      <c r="B182" s="41"/>
      <c r="C182" s="403">
        <f t="shared" si="17"/>
        <v>43980</v>
      </c>
      <c r="D182" s="56" t="str">
        <f>VLOOKUP(MOD(C182,7),'CALENDAR INFO'!$G$5:$H$11,2)</f>
        <v>FRI</v>
      </c>
      <c r="E182" s="165">
        <v>0.05</v>
      </c>
      <c r="F182" s="336">
        <v>0.06</v>
      </c>
      <c r="G182" s="411">
        <f t="shared" si="18"/>
        <v>9.999999999999995E-3</v>
      </c>
      <c r="H182" s="343"/>
      <c r="I182" s="145"/>
      <c r="J182" s="153"/>
      <c r="K182" s="126"/>
      <c r="L182" s="403">
        <f t="shared" si="19"/>
        <v>43980</v>
      </c>
      <c r="M182" s="56" t="str">
        <f t="shared" si="20"/>
        <v>FRI</v>
      </c>
      <c r="O182" s="383">
        <f t="shared" si="23"/>
        <v>3</v>
      </c>
      <c r="P182" s="392">
        <f t="shared" si="22"/>
        <v>1.000005</v>
      </c>
    </row>
    <row r="183" spans="1:18">
      <c r="B183" s="41"/>
      <c r="C183" s="403">
        <f t="shared" si="17"/>
        <v>43981</v>
      </c>
      <c r="D183" s="56" t="str">
        <f>VLOOKUP(MOD(C183,7),'CALENDAR INFO'!$G$5:$H$11,2)</f>
        <v>SAT</v>
      </c>
      <c r="E183" s="165">
        <v>0.05</v>
      </c>
      <c r="F183" s="336">
        <v>0.06</v>
      </c>
      <c r="G183" s="411">
        <f t="shared" si="18"/>
        <v>9.999999999999995E-3</v>
      </c>
      <c r="I183" s="137"/>
      <c r="K183" s="126"/>
      <c r="L183" s="403">
        <f t="shared" si="19"/>
        <v>43981</v>
      </c>
      <c r="M183" s="56" t="str">
        <f t="shared" si="20"/>
        <v>SAT</v>
      </c>
      <c r="O183" s="383">
        <f t="shared" si="23"/>
        <v>0</v>
      </c>
      <c r="P183" s="392">
        <f t="shared" si="22"/>
        <v>1</v>
      </c>
    </row>
    <row r="184" spans="1:18" s="68" customFormat="1" ht="15.75" thickBot="1">
      <c r="A184" s="81"/>
      <c r="B184" s="178"/>
      <c r="C184" s="404">
        <f t="shared" si="17"/>
        <v>43982</v>
      </c>
      <c r="D184" s="64" t="str">
        <f>VLOOKUP(MOD(C184,7),'CALENDAR INFO'!$G$5:$H$11,2)</f>
        <v>SUN</v>
      </c>
      <c r="E184" s="166">
        <v>0.05</v>
      </c>
      <c r="F184" s="337">
        <v>0.06</v>
      </c>
      <c r="G184" s="412">
        <f t="shared" si="18"/>
        <v>9.999999999999995E-3</v>
      </c>
      <c r="H184" s="344"/>
      <c r="I184" s="140"/>
      <c r="J184" s="154"/>
      <c r="K184" s="77"/>
      <c r="L184" s="404">
        <f t="shared" si="19"/>
        <v>43982</v>
      </c>
      <c r="M184" s="64" t="str">
        <f t="shared" si="20"/>
        <v>SUN</v>
      </c>
      <c r="N184" s="90"/>
      <c r="O184" s="382">
        <f t="shared" si="23"/>
        <v>0</v>
      </c>
      <c r="P184" s="388">
        <f t="shared" si="22"/>
        <v>1</v>
      </c>
      <c r="R184" s="66"/>
    </row>
    <row r="185" spans="1:18">
      <c r="B185" s="41"/>
      <c r="C185" s="403">
        <f t="shared" si="17"/>
        <v>43983</v>
      </c>
      <c r="D185" s="56" t="str">
        <f>VLOOKUP(MOD(C185,7),'CALENDAR INFO'!$G$5:$H$11,2)</f>
        <v>MON</v>
      </c>
      <c r="E185" s="165">
        <v>0.05</v>
      </c>
      <c r="F185" s="336">
        <v>0.06</v>
      </c>
      <c r="G185" s="411">
        <f t="shared" si="18"/>
        <v>9.999999999999995E-3</v>
      </c>
      <c r="H185" s="15" t="s">
        <v>149</v>
      </c>
      <c r="I185" s="15">
        <f>ROW(I185)</f>
        <v>185</v>
      </c>
      <c r="J185" s="138">
        <f>I185</f>
        <v>185</v>
      </c>
      <c r="K185" s="126"/>
      <c r="L185" s="403">
        <f t="shared" si="19"/>
        <v>43983</v>
      </c>
      <c r="M185" s="56" t="str">
        <f t="shared" si="20"/>
        <v>MON</v>
      </c>
      <c r="O185" s="383">
        <f t="shared" si="23"/>
        <v>1</v>
      </c>
      <c r="P185" s="392">
        <f t="shared" si="22"/>
        <v>1.0000016666666667</v>
      </c>
    </row>
    <row r="186" spans="1:18">
      <c r="B186" s="41"/>
      <c r="C186" s="403">
        <f t="shared" si="17"/>
        <v>43984</v>
      </c>
      <c r="D186" s="56" t="str">
        <f>VLOOKUP(MOD(C186,7),'CALENDAR INFO'!$G$5:$H$11,2)</f>
        <v>TUE</v>
      </c>
      <c r="E186" s="165">
        <v>0.06</v>
      </c>
      <c r="F186" s="336">
        <v>7.0000000000000007E-2</v>
      </c>
      <c r="G186" s="411">
        <f t="shared" si="18"/>
        <v>1.0000000000000009E-2</v>
      </c>
      <c r="H186" s="376" t="s">
        <v>210</v>
      </c>
      <c r="I186" s="15">
        <f>VLOOKUP(MONTH($C185),'CALENDAR INFO'!$J$5:$K$16,2)</f>
        <v>30</v>
      </c>
      <c r="J186" s="138">
        <f>I186</f>
        <v>30</v>
      </c>
      <c r="K186" s="126"/>
      <c r="L186" s="403">
        <f t="shared" si="19"/>
        <v>43984</v>
      </c>
      <c r="M186" s="56" t="str">
        <f t="shared" si="20"/>
        <v>TUE</v>
      </c>
      <c r="O186" s="383">
        <f t="shared" si="23"/>
        <v>1</v>
      </c>
      <c r="P186" s="392">
        <f t="shared" si="22"/>
        <v>1.0000019444444443</v>
      </c>
    </row>
    <row r="187" spans="1:18">
      <c r="B187" s="41"/>
      <c r="C187" s="403">
        <f t="shared" si="17"/>
        <v>43985</v>
      </c>
      <c r="D187" s="56" t="str">
        <f>VLOOKUP(MOD(C187,7),'CALENDAR INFO'!$G$5:$H$11,2)</f>
        <v>WED</v>
      </c>
      <c r="E187" s="165">
        <v>0.06</v>
      </c>
      <c r="F187" s="336">
        <v>0.06</v>
      </c>
      <c r="G187" s="411">
        <f t="shared" si="18"/>
        <v>0</v>
      </c>
      <c r="H187" s="376" t="s">
        <v>211</v>
      </c>
      <c r="I187" s="15">
        <f>I186+I185-1</f>
        <v>214</v>
      </c>
      <c r="J187" s="138">
        <f>I187</f>
        <v>214</v>
      </c>
      <c r="K187" s="126" t="s">
        <v>19</v>
      </c>
      <c r="L187" s="403">
        <f t="shared" si="19"/>
        <v>43985</v>
      </c>
      <c r="M187" s="56" t="str">
        <f t="shared" si="20"/>
        <v>WED</v>
      </c>
      <c r="O187" s="383">
        <f t="shared" si="23"/>
        <v>1</v>
      </c>
      <c r="P187" s="392">
        <f t="shared" si="22"/>
        <v>1.0000016666666667</v>
      </c>
    </row>
    <row r="188" spans="1:18">
      <c r="B188" s="41"/>
      <c r="C188" s="403">
        <f t="shared" si="17"/>
        <v>43986</v>
      </c>
      <c r="D188" s="56" t="str">
        <f>VLOOKUP(MOD(C188,7),'CALENDAR INFO'!$G$5:$H$11,2)</f>
        <v>THU</v>
      </c>
      <c r="E188" s="165">
        <v>0.06</v>
      </c>
      <c r="F188" s="336">
        <v>7.0000000000000007E-2</v>
      </c>
      <c r="G188" s="411">
        <f t="shared" si="18"/>
        <v>1.0000000000000009E-2</v>
      </c>
      <c r="K188" s="129" t="s">
        <v>18</v>
      </c>
      <c r="L188" s="403">
        <f t="shared" si="19"/>
        <v>43986</v>
      </c>
      <c r="M188" s="56" t="str">
        <f t="shared" si="20"/>
        <v>THU</v>
      </c>
      <c r="O188" s="383">
        <f t="shared" si="23"/>
        <v>1</v>
      </c>
      <c r="P188" s="392">
        <f t="shared" si="22"/>
        <v>1.0000019444444443</v>
      </c>
    </row>
    <row r="189" spans="1:18">
      <c r="B189" s="41"/>
      <c r="C189" s="403">
        <f t="shared" si="17"/>
        <v>43987</v>
      </c>
      <c r="D189" s="56" t="str">
        <f>VLOOKUP(MOD(C189,7),'CALENDAR INFO'!$G$5:$H$11,2)</f>
        <v>FRI</v>
      </c>
      <c r="E189" s="165">
        <v>7.0000000000000007E-2</v>
      </c>
      <c r="F189" s="336">
        <v>7.0000000000000007E-2</v>
      </c>
      <c r="G189" s="411">
        <f t="shared" si="18"/>
        <v>0</v>
      </c>
      <c r="H189" s="15" t="s">
        <v>150</v>
      </c>
      <c r="I189" s="137" t="str">
        <f>_xlfn.CONCAT(ADDRESS(I185,5),":",ADDRESS(I187,5))</f>
        <v>$E$185:$E$214</v>
      </c>
      <c r="J189" s="150" t="str">
        <f>_xlfn.CONCAT(ADDRESS(J185,6),":",ADDRESS(J187,6))</f>
        <v>$F$185:$F$214</v>
      </c>
      <c r="K189" s="129"/>
      <c r="L189" s="403">
        <f t="shared" si="19"/>
        <v>43987</v>
      </c>
      <c r="M189" s="56" t="str">
        <f t="shared" si="20"/>
        <v>FRI</v>
      </c>
      <c r="O189" s="383">
        <f t="shared" si="23"/>
        <v>3</v>
      </c>
      <c r="P189" s="392">
        <f t="shared" si="22"/>
        <v>1.0000058333333333</v>
      </c>
    </row>
    <row r="190" spans="1:18">
      <c r="B190" s="41"/>
      <c r="C190" s="403">
        <f t="shared" si="17"/>
        <v>43988</v>
      </c>
      <c r="D190" s="56" t="str">
        <f>VLOOKUP(MOD(C190,7),'CALENDAR INFO'!$G$5:$H$11,2)</f>
        <v>SAT</v>
      </c>
      <c r="E190" s="165">
        <v>7.0000000000000007E-2</v>
      </c>
      <c r="F190" s="336">
        <v>7.0000000000000007E-2</v>
      </c>
      <c r="G190" s="411">
        <f t="shared" si="18"/>
        <v>0</v>
      </c>
      <c r="K190" s="129"/>
      <c r="L190" s="403">
        <f t="shared" si="19"/>
        <v>43988</v>
      </c>
      <c r="M190" s="56" t="str">
        <f t="shared" si="20"/>
        <v>SAT</v>
      </c>
      <c r="O190" s="383">
        <f t="shared" si="23"/>
        <v>0</v>
      </c>
      <c r="P190" s="392">
        <f t="shared" si="22"/>
        <v>1</v>
      </c>
    </row>
    <row r="191" spans="1:18">
      <c r="B191" s="41"/>
      <c r="C191" s="403">
        <f t="shared" si="17"/>
        <v>43989</v>
      </c>
      <c r="D191" s="56" t="str">
        <f>VLOOKUP(MOD(C191,7),'CALENDAR INFO'!$G$5:$H$11,2)</f>
        <v>SUN</v>
      </c>
      <c r="E191" s="165">
        <v>7.0000000000000007E-2</v>
      </c>
      <c r="F191" s="336">
        <v>7.0000000000000007E-2</v>
      </c>
      <c r="G191" s="411">
        <f t="shared" si="18"/>
        <v>0</v>
      </c>
      <c r="H191" s="376" t="s">
        <v>221</v>
      </c>
      <c r="I191" s="147">
        <f ca="1">AVERAGE(INDIRECT(I189))</f>
        <v>7.7666666666666703E-2</v>
      </c>
      <c r="J191" s="326">
        <f ca="1">AVERAGE(INDIRECT(J189))</f>
        <v>7.9333333333333353E-2</v>
      </c>
      <c r="K191" s="129"/>
      <c r="L191" s="403">
        <f t="shared" si="19"/>
        <v>43989</v>
      </c>
      <c r="M191" s="56" t="str">
        <f t="shared" si="20"/>
        <v>SUN</v>
      </c>
      <c r="O191" s="383">
        <f t="shared" si="23"/>
        <v>0</v>
      </c>
      <c r="P191" s="392">
        <f t="shared" si="22"/>
        <v>1</v>
      </c>
    </row>
    <row r="192" spans="1:18">
      <c r="B192" s="41"/>
      <c r="C192" s="403">
        <f t="shared" si="17"/>
        <v>43990</v>
      </c>
      <c r="D192" s="56" t="str">
        <f>VLOOKUP(MOD(C192,7),'CALENDAR INFO'!$G$5:$H$11,2)</f>
        <v>MON</v>
      </c>
      <c r="E192" s="165">
        <v>7.0000000000000007E-2</v>
      </c>
      <c r="F192" s="336">
        <v>7.0000000000000007E-2</v>
      </c>
      <c r="G192" s="411">
        <f t="shared" si="18"/>
        <v>0</v>
      </c>
      <c r="I192" s="240"/>
      <c r="J192" s="157"/>
      <c r="K192" s="129"/>
      <c r="L192" s="403">
        <f t="shared" si="19"/>
        <v>43990</v>
      </c>
      <c r="M192" s="56" t="str">
        <f t="shared" si="20"/>
        <v>MON</v>
      </c>
      <c r="O192" s="383">
        <f t="shared" si="23"/>
        <v>1</v>
      </c>
      <c r="P192" s="392">
        <f t="shared" si="22"/>
        <v>1.0000019444444443</v>
      </c>
    </row>
    <row r="193" spans="2:18">
      <c r="B193" s="41"/>
      <c r="C193" s="403">
        <f t="shared" ref="C193:C256" si="24">C192+1</f>
        <v>43991</v>
      </c>
      <c r="D193" s="56" t="str">
        <f>VLOOKUP(MOD(C193,7),'CALENDAR INFO'!$G$5:$H$11,2)</f>
        <v>TUE</v>
      </c>
      <c r="E193" s="165">
        <v>7.0000000000000007E-2</v>
      </c>
      <c r="F193" s="336">
        <v>0.08</v>
      </c>
      <c r="G193" s="411">
        <f t="shared" si="18"/>
        <v>9.999999999999995E-3</v>
      </c>
      <c r="H193" s="15" t="s">
        <v>222</v>
      </c>
      <c r="I193" s="147">
        <f ca="1">100-I191</f>
        <v>99.922333333333327</v>
      </c>
      <c r="J193" s="326">
        <f ca="1">100-J191</f>
        <v>99.920666666666662</v>
      </c>
      <c r="K193" s="129"/>
      <c r="L193" s="403">
        <f t="shared" si="19"/>
        <v>43991</v>
      </c>
      <c r="M193" s="56" t="str">
        <f t="shared" si="20"/>
        <v>TUE</v>
      </c>
      <c r="N193" s="116" t="s">
        <v>20</v>
      </c>
      <c r="O193" s="383">
        <f t="shared" si="23"/>
        <v>1</v>
      </c>
      <c r="P193" s="392">
        <f t="shared" si="22"/>
        <v>1.0000022222222222</v>
      </c>
    </row>
    <row r="194" spans="2:18">
      <c r="B194" s="41"/>
      <c r="C194" s="403">
        <f t="shared" si="24"/>
        <v>43992</v>
      </c>
      <c r="D194" s="56" t="str">
        <f>VLOOKUP(MOD(C194,7),'CALENDAR INFO'!$G$5:$H$11,2)</f>
        <v>WED</v>
      </c>
      <c r="E194" s="165">
        <v>0.08</v>
      </c>
      <c r="F194" s="336">
        <v>7.0000000000000007E-2</v>
      </c>
      <c r="G194" s="411">
        <f t="shared" si="18"/>
        <v>-9.999999999999995E-3</v>
      </c>
      <c r="I194" s="137"/>
      <c r="J194" s="150"/>
      <c r="K194" s="129"/>
      <c r="L194" s="403">
        <f t="shared" si="19"/>
        <v>43992</v>
      </c>
      <c r="M194" s="56" t="str">
        <f t="shared" si="20"/>
        <v>WED</v>
      </c>
      <c r="N194" s="116" t="s">
        <v>20</v>
      </c>
      <c r="O194" s="383">
        <f t="shared" si="23"/>
        <v>1</v>
      </c>
      <c r="P194" s="392">
        <f t="shared" si="22"/>
        <v>1.0000019444444443</v>
      </c>
    </row>
    <row r="195" spans="2:18">
      <c r="B195" s="41"/>
      <c r="C195" s="403">
        <f t="shared" si="24"/>
        <v>43993</v>
      </c>
      <c r="D195" s="56" t="str">
        <f>VLOOKUP(MOD(C195,7),'CALENDAR INFO'!$G$5:$H$11,2)</f>
        <v>THU</v>
      </c>
      <c r="E195" s="165">
        <v>0.08</v>
      </c>
      <c r="F195" s="336">
        <v>0.08</v>
      </c>
      <c r="G195" s="411">
        <f t="shared" ref="G195:G258" si="25">F195-E195</f>
        <v>0</v>
      </c>
      <c r="H195" s="425" t="s">
        <v>97</v>
      </c>
      <c r="I195" s="419">
        <v>99.921999999999997</v>
      </c>
      <c r="J195" s="426">
        <v>99.921000000000006</v>
      </c>
      <c r="K195" s="129"/>
      <c r="L195" s="403">
        <f t="shared" ref="L195:L258" si="26">C195</f>
        <v>43993</v>
      </c>
      <c r="M195" s="56" t="str">
        <f t="shared" ref="M195:M258" si="27">D195</f>
        <v>THU</v>
      </c>
      <c r="O195" s="383">
        <f t="shared" si="23"/>
        <v>1</v>
      </c>
      <c r="P195" s="392">
        <f t="shared" si="22"/>
        <v>1.0000022222222222</v>
      </c>
    </row>
    <row r="196" spans="2:18">
      <c r="B196" s="41"/>
      <c r="C196" s="403">
        <f t="shared" si="24"/>
        <v>43994</v>
      </c>
      <c r="D196" s="56" t="str">
        <f>VLOOKUP(MOD(C196,7),'CALENDAR INFO'!$G$5:$H$11,2)</f>
        <v>FRI</v>
      </c>
      <c r="E196" s="165">
        <v>0.08</v>
      </c>
      <c r="F196" s="336">
        <v>0.08</v>
      </c>
      <c r="G196" s="411">
        <f t="shared" si="25"/>
        <v>0</v>
      </c>
      <c r="I196" s="137"/>
      <c r="J196" s="150"/>
      <c r="K196" s="129"/>
      <c r="L196" s="403">
        <f t="shared" si="26"/>
        <v>43994</v>
      </c>
      <c r="M196" s="56" t="str">
        <f t="shared" si="27"/>
        <v>FRI</v>
      </c>
      <c r="O196" s="383">
        <f t="shared" si="23"/>
        <v>3</v>
      </c>
      <c r="P196" s="392">
        <f t="shared" si="22"/>
        <v>1.0000066666666667</v>
      </c>
    </row>
    <row r="197" spans="2:18">
      <c r="B197" s="41"/>
      <c r="C197" s="403">
        <f t="shared" si="24"/>
        <v>43995</v>
      </c>
      <c r="D197" s="56" t="str">
        <f>VLOOKUP(MOD(C197,7),'CALENDAR INFO'!$G$5:$H$11,2)</f>
        <v>SAT</v>
      </c>
      <c r="E197" s="165">
        <v>0.08</v>
      </c>
      <c r="F197" s="336">
        <v>0.08</v>
      </c>
      <c r="G197" s="411">
        <f t="shared" si="25"/>
        <v>0</v>
      </c>
      <c r="H197" s="136"/>
      <c r="I197" s="139"/>
      <c r="J197" s="151"/>
      <c r="K197" s="129"/>
      <c r="L197" s="403">
        <f t="shared" si="26"/>
        <v>43995</v>
      </c>
      <c r="M197" s="56" t="str">
        <f t="shared" si="27"/>
        <v>SAT</v>
      </c>
      <c r="O197" s="383">
        <f t="shared" si="23"/>
        <v>0</v>
      </c>
      <c r="P197" s="392">
        <f t="shared" si="22"/>
        <v>1</v>
      </c>
      <c r="Q197" s="331" t="s">
        <v>92</v>
      </c>
      <c r="R197" s="75"/>
    </row>
    <row r="198" spans="2:18">
      <c r="B198" s="41"/>
      <c r="C198" s="403">
        <f t="shared" si="24"/>
        <v>43996</v>
      </c>
      <c r="D198" s="56" t="str">
        <f>VLOOKUP(MOD(C198,7),'CALENDAR INFO'!$G$5:$H$11,2)</f>
        <v>SUN</v>
      </c>
      <c r="E198" s="165">
        <v>0.08</v>
      </c>
      <c r="F198" s="336">
        <v>0.08</v>
      </c>
      <c r="G198" s="411">
        <f t="shared" si="25"/>
        <v>0</v>
      </c>
      <c r="K198" s="129"/>
      <c r="L198" s="403">
        <f t="shared" si="26"/>
        <v>43996</v>
      </c>
      <c r="M198" s="56" t="str">
        <f t="shared" si="27"/>
        <v>SUN</v>
      </c>
      <c r="O198" s="383">
        <f t="shared" si="23"/>
        <v>0</v>
      </c>
      <c r="P198" s="392">
        <f t="shared" si="22"/>
        <v>1</v>
      </c>
      <c r="Q198" s="331" t="s">
        <v>76</v>
      </c>
      <c r="R198" s="76">
        <v>99.960700000000003</v>
      </c>
    </row>
    <row r="199" spans="2:18">
      <c r="B199" s="41"/>
      <c r="C199" s="403">
        <f t="shared" si="24"/>
        <v>43997</v>
      </c>
      <c r="D199" s="56" t="str">
        <f>VLOOKUP(MOD(C199,7),'CALENDAR INFO'!$G$5:$H$11,2)</f>
        <v>MON</v>
      </c>
      <c r="E199" s="165">
        <v>0.09</v>
      </c>
      <c r="F199" s="336">
        <v>0.09</v>
      </c>
      <c r="G199" s="411">
        <f t="shared" si="25"/>
        <v>0</v>
      </c>
      <c r="H199" s="135"/>
      <c r="I199" s="144"/>
      <c r="J199" s="152"/>
      <c r="K199" s="129"/>
      <c r="L199" s="403">
        <f t="shared" si="26"/>
        <v>43997</v>
      </c>
      <c r="M199" s="56" t="str">
        <f t="shared" si="27"/>
        <v>MON</v>
      </c>
      <c r="O199" s="383">
        <f t="shared" si="23"/>
        <v>1</v>
      </c>
      <c r="P199" s="392">
        <f t="shared" si="22"/>
        <v>1.0000024999999999</v>
      </c>
    </row>
    <row r="200" spans="2:18">
      <c r="B200" s="41"/>
      <c r="C200" s="403">
        <f t="shared" si="24"/>
        <v>43998</v>
      </c>
      <c r="D200" s="56" t="str">
        <f>VLOOKUP(MOD(C200,7),'CALENDAR INFO'!$G$5:$H$11,2)</f>
        <v>TUE</v>
      </c>
      <c r="E200" s="165">
        <v>0.09</v>
      </c>
      <c r="F200" s="336">
        <v>0.09</v>
      </c>
      <c r="G200" s="411">
        <f t="shared" si="25"/>
        <v>0</v>
      </c>
      <c r="K200" s="129"/>
      <c r="L200" s="403">
        <f t="shared" si="26"/>
        <v>43998</v>
      </c>
      <c r="M200" s="56" t="str">
        <f t="shared" si="27"/>
        <v>TUE</v>
      </c>
      <c r="O200" s="383">
        <f t="shared" si="23"/>
        <v>1</v>
      </c>
      <c r="P200" s="392">
        <f t="shared" si="22"/>
        <v>1.0000024999999999</v>
      </c>
    </row>
    <row r="201" spans="2:18">
      <c r="B201" s="41"/>
      <c r="C201" s="403">
        <f t="shared" si="24"/>
        <v>43999</v>
      </c>
      <c r="D201" s="56" t="str">
        <f>VLOOKUP(MOD(C201,7),'CALENDAR INFO'!$G$5:$H$11,2)</f>
        <v>WED</v>
      </c>
      <c r="E201" s="165">
        <v>0.09</v>
      </c>
      <c r="F201" s="336">
        <v>0.09</v>
      </c>
      <c r="G201" s="411">
        <f t="shared" si="25"/>
        <v>0</v>
      </c>
      <c r="K201" s="129" t="s">
        <v>19</v>
      </c>
      <c r="L201" s="403">
        <f t="shared" si="26"/>
        <v>43999</v>
      </c>
      <c r="M201" s="56" t="str">
        <f t="shared" si="27"/>
        <v>WED</v>
      </c>
      <c r="O201" s="378">
        <f t="shared" si="23"/>
        <v>1</v>
      </c>
      <c r="P201" s="392">
        <f t="shared" si="22"/>
        <v>1.0000024999999999</v>
      </c>
    </row>
    <row r="202" spans="2:18">
      <c r="B202" s="41"/>
      <c r="C202" s="403">
        <f t="shared" si="24"/>
        <v>44000</v>
      </c>
      <c r="D202" s="56" t="str">
        <f>VLOOKUP(MOD(C202,7),'CALENDAR INFO'!$G$5:$H$11,2)</f>
        <v>THU</v>
      </c>
      <c r="E202" s="165">
        <v>0.09</v>
      </c>
      <c r="F202" s="336">
        <v>0.09</v>
      </c>
      <c r="G202" s="411">
        <f t="shared" si="25"/>
        <v>0</v>
      </c>
      <c r="K202" s="126" t="s">
        <v>18</v>
      </c>
      <c r="L202" s="403">
        <f t="shared" si="26"/>
        <v>44000</v>
      </c>
      <c r="M202" s="56" t="str">
        <f t="shared" si="27"/>
        <v>THU</v>
      </c>
      <c r="O202" s="378">
        <f t="shared" si="23"/>
        <v>1</v>
      </c>
      <c r="P202" s="392">
        <f t="shared" si="22"/>
        <v>1.0000024999999999</v>
      </c>
    </row>
    <row r="203" spans="2:18">
      <c r="B203" s="41"/>
      <c r="C203" s="403">
        <f t="shared" si="24"/>
        <v>44001</v>
      </c>
      <c r="D203" s="56" t="str">
        <f>VLOOKUP(MOD(C203,7),'CALENDAR INFO'!$G$5:$H$11,2)</f>
        <v>FRI</v>
      </c>
      <c r="E203" s="165">
        <v>0.09</v>
      </c>
      <c r="F203" s="336">
        <v>0.09</v>
      </c>
      <c r="G203" s="411">
        <f t="shared" si="25"/>
        <v>0</v>
      </c>
      <c r="K203" s="126"/>
      <c r="L203" s="403">
        <f t="shared" si="26"/>
        <v>44001</v>
      </c>
      <c r="M203" s="56" t="str">
        <f t="shared" si="27"/>
        <v>FRI</v>
      </c>
      <c r="O203" s="378">
        <f t="shared" si="23"/>
        <v>3</v>
      </c>
      <c r="P203" s="392">
        <f t="shared" si="22"/>
        <v>1.0000074999999999</v>
      </c>
    </row>
    <row r="204" spans="2:18">
      <c r="B204" s="41"/>
      <c r="C204" s="403">
        <f t="shared" si="24"/>
        <v>44002</v>
      </c>
      <c r="D204" s="56" t="str">
        <f>VLOOKUP(MOD(C204,7),'CALENDAR INFO'!$G$5:$H$11,2)</f>
        <v>SAT</v>
      </c>
      <c r="E204" s="165">
        <v>0.09</v>
      </c>
      <c r="F204" s="336">
        <v>0.09</v>
      </c>
      <c r="G204" s="411">
        <f t="shared" si="25"/>
        <v>0</v>
      </c>
      <c r="K204" s="126"/>
      <c r="L204" s="403">
        <f t="shared" si="26"/>
        <v>44002</v>
      </c>
      <c r="M204" s="56" t="str">
        <f t="shared" si="27"/>
        <v>SAT</v>
      </c>
      <c r="O204" s="378">
        <f t="shared" si="23"/>
        <v>0</v>
      </c>
      <c r="P204" s="392">
        <f t="shared" si="22"/>
        <v>1</v>
      </c>
    </row>
    <row r="205" spans="2:18">
      <c r="B205" s="41"/>
      <c r="C205" s="403">
        <f t="shared" si="24"/>
        <v>44003</v>
      </c>
      <c r="D205" s="56" t="str">
        <f>VLOOKUP(MOD(C205,7),'CALENDAR INFO'!$G$5:$H$11,2)</f>
        <v>SUN</v>
      </c>
      <c r="E205" s="165">
        <v>0.09</v>
      </c>
      <c r="F205" s="336">
        <v>0.09</v>
      </c>
      <c r="G205" s="411">
        <f t="shared" si="25"/>
        <v>0</v>
      </c>
      <c r="K205" s="126"/>
      <c r="L205" s="403">
        <f t="shared" si="26"/>
        <v>44003</v>
      </c>
      <c r="M205" s="56" t="str">
        <f t="shared" si="27"/>
        <v>SUN</v>
      </c>
      <c r="O205" s="378">
        <f t="shared" si="23"/>
        <v>0</v>
      </c>
      <c r="P205" s="392">
        <f t="shared" si="22"/>
        <v>1</v>
      </c>
    </row>
    <row r="206" spans="2:18">
      <c r="B206" s="41"/>
      <c r="C206" s="403">
        <f t="shared" si="24"/>
        <v>44004</v>
      </c>
      <c r="D206" s="56" t="str">
        <f>VLOOKUP(MOD(C206,7),'CALENDAR INFO'!$G$5:$H$11,2)</f>
        <v>MON</v>
      </c>
      <c r="E206" s="165">
        <v>0.08</v>
      </c>
      <c r="F206" s="336">
        <v>0.08</v>
      </c>
      <c r="G206" s="411">
        <f t="shared" si="25"/>
        <v>0</v>
      </c>
      <c r="K206" s="126"/>
      <c r="L206" s="403">
        <f t="shared" si="26"/>
        <v>44004</v>
      </c>
      <c r="M206" s="56" t="str">
        <f t="shared" si="27"/>
        <v>MON</v>
      </c>
      <c r="O206" s="378">
        <f t="shared" si="23"/>
        <v>1</v>
      </c>
      <c r="P206" s="392">
        <f t="shared" si="22"/>
        <v>1.0000022222222222</v>
      </c>
    </row>
    <row r="207" spans="2:18">
      <c r="B207" s="41"/>
      <c r="C207" s="403">
        <f t="shared" si="24"/>
        <v>44005</v>
      </c>
      <c r="D207" s="56" t="str">
        <f>VLOOKUP(MOD(C207,7),'CALENDAR INFO'!$G$5:$H$11,2)</f>
        <v>TUE</v>
      </c>
      <c r="E207" s="165">
        <v>0.08</v>
      </c>
      <c r="F207" s="336">
        <v>7.0000000000000007E-2</v>
      </c>
      <c r="G207" s="411">
        <f t="shared" si="25"/>
        <v>-9.999999999999995E-3</v>
      </c>
      <c r="K207" s="126"/>
      <c r="L207" s="403">
        <f t="shared" si="26"/>
        <v>44005</v>
      </c>
      <c r="M207" s="56" t="str">
        <f t="shared" si="27"/>
        <v>TUE</v>
      </c>
      <c r="O207" s="378">
        <f t="shared" si="23"/>
        <v>1</v>
      </c>
      <c r="P207" s="392">
        <f t="shared" si="22"/>
        <v>1.0000019444444443</v>
      </c>
    </row>
    <row r="208" spans="2:18">
      <c r="B208" s="41"/>
      <c r="C208" s="403">
        <f t="shared" si="24"/>
        <v>44006</v>
      </c>
      <c r="D208" s="56" t="str">
        <f>VLOOKUP(MOD(C208,7),'CALENDAR INFO'!$G$5:$H$11,2)</f>
        <v>WED</v>
      </c>
      <c r="E208" s="165">
        <v>0.08</v>
      </c>
      <c r="F208" s="336">
        <v>0.08</v>
      </c>
      <c r="G208" s="411">
        <f t="shared" si="25"/>
        <v>0</v>
      </c>
      <c r="K208" s="126"/>
      <c r="L208" s="403">
        <f t="shared" si="26"/>
        <v>44006</v>
      </c>
      <c r="M208" s="56" t="str">
        <f t="shared" si="27"/>
        <v>WED</v>
      </c>
      <c r="O208" s="378">
        <f t="shared" si="23"/>
        <v>1</v>
      </c>
      <c r="P208" s="392">
        <f t="shared" si="22"/>
        <v>1.0000022222222222</v>
      </c>
    </row>
    <row r="209" spans="1:18">
      <c r="B209" s="41"/>
      <c r="C209" s="403">
        <f t="shared" si="24"/>
        <v>44007</v>
      </c>
      <c r="D209" s="56" t="str">
        <f>VLOOKUP(MOD(C209,7),'CALENDAR INFO'!$G$5:$H$11,2)</f>
        <v>THU</v>
      </c>
      <c r="E209" s="165">
        <v>0.08</v>
      </c>
      <c r="F209" s="336">
        <v>0.09</v>
      </c>
      <c r="G209" s="411">
        <f t="shared" si="25"/>
        <v>9.999999999999995E-3</v>
      </c>
      <c r="K209" s="126"/>
      <c r="L209" s="403">
        <f t="shared" si="26"/>
        <v>44007</v>
      </c>
      <c r="M209" s="56" t="str">
        <f t="shared" si="27"/>
        <v>THU</v>
      </c>
      <c r="O209" s="378">
        <f t="shared" si="23"/>
        <v>1</v>
      </c>
      <c r="P209" s="392">
        <f t="shared" si="22"/>
        <v>1.0000024999999999</v>
      </c>
    </row>
    <row r="210" spans="1:18">
      <c r="B210" s="41"/>
      <c r="C210" s="403">
        <f t="shared" si="24"/>
        <v>44008</v>
      </c>
      <c r="D210" s="56" t="str">
        <f>VLOOKUP(MOD(C210,7),'CALENDAR INFO'!$G$5:$H$11,2)</f>
        <v>FRI</v>
      </c>
      <c r="E210" s="165">
        <v>0.08</v>
      </c>
      <c r="F210" s="336">
        <v>0.08</v>
      </c>
      <c r="G210" s="411">
        <f t="shared" si="25"/>
        <v>0</v>
      </c>
      <c r="K210" s="126"/>
      <c r="L210" s="403">
        <f t="shared" si="26"/>
        <v>44008</v>
      </c>
      <c r="M210" s="56" t="str">
        <f t="shared" si="27"/>
        <v>FRI</v>
      </c>
      <c r="O210" s="378">
        <f t="shared" si="23"/>
        <v>3</v>
      </c>
      <c r="P210" s="392">
        <f t="shared" si="22"/>
        <v>1.0000066666666667</v>
      </c>
    </row>
    <row r="211" spans="1:18">
      <c r="B211" s="41"/>
      <c r="C211" s="403">
        <f t="shared" si="24"/>
        <v>44009</v>
      </c>
      <c r="D211" s="56" t="str">
        <f>VLOOKUP(MOD(C211,7),'CALENDAR INFO'!$G$5:$H$11,2)</f>
        <v>SAT</v>
      </c>
      <c r="E211" s="165">
        <v>0.08</v>
      </c>
      <c r="F211" s="336">
        <v>0.08</v>
      </c>
      <c r="G211" s="411">
        <f t="shared" si="25"/>
        <v>0</v>
      </c>
      <c r="I211" s="137"/>
      <c r="K211" s="126"/>
      <c r="L211" s="403">
        <f t="shared" si="26"/>
        <v>44009</v>
      </c>
      <c r="M211" s="56" t="str">
        <f t="shared" si="27"/>
        <v>SAT</v>
      </c>
      <c r="O211" s="378">
        <f t="shared" si="23"/>
        <v>0</v>
      </c>
      <c r="P211" s="392">
        <f t="shared" ref="P211:P274" si="28">1+(O211/360)*(MAX(F211,B211)/100)</f>
        <v>1</v>
      </c>
    </row>
    <row r="212" spans="1:18">
      <c r="B212" s="41"/>
      <c r="C212" s="403">
        <f t="shared" si="24"/>
        <v>44010</v>
      </c>
      <c r="D212" s="56" t="str">
        <f>VLOOKUP(MOD(C212,7),'CALENDAR INFO'!$G$5:$H$11,2)</f>
        <v>SUN</v>
      </c>
      <c r="E212" s="165">
        <v>0.08</v>
      </c>
      <c r="F212" s="336">
        <v>0.08</v>
      </c>
      <c r="G212" s="411">
        <f t="shared" si="25"/>
        <v>0</v>
      </c>
      <c r="H212" s="343"/>
      <c r="I212" s="145"/>
      <c r="J212" s="153"/>
      <c r="K212" s="126"/>
      <c r="L212" s="403">
        <f t="shared" si="26"/>
        <v>44010</v>
      </c>
      <c r="M212" s="56" t="str">
        <f t="shared" si="27"/>
        <v>SUN</v>
      </c>
      <c r="O212" s="378">
        <f t="shared" si="23"/>
        <v>0</v>
      </c>
      <c r="P212" s="392">
        <f t="shared" si="28"/>
        <v>1</v>
      </c>
    </row>
    <row r="213" spans="1:18">
      <c r="B213" s="41"/>
      <c r="C213" s="403">
        <f t="shared" si="24"/>
        <v>44011</v>
      </c>
      <c r="D213" s="56" t="str">
        <f>VLOOKUP(MOD(C213,7),'CALENDAR INFO'!$G$5:$H$11,2)</f>
        <v>MON</v>
      </c>
      <c r="E213" s="165">
        <v>0.08</v>
      </c>
      <c r="F213" s="336">
        <v>0.08</v>
      </c>
      <c r="G213" s="411">
        <f t="shared" si="25"/>
        <v>0</v>
      </c>
      <c r="I213" s="137"/>
      <c r="K213" s="126"/>
      <c r="L213" s="403">
        <f t="shared" si="26"/>
        <v>44011</v>
      </c>
      <c r="M213" s="56" t="str">
        <f t="shared" si="27"/>
        <v>MON</v>
      </c>
      <c r="O213" s="378">
        <f t="shared" si="23"/>
        <v>1</v>
      </c>
      <c r="P213" s="392">
        <f t="shared" si="28"/>
        <v>1.0000022222222222</v>
      </c>
    </row>
    <row r="214" spans="1:18" s="68" customFormat="1" ht="15.75" thickBot="1">
      <c r="A214" s="39"/>
      <c r="B214" s="41"/>
      <c r="C214" s="404">
        <f t="shared" si="24"/>
        <v>44012</v>
      </c>
      <c r="D214" s="64" t="str">
        <f>VLOOKUP(MOD(C214,7),'CALENDAR INFO'!$G$5:$H$11,2)</f>
        <v>TUE</v>
      </c>
      <c r="E214" s="166">
        <v>0.08</v>
      </c>
      <c r="F214" s="337">
        <v>0.1</v>
      </c>
      <c r="G214" s="412">
        <f t="shared" si="25"/>
        <v>2.0000000000000004E-2</v>
      </c>
      <c r="H214" s="344"/>
      <c r="I214" s="140"/>
      <c r="J214" s="154"/>
      <c r="K214" s="77"/>
      <c r="L214" s="404">
        <f t="shared" si="26"/>
        <v>44012</v>
      </c>
      <c r="M214" s="64" t="str">
        <f t="shared" si="27"/>
        <v>TUE</v>
      </c>
      <c r="N214" s="90"/>
      <c r="O214" s="381">
        <f t="shared" si="23"/>
        <v>1</v>
      </c>
      <c r="P214" s="388">
        <f t="shared" si="28"/>
        <v>1.0000027777777778</v>
      </c>
      <c r="R214" s="66"/>
    </row>
    <row r="215" spans="1:18">
      <c r="A215" s="83"/>
      <c r="B215" s="179"/>
      <c r="C215" s="403">
        <f t="shared" si="24"/>
        <v>44013</v>
      </c>
      <c r="D215" s="56" t="str">
        <f>VLOOKUP(MOD(C215,7),'CALENDAR INFO'!$G$5:$H$11,2)</f>
        <v>WED</v>
      </c>
      <c r="E215" s="165">
        <v>0.08</v>
      </c>
      <c r="F215" s="336">
        <v>0.11</v>
      </c>
      <c r="G215" s="411">
        <f t="shared" si="25"/>
        <v>0.03</v>
      </c>
      <c r="H215" s="15" t="s">
        <v>149</v>
      </c>
      <c r="I215" s="15">
        <f>ROW(I215)</f>
        <v>215</v>
      </c>
      <c r="J215" s="138">
        <f>I215</f>
        <v>215</v>
      </c>
      <c r="K215" s="126" t="s">
        <v>19</v>
      </c>
      <c r="L215" s="403">
        <f t="shared" si="26"/>
        <v>44013</v>
      </c>
      <c r="M215" s="56" t="str">
        <f t="shared" si="27"/>
        <v>WED</v>
      </c>
      <c r="O215" s="378">
        <f t="shared" si="23"/>
        <v>1</v>
      </c>
      <c r="P215" s="392">
        <f t="shared" si="28"/>
        <v>1.0000030555555555</v>
      </c>
    </row>
    <row r="216" spans="1:18">
      <c r="B216" s="41"/>
      <c r="C216" s="403">
        <f t="shared" si="24"/>
        <v>44014</v>
      </c>
      <c r="D216" s="56" t="str">
        <f>VLOOKUP(MOD(C216,7),'CALENDAR INFO'!$G$5:$H$11,2)</f>
        <v>THU</v>
      </c>
      <c r="E216" s="165">
        <v>0.09</v>
      </c>
      <c r="F216" s="336">
        <v>0.11</v>
      </c>
      <c r="G216" s="411">
        <f t="shared" si="25"/>
        <v>2.0000000000000004E-2</v>
      </c>
      <c r="H216" s="376" t="s">
        <v>210</v>
      </c>
      <c r="I216" s="15">
        <f>VLOOKUP(MONTH($C215),'CALENDAR INFO'!$J$5:$K$16,2)</f>
        <v>31</v>
      </c>
      <c r="J216" s="138">
        <f>I216</f>
        <v>31</v>
      </c>
      <c r="K216" s="129" t="s">
        <v>18</v>
      </c>
      <c r="L216" s="403">
        <f t="shared" si="26"/>
        <v>44014</v>
      </c>
      <c r="M216" s="56" t="str">
        <f t="shared" si="27"/>
        <v>THU</v>
      </c>
      <c r="O216" s="380">
        <f>IF(MOD(C216,7)&lt;2,0,IF(MOD(C216,7)=6,3,1))+3</f>
        <v>4</v>
      </c>
      <c r="P216" s="392">
        <f t="shared" si="28"/>
        <v>1.0000122222222223</v>
      </c>
    </row>
    <row r="217" spans="1:18">
      <c r="B217" s="41"/>
      <c r="C217" s="403">
        <f t="shared" si="24"/>
        <v>44015</v>
      </c>
      <c r="D217" s="56" t="str">
        <f>VLOOKUP(MOD(C217,7),'CALENDAR INFO'!$G$5:$H$11,2)</f>
        <v>FRI</v>
      </c>
      <c r="E217" s="165">
        <v>0.09</v>
      </c>
      <c r="F217" s="336">
        <v>0.11</v>
      </c>
      <c r="G217" s="411">
        <f t="shared" si="25"/>
        <v>2.0000000000000004E-2</v>
      </c>
      <c r="H217" s="376" t="s">
        <v>211</v>
      </c>
      <c r="I217" s="15">
        <f>I216+I215-1</f>
        <v>245</v>
      </c>
      <c r="J217" s="138">
        <f>I217</f>
        <v>245</v>
      </c>
      <c r="K217" s="129"/>
      <c r="L217" s="403">
        <f t="shared" si="26"/>
        <v>44015</v>
      </c>
      <c r="M217" s="56" t="str">
        <f t="shared" si="27"/>
        <v>FRI</v>
      </c>
      <c r="N217" s="133" t="s">
        <v>57</v>
      </c>
      <c r="O217" s="380">
        <f>IF(MOD(C217,7)&lt;2,0,IF(MOD(C217,7)=6,3,1))-3</f>
        <v>0</v>
      </c>
      <c r="P217" s="392">
        <f t="shared" si="28"/>
        <v>1</v>
      </c>
    </row>
    <row r="218" spans="1:18">
      <c r="B218" s="41"/>
      <c r="C218" s="403">
        <f t="shared" si="24"/>
        <v>44016</v>
      </c>
      <c r="D218" s="56" t="str">
        <f>VLOOKUP(MOD(C218,7),'CALENDAR INFO'!$G$5:$H$11,2)</f>
        <v>SAT</v>
      </c>
      <c r="E218" s="165">
        <v>0.09</v>
      </c>
      <c r="F218" s="336">
        <v>0.11</v>
      </c>
      <c r="G218" s="411">
        <f t="shared" si="25"/>
        <v>2.0000000000000004E-2</v>
      </c>
      <c r="K218" s="129"/>
      <c r="L218" s="403">
        <f t="shared" si="26"/>
        <v>44016</v>
      </c>
      <c r="M218" s="56" t="str">
        <f t="shared" si="27"/>
        <v>SAT</v>
      </c>
      <c r="O218" s="378">
        <f t="shared" ref="O218:O249" si="29">IF(MOD(C218,7)&lt;2,0,IF(MOD(C218,7)=6,3,1))</f>
        <v>0</v>
      </c>
      <c r="P218" s="392">
        <f t="shared" si="28"/>
        <v>1</v>
      </c>
    </row>
    <row r="219" spans="1:18">
      <c r="B219" s="41"/>
      <c r="C219" s="403">
        <f t="shared" si="24"/>
        <v>44017</v>
      </c>
      <c r="D219" s="56" t="str">
        <f>VLOOKUP(MOD(C219,7),'CALENDAR INFO'!$G$5:$H$11,2)</f>
        <v>SUN</v>
      </c>
      <c r="E219" s="165">
        <v>0.09</v>
      </c>
      <c r="F219" s="336">
        <v>0.11</v>
      </c>
      <c r="G219" s="411">
        <f t="shared" si="25"/>
        <v>2.0000000000000004E-2</v>
      </c>
      <c r="H219" s="15" t="s">
        <v>150</v>
      </c>
      <c r="I219" s="137" t="str">
        <f>_xlfn.CONCAT(ADDRESS(I215,5),":",ADDRESS(I217,5))</f>
        <v>$E$215:$E$245</v>
      </c>
      <c r="J219" s="150" t="str">
        <f>_xlfn.CONCAT(ADDRESS(J215,6),":",ADDRESS(J217,6))</f>
        <v>$F$215:$F$245</v>
      </c>
      <c r="K219" s="129"/>
      <c r="L219" s="403">
        <f t="shared" si="26"/>
        <v>44017</v>
      </c>
      <c r="M219" s="56" t="str">
        <f t="shared" si="27"/>
        <v>SUN</v>
      </c>
      <c r="O219" s="378">
        <f t="shared" si="29"/>
        <v>0</v>
      </c>
      <c r="P219" s="392">
        <f t="shared" si="28"/>
        <v>1</v>
      </c>
    </row>
    <row r="220" spans="1:18">
      <c r="B220" s="41"/>
      <c r="C220" s="403">
        <f t="shared" si="24"/>
        <v>44018</v>
      </c>
      <c r="D220" s="56" t="str">
        <f>VLOOKUP(MOD(C220,7),'CALENDAR INFO'!$G$5:$H$11,2)</f>
        <v>MON</v>
      </c>
      <c r="E220" s="165">
        <v>0.09</v>
      </c>
      <c r="F220" s="336">
        <v>0.1</v>
      </c>
      <c r="G220" s="411">
        <f t="shared" si="25"/>
        <v>1.0000000000000009E-2</v>
      </c>
      <c r="K220" s="129"/>
      <c r="L220" s="403">
        <f t="shared" si="26"/>
        <v>44018</v>
      </c>
      <c r="M220" s="56" t="str">
        <f t="shared" si="27"/>
        <v>MON</v>
      </c>
      <c r="O220" s="378">
        <f t="shared" si="29"/>
        <v>1</v>
      </c>
      <c r="P220" s="392">
        <f t="shared" si="28"/>
        <v>1.0000027777777778</v>
      </c>
    </row>
    <row r="221" spans="1:18">
      <c r="B221" s="41"/>
      <c r="C221" s="403">
        <f t="shared" si="24"/>
        <v>44019</v>
      </c>
      <c r="D221" s="56" t="str">
        <f>VLOOKUP(MOD(C221,7),'CALENDAR INFO'!$G$5:$H$11,2)</f>
        <v>TUE</v>
      </c>
      <c r="E221" s="165">
        <v>0.09</v>
      </c>
      <c r="F221" s="336">
        <v>0.1</v>
      </c>
      <c r="G221" s="411">
        <f t="shared" si="25"/>
        <v>1.0000000000000009E-2</v>
      </c>
      <c r="H221" s="376" t="s">
        <v>221</v>
      </c>
      <c r="I221" s="147">
        <f ca="1">AVERAGE(INDIRECT(I219))</f>
        <v>9.2580645161290345E-2</v>
      </c>
      <c r="J221" s="326">
        <f ca="1">AVERAGE(INDIRECT(J219))</f>
        <v>0.10612903225806455</v>
      </c>
      <c r="K221" s="129"/>
      <c r="L221" s="403">
        <f t="shared" si="26"/>
        <v>44019</v>
      </c>
      <c r="M221" s="56" t="str">
        <f t="shared" si="27"/>
        <v>TUE</v>
      </c>
      <c r="O221" s="378">
        <f t="shared" si="29"/>
        <v>1</v>
      </c>
      <c r="P221" s="392">
        <f t="shared" si="28"/>
        <v>1.0000027777777778</v>
      </c>
    </row>
    <row r="222" spans="1:18">
      <c r="B222" s="41"/>
      <c r="C222" s="403">
        <f t="shared" si="24"/>
        <v>44020</v>
      </c>
      <c r="D222" s="56" t="str">
        <f>VLOOKUP(MOD(C222,7),'CALENDAR INFO'!$G$5:$H$11,2)</f>
        <v>WED</v>
      </c>
      <c r="E222" s="165">
        <v>0.09</v>
      </c>
      <c r="F222" s="336">
        <v>0.1</v>
      </c>
      <c r="G222" s="411">
        <f t="shared" si="25"/>
        <v>1.0000000000000009E-2</v>
      </c>
      <c r="I222" s="240"/>
      <c r="J222" s="157"/>
      <c r="K222" s="129"/>
      <c r="L222" s="403">
        <f t="shared" si="26"/>
        <v>44020</v>
      </c>
      <c r="M222" s="56" t="str">
        <f t="shared" si="27"/>
        <v>WED</v>
      </c>
      <c r="O222" s="378">
        <f t="shared" si="29"/>
        <v>1</v>
      </c>
      <c r="P222" s="392">
        <f t="shared" si="28"/>
        <v>1.0000027777777778</v>
      </c>
    </row>
    <row r="223" spans="1:18">
      <c r="B223" s="41"/>
      <c r="C223" s="403">
        <f t="shared" si="24"/>
        <v>44021</v>
      </c>
      <c r="D223" s="56" t="str">
        <f>VLOOKUP(MOD(C223,7),'CALENDAR INFO'!$G$5:$H$11,2)</f>
        <v>THU</v>
      </c>
      <c r="E223" s="165">
        <v>0.09</v>
      </c>
      <c r="F223" s="336">
        <v>0.1</v>
      </c>
      <c r="G223" s="411">
        <f t="shared" si="25"/>
        <v>1.0000000000000009E-2</v>
      </c>
      <c r="H223" s="15" t="s">
        <v>222</v>
      </c>
      <c r="I223" s="147">
        <f ca="1">100-I221</f>
        <v>99.907419354838709</v>
      </c>
      <c r="J223" s="326">
        <f ca="1">100-J221</f>
        <v>99.893870967741933</v>
      </c>
      <c r="K223" s="129"/>
      <c r="L223" s="403">
        <f t="shared" si="26"/>
        <v>44021</v>
      </c>
      <c r="M223" s="56" t="str">
        <f t="shared" si="27"/>
        <v>THU</v>
      </c>
      <c r="O223" s="378">
        <f t="shared" si="29"/>
        <v>1</v>
      </c>
      <c r="P223" s="392">
        <f t="shared" si="28"/>
        <v>1.0000027777777778</v>
      </c>
    </row>
    <row r="224" spans="1:18">
      <c r="B224" s="41"/>
      <c r="C224" s="403">
        <f t="shared" si="24"/>
        <v>44022</v>
      </c>
      <c r="D224" s="56" t="str">
        <f>VLOOKUP(MOD(C224,7),'CALENDAR INFO'!$G$5:$H$11,2)</f>
        <v>FRI</v>
      </c>
      <c r="E224" s="165">
        <v>0.09</v>
      </c>
      <c r="F224" s="336">
        <v>0.1</v>
      </c>
      <c r="G224" s="411">
        <f t="shared" si="25"/>
        <v>1.0000000000000009E-2</v>
      </c>
      <c r="I224" s="137"/>
      <c r="J224" s="150"/>
      <c r="K224" s="129"/>
      <c r="L224" s="403">
        <f t="shared" si="26"/>
        <v>44022</v>
      </c>
      <c r="M224" s="56" t="str">
        <f t="shared" si="27"/>
        <v>FRI</v>
      </c>
      <c r="O224" s="378">
        <f t="shared" si="29"/>
        <v>3</v>
      </c>
      <c r="P224" s="392">
        <f t="shared" si="28"/>
        <v>1.0000083333333334</v>
      </c>
    </row>
    <row r="225" spans="2:16">
      <c r="B225" s="41"/>
      <c r="C225" s="403">
        <f t="shared" si="24"/>
        <v>44023</v>
      </c>
      <c r="D225" s="56" t="str">
        <f>VLOOKUP(MOD(C225,7),'CALENDAR INFO'!$G$5:$H$11,2)</f>
        <v>SAT</v>
      </c>
      <c r="E225" s="165">
        <v>0.09</v>
      </c>
      <c r="F225" s="336">
        <v>0.1</v>
      </c>
      <c r="G225" s="411">
        <f t="shared" si="25"/>
        <v>1.0000000000000009E-2</v>
      </c>
      <c r="H225" s="425" t="s">
        <v>97</v>
      </c>
      <c r="I225" s="419">
        <v>99.906999999999996</v>
      </c>
      <c r="J225" s="426">
        <v>99.894000000000005</v>
      </c>
      <c r="K225" s="129"/>
      <c r="L225" s="403">
        <f t="shared" si="26"/>
        <v>44023</v>
      </c>
      <c r="M225" s="56" t="str">
        <f t="shared" si="27"/>
        <v>SAT</v>
      </c>
      <c r="O225" s="378">
        <f t="shared" si="29"/>
        <v>0</v>
      </c>
      <c r="P225" s="392">
        <f t="shared" si="28"/>
        <v>1</v>
      </c>
    </row>
    <row r="226" spans="2:16">
      <c r="B226" s="41"/>
      <c r="C226" s="403">
        <f t="shared" si="24"/>
        <v>44024</v>
      </c>
      <c r="D226" s="56" t="str">
        <f>VLOOKUP(MOD(C226,7),'CALENDAR INFO'!$G$5:$H$11,2)</f>
        <v>SUN</v>
      </c>
      <c r="E226" s="165">
        <v>0.09</v>
      </c>
      <c r="F226" s="336">
        <v>0.1</v>
      </c>
      <c r="G226" s="411">
        <f t="shared" si="25"/>
        <v>1.0000000000000009E-2</v>
      </c>
      <c r="I226" s="137"/>
      <c r="J226" s="150"/>
      <c r="K226" s="129"/>
      <c r="L226" s="403">
        <f t="shared" si="26"/>
        <v>44024</v>
      </c>
      <c r="M226" s="56" t="str">
        <f t="shared" si="27"/>
        <v>SUN</v>
      </c>
      <c r="O226" s="378">
        <f t="shared" si="29"/>
        <v>0</v>
      </c>
      <c r="P226" s="392">
        <f t="shared" si="28"/>
        <v>1</v>
      </c>
    </row>
    <row r="227" spans="2:16">
      <c r="B227" s="41"/>
      <c r="C227" s="403">
        <f t="shared" si="24"/>
        <v>44025</v>
      </c>
      <c r="D227" s="56" t="str">
        <f>VLOOKUP(MOD(C227,7),'CALENDAR INFO'!$G$5:$H$11,2)</f>
        <v>MON</v>
      </c>
      <c r="E227" s="165">
        <v>0.09</v>
      </c>
      <c r="F227" s="336">
        <v>0.1</v>
      </c>
      <c r="G227" s="411">
        <f t="shared" si="25"/>
        <v>1.0000000000000009E-2</v>
      </c>
      <c r="H227" s="136"/>
      <c r="I227" s="139"/>
      <c r="J227" s="151"/>
      <c r="K227" s="129"/>
      <c r="L227" s="403">
        <f t="shared" si="26"/>
        <v>44025</v>
      </c>
      <c r="M227" s="56" t="str">
        <f t="shared" si="27"/>
        <v>MON</v>
      </c>
      <c r="O227" s="378">
        <f t="shared" si="29"/>
        <v>1</v>
      </c>
      <c r="P227" s="392">
        <f t="shared" si="28"/>
        <v>1.0000027777777778</v>
      </c>
    </row>
    <row r="228" spans="2:16">
      <c r="B228" s="41"/>
      <c r="C228" s="403">
        <f t="shared" si="24"/>
        <v>44026</v>
      </c>
      <c r="D228" s="56" t="str">
        <f>VLOOKUP(MOD(C228,7),'CALENDAR INFO'!$G$5:$H$11,2)</f>
        <v>TUE</v>
      </c>
      <c r="E228" s="165">
        <v>0.09</v>
      </c>
      <c r="F228" s="336">
        <v>0.11</v>
      </c>
      <c r="G228" s="411">
        <f t="shared" si="25"/>
        <v>2.0000000000000004E-2</v>
      </c>
      <c r="K228" s="129"/>
      <c r="L228" s="403">
        <f t="shared" si="26"/>
        <v>44026</v>
      </c>
      <c r="M228" s="56" t="str">
        <f t="shared" si="27"/>
        <v>TUE</v>
      </c>
      <c r="O228" s="378">
        <f t="shared" si="29"/>
        <v>1</v>
      </c>
      <c r="P228" s="392">
        <f t="shared" si="28"/>
        <v>1.0000030555555555</v>
      </c>
    </row>
    <row r="229" spans="2:16">
      <c r="B229" s="41"/>
      <c r="C229" s="403">
        <f t="shared" si="24"/>
        <v>44027</v>
      </c>
      <c r="D229" s="56" t="str">
        <f>VLOOKUP(MOD(C229,7),'CALENDAR INFO'!$G$5:$H$11,2)</f>
        <v>WED</v>
      </c>
      <c r="E229" s="165">
        <v>0.1</v>
      </c>
      <c r="F229" s="336">
        <v>0.13</v>
      </c>
      <c r="G229" s="411">
        <f t="shared" si="25"/>
        <v>0.03</v>
      </c>
      <c r="H229" s="135"/>
      <c r="I229" s="144"/>
      <c r="J229" s="152"/>
      <c r="K229" s="129" t="s">
        <v>19</v>
      </c>
      <c r="L229" s="403">
        <f t="shared" si="26"/>
        <v>44027</v>
      </c>
      <c r="M229" s="56" t="str">
        <f t="shared" si="27"/>
        <v>WED</v>
      </c>
      <c r="O229" s="378">
        <f t="shared" si="29"/>
        <v>1</v>
      </c>
      <c r="P229" s="392">
        <f t="shared" si="28"/>
        <v>1.000003611111111</v>
      </c>
    </row>
    <row r="230" spans="2:16">
      <c r="B230" s="41"/>
      <c r="C230" s="403">
        <f t="shared" si="24"/>
        <v>44028</v>
      </c>
      <c r="D230" s="56" t="str">
        <f>VLOOKUP(MOD(C230,7),'CALENDAR INFO'!$G$5:$H$11,2)</f>
        <v>THU</v>
      </c>
      <c r="E230" s="165">
        <v>0.1</v>
      </c>
      <c r="F230" s="336">
        <v>0.12</v>
      </c>
      <c r="G230" s="411">
        <f t="shared" si="25"/>
        <v>1.999999999999999E-2</v>
      </c>
      <c r="K230" s="126" t="s">
        <v>18</v>
      </c>
      <c r="L230" s="403">
        <f t="shared" si="26"/>
        <v>44028</v>
      </c>
      <c r="M230" s="56" t="str">
        <f t="shared" si="27"/>
        <v>THU</v>
      </c>
      <c r="O230" s="378">
        <f t="shared" si="29"/>
        <v>1</v>
      </c>
      <c r="P230" s="392">
        <f t="shared" si="28"/>
        <v>1.0000033333333334</v>
      </c>
    </row>
    <row r="231" spans="2:16">
      <c r="B231" s="41"/>
      <c r="C231" s="403">
        <f t="shared" si="24"/>
        <v>44029</v>
      </c>
      <c r="D231" s="56" t="str">
        <f>VLOOKUP(MOD(C231,7),'CALENDAR INFO'!$G$5:$H$11,2)</f>
        <v>FRI</v>
      </c>
      <c r="E231" s="165">
        <v>0.09</v>
      </c>
      <c r="F231" s="336">
        <v>0.12</v>
      </c>
      <c r="G231" s="411">
        <f t="shared" si="25"/>
        <v>0.03</v>
      </c>
      <c r="K231" s="126"/>
      <c r="L231" s="403">
        <f t="shared" si="26"/>
        <v>44029</v>
      </c>
      <c r="M231" s="56" t="str">
        <f t="shared" si="27"/>
        <v>FRI</v>
      </c>
      <c r="O231" s="378">
        <f t="shared" si="29"/>
        <v>3</v>
      </c>
      <c r="P231" s="392">
        <f t="shared" si="28"/>
        <v>1.0000100000000001</v>
      </c>
    </row>
    <row r="232" spans="2:16">
      <c r="B232" s="41"/>
      <c r="C232" s="403">
        <f t="shared" si="24"/>
        <v>44030</v>
      </c>
      <c r="D232" s="56" t="str">
        <f>VLOOKUP(MOD(C232,7),'CALENDAR INFO'!$G$5:$H$11,2)</f>
        <v>SAT</v>
      </c>
      <c r="E232" s="165">
        <v>0.09</v>
      </c>
      <c r="F232" s="336">
        <v>0.12</v>
      </c>
      <c r="G232" s="411">
        <f t="shared" si="25"/>
        <v>0.03</v>
      </c>
      <c r="K232" s="126"/>
      <c r="L232" s="403">
        <f t="shared" si="26"/>
        <v>44030</v>
      </c>
      <c r="M232" s="56" t="str">
        <f t="shared" si="27"/>
        <v>SAT</v>
      </c>
      <c r="O232" s="378">
        <f t="shared" si="29"/>
        <v>0</v>
      </c>
      <c r="P232" s="392">
        <f t="shared" si="28"/>
        <v>1</v>
      </c>
    </row>
    <row r="233" spans="2:16">
      <c r="B233" s="41"/>
      <c r="C233" s="403">
        <f t="shared" si="24"/>
        <v>44031</v>
      </c>
      <c r="D233" s="56" t="str">
        <f>VLOOKUP(MOD(C233,7),'CALENDAR INFO'!$G$5:$H$11,2)</f>
        <v>SUN</v>
      </c>
      <c r="E233" s="165">
        <v>0.09</v>
      </c>
      <c r="F233" s="336">
        <v>0.12</v>
      </c>
      <c r="G233" s="411">
        <f t="shared" si="25"/>
        <v>0.03</v>
      </c>
      <c r="K233" s="126"/>
      <c r="L233" s="403">
        <f t="shared" si="26"/>
        <v>44031</v>
      </c>
      <c r="M233" s="56" t="str">
        <f t="shared" si="27"/>
        <v>SUN</v>
      </c>
      <c r="O233" s="378">
        <f t="shared" si="29"/>
        <v>0</v>
      </c>
      <c r="P233" s="392">
        <f t="shared" si="28"/>
        <v>1</v>
      </c>
    </row>
    <row r="234" spans="2:16">
      <c r="B234" s="41"/>
      <c r="C234" s="403">
        <f t="shared" si="24"/>
        <v>44032</v>
      </c>
      <c r="D234" s="56" t="str">
        <f>VLOOKUP(MOD(C234,7),'CALENDAR INFO'!$G$5:$H$11,2)</f>
        <v>MON</v>
      </c>
      <c r="E234" s="165">
        <v>0.1</v>
      </c>
      <c r="F234" s="336">
        <v>0.12</v>
      </c>
      <c r="G234" s="411">
        <f t="shared" si="25"/>
        <v>1.999999999999999E-2</v>
      </c>
      <c r="K234" s="126"/>
      <c r="L234" s="403">
        <f t="shared" si="26"/>
        <v>44032</v>
      </c>
      <c r="M234" s="56" t="str">
        <f t="shared" si="27"/>
        <v>MON</v>
      </c>
      <c r="O234" s="378">
        <f t="shared" si="29"/>
        <v>1</v>
      </c>
      <c r="P234" s="392">
        <f t="shared" si="28"/>
        <v>1.0000033333333334</v>
      </c>
    </row>
    <row r="235" spans="2:16">
      <c r="B235" s="41"/>
      <c r="C235" s="403">
        <f t="shared" si="24"/>
        <v>44033</v>
      </c>
      <c r="D235" s="56" t="str">
        <f>VLOOKUP(MOD(C235,7),'CALENDAR INFO'!$G$5:$H$11,2)</f>
        <v>TUE</v>
      </c>
      <c r="E235" s="165">
        <v>0.1</v>
      </c>
      <c r="F235" s="336">
        <v>0.11</v>
      </c>
      <c r="G235" s="411">
        <f t="shared" si="25"/>
        <v>9.999999999999995E-3</v>
      </c>
      <c r="K235" s="126"/>
      <c r="L235" s="403">
        <f t="shared" si="26"/>
        <v>44033</v>
      </c>
      <c r="M235" s="56" t="str">
        <f t="shared" si="27"/>
        <v>TUE</v>
      </c>
      <c r="O235" s="378">
        <f t="shared" si="29"/>
        <v>1</v>
      </c>
      <c r="P235" s="392">
        <f t="shared" si="28"/>
        <v>1.0000030555555555</v>
      </c>
    </row>
    <row r="236" spans="2:16">
      <c r="B236" s="41"/>
      <c r="C236" s="403">
        <f t="shared" si="24"/>
        <v>44034</v>
      </c>
      <c r="D236" s="56" t="str">
        <f>VLOOKUP(MOD(C236,7),'CALENDAR INFO'!$G$5:$H$11,2)</f>
        <v>WED</v>
      </c>
      <c r="E236" s="165">
        <v>0.09</v>
      </c>
      <c r="F236" s="336">
        <v>0.1</v>
      </c>
      <c r="G236" s="411">
        <f t="shared" si="25"/>
        <v>1.0000000000000009E-2</v>
      </c>
      <c r="K236" s="126"/>
      <c r="L236" s="403">
        <f t="shared" si="26"/>
        <v>44034</v>
      </c>
      <c r="M236" s="56" t="str">
        <f t="shared" si="27"/>
        <v>WED</v>
      </c>
      <c r="O236" s="378">
        <f t="shared" si="29"/>
        <v>1</v>
      </c>
      <c r="P236" s="392">
        <f t="shared" si="28"/>
        <v>1.0000027777777778</v>
      </c>
    </row>
    <row r="237" spans="2:16">
      <c r="B237" s="41"/>
      <c r="C237" s="403">
        <f t="shared" si="24"/>
        <v>44035</v>
      </c>
      <c r="D237" s="56" t="str">
        <f>VLOOKUP(MOD(C237,7),'CALENDAR INFO'!$G$5:$H$11,2)</f>
        <v>THU</v>
      </c>
      <c r="E237" s="165">
        <v>0.09</v>
      </c>
      <c r="F237" s="336">
        <v>0.1</v>
      </c>
      <c r="G237" s="411">
        <f t="shared" si="25"/>
        <v>1.0000000000000009E-2</v>
      </c>
      <c r="K237" s="126"/>
      <c r="L237" s="403">
        <f t="shared" si="26"/>
        <v>44035</v>
      </c>
      <c r="M237" s="56" t="str">
        <f t="shared" si="27"/>
        <v>THU</v>
      </c>
      <c r="O237" s="378">
        <f t="shared" si="29"/>
        <v>1</v>
      </c>
      <c r="P237" s="392">
        <f t="shared" si="28"/>
        <v>1.0000027777777778</v>
      </c>
    </row>
    <row r="238" spans="2:16">
      <c r="B238" s="41"/>
      <c r="C238" s="403">
        <f t="shared" si="24"/>
        <v>44036</v>
      </c>
      <c r="D238" s="56" t="str">
        <f>VLOOKUP(MOD(C238,7),'CALENDAR INFO'!$G$5:$H$11,2)</f>
        <v>FRI</v>
      </c>
      <c r="E238" s="165">
        <v>0.09</v>
      </c>
      <c r="F238" s="336">
        <v>0.1</v>
      </c>
      <c r="G238" s="411">
        <f t="shared" si="25"/>
        <v>1.0000000000000009E-2</v>
      </c>
      <c r="K238" s="126"/>
      <c r="L238" s="403">
        <f t="shared" si="26"/>
        <v>44036</v>
      </c>
      <c r="M238" s="56" t="str">
        <f t="shared" si="27"/>
        <v>FRI</v>
      </c>
      <c r="O238" s="378">
        <f t="shared" si="29"/>
        <v>3</v>
      </c>
      <c r="P238" s="392">
        <f t="shared" si="28"/>
        <v>1.0000083333333334</v>
      </c>
    </row>
    <row r="239" spans="2:16">
      <c r="B239" s="41"/>
      <c r="C239" s="403">
        <f t="shared" si="24"/>
        <v>44037</v>
      </c>
      <c r="D239" s="56" t="str">
        <f>VLOOKUP(MOD(C239,7),'CALENDAR INFO'!$G$5:$H$11,2)</f>
        <v>SAT</v>
      </c>
      <c r="E239" s="165">
        <v>0.09</v>
      </c>
      <c r="F239" s="336">
        <v>0.1</v>
      </c>
      <c r="G239" s="411">
        <f t="shared" si="25"/>
        <v>1.0000000000000009E-2</v>
      </c>
      <c r="K239" s="126"/>
      <c r="L239" s="403">
        <f t="shared" si="26"/>
        <v>44037</v>
      </c>
      <c r="M239" s="56" t="str">
        <f t="shared" si="27"/>
        <v>SAT</v>
      </c>
      <c r="O239" s="378">
        <f t="shared" si="29"/>
        <v>0</v>
      </c>
      <c r="P239" s="392">
        <f t="shared" si="28"/>
        <v>1</v>
      </c>
    </row>
    <row r="240" spans="2:16">
      <c r="B240" s="41"/>
      <c r="C240" s="403">
        <f t="shared" si="24"/>
        <v>44038</v>
      </c>
      <c r="D240" s="56" t="str">
        <f>VLOOKUP(MOD(C240,7),'CALENDAR INFO'!$G$5:$H$11,2)</f>
        <v>SUN</v>
      </c>
      <c r="E240" s="165">
        <v>0.09</v>
      </c>
      <c r="F240" s="336">
        <v>0.1</v>
      </c>
      <c r="G240" s="411">
        <f t="shared" si="25"/>
        <v>1.0000000000000009E-2</v>
      </c>
      <c r="K240" s="126"/>
      <c r="L240" s="403">
        <f t="shared" si="26"/>
        <v>44038</v>
      </c>
      <c r="M240" s="56" t="str">
        <f t="shared" si="27"/>
        <v>SUN</v>
      </c>
      <c r="O240" s="378">
        <f t="shared" si="29"/>
        <v>0</v>
      </c>
      <c r="P240" s="392">
        <f t="shared" si="28"/>
        <v>1</v>
      </c>
    </row>
    <row r="241" spans="1:18">
      <c r="B241" s="41"/>
      <c r="C241" s="403">
        <f t="shared" si="24"/>
        <v>44039</v>
      </c>
      <c r="D241" s="56" t="str">
        <f>VLOOKUP(MOD(C241,7),'CALENDAR INFO'!$G$5:$H$11,2)</f>
        <v>MON</v>
      </c>
      <c r="E241" s="165">
        <v>0.1</v>
      </c>
      <c r="F241" s="336">
        <v>0.1</v>
      </c>
      <c r="G241" s="411">
        <f t="shared" si="25"/>
        <v>0</v>
      </c>
      <c r="I241" s="137"/>
      <c r="K241" s="126"/>
      <c r="L241" s="403">
        <f t="shared" si="26"/>
        <v>44039</v>
      </c>
      <c r="M241" s="56" t="str">
        <f t="shared" si="27"/>
        <v>MON</v>
      </c>
      <c r="O241" s="378">
        <f t="shared" si="29"/>
        <v>1</v>
      </c>
      <c r="P241" s="392">
        <f t="shared" si="28"/>
        <v>1.0000027777777778</v>
      </c>
    </row>
    <row r="242" spans="1:18">
      <c r="B242" s="41"/>
      <c r="C242" s="403">
        <f t="shared" si="24"/>
        <v>44040</v>
      </c>
      <c r="D242" s="56" t="str">
        <f>VLOOKUP(MOD(C242,7),'CALENDAR INFO'!$G$5:$H$11,2)</f>
        <v>TUE</v>
      </c>
      <c r="E242" s="165">
        <v>0.1</v>
      </c>
      <c r="F242" s="336">
        <v>0.1</v>
      </c>
      <c r="G242" s="411">
        <f t="shared" si="25"/>
        <v>0</v>
      </c>
      <c r="I242" s="147"/>
      <c r="K242" s="126"/>
      <c r="L242" s="403">
        <f t="shared" si="26"/>
        <v>44040</v>
      </c>
      <c r="M242" s="56" t="str">
        <f t="shared" si="27"/>
        <v>TUE</v>
      </c>
      <c r="N242" s="116" t="s">
        <v>20</v>
      </c>
      <c r="O242" s="378">
        <f t="shared" si="29"/>
        <v>1</v>
      </c>
      <c r="P242" s="392">
        <f t="shared" si="28"/>
        <v>1.0000027777777778</v>
      </c>
    </row>
    <row r="243" spans="1:18">
      <c r="B243" s="41"/>
      <c r="C243" s="403">
        <f t="shared" si="24"/>
        <v>44041</v>
      </c>
      <c r="D243" s="56" t="str">
        <f>VLOOKUP(MOD(C243,7),'CALENDAR INFO'!$G$5:$H$11,2)</f>
        <v>WED</v>
      </c>
      <c r="E243" s="165">
        <v>0.1</v>
      </c>
      <c r="F243" s="336">
        <v>0.09</v>
      </c>
      <c r="G243" s="411">
        <f t="shared" si="25"/>
        <v>-1.0000000000000009E-2</v>
      </c>
      <c r="H243" s="343"/>
      <c r="I243" s="145"/>
      <c r="J243" s="153"/>
      <c r="K243" s="126" t="s">
        <v>19</v>
      </c>
      <c r="L243" s="403">
        <f t="shared" si="26"/>
        <v>44041</v>
      </c>
      <c r="M243" s="56" t="str">
        <f t="shared" si="27"/>
        <v>WED</v>
      </c>
      <c r="N243" s="116" t="s">
        <v>20</v>
      </c>
      <c r="O243" s="378">
        <f t="shared" si="29"/>
        <v>1</v>
      </c>
      <c r="P243" s="392">
        <f t="shared" si="28"/>
        <v>1.0000024999999999</v>
      </c>
    </row>
    <row r="244" spans="1:18">
      <c r="B244" s="41"/>
      <c r="C244" s="403">
        <f t="shared" si="24"/>
        <v>44042</v>
      </c>
      <c r="D244" s="56" t="str">
        <f>VLOOKUP(MOD(C244,7),'CALENDAR INFO'!$G$5:$H$11,2)</f>
        <v>THU</v>
      </c>
      <c r="E244" s="165">
        <v>0.1</v>
      </c>
      <c r="F244" s="336">
        <v>0.1</v>
      </c>
      <c r="G244" s="411">
        <f t="shared" si="25"/>
        <v>0</v>
      </c>
      <c r="I244" s="137"/>
      <c r="K244" s="129" t="s">
        <v>18</v>
      </c>
      <c r="L244" s="403">
        <f t="shared" si="26"/>
        <v>44042</v>
      </c>
      <c r="M244" s="56" t="str">
        <f t="shared" si="27"/>
        <v>THU</v>
      </c>
      <c r="O244" s="378">
        <f t="shared" si="29"/>
        <v>1</v>
      </c>
      <c r="P244" s="392">
        <f t="shared" si="28"/>
        <v>1.0000027777777778</v>
      </c>
    </row>
    <row r="245" spans="1:18" s="68" customFormat="1" ht="15.75" thickBot="1">
      <c r="A245" s="65"/>
      <c r="B245" s="174"/>
      <c r="C245" s="404">
        <f t="shared" si="24"/>
        <v>44043</v>
      </c>
      <c r="D245" s="64" t="str">
        <f>VLOOKUP(MOD(C245,7),'CALENDAR INFO'!$G$5:$H$11,2)</f>
        <v>FRI</v>
      </c>
      <c r="E245" s="166">
        <v>0.1</v>
      </c>
      <c r="F245" s="337">
        <v>0.1</v>
      </c>
      <c r="G245" s="412">
        <f t="shared" si="25"/>
        <v>0</v>
      </c>
      <c r="H245" s="344"/>
      <c r="I245" s="140"/>
      <c r="J245" s="154"/>
      <c r="K245" s="84"/>
      <c r="L245" s="404">
        <f t="shared" si="26"/>
        <v>44043</v>
      </c>
      <c r="M245" s="64" t="str">
        <f t="shared" si="27"/>
        <v>FRI</v>
      </c>
      <c r="N245" s="90"/>
      <c r="O245" s="381">
        <f t="shared" si="29"/>
        <v>3</v>
      </c>
      <c r="P245" s="388">
        <f t="shared" si="28"/>
        <v>1.0000083333333334</v>
      </c>
      <c r="R245" s="66"/>
    </row>
    <row r="246" spans="1:18">
      <c r="A246" s="69"/>
      <c r="B246" s="175"/>
      <c r="C246" s="403">
        <f t="shared" si="24"/>
        <v>44044</v>
      </c>
      <c r="D246" s="56" t="str">
        <f>VLOOKUP(MOD(C246,7),'CALENDAR INFO'!$G$5:$H$11,2)</f>
        <v>SAT</v>
      </c>
      <c r="E246" s="165">
        <v>0.1</v>
      </c>
      <c r="F246" s="336">
        <v>0.1</v>
      </c>
      <c r="G246" s="411">
        <f t="shared" si="25"/>
        <v>0</v>
      </c>
      <c r="H246" s="15" t="s">
        <v>149</v>
      </c>
      <c r="I246" s="15">
        <f>ROW(I246)</f>
        <v>246</v>
      </c>
      <c r="J246" s="138">
        <f>I246</f>
        <v>246</v>
      </c>
      <c r="K246" s="129"/>
      <c r="L246" s="403">
        <f t="shared" si="26"/>
        <v>44044</v>
      </c>
      <c r="M246" s="56" t="str">
        <f t="shared" si="27"/>
        <v>SAT</v>
      </c>
      <c r="O246" s="378">
        <f t="shared" si="29"/>
        <v>0</v>
      </c>
      <c r="P246" s="392">
        <f t="shared" si="28"/>
        <v>1</v>
      </c>
    </row>
    <row r="247" spans="1:18">
      <c r="A247" s="69"/>
      <c r="B247" s="175"/>
      <c r="C247" s="403">
        <f t="shared" si="24"/>
        <v>44045</v>
      </c>
      <c r="D247" s="56" t="str">
        <f>VLOOKUP(MOD(C247,7),'CALENDAR INFO'!$G$5:$H$11,2)</f>
        <v>SUN</v>
      </c>
      <c r="E247" s="165">
        <v>0.1</v>
      </c>
      <c r="F247" s="336">
        <v>0.1</v>
      </c>
      <c r="G247" s="411">
        <f t="shared" si="25"/>
        <v>0</v>
      </c>
      <c r="H247" s="376" t="s">
        <v>210</v>
      </c>
      <c r="I247" s="15">
        <f>VLOOKUP(MONTH($C246),'CALENDAR INFO'!$J$5:$K$16,2)</f>
        <v>31</v>
      </c>
      <c r="J247" s="138">
        <f>I247</f>
        <v>31</v>
      </c>
      <c r="K247" s="129"/>
      <c r="L247" s="403">
        <f t="shared" si="26"/>
        <v>44045</v>
      </c>
      <c r="M247" s="56" t="str">
        <f t="shared" si="27"/>
        <v>SUN</v>
      </c>
      <c r="O247" s="378">
        <f t="shared" si="29"/>
        <v>0</v>
      </c>
      <c r="P247" s="392">
        <f t="shared" si="28"/>
        <v>1</v>
      </c>
    </row>
    <row r="248" spans="1:18">
      <c r="B248" s="41"/>
      <c r="C248" s="403">
        <f t="shared" si="24"/>
        <v>44046</v>
      </c>
      <c r="D248" s="56" t="str">
        <f>VLOOKUP(MOD(C248,7),'CALENDAR INFO'!$G$5:$H$11,2)</f>
        <v>MON</v>
      </c>
      <c r="E248" s="165">
        <v>0.1</v>
      </c>
      <c r="F248" s="336">
        <v>0.1</v>
      </c>
      <c r="G248" s="411">
        <f t="shared" si="25"/>
        <v>0</v>
      </c>
      <c r="H248" s="376" t="s">
        <v>211</v>
      </c>
      <c r="I248" s="15">
        <f>I247+I246-1</f>
        <v>276</v>
      </c>
      <c r="J248" s="138">
        <f>I248</f>
        <v>276</v>
      </c>
      <c r="K248" s="129"/>
      <c r="L248" s="403">
        <f t="shared" si="26"/>
        <v>44046</v>
      </c>
      <c r="M248" s="56" t="str">
        <f t="shared" si="27"/>
        <v>MON</v>
      </c>
      <c r="O248" s="378">
        <f t="shared" si="29"/>
        <v>1</v>
      </c>
      <c r="P248" s="392">
        <f t="shared" si="28"/>
        <v>1.0000027777777778</v>
      </c>
    </row>
    <row r="249" spans="1:18">
      <c r="B249" s="41"/>
      <c r="C249" s="403">
        <f t="shared" si="24"/>
        <v>44047</v>
      </c>
      <c r="D249" s="56" t="str">
        <f>VLOOKUP(MOD(C249,7),'CALENDAR INFO'!$G$5:$H$11,2)</f>
        <v>TUE</v>
      </c>
      <c r="E249" s="165">
        <v>0.1</v>
      </c>
      <c r="F249" s="336">
        <v>0.09</v>
      </c>
      <c r="G249" s="411">
        <f t="shared" si="25"/>
        <v>-1.0000000000000009E-2</v>
      </c>
      <c r="K249" s="129"/>
      <c r="L249" s="403">
        <f t="shared" si="26"/>
        <v>44047</v>
      </c>
      <c r="M249" s="56" t="str">
        <f t="shared" si="27"/>
        <v>TUE</v>
      </c>
      <c r="O249" s="378">
        <f t="shared" si="29"/>
        <v>1</v>
      </c>
      <c r="P249" s="392">
        <f t="shared" si="28"/>
        <v>1.0000024999999999</v>
      </c>
    </row>
    <row r="250" spans="1:18">
      <c r="B250" s="41"/>
      <c r="C250" s="403">
        <f t="shared" si="24"/>
        <v>44048</v>
      </c>
      <c r="D250" s="56" t="str">
        <f>VLOOKUP(MOD(C250,7),'CALENDAR INFO'!$G$5:$H$11,2)</f>
        <v>WED</v>
      </c>
      <c r="E250" s="165">
        <v>0.1</v>
      </c>
      <c r="F250" s="336">
        <v>0.09</v>
      </c>
      <c r="G250" s="411">
        <f t="shared" si="25"/>
        <v>-1.0000000000000009E-2</v>
      </c>
      <c r="H250" s="15" t="s">
        <v>150</v>
      </c>
      <c r="I250" s="137" t="str">
        <f>_xlfn.CONCAT(ADDRESS(I246,5),":",ADDRESS(I248,5))</f>
        <v>$E$246:$E$276</v>
      </c>
      <c r="J250" s="150" t="str">
        <f>_xlfn.CONCAT(ADDRESS(J246,6),":",ADDRESS(J248,6))</f>
        <v>$F$246:$F$276</v>
      </c>
      <c r="K250" s="129"/>
      <c r="L250" s="403">
        <f t="shared" si="26"/>
        <v>44048</v>
      </c>
      <c r="M250" s="56" t="str">
        <f t="shared" si="27"/>
        <v>WED</v>
      </c>
      <c r="O250" s="378">
        <f t="shared" ref="O250:O279" si="30">IF(MOD(C250,7)&lt;2,0,IF(MOD(C250,7)=6,3,1))</f>
        <v>1</v>
      </c>
      <c r="P250" s="392">
        <f t="shared" si="28"/>
        <v>1.0000024999999999</v>
      </c>
    </row>
    <row r="251" spans="1:18">
      <c r="B251" s="41"/>
      <c r="C251" s="403">
        <f t="shared" si="24"/>
        <v>44049</v>
      </c>
      <c r="D251" s="56" t="str">
        <f>VLOOKUP(MOD(C251,7),'CALENDAR INFO'!$G$5:$H$11,2)</f>
        <v>THU</v>
      </c>
      <c r="E251" s="165">
        <v>0.1</v>
      </c>
      <c r="F251" s="336">
        <v>0.09</v>
      </c>
      <c r="G251" s="411">
        <f t="shared" si="25"/>
        <v>-1.0000000000000009E-2</v>
      </c>
      <c r="K251" s="129"/>
      <c r="L251" s="403">
        <f t="shared" si="26"/>
        <v>44049</v>
      </c>
      <c r="M251" s="56" t="str">
        <f t="shared" si="27"/>
        <v>THU</v>
      </c>
      <c r="O251" s="378">
        <f t="shared" si="30"/>
        <v>1</v>
      </c>
      <c r="P251" s="392">
        <f t="shared" si="28"/>
        <v>1.0000024999999999</v>
      </c>
    </row>
    <row r="252" spans="1:18">
      <c r="B252" s="41"/>
      <c r="C252" s="403">
        <f t="shared" si="24"/>
        <v>44050</v>
      </c>
      <c r="D252" s="56" t="str">
        <f>VLOOKUP(MOD(C252,7),'CALENDAR INFO'!$G$5:$H$11,2)</f>
        <v>FRI</v>
      </c>
      <c r="E252" s="165">
        <v>0.1</v>
      </c>
      <c r="F252" s="336">
        <v>0.09</v>
      </c>
      <c r="G252" s="411">
        <f t="shared" si="25"/>
        <v>-1.0000000000000009E-2</v>
      </c>
      <c r="H252" s="376" t="s">
        <v>221</v>
      </c>
      <c r="I252" s="147">
        <f ca="1">AVERAGE(INDIRECT(I250))</f>
        <v>9.5161290322580624E-2</v>
      </c>
      <c r="J252" s="326">
        <f ca="1">AVERAGE(INDIRECT(J250))</f>
        <v>8.5161290322580629E-2</v>
      </c>
      <c r="K252" s="129"/>
      <c r="L252" s="403">
        <f t="shared" si="26"/>
        <v>44050</v>
      </c>
      <c r="M252" s="56" t="str">
        <f t="shared" si="27"/>
        <v>FRI</v>
      </c>
      <c r="O252" s="378">
        <f t="shared" si="30"/>
        <v>3</v>
      </c>
      <c r="P252" s="392">
        <f t="shared" si="28"/>
        <v>1.0000074999999999</v>
      </c>
    </row>
    <row r="253" spans="1:18">
      <c r="B253" s="41"/>
      <c r="C253" s="403">
        <f t="shared" si="24"/>
        <v>44051</v>
      </c>
      <c r="D253" s="56" t="str">
        <f>VLOOKUP(MOD(C253,7),'CALENDAR INFO'!$G$5:$H$11,2)</f>
        <v>SAT</v>
      </c>
      <c r="E253" s="165">
        <v>0.1</v>
      </c>
      <c r="F253" s="336">
        <v>0.09</v>
      </c>
      <c r="G253" s="411">
        <f t="shared" si="25"/>
        <v>-1.0000000000000009E-2</v>
      </c>
      <c r="I253" s="240"/>
      <c r="J253" s="157"/>
      <c r="K253" s="129"/>
      <c r="L253" s="403">
        <f t="shared" si="26"/>
        <v>44051</v>
      </c>
      <c r="M253" s="56" t="str">
        <f t="shared" si="27"/>
        <v>SAT</v>
      </c>
      <c r="O253" s="378">
        <f t="shared" si="30"/>
        <v>0</v>
      </c>
      <c r="P253" s="392">
        <f t="shared" si="28"/>
        <v>1</v>
      </c>
    </row>
    <row r="254" spans="1:18">
      <c r="B254" s="41"/>
      <c r="C254" s="403">
        <f t="shared" si="24"/>
        <v>44052</v>
      </c>
      <c r="D254" s="56" t="str">
        <f>VLOOKUP(MOD(C254,7),'CALENDAR INFO'!$G$5:$H$11,2)</f>
        <v>SUN</v>
      </c>
      <c r="E254" s="165">
        <v>0.1</v>
      </c>
      <c r="F254" s="336">
        <v>0.09</v>
      </c>
      <c r="G254" s="411">
        <f t="shared" si="25"/>
        <v>-1.0000000000000009E-2</v>
      </c>
      <c r="H254" s="15" t="s">
        <v>222</v>
      </c>
      <c r="I254" s="147">
        <f ca="1">100-I252</f>
        <v>99.904838709677421</v>
      </c>
      <c r="J254" s="326">
        <f ca="1">100-J252</f>
        <v>99.914838709677426</v>
      </c>
      <c r="K254" s="129"/>
      <c r="L254" s="403">
        <f t="shared" si="26"/>
        <v>44052</v>
      </c>
      <c r="M254" s="56" t="str">
        <f t="shared" si="27"/>
        <v>SUN</v>
      </c>
      <c r="O254" s="378">
        <f t="shared" si="30"/>
        <v>0</v>
      </c>
      <c r="P254" s="392">
        <f t="shared" si="28"/>
        <v>1</v>
      </c>
    </row>
    <row r="255" spans="1:18">
      <c r="B255" s="41"/>
      <c r="C255" s="403">
        <f t="shared" si="24"/>
        <v>44053</v>
      </c>
      <c r="D255" s="56" t="str">
        <f>VLOOKUP(MOD(C255,7),'CALENDAR INFO'!$G$5:$H$11,2)</f>
        <v>MON</v>
      </c>
      <c r="E255" s="165">
        <v>0.1</v>
      </c>
      <c r="F255" s="336">
        <v>0.09</v>
      </c>
      <c r="G255" s="411">
        <f t="shared" si="25"/>
        <v>-1.0000000000000009E-2</v>
      </c>
      <c r="I255" s="137"/>
      <c r="J255" s="150"/>
      <c r="K255" s="129"/>
      <c r="L255" s="403">
        <f t="shared" si="26"/>
        <v>44053</v>
      </c>
      <c r="M255" s="56" t="str">
        <f t="shared" si="27"/>
        <v>MON</v>
      </c>
      <c r="O255" s="378">
        <f t="shared" si="30"/>
        <v>1</v>
      </c>
      <c r="P255" s="392">
        <f t="shared" si="28"/>
        <v>1.0000024999999999</v>
      </c>
    </row>
    <row r="256" spans="1:18">
      <c r="B256" s="41"/>
      <c r="C256" s="403">
        <f t="shared" si="24"/>
        <v>44054</v>
      </c>
      <c r="D256" s="56" t="str">
        <f>VLOOKUP(MOD(C256,7),'CALENDAR INFO'!$G$5:$H$11,2)</f>
        <v>TUE</v>
      </c>
      <c r="E256" s="165">
        <v>0.1</v>
      </c>
      <c r="F256" s="336">
        <v>0.1</v>
      </c>
      <c r="G256" s="411">
        <f t="shared" si="25"/>
        <v>0</v>
      </c>
      <c r="H256" s="425" t="s">
        <v>97</v>
      </c>
      <c r="I256" s="419">
        <v>99.905000000000001</v>
      </c>
      <c r="J256" s="426">
        <v>99.915000000000006</v>
      </c>
      <c r="K256" s="129"/>
      <c r="L256" s="403">
        <f t="shared" si="26"/>
        <v>44054</v>
      </c>
      <c r="M256" s="56" t="str">
        <f t="shared" si="27"/>
        <v>TUE</v>
      </c>
      <c r="O256" s="378">
        <f t="shared" si="30"/>
        <v>1</v>
      </c>
      <c r="P256" s="392">
        <f t="shared" si="28"/>
        <v>1.0000027777777778</v>
      </c>
    </row>
    <row r="257" spans="2:16">
      <c r="B257" s="41"/>
      <c r="C257" s="403">
        <f t="shared" ref="C257:C320" si="31">C256+1</f>
        <v>44055</v>
      </c>
      <c r="D257" s="56" t="str">
        <f>VLOOKUP(MOD(C257,7),'CALENDAR INFO'!$G$5:$H$11,2)</f>
        <v>WED</v>
      </c>
      <c r="E257" s="165">
        <v>0.1</v>
      </c>
      <c r="F257" s="336">
        <v>0.09</v>
      </c>
      <c r="G257" s="411">
        <f t="shared" si="25"/>
        <v>-1.0000000000000009E-2</v>
      </c>
      <c r="I257" s="137"/>
      <c r="J257" s="150"/>
      <c r="K257" s="129" t="s">
        <v>19</v>
      </c>
      <c r="L257" s="403">
        <f t="shared" si="26"/>
        <v>44055</v>
      </c>
      <c r="M257" s="56" t="str">
        <f t="shared" si="27"/>
        <v>WED</v>
      </c>
      <c r="O257" s="378">
        <f t="shared" si="30"/>
        <v>1</v>
      </c>
      <c r="P257" s="392">
        <f t="shared" si="28"/>
        <v>1.0000024999999999</v>
      </c>
    </row>
    <row r="258" spans="2:16">
      <c r="B258" s="41"/>
      <c r="C258" s="403">
        <f t="shared" si="31"/>
        <v>44056</v>
      </c>
      <c r="D258" s="56" t="str">
        <f>VLOOKUP(MOD(C258,7),'CALENDAR INFO'!$G$5:$H$11,2)</f>
        <v>THU</v>
      </c>
      <c r="E258" s="165">
        <v>0.1</v>
      </c>
      <c r="F258" s="336">
        <v>0.09</v>
      </c>
      <c r="G258" s="411">
        <f t="shared" si="25"/>
        <v>-1.0000000000000009E-2</v>
      </c>
      <c r="H258" s="136"/>
      <c r="I258" s="139"/>
      <c r="J258" s="151"/>
      <c r="K258" s="126" t="s">
        <v>18</v>
      </c>
      <c r="L258" s="403">
        <f t="shared" si="26"/>
        <v>44056</v>
      </c>
      <c r="M258" s="56" t="str">
        <f t="shared" si="27"/>
        <v>THU</v>
      </c>
      <c r="O258" s="378">
        <f t="shared" si="30"/>
        <v>1</v>
      </c>
      <c r="P258" s="392">
        <f t="shared" si="28"/>
        <v>1.0000024999999999</v>
      </c>
    </row>
    <row r="259" spans="2:16">
      <c r="B259" s="41"/>
      <c r="C259" s="403">
        <f t="shared" si="31"/>
        <v>44057</v>
      </c>
      <c r="D259" s="56" t="str">
        <f>VLOOKUP(MOD(C259,7),'CALENDAR INFO'!$G$5:$H$11,2)</f>
        <v>FRI</v>
      </c>
      <c r="E259" s="165">
        <v>0.1</v>
      </c>
      <c r="F259" s="336">
        <v>0.09</v>
      </c>
      <c r="G259" s="411">
        <f t="shared" ref="G259:G322" si="32">F259-E259</f>
        <v>-1.0000000000000009E-2</v>
      </c>
      <c r="K259" s="126"/>
      <c r="L259" s="403">
        <f t="shared" ref="L259:L322" si="33">C259</f>
        <v>44057</v>
      </c>
      <c r="M259" s="56" t="str">
        <f t="shared" ref="M259:M322" si="34">D259</f>
        <v>FRI</v>
      </c>
      <c r="O259" s="378">
        <f t="shared" si="30"/>
        <v>3</v>
      </c>
      <c r="P259" s="392">
        <f t="shared" si="28"/>
        <v>1.0000074999999999</v>
      </c>
    </row>
    <row r="260" spans="2:16">
      <c r="B260" s="41"/>
      <c r="C260" s="403">
        <f t="shared" si="31"/>
        <v>44058</v>
      </c>
      <c r="D260" s="56" t="str">
        <f>VLOOKUP(MOD(C260,7),'CALENDAR INFO'!$G$5:$H$11,2)</f>
        <v>SAT</v>
      </c>
      <c r="E260" s="165">
        <v>0.1</v>
      </c>
      <c r="F260" s="336">
        <v>0.09</v>
      </c>
      <c r="G260" s="411">
        <f t="shared" si="32"/>
        <v>-1.0000000000000009E-2</v>
      </c>
      <c r="H260" s="135"/>
      <c r="I260" s="144"/>
      <c r="J260" s="152"/>
      <c r="K260" s="126"/>
      <c r="L260" s="403">
        <f t="shared" si="33"/>
        <v>44058</v>
      </c>
      <c r="M260" s="56" t="str">
        <f t="shared" si="34"/>
        <v>SAT</v>
      </c>
      <c r="O260" s="378">
        <f t="shared" si="30"/>
        <v>0</v>
      </c>
      <c r="P260" s="392">
        <f t="shared" si="28"/>
        <v>1</v>
      </c>
    </row>
    <row r="261" spans="2:16">
      <c r="B261" s="41"/>
      <c r="C261" s="403">
        <f t="shared" si="31"/>
        <v>44059</v>
      </c>
      <c r="D261" s="56" t="str">
        <f>VLOOKUP(MOD(C261,7),'CALENDAR INFO'!$G$5:$H$11,2)</f>
        <v>SUN</v>
      </c>
      <c r="E261" s="165">
        <v>0.1</v>
      </c>
      <c r="F261" s="336">
        <v>0.09</v>
      </c>
      <c r="G261" s="411">
        <f t="shared" si="32"/>
        <v>-1.0000000000000009E-2</v>
      </c>
      <c r="K261" s="126"/>
      <c r="L261" s="403">
        <f t="shared" si="33"/>
        <v>44059</v>
      </c>
      <c r="M261" s="56" t="str">
        <f t="shared" si="34"/>
        <v>SUN</v>
      </c>
      <c r="O261" s="378">
        <f t="shared" si="30"/>
        <v>0</v>
      </c>
      <c r="P261" s="392">
        <f t="shared" si="28"/>
        <v>1</v>
      </c>
    </row>
    <row r="262" spans="2:16">
      <c r="B262" s="41"/>
      <c r="C262" s="403">
        <f t="shared" si="31"/>
        <v>44060</v>
      </c>
      <c r="D262" s="56" t="str">
        <f>VLOOKUP(MOD(C262,7),'CALENDAR INFO'!$G$5:$H$11,2)</f>
        <v>MON</v>
      </c>
      <c r="E262" s="165">
        <v>0.1</v>
      </c>
      <c r="F262" s="336">
        <v>0.1</v>
      </c>
      <c r="G262" s="411">
        <f t="shared" si="32"/>
        <v>0</v>
      </c>
      <c r="K262" s="126"/>
      <c r="L262" s="403">
        <f t="shared" si="33"/>
        <v>44060</v>
      </c>
      <c r="M262" s="56" t="str">
        <f t="shared" si="34"/>
        <v>MON</v>
      </c>
      <c r="O262" s="378">
        <f t="shared" si="30"/>
        <v>1</v>
      </c>
      <c r="P262" s="392">
        <f t="shared" si="28"/>
        <v>1.0000027777777778</v>
      </c>
    </row>
    <row r="263" spans="2:16">
      <c r="B263" s="41"/>
      <c r="C263" s="403">
        <f t="shared" si="31"/>
        <v>44061</v>
      </c>
      <c r="D263" s="56" t="str">
        <f>VLOOKUP(MOD(C263,7),'CALENDAR INFO'!$G$5:$H$11,2)</f>
        <v>TUE</v>
      </c>
      <c r="E263" s="165">
        <v>0.09</v>
      </c>
      <c r="F263" s="336">
        <v>0.09</v>
      </c>
      <c r="G263" s="411">
        <f t="shared" si="32"/>
        <v>0</v>
      </c>
      <c r="K263" s="126"/>
      <c r="L263" s="403">
        <f t="shared" si="33"/>
        <v>44061</v>
      </c>
      <c r="M263" s="56" t="str">
        <f t="shared" si="34"/>
        <v>TUE</v>
      </c>
      <c r="O263" s="378">
        <f t="shared" si="30"/>
        <v>1</v>
      </c>
      <c r="P263" s="392">
        <f t="shared" si="28"/>
        <v>1.0000024999999999</v>
      </c>
    </row>
    <row r="264" spans="2:16">
      <c r="B264" s="41"/>
      <c r="C264" s="403">
        <f t="shared" si="31"/>
        <v>44062</v>
      </c>
      <c r="D264" s="56" t="str">
        <f>VLOOKUP(MOD(C264,7),'CALENDAR INFO'!$G$5:$H$11,2)</f>
        <v>WED</v>
      </c>
      <c r="E264" s="165">
        <v>0.09</v>
      </c>
      <c r="F264" s="336">
        <v>0.09</v>
      </c>
      <c r="G264" s="411">
        <f t="shared" si="32"/>
        <v>0</v>
      </c>
      <c r="K264" s="126"/>
      <c r="L264" s="403">
        <f t="shared" si="33"/>
        <v>44062</v>
      </c>
      <c r="M264" s="56" t="str">
        <f t="shared" si="34"/>
        <v>WED</v>
      </c>
      <c r="O264" s="378">
        <f t="shared" si="30"/>
        <v>1</v>
      </c>
      <c r="P264" s="392">
        <f t="shared" si="28"/>
        <v>1.0000024999999999</v>
      </c>
    </row>
    <row r="265" spans="2:16">
      <c r="B265" s="41"/>
      <c r="C265" s="403">
        <f t="shared" si="31"/>
        <v>44063</v>
      </c>
      <c r="D265" s="56" t="str">
        <f>VLOOKUP(MOD(C265,7),'CALENDAR INFO'!$G$5:$H$11,2)</f>
        <v>THU</v>
      </c>
      <c r="E265" s="165">
        <v>0.09</v>
      </c>
      <c r="F265" s="336">
        <v>7.0000000000000007E-2</v>
      </c>
      <c r="G265" s="411">
        <f t="shared" si="32"/>
        <v>-1.999999999999999E-2</v>
      </c>
      <c r="K265" s="126"/>
      <c r="L265" s="403">
        <f t="shared" si="33"/>
        <v>44063</v>
      </c>
      <c r="M265" s="56" t="str">
        <f t="shared" si="34"/>
        <v>THU</v>
      </c>
      <c r="O265" s="378">
        <f t="shared" si="30"/>
        <v>1</v>
      </c>
      <c r="P265" s="392">
        <f t="shared" si="28"/>
        <v>1.0000019444444443</v>
      </c>
    </row>
    <row r="266" spans="2:16">
      <c r="B266" s="41"/>
      <c r="C266" s="403">
        <f t="shared" si="31"/>
        <v>44064</v>
      </c>
      <c r="D266" s="56" t="str">
        <f>VLOOKUP(MOD(C266,7),'CALENDAR INFO'!$G$5:$H$11,2)</f>
        <v>FRI</v>
      </c>
      <c r="E266" s="165">
        <v>0.09</v>
      </c>
      <c r="F266" s="336">
        <v>7.0000000000000007E-2</v>
      </c>
      <c r="G266" s="411">
        <f t="shared" si="32"/>
        <v>-1.999999999999999E-2</v>
      </c>
      <c r="K266" s="126"/>
      <c r="L266" s="403">
        <f t="shared" si="33"/>
        <v>44064</v>
      </c>
      <c r="M266" s="56" t="str">
        <f t="shared" si="34"/>
        <v>FRI</v>
      </c>
      <c r="O266" s="378">
        <f t="shared" si="30"/>
        <v>3</v>
      </c>
      <c r="P266" s="392">
        <f t="shared" si="28"/>
        <v>1.0000058333333333</v>
      </c>
    </row>
    <row r="267" spans="2:16">
      <c r="B267" s="41"/>
      <c r="C267" s="403">
        <f t="shared" si="31"/>
        <v>44065</v>
      </c>
      <c r="D267" s="56" t="str">
        <f>VLOOKUP(MOD(C267,7),'CALENDAR INFO'!$G$5:$H$11,2)</f>
        <v>SAT</v>
      </c>
      <c r="E267" s="165">
        <v>0.09</v>
      </c>
      <c r="F267" s="336">
        <v>7.0000000000000007E-2</v>
      </c>
      <c r="G267" s="411">
        <f t="shared" si="32"/>
        <v>-1.999999999999999E-2</v>
      </c>
      <c r="K267" s="126"/>
      <c r="L267" s="403">
        <f t="shared" si="33"/>
        <v>44065</v>
      </c>
      <c r="M267" s="56" t="str">
        <f t="shared" si="34"/>
        <v>SAT</v>
      </c>
      <c r="O267" s="378">
        <f t="shared" si="30"/>
        <v>0</v>
      </c>
      <c r="P267" s="392">
        <f t="shared" si="28"/>
        <v>1</v>
      </c>
    </row>
    <row r="268" spans="2:16">
      <c r="B268" s="41"/>
      <c r="C268" s="403">
        <f t="shared" si="31"/>
        <v>44066</v>
      </c>
      <c r="D268" s="56" t="str">
        <f>VLOOKUP(MOD(C268,7),'CALENDAR INFO'!$G$5:$H$11,2)</f>
        <v>SUN</v>
      </c>
      <c r="E268" s="165">
        <v>0.09</v>
      </c>
      <c r="F268" s="336">
        <v>7.0000000000000007E-2</v>
      </c>
      <c r="G268" s="411">
        <f t="shared" si="32"/>
        <v>-1.999999999999999E-2</v>
      </c>
      <c r="K268" s="126"/>
      <c r="L268" s="403">
        <f t="shared" si="33"/>
        <v>44066</v>
      </c>
      <c r="M268" s="56" t="str">
        <f t="shared" si="34"/>
        <v>SUN</v>
      </c>
      <c r="O268" s="378">
        <f t="shared" si="30"/>
        <v>0</v>
      </c>
      <c r="P268" s="392">
        <f t="shared" si="28"/>
        <v>1</v>
      </c>
    </row>
    <row r="269" spans="2:16">
      <c r="B269" s="41"/>
      <c r="C269" s="403">
        <f t="shared" si="31"/>
        <v>44067</v>
      </c>
      <c r="D269" s="56" t="str">
        <f>VLOOKUP(MOD(C269,7),'CALENDAR INFO'!$G$5:$H$11,2)</f>
        <v>MON</v>
      </c>
      <c r="E269" s="165">
        <v>0.09</v>
      </c>
      <c r="F269" s="336">
        <v>0.08</v>
      </c>
      <c r="G269" s="411">
        <f t="shared" si="32"/>
        <v>-9.999999999999995E-3</v>
      </c>
      <c r="K269" s="126"/>
      <c r="L269" s="403">
        <f t="shared" si="33"/>
        <v>44067</v>
      </c>
      <c r="M269" s="56" t="str">
        <f t="shared" si="34"/>
        <v>MON</v>
      </c>
      <c r="O269" s="378">
        <f t="shared" si="30"/>
        <v>1</v>
      </c>
      <c r="P269" s="392">
        <f t="shared" si="28"/>
        <v>1.0000022222222222</v>
      </c>
    </row>
    <row r="270" spans="2:16">
      <c r="B270" s="41"/>
      <c r="C270" s="403">
        <f t="shared" si="31"/>
        <v>44068</v>
      </c>
      <c r="D270" s="56" t="str">
        <f>VLOOKUP(MOD(C270,7),'CALENDAR INFO'!$G$5:$H$11,2)</f>
        <v>TUE</v>
      </c>
      <c r="E270" s="165">
        <v>0.09</v>
      </c>
      <c r="F270" s="336">
        <v>0.08</v>
      </c>
      <c r="G270" s="411">
        <f t="shared" si="32"/>
        <v>-9.999999999999995E-3</v>
      </c>
      <c r="K270" s="126"/>
      <c r="L270" s="403">
        <f t="shared" si="33"/>
        <v>44068</v>
      </c>
      <c r="M270" s="56" t="str">
        <f t="shared" si="34"/>
        <v>TUE</v>
      </c>
      <c r="O270" s="378">
        <f t="shared" si="30"/>
        <v>1</v>
      </c>
      <c r="P270" s="392">
        <f t="shared" si="28"/>
        <v>1.0000022222222222</v>
      </c>
    </row>
    <row r="271" spans="2:16">
      <c r="B271" s="41"/>
      <c r="C271" s="403">
        <f t="shared" si="31"/>
        <v>44069</v>
      </c>
      <c r="D271" s="56" t="str">
        <f>VLOOKUP(MOD(C271,7),'CALENDAR INFO'!$G$5:$H$11,2)</f>
        <v>WED</v>
      </c>
      <c r="E271" s="165">
        <v>0.09</v>
      </c>
      <c r="F271" s="336">
        <v>7.0000000000000007E-2</v>
      </c>
      <c r="G271" s="411">
        <f t="shared" si="32"/>
        <v>-1.999999999999999E-2</v>
      </c>
      <c r="K271" s="126" t="s">
        <v>19</v>
      </c>
      <c r="L271" s="403">
        <f t="shared" si="33"/>
        <v>44069</v>
      </c>
      <c r="M271" s="56" t="str">
        <f t="shared" si="34"/>
        <v>WED</v>
      </c>
      <c r="O271" s="378">
        <f t="shared" si="30"/>
        <v>1</v>
      </c>
      <c r="P271" s="392">
        <f t="shared" si="28"/>
        <v>1.0000019444444443</v>
      </c>
    </row>
    <row r="272" spans="2:16">
      <c r="B272" s="41"/>
      <c r="C272" s="403">
        <f t="shared" si="31"/>
        <v>44070</v>
      </c>
      <c r="D272" s="56" t="str">
        <f>VLOOKUP(MOD(C272,7),'CALENDAR INFO'!$G$5:$H$11,2)</f>
        <v>THU</v>
      </c>
      <c r="E272" s="165">
        <v>0.08</v>
      </c>
      <c r="F272" s="336">
        <v>7.0000000000000007E-2</v>
      </c>
      <c r="G272" s="411">
        <f t="shared" si="32"/>
        <v>-9.999999999999995E-3</v>
      </c>
      <c r="I272" s="137"/>
      <c r="K272" s="129" t="s">
        <v>18</v>
      </c>
      <c r="L272" s="403">
        <f t="shared" si="33"/>
        <v>44070</v>
      </c>
      <c r="M272" s="56" t="str">
        <f t="shared" si="34"/>
        <v>THU</v>
      </c>
      <c r="O272" s="378">
        <f t="shared" si="30"/>
        <v>1</v>
      </c>
      <c r="P272" s="392">
        <f t="shared" si="28"/>
        <v>1.0000019444444443</v>
      </c>
    </row>
    <row r="273" spans="1:18">
      <c r="B273" s="41"/>
      <c r="C273" s="403">
        <f t="shared" si="31"/>
        <v>44071</v>
      </c>
      <c r="D273" s="56" t="str">
        <f>VLOOKUP(MOD(C273,7),'CALENDAR INFO'!$G$5:$H$11,2)</f>
        <v>FRI</v>
      </c>
      <c r="E273" s="165">
        <v>0.09</v>
      </c>
      <c r="F273" s="336">
        <v>7.0000000000000007E-2</v>
      </c>
      <c r="G273" s="411">
        <f t="shared" si="32"/>
        <v>-1.999999999999999E-2</v>
      </c>
      <c r="I273" s="147"/>
      <c r="K273" s="129"/>
      <c r="L273" s="403">
        <f t="shared" si="33"/>
        <v>44071</v>
      </c>
      <c r="M273" s="56" t="str">
        <f t="shared" si="34"/>
        <v>FRI</v>
      </c>
      <c r="O273" s="378">
        <f t="shared" si="30"/>
        <v>3</v>
      </c>
      <c r="P273" s="392">
        <f t="shared" si="28"/>
        <v>1.0000058333333333</v>
      </c>
    </row>
    <row r="274" spans="1:18">
      <c r="B274" s="41"/>
      <c r="C274" s="403">
        <f t="shared" si="31"/>
        <v>44072</v>
      </c>
      <c r="D274" s="56" t="str">
        <f>VLOOKUP(MOD(C274,7),'CALENDAR INFO'!$G$5:$H$11,2)</f>
        <v>SAT</v>
      </c>
      <c r="E274" s="165">
        <v>0.09</v>
      </c>
      <c r="F274" s="336">
        <v>7.0000000000000007E-2</v>
      </c>
      <c r="G274" s="411">
        <f t="shared" si="32"/>
        <v>-1.999999999999999E-2</v>
      </c>
      <c r="H274" s="343"/>
      <c r="I274" s="142"/>
      <c r="J274" s="153"/>
      <c r="K274" s="129"/>
      <c r="L274" s="403">
        <f t="shared" si="33"/>
        <v>44072</v>
      </c>
      <c r="M274" s="56" t="str">
        <f t="shared" si="34"/>
        <v>SAT</v>
      </c>
      <c r="O274" s="378">
        <f t="shared" si="30"/>
        <v>0</v>
      </c>
      <c r="P274" s="392">
        <f t="shared" si="28"/>
        <v>1</v>
      </c>
    </row>
    <row r="275" spans="1:18">
      <c r="B275" s="41"/>
      <c r="C275" s="403">
        <f t="shared" si="31"/>
        <v>44073</v>
      </c>
      <c r="D275" s="56" t="str">
        <f>VLOOKUP(MOD(C275,7),'CALENDAR INFO'!$G$5:$H$11,2)</f>
        <v>SUN</v>
      </c>
      <c r="E275" s="165">
        <v>0.09</v>
      </c>
      <c r="F275" s="336">
        <v>7.0000000000000007E-2</v>
      </c>
      <c r="G275" s="411">
        <f t="shared" si="32"/>
        <v>-1.999999999999999E-2</v>
      </c>
      <c r="I275" s="137"/>
      <c r="K275" s="129"/>
      <c r="L275" s="403">
        <f t="shared" si="33"/>
        <v>44073</v>
      </c>
      <c r="M275" s="56" t="str">
        <f t="shared" si="34"/>
        <v>SUN</v>
      </c>
      <c r="O275" s="378">
        <f t="shared" si="30"/>
        <v>0</v>
      </c>
      <c r="P275" s="392">
        <f t="shared" ref="P275:P338" si="35">1+(O275/360)*(MAX(F275,B275)/100)</f>
        <v>1</v>
      </c>
    </row>
    <row r="276" spans="1:18" s="68" customFormat="1" ht="15.75" thickBot="1">
      <c r="A276" s="81"/>
      <c r="B276" s="178"/>
      <c r="C276" s="404">
        <f t="shared" si="31"/>
        <v>44074</v>
      </c>
      <c r="D276" s="64" t="str">
        <f>VLOOKUP(MOD(C276,7),'CALENDAR INFO'!$G$5:$H$11,2)</f>
        <v>MON</v>
      </c>
      <c r="E276" s="166">
        <v>0.09</v>
      </c>
      <c r="F276" s="337">
        <v>0.09</v>
      </c>
      <c r="G276" s="412">
        <f t="shared" si="32"/>
        <v>0</v>
      </c>
      <c r="H276" s="344"/>
      <c r="I276" s="140"/>
      <c r="J276" s="154"/>
      <c r="K276" s="84"/>
      <c r="L276" s="404">
        <f t="shared" si="33"/>
        <v>44074</v>
      </c>
      <c r="M276" s="64" t="str">
        <f t="shared" si="34"/>
        <v>MON</v>
      </c>
      <c r="N276" s="90"/>
      <c r="O276" s="381">
        <f t="shared" si="30"/>
        <v>1</v>
      </c>
      <c r="P276" s="388">
        <f t="shared" si="35"/>
        <v>1.0000024999999999</v>
      </c>
      <c r="R276" s="66"/>
    </row>
    <row r="277" spans="1:18">
      <c r="B277" s="41"/>
      <c r="C277" s="403">
        <f t="shared" si="31"/>
        <v>44075</v>
      </c>
      <c r="D277" s="56" t="str">
        <f>VLOOKUP(MOD(C277,7),'CALENDAR INFO'!$G$5:$H$11,2)</f>
        <v>TUE</v>
      </c>
      <c r="E277" s="165">
        <v>0.09</v>
      </c>
      <c r="F277" s="336">
        <v>0.09</v>
      </c>
      <c r="G277" s="411">
        <f t="shared" si="32"/>
        <v>0</v>
      </c>
      <c r="H277" s="15" t="s">
        <v>149</v>
      </c>
      <c r="I277" s="15">
        <f>ROW(I277)</f>
        <v>277</v>
      </c>
      <c r="J277" s="138">
        <f>I277</f>
        <v>277</v>
      </c>
      <c r="K277" s="129"/>
      <c r="L277" s="403">
        <f t="shared" si="33"/>
        <v>44075</v>
      </c>
      <c r="M277" s="56" t="str">
        <f t="shared" si="34"/>
        <v>TUE</v>
      </c>
      <c r="O277" s="378">
        <f t="shared" si="30"/>
        <v>1</v>
      </c>
      <c r="P277" s="392">
        <f t="shared" si="35"/>
        <v>1.0000024999999999</v>
      </c>
    </row>
    <row r="278" spans="1:18">
      <c r="B278" s="41"/>
      <c r="C278" s="403">
        <f t="shared" si="31"/>
        <v>44076</v>
      </c>
      <c r="D278" s="56" t="str">
        <f>VLOOKUP(MOD(C278,7),'CALENDAR INFO'!$G$5:$H$11,2)</f>
        <v>WED</v>
      </c>
      <c r="E278" s="165">
        <v>0.09</v>
      </c>
      <c r="F278" s="336">
        <v>0.09</v>
      </c>
      <c r="G278" s="411">
        <f t="shared" si="32"/>
        <v>0</v>
      </c>
      <c r="H278" s="376" t="s">
        <v>210</v>
      </c>
      <c r="I278" s="15">
        <f>VLOOKUP(MONTH($C277),'CALENDAR INFO'!$J$5:$K$16,2)</f>
        <v>30</v>
      </c>
      <c r="J278" s="138">
        <f>I278</f>
        <v>30</v>
      </c>
      <c r="K278" s="129"/>
      <c r="L278" s="403">
        <f t="shared" si="33"/>
        <v>44076</v>
      </c>
      <c r="M278" s="56" t="str">
        <f t="shared" si="34"/>
        <v>WED</v>
      </c>
      <c r="O278" s="378">
        <f t="shared" si="30"/>
        <v>1</v>
      </c>
      <c r="P278" s="392">
        <f t="shared" si="35"/>
        <v>1.0000024999999999</v>
      </c>
    </row>
    <row r="279" spans="1:18">
      <c r="B279" s="41"/>
      <c r="C279" s="403">
        <f t="shared" si="31"/>
        <v>44077</v>
      </c>
      <c r="D279" s="56" t="str">
        <f>VLOOKUP(MOD(C279,7),'CALENDAR INFO'!$G$5:$H$11,2)</f>
        <v>THU</v>
      </c>
      <c r="E279" s="165">
        <v>0.09</v>
      </c>
      <c r="F279" s="336">
        <v>0.1</v>
      </c>
      <c r="G279" s="411">
        <f t="shared" si="32"/>
        <v>1.0000000000000009E-2</v>
      </c>
      <c r="H279" s="376" t="s">
        <v>211</v>
      </c>
      <c r="I279" s="15">
        <f>I278+I277-1</f>
        <v>306</v>
      </c>
      <c r="J279" s="138">
        <f>I279</f>
        <v>306</v>
      </c>
      <c r="K279" s="129"/>
      <c r="L279" s="403">
        <f t="shared" si="33"/>
        <v>44077</v>
      </c>
      <c r="M279" s="56" t="str">
        <f t="shared" si="34"/>
        <v>THU</v>
      </c>
      <c r="O279" s="378">
        <f t="shared" si="30"/>
        <v>1</v>
      </c>
      <c r="P279" s="392">
        <f t="shared" si="35"/>
        <v>1.0000027777777778</v>
      </c>
    </row>
    <row r="280" spans="1:18">
      <c r="B280" s="41"/>
      <c r="C280" s="403">
        <f t="shared" si="31"/>
        <v>44078</v>
      </c>
      <c r="D280" s="56" t="str">
        <f>VLOOKUP(MOD(C280,7),'CALENDAR INFO'!$G$5:$H$11,2)</f>
        <v>FRI</v>
      </c>
      <c r="E280" s="165">
        <v>0.09</v>
      </c>
      <c r="F280" s="336">
        <v>0.09</v>
      </c>
      <c r="G280" s="411">
        <f t="shared" si="32"/>
        <v>0</v>
      </c>
      <c r="K280" s="129"/>
      <c r="L280" s="403">
        <f t="shared" si="33"/>
        <v>44078</v>
      </c>
      <c r="M280" s="56" t="str">
        <f t="shared" si="34"/>
        <v>FRI</v>
      </c>
      <c r="O280" s="380">
        <f>IF(MOD(C280,7)&lt;2,0,IF(MOD(C280,7)=6,3,1))+1</f>
        <v>4</v>
      </c>
      <c r="P280" s="392">
        <f t="shared" si="35"/>
        <v>1.0000100000000001</v>
      </c>
    </row>
    <row r="281" spans="1:18">
      <c r="B281" s="41"/>
      <c r="C281" s="403">
        <f t="shared" si="31"/>
        <v>44079</v>
      </c>
      <c r="D281" s="56" t="str">
        <f>VLOOKUP(MOD(C281,7),'CALENDAR INFO'!$G$5:$H$11,2)</f>
        <v>SAT</v>
      </c>
      <c r="E281" s="165">
        <v>0.09</v>
      </c>
      <c r="F281" s="336">
        <v>0.09</v>
      </c>
      <c r="G281" s="411">
        <f t="shared" si="32"/>
        <v>0</v>
      </c>
      <c r="H281" s="15" t="s">
        <v>150</v>
      </c>
      <c r="I281" s="137" t="str">
        <f>_xlfn.CONCAT(ADDRESS(I277,5),":",ADDRESS(I279,5))</f>
        <v>$E$277:$E$306</v>
      </c>
      <c r="J281" s="150" t="str">
        <f>_xlfn.CONCAT(ADDRESS(J277,6),":",ADDRESS(J279,6))</f>
        <v>$F$277:$F$306</v>
      </c>
      <c r="K281" s="129"/>
      <c r="L281" s="403">
        <f t="shared" si="33"/>
        <v>44079</v>
      </c>
      <c r="M281" s="56" t="str">
        <f t="shared" si="34"/>
        <v>SAT</v>
      </c>
      <c r="O281" s="378">
        <f>IF(MOD(C281,7)&lt;2,0,IF(MOD(C281,7)=6,3,1))</f>
        <v>0</v>
      </c>
      <c r="P281" s="392">
        <f t="shared" si="35"/>
        <v>1</v>
      </c>
    </row>
    <row r="282" spans="1:18">
      <c r="B282" s="41"/>
      <c r="C282" s="403">
        <f t="shared" si="31"/>
        <v>44080</v>
      </c>
      <c r="D282" s="56" t="str">
        <f>VLOOKUP(MOD(C282,7),'CALENDAR INFO'!$G$5:$H$11,2)</f>
        <v>SUN</v>
      </c>
      <c r="E282" s="165">
        <v>0.09</v>
      </c>
      <c r="F282" s="336">
        <v>0.09</v>
      </c>
      <c r="G282" s="411">
        <f t="shared" si="32"/>
        <v>0</v>
      </c>
      <c r="K282" s="129"/>
      <c r="L282" s="403">
        <f t="shared" si="33"/>
        <v>44080</v>
      </c>
      <c r="M282" s="56" t="str">
        <f t="shared" si="34"/>
        <v>SUN</v>
      </c>
      <c r="O282" s="378">
        <f>IF(MOD(C282,7)&lt;2,0,IF(MOD(C282,7)=6,3,1))</f>
        <v>0</v>
      </c>
      <c r="P282" s="392">
        <f t="shared" si="35"/>
        <v>1</v>
      </c>
    </row>
    <row r="283" spans="1:18">
      <c r="B283" s="41"/>
      <c r="C283" s="403">
        <f t="shared" si="31"/>
        <v>44081</v>
      </c>
      <c r="D283" s="56" t="str">
        <f>VLOOKUP(MOD(C283,7),'CALENDAR INFO'!$G$5:$H$11,2)</f>
        <v>MON</v>
      </c>
      <c r="E283" s="165">
        <v>0.09</v>
      </c>
      <c r="F283" s="336">
        <v>0.09</v>
      </c>
      <c r="G283" s="411">
        <f t="shared" si="32"/>
        <v>0</v>
      </c>
      <c r="H283" s="376" t="s">
        <v>221</v>
      </c>
      <c r="I283" s="147">
        <f ca="1">AVERAGE(INDIRECT(I281))</f>
        <v>0.09</v>
      </c>
      <c r="J283" s="326">
        <f ca="1">AVERAGE(INDIRECT(J281))</f>
        <v>8.6333333333333359E-2</v>
      </c>
      <c r="K283" s="129"/>
      <c r="L283" s="403">
        <f t="shared" si="33"/>
        <v>44081</v>
      </c>
      <c r="M283" s="56" t="str">
        <f t="shared" si="34"/>
        <v>MON</v>
      </c>
      <c r="N283" s="133" t="s">
        <v>50</v>
      </c>
      <c r="O283" s="380">
        <f>IF(MOD(C283,7)&lt;2,0,IF(MOD(C283,7)=6,3,1))-1</f>
        <v>0</v>
      </c>
      <c r="P283" s="392">
        <f t="shared" si="35"/>
        <v>1</v>
      </c>
    </row>
    <row r="284" spans="1:18">
      <c r="B284" s="41"/>
      <c r="C284" s="403">
        <f t="shared" si="31"/>
        <v>44082</v>
      </c>
      <c r="D284" s="56" t="str">
        <f>VLOOKUP(MOD(C284,7),'CALENDAR INFO'!$G$5:$H$11,2)</f>
        <v>TUE</v>
      </c>
      <c r="E284" s="165">
        <v>0.09</v>
      </c>
      <c r="F284" s="336">
        <v>0.09</v>
      </c>
      <c r="G284" s="411">
        <f t="shared" si="32"/>
        <v>0</v>
      </c>
      <c r="I284" s="240"/>
      <c r="J284" s="157"/>
      <c r="K284" s="129"/>
      <c r="L284" s="403">
        <f t="shared" si="33"/>
        <v>44082</v>
      </c>
      <c r="M284" s="56" t="str">
        <f t="shared" si="34"/>
        <v>TUE</v>
      </c>
      <c r="O284" s="378">
        <f t="shared" ref="O284:O314" si="36">IF(MOD(C284,7)&lt;2,0,IF(MOD(C284,7)=6,3,1))</f>
        <v>1</v>
      </c>
      <c r="P284" s="392">
        <f t="shared" si="35"/>
        <v>1.0000024999999999</v>
      </c>
    </row>
    <row r="285" spans="1:18">
      <c r="B285" s="41"/>
      <c r="C285" s="403">
        <f t="shared" si="31"/>
        <v>44083</v>
      </c>
      <c r="D285" s="56" t="str">
        <f>VLOOKUP(MOD(C285,7),'CALENDAR INFO'!$G$5:$H$11,2)</f>
        <v>WED</v>
      </c>
      <c r="E285" s="165">
        <v>0.09</v>
      </c>
      <c r="F285" s="336">
        <v>0.09</v>
      </c>
      <c r="G285" s="411">
        <f t="shared" si="32"/>
        <v>0</v>
      </c>
      <c r="H285" s="15" t="s">
        <v>222</v>
      </c>
      <c r="I285" s="147">
        <f ca="1">100-I283</f>
        <v>99.91</v>
      </c>
      <c r="J285" s="326">
        <f ca="1">100-J283</f>
        <v>99.913666666666671</v>
      </c>
      <c r="K285" s="129" t="s">
        <v>19</v>
      </c>
      <c r="L285" s="403">
        <f t="shared" si="33"/>
        <v>44083</v>
      </c>
      <c r="M285" s="56" t="str">
        <f t="shared" si="34"/>
        <v>WED</v>
      </c>
      <c r="O285" s="378">
        <f t="shared" si="36"/>
        <v>1</v>
      </c>
      <c r="P285" s="392">
        <f t="shared" si="35"/>
        <v>1.0000024999999999</v>
      </c>
    </row>
    <row r="286" spans="1:18">
      <c r="B286" s="41"/>
      <c r="C286" s="403">
        <f t="shared" si="31"/>
        <v>44084</v>
      </c>
      <c r="D286" s="56" t="str">
        <f>VLOOKUP(MOD(C286,7),'CALENDAR INFO'!$G$5:$H$11,2)</f>
        <v>THU</v>
      </c>
      <c r="E286" s="165">
        <v>0.09</v>
      </c>
      <c r="F286" s="336">
        <v>0.09</v>
      </c>
      <c r="G286" s="411">
        <f t="shared" si="32"/>
        <v>0</v>
      </c>
      <c r="I286" s="137"/>
      <c r="J286" s="150"/>
      <c r="K286" s="126" t="s">
        <v>18</v>
      </c>
      <c r="L286" s="403">
        <f t="shared" si="33"/>
        <v>44084</v>
      </c>
      <c r="M286" s="56" t="str">
        <f t="shared" si="34"/>
        <v>THU</v>
      </c>
      <c r="O286" s="378">
        <f t="shared" si="36"/>
        <v>1</v>
      </c>
      <c r="P286" s="392">
        <f t="shared" si="35"/>
        <v>1.0000024999999999</v>
      </c>
    </row>
    <row r="287" spans="1:18">
      <c r="B287" s="41"/>
      <c r="C287" s="403">
        <f t="shared" si="31"/>
        <v>44085</v>
      </c>
      <c r="D287" s="56" t="str">
        <f>VLOOKUP(MOD(C287,7),'CALENDAR INFO'!$G$5:$H$11,2)</f>
        <v>FRI</v>
      </c>
      <c r="E287" s="165">
        <v>0.09</v>
      </c>
      <c r="F287" s="336">
        <v>0.09</v>
      </c>
      <c r="G287" s="411">
        <f t="shared" si="32"/>
        <v>0</v>
      </c>
      <c r="H287" s="425" t="s">
        <v>97</v>
      </c>
      <c r="I287" s="419">
        <v>99.91</v>
      </c>
      <c r="J287" s="426">
        <v>99.914000000000001</v>
      </c>
      <c r="K287" s="126"/>
      <c r="L287" s="403">
        <f t="shared" si="33"/>
        <v>44085</v>
      </c>
      <c r="M287" s="56" t="str">
        <f t="shared" si="34"/>
        <v>FRI</v>
      </c>
      <c r="O287" s="378">
        <f t="shared" si="36"/>
        <v>3</v>
      </c>
      <c r="P287" s="392">
        <f t="shared" si="35"/>
        <v>1.0000074999999999</v>
      </c>
    </row>
    <row r="288" spans="1:18">
      <c r="B288" s="41"/>
      <c r="C288" s="403">
        <f t="shared" si="31"/>
        <v>44086</v>
      </c>
      <c r="D288" s="56" t="str">
        <f>VLOOKUP(MOD(C288,7),'CALENDAR INFO'!$G$5:$H$11,2)</f>
        <v>SAT</v>
      </c>
      <c r="E288" s="165">
        <v>0.09</v>
      </c>
      <c r="F288" s="336">
        <v>0.09</v>
      </c>
      <c r="G288" s="411">
        <f t="shared" si="32"/>
        <v>0</v>
      </c>
      <c r="I288" s="137"/>
      <c r="J288" s="150"/>
      <c r="K288" s="126"/>
      <c r="L288" s="403">
        <f t="shared" si="33"/>
        <v>44086</v>
      </c>
      <c r="M288" s="56" t="str">
        <f t="shared" si="34"/>
        <v>SAT</v>
      </c>
      <c r="O288" s="378">
        <f t="shared" si="36"/>
        <v>0</v>
      </c>
      <c r="P288" s="392">
        <f t="shared" si="35"/>
        <v>1</v>
      </c>
      <c r="Q288" s="331" t="s">
        <v>92</v>
      </c>
      <c r="R288" s="75"/>
    </row>
    <row r="289" spans="2:18">
      <c r="B289" s="41"/>
      <c r="C289" s="403">
        <f t="shared" si="31"/>
        <v>44087</v>
      </c>
      <c r="D289" s="56" t="str">
        <f>VLOOKUP(MOD(C289,7),'CALENDAR INFO'!$G$5:$H$11,2)</f>
        <v>SUN</v>
      </c>
      <c r="E289" s="165">
        <v>0.09</v>
      </c>
      <c r="F289" s="336">
        <v>0.09</v>
      </c>
      <c r="G289" s="411">
        <f t="shared" si="32"/>
        <v>0</v>
      </c>
      <c r="H289" s="136"/>
      <c r="I289" s="139"/>
      <c r="J289" s="151"/>
      <c r="K289" s="126"/>
      <c r="L289" s="403">
        <f t="shared" si="33"/>
        <v>44087</v>
      </c>
      <c r="M289" s="56" t="str">
        <f t="shared" si="34"/>
        <v>SUN</v>
      </c>
      <c r="O289" s="378">
        <f t="shared" si="36"/>
        <v>0</v>
      </c>
      <c r="P289" s="392">
        <f t="shared" si="35"/>
        <v>1</v>
      </c>
      <c r="Q289" s="331" t="s">
        <v>76</v>
      </c>
      <c r="R289" s="85">
        <v>99.906700000000001</v>
      </c>
    </row>
    <row r="290" spans="2:18">
      <c r="B290" s="41"/>
      <c r="C290" s="403">
        <f t="shared" si="31"/>
        <v>44088</v>
      </c>
      <c r="D290" s="56" t="str">
        <f>VLOOKUP(MOD(C290,7),'CALENDAR INFO'!$G$5:$H$11,2)</f>
        <v>MON</v>
      </c>
      <c r="E290" s="165">
        <v>0.09</v>
      </c>
      <c r="F290" s="336">
        <v>0.09</v>
      </c>
      <c r="G290" s="411">
        <f t="shared" si="32"/>
        <v>0</v>
      </c>
      <c r="K290" s="126"/>
      <c r="L290" s="403">
        <f t="shared" si="33"/>
        <v>44088</v>
      </c>
      <c r="M290" s="56" t="str">
        <f t="shared" si="34"/>
        <v>MON</v>
      </c>
      <c r="O290" s="378">
        <f t="shared" si="36"/>
        <v>1</v>
      </c>
      <c r="P290" s="392">
        <f t="shared" si="35"/>
        <v>1.0000024999999999</v>
      </c>
    </row>
    <row r="291" spans="2:18">
      <c r="B291" s="41"/>
      <c r="C291" s="403">
        <f t="shared" si="31"/>
        <v>44089</v>
      </c>
      <c r="D291" s="56" t="str">
        <f>VLOOKUP(MOD(C291,7),'CALENDAR INFO'!$G$5:$H$11,2)</f>
        <v>TUE</v>
      </c>
      <c r="E291" s="165">
        <v>0.09</v>
      </c>
      <c r="F291" s="336">
        <v>0.1</v>
      </c>
      <c r="G291" s="411">
        <f t="shared" si="32"/>
        <v>1.0000000000000009E-2</v>
      </c>
      <c r="H291" s="135"/>
      <c r="I291" s="144"/>
      <c r="J291" s="152"/>
      <c r="K291" s="126"/>
      <c r="L291" s="403">
        <f t="shared" si="33"/>
        <v>44089</v>
      </c>
      <c r="M291" s="56" t="str">
        <f t="shared" si="34"/>
        <v>TUE</v>
      </c>
      <c r="N291" s="116" t="s">
        <v>20</v>
      </c>
      <c r="O291" s="378">
        <f t="shared" si="36"/>
        <v>1</v>
      </c>
      <c r="P291" s="392">
        <f t="shared" si="35"/>
        <v>1.0000027777777778</v>
      </c>
    </row>
    <row r="292" spans="2:18">
      <c r="B292" s="41"/>
      <c r="C292" s="403">
        <f t="shared" si="31"/>
        <v>44090</v>
      </c>
      <c r="D292" s="56" t="str">
        <f>VLOOKUP(MOD(C292,7),'CALENDAR INFO'!$G$5:$H$11,2)</f>
        <v>WED</v>
      </c>
      <c r="E292" s="165">
        <v>0.09</v>
      </c>
      <c r="F292" s="336">
        <v>0.1</v>
      </c>
      <c r="G292" s="411">
        <f t="shared" si="32"/>
        <v>1.0000000000000009E-2</v>
      </c>
      <c r="K292" s="126"/>
      <c r="L292" s="403">
        <f t="shared" si="33"/>
        <v>44090</v>
      </c>
      <c r="M292" s="56" t="str">
        <f t="shared" si="34"/>
        <v>WED</v>
      </c>
      <c r="N292" s="116" t="s">
        <v>20</v>
      </c>
      <c r="O292" s="378">
        <f t="shared" si="36"/>
        <v>1</v>
      </c>
      <c r="P292" s="392">
        <f t="shared" si="35"/>
        <v>1.0000027777777778</v>
      </c>
    </row>
    <row r="293" spans="2:18">
      <c r="B293" s="41"/>
      <c r="C293" s="403">
        <f t="shared" si="31"/>
        <v>44091</v>
      </c>
      <c r="D293" s="56" t="str">
        <f>VLOOKUP(MOD(C293,7),'CALENDAR INFO'!$G$5:$H$11,2)</f>
        <v>THU</v>
      </c>
      <c r="E293" s="165">
        <v>0.09</v>
      </c>
      <c r="F293" s="336">
        <v>0.1</v>
      </c>
      <c r="G293" s="411">
        <f t="shared" si="32"/>
        <v>1.0000000000000009E-2</v>
      </c>
      <c r="K293" s="126"/>
      <c r="L293" s="403">
        <f t="shared" si="33"/>
        <v>44091</v>
      </c>
      <c r="M293" s="56" t="str">
        <f t="shared" si="34"/>
        <v>THU</v>
      </c>
      <c r="O293" s="378">
        <f t="shared" si="36"/>
        <v>1</v>
      </c>
      <c r="P293" s="392">
        <f t="shared" si="35"/>
        <v>1.0000027777777778</v>
      </c>
    </row>
    <row r="294" spans="2:18">
      <c r="B294" s="41"/>
      <c r="C294" s="403">
        <f t="shared" si="31"/>
        <v>44092</v>
      </c>
      <c r="D294" s="56" t="str">
        <f>VLOOKUP(MOD(C294,7),'CALENDAR INFO'!$G$5:$H$11,2)</f>
        <v>FRI</v>
      </c>
      <c r="E294" s="165">
        <v>0.09</v>
      </c>
      <c r="F294" s="336">
        <v>0.09</v>
      </c>
      <c r="G294" s="411">
        <f t="shared" si="32"/>
        <v>0</v>
      </c>
      <c r="K294" s="126"/>
      <c r="L294" s="403">
        <f t="shared" si="33"/>
        <v>44092</v>
      </c>
      <c r="M294" s="56" t="str">
        <f t="shared" si="34"/>
        <v>FRI</v>
      </c>
      <c r="O294" s="378">
        <f t="shared" si="36"/>
        <v>3</v>
      </c>
      <c r="P294" s="392">
        <f t="shared" si="35"/>
        <v>1.0000074999999999</v>
      </c>
    </row>
    <row r="295" spans="2:18">
      <c r="B295" s="41"/>
      <c r="C295" s="403">
        <f t="shared" si="31"/>
        <v>44093</v>
      </c>
      <c r="D295" s="56" t="str">
        <f>VLOOKUP(MOD(C295,7),'CALENDAR INFO'!$G$5:$H$11,2)</f>
        <v>SAT</v>
      </c>
      <c r="E295" s="165">
        <v>0.09</v>
      </c>
      <c r="F295" s="336">
        <v>0.09</v>
      </c>
      <c r="G295" s="411">
        <f t="shared" si="32"/>
        <v>0</v>
      </c>
      <c r="K295" s="126"/>
      <c r="L295" s="403">
        <f t="shared" si="33"/>
        <v>44093</v>
      </c>
      <c r="M295" s="56" t="str">
        <f t="shared" si="34"/>
        <v>SAT</v>
      </c>
      <c r="O295" s="378">
        <f t="shared" si="36"/>
        <v>0</v>
      </c>
      <c r="P295" s="392">
        <f t="shared" si="35"/>
        <v>1</v>
      </c>
    </row>
    <row r="296" spans="2:18">
      <c r="B296" s="41"/>
      <c r="C296" s="403">
        <f t="shared" si="31"/>
        <v>44094</v>
      </c>
      <c r="D296" s="56" t="str">
        <f>VLOOKUP(MOD(C296,7),'CALENDAR INFO'!$G$5:$H$11,2)</f>
        <v>SUN</v>
      </c>
      <c r="E296" s="165">
        <v>0.09</v>
      </c>
      <c r="F296" s="336">
        <v>0.09</v>
      </c>
      <c r="G296" s="411">
        <f t="shared" si="32"/>
        <v>0</v>
      </c>
      <c r="K296" s="126"/>
      <c r="L296" s="403">
        <f t="shared" si="33"/>
        <v>44094</v>
      </c>
      <c r="M296" s="56" t="str">
        <f t="shared" si="34"/>
        <v>SUN</v>
      </c>
      <c r="O296" s="378">
        <f t="shared" si="36"/>
        <v>0</v>
      </c>
      <c r="P296" s="392">
        <f t="shared" si="35"/>
        <v>1</v>
      </c>
    </row>
    <row r="297" spans="2:18">
      <c r="B297" s="41"/>
      <c r="C297" s="403">
        <f t="shared" si="31"/>
        <v>44095</v>
      </c>
      <c r="D297" s="56" t="str">
        <f>VLOOKUP(MOD(C297,7),'CALENDAR INFO'!$G$5:$H$11,2)</f>
        <v>MON</v>
      </c>
      <c r="E297" s="165">
        <v>0.09</v>
      </c>
      <c r="F297" s="336">
        <v>0.08</v>
      </c>
      <c r="G297" s="411">
        <f t="shared" si="32"/>
        <v>-9.999999999999995E-3</v>
      </c>
      <c r="K297" s="126"/>
      <c r="L297" s="403">
        <f t="shared" si="33"/>
        <v>44095</v>
      </c>
      <c r="M297" s="56" t="str">
        <f t="shared" si="34"/>
        <v>MON</v>
      </c>
      <c r="O297" s="378">
        <f t="shared" si="36"/>
        <v>1</v>
      </c>
      <c r="P297" s="392">
        <f t="shared" si="35"/>
        <v>1.0000022222222222</v>
      </c>
    </row>
    <row r="298" spans="2:18">
      <c r="B298" s="41"/>
      <c r="C298" s="403">
        <f t="shared" si="31"/>
        <v>44096</v>
      </c>
      <c r="D298" s="56" t="str">
        <f>VLOOKUP(MOD(C298,7),'CALENDAR INFO'!$G$5:$H$11,2)</f>
        <v>TUE</v>
      </c>
      <c r="E298" s="165">
        <v>0.09</v>
      </c>
      <c r="F298" s="336">
        <v>7.0000000000000007E-2</v>
      </c>
      <c r="G298" s="411">
        <f t="shared" si="32"/>
        <v>-1.999999999999999E-2</v>
      </c>
      <c r="K298" s="126"/>
      <c r="L298" s="403">
        <f t="shared" si="33"/>
        <v>44096</v>
      </c>
      <c r="M298" s="56" t="str">
        <f t="shared" si="34"/>
        <v>TUE</v>
      </c>
      <c r="O298" s="378">
        <f t="shared" si="36"/>
        <v>1</v>
      </c>
      <c r="P298" s="392">
        <f t="shared" si="35"/>
        <v>1.0000019444444443</v>
      </c>
    </row>
    <row r="299" spans="2:18">
      <c r="B299" s="41"/>
      <c r="C299" s="403">
        <f t="shared" si="31"/>
        <v>44097</v>
      </c>
      <c r="D299" s="56" t="str">
        <f>VLOOKUP(MOD(C299,7),'CALENDAR INFO'!$G$5:$H$11,2)</f>
        <v>WED</v>
      </c>
      <c r="E299" s="165">
        <v>0.09</v>
      </c>
      <c r="F299" s="336">
        <v>0.06</v>
      </c>
      <c r="G299" s="411">
        <f t="shared" si="32"/>
        <v>-0.03</v>
      </c>
      <c r="K299" s="126" t="s">
        <v>19</v>
      </c>
      <c r="L299" s="403">
        <f t="shared" si="33"/>
        <v>44097</v>
      </c>
      <c r="M299" s="56" t="str">
        <f t="shared" si="34"/>
        <v>WED</v>
      </c>
      <c r="O299" s="378">
        <f t="shared" si="36"/>
        <v>1</v>
      </c>
      <c r="P299" s="392">
        <f t="shared" si="35"/>
        <v>1.0000016666666667</v>
      </c>
    </row>
    <row r="300" spans="2:18">
      <c r="B300" s="41"/>
      <c r="C300" s="403">
        <f t="shared" si="31"/>
        <v>44098</v>
      </c>
      <c r="D300" s="56" t="str">
        <f>VLOOKUP(MOD(C300,7),'CALENDAR INFO'!$G$5:$H$11,2)</f>
        <v>THU</v>
      </c>
      <c r="E300" s="165">
        <v>0.09</v>
      </c>
      <c r="F300" s="336">
        <v>7.0000000000000007E-2</v>
      </c>
      <c r="G300" s="411">
        <f t="shared" si="32"/>
        <v>-1.999999999999999E-2</v>
      </c>
      <c r="K300" s="129" t="s">
        <v>18</v>
      </c>
      <c r="L300" s="403">
        <f t="shared" si="33"/>
        <v>44098</v>
      </c>
      <c r="M300" s="56" t="str">
        <f t="shared" si="34"/>
        <v>THU</v>
      </c>
      <c r="O300" s="378">
        <f t="shared" si="36"/>
        <v>1</v>
      </c>
      <c r="P300" s="392">
        <f t="shared" si="35"/>
        <v>1.0000019444444443</v>
      </c>
    </row>
    <row r="301" spans="2:18">
      <c r="B301" s="41"/>
      <c r="C301" s="403">
        <f t="shared" si="31"/>
        <v>44099</v>
      </c>
      <c r="D301" s="56" t="str">
        <f>VLOOKUP(MOD(C301,7),'CALENDAR INFO'!$G$5:$H$11,2)</f>
        <v>FRI</v>
      </c>
      <c r="E301" s="165">
        <v>0.09</v>
      </c>
      <c r="F301" s="336">
        <v>0.08</v>
      </c>
      <c r="G301" s="411">
        <f t="shared" si="32"/>
        <v>-9.999999999999995E-3</v>
      </c>
      <c r="K301" s="129"/>
      <c r="L301" s="403">
        <f t="shared" si="33"/>
        <v>44099</v>
      </c>
      <c r="M301" s="56" t="str">
        <f t="shared" si="34"/>
        <v>FRI</v>
      </c>
      <c r="O301" s="378">
        <f t="shared" si="36"/>
        <v>3</v>
      </c>
      <c r="P301" s="392">
        <f t="shared" si="35"/>
        <v>1.0000066666666667</v>
      </c>
    </row>
    <row r="302" spans="2:18">
      <c r="B302" s="41"/>
      <c r="C302" s="403">
        <f t="shared" si="31"/>
        <v>44100</v>
      </c>
      <c r="D302" s="56" t="str">
        <f>VLOOKUP(MOD(C302,7),'CALENDAR INFO'!$G$5:$H$11,2)</f>
        <v>SAT</v>
      </c>
      <c r="E302" s="165">
        <v>0.09</v>
      </c>
      <c r="F302" s="336">
        <v>0.08</v>
      </c>
      <c r="G302" s="411">
        <f t="shared" si="32"/>
        <v>-9.999999999999995E-3</v>
      </c>
      <c r="K302" s="129"/>
      <c r="L302" s="403">
        <f t="shared" si="33"/>
        <v>44100</v>
      </c>
      <c r="M302" s="56" t="str">
        <f t="shared" si="34"/>
        <v>SAT</v>
      </c>
      <c r="O302" s="378">
        <f t="shared" si="36"/>
        <v>0</v>
      </c>
      <c r="P302" s="392">
        <f t="shared" si="35"/>
        <v>1</v>
      </c>
    </row>
    <row r="303" spans="2:18">
      <c r="B303" s="41"/>
      <c r="C303" s="403">
        <f t="shared" si="31"/>
        <v>44101</v>
      </c>
      <c r="D303" s="56" t="str">
        <f>VLOOKUP(MOD(C303,7),'CALENDAR INFO'!$G$5:$H$11,2)</f>
        <v>SUN</v>
      </c>
      <c r="E303" s="165">
        <v>0.09</v>
      </c>
      <c r="F303" s="336">
        <v>0.08</v>
      </c>
      <c r="G303" s="411">
        <f t="shared" si="32"/>
        <v>-9.999999999999995E-3</v>
      </c>
      <c r="I303" s="137"/>
      <c r="K303" s="129"/>
      <c r="L303" s="403">
        <f t="shared" si="33"/>
        <v>44101</v>
      </c>
      <c r="M303" s="56" t="str">
        <f t="shared" si="34"/>
        <v>SUN</v>
      </c>
      <c r="O303" s="378">
        <f t="shared" si="36"/>
        <v>0</v>
      </c>
      <c r="P303" s="392">
        <f t="shared" si="35"/>
        <v>1</v>
      </c>
    </row>
    <row r="304" spans="2:18">
      <c r="B304" s="41"/>
      <c r="C304" s="403">
        <f t="shared" si="31"/>
        <v>44102</v>
      </c>
      <c r="D304" s="56" t="str">
        <f>VLOOKUP(MOD(C304,7),'CALENDAR INFO'!$G$5:$H$11,2)</f>
        <v>MON</v>
      </c>
      <c r="E304" s="165">
        <v>0.09</v>
      </c>
      <c r="F304" s="336">
        <v>0.08</v>
      </c>
      <c r="G304" s="411">
        <f t="shared" si="32"/>
        <v>-9.999999999999995E-3</v>
      </c>
      <c r="H304" s="343"/>
      <c r="I304" s="145"/>
      <c r="J304" s="153"/>
      <c r="K304" s="129"/>
      <c r="L304" s="403">
        <f t="shared" si="33"/>
        <v>44102</v>
      </c>
      <c r="M304" s="56" t="str">
        <f t="shared" si="34"/>
        <v>MON</v>
      </c>
      <c r="O304" s="378">
        <f t="shared" si="36"/>
        <v>1</v>
      </c>
      <c r="P304" s="392">
        <f t="shared" si="35"/>
        <v>1.0000022222222222</v>
      </c>
    </row>
    <row r="305" spans="1:18">
      <c r="B305" s="41"/>
      <c r="C305" s="403">
        <f t="shared" si="31"/>
        <v>44103</v>
      </c>
      <c r="D305" s="56" t="str">
        <f>VLOOKUP(MOD(C305,7),'CALENDAR INFO'!$G$5:$H$11,2)</f>
        <v>TUE</v>
      </c>
      <c r="E305" s="165">
        <v>0.09</v>
      </c>
      <c r="F305" s="336">
        <v>7.0000000000000007E-2</v>
      </c>
      <c r="G305" s="411">
        <f t="shared" si="32"/>
        <v>-1.999999999999999E-2</v>
      </c>
      <c r="I305" s="137"/>
      <c r="K305" s="129"/>
      <c r="L305" s="403">
        <f t="shared" si="33"/>
        <v>44103</v>
      </c>
      <c r="M305" s="56" t="str">
        <f t="shared" si="34"/>
        <v>TUE</v>
      </c>
      <c r="O305" s="378">
        <f t="shared" si="36"/>
        <v>1</v>
      </c>
      <c r="P305" s="392">
        <f t="shared" si="35"/>
        <v>1.0000019444444443</v>
      </c>
    </row>
    <row r="306" spans="1:18" s="68" customFormat="1" ht="15.75" thickBot="1">
      <c r="A306" s="81"/>
      <c r="B306" s="178"/>
      <c r="C306" s="404">
        <f t="shared" si="31"/>
        <v>44104</v>
      </c>
      <c r="D306" s="64" t="str">
        <f>VLOOKUP(MOD(C306,7),'CALENDAR INFO'!$G$5:$H$11,2)</f>
        <v>WED</v>
      </c>
      <c r="E306" s="166">
        <v>0.09</v>
      </c>
      <c r="F306" s="337">
        <v>0.08</v>
      </c>
      <c r="G306" s="412">
        <f t="shared" si="32"/>
        <v>-9.999999999999995E-3</v>
      </c>
      <c r="H306" s="344"/>
      <c r="I306" s="140"/>
      <c r="J306" s="154"/>
      <c r="K306" s="84"/>
      <c r="L306" s="404">
        <f t="shared" si="33"/>
        <v>44104</v>
      </c>
      <c r="M306" s="64" t="str">
        <f t="shared" si="34"/>
        <v>WED</v>
      </c>
      <c r="N306" s="90"/>
      <c r="O306" s="382">
        <f t="shared" si="36"/>
        <v>1</v>
      </c>
      <c r="P306" s="388">
        <f t="shared" si="35"/>
        <v>1.0000022222222222</v>
      </c>
      <c r="R306" s="66"/>
    </row>
    <row r="307" spans="1:18">
      <c r="B307" s="41"/>
      <c r="C307" s="403">
        <f t="shared" si="31"/>
        <v>44105</v>
      </c>
      <c r="D307" s="56" t="str">
        <f>VLOOKUP(MOD(C307,7),'CALENDAR INFO'!$G$5:$H$11,2)</f>
        <v>THU</v>
      </c>
      <c r="E307" s="165">
        <v>0.09</v>
      </c>
      <c r="F307" s="336">
        <v>0.08</v>
      </c>
      <c r="G307" s="411">
        <f t="shared" si="32"/>
        <v>-9.999999999999995E-3</v>
      </c>
      <c r="H307" s="15" t="s">
        <v>149</v>
      </c>
      <c r="I307" s="15">
        <f>ROW(I307)</f>
        <v>307</v>
      </c>
      <c r="J307" s="138">
        <f>I307</f>
        <v>307</v>
      </c>
      <c r="K307" s="129"/>
      <c r="L307" s="403">
        <f t="shared" si="33"/>
        <v>44105</v>
      </c>
      <c r="M307" s="56" t="str">
        <f t="shared" si="34"/>
        <v>THU</v>
      </c>
      <c r="O307" s="383">
        <f t="shared" si="36"/>
        <v>1</v>
      </c>
      <c r="P307" s="392">
        <f t="shared" si="35"/>
        <v>1.0000022222222222</v>
      </c>
    </row>
    <row r="308" spans="1:18">
      <c r="B308" s="41"/>
      <c r="C308" s="403">
        <f t="shared" si="31"/>
        <v>44106</v>
      </c>
      <c r="D308" s="56" t="str">
        <f>VLOOKUP(MOD(C308,7),'CALENDAR INFO'!$G$5:$H$11,2)</f>
        <v>FRI</v>
      </c>
      <c r="E308" s="165">
        <v>0.09</v>
      </c>
      <c r="F308" s="336">
        <v>0.1</v>
      </c>
      <c r="G308" s="411">
        <f t="shared" si="32"/>
        <v>1.0000000000000009E-2</v>
      </c>
      <c r="H308" s="376" t="s">
        <v>210</v>
      </c>
      <c r="I308" s="15">
        <f>VLOOKUP(MONTH($C307),'CALENDAR INFO'!$J$5:$K$16,2)</f>
        <v>31</v>
      </c>
      <c r="J308" s="138">
        <f>I308</f>
        <v>31</v>
      </c>
      <c r="K308" s="129"/>
      <c r="L308" s="403">
        <f t="shared" si="33"/>
        <v>44106</v>
      </c>
      <c r="M308" s="56" t="str">
        <f t="shared" si="34"/>
        <v>FRI</v>
      </c>
      <c r="O308" s="383">
        <f t="shared" si="36"/>
        <v>3</v>
      </c>
      <c r="P308" s="392">
        <f t="shared" si="35"/>
        <v>1.0000083333333334</v>
      </c>
    </row>
    <row r="309" spans="1:18">
      <c r="B309" s="41"/>
      <c r="C309" s="403">
        <f t="shared" si="31"/>
        <v>44107</v>
      </c>
      <c r="D309" s="56" t="str">
        <f>VLOOKUP(MOD(C309,7),'CALENDAR INFO'!$G$5:$H$11,2)</f>
        <v>SAT</v>
      </c>
      <c r="E309" s="165">
        <v>0.09</v>
      </c>
      <c r="F309" s="336">
        <v>0.1</v>
      </c>
      <c r="G309" s="411">
        <f t="shared" si="32"/>
        <v>1.0000000000000009E-2</v>
      </c>
      <c r="H309" s="376" t="s">
        <v>211</v>
      </c>
      <c r="I309" s="15">
        <f>I308+I307-1</f>
        <v>337</v>
      </c>
      <c r="J309" s="138">
        <f>I309</f>
        <v>337</v>
      </c>
      <c r="K309" s="129"/>
      <c r="L309" s="403">
        <f t="shared" si="33"/>
        <v>44107</v>
      </c>
      <c r="M309" s="56" t="str">
        <f t="shared" si="34"/>
        <v>SAT</v>
      </c>
      <c r="O309" s="383">
        <f t="shared" si="36"/>
        <v>0</v>
      </c>
      <c r="P309" s="392">
        <f t="shared" si="35"/>
        <v>1</v>
      </c>
    </row>
    <row r="310" spans="1:18">
      <c r="B310" s="41"/>
      <c r="C310" s="403">
        <f t="shared" si="31"/>
        <v>44108</v>
      </c>
      <c r="D310" s="56" t="str">
        <f>VLOOKUP(MOD(C310,7),'CALENDAR INFO'!$G$5:$H$11,2)</f>
        <v>SUN</v>
      </c>
      <c r="E310" s="165">
        <v>0.09</v>
      </c>
      <c r="F310" s="336">
        <v>0.1</v>
      </c>
      <c r="G310" s="411">
        <f t="shared" si="32"/>
        <v>1.0000000000000009E-2</v>
      </c>
      <c r="K310" s="129"/>
      <c r="L310" s="403">
        <f t="shared" si="33"/>
        <v>44108</v>
      </c>
      <c r="M310" s="56" t="str">
        <f t="shared" si="34"/>
        <v>SUN</v>
      </c>
      <c r="O310" s="383">
        <f t="shared" si="36"/>
        <v>0</v>
      </c>
      <c r="P310" s="392">
        <f t="shared" si="35"/>
        <v>1</v>
      </c>
    </row>
    <row r="311" spans="1:18">
      <c r="B311" s="41"/>
      <c r="C311" s="403">
        <f t="shared" si="31"/>
        <v>44109</v>
      </c>
      <c r="D311" s="56" t="str">
        <f>VLOOKUP(MOD(C311,7),'CALENDAR INFO'!$G$5:$H$11,2)</f>
        <v>MON</v>
      </c>
      <c r="E311" s="165">
        <v>0.09</v>
      </c>
      <c r="F311" s="336">
        <v>0.09</v>
      </c>
      <c r="G311" s="411">
        <f t="shared" si="32"/>
        <v>0</v>
      </c>
      <c r="H311" s="15" t="s">
        <v>150</v>
      </c>
      <c r="I311" s="137" t="str">
        <f>_xlfn.CONCAT(ADDRESS(I307,5),":",ADDRESS(I309,5))</f>
        <v>$E$307:$E$337</v>
      </c>
      <c r="J311" s="150" t="str">
        <f>_xlfn.CONCAT(ADDRESS(J307,6),":",ADDRESS(J309,6))</f>
        <v>$F$307:$F$337</v>
      </c>
      <c r="K311" s="129"/>
      <c r="L311" s="403">
        <f t="shared" si="33"/>
        <v>44109</v>
      </c>
      <c r="M311" s="56" t="str">
        <f t="shared" si="34"/>
        <v>MON</v>
      </c>
      <c r="O311" s="383">
        <f t="shared" si="36"/>
        <v>1</v>
      </c>
      <c r="P311" s="392">
        <f t="shared" si="35"/>
        <v>1.0000024999999999</v>
      </c>
    </row>
    <row r="312" spans="1:18">
      <c r="B312" s="41"/>
      <c r="C312" s="403">
        <f t="shared" si="31"/>
        <v>44110</v>
      </c>
      <c r="D312" s="56" t="str">
        <f>VLOOKUP(MOD(C312,7),'CALENDAR INFO'!$G$5:$H$11,2)</f>
        <v>TUE</v>
      </c>
      <c r="E312" s="165">
        <v>0.09</v>
      </c>
      <c r="F312" s="336">
        <v>0.1</v>
      </c>
      <c r="G312" s="411">
        <f t="shared" si="32"/>
        <v>1.0000000000000009E-2</v>
      </c>
      <c r="K312" s="129"/>
      <c r="L312" s="403">
        <f t="shared" si="33"/>
        <v>44110</v>
      </c>
      <c r="M312" s="56" t="str">
        <f t="shared" si="34"/>
        <v>TUE</v>
      </c>
      <c r="O312" s="383">
        <f t="shared" si="36"/>
        <v>1</v>
      </c>
      <c r="P312" s="392">
        <f t="shared" si="35"/>
        <v>1.0000027777777778</v>
      </c>
    </row>
    <row r="313" spans="1:18">
      <c r="B313" s="41"/>
      <c r="C313" s="403">
        <f t="shared" si="31"/>
        <v>44111</v>
      </c>
      <c r="D313" s="56" t="str">
        <f>VLOOKUP(MOD(C313,7),'CALENDAR INFO'!$G$5:$H$11,2)</f>
        <v>WED</v>
      </c>
      <c r="E313" s="165">
        <v>0.09</v>
      </c>
      <c r="F313" s="336">
        <v>0.09</v>
      </c>
      <c r="G313" s="411">
        <f t="shared" si="32"/>
        <v>0</v>
      </c>
      <c r="H313" s="376" t="s">
        <v>221</v>
      </c>
      <c r="I313" s="147">
        <f ca="1">AVERAGE(INDIRECT(I311))</f>
        <v>8.9999999999999983E-2</v>
      </c>
      <c r="J313" s="326">
        <f ca="1">AVERAGE(INDIRECT(J311))</f>
        <v>8.8064516129032253E-2</v>
      </c>
      <c r="K313" s="129" t="s">
        <v>19</v>
      </c>
      <c r="L313" s="403">
        <f t="shared" si="33"/>
        <v>44111</v>
      </c>
      <c r="M313" s="56" t="str">
        <f t="shared" si="34"/>
        <v>WED</v>
      </c>
      <c r="O313" s="383">
        <f t="shared" si="36"/>
        <v>1</v>
      </c>
      <c r="P313" s="392">
        <f t="shared" si="35"/>
        <v>1.0000024999999999</v>
      </c>
    </row>
    <row r="314" spans="1:18">
      <c r="B314" s="41"/>
      <c r="C314" s="403">
        <f t="shared" si="31"/>
        <v>44112</v>
      </c>
      <c r="D314" s="56" t="str">
        <f>VLOOKUP(MOD(C314,7),'CALENDAR INFO'!$G$5:$H$11,2)</f>
        <v>THU</v>
      </c>
      <c r="E314" s="165">
        <v>0.09</v>
      </c>
      <c r="F314" s="336">
        <v>0.08</v>
      </c>
      <c r="G314" s="411">
        <f t="shared" si="32"/>
        <v>-9.999999999999995E-3</v>
      </c>
      <c r="I314" s="240"/>
      <c r="J314" s="157"/>
      <c r="K314" s="126" t="s">
        <v>18</v>
      </c>
      <c r="L314" s="403">
        <f t="shared" si="33"/>
        <v>44112</v>
      </c>
      <c r="M314" s="56" t="str">
        <f t="shared" si="34"/>
        <v>THU</v>
      </c>
      <c r="O314" s="383">
        <f t="shared" si="36"/>
        <v>1</v>
      </c>
      <c r="P314" s="392">
        <f t="shared" si="35"/>
        <v>1.0000022222222222</v>
      </c>
    </row>
    <row r="315" spans="1:18">
      <c r="B315" s="41"/>
      <c r="C315" s="403">
        <f t="shared" si="31"/>
        <v>44113</v>
      </c>
      <c r="D315" s="56" t="str">
        <f>VLOOKUP(MOD(C315,7),'CALENDAR INFO'!$G$5:$H$11,2)</f>
        <v>FRI</v>
      </c>
      <c r="E315" s="165">
        <v>0.09</v>
      </c>
      <c r="F315" s="336">
        <v>0.09</v>
      </c>
      <c r="G315" s="411">
        <f t="shared" si="32"/>
        <v>0</v>
      </c>
      <c r="H315" s="15" t="s">
        <v>222</v>
      </c>
      <c r="I315" s="147">
        <f ca="1">100-I313</f>
        <v>99.91</v>
      </c>
      <c r="J315" s="326">
        <f ca="1">100-J313</f>
        <v>99.911935483870963</v>
      </c>
      <c r="K315" s="126"/>
      <c r="L315" s="403">
        <f t="shared" si="33"/>
        <v>44113</v>
      </c>
      <c r="M315" s="56" t="str">
        <f t="shared" si="34"/>
        <v>FRI</v>
      </c>
      <c r="O315" s="384">
        <f>IF(MOD(C315,7)&lt;2,0,IF(MOD(C315,7)=6,3,1))+1</f>
        <v>4</v>
      </c>
      <c r="P315" s="392">
        <f t="shared" si="35"/>
        <v>1.0000100000000001</v>
      </c>
    </row>
    <row r="316" spans="1:18">
      <c r="B316" s="41"/>
      <c r="C316" s="403">
        <f t="shared" si="31"/>
        <v>44114</v>
      </c>
      <c r="D316" s="56" t="str">
        <f>VLOOKUP(MOD(C316,7),'CALENDAR INFO'!$G$5:$H$11,2)</f>
        <v>SAT</v>
      </c>
      <c r="E316" s="165">
        <v>0.09</v>
      </c>
      <c r="F316" s="336">
        <v>0.09</v>
      </c>
      <c r="G316" s="411">
        <f t="shared" si="32"/>
        <v>0</v>
      </c>
      <c r="I316" s="137"/>
      <c r="J316" s="150"/>
      <c r="K316" s="126"/>
      <c r="L316" s="403">
        <f t="shared" si="33"/>
        <v>44114</v>
      </c>
      <c r="M316" s="56" t="str">
        <f t="shared" si="34"/>
        <v>SAT</v>
      </c>
      <c r="O316" s="383">
        <f>IF(MOD(C316,7)&lt;2,0,IF(MOD(C316,7)=6,3,1))</f>
        <v>0</v>
      </c>
      <c r="P316" s="392">
        <f t="shared" si="35"/>
        <v>1</v>
      </c>
    </row>
    <row r="317" spans="1:18">
      <c r="B317" s="41"/>
      <c r="C317" s="403">
        <f t="shared" si="31"/>
        <v>44115</v>
      </c>
      <c r="D317" s="56" t="str">
        <f>VLOOKUP(MOD(C317,7),'CALENDAR INFO'!$G$5:$H$11,2)</f>
        <v>SUN</v>
      </c>
      <c r="E317" s="165">
        <v>0.09</v>
      </c>
      <c r="F317" s="336">
        <v>0.09</v>
      </c>
      <c r="G317" s="411">
        <f t="shared" si="32"/>
        <v>0</v>
      </c>
      <c r="H317" s="425" t="s">
        <v>97</v>
      </c>
      <c r="I317" s="419">
        <v>99.91</v>
      </c>
      <c r="J317" s="426">
        <v>99.912000000000006</v>
      </c>
      <c r="K317" s="126"/>
      <c r="L317" s="403">
        <f t="shared" si="33"/>
        <v>44115</v>
      </c>
      <c r="M317" s="56" t="str">
        <f t="shared" si="34"/>
        <v>SUN</v>
      </c>
      <c r="O317" s="383">
        <f>IF(MOD(C317,7)&lt;2,0,IF(MOD(C317,7)=6,3,1))</f>
        <v>0</v>
      </c>
      <c r="P317" s="392">
        <f t="shared" si="35"/>
        <v>1</v>
      </c>
    </row>
    <row r="318" spans="1:18">
      <c r="B318" s="41"/>
      <c r="C318" s="403">
        <f t="shared" si="31"/>
        <v>44116</v>
      </c>
      <c r="D318" s="56" t="str">
        <f>VLOOKUP(MOD(C318,7),'CALENDAR INFO'!$G$5:$H$11,2)</f>
        <v>MON</v>
      </c>
      <c r="E318" s="165">
        <v>0.09</v>
      </c>
      <c r="F318" s="336">
        <v>0.09</v>
      </c>
      <c r="G318" s="411">
        <f t="shared" si="32"/>
        <v>0</v>
      </c>
      <c r="I318" s="137"/>
      <c r="J318" s="150"/>
      <c r="K318" s="126"/>
      <c r="L318" s="403">
        <f t="shared" si="33"/>
        <v>44116</v>
      </c>
      <c r="M318" s="56" t="str">
        <f t="shared" si="34"/>
        <v>MON</v>
      </c>
      <c r="N318" s="132" t="s">
        <v>58</v>
      </c>
      <c r="O318" s="384">
        <f>IF(MOD(C318,7)&lt;2,0,IF(MOD(C318,7)=6,3,1))-1</f>
        <v>0</v>
      </c>
      <c r="P318" s="392">
        <f t="shared" si="35"/>
        <v>1</v>
      </c>
    </row>
    <row r="319" spans="1:18">
      <c r="B319" s="41"/>
      <c r="C319" s="403">
        <f t="shared" si="31"/>
        <v>44117</v>
      </c>
      <c r="D319" s="56" t="str">
        <f>VLOOKUP(MOD(C319,7),'CALENDAR INFO'!$G$5:$H$11,2)</f>
        <v>TUE</v>
      </c>
      <c r="E319" s="165">
        <v>0.09</v>
      </c>
      <c r="F319" s="336">
        <v>0.09</v>
      </c>
      <c r="G319" s="411">
        <f t="shared" si="32"/>
        <v>0</v>
      </c>
      <c r="H319" s="136"/>
      <c r="I319" s="139"/>
      <c r="J319" s="151"/>
      <c r="K319" s="126"/>
      <c r="L319" s="403">
        <f t="shared" si="33"/>
        <v>44117</v>
      </c>
      <c r="M319" s="56" t="str">
        <f t="shared" si="34"/>
        <v>TUE</v>
      </c>
      <c r="O319" s="383">
        <f t="shared" ref="O319:O346" si="37">IF(MOD(C319,7)&lt;2,0,IF(MOD(C319,7)=6,3,1))</f>
        <v>1</v>
      </c>
      <c r="P319" s="392">
        <f t="shared" si="35"/>
        <v>1.0000024999999999</v>
      </c>
    </row>
    <row r="320" spans="1:18">
      <c r="B320" s="41"/>
      <c r="C320" s="403">
        <f t="shared" si="31"/>
        <v>44118</v>
      </c>
      <c r="D320" s="56" t="str">
        <f>VLOOKUP(MOD(C320,7),'CALENDAR INFO'!$G$5:$H$11,2)</f>
        <v>WED</v>
      </c>
      <c r="E320" s="165">
        <v>0.09</v>
      </c>
      <c r="F320" s="336">
        <v>0.09</v>
      </c>
      <c r="G320" s="411">
        <f t="shared" si="32"/>
        <v>0</v>
      </c>
      <c r="K320" s="126"/>
      <c r="L320" s="403">
        <f t="shared" si="33"/>
        <v>44118</v>
      </c>
      <c r="M320" s="56" t="str">
        <f t="shared" si="34"/>
        <v>WED</v>
      </c>
      <c r="O320" s="383">
        <f t="shared" si="37"/>
        <v>1</v>
      </c>
      <c r="P320" s="392">
        <f t="shared" si="35"/>
        <v>1.0000024999999999</v>
      </c>
    </row>
    <row r="321" spans="1:16">
      <c r="B321" s="41"/>
      <c r="C321" s="403">
        <f t="shared" ref="C321:C328" si="38">C320+1</f>
        <v>44119</v>
      </c>
      <c r="D321" s="56" t="str">
        <f>VLOOKUP(MOD(C321,7),'CALENDAR INFO'!$G$5:$H$11,2)</f>
        <v>THU</v>
      </c>
      <c r="E321" s="165">
        <v>0.09</v>
      </c>
      <c r="F321" s="336">
        <v>0.1</v>
      </c>
      <c r="G321" s="411">
        <f t="shared" si="32"/>
        <v>1.0000000000000009E-2</v>
      </c>
      <c r="H321" s="135"/>
      <c r="I321" s="144"/>
      <c r="J321" s="152"/>
      <c r="K321" s="126"/>
      <c r="L321" s="403">
        <f t="shared" si="33"/>
        <v>44119</v>
      </c>
      <c r="M321" s="56" t="str">
        <f t="shared" si="34"/>
        <v>THU</v>
      </c>
      <c r="O321" s="383">
        <f t="shared" si="37"/>
        <v>1</v>
      </c>
      <c r="P321" s="392">
        <f t="shared" si="35"/>
        <v>1.0000027777777778</v>
      </c>
    </row>
    <row r="322" spans="1:16">
      <c r="B322" s="41"/>
      <c r="C322" s="403">
        <f t="shared" si="38"/>
        <v>44120</v>
      </c>
      <c r="D322" s="56" t="str">
        <f>VLOOKUP(MOD(C322,7),'CALENDAR INFO'!$G$5:$H$11,2)</f>
        <v>FRI</v>
      </c>
      <c r="E322" s="165">
        <v>0.09</v>
      </c>
      <c r="F322" s="336">
        <v>0.09</v>
      </c>
      <c r="G322" s="411">
        <f t="shared" si="32"/>
        <v>0</v>
      </c>
      <c r="K322" s="126"/>
      <c r="L322" s="403">
        <f t="shared" si="33"/>
        <v>44120</v>
      </c>
      <c r="M322" s="56" t="str">
        <f t="shared" si="34"/>
        <v>FRI</v>
      </c>
      <c r="O322" s="383">
        <f t="shared" si="37"/>
        <v>3</v>
      </c>
      <c r="P322" s="392">
        <f t="shared" si="35"/>
        <v>1.0000074999999999</v>
      </c>
    </row>
    <row r="323" spans="1:16">
      <c r="B323" s="41"/>
      <c r="C323" s="403">
        <f t="shared" si="38"/>
        <v>44121</v>
      </c>
      <c r="D323" s="56" t="str">
        <f>VLOOKUP(MOD(C323,7),'CALENDAR INFO'!$G$5:$H$11,2)</f>
        <v>SAT</v>
      </c>
      <c r="E323" s="165">
        <v>0.09</v>
      </c>
      <c r="F323" s="336">
        <v>0.09</v>
      </c>
      <c r="G323" s="411">
        <f t="shared" ref="G323:G386" si="39">F323-E323</f>
        <v>0</v>
      </c>
      <c r="K323" s="126"/>
      <c r="L323" s="403">
        <f t="shared" ref="L323:L386" si="40">C323</f>
        <v>44121</v>
      </c>
      <c r="M323" s="56" t="str">
        <f t="shared" ref="M323:M386" si="41">D323</f>
        <v>SAT</v>
      </c>
      <c r="O323" s="383">
        <f t="shared" si="37"/>
        <v>0</v>
      </c>
      <c r="P323" s="392">
        <f t="shared" si="35"/>
        <v>1</v>
      </c>
    </row>
    <row r="324" spans="1:16">
      <c r="B324" s="41"/>
      <c r="C324" s="403">
        <f t="shared" si="38"/>
        <v>44122</v>
      </c>
      <c r="D324" s="56" t="str">
        <f>VLOOKUP(MOD(C324,7),'CALENDAR INFO'!$G$5:$H$11,2)</f>
        <v>SUN</v>
      </c>
      <c r="E324" s="165">
        <v>0.09</v>
      </c>
      <c r="F324" s="336">
        <v>0.09</v>
      </c>
      <c r="G324" s="411">
        <f t="shared" si="39"/>
        <v>0</v>
      </c>
      <c r="K324" s="126"/>
      <c r="L324" s="403">
        <f t="shared" si="40"/>
        <v>44122</v>
      </c>
      <c r="M324" s="56" t="str">
        <f t="shared" si="41"/>
        <v>SUN</v>
      </c>
      <c r="O324" s="383">
        <f t="shared" si="37"/>
        <v>0</v>
      </c>
      <c r="P324" s="392">
        <f t="shared" si="35"/>
        <v>1</v>
      </c>
    </row>
    <row r="325" spans="1:16">
      <c r="B325" s="41"/>
      <c r="C325" s="403">
        <f t="shared" si="38"/>
        <v>44123</v>
      </c>
      <c r="D325" s="56" t="str">
        <f>VLOOKUP(MOD(C325,7),'CALENDAR INFO'!$G$5:$H$11,2)</f>
        <v>MON</v>
      </c>
      <c r="E325" s="165">
        <v>0.09</v>
      </c>
      <c r="F325" s="336">
        <v>0.09</v>
      </c>
      <c r="G325" s="411">
        <f t="shared" si="39"/>
        <v>0</v>
      </c>
      <c r="K325" s="126"/>
      <c r="L325" s="403">
        <f t="shared" si="40"/>
        <v>44123</v>
      </c>
      <c r="M325" s="56" t="str">
        <f t="shared" si="41"/>
        <v>MON</v>
      </c>
      <c r="O325" s="383">
        <f t="shared" si="37"/>
        <v>1</v>
      </c>
      <c r="P325" s="392">
        <f t="shared" si="35"/>
        <v>1.0000024999999999</v>
      </c>
    </row>
    <row r="326" spans="1:16">
      <c r="B326" s="41"/>
      <c r="C326" s="403">
        <f t="shared" si="38"/>
        <v>44124</v>
      </c>
      <c r="D326" s="56" t="str">
        <f>VLOOKUP(MOD(C326,7),'CALENDAR INFO'!$G$5:$H$11,2)</f>
        <v>TUE</v>
      </c>
      <c r="E326" s="165">
        <v>0.09</v>
      </c>
      <c r="F326" s="336">
        <v>0.08</v>
      </c>
      <c r="G326" s="411">
        <f t="shared" si="39"/>
        <v>-9.999999999999995E-3</v>
      </c>
      <c r="K326" s="126"/>
      <c r="L326" s="403">
        <f t="shared" si="40"/>
        <v>44124</v>
      </c>
      <c r="M326" s="56" t="str">
        <f t="shared" si="41"/>
        <v>TUE</v>
      </c>
      <c r="O326" s="383">
        <f t="shared" si="37"/>
        <v>1</v>
      </c>
      <c r="P326" s="392">
        <f t="shared" si="35"/>
        <v>1.0000022222222222</v>
      </c>
    </row>
    <row r="327" spans="1:16">
      <c r="B327" s="41"/>
      <c r="C327" s="403">
        <f t="shared" si="38"/>
        <v>44125</v>
      </c>
      <c r="D327" s="56" t="str">
        <f>VLOOKUP(MOD(C327,7),'CALENDAR INFO'!$G$5:$H$11,2)</f>
        <v>WED</v>
      </c>
      <c r="E327" s="165">
        <v>0.09</v>
      </c>
      <c r="F327" s="336">
        <v>7.0000000000000007E-2</v>
      </c>
      <c r="G327" s="411">
        <f t="shared" si="39"/>
        <v>-1.999999999999999E-2</v>
      </c>
      <c r="K327" s="126" t="s">
        <v>19</v>
      </c>
      <c r="L327" s="403">
        <f t="shared" si="40"/>
        <v>44125</v>
      </c>
      <c r="M327" s="56" t="str">
        <f t="shared" si="41"/>
        <v>WED</v>
      </c>
      <c r="O327" s="383">
        <f t="shared" si="37"/>
        <v>1</v>
      </c>
      <c r="P327" s="392">
        <f t="shared" si="35"/>
        <v>1.0000019444444443</v>
      </c>
    </row>
    <row r="328" spans="1:16">
      <c r="B328" s="41"/>
      <c r="C328" s="403">
        <f t="shared" si="38"/>
        <v>44126</v>
      </c>
      <c r="D328" s="56" t="str">
        <f>VLOOKUP(MOD(C328,7),'CALENDAR INFO'!$G$5:$H$11,2)</f>
        <v>THU</v>
      </c>
      <c r="E328" s="165">
        <v>0.09</v>
      </c>
      <c r="F328" s="336">
        <v>7.0000000000000007E-2</v>
      </c>
      <c r="G328" s="411">
        <f t="shared" si="39"/>
        <v>-1.999999999999999E-2</v>
      </c>
      <c r="K328" s="129" t="s">
        <v>18</v>
      </c>
      <c r="L328" s="403">
        <f t="shared" si="40"/>
        <v>44126</v>
      </c>
      <c r="M328" s="56" t="str">
        <f t="shared" si="41"/>
        <v>THU</v>
      </c>
      <c r="O328" s="383">
        <f t="shared" si="37"/>
        <v>1</v>
      </c>
      <c r="P328" s="392">
        <f t="shared" si="35"/>
        <v>1.0000019444444443</v>
      </c>
    </row>
    <row r="329" spans="1:16">
      <c r="B329" s="41"/>
      <c r="C329" s="403">
        <f t="shared" ref="C329:C372" si="42">C328+1</f>
        <v>44127</v>
      </c>
      <c r="D329" s="56" t="str">
        <f>VLOOKUP(MOD(C329,7),'CALENDAR INFO'!$G$5:$H$11,2)</f>
        <v>FRI</v>
      </c>
      <c r="E329" s="165">
        <v>0.09</v>
      </c>
      <c r="F329" s="336">
        <v>0.08</v>
      </c>
      <c r="G329" s="411">
        <f t="shared" si="39"/>
        <v>-9.999999999999995E-3</v>
      </c>
      <c r="K329" s="129"/>
      <c r="L329" s="403">
        <f t="shared" si="40"/>
        <v>44127</v>
      </c>
      <c r="M329" s="56" t="str">
        <f t="shared" si="41"/>
        <v>FRI</v>
      </c>
      <c r="O329" s="383">
        <f t="shared" si="37"/>
        <v>3</v>
      </c>
      <c r="P329" s="392">
        <f t="shared" si="35"/>
        <v>1.0000066666666667</v>
      </c>
    </row>
    <row r="330" spans="1:16">
      <c r="B330" s="41"/>
      <c r="C330" s="403">
        <f t="shared" si="42"/>
        <v>44128</v>
      </c>
      <c r="D330" s="56" t="str">
        <f>VLOOKUP(MOD(C330,7),'CALENDAR INFO'!$G$5:$H$11,2)</f>
        <v>SAT</v>
      </c>
      <c r="E330" s="165">
        <v>0.09</v>
      </c>
      <c r="F330" s="336">
        <v>0.08</v>
      </c>
      <c r="G330" s="411">
        <f t="shared" si="39"/>
        <v>-9.999999999999995E-3</v>
      </c>
      <c r="K330" s="129"/>
      <c r="L330" s="403">
        <f t="shared" si="40"/>
        <v>44128</v>
      </c>
      <c r="M330" s="56" t="str">
        <f t="shared" si="41"/>
        <v>SAT</v>
      </c>
      <c r="O330" s="383">
        <f t="shared" si="37"/>
        <v>0</v>
      </c>
      <c r="P330" s="392">
        <f t="shared" si="35"/>
        <v>1</v>
      </c>
    </row>
    <row r="331" spans="1:16">
      <c r="B331" s="41"/>
      <c r="C331" s="403">
        <f t="shared" si="42"/>
        <v>44129</v>
      </c>
      <c r="D331" s="56" t="str">
        <f>VLOOKUP(MOD(C331,7),'CALENDAR INFO'!$G$5:$H$11,2)</f>
        <v>SUN</v>
      </c>
      <c r="E331" s="165">
        <v>0.09</v>
      </c>
      <c r="F331" s="336">
        <v>0.08</v>
      </c>
      <c r="G331" s="411">
        <f t="shared" si="39"/>
        <v>-9.999999999999995E-3</v>
      </c>
      <c r="K331" s="129"/>
      <c r="L331" s="403">
        <f t="shared" si="40"/>
        <v>44129</v>
      </c>
      <c r="M331" s="56" t="str">
        <f t="shared" si="41"/>
        <v>SUN</v>
      </c>
      <c r="O331" s="383">
        <f t="shared" si="37"/>
        <v>0</v>
      </c>
      <c r="P331" s="392">
        <f t="shared" si="35"/>
        <v>1</v>
      </c>
    </row>
    <row r="332" spans="1:16">
      <c r="B332" s="41"/>
      <c r="C332" s="403">
        <f t="shared" si="42"/>
        <v>44130</v>
      </c>
      <c r="D332" s="56" t="str">
        <f>VLOOKUP(MOD(C332,7),'CALENDAR INFO'!$G$5:$H$11,2)</f>
        <v>MON</v>
      </c>
      <c r="E332" s="165">
        <v>0.09</v>
      </c>
      <c r="F332" s="336">
        <v>0.09</v>
      </c>
      <c r="G332" s="411">
        <f t="shared" si="39"/>
        <v>0</v>
      </c>
      <c r="K332" s="129"/>
      <c r="L332" s="403">
        <f t="shared" si="40"/>
        <v>44130</v>
      </c>
      <c r="M332" s="56" t="str">
        <f t="shared" si="41"/>
        <v>MON</v>
      </c>
      <c r="O332" s="383">
        <f t="shared" si="37"/>
        <v>1</v>
      </c>
      <c r="P332" s="392">
        <f t="shared" si="35"/>
        <v>1.0000024999999999</v>
      </c>
    </row>
    <row r="333" spans="1:16">
      <c r="B333" s="41"/>
      <c r="C333" s="403">
        <f t="shared" si="42"/>
        <v>44131</v>
      </c>
      <c r="D333" s="56" t="str">
        <f>VLOOKUP(MOD(C333,7),'CALENDAR INFO'!$G$5:$H$11,2)</f>
        <v>TUE</v>
      </c>
      <c r="E333" s="165">
        <v>0.09</v>
      </c>
      <c r="F333" s="336">
        <v>0.09</v>
      </c>
      <c r="G333" s="411">
        <f t="shared" si="39"/>
        <v>0</v>
      </c>
      <c r="I333" s="137"/>
      <c r="K333" s="129"/>
      <c r="L333" s="403">
        <f t="shared" si="40"/>
        <v>44131</v>
      </c>
      <c r="M333" s="56" t="str">
        <f t="shared" si="41"/>
        <v>TUE</v>
      </c>
      <c r="O333" s="383">
        <f t="shared" si="37"/>
        <v>1</v>
      </c>
      <c r="P333" s="392">
        <f t="shared" si="35"/>
        <v>1.0000024999999999</v>
      </c>
    </row>
    <row r="334" spans="1:16">
      <c r="B334" s="41"/>
      <c r="C334" s="403">
        <f t="shared" si="42"/>
        <v>44132</v>
      </c>
      <c r="D334" s="56" t="str">
        <f>VLOOKUP(MOD(C334,7),'CALENDAR INFO'!$G$5:$H$11,2)</f>
        <v>WED</v>
      </c>
      <c r="E334" s="165">
        <v>0.09</v>
      </c>
      <c r="F334" s="336">
        <v>0.08</v>
      </c>
      <c r="G334" s="411">
        <f t="shared" si="39"/>
        <v>-9.999999999999995E-3</v>
      </c>
      <c r="I334" s="147"/>
      <c r="K334" s="129"/>
      <c r="L334" s="403">
        <f t="shared" si="40"/>
        <v>44132</v>
      </c>
      <c r="M334" s="56" t="str">
        <f t="shared" si="41"/>
        <v>WED</v>
      </c>
      <c r="O334" s="383">
        <f t="shared" si="37"/>
        <v>1</v>
      </c>
      <c r="P334" s="392">
        <f t="shared" si="35"/>
        <v>1.0000022222222222</v>
      </c>
    </row>
    <row r="335" spans="1:16">
      <c r="B335" s="41"/>
      <c r="C335" s="403">
        <f t="shared" si="42"/>
        <v>44133</v>
      </c>
      <c r="D335" s="56" t="str">
        <f>VLOOKUP(MOD(C335,7),'CALENDAR INFO'!$G$5:$H$11,2)</f>
        <v>THU</v>
      </c>
      <c r="E335" s="165">
        <v>0.09</v>
      </c>
      <c r="F335" s="336">
        <v>0.09</v>
      </c>
      <c r="G335" s="411">
        <f t="shared" si="39"/>
        <v>0</v>
      </c>
      <c r="H335" s="343"/>
      <c r="I335" s="145"/>
      <c r="J335" s="153"/>
      <c r="K335" s="129"/>
      <c r="L335" s="403">
        <f t="shared" si="40"/>
        <v>44133</v>
      </c>
      <c r="M335" s="56" t="str">
        <f t="shared" si="41"/>
        <v>THU</v>
      </c>
      <c r="O335" s="383">
        <f t="shared" si="37"/>
        <v>1</v>
      </c>
      <c r="P335" s="392">
        <f t="shared" si="35"/>
        <v>1.0000024999999999</v>
      </c>
    </row>
    <row r="336" spans="1:16">
      <c r="A336" s="69"/>
      <c r="B336" s="175"/>
      <c r="C336" s="403">
        <f t="shared" si="42"/>
        <v>44134</v>
      </c>
      <c r="D336" s="56" t="str">
        <f>VLOOKUP(MOD(C336,7),'CALENDAR INFO'!$G$5:$H$11,2)</f>
        <v>FRI</v>
      </c>
      <c r="E336" s="165">
        <v>0.09</v>
      </c>
      <c r="F336" s="336">
        <v>0.09</v>
      </c>
      <c r="G336" s="411">
        <f t="shared" si="39"/>
        <v>0</v>
      </c>
      <c r="I336" s="137"/>
      <c r="K336" s="129"/>
      <c r="L336" s="403">
        <f t="shared" si="40"/>
        <v>44134</v>
      </c>
      <c r="M336" s="56" t="str">
        <f t="shared" si="41"/>
        <v>FRI</v>
      </c>
      <c r="O336" s="383">
        <f t="shared" si="37"/>
        <v>3</v>
      </c>
      <c r="P336" s="392">
        <f t="shared" si="35"/>
        <v>1.0000074999999999</v>
      </c>
    </row>
    <row r="337" spans="1:18" s="68" customFormat="1" ht="15.75" thickBot="1">
      <c r="A337" s="65"/>
      <c r="B337" s="174"/>
      <c r="C337" s="404">
        <f t="shared" si="42"/>
        <v>44135</v>
      </c>
      <c r="D337" s="64" t="str">
        <f>VLOOKUP(MOD(C337,7),'CALENDAR INFO'!$G$5:$H$11,2)</f>
        <v>SAT</v>
      </c>
      <c r="E337" s="166">
        <v>0.09</v>
      </c>
      <c r="F337" s="337">
        <v>0.09</v>
      </c>
      <c r="G337" s="412">
        <f t="shared" si="39"/>
        <v>0</v>
      </c>
      <c r="H337" s="344"/>
      <c r="I337" s="146"/>
      <c r="J337" s="154"/>
      <c r="K337" s="84"/>
      <c r="L337" s="404">
        <f t="shared" si="40"/>
        <v>44135</v>
      </c>
      <c r="M337" s="64" t="str">
        <f t="shared" si="41"/>
        <v>SAT</v>
      </c>
      <c r="N337" s="90"/>
      <c r="O337" s="382">
        <f t="shared" si="37"/>
        <v>0</v>
      </c>
      <c r="P337" s="388">
        <f t="shared" si="35"/>
        <v>1</v>
      </c>
      <c r="R337" s="66"/>
    </row>
    <row r="338" spans="1:18">
      <c r="A338" s="69"/>
      <c r="B338" s="175"/>
      <c r="C338" s="403">
        <f t="shared" si="42"/>
        <v>44136</v>
      </c>
      <c r="D338" s="56" t="str">
        <f>VLOOKUP(MOD(C338,7),'CALENDAR INFO'!$G$5:$H$11,2)</f>
        <v>SUN</v>
      </c>
      <c r="E338" s="165">
        <v>0.09</v>
      </c>
      <c r="F338" s="336">
        <v>0.09</v>
      </c>
      <c r="G338" s="411">
        <f t="shared" si="39"/>
        <v>0</v>
      </c>
      <c r="H338" s="15" t="s">
        <v>149</v>
      </c>
      <c r="I338" s="15">
        <f>ROW(I338)</f>
        <v>338</v>
      </c>
      <c r="J338" s="138">
        <f>I338</f>
        <v>338</v>
      </c>
      <c r="K338" s="129"/>
      <c r="L338" s="403">
        <f t="shared" si="40"/>
        <v>44136</v>
      </c>
      <c r="M338" s="56" t="str">
        <f t="shared" si="41"/>
        <v>SUN</v>
      </c>
      <c r="O338" s="383">
        <f t="shared" si="37"/>
        <v>0</v>
      </c>
      <c r="P338" s="392">
        <f t="shared" si="35"/>
        <v>1</v>
      </c>
    </row>
    <row r="339" spans="1:18">
      <c r="B339" s="41"/>
      <c r="C339" s="403">
        <f t="shared" si="42"/>
        <v>44137</v>
      </c>
      <c r="D339" s="56" t="str">
        <f>VLOOKUP(MOD(C339,7),'CALENDAR INFO'!$G$5:$H$11,2)</f>
        <v>MON</v>
      </c>
      <c r="E339" s="165">
        <v>0.09</v>
      </c>
      <c r="F339" s="336">
        <v>0.11</v>
      </c>
      <c r="G339" s="411">
        <f t="shared" si="39"/>
        <v>2.0000000000000004E-2</v>
      </c>
      <c r="H339" s="376" t="s">
        <v>210</v>
      </c>
      <c r="I339" s="15">
        <f>VLOOKUP(MONTH($C338),'CALENDAR INFO'!$J$5:$K$16,2)</f>
        <v>30</v>
      </c>
      <c r="J339" s="138">
        <f>I339</f>
        <v>30</v>
      </c>
      <c r="K339" s="129"/>
      <c r="L339" s="403">
        <f t="shared" si="40"/>
        <v>44137</v>
      </c>
      <c r="M339" s="56" t="str">
        <f t="shared" si="41"/>
        <v>MON</v>
      </c>
      <c r="O339" s="383">
        <f t="shared" si="37"/>
        <v>1</v>
      </c>
      <c r="P339" s="392">
        <f t="shared" ref="P339:P402" si="43">1+(O339/360)*(MAX(F339,B339)/100)</f>
        <v>1.0000030555555555</v>
      </c>
    </row>
    <row r="340" spans="1:18">
      <c r="B340" s="41"/>
      <c r="C340" s="403">
        <f t="shared" si="42"/>
        <v>44138</v>
      </c>
      <c r="D340" s="56" t="str">
        <f>VLOOKUP(MOD(C340,7),'CALENDAR INFO'!$G$5:$H$11,2)</f>
        <v>TUE</v>
      </c>
      <c r="E340" s="165">
        <v>0.09</v>
      </c>
      <c r="F340" s="336">
        <v>0.1</v>
      </c>
      <c r="G340" s="411">
        <f t="shared" si="39"/>
        <v>1.0000000000000009E-2</v>
      </c>
      <c r="H340" s="376" t="s">
        <v>211</v>
      </c>
      <c r="I340" s="15">
        <f>I339+I338-1</f>
        <v>367</v>
      </c>
      <c r="J340" s="138">
        <f>I340</f>
        <v>367</v>
      </c>
      <c r="K340" s="129"/>
      <c r="L340" s="403">
        <f t="shared" si="40"/>
        <v>44138</v>
      </c>
      <c r="M340" s="56" t="str">
        <f t="shared" si="41"/>
        <v>TUE</v>
      </c>
      <c r="O340" s="383">
        <f t="shared" si="37"/>
        <v>1</v>
      </c>
      <c r="P340" s="392">
        <f t="shared" si="43"/>
        <v>1.0000027777777778</v>
      </c>
    </row>
    <row r="341" spans="1:18">
      <c r="B341" s="41"/>
      <c r="C341" s="403">
        <f t="shared" si="42"/>
        <v>44139</v>
      </c>
      <c r="D341" s="56" t="str">
        <f>VLOOKUP(MOD(C341,7),'CALENDAR INFO'!$G$5:$H$11,2)</f>
        <v>WED</v>
      </c>
      <c r="E341" s="165">
        <v>0.09</v>
      </c>
      <c r="F341" s="336">
        <v>0.1</v>
      </c>
      <c r="G341" s="411">
        <f t="shared" si="39"/>
        <v>1.0000000000000009E-2</v>
      </c>
      <c r="K341" s="129" t="s">
        <v>19</v>
      </c>
      <c r="L341" s="403">
        <f t="shared" si="40"/>
        <v>44139</v>
      </c>
      <c r="M341" s="56" t="str">
        <f t="shared" si="41"/>
        <v>WED</v>
      </c>
      <c r="N341" s="116" t="s">
        <v>20</v>
      </c>
      <c r="O341" s="383">
        <f t="shared" si="37"/>
        <v>1</v>
      </c>
      <c r="P341" s="392">
        <f t="shared" si="43"/>
        <v>1.0000027777777778</v>
      </c>
    </row>
    <row r="342" spans="1:18">
      <c r="B342" s="41"/>
      <c r="C342" s="403">
        <f t="shared" si="42"/>
        <v>44140</v>
      </c>
      <c r="D342" s="56" t="str">
        <f>VLOOKUP(MOD(C342,7),'CALENDAR INFO'!$G$5:$H$11,2)</f>
        <v>THU</v>
      </c>
      <c r="E342" s="165">
        <v>0.09</v>
      </c>
      <c r="F342" s="336">
        <v>0.11</v>
      </c>
      <c r="G342" s="411">
        <f t="shared" si="39"/>
        <v>2.0000000000000004E-2</v>
      </c>
      <c r="H342" s="15" t="s">
        <v>150</v>
      </c>
      <c r="I342" s="137" t="str">
        <f>_xlfn.CONCAT(ADDRESS(I338,5),":",ADDRESS(I340,5))</f>
        <v>$E$338:$E$367</v>
      </c>
      <c r="J342" s="150" t="str">
        <f>_xlfn.CONCAT(ADDRESS(J338,6),":",ADDRESS(J340,6))</f>
        <v>$F$338:$F$367</v>
      </c>
      <c r="K342" s="126" t="s">
        <v>18</v>
      </c>
      <c r="L342" s="403">
        <f t="shared" si="40"/>
        <v>44140</v>
      </c>
      <c r="M342" s="56" t="str">
        <f t="shared" si="41"/>
        <v>THU</v>
      </c>
      <c r="N342" s="116" t="s">
        <v>20</v>
      </c>
      <c r="O342" s="383">
        <f t="shared" si="37"/>
        <v>1</v>
      </c>
      <c r="P342" s="392">
        <f t="shared" si="43"/>
        <v>1.0000030555555555</v>
      </c>
    </row>
    <row r="343" spans="1:18">
      <c r="B343" s="41"/>
      <c r="C343" s="403">
        <f t="shared" si="42"/>
        <v>44141</v>
      </c>
      <c r="D343" s="56" t="str">
        <f>VLOOKUP(MOD(C343,7),'CALENDAR INFO'!$G$5:$H$11,2)</f>
        <v>FRI</v>
      </c>
      <c r="E343" s="165">
        <v>0.09</v>
      </c>
      <c r="F343" s="336">
        <v>0.1</v>
      </c>
      <c r="G343" s="411">
        <f t="shared" si="39"/>
        <v>1.0000000000000009E-2</v>
      </c>
      <c r="K343" s="126"/>
      <c r="L343" s="403">
        <f t="shared" si="40"/>
        <v>44141</v>
      </c>
      <c r="M343" s="56" t="str">
        <f t="shared" si="41"/>
        <v>FRI</v>
      </c>
      <c r="O343" s="383">
        <f t="shared" si="37"/>
        <v>3</v>
      </c>
      <c r="P343" s="392">
        <f t="shared" si="43"/>
        <v>1.0000083333333334</v>
      </c>
    </row>
    <row r="344" spans="1:18">
      <c r="B344" s="41"/>
      <c r="C344" s="403">
        <f t="shared" si="42"/>
        <v>44142</v>
      </c>
      <c r="D344" s="56" t="str">
        <f>VLOOKUP(MOD(C344,7),'CALENDAR INFO'!$G$5:$H$11,2)</f>
        <v>SAT</v>
      </c>
      <c r="E344" s="165">
        <v>0.09</v>
      </c>
      <c r="F344" s="336">
        <v>0.1</v>
      </c>
      <c r="G344" s="411">
        <f t="shared" si="39"/>
        <v>1.0000000000000009E-2</v>
      </c>
      <c r="H344" s="376" t="s">
        <v>221</v>
      </c>
      <c r="I344" s="147">
        <f ca="1">AVERAGE(INDIRECT(I342))</f>
        <v>8.6333333333333359E-2</v>
      </c>
      <c r="J344" s="326">
        <f ca="1">AVERAGE(INDIRECT(J342))</f>
        <v>8.5000000000000034E-2</v>
      </c>
      <c r="K344" s="126"/>
      <c r="L344" s="403">
        <f t="shared" si="40"/>
        <v>44142</v>
      </c>
      <c r="M344" s="56" t="str">
        <f t="shared" si="41"/>
        <v>SAT</v>
      </c>
      <c r="O344" s="383">
        <f t="shared" si="37"/>
        <v>0</v>
      </c>
      <c r="P344" s="392">
        <f t="shared" si="43"/>
        <v>1</v>
      </c>
    </row>
    <row r="345" spans="1:18">
      <c r="B345" s="41"/>
      <c r="C345" s="403">
        <f t="shared" si="42"/>
        <v>44143</v>
      </c>
      <c r="D345" s="56" t="str">
        <f>VLOOKUP(MOD(C345,7),'CALENDAR INFO'!$G$5:$H$11,2)</f>
        <v>SUN</v>
      </c>
      <c r="E345" s="165">
        <v>0.09</v>
      </c>
      <c r="F345" s="336">
        <v>0.1</v>
      </c>
      <c r="G345" s="411">
        <f t="shared" si="39"/>
        <v>1.0000000000000009E-2</v>
      </c>
      <c r="I345" s="240"/>
      <c r="J345" s="157"/>
      <c r="K345" s="126"/>
      <c r="L345" s="403">
        <f t="shared" si="40"/>
        <v>44143</v>
      </c>
      <c r="M345" s="56" t="str">
        <f t="shared" si="41"/>
        <v>SUN</v>
      </c>
      <c r="O345" s="383">
        <f t="shared" si="37"/>
        <v>0</v>
      </c>
      <c r="P345" s="392">
        <f t="shared" si="43"/>
        <v>1</v>
      </c>
    </row>
    <row r="346" spans="1:18">
      <c r="B346" s="41"/>
      <c r="C346" s="403">
        <f t="shared" si="42"/>
        <v>44144</v>
      </c>
      <c r="D346" s="56" t="str">
        <f>VLOOKUP(MOD(C346,7),'CALENDAR INFO'!$G$5:$H$11,2)</f>
        <v>MON</v>
      </c>
      <c r="E346" s="165">
        <v>0.09</v>
      </c>
      <c r="F346" s="336">
        <v>0.1</v>
      </c>
      <c r="G346" s="411">
        <f t="shared" si="39"/>
        <v>1.0000000000000009E-2</v>
      </c>
      <c r="H346" s="15" t="s">
        <v>222</v>
      </c>
      <c r="I346" s="147">
        <f ca="1">100-I344</f>
        <v>99.913666666666671</v>
      </c>
      <c r="J346" s="326">
        <f ca="1">100-J344</f>
        <v>99.915000000000006</v>
      </c>
      <c r="K346" s="126"/>
      <c r="L346" s="403">
        <f t="shared" si="40"/>
        <v>44144</v>
      </c>
      <c r="M346" s="56" t="str">
        <f t="shared" si="41"/>
        <v>MON</v>
      </c>
      <c r="O346" s="383">
        <f t="shared" si="37"/>
        <v>1</v>
      </c>
      <c r="P346" s="392">
        <f t="shared" si="43"/>
        <v>1.0000027777777778</v>
      </c>
    </row>
    <row r="347" spans="1:18">
      <c r="B347" s="41"/>
      <c r="C347" s="403">
        <f t="shared" si="42"/>
        <v>44145</v>
      </c>
      <c r="D347" s="56" t="str">
        <f>VLOOKUP(MOD(C347,7),'CALENDAR INFO'!$G$5:$H$11,2)</f>
        <v>TUE</v>
      </c>
      <c r="E347" s="165">
        <v>0.09</v>
      </c>
      <c r="F347" s="336">
        <v>0.1</v>
      </c>
      <c r="G347" s="411">
        <f t="shared" si="39"/>
        <v>1.0000000000000009E-2</v>
      </c>
      <c r="I347" s="137"/>
      <c r="J347" s="150"/>
      <c r="K347" s="126"/>
      <c r="L347" s="403">
        <f t="shared" si="40"/>
        <v>44145</v>
      </c>
      <c r="M347" s="56" t="str">
        <f t="shared" si="41"/>
        <v>TUE</v>
      </c>
      <c r="O347" s="384">
        <f>IF(MOD(C347,7)&lt;2,0,IF(MOD(C347,7)=6,3,1))+1</f>
        <v>2</v>
      </c>
      <c r="P347" s="392">
        <f t="shared" si="43"/>
        <v>1.0000055555555556</v>
      </c>
    </row>
    <row r="348" spans="1:18">
      <c r="B348" s="41"/>
      <c r="C348" s="403">
        <f t="shared" si="42"/>
        <v>44146</v>
      </c>
      <c r="D348" s="56" t="str">
        <f>VLOOKUP(MOD(C348,7),'CALENDAR INFO'!$G$5:$H$11,2)</f>
        <v>WED</v>
      </c>
      <c r="E348" s="165">
        <v>0.09</v>
      </c>
      <c r="F348" s="336">
        <v>0.1</v>
      </c>
      <c r="G348" s="411">
        <f t="shared" si="39"/>
        <v>1.0000000000000009E-2</v>
      </c>
      <c r="H348" s="425" t="s">
        <v>97</v>
      </c>
      <c r="I348" s="419">
        <v>99.914000000000001</v>
      </c>
      <c r="J348" s="426">
        <v>99.915000000000006</v>
      </c>
      <c r="K348" s="126"/>
      <c r="L348" s="403">
        <f t="shared" si="40"/>
        <v>44146</v>
      </c>
      <c r="M348" s="56" t="str">
        <f t="shared" si="41"/>
        <v>WED</v>
      </c>
      <c r="N348" s="132" t="s">
        <v>59</v>
      </c>
      <c r="O348" s="384">
        <f>IF(MOD(C348,7)&lt;2,0,IF(MOD(C348,7)=6,3,1))-1</f>
        <v>0</v>
      </c>
      <c r="P348" s="392">
        <f t="shared" si="43"/>
        <v>1</v>
      </c>
    </row>
    <row r="349" spans="1:18">
      <c r="B349" s="41"/>
      <c r="C349" s="403">
        <f t="shared" si="42"/>
        <v>44147</v>
      </c>
      <c r="D349" s="56" t="str">
        <f>VLOOKUP(MOD(C349,7),'CALENDAR INFO'!$G$5:$H$11,2)</f>
        <v>THU</v>
      </c>
      <c r="E349" s="165">
        <v>0.09</v>
      </c>
      <c r="F349" s="336">
        <v>0.09</v>
      </c>
      <c r="G349" s="411">
        <f t="shared" si="39"/>
        <v>0</v>
      </c>
      <c r="I349" s="137"/>
      <c r="J349" s="150"/>
      <c r="K349" s="126"/>
      <c r="L349" s="403">
        <f t="shared" si="40"/>
        <v>44147</v>
      </c>
      <c r="M349" s="56" t="str">
        <f t="shared" si="41"/>
        <v>THU</v>
      </c>
      <c r="O349" s="383">
        <f t="shared" ref="O349:O361" si="44">IF(MOD(C349,7)&lt;2,0,IF(MOD(C349,7)=6,3,1))</f>
        <v>1</v>
      </c>
      <c r="P349" s="392">
        <f t="shared" si="43"/>
        <v>1.0000024999999999</v>
      </c>
    </row>
    <row r="350" spans="1:18">
      <c r="B350" s="41"/>
      <c r="C350" s="403">
        <f t="shared" si="42"/>
        <v>44148</v>
      </c>
      <c r="D350" s="56" t="str">
        <f>VLOOKUP(MOD(C350,7),'CALENDAR INFO'!$G$5:$H$11,2)</f>
        <v>FRI</v>
      </c>
      <c r="E350" s="165">
        <v>0.09</v>
      </c>
      <c r="F350" s="336">
        <v>0.09</v>
      </c>
      <c r="G350" s="411">
        <f t="shared" si="39"/>
        <v>0</v>
      </c>
      <c r="H350" s="136"/>
      <c r="I350" s="139"/>
      <c r="J350" s="151"/>
      <c r="K350" s="126"/>
      <c r="L350" s="403">
        <f t="shared" si="40"/>
        <v>44148</v>
      </c>
      <c r="M350" s="56" t="str">
        <f t="shared" si="41"/>
        <v>FRI</v>
      </c>
      <c r="O350" s="383">
        <f t="shared" si="44"/>
        <v>3</v>
      </c>
      <c r="P350" s="392">
        <f t="shared" si="43"/>
        <v>1.0000074999999999</v>
      </c>
    </row>
    <row r="351" spans="1:18">
      <c r="B351" s="41"/>
      <c r="C351" s="403">
        <f t="shared" si="42"/>
        <v>44149</v>
      </c>
      <c r="D351" s="56" t="str">
        <f>VLOOKUP(MOD(C351,7),'CALENDAR INFO'!$G$5:$H$11,2)</f>
        <v>SAT</v>
      </c>
      <c r="E351" s="165">
        <v>0.09</v>
      </c>
      <c r="F351" s="336">
        <v>0.09</v>
      </c>
      <c r="G351" s="411">
        <f t="shared" si="39"/>
        <v>0</v>
      </c>
      <c r="K351" s="126"/>
      <c r="L351" s="403">
        <f t="shared" si="40"/>
        <v>44149</v>
      </c>
      <c r="M351" s="56" t="str">
        <f t="shared" si="41"/>
        <v>SAT</v>
      </c>
      <c r="O351" s="383">
        <f t="shared" si="44"/>
        <v>0</v>
      </c>
      <c r="P351" s="392">
        <f t="shared" si="43"/>
        <v>1</v>
      </c>
    </row>
    <row r="352" spans="1:18">
      <c r="B352" s="41"/>
      <c r="C352" s="403">
        <f t="shared" si="42"/>
        <v>44150</v>
      </c>
      <c r="D352" s="56" t="str">
        <f>VLOOKUP(MOD(C352,7),'CALENDAR INFO'!$G$5:$H$11,2)</f>
        <v>SUN</v>
      </c>
      <c r="E352" s="165">
        <v>0.09</v>
      </c>
      <c r="F352" s="336">
        <v>0.09</v>
      </c>
      <c r="G352" s="411">
        <f t="shared" si="39"/>
        <v>0</v>
      </c>
      <c r="H352" s="135"/>
      <c r="I352" s="144"/>
      <c r="J352" s="152"/>
      <c r="K352" s="126"/>
      <c r="L352" s="403">
        <f t="shared" si="40"/>
        <v>44150</v>
      </c>
      <c r="M352" s="56" t="str">
        <f t="shared" si="41"/>
        <v>SUN</v>
      </c>
      <c r="O352" s="383">
        <f t="shared" si="44"/>
        <v>0</v>
      </c>
      <c r="P352" s="392">
        <f t="shared" si="43"/>
        <v>1</v>
      </c>
    </row>
    <row r="353" spans="1:18">
      <c r="B353" s="41"/>
      <c r="C353" s="403">
        <f t="shared" si="42"/>
        <v>44151</v>
      </c>
      <c r="D353" s="56" t="str">
        <f>VLOOKUP(MOD(C353,7),'CALENDAR INFO'!$G$5:$H$11,2)</f>
        <v>MON</v>
      </c>
      <c r="E353" s="165">
        <v>0.09</v>
      </c>
      <c r="F353" s="336">
        <v>0.1</v>
      </c>
      <c r="G353" s="411">
        <f t="shared" si="39"/>
        <v>1.0000000000000009E-2</v>
      </c>
      <c r="K353" s="126"/>
      <c r="L353" s="403">
        <f t="shared" si="40"/>
        <v>44151</v>
      </c>
      <c r="M353" s="56" t="str">
        <f t="shared" si="41"/>
        <v>MON</v>
      </c>
      <c r="O353" s="383">
        <f t="shared" si="44"/>
        <v>1</v>
      </c>
      <c r="P353" s="392">
        <f t="shared" si="43"/>
        <v>1.0000027777777778</v>
      </c>
    </row>
    <row r="354" spans="1:18">
      <c r="B354" s="41"/>
      <c r="C354" s="403">
        <f t="shared" si="42"/>
        <v>44152</v>
      </c>
      <c r="D354" s="56" t="str">
        <f>VLOOKUP(MOD(C354,7),'CALENDAR INFO'!$G$5:$H$11,2)</f>
        <v>TUE</v>
      </c>
      <c r="E354" s="165">
        <v>0.09</v>
      </c>
      <c r="F354" s="336">
        <v>0.09</v>
      </c>
      <c r="G354" s="411">
        <f t="shared" si="39"/>
        <v>0</v>
      </c>
      <c r="K354" s="126"/>
      <c r="L354" s="403">
        <f t="shared" si="40"/>
        <v>44152</v>
      </c>
      <c r="M354" s="56" t="str">
        <f t="shared" si="41"/>
        <v>TUE</v>
      </c>
      <c r="O354" s="383">
        <f t="shared" si="44"/>
        <v>1</v>
      </c>
      <c r="P354" s="392">
        <f t="shared" si="43"/>
        <v>1.0000024999999999</v>
      </c>
    </row>
    <row r="355" spans="1:18">
      <c r="B355" s="41"/>
      <c r="C355" s="403">
        <f t="shared" si="42"/>
        <v>44153</v>
      </c>
      <c r="D355" s="56" t="str">
        <f>VLOOKUP(MOD(C355,7),'CALENDAR INFO'!$G$5:$H$11,2)</f>
        <v>WED</v>
      </c>
      <c r="E355" s="165">
        <v>0.09</v>
      </c>
      <c r="F355" s="336">
        <v>7.0000000000000007E-2</v>
      </c>
      <c r="G355" s="411">
        <f t="shared" si="39"/>
        <v>-1.999999999999999E-2</v>
      </c>
      <c r="K355" s="126" t="s">
        <v>19</v>
      </c>
      <c r="L355" s="403">
        <f t="shared" si="40"/>
        <v>44153</v>
      </c>
      <c r="M355" s="56" t="str">
        <f t="shared" si="41"/>
        <v>WED</v>
      </c>
      <c r="O355" s="383">
        <f t="shared" si="44"/>
        <v>1</v>
      </c>
      <c r="P355" s="392">
        <f t="shared" si="43"/>
        <v>1.0000019444444443</v>
      </c>
    </row>
    <row r="356" spans="1:18">
      <c r="B356" s="41"/>
      <c r="C356" s="403">
        <f t="shared" si="42"/>
        <v>44154</v>
      </c>
      <c r="D356" s="56" t="str">
        <f>VLOOKUP(MOD(C356,7),'CALENDAR INFO'!$G$5:$H$11,2)</f>
        <v>THU</v>
      </c>
      <c r="E356" s="165">
        <v>0.08</v>
      </c>
      <c r="F356" s="336">
        <v>0.06</v>
      </c>
      <c r="G356" s="411">
        <f t="shared" si="39"/>
        <v>-2.0000000000000004E-2</v>
      </c>
      <c r="K356" s="129" t="s">
        <v>18</v>
      </c>
      <c r="L356" s="403">
        <f t="shared" si="40"/>
        <v>44154</v>
      </c>
      <c r="M356" s="56" t="str">
        <f t="shared" si="41"/>
        <v>THU</v>
      </c>
      <c r="O356" s="383">
        <f t="shared" si="44"/>
        <v>1</v>
      </c>
      <c r="P356" s="392">
        <f t="shared" si="43"/>
        <v>1.0000016666666667</v>
      </c>
    </row>
    <row r="357" spans="1:18">
      <c r="B357" s="41"/>
      <c r="C357" s="403">
        <f t="shared" si="42"/>
        <v>44155</v>
      </c>
      <c r="D357" s="56" t="str">
        <f>VLOOKUP(MOD(C357,7),'CALENDAR INFO'!$G$5:$H$11,2)</f>
        <v>FRI</v>
      </c>
      <c r="E357" s="165">
        <v>0.08</v>
      </c>
      <c r="F357" s="336">
        <v>0.05</v>
      </c>
      <c r="G357" s="411">
        <f t="shared" si="39"/>
        <v>-0.03</v>
      </c>
      <c r="K357" s="129"/>
      <c r="L357" s="403">
        <f t="shared" si="40"/>
        <v>44155</v>
      </c>
      <c r="M357" s="56" t="str">
        <f t="shared" si="41"/>
        <v>FRI</v>
      </c>
      <c r="O357" s="383">
        <f t="shared" si="44"/>
        <v>3</v>
      </c>
      <c r="P357" s="392">
        <f t="shared" si="43"/>
        <v>1.0000041666666666</v>
      </c>
    </row>
    <row r="358" spans="1:18">
      <c r="B358" s="41"/>
      <c r="C358" s="403">
        <f t="shared" si="42"/>
        <v>44156</v>
      </c>
      <c r="D358" s="56" t="str">
        <f>VLOOKUP(MOD(C358,7),'CALENDAR INFO'!$G$5:$H$11,2)</f>
        <v>SAT</v>
      </c>
      <c r="E358" s="165">
        <v>0.08</v>
      </c>
      <c r="F358" s="336">
        <v>0.05</v>
      </c>
      <c r="G358" s="411">
        <f t="shared" si="39"/>
        <v>-0.03</v>
      </c>
      <c r="K358" s="129"/>
      <c r="L358" s="403">
        <f t="shared" si="40"/>
        <v>44156</v>
      </c>
      <c r="M358" s="56" t="str">
        <f t="shared" si="41"/>
        <v>SAT</v>
      </c>
      <c r="O358" s="383">
        <f t="shared" si="44"/>
        <v>0</v>
      </c>
      <c r="P358" s="392">
        <f t="shared" si="43"/>
        <v>1</v>
      </c>
    </row>
    <row r="359" spans="1:18">
      <c r="B359" s="41"/>
      <c r="C359" s="403">
        <f t="shared" si="42"/>
        <v>44157</v>
      </c>
      <c r="D359" s="56" t="str">
        <f>VLOOKUP(MOD(C359,7),'CALENDAR INFO'!$G$5:$H$11,2)</f>
        <v>SUN</v>
      </c>
      <c r="E359" s="165">
        <v>0.08</v>
      </c>
      <c r="F359" s="336">
        <v>0.05</v>
      </c>
      <c r="G359" s="411">
        <f t="shared" si="39"/>
        <v>-0.03</v>
      </c>
      <c r="K359" s="129"/>
      <c r="L359" s="403">
        <f t="shared" si="40"/>
        <v>44157</v>
      </c>
      <c r="M359" s="56" t="str">
        <f t="shared" si="41"/>
        <v>SUN</v>
      </c>
      <c r="O359" s="383">
        <f t="shared" si="44"/>
        <v>0</v>
      </c>
      <c r="P359" s="392">
        <f t="shared" si="43"/>
        <v>1</v>
      </c>
    </row>
    <row r="360" spans="1:18">
      <c r="B360" s="41"/>
      <c r="C360" s="403">
        <f t="shared" si="42"/>
        <v>44158</v>
      </c>
      <c r="D360" s="56" t="str">
        <f>VLOOKUP(MOD(C360,7),'CALENDAR INFO'!$G$5:$H$11,2)</f>
        <v>MON</v>
      </c>
      <c r="E360" s="165">
        <v>0.08</v>
      </c>
      <c r="F360" s="336">
        <v>0.05</v>
      </c>
      <c r="G360" s="411">
        <f t="shared" si="39"/>
        <v>-0.03</v>
      </c>
      <c r="K360" s="129"/>
      <c r="L360" s="403">
        <f t="shared" si="40"/>
        <v>44158</v>
      </c>
      <c r="M360" s="56" t="str">
        <f t="shared" si="41"/>
        <v>MON</v>
      </c>
      <c r="O360" s="383">
        <f t="shared" si="44"/>
        <v>1</v>
      </c>
      <c r="P360" s="392">
        <f t="shared" si="43"/>
        <v>1.0000013888888888</v>
      </c>
    </row>
    <row r="361" spans="1:18">
      <c r="B361" s="41"/>
      <c r="C361" s="403">
        <f t="shared" si="42"/>
        <v>44159</v>
      </c>
      <c r="D361" s="56" t="str">
        <f>VLOOKUP(MOD(C361,7),'CALENDAR INFO'!$G$5:$H$11,2)</f>
        <v>TUE</v>
      </c>
      <c r="E361" s="165">
        <v>0.08</v>
      </c>
      <c r="F361" s="336">
        <v>7.0000000000000007E-2</v>
      </c>
      <c r="G361" s="411">
        <f t="shared" si="39"/>
        <v>-9.999999999999995E-3</v>
      </c>
      <c r="K361" s="129"/>
      <c r="L361" s="403">
        <f t="shared" si="40"/>
        <v>44159</v>
      </c>
      <c r="M361" s="56" t="str">
        <f t="shared" si="41"/>
        <v>TUE</v>
      </c>
      <c r="O361" s="383">
        <f t="shared" si="44"/>
        <v>1</v>
      </c>
      <c r="P361" s="392">
        <f t="shared" si="43"/>
        <v>1.0000019444444443</v>
      </c>
    </row>
    <row r="362" spans="1:18">
      <c r="B362" s="41"/>
      <c r="C362" s="403">
        <f t="shared" si="42"/>
        <v>44160</v>
      </c>
      <c r="D362" s="56" t="str">
        <f>VLOOKUP(MOD(C362,7),'CALENDAR INFO'!$G$5:$H$11,2)</f>
        <v>WED</v>
      </c>
      <c r="E362" s="165">
        <v>0.08</v>
      </c>
      <c r="F362" s="336">
        <v>0.08</v>
      </c>
      <c r="G362" s="411">
        <f t="shared" si="39"/>
        <v>0</v>
      </c>
      <c r="K362" s="129"/>
      <c r="L362" s="403">
        <f t="shared" si="40"/>
        <v>44160</v>
      </c>
      <c r="M362" s="56" t="str">
        <f t="shared" si="41"/>
        <v>WED</v>
      </c>
      <c r="O362" s="384">
        <f>IF(MOD(C362,7)&lt;2,0,IF(MOD(C362,7)=6,3,1))+1</f>
        <v>2</v>
      </c>
      <c r="P362" s="392">
        <f t="shared" si="43"/>
        <v>1.0000044444444445</v>
      </c>
    </row>
    <row r="363" spans="1:18">
      <c r="B363" s="41"/>
      <c r="C363" s="403">
        <f t="shared" si="42"/>
        <v>44161</v>
      </c>
      <c r="D363" s="56" t="str">
        <f>VLOOKUP(MOD(C363,7),'CALENDAR INFO'!$G$5:$H$11,2)</f>
        <v>THU</v>
      </c>
      <c r="E363" s="165">
        <v>0.08</v>
      </c>
      <c r="F363" s="336">
        <v>0.08</v>
      </c>
      <c r="G363" s="411">
        <f t="shared" si="39"/>
        <v>0</v>
      </c>
      <c r="K363" s="129"/>
      <c r="L363" s="403">
        <f t="shared" si="40"/>
        <v>44161</v>
      </c>
      <c r="M363" s="56" t="str">
        <f t="shared" si="41"/>
        <v>THU</v>
      </c>
      <c r="N363" s="132" t="s">
        <v>60</v>
      </c>
      <c r="O363" s="384">
        <f>IF(MOD(C363,7)&lt;2,0,IF(MOD(C363,7)=6,3,1))-1</f>
        <v>0</v>
      </c>
      <c r="P363" s="392">
        <f t="shared" si="43"/>
        <v>1</v>
      </c>
    </row>
    <row r="364" spans="1:18">
      <c r="B364" s="41"/>
      <c r="C364" s="403">
        <f t="shared" si="42"/>
        <v>44162</v>
      </c>
      <c r="D364" s="56" t="str">
        <f>VLOOKUP(MOD(C364,7),'CALENDAR INFO'!$G$5:$H$11,2)</f>
        <v>FRI</v>
      </c>
      <c r="E364" s="165">
        <v>0.08</v>
      </c>
      <c r="F364" s="336">
        <v>0.08</v>
      </c>
      <c r="G364" s="411">
        <f t="shared" si="39"/>
        <v>0</v>
      </c>
      <c r="I364" s="137"/>
      <c r="K364" s="129"/>
      <c r="L364" s="403">
        <f t="shared" si="40"/>
        <v>44162</v>
      </c>
      <c r="M364" s="56" t="str">
        <f t="shared" si="41"/>
        <v>FRI</v>
      </c>
      <c r="O364" s="383">
        <f t="shared" ref="O364:O390" si="45">IF(MOD(C364,7)&lt;2,0,IF(MOD(C364,7)=6,3,1))</f>
        <v>3</v>
      </c>
      <c r="P364" s="392">
        <f t="shared" si="43"/>
        <v>1.0000066666666667</v>
      </c>
    </row>
    <row r="365" spans="1:18">
      <c r="B365" s="41"/>
      <c r="C365" s="403">
        <f t="shared" si="42"/>
        <v>44163</v>
      </c>
      <c r="D365" s="56" t="str">
        <f>VLOOKUP(MOD(C365,7),'CALENDAR INFO'!$G$5:$H$11,2)</f>
        <v>SAT</v>
      </c>
      <c r="E365" s="165">
        <v>0.08</v>
      </c>
      <c r="F365" s="336">
        <v>0.08</v>
      </c>
      <c r="G365" s="411">
        <f t="shared" si="39"/>
        <v>0</v>
      </c>
      <c r="H365" s="343"/>
      <c r="I365" s="145"/>
      <c r="J365" s="153"/>
      <c r="K365" s="129"/>
      <c r="L365" s="403">
        <f t="shared" si="40"/>
        <v>44163</v>
      </c>
      <c r="M365" s="56" t="str">
        <f t="shared" si="41"/>
        <v>SAT</v>
      </c>
      <c r="O365" s="383">
        <f t="shared" si="45"/>
        <v>0</v>
      </c>
      <c r="P365" s="392">
        <f t="shared" si="43"/>
        <v>1</v>
      </c>
    </row>
    <row r="366" spans="1:18">
      <c r="B366" s="41"/>
      <c r="C366" s="403">
        <f t="shared" si="42"/>
        <v>44164</v>
      </c>
      <c r="D366" s="56" t="str">
        <f>VLOOKUP(MOD(C366,7),'CALENDAR INFO'!$G$5:$H$11,2)</f>
        <v>SUN</v>
      </c>
      <c r="E366" s="165">
        <v>0.08</v>
      </c>
      <c r="F366" s="336">
        <v>0.08</v>
      </c>
      <c r="G366" s="411">
        <f t="shared" si="39"/>
        <v>0</v>
      </c>
      <c r="I366" s="137"/>
      <c r="K366" s="129"/>
      <c r="L366" s="403">
        <f t="shared" si="40"/>
        <v>44164</v>
      </c>
      <c r="M366" s="56" t="str">
        <f t="shared" si="41"/>
        <v>SUN</v>
      </c>
      <c r="O366" s="383">
        <f t="shared" si="45"/>
        <v>0</v>
      </c>
      <c r="P366" s="392">
        <f t="shared" si="43"/>
        <v>1</v>
      </c>
    </row>
    <row r="367" spans="1:18" s="68" customFormat="1" ht="15.75" thickBot="1">
      <c r="A367" s="81"/>
      <c r="B367" s="178"/>
      <c r="C367" s="404">
        <f t="shared" si="42"/>
        <v>44165</v>
      </c>
      <c r="D367" s="64" t="str">
        <f>VLOOKUP(MOD(C367,7),'CALENDAR INFO'!$G$5:$H$11,2)</f>
        <v>MON</v>
      </c>
      <c r="E367" s="166">
        <v>0.09</v>
      </c>
      <c r="F367" s="337">
        <v>0.09</v>
      </c>
      <c r="G367" s="412">
        <f t="shared" si="39"/>
        <v>0</v>
      </c>
      <c r="H367" s="344"/>
      <c r="I367" s="140"/>
      <c r="J367" s="154"/>
      <c r="K367" s="84"/>
      <c r="L367" s="404">
        <f t="shared" si="40"/>
        <v>44165</v>
      </c>
      <c r="M367" s="64" t="str">
        <f t="shared" si="41"/>
        <v>MON</v>
      </c>
      <c r="N367" s="90"/>
      <c r="O367" s="382">
        <f t="shared" si="45"/>
        <v>1</v>
      </c>
      <c r="P367" s="388">
        <f t="shared" si="43"/>
        <v>1.0000024999999999</v>
      </c>
      <c r="R367" s="66"/>
    </row>
    <row r="368" spans="1:18">
      <c r="B368" s="41"/>
      <c r="C368" s="403">
        <f t="shared" si="42"/>
        <v>44166</v>
      </c>
      <c r="D368" s="56" t="str">
        <f>VLOOKUP(MOD(C368,7),'CALENDAR INFO'!$G$5:$H$11,2)</f>
        <v>TUE</v>
      </c>
      <c r="E368" s="165">
        <v>0.09</v>
      </c>
      <c r="F368" s="336">
        <v>0.08</v>
      </c>
      <c r="G368" s="411">
        <f t="shared" si="39"/>
        <v>-9.999999999999995E-3</v>
      </c>
      <c r="H368" s="15" t="s">
        <v>149</v>
      </c>
      <c r="I368" s="15">
        <f>ROW(I368)</f>
        <v>368</v>
      </c>
      <c r="J368" s="138">
        <f>I368</f>
        <v>368</v>
      </c>
      <c r="K368" s="129"/>
      <c r="L368" s="403">
        <f t="shared" si="40"/>
        <v>44166</v>
      </c>
      <c r="M368" s="56" t="str">
        <f t="shared" si="41"/>
        <v>TUE</v>
      </c>
      <c r="O368" s="383">
        <f t="shared" si="45"/>
        <v>1</v>
      </c>
      <c r="P368" s="392">
        <f t="shared" si="43"/>
        <v>1.0000022222222222</v>
      </c>
    </row>
    <row r="369" spans="2:19">
      <c r="B369" s="41"/>
      <c r="C369" s="403">
        <f t="shared" si="42"/>
        <v>44167</v>
      </c>
      <c r="D369" s="56" t="str">
        <f>VLOOKUP(MOD(C369,7),'CALENDAR INFO'!$G$5:$H$11,2)</f>
        <v>WED</v>
      </c>
      <c r="E369" s="165">
        <v>0.09</v>
      </c>
      <c r="F369" s="336">
        <v>0.08</v>
      </c>
      <c r="G369" s="411">
        <f t="shared" si="39"/>
        <v>-9.999999999999995E-3</v>
      </c>
      <c r="H369" s="376" t="s">
        <v>210</v>
      </c>
      <c r="I369" s="15">
        <f>VLOOKUP(MONTH($C368),'CALENDAR INFO'!$J$5:$K$16,2)</f>
        <v>31</v>
      </c>
      <c r="J369" s="138">
        <f>I369</f>
        <v>31</v>
      </c>
      <c r="K369" s="129" t="s">
        <v>19</v>
      </c>
      <c r="L369" s="403">
        <f t="shared" si="40"/>
        <v>44167</v>
      </c>
      <c r="M369" s="56" t="str">
        <f t="shared" si="41"/>
        <v>WED</v>
      </c>
      <c r="O369" s="383">
        <f t="shared" si="45"/>
        <v>1</v>
      </c>
      <c r="P369" s="392">
        <f t="shared" si="43"/>
        <v>1.0000022222222222</v>
      </c>
    </row>
    <row r="370" spans="2:19">
      <c r="B370" s="41"/>
      <c r="C370" s="403">
        <f t="shared" si="42"/>
        <v>44168</v>
      </c>
      <c r="D370" s="56" t="str">
        <f>VLOOKUP(MOD(C370,7),'CALENDAR INFO'!$G$5:$H$11,2)</f>
        <v>THU</v>
      </c>
      <c r="E370" s="165">
        <v>0.09</v>
      </c>
      <c r="F370" s="336">
        <v>0.08</v>
      </c>
      <c r="G370" s="411">
        <f t="shared" si="39"/>
        <v>-9.999999999999995E-3</v>
      </c>
      <c r="H370" s="376" t="s">
        <v>211</v>
      </c>
      <c r="I370" s="15">
        <f>I369+I368-1</f>
        <v>398</v>
      </c>
      <c r="J370" s="138">
        <f>I370</f>
        <v>398</v>
      </c>
      <c r="K370" s="126" t="s">
        <v>18</v>
      </c>
      <c r="L370" s="403">
        <f t="shared" si="40"/>
        <v>44168</v>
      </c>
      <c r="M370" s="56" t="str">
        <f t="shared" si="41"/>
        <v>THU</v>
      </c>
      <c r="O370" s="383">
        <f t="shared" si="45"/>
        <v>1</v>
      </c>
      <c r="P370" s="392">
        <f t="shared" si="43"/>
        <v>1.0000022222222222</v>
      </c>
    </row>
    <row r="371" spans="2:19">
      <c r="B371" s="41"/>
      <c r="C371" s="403">
        <f t="shared" si="42"/>
        <v>44169</v>
      </c>
      <c r="D371" s="56" t="str">
        <f>VLOOKUP(MOD(C371,7),'CALENDAR INFO'!$G$5:$H$11,2)</f>
        <v>FRI</v>
      </c>
      <c r="E371" s="165">
        <v>0.09</v>
      </c>
      <c r="F371" s="336">
        <v>0.09</v>
      </c>
      <c r="G371" s="411">
        <f t="shared" si="39"/>
        <v>0</v>
      </c>
      <c r="K371" s="126"/>
      <c r="L371" s="403">
        <f t="shared" si="40"/>
        <v>44169</v>
      </c>
      <c r="M371" s="56" t="str">
        <f t="shared" si="41"/>
        <v>FRI</v>
      </c>
      <c r="O371" s="383">
        <f t="shared" si="45"/>
        <v>3</v>
      </c>
      <c r="P371" s="392">
        <f t="shared" si="43"/>
        <v>1.0000074999999999</v>
      </c>
    </row>
    <row r="372" spans="2:19">
      <c r="B372" s="41"/>
      <c r="C372" s="403">
        <f t="shared" si="42"/>
        <v>44170</v>
      </c>
      <c r="D372" s="56" t="str">
        <f>VLOOKUP(MOD(C372,7),'CALENDAR INFO'!$G$5:$H$11,2)</f>
        <v>SAT</v>
      </c>
      <c r="E372" s="165">
        <v>0.09</v>
      </c>
      <c r="F372" s="336">
        <v>0.09</v>
      </c>
      <c r="G372" s="411">
        <f t="shared" si="39"/>
        <v>0</v>
      </c>
      <c r="H372" s="15" t="s">
        <v>150</v>
      </c>
      <c r="I372" s="137" t="str">
        <f>_xlfn.CONCAT(ADDRESS(I368,5),":",ADDRESS(I370,5))</f>
        <v>$E$368:$E$398</v>
      </c>
      <c r="J372" s="150" t="str">
        <f>_xlfn.CONCAT(ADDRESS(J368,6),":",ADDRESS(J370,6))</f>
        <v>$F$368:$F$398</v>
      </c>
      <c r="K372" s="126"/>
      <c r="L372" s="403">
        <f t="shared" si="40"/>
        <v>44170</v>
      </c>
      <c r="M372" s="56" t="str">
        <f t="shared" si="41"/>
        <v>SAT</v>
      </c>
      <c r="O372" s="383">
        <f t="shared" si="45"/>
        <v>0</v>
      </c>
      <c r="P372" s="392">
        <f t="shared" si="43"/>
        <v>1</v>
      </c>
    </row>
    <row r="373" spans="2:19">
      <c r="B373" s="41"/>
      <c r="C373" s="403">
        <f t="shared" ref="C373:C436" si="46">C372+1</f>
        <v>44171</v>
      </c>
      <c r="D373" s="56" t="str">
        <f>VLOOKUP(MOD(C373,7),'CALENDAR INFO'!$G$5:$H$11,2)</f>
        <v>SUN</v>
      </c>
      <c r="E373" s="165">
        <v>0.09</v>
      </c>
      <c r="F373" s="336">
        <v>0.09</v>
      </c>
      <c r="G373" s="411">
        <f t="shared" si="39"/>
        <v>0</v>
      </c>
      <c r="K373" s="126"/>
      <c r="L373" s="403">
        <f t="shared" si="40"/>
        <v>44171</v>
      </c>
      <c r="M373" s="56" t="str">
        <f t="shared" si="41"/>
        <v>SUN</v>
      </c>
      <c r="O373" s="383">
        <f t="shared" si="45"/>
        <v>0</v>
      </c>
      <c r="P373" s="392">
        <f t="shared" si="43"/>
        <v>1</v>
      </c>
    </row>
    <row r="374" spans="2:19">
      <c r="B374" s="41"/>
      <c r="C374" s="403">
        <f t="shared" si="46"/>
        <v>44172</v>
      </c>
      <c r="D374" s="56" t="str">
        <f>VLOOKUP(MOD(C374,7),'CALENDAR INFO'!$G$5:$H$11,2)</f>
        <v>MON</v>
      </c>
      <c r="E374" s="165">
        <v>0.09</v>
      </c>
      <c r="F374" s="336">
        <v>0.08</v>
      </c>
      <c r="G374" s="411">
        <f t="shared" si="39"/>
        <v>-9.999999999999995E-3</v>
      </c>
      <c r="H374" s="376" t="s">
        <v>221</v>
      </c>
      <c r="I374" s="147">
        <f ca="1">AVERAGE(INDIRECT(I372))</f>
        <v>8.9999999999999983E-2</v>
      </c>
      <c r="J374" s="326">
        <f ca="1">AVERAGE(INDIRECT(J372))</f>
        <v>8.2903225806451625E-2</v>
      </c>
      <c r="K374" s="126"/>
      <c r="L374" s="403">
        <f t="shared" si="40"/>
        <v>44172</v>
      </c>
      <c r="M374" s="56" t="str">
        <f t="shared" si="41"/>
        <v>MON</v>
      </c>
      <c r="O374" s="383">
        <f t="shared" si="45"/>
        <v>1</v>
      </c>
      <c r="P374" s="392">
        <f t="shared" si="43"/>
        <v>1.0000022222222222</v>
      </c>
    </row>
    <row r="375" spans="2:19">
      <c r="B375" s="41"/>
      <c r="C375" s="403">
        <f t="shared" si="46"/>
        <v>44173</v>
      </c>
      <c r="D375" s="56" t="str">
        <f>VLOOKUP(MOD(C375,7),'CALENDAR INFO'!$G$5:$H$11,2)</f>
        <v>TUE</v>
      </c>
      <c r="E375" s="165">
        <v>0.09</v>
      </c>
      <c r="F375" s="336">
        <v>7.0000000000000007E-2</v>
      </c>
      <c r="G375" s="411">
        <f t="shared" si="39"/>
        <v>-1.999999999999999E-2</v>
      </c>
      <c r="I375" s="240"/>
      <c r="J375" s="157"/>
      <c r="K375" s="126"/>
      <c r="L375" s="403">
        <f t="shared" si="40"/>
        <v>44173</v>
      </c>
      <c r="M375" s="56" t="str">
        <f t="shared" si="41"/>
        <v>TUE</v>
      </c>
      <c r="O375" s="383">
        <f t="shared" si="45"/>
        <v>1</v>
      </c>
      <c r="P375" s="392">
        <f t="shared" si="43"/>
        <v>1.0000019444444443</v>
      </c>
    </row>
    <row r="376" spans="2:19">
      <c r="B376" s="41"/>
      <c r="C376" s="403">
        <f t="shared" si="46"/>
        <v>44174</v>
      </c>
      <c r="D376" s="56" t="str">
        <f>VLOOKUP(MOD(C376,7),'CALENDAR INFO'!$G$5:$H$11,2)</f>
        <v>WED</v>
      </c>
      <c r="E376" s="165">
        <v>0.09</v>
      </c>
      <c r="F376" s="336">
        <v>0.08</v>
      </c>
      <c r="G376" s="411">
        <f t="shared" si="39"/>
        <v>-9.999999999999995E-3</v>
      </c>
      <c r="H376" s="15" t="s">
        <v>222</v>
      </c>
      <c r="I376" s="147">
        <f ca="1">100-I374</f>
        <v>99.91</v>
      </c>
      <c r="J376" s="326">
        <f ca="1">100-J374</f>
        <v>99.917096774193553</v>
      </c>
      <c r="K376" s="126"/>
      <c r="L376" s="403">
        <f t="shared" si="40"/>
        <v>44174</v>
      </c>
      <c r="M376" s="56" t="str">
        <f t="shared" si="41"/>
        <v>WED</v>
      </c>
      <c r="O376" s="383">
        <f t="shared" si="45"/>
        <v>1</v>
      </c>
      <c r="P376" s="392">
        <f t="shared" si="43"/>
        <v>1.0000022222222222</v>
      </c>
    </row>
    <row r="377" spans="2:19">
      <c r="B377" s="41"/>
      <c r="C377" s="403">
        <f t="shared" si="46"/>
        <v>44175</v>
      </c>
      <c r="D377" s="56" t="str">
        <f>VLOOKUP(MOD(C377,7),'CALENDAR INFO'!$G$5:$H$11,2)</f>
        <v>THU</v>
      </c>
      <c r="E377" s="165">
        <v>0.09</v>
      </c>
      <c r="F377" s="336">
        <v>0.08</v>
      </c>
      <c r="G377" s="411">
        <f t="shared" si="39"/>
        <v>-9.999999999999995E-3</v>
      </c>
      <c r="I377" s="137"/>
      <c r="J377" s="150"/>
      <c r="K377" s="126"/>
      <c r="L377" s="403">
        <f t="shared" si="40"/>
        <v>44175</v>
      </c>
      <c r="M377" s="56" t="str">
        <f t="shared" si="41"/>
        <v>THU</v>
      </c>
      <c r="O377" s="383">
        <f t="shared" si="45"/>
        <v>1</v>
      </c>
      <c r="P377" s="392">
        <f t="shared" si="43"/>
        <v>1.0000022222222222</v>
      </c>
    </row>
    <row r="378" spans="2:19">
      <c r="B378" s="41"/>
      <c r="C378" s="403">
        <f t="shared" si="46"/>
        <v>44176</v>
      </c>
      <c r="D378" s="56" t="str">
        <f>VLOOKUP(MOD(C378,7),'CALENDAR INFO'!$G$5:$H$11,2)</f>
        <v>FRI</v>
      </c>
      <c r="E378" s="165">
        <v>0.09</v>
      </c>
      <c r="F378" s="336">
        <v>0.08</v>
      </c>
      <c r="G378" s="411">
        <f t="shared" si="39"/>
        <v>-9.999999999999995E-3</v>
      </c>
      <c r="H378" s="425" t="s">
        <v>97</v>
      </c>
      <c r="I378" s="419">
        <v>99.91</v>
      </c>
      <c r="J378" s="426">
        <v>99.917000000000002</v>
      </c>
      <c r="K378" s="126"/>
      <c r="L378" s="403">
        <f t="shared" si="40"/>
        <v>44176</v>
      </c>
      <c r="M378" s="56" t="str">
        <f t="shared" si="41"/>
        <v>FRI</v>
      </c>
      <c r="O378" s="383">
        <f t="shared" si="45"/>
        <v>3</v>
      </c>
      <c r="P378" s="392">
        <f t="shared" si="43"/>
        <v>1.0000066666666667</v>
      </c>
    </row>
    <row r="379" spans="2:19">
      <c r="B379" s="41"/>
      <c r="C379" s="403">
        <f t="shared" si="46"/>
        <v>44177</v>
      </c>
      <c r="D379" s="56" t="str">
        <f>VLOOKUP(MOD(C379,7),'CALENDAR INFO'!$G$5:$H$11,2)</f>
        <v>SAT</v>
      </c>
      <c r="E379" s="165">
        <v>0.09</v>
      </c>
      <c r="F379" s="336">
        <v>0.08</v>
      </c>
      <c r="G379" s="411">
        <f t="shared" si="39"/>
        <v>-9.999999999999995E-3</v>
      </c>
      <c r="I379" s="137"/>
      <c r="J379" s="150"/>
      <c r="K379" s="126"/>
      <c r="L379" s="403">
        <f t="shared" si="40"/>
        <v>44177</v>
      </c>
      <c r="M379" s="56" t="str">
        <f t="shared" si="41"/>
        <v>SAT</v>
      </c>
      <c r="O379" s="383">
        <f t="shared" si="45"/>
        <v>0</v>
      </c>
      <c r="P379" s="392">
        <f t="shared" si="43"/>
        <v>1</v>
      </c>
    </row>
    <row r="380" spans="2:19">
      <c r="B380" s="41"/>
      <c r="C380" s="403">
        <f t="shared" si="46"/>
        <v>44178</v>
      </c>
      <c r="D380" s="56" t="str">
        <f>VLOOKUP(MOD(C380,7),'CALENDAR INFO'!$G$5:$H$11,2)</f>
        <v>SUN</v>
      </c>
      <c r="E380" s="165">
        <v>0.09</v>
      </c>
      <c r="F380" s="336">
        <v>0.08</v>
      </c>
      <c r="G380" s="411">
        <f t="shared" si="39"/>
        <v>-9.999999999999995E-3</v>
      </c>
      <c r="H380" s="136"/>
      <c r="I380" s="139"/>
      <c r="J380" s="151"/>
      <c r="K380" s="126"/>
      <c r="L380" s="403">
        <f t="shared" si="40"/>
        <v>44178</v>
      </c>
      <c r="M380" s="56" t="str">
        <f t="shared" si="41"/>
        <v>SUN</v>
      </c>
      <c r="O380" s="383">
        <f t="shared" si="45"/>
        <v>0</v>
      </c>
      <c r="P380" s="392">
        <f t="shared" si="43"/>
        <v>1</v>
      </c>
    </row>
    <row r="381" spans="2:19">
      <c r="B381" s="41"/>
      <c r="C381" s="403">
        <f t="shared" si="46"/>
        <v>44179</v>
      </c>
      <c r="D381" s="56" t="str">
        <f>VLOOKUP(MOD(C381,7),'CALENDAR INFO'!$G$5:$H$11,2)</f>
        <v>MON</v>
      </c>
      <c r="E381" s="165">
        <v>0.09</v>
      </c>
      <c r="F381" s="336">
        <v>0.08</v>
      </c>
      <c r="G381" s="411">
        <f t="shared" si="39"/>
        <v>-9.999999999999995E-3</v>
      </c>
      <c r="K381" s="126"/>
      <c r="L381" s="403">
        <f t="shared" si="40"/>
        <v>44179</v>
      </c>
      <c r="M381" s="56" t="str">
        <f t="shared" si="41"/>
        <v>MON</v>
      </c>
      <c r="O381" s="383">
        <f t="shared" si="45"/>
        <v>1</v>
      </c>
      <c r="P381" s="392">
        <f t="shared" si="43"/>
        <v>1.0000022222222222</v>
      </c>
      <c r="Q381" s="331" t="s">
        <v>92</v>
      </c>
      <c r="R381" s="75"/>
    </row>
    <row r="382" spans="2:19">
      <c r="B382" s="41"/>
      <c r="C382" s="403">
        <f t="shared" si="46"/>
        <v>44180</v>
      </c>
      <c r="D382" s="56" t="str">
        <f>VLOOKUP(MOD(C382,7),'CALENDAR INFO'!$G$5:$H$11,2)</f>
        <v>TUE</v>
      </c>
      <c r="E382" s="165">
        <v>0.09</v>
      </c>
      <c r="F382" s="336">
        <v>0.09</v>
      </c>
      <c r="G382" s="411">
        <f t="shared" si="39"/>
        <v>0</v>
      </c>
      <c r="H382" s="135"/>
      <c r="I382" s="144"/>
      <c r="J382" s="152"/>
      <c r="K382" s="126"/>
      <c r="L382" s="403">
        <f t="shared" si="40"/>
        <v>44180</v>
      </c>
      <c r="M382" s="56" t="str">
        <f t="shared" si="41"/>
        <v>TUE</v>
      </c>
      <c r="N382" s="116" t="s">
        <v>20</v>
      </c>
      <c r="O382" s="383">
        <f t="shared" si="45"/>
        <v>1</v>
      </c>
      <c r="P382" s="392">
        <f t="shared" si="43"/>
        <v>1.0000024999999999</v>
      </c>
      <c r="Q382" s="331" t="s">
        <v>26</v>
      </c>
      <c r="R382" s="98">
        <v>99.915000000000006</v>
      </c>
      <c r="S382" s="17" t="s">
        <v>106</v>
      </c>
    </row>
    <row r="383" spans="2:19">
      <c r="B383" s="41"/>
      <c r="C383" s="403">
        <f t="shared" si="46"/>
        <v>44181</v>
      </c>
      <c r="D383" s="56" t="str">
        <f>VLOOKUP(MOD(C383,7),'CALENDAR INFO'!$G$5:$H$11,2)</f>
        <v>WED</v>
      </c>
      <c r="E383" s="165">
        <v>0.09</v>
      </c>
      <c r="F383" s="336">
        <v>0.09</v>
      </c>
      <c r="G383" s="411">
        <f t="shared" si="39"/>
        <v>0</v>
      </c>
      <c r="K383" s="126" t="s">
        <v>19</v>
      </c>
      <c r="L383" s="403">
        <f t="shared" si="40"/>
        <v>44181</v>
      </c>
      <c r="M383" s="56" t="str">
        <f t="shared" si="41"/>
        <v>WED</v>
      </c>
      <c r="N383" s="116" t="s">
        <v>20</v>
      </c>
      <c r="O383" s="378">
        <f t="shared" si="45"/>
        <v>1</v>
      </c>
      <c r="P383" s="392">
        <f t="shared" si="43"/>
        <v>1.0000024999999999</v>
      </c>
      <c r="R383" s="99"/>
    </row>
    <row r="384" spans="2:19">
      <c r="B384" s="41"/>
      <c r="C384" s="403">
        <f t="shared" si="46"/>
        <v>44182</v>
      </c>
      <c r="D384" s="56" t="str">
        <f>VLOOKUP(MOD(C384,7),'CALENDAR INFO'!$G$5:$H$11,2)</f>
        <v>THU</v>
      </c>
      <c r="E384" s="165">
        <v>0.09</v>
      </c>
      <c r="F384" s="336">
        <v>0.09</v>
      </c>
      <c r="G384" s="411">
        <f t="shared" si="39"/>
        <v>0</v>
      </c>
      <c r="K384" s="129" t="s">
        <v>18</v>
      </c>
      <c r="L384" s="403">
        <f t="shared" si="40"/>
        <v>44182</v>
      </c>
      <c r="M384" s="56" t="str">
        <f t="shared" si="41"/>
        <v>THU</v>
      </c>
      <c r="O384" s="378">
        <f t="shared" si="45"/>
        <v>1</v>
      </c>
      <c r="P384" s="392">
        <f t="shared" si="43"/>
        <v>1.0000024999999999</v>
      </c>
      <c r="R384" s="99"/>
    </row>
    <row r="385" spans="1:18">
      <c r="B385" s="41"/>
      <c r="C385" s="403">
        <f t="shared" si="46"/>
        <v>44183</v>
      </c>
      <c r="D385" s="56" t="str">
        <f>VLOOKUP(MOD(C385,7),'CALENDAR INFO'!$G$5:$H$11,2)</f>
        <v>FRI</v>
      </c>
      <c r="E385" s="165">
        <v>0.09</v>
      </c>
      <c r="F385" s="336">
        <v>0.09</v>
      </c>
      <c r="G385" s="411">
        <f t="shared" si="39"/>
        <v>0</v>
      </c>
      <c r="K385" s="129"/>
      <c r="L385" s="403">
        <f t="shared" si="40"/>
        <v>44183</v>
      </c>
      <c r="M385" s="56" t="str">
        <f t="shared" si="41"/>
        <v>FRI</v>
      </c>
      <c r="O385" s="378">
        <f t="shared" si="45"/>
        <v>3</v>
      </c>
      <c r="P385" s="392">
        <f t="shared" si="43"/>
        <v>1.0000074999999999</v>
      </c>
      <c r="R385" s="99"/>
    </row>
    <row r="386" spans="1:18">
      <c r="B386" s="41"/>
      <c r="C386" s="403">
        <f t="shared" si="46"/>
        <v>44184</v>
      </c>
      <c r="D386" s="56" t="str">
        <f>VLOOKUP(MOD(C386,7),'CALENDAR INFO'!$G$5:$H$11,2)</f>
        <v>SAT</v>
      </c>
      <c r="E386" s="165">
        <v>0.09</v>
      </c>
      <c r="F386" s="336">
        <v>0.09</v>
      </c>
      <c r="G386" s="411">
        <f t="shared" si="39"/>
        <v>0</v>
      </c>
      <c r="K386" s="129"/>
      <c r="L386" s="403">
        <f t="shared" si="40"/>
        <v>44184</v>
      </c>
      <c r="M386" s="56" t="str">
        <f t="shared" si="41"/>
        <v>SAT</v>
      </c>
      <c r="O386" s="378">
        <f t="shared" si="45"/>
        <v>0</v>
      </c>
      <c r="P386" s="392">
        <f t="shared" si="43"/>
        <v>1</v>
      </c>
      <c r="R386" s="99"/>
    </row>
    <row r="387" spans="1:18">
      <c r="B387" s="41"/>
      <c r="C387" s="403">
        <f t="shared" si="46"/>
        <v>44185</v>
      </c>
      <c r="D387" s="56" t="str">
        <f>VLOOKUP(MOD(C387,7),'CALENDAR INFO'!$G$5:$H$11,2)</f>
        <v>SUN</v>
      </c>
      <c r="E387" s="165">
        <v>0.09</v>
      </c>
      <c r="F387" s="336">
        <v>0.09</v>
      </c>
      <c r="G387" s="411">
        <f t="shared" ref="G387:G450" si="47">F387-E387</f>
        <v>0</v>
      </c>
      <c r="K387" s="129"/>
      <c r="L387" s="403">
        <f t="shared" ref="L387:L450" si="48">C387</f>
        <v>44185</v>
      </c>
      <c r="M387" s="56" t="str">
        <f t="shared" ref="M387:M450" si="49">D387</f>
        <v>SUN</v>
      </c>
      <c r="O387" s="378">
        <f t="shared" si="45"/>
        <v>0</v>
      </c>
      <c r="P387" s="392">
        <f t="shared" si="43"/>
        <v>1</v>
      </c>
      <c r="R387" s="99"/>
    </row>
    <row r="388" spans="1:18">
      <c r="B388" s="41"/>
      <c r="C388" s="403">
        <f t="shared" si="46"/>
        <v>44186</v>
      </c>
      <c r="D388" s="56" t="str">
        <f>VLOOKUP(MOD(C388,7),'CALENDAR INFO'!$G$5:$H$11,2)</f>
        <v>MON</v>
      </c>
      <c r="E388" s="165">
        <v>0.09</v>
      </c>
      <c r="F388" s="336">
        <v>0.09</v>
      </c>
      <c r="G388" s="411">
        <f t="shared" si="47"/>
        <v>0</v>
      </c>
      <c r="K388" s="129"/>
      <c r="L388" s="403">
        <f t="shared" si="48"/>
        <v>44186</v>
      </c>
      <c r="M388" s="56" t="str">
        <f t="shared" si="49"/>
        <v>MON</v>
      </c>
      <c r="O388" s="378">
        <f t="shared" si="45"/>
        <v>1</v>
      </c>
      <c r="P388" s="392">
        <f t="shared" si="43"/>
        <v>1.0000024999999999</v>
      </c>
      <c r="R388" s="99"/>
    </row>
    <row r="389" spans="1:18">
      <c r="B389" s="41"/>
      <c r="C389" s="403">
        <f t="shared" si="46"/>
        <v>44187</v>
      </c>
      <c r="D389" s="56" t="str">
        <f>VLOOKUP(MOD(C389,7),'CALENDAR INFO'!$G$5:$H$11,2)</f>
        <v>TUE</v>
      </c>
      <c r="E389" s="165">
        <v>0.09</v>
      </c>
      <c r="F389" s="336">
        <v>7.0000000000000007E-2</v>
      </c>
      <c r="G389" s="411">
        <f t="shared" si="47"/>
        <v>-1.999999999999999E-2</v>
      </c>
      <c r="K389" s="129"/>
      <c r="L389" s="403">
        <f t="shared" si="48"/>
        <v>44187</v>
      </c>
      <c r="M389" s="56" t="str">
        <f t="shared" si="49"/>
        <v>TUE</v>
      </c>
      <c r="O389" s="378">
        <f t="shared" si="45"/>
        <v>1</v>
      </c>
      <c r="P389" s="392">
        <f t="shared" si="43"/>
        <v>1.0000019444444443</v>
      </c>
      <c r="R389" s="99"/>
    </row>
    <row r="390" spans="1:18">
      <c r="B390" s="41"/>
      <c r="C390" s="403">
        <f t="shared" si="46"/>
        <v>44188</v>
      </c>
      <c r="D390" s="56" t="str">
        <f>VLOOKUP(MOD(C390,7),'CALENDAR INFO'!$G$5:$H$11,2)</f>
        <v>WED</v>
      </c>
      <c r="E390" s="165">
        <v>0.09</v>
      </c>
      <c r="F390" s="336">
        <v>0.06</v>
      </c>
      <c r="G390" s="411">
        <f t="shared" si="47"/>
        <v>-0.03</v>
      </c>
      <c r="K390" s="129"/>
      <c r="L390" s="403">
        <f t="shared" si="48"/>
        <v>44188</v>
      </c>
      <c r="M390" s="56" t="str">
        <f t="shared" si="49"/>
        <v>WED</v>
      </c>
      <c r="O390" s="378">
        <f t="shared" si="45"/>
        <v>1</v>
      </c>
      <c r="P390" s="392">
        <f t="shared" si="43"/>
        <v>1.0000016666666667</v>
      </c>
      <c r="R390" s="99"/>
    </row>
    <row r="391" spans="1:18">
      <c r="B391" s="41"/>
      <c r="C391" s="403">
        <f t="shared" si="46"/>
        <v>44189</v>
      </c>
      <c r="D391" s="56" t="str">
        <f>VLOOKUP(MOD(C391,7),'CALENDAR INFO'!$G$5:$H$11,2)</f>
        <v>THU</v>
      </c>
      <c r="E391" s="165">
        <v>0.09</v>
      </c>
      <c r="F391" s="336">
        <v>0.08</v>
      </c>
      <c r="G391" s="411">
        <f t="shared" si="47"/>
        <v>-9.999999999999995E-3</v>
      </c>
      <c r="K391" s="129"/>
      <c r="L391" s="403">
        <f t="shared" si="48"/>
        <v>44189</v>
      </c>
      <c r="M391" s="56" t="str">
        <f t="shared" si="49"/>
        <v>THU</v>
      </c>
      <c r="O391" s="380">
        <v>4</v>
      </c>
      <c r="P391" s="392">
        <f t="shared" si="43"/>
        <v>1.0000088888888889</v>
      </c>
      <c r="R391" s="99"/>
    </row>
    <row r="392" spans="1:18">
      <c r="B392" s="41"/>
      <c r="C392" s="403">
        <f t="shared" si="46"/>
        <v>44190</v>
      </c>
      <c r="D392" s="56" t="str">
        <f>VLOOKUP(MOD(C392,7),'CALENDAR INFO'!$G$5:$H$11,2)</f>
        <v>FRI</v>
      </c>
      <c r="E392" s="165">
        <v>0.09</v>
      </c>
      <c r="F392" s="336">
        <v>0.08</v>
      </c>
      <c r="G392" s="411">
        <f t="shared" si="47"/>
        <v>-9.999999999999995E-3</v>
      </c>
      <c r="K392" s="129"/>
      <c r="L392" s="403">
        <f t="shared" si="48"/>
        <v>44190</v>
      </c>
      <c r="M392" s="56" t="str">
        <f t="shared" si="49"/>
        <v>FRI</v>
      </c>
      <c r="N392" s="132" t="s">
        <v>52</v>
      </c>
      <c r="O392" s="378">
        <v>0</v>
      </c>
      <c r="P392" s="392">
        <f t="shared" si="43"/>
        <v>1</v>
      </c>
      <c r="R392" s="99"/>
    </row>
    <row r="393" spans="1:18">
      <c r="B393" s="41"/>
      <c r="C393" s="403">
        <f t="shared" si="46"/>
        <v>44191</v>
      </c>
      <c r="D393" s="56" t="str">
        <f>VLOOKUP(MOD(C393,7),'CALENDAR INFO'!$G$5:$H$11,2)</f>
        <v>SAT</v>
      </c>
      <c r="E393" s="165">
        <v>0.09</v>
      </c>
      <c r="F393" s="336">
        <v>0.08</v>
      </c>
      <c r="G393" s="411">
        <f t="shared" si="47"/>
        <v>-9.999999999999995E-3</v>
      </c>
      <c r="K393" s="129"/>
      <c r="L393" s="403">
        <f t="shared" si="48"/>
        <v>44191</v>
      </c>
      <c r="M393" s="56" t="str">
        <f t="shared" si="49"/>
        <v>SAT</v>
      </c>
      <c r="O393" s="378">
        <f>IF(MOD(C393,7)&lt;2,0,IF(MOD(C393,7)=6,3,1))</f>
        <v>0</v>
      </c>
      <c r="P393" s="392">
        <f t="shared" si="43"/>
        <v>1</v>
      </c>
      <c r="R393" s="99"/>
    </row>
    <row r="394" spans="1:18">
      <c r="B394" s="41"/>
      <c r="C394" s="403">
        <f t="shared" si="46"/>
        <v>44192</v>
      </c>
      <c r="D394" s="56" t="str">
        <f>VLOOKUP(MOD(C394,7),'CALENDAR INFO'!$G$5:$H$11,2)</f>
        <v>SUN</v>
      </c>
      <c r="E394" s="165">
        <v>0.09</v>
      </c>
      <c r="F394" s="336">
        <v>0.08</v>
      </c>
      <c r="G394" s="411">
        <f t="shared" si="47"/>
        <v>-9.999999999999995E-3</v>
      </c>
      <c r="I394" s="137"/>
      <c r="K394" s="129"/>
      <c r="L394" s="403">
        <f t="shared" si="48"/>
        <v>44192</v>
      </c>
      <c r="M394" s="56" t="str">
        <f t="shared" si="49"/>
        <v>SUN</v>
      </c>
      <c r="O394" s="378">
        <f>IF(MOD(C394,7)&lt;2,0,IF(MOD(C394,7)=6,3,1))</f>
        <v>0</v>
      </c>
      <c r="P394" s="392">
        <f t="shared" si="43"/>
        <v>1</v>
      </c>
      <c r="R394" s="99"/>
    </row>
    <row r="395" spans="1:18">
      <c r="B395" s="41"/>
      <c r="C395" s="403">
        <f t="shared" si="46"/>
        <v>44193</v>
      </c>
      <c r="D395" s="56" t="str">
        <f>VLOOKUP(MOD(C395,7),'CALENDAR INFO'!$G$5:$H$11,2)</f>
        <v>MON</v>
      </c>
      <c r="E395" s="165">
        <v>0.09</v>
      </c>
      <c r="F395" s="336">
        <v>0.09</v>
      </c>
      <c r="G395" s="411">
        <f t="shared" si="47"/>
        <v>0</v>
      </c>
      <c r="I395" s="147"/>
      <c r="K395" s="129"/>
      <c r="L395" s="403">
        <f t="shared" si="48"/>
        <v>44193</v>
      </c>
      <c r="M395" s="56" t="str">
        <f t="shared" si="49"/>
        <v>MON</v>
      </c>
      <c r="O395" s="378">
        <f>IF(MOD(C395,7)&lt;2,0,IF(MOD(C395,7)=6,3,1))</f>
        <v>1</v>
      </c>
      <c r="P395" s="392">
        <f t="shared" si="43"/>
        <v>1.0000024999999999</v>
      </c>
      <c r="R395" s="99"/>
    </row>
    <row r="396" spans="1:18">
      <c r="B396" s="41"/>
      <c r="C396" s="403">
        <f t="shared" si="46"/>
        <v>44194</v>
      </c>
      <c r="D396" s="56" t="str">
        <f>VLOOKUP(MOD(C396,7),'CALENDAR INFO'!$G$5:$H$11,2)</f>
        <v>TUE</v>
      </c>
      <c r="E396" s="165">
        <v>0.09</v>
      </c>
      <c r="F396" s="336">
        <v>0.1</v>
      </c>
      <c r="G396" s="411">
        <f t="shared" si="47"/>
        <v>1.0000000000000009E-2</v>
      </c>
      <c r="H396" s="343"/>
      <c r="I396" s="145"/>
      <c r="J396" s="153"/>
      <c r="K396" s="129"/>
      <c r="L396" s="403">
        <f t="shared" si="48"/>
        <v>44194</v>
      </c>
      <c r="M396" s="56" t="str">
        <f t="shared" si="49"/>
        <v>TUE</v>
      </c>
      <c r="O396" s="378">
        <f>IF(MOD(C396,7)&lt;2,0,IF(MOD(C396,7)=6,3,1))</f>
        <v>1</v>
      </c>
      <c r="P396" s="392">
        <f t="shared" si="43"/>
        <v>1.0000027777777778</v>
      </c>
      <c r="R396" s="99"/>
    </row>
    <row r="397" spans="1:18">
      <c r="B397" s="41"/>
      <c r="C397" s="403">
        <f t="shared" si="46"/>
        <v>44195</v>
      </c>
      <c r="D397" s="56" t="str">
        <f>VLOOKUP(MOD(C397,7),'CALENDAR INFO'!$G$5:$H$11,2)</f>
        <v>WED</v>
      </c>
      <c r="E397" s="165">
        <v>0.09</v>
      </c>
      <c r="F397" s="336">
        <v>0.09</v>
      </c>
      <c r="G397" s="411">
        <f t="shared" si="47"/>
        <v>0</v>
      </c>
      <c r="I397" s="137"/>
      <c r="K397" s="129" t="s">
        <v>19</v>
      </c>
      <c r="L397" s="403">
        <f t="shared" si="48"/>
        <v>44195</v>
      </c>
      <c r="M397" s="56" t="str">
        <f t="shared" si="49"/>
        <v>WED</v>
      </c>
      <c r="O397" s="378">
        <f>IF(MOD(C397,7)&lt;2,0,IF(MOD(C397,7)=6,3,1))</f>
        <v>1</v>
      </c>
      <c r="P397" s="392">
        <f t="shared" si="43"/>
        <v>1.0000024999999999</v>
      </c>
      <c r="R397" s="99"/>
    </row>
    <row r="398" spans="1:18" ht="15.75" thickBot="1">
      <c r="A398" s="65"/>
      <c r="B398" s="174"/>
      <c r="C398" s="404">
        <f t="shared" si="46"/>
        <v>44196</v>
      </c>
      <c r="D398" s="64" t="str">
        <f>VLOOKUP(MOD(C398,7),'CALENDAR INFO'!$G$5:$H$11,2)</f>
        <v>THU</v>
      </c>
      <c r="E398" s="166">
        <v>0.09</v>
      </c>
      <c r="F398" s="337">
        <v>7.0000000000000007E-2</v>
      </c>
      <c r="G398" s="412">
        <f t="shared" si="47"/>
        <v>-1.999999999999999E-2</v>
      </c>
      <c r="H398" s="344"/>
      <c r="I398" s="140"/>
      <c r="J398" s="154"/>
      <c r="K398" s="77" t="s">
        <v>18</v>
      </c>
      <c r="L398" s="404">
        <f t="shared" si="48"/>
        <v>44196</v>
      </c>
      <c r="M398" s="64" t="str">
        <f t="shared" si="49"/>
        <v>THU</v>
      </c>
      <c r="N398" s="90"/>
      <c r="O398" s="379">
        <f>IF(MOD(C398,7)&lt;2,0,IF(MOD(C398,7)=6,3,1))+3</f>
        <v>4</v>
      </c>
      <c r="P398" s="388">
        <f t="shared" si="43"/>
        <v>1.0000077777777778</v>
      </c>
      <c r="R398" s="99"/>
    </row>
    <row r="399" spans="1:18">
      <c r="A399" s="87"/>
      <c r="B399" s="180"/>
      <c r="C399" s="406">
        <f t="shared" si="46"/>
        <v>44197</v>
      </c>
      <c r="D399" s="86" t="str">
        <f>VLOOKUP(MOD(C399,7),'CALENDAR INFO'!$G$5:$H$11,2)</f>
        <v>FRI</v>
      </c>
      <c r="E399" s="168">
        <v>0.09</v>
      </c>
      <c r="F399" s="340">
        <v>7.0000000000000007E-2</v>
      </c>
      <c r="G399" s="414">
        <f t="shared" si="47"/>
        <v>-1.999999999999999E-2</v>
      </c>
      <c r="H399" s="15" t="s">
        <v>149</v>
      </c>
      <c r="I399" s="15">
        <f>ROW(I399)</f>
        <v>399</v>
      </c>
      <c r="J399" s="138">
        <f>I399</f>
        <v>399</v>
      </c>
      <c r="K399" s="88"/>
      <c r="L399" s="406">
        <f t="shared" si="48"/>
        <v>44197</v>
      </c>
      <c r="M399" s="86" t="str">
        <f t="shared" si="49"/>
        <v>FRI</v>
      </c>
      <c r="N399" s="89" t="s">
        <v>114</v>
      </c>
      <c r="O399" s="385">
        <f>IF(MOD(C399,7)&lt;2,0,IF(MOD(C399,7)=6,3,1))-3</f>
        <v>0</v>
      </c>
      <c r="P399" s="390">
        <f t="shared" si="43"/>
        <v>1</v>
      </c>
      <c r="R399" s="99"/>
    </row>
    <row r="400" spans="1:18">
      <c r="A400" s="69"/>
      <c r="B400" s="175"/>
      <c r="C400" s="403">
        <f t="shared" si="46"/>
        <v>44198</v>
      </c>
      <c r="D400" s="56" t="str">
        <f>VLOOKUP(MOD(C400,7),'CALENDAR INFO'!$G$5:$H$11,2)</f>
        <v>SAT</v>
      </c>
      <c r="E400" s="165">
        <v>0.09</v>
      </c>
      <c r="F400" s="336">
        <v>7.0000000000000007E-2</v>
      </c>
      <c r="G400" s="411">
        <f t="shared" si="47"/>
        <v>-1.999999999999999E-2</v>
      </c>
      <c r="H400" s="376" t="s">
        <v>210</v>
      </c>
      <c r="I400" s="15">
        <f>VLOOKUP(MONTH($C399),'CALENDAR INFO'!$J$5:$K$16,2)</f>
        <v>31</v>
      </c>
      <c r="J400" s="138">
        <f>I400</f>
        <v>31</v>
      </c>
      <c r="K400" s="126"/>
      <c r="L400" s="403">
        <f t="shared" si="48"/>
        <v>44198</v>
      </c>
      <c r="M400" s="56" t="str">
        <f t="shared" si="49"/>
        <v>SAT</v>
      </c>
      <c r="O400" s="378">
        <f t="shared" ref="O400:O412" si="50">IF(MOD(C400,7)&lt;2,0,IF(MOD(C400,7)=6,3,1))</f>
        <v>0</v>
      </c>
      <c r="P400" s="392">
        <f t="shared" si="43"/>
        <v>1</v>
      </c>
      <c r="R400" s="99"/>
    </row>
    <row r="401" spans="1:18">
      <c r="A401" s="69"/>
      <c r="B401" s="175"/>
      <c r="C401" s="403">
        <f t="shared" si="46"/>
        <v>44199</v>
      </c>
      <c r="D401" s="56" t="str">
        <f>VLOOKUP(MOD(C401,7),'CALENDAR INFO'!$G$5:$H$11,2)</f>
        <v>SUN</v>
      </c>
      <c r="E401" s="165">
        <v>0.09</v>
      </c>
      <c r="F401" s="336">
        <v>7.0000000000000007E-2</v>
      </c>
      <c r="G401" s="411">
        <f t="shared" si="47"/>
        <v>-1.999999999999999E-2</v>
      </c>
      <c r="H401" s="376" t="s">
        <v>211</v>
      </c>
      <c r="I401" s="15">
        <f>I400+I399-1</f>
        <v>429</v>
      </c>
      <c r="J401" s="138">
        <f>I401</f>
        <v>429</v>
      </c>
      <c r="K401" s="126"/>
      <c r="L401" s="403">
        <f t="shared" si="48"/>
        <v>44199</v>
      </c>
      <c r="M401" s="56" t="str">
        <f t="shared" si="49"/>
        <v>SUN</v>
      </c>
      <c r="O401" s="378">
        <f t="shared" si="50"/>
        <v>0</v>
      </c>
      <c r="P401" s="392">
        <f t="shared" si="43"/>
        <v>1</v>
      </c>
      <c r="R401" s="99"/>
    </row>
    <row r="402" spans="1:18">
      <c r="B402" s="41"/>
      <c r="C402" s="403">
        <f t="shared" si="46"/>
        <v>44200</v>
      </c>
      <c r="D402" s="56" t="str">
        <f>VLOOKUP(MOD(C402,7),'CALENDAR INFO'!$G$5:$H$11,2)</f>
        <v>MON</v>
      </c>
      <c r="E402" s="165">
        <v>0.09</v>
      </c>
      <c r="F402" s="336">
        <v>0.1</v>
      </c>
      <c r="G402" s="411">
        <f t="shared" si="47"/>
        <v>1.0000000000000009E-2</v>
      </c>
      <c r="K402" s="126"/>
      <c r="L402" s="403">
        <f t="shared" si="48"/>
        <v>44200</v>
      </c>
      <c r="M402" s="56" t="str">
        <f t="shared" si="49"/>
        <v>MON</v>
      </c>
      <c r="O402" s="378">
        <f t="shared" si="50"/>
        <v>1</v>
      </c>
      <c r="P402" s="392">
        <f t="shared" si="43"/>
        <v>1.0000027777777778</v>
      </c>
      <c r="R402" s="99"/>
    </row>
    <row r="403" spans="1:18">
      <c r="B403" s="41"/>
      <c r="C403" s="403">
        <f t="shared" si="46"/>
        <v>44201</v>
      </c>
      <c r="D403" s="56" t="str">
        <f>VLOOKUP(MOD(C403,7),'CALENDAR INFO'!$G$5:$H$11,2)</f>
        <v>TUE</v>
      </c>
      <c r="E403" s="165">
        <v>0.09</v>
      </c>
      <c r="F403" s="336">
        <v>0.11</v>
      </c>
      <c r="G403" s="411">
        <f t="shared" si="47"/>
        <v>2.0000000000000004E-2</v>
      </c>
      <c r="H403" s="15" t="s">
        <v>150</v>
      </c>
      <c r="I403" s="137" t="str">
        <f>_xlfn.CONCAT(ADDRESS(I399,5),":",ADDRESS(I401,5))</f>
        <v>$E$399:$E$429</v>
      </c>
      <c r="J403" s="150" t="str">
        <f>_xlfn.CONCAT(ADDRESS(J399,6),":",ADDRESS(J401,6))</f>
        <v>$F$399:$F$429</v>
      </c>
      <c r="K403" s="126"/>
      <c r="L403" s="403">
        <f t="shared" si="48"/>
        <v>44201</v>
      </c>
      <c r="M403" s="56" t="str">
        <f t="shared" si="49"/>
        <v>TUE</v>
      </c>
      <c r="O403" s="378">
        <f t="shared" si="50"/>
        <v>1</v>
      </c>
      <c r="P403" s="392">
        <f t="shared" ref="P403:P466" si="51">1+(O403/360)*(MAX(F403,B403)/100)</f>
        <v>1.0000030555555555</v>
      </c>
    </row>
    <row r="404" spans="1:18">
      <c r="B404" s="41"/>
      <c r="C404" s="403">
        <f t="shared" si="46"/>
        <v>44202</v>
      </c>
      <c r="D404" s="56" t="str">
        <f>VLOOKUP(MOD(C404,7),'CALENDAR INFO'!$G$5:$H$11,2)</f>
        <v>WED</v>
      </c>
      <c r="E404" s="165">
        <v>0.09</v>
      </c>
      <c r="F404" s="336">
        <v>0.1</v>
      </c>
      <c r="G404" s="411">
        <f t="shared" si="47"/>
        <v>1.0000000000000009E-2</v>
      </c>
      <c r="K404" s="126"/>
      <c r="L404" s="403">
        <f t="shared" si="48"/>
        <v>44202</v>
      </c>
      <c r="M404" s="56" t="str">
        <f t="shared" si="49"/>
        <v>WED</v>
      </c>
      <c r="O404" s="378">
        <f t="shared" si="50"/>
        <v>1</v>
      </c>
      <c r="P404" s="392">
        <f t="shared" si="51"/>
        <v>1.0000027777777778</v>
      </c>
    </row>
    <row r="405" spans="1:18">
      <c r="B405" s="41"/>
      <c r="C405" s="403">
        <f t="shared" si="46"/>
        <v>44203</v>
      </c>
      <c r="D405" s="56" t="str">
        <f>VLOOKUP(MOD(C405,7),'CALENDAR INFO'!$G$5:$H$11,2)</f>
        <v>THU</v>
      </c>
      <c r="E405" s="165">
        <v>0.09</v>
      </c>
      <c r="F405" s="336">
        <v>0.1</v>
      </c>
      <c r="G405" s="411">
        <f t="shared" si="47"/>
        <v>1.0000000000000009E-2</v>
      </c>
      <c r="H405" s="376" t="s">
        <v>221</v>
      </c>
      <c r="I405" s="147">
        <f ca="1">AVERAGE(INDIRECT(I403))</f>
        <v>8.5161290322580643E-2</v>
      </c>
      <c r="J405" s="326">
        <f ca="1">AVERAGE(INDIRECT(J403))</f>
        <v>7.0967741935483886E-2</v>
      </c>
      <c r="K405" s="126"/>
      <c r="L405" s="403">
        <f t="shared" si="48"/>
        <v>44203</v>
      </c>
      <c r="M405" s="56" t="str">
        <f t="shared" si="49"/>
        <v>THU</v>
      </c>
      <c r="O405" s="378">
        <f t="shared" si="50"/>
        <v>1</v>
      </c>
      <c r="P405" s="392">
        <f t="shared" si="51"/>
        <v>1.0000027777777778</v>
      </c>
    </row>
    <row r="406" spans="1:18">
      <c r="B406" s="41"/>
      <c r="C406" s="403">
        <f t="shared" si="46"/>
        <v>44204</v>
      </c>
      <c r="D406" s="56" t="str">
        <f>VLOOKUP(MOD(C406,7),'CALENDAR INFO'!$G$5:$H$11,2)</f>
        <v>FRI</v>
      </c>
      <c r="E406" s="165">
        <v>0.09</v>
      </c>
      <c r="F406" s="336">
        <v>0.09</v>
      </c>
      <c r="G406" s="411">
        <f t="shared" si="47"/>
        <v>0</v>
      </c>
      <c r="I406" s="240"/>
      <c r="J406" s="157"/>
      <c r="K406" s="126"/>
      <c r="L406" s="403">
        <f t="shared" si="48"/>
        <v>44204</v>
      </c>
      <c r="M406" s="56" t="str">
        <f t="shared" si="49"/>
        <v>FRI</v>
      </c>
      <c r="O406" s="378">
        <f t="shared" si="50"/>
        <v>3</v>
      </c>
      <c r="P406" s="392">
        <f t="shared" si="51"/>
        <v>1.0000074999999999</v>
      </c>
    </row>
    <row r="407" spans="1:18">
      <c r="B407" s="41"/>
      <c r="C407" s="403">
        <f t="shared" si="46"/>
        <v>44205</v>
      </c>
      <c r="D407" s="56" t="str">
        <f>VLOOKUP(MOD(C407,7),'CALENDAR INFO'!$G$5:$H$11,2)</f>
        <v>SAT</v>
      </c>
      <c r="E407" s="165">
        <v>0.09</v>
      </c>
      <c r="F407" s="336">
        <v>0.09</v>
      </c>
      <c r="G407" s="411">
        <f t="shared" si="47"/>
        <v>0</v>
      </c>
      <c r="H407" s="15" t="s">
        <v>222</v>
      </c>
      <c r="I407" s="147">
        <f ca="1">100-I405</f>
        <v>99.914838709677426</v>
      </c>
      <c r="J407" s="326">
        <f ca="1">100-J405</f>
        <v>99.92903225806451</v>
      </c>
      <c r="K407" s="126"/>
      <c r="L407" s="403">
        <f t="shared" si="48"/>
        <v>44205</v>
      </c>
      <c r="M407" s="56" t="str">
        <f t="shared" si="49"/>
        <v>SAT</v>
      </c>
      <c r="O407" s="378">
        <f t="shared" si="50"/>
        <v>0</v>
      </c>
      <c r="P407" s="392">
        <f t="shared" si="51"/>
        <v>1</v>
      </c>
    </row>
    <row r="408" spans="1:18">
      <c r="B408" s="41"/>
      <c r="C408" s="403">
        <f t="shared" si="46"/>
        <v>44206</v>
      </c>
      <c r="D408" s="56" t="str">
        <f>VLOOKUP(MOD(C408,7),'CALENDAR INFO'!$G$5:$H$11,2)</f>
        <v>SUN</v>
      </c>
      <c r="E408" s="165">
        <v>0.09</v>
      </c>
      <c r="F408" s="336">
        <v>0.09</v>
      </c>
      <c r="G408" s="411">
        <f t="shared" si="47"/>
        <v>0</v>
      </c>
      <c r="I408" s="137"/>
      <c r="J408" s="150"/>
      <c r="K408" s="126"/>
      <c r="L408" s="403">
        <f t="shared" si="48"/>
        <v>44206</v>
      </c>
      <c r="M408" s="56" t="str">
        <f t="shared" si="49"/>
        <v>SUN</v>
      </c>
      <c r="O408" s="378">
        <f t="shared" si="50"/>
        <v>0</v>
      </c>
      <c r="P408" s="392">
        <f t="shared" si="51"/>
        <v>1</v>
      </c>
    </row>
    <row r="409" spans="1:18">
      <c r="B409" s="41"/>
      <c r="C409" s="403">
        <f t="shared" si="46"/>
        <v>44207</v>
      </c>
      <c r="D409" s="56" t="str">
        <f>VLOOKUP(MOD(C409,7),'CALENDAR INFO'!$G$5:$H$11,2)</f>
        <v>MON</v>
      </c>
      <c r="E409" s="165">
        <v>0.09</v>
      </c>
      <c r="F409" s="336">
        <v>0.09</v>
      </c>
      <c r="G409" s="411">
        <f t="shared" si="47"/>
        <v>0</v>
      </c>
      <c r="H409" s="425" t="s">
        <v>97</v>
      </c>
      <c r="I409" s="419">
        <v>99.915000000000006</v>
      </c>
      <c r="J409" s="426">
        <v>99.929000000000002</v>
      </c>
      <c r="K409" s="126"/>
      <c r="L409" s="403">
        <f t="shared" si="48"/>
        <v>44207</v>
      </c>
      <c r="M409" s="56" t="str">
        <f t="shared" si="49"/>
        <v>MON</v>
      </c>
      <c r="O409" s="378">
        <f t="shared" si="50"/>
        <v>1</v>
      </c>
      <c r="P409" s="392">
        <f t="shared" si="51"/>
        <v>1.0000024999999999</v>
      </c>
    </row>
    <row r="410" spans="1:18">
      <c r="B410" s="41"/>
      <c r="C410" s="403">
        <f t="shared" si="46"/>
        <v>44208</v>
      </c>
      <c r="D410" s="56" t="str">
        <f>VLOOKUP(MOD(C410,7),'CALENDAR INFO'!$G$5:$H$11,2)</f>
        <v>TUE</v>
      </c>
      <c r="E410" s="165">
        <v>0.09</v>
      </c>
      <c r="F410" s="336">
        <v>0.08</v>
      </c>
      <c r="G410" s="411">
        <f t="shared" si="47"/>
        <v>-9.999999999999995E-3</v>
      </c>
      <c r="I410" s="137"/>
      <c r="J410" s="150"/>
      <c r="K410" s="126"/>
      <c r="L410" s="403">
        <f t="shared" si="48"/>
        <v>44208</v>
      </c>
      <c r="M410" s="56" t="str">
        <f t="shared" si="49"/>
        <v>TUE</v>
      </c>
      <c r="O410" s="378">
        <f t="shared" si="50"/>
        <v>1</v>
      </c>
      <c r="P410" s="392">
        <f t="shared" si="51"/>
        <v>1.0000022222222222</v>
      </c>
    </row>
    <row r="411" spans="1:18">
      <c r="B411" s="41"/>
      <c r="C411" s="403">
        <f t="shared" si="46"/>
        <v>44209</v>
      </c>
      <c r="D411" s="56" t="str">
        <f>VLOOKUP(MOD(C411,7),'CALENDAR INFO'!$G$5:$H$11,2)</f>
        <v>WED</v>
      </c>
      <c r="E411" s="165">
        <v>0.09</v>
      </c>
      <c r="F411" s="336">
        <v>0.08</v>
      </c>
      <c r="G411" s="411">
        <f t="shared" si="47"/>
        <v>-9.999999999999995E-3</v>
      </c>
      <c r="H411" s="136"/>
      <c r="I411" s="139"/>
      <c r="J411" s="151"/>
      <c r="K411" s="126" t="s">
        <v>19</v>
      </c>
      <c r="L411" s="403">
        <f t="shared" si="48"/>
        <v>44209</v>
      </c>
      <c r="M411" s="56" t="str">
        <f t="shared" si="49"/>
        <v>WED</v>
      </c>
      <c r="O411" s="378">
        <f t="shared" si="50"/>
        <v>1</v>
      </c>
      <c r="P411" s="392">
        <f t="shared" si="51"/>
        <v>1.0000022222222222</v>
      </c>
    </row>
    <row r="412" spans="1:18">
      <c r="B412" s="41"/>
      <c r="C412" s="403">
        <f t="shared" si="46"/>
        <v>44210</v>
      </c>
      <c r="D412" s="56" t="str">
        <f>VLOOKUP(MOD(C412,7),'CALENDAR INFO'!$G$5:$H$11,2)</f>
        <v>THU</v>
      </c>
      <c r="E412" s="165">
        <v>0.09</v>
      </c>
      <c r="F412" s="336">
        <v>0.08</v>
      </c>
      <c r="G412" s="411">
        <f t="shared" si="47"/>
        <v>-9.999999999999995E-3</v>
      </c>
      <c r="K412" s="129" t="s">
        <v>18</v>
      </c>
      <c r="L412" s="403">
        <f t="shared" si="48"/>
        <v>44210</v>
      </c>
      <c r="M412" s="56" t="str">
        <f t="shared" si="49"/>
        <v>THU</v>
      </c>
      <c r="O412" s="378">
        <f t="shared" si="50"/>
        <v>1</v>
      </c>
      <c r="P412" s="392">
        <f t="shared" si="51"/>
        <v>1.0000022222222222</v>
      </c>
    </row>
    <row r="413" spans="1:18">
      <c r="B413" s="41"/>
      <c r="C413" s="403">
        <f t="shared" si="46"/>
        <v>44211</v>
      </c>
      <c r="D413" s="56" t="str">
        <f>VLOOKUP(MOD(C413,7),'CALENDAR INFO'!$G$5:$H$11,2)</f>
        <v>FRI</v>
      </c>
      <c r="E413" s="165">
        <v>0.09</v>
      </c>
      <c r="F413" s="336">
        <v>0.08</v>
      </c>
      <c r="G413" s="411">
        <f t="shared" si="47"/>
        <v>-9.999999999999995E-3</v>
      </c>
      <c r="H413" s="135"/>
      <c r="I413" s="144"/>
      <c r="J413" s="152"/>
      <c r="K413" s="129"/>
      <c r="L413" s="403">
        <f t="shared" si="48"/>
        <v>44211</v>
      </c>
      <c r="M413" s="56" t="str">
        <f t="shared" si="49"/>
        <v>FRI</v>
      </c>
      <c r="O413" s="380">
        <v>4</v>
      </c>
      <c r="P413" s="392">
        <f t="shared" si="51"/>
        <v>1.0000088888888889</v>
      </c>
    </row>
    <row r="414" spans="1:18">
      <c r="B414" s="41"/>
      <c r="C414" s="403">
        <f t="shared" si="46"/>
        <v>44212</v>
      </c>
      <c r="D414" s="56" t="str">
        <f>VLOOKUP(MOD(C414,7),'CALENDAR INFO'!$G$5:$H$11,2)</f>
        <v>SAT</v>
      </c>
      <c r="E414" s="165">
        <v>0.09</v>
      </c>
      <c r="F414" s="336">
        <v>0.08</v>
      </c>
      <c r="G414" s="411">
        <f t="shared" si="47"/>
        <v>-9.999999999999995E-3</v>
      </c>
      <c r="K414" s="129"/>
      <c r="L414" s="403">
        <f t="shared" si="48"/>
        <v>44212</v>
      </c>
      <c r="M414" s="56" t="str">
        <f t="shared" si="49"/>
        <v>SAT</v>
      </c>
      <c r="O414" s="378">
        <f>IF(MOD(C414,7)&lt;2,0,IF(MOD(C414,7)=6,3,1))</f>
        <v>0</v>
      </c>
      <c r="P414" s="392">
        <f t="shared" si="51"/>
        <v>1</v>
      </c>
    </row>
    <row r="415" spans="1:18">
      <c r="B415" s="41"/>
      <c r="C415" s="403">
        <f t="shared" si="46"/>
        <v>44213</v>
      </c>
      <c r="D415" s="56" t="str">
        <f>VLOOKUP(MOD(C415,7),'CALENDAR INFO'!$G$5:$H$11,2)</f>
        <v>SUN</v>
      </c>
      <c r="E415" s="165">
        <v>0.09</v>
      </c>
      <c r="F415" s="336">
        <v>0.08</v>
      </c>
      <c r="G415" s="411">
        <f t="shared" si="47"/>
        <v>-9.999999999999995E-3</v>
      </c>
      <c r="K415" s="129"/>
      <c r="L415" s="403">
        <f t="shared" si="48"/>
        <v>44213</v>
      </c>
      <c r="M415" s="56" t="str">
        <f t="shared" si="49"/>
        <v>SUN</v>
      </c>
      <c r="O415" s="378">
        <f>IF(MOD(C415,7)&lt;2,0,IF(MOD(C415,7)=6,3,1))</f>
        <v>0</v>
      </c>
      <c r="P415" s="392">
        <f t="shared" si="51"/>
        <v>1</v>
      </c>
    </row>
    <row r="416" spans="1:18">
      <c r="B416" s="41"/>
      <c r="C416" s="403">
        <f t="shared" si="46"/>
        <v>44214</v>
      </c>
      <c r="D416" s="56" t="str">
        <f>VLOOKUP(MOD(C416,7),'CALENDAR INFO'!$G$5:$H$11,2)</f>
        <v>MON</v>
      </c>
      <c r="E416" s="165">
        <v>0.09</v>
      </c>
      <c r="F416" s="336">
        <v>0.08</v>
      </c>
      <c r="G416" s="411">
        <f t="shared" si="47"/>
        <v>-9.999999999999995E-3</v>
      </c>
      <c r="K416" s="129"/>
      <c r="L416" s="403">
        <f t="shared" si="48"/>
        <v>44214</v>
      </c>
      <c r="M416" s="56" t="str">
        <f t="shared" si="49"/>
        <v>MON</v>
      </c>
      <c r="N416" s="132" t="s">
        <v>102</v>
      </c>
      <c r="O416" s="380">
        <v>0</v>
      </c>
      <c r="P416" s="392">
        <f t="shared" si="51"/>
        <v>1</v>
      </c>
    </row>
    <row r="417" spans="1:16">
      <c r="B417" s="41"/>
      <c r="C417" s="403">
        <f t="shared" si="46"/>
        <v>44215</v>
      </c>
      <c r="D417" s="56" t="str">
        <f>VLOOKUP(MOD(C417,7),'CALENDAR INFO'!$G$5:$H$11,2)</f>
        <v>TUE</v>
      </c>
      <c r="E417" s="165">
        <v>0.09</v>
      </c>
      <c r="F417" s="336">
        <v>7.0000000000000007E-2</v>
      </c>
      <c r="G417" s="411">
        <f t="shared" si="47"/>
        <v>-1.999999999999999E-2</v>
      </c>
      <c r="K417" s="129"/>
      <c r="L417" s="403">
        <f t="shared" si="48"/>
        <v>44215</v>
      </c>
      <c r="M417" s="56" t="str">
        <f t="shared" si="49"/>
        <v>TUE</v>
      </c>
      <c r="O417" s="378">
        <f t="shared" ref="O417:O440" si="52">IF(MOD(C417,7)&lt;2,0,IF(MOD(C417,7)=6,3,1))</f>
        <v>1</v>
      </c>
      <c r="P417" s="392">
        <f t="shared" si="51"/>
        <v>1.0000019444444443</v>
      </c>
    </row>
    <row r="418" spans="1:16">
      <c r="B418" s="41"/>
      <c r="C418" s="403">
        <f t="shared" si="46"/>
        <v>44216</v>
      </c>
      <c r="D418" s="56" t="str">
        <f>VLOOKUP(MOD(C418,7),'CALENDAR INFO'!$G$5:$H$11,2)</f>
        <v>WED</v>
      </c>
      <c r="E418" s="165">
        <v>0.09</v>
      </c>
      <c r="F418" s="336">
        <v>0.06</v>
      </c>
      <c r="G418" s="411">
        <f t="shared" si="47"/>
        <v>-0.03</v>
      </c>
      <c r="K418" s="129"/>
      <c r="L418" s="403">
        <f t="shared" si="48"/>
        <v>44216</v>
      </c>
      <c r="M418" s="56" t="str">
        <f t="shared" si="49"/>
        <v>WED</v>
      </c>
      <c r="O418" s="378">
        <f t="shared" si="52"/>
        <v>1</v>
      </c>
      <c r="P418" s="392">
        <f t="shared" si="51"/>
        <v>1.0000016666666667</v>
      </c>
    </row>
    <row r="419" spans="1:16">
      <c r="B419" s="41"/>
      <c r="C419" s="403">
        <f t="shared" si="46"/>
        <v>44217</v>
      </c>
      <c r="D419" s="56" t="str">
        <f>VLOOKUP(MOD(C419,7),'CALENDAR INFO'!$G$5:$H$11,2)</f>
        <v>THU</v>
      </c>
      <c r="E419" s="165">
        <v>0.08</v>
      </c>
      <c r="F419" s="336">
        <v>0.04</v>
      </c>
      <c r="G419" s="411">
        <f t="shared" si="47"/>
        <v>-0.04</v>
      </c>
      <c r="K419" s="129"/>
      <c r="L419" s="403">
        <f t="shared" si="48"/>
        <v>44217</v>
      </c>
      <c r="M419" s="56" t="str">
        <f t="shared" si="49"/>
        <v>THU</v>
      </c>
      <c r="O419" s="378">
        <f t="shared" si="52"/>
        <v>1</v>
      </c>
      <c r="P419" s="392">
        <f t="shared" si="51"/>
        <v>1.0000011111111111</v>
      </c>
    </row>
    <row r="420" spans="1:16">
      <c r="B420" s="41"/>
      <c r="C420" s="403">
        <f t="shared" si="46"/>
        <v>44218</v>
      </c>
      <c r="D420" s="56" t="str">
        <f>VLOOKUP(MOD(C420,7),'CALENDAR INFO'!$G$5:$H$11,2)</f>
        <v>FRI</v>
      </c>
      <c r="E420" s="165">
        <v>0.08</v>
      </c>
      <c r="F420" s="336">
        <v>0.05</v>
      </c>
      <c r="G420" s="411">
        <f t="shared" si="47"/>
        <v>-0.03</v>
      </c>
      <c r="K420" s="129"/>
      <c r="L420" s="403">
        <f t="shared" si="48"/>
        <v>44218</v>
      </c>
      <c r="M420" s="56" t="str">
        <f t="shared" si="49"/>
        <v>FRI</v>
      </c>
      <c r="O420" s="378">
        <f t="shared" si="52"/>
        <v>3</v>
      </c>
      <c r="P420" s="392">
        <f t="shared" si="51"/>
        <v>1.0000041666666666</v>
      </c>
    </row>
    <row r="421" spans="1:16">
      <c r="B421" s="41"/>
      <c r="C421" s="403">
        <f t="shared" si="46"/>
        <v>44219</v>
      </c>
      <c r="D421" s="56" t="str">
        <f>VLOOKUP(MOD(C421,7),'CALENDAR INFO'!$G$5:$H$11,2)</f>
        <v>SAT</v>
      </c>
      <c r="E421" s="165">
        <v>0.08</v>
      </c>
      <c r="F421" s="336">
        <v>0.05</v>
      </c>
      <c r="G421" s="411">
        <f t="shared" si="47"/>
        <v>-0.03</v>
      </c>
      <c r="K421" s="129"/>
      <c r="L421" s="403">
        <f t="shared" si="48"/>
        <v>44219</v>
      </c>
      <c r="M421" s="56" t="str">
        <f t="shared" si="49"/>
        <v>SAT</v>
      </c>
      <c r="O421" s="378">
        <f t="shared" si="52"/>
        <v>0</v>
      </c>
      <c r="P421" s="392">
        <f t="shared" si="51"/>
        <v>1</v>
      </c>
    </row>
    <row r="422" spans="1:16">
      <c r="B422" s="41"/>
      <c r="C422" s="403">
        <f t="shared" si="46"/>
        <v>44220</v>
      </c>
      <c r="D422" s="56" t="str">
        <f>VLOOKUP(MOD(C422,7),'CALENDAR INFO'!$G$5:$H$11,2)</f>
        <v>SUN</v>
      </c>
      <c r="E422" s="165">
        <v>0.08</v>
      </c>
      <c r="F422" s="336">
        <v>0.05</v>
      </c>
      <c r="G422" s="411">
        <f t="shared" si="47"/>
        <v>-0.03</v>
      </c>
      <c r="K422" s="129"/>
      <c r="L422" s="403">
        <f t="shared" si="48"/>
        <v>44220</v>
      </c>
      <c r="M422" s="56" t="str">
        <f t="shared" si="49"/>
        <v>SUN</v>
      </c>
      <c r="O422" s="378">
        <f t="shared" si="52"/>
        <v>0</v>
      </c>
      <c r="P422" s="392">
        <f t="shared" si="51"/>
        <v>1</v>
      </c>
    </row>
    <row r="423" spans="1:16">
      <c r="B423" s="41"/>
      <c r="C423" s="403">
        <f t="shared" si="46"/>
        <v>44221</v>
      </c>
      <c r="D423" s="56" t="str">
        <f>VLOOKUP(MOD(C423,7),'CALENDAR INFO'!$G$5:$H$11,2)</f>
        <v>MON</v>
      </c>
      <c r="E423" s="165">
        <v>0.08</v>
      </c>
      <c r="F423" s="336">
        <v>0.06</v>
      </c>
      <c r="G423" s="411">
        <f t="shared" si="47"/>
        <v>-2.0000000000000004E-2</v>
      </c>
      <c r="K423" s="129"/>
      <c r="L423" s="403">
        <f t="shared" si="48"/>
        <v>44221</v>
      </c>
      <c r="M423" s="56" t="str">
        <f t="shared" si="49"/>
        <v>MON</v>
      </c>
      <c r="O423" s="378">
        <f t="shared" si="52"/>
        <v>1</v>
      </c>
      <c r="P423" s="392">
        <f t="shared" si="51"/>
        <v>1.0000016666666667</v>
      </c>
    </row>
    <row r="424" spans="1:16">
      <c r="B424" s="41"/>
      <c r="C424" s="403">
        <f t="shared" si="46"/>
        <v>44222</v>
      </c>
      <c r="D424" s="56" t="str">
        <f>VLOOKUP(MOD(C424,7),'CALENDAR INFO'!$G$5:$H$11,2)</f>
        <v>TUE</v>
      </c>
      <c r="E424" s="165">
        <v>0.08</v>
      </c>
      <c r="F424" s="336">
        <v>0.03</v>
      </c>
      <c r="G424" s="411">
        <f t="shared" si="47"/>
        <v>-0.05</v>
      </c>
      <c r="K424" s="129"/>
      <c r="L424" s="403">
        <f t="shared" si="48"/>
        <v>44222</v>
      </c>
      <c r="M424" s="56" t="str">
        <f t="shared" si="49"/>
        <v>TUE</v>
      </c>
      <c r="N424" s="116" t="s">
        <v>20</v>
      </c>
      <c r="O424" s="378">
        <f t="shared" si="52"/>
        <v>1</v>
      </c>
      <c r="P424" s="392">
        <f t="shared" si="51"/>
        <v>1.0000008333333332</v>
      </c>
    </row>
    <row r="425" spans="1:16">
      <c r="B425" s="41"/>
      <c r="C425" s="403">
        <f t="shared" si="46"/>
        <v>44223</v>
      </c>
      <c r="D425" s="56" t="str">
        <f>VLOOKUP(MOD(C425,7),'CALENDAR INFO'!$G$5:$H$11,2)</f>
        <v>WED</v>
      </c>
      <c r="E425" s="165">
        <v>0.08</v>
      </c>
      <c r="F425" s="336">
        <v>0.03</v>
      </c>
      <c r="G425" s="411">
        <f t="shared" si="47"/>
        <v>-0.05</v>
      </c>
      <c r="I425" s="137"/>
      <c r="K425" s="129" t="s">
        <v>19</v>
      </c>
      <c r="L425" s="403">
        <f t="shared" si="48"/>
        <v>44223</v>
      </c>
      <c r="M425" s="56" t="str">
        <f t="shared" si="49"/>
        <v>WED</v>
      </c>
      <c r="N425" s="116" t="s">
        <v>20</v>
      </c>
      <c r="O425" s="378">
        <f t="shared" si="52"/>
        <v>1</v>
      </c>
      <c r="P425" s="392">
        <f t="shared" si="51"/>
        <v>1.0000008333333332</v>
      </c>
    </row>
    <row r="426" spans="1:16">
      <c r="B426" s="41"/>
      <c r="C426" s="403">
        <f t="shared" si="46"/>
        <v>44224</v>
      </c>
      <c r="D426" s="56" t="str">
        <f>VLOOKUP(MOD(C426,7),'CALENDAR INFO'!$G$5:$H$11,2)</f>
        <v>THU</v>
      </c>
      <c r="E426" s="165">
        <v>7.0000000000000007E-2</v>
      </c>
      <c r="F426" s="336">
        <v>0.04</v>
      </c>
      <c r="G426" s="411">
        <f t="shared" si="47"/>
        <v>-3.0000000000000006E-2</v>
      </c>
      <c r="H426" s="115"/>
      <c r="I426" s="141"/>
      <c r="J426" s="158"/>
      <c r="K426" s="126" t="s">
        <v>18</v>
      </c>
      <c r="L426" s="403">
        <f t="shared" si="48"/>
        <v>44224</v>
      </c>
      <c r="M426" s="56" t="str">
        <f t="shared" si="49"/>
        <v>THU</v>
      </c>
      <c r="O426" s="378">
        <f t="shared" si="52"/>
        <v>1</v>
      </c>
      <c r="P426" s="392">
        <f t="shared" si="51"/>
        <v>1.0000011111111111</v>
      </c>
    </row>
    <row r="427" spans="1:16">
      <c r="B427" s="41"/>
      <c r="C427" s="403">
        <f t="shared" si="46"/>
        <v>44225</v>
      </c>
      <c r="D427" s="56" t="str">
        <f>VLOOKUP(MOD(C427,7),'CALENDAR INFO'!$G$5:$H$11,2)</f>
        <v>FRI</v>
      </c>
      <c r="E427" s="165">
        <v>7.0000000000000007E-2</v>
      </c>
      <c r="F427" s="336">
        <v>0.06</v>
      </c>
      <c r="G427" s="411">
        <f t="shared" si="47"/>
        <v>-1.0000000000000009E-2</v>
      </c>
      <c r="H427" s="115"/>
      <c r="I427" s="148"/>
      <c r="J427" s="160"/>
      <c r="K427" s="126"/>
      <c r="L427" s="403">
        <f t="shared" si="48"/>
        <v>44225</v>
      </c>
      <c r="M427" s="56" t="str">
        <f t="shared" si="49"/>
        <v>FRI</v>
      </c>
      <c r="O427" s="378">
        <f t="shared" si="52"/>
        <v>3</v>
      </c>
      <c r="P427" s="392">
        <f t="shared" si="51"/>
        <v>1.000005</v>
      </c>
    </row>
    <row r="428" spans="1:16">
      <c r="B428" s="41"/>
      <c r="C428" s="403">
        <f t="shared" si="46"/>
        <v>44226</v>
      </c>
      <c r="D428" s="56" t="str">
        <f>VLOOKUP(MOD(C428,7),'CALENDAR INFO'!$G$5:$H$11,2)</f>
        <v>SAT</v>
      </c>
      <c r="E428" s="165">
        <v>7.0000000000000007E-2</v>
      </c>
      <c r="F428" s="336">
        <v>0.06</v>
      </c>
      <c r="G428" s="411">
        <f t="shared" si="47"/>
        <v>-1.0000000000000009E-2</v>
      </c>
      <c r="H428" s="115"/>
      <c r="I428" s="141"/>
      <c r="J428" s="158"/>
      <c r="K428" s="126"/>
      <c r="L428" s="403">
        <f t="shared" si="48"/>
        <v>44226</v>
      </c>
      <c r="M428" s="56" t="str">
        <f t="shared" si="49"/>
        <v>SAT</v>
      </c>
      <c r="O428" s="378">
        <f t="shared" si="52"/>
        <v>0</v>
      </c>
      <c r="P428" s="392">
        <f t="shared" si="51"/>
        <v>1</v>
      </c>
    </row>
    <row r="429" spans="1:16" ht="15.75" thickBot="1">
      <c r="A429" s="81"/>
      <c r="B429" s="178"/>
      <c r="C429" s="404">
        <f t="shared" si="46"/>
        <v>44227</v>
      </c>
      <c r="D429" s="64" t="str">
        <f>VLOOKUP(MOD(C429,7),'CALENDAR INFO'!$G$5:$H$11,2)</f>
        <v>SUN</v>
      </c>
      <c r="E429" s="166">
        <v>7.0000000000000007E-2</v>
      </c>
      <c r="F429" s="337">
        <v>0.06</v>
      </c>
      <c r="G429" s="412">
        <f t="shared" si="47"/>
        <v>-1.0000000000000009E-2</v>
      </c>
      <c r="H429" s="345"/>
      <c r="I429" s="149"/>
      <c r="J429" s="161"/>
      <c r="K429" s="77"/>
      <c r="L429" s="404">
        <f t="shared" si="48"/>
        <v>44227</v>
      </c>
      <c r="M429" s="64" t="str">
        <f t="shared" si="49"/>
        <v>SUN</v>
      </c>
      <c r="N429" s="90"/>
      <c r="O429" s="381">
        <f t="shared" si="52"/>
        <v>0</v>
      </c>
      <c r="P429" s="388">
        <f t="shared" si="51"/>
        <v>1</v>
      </c>
    </row>
    <row r="430" spans="1:16">
      <c r="B430" s="41"/>
      <c r="C430" s="403">
        <f t="shared" si="46"/>
        <v>44228</v>
      </c>
      <c r="D430" s="56" t="str">
        <f>VLOOKUP(MOD(C430,7),'CALENDAR INFO'!$G$5:$H$11,2)</f>
        <v>MON</v>
      </c>
      <c r="E430" s="165">
        <v>0.08</v>
      </c>
      <c r="F430" s="336">
        <v>7.0000000000000007E-2</v>
      </c>
      <c r="G430" s="411">
        <f t="shared" si="47"/>
        <v>-9.999999999999995E-3</v>
      </c>
      <c r="H430" s="15" t="s">
        <v>149</v>
      </c>
      <c r="I430" s="15">
        <f>ROW(I430)</f>
        <v>430</v>
      </c>
      <c r="J430" s="138">
        <f>I430</f>
        <v>430</v>
      </c>
      <c r="K430" s="126"/>
      <c r="L430" s="403">
        <f t="shared" si="48"/>
        <v>44228</v>
      </c>
      <c r="M430" s="56" t="str">
        <f t="shared" si="49"/>
        <v>MON</v>
      </c>
      <c r="O430" s="378">
        <f t="shared" si="52"/>
        <v>1</v>
      </c>
      <c r="P430" s="392">
        <f t="shared" si="51"/>
        <v>1.0000019444444443</v>
      </c>
    </row>
    <row r="431" spans="1:16">
      <c r="B431" s="41"/>
      <c r="C431" s="403">
        <f t="shared" si="46"/>
        <v>44229</v>
      </c>
      <c r="D431" s="56" t="str">
        <f>VLOOKUP(MOD(C431,7),'CALENDAR INFO'!$G$5:$H$11,2)</f>
        <v>TUE</v>
      </c>
      <c r="E431" s="165">
        <v>0.08</v>
      </c>
      <c r="F431" s="336">
        <v>7.0000000000000007E-2</v>
      </c>
      <c r="G431" s="411">
        <f t="shared" si="47"/>
        <v>-9.999999999999995E-3</v>
      </c>
      <c r="H431" s="376" t="s">
        <v>210</v>
      </c>
      <c r="I431" s="15">
        <f>VLOOKUP(MONTH($C430),'CALENDAR INFO'!$J$5:$K$16,2)</f>
        <v>28</v>
      </c>
      <c r="J431" s="138">
        <f>I431</f>
        <v>28</v>
      </c>
      <c r="K431" s="126"/>
      <c r="L431" s="403">
        <f t="shared" si="48"/>
        <v>44229</v>
      </c>
      <c r="M431" s="56" t="str">
        <f t="shared" si="49"/>
        <v>TUE</v>
      </c>
      <c r="O431" s="378">
        <f t="shared" si="52"/>
        <v>1</v>
      </c>
      <c r="P431" s="392">
        <f t="shared" si="51"/>
        <v>1.0000019444444443</v>
      </c>
    </row>
    <row r="432" spans="1:16">
      <c r="B432" s="41"/>
      <c r="C432" s="403">
        <f t="shared" si="46"/>
        <v>44230</v>
      </c>
      <c r="D432" s="56" t="str">
        <f>VLOOKUP(MOD(C432,7),'CALENDAR INFO'!$G$5:$H$11,2)</f>
        <v>WED</v>
      </c>
      <c r="E432" s="165">
        <v>0.08</v>
      </c>
      <c r="F432" s="336">
        <v>7.0000000000000007E-2</v>
      </c>
      <c r="G432" s="411">
        <f t="shared" si="47"/>
        <v>-9.999999999999995E-3</v>
      </c>
      <c r="H432" s="376" t="s">
        <v>211</v>
      </c>
      <c r="I432" s="15">
        <f>I431+I430-1</f>
        <v>457</v>
      </c>
      <c r="J432" s="138">
        <f>I432</f>
        <v>457</v>
      </c>
      <c r="K432" s="126"/>
      <c r="L432" s="403">
        <f t="shared" si="48"/>
        <v>44230</v>
      </c>
      <c r="M432" s="56" t="str">
        <f t="shared" si="49"/>
        <v>WED</v>
      </c>
      <c r="O432" s="378">
        <f t="shared" si="52"/>
        <v>1</v>
      </c>
      <c r="P432" s="392">
        <f t="shared" si="51"/>
        <v>1.0000019444444443</v>
      </c>
    </row>
    <row r="433" spans="2:24">
      <c r="B433" s="41"/>
      <c r="C433" s="403">
        <f t="shared" si="46"/>
        <v>44231</v>
      </c>
      <c r="D433" s="56" t="str">
        <f>VLOOKUP(MOD(C433,7),'CALENDAR INFO'!$G$5:$H$11,2)</f>
        <v>THU</v>
      </c>
      <c r="E433" s="165">
        <v>0.08</v>
      </c>
      <c r="F433" s="336">
        <v>0.05</v>
      </c>
      <c r="G433" s="411">
        <f t="shared" si="47"/>
        <v>-0.03</v>
      </c>
      <c r="K433" s="126"/>
      <c r="L433" s="403">
        <f t="shared" si="48"/>
        <v>44231</v>
      </c>
      <c r="M433" s="56" t="str">
        <f t="shared" si="49"/>
        <v>THU</v>
      </c>
      <c r="O433" s="378">
        <f t="shared" si="52"/>
        <v>1</v>
      </c>
      <c r="P433" s="392">
        <f t="shared" si="51"/>
        <v>1.0000013888888888</v>
      </c>
    </row>
    <row r="434" spans="2:24">
      <c r="B434" s="41"/>
      <c r="C434" s="403">
        <f t="shared" si="46"/>
        <v>44232</v>
      </c>
      <c r="D434" s="56" t="str">
        <f>VLOOKUP(MOD(C434,7),'CALENDAR INFO'!$G$5:$H$11,2)</f>
        <v>FRI</v>
      </c>
      <c r="E434" s="165">
        <v>0.08</v>
      </c>
      <c r="F434" s="336">
        <v>0.02</v>
      </c>
      <c r="G434" s="411">
        <f t="shared" si="47"/>
        <v>-0.06</v>
      </c>
      <c r="H434" s="15" t="s">
        <v>150</v>
      </c>
      <c r="I434" s="137" t="str">
        <f>_xlfn.CONCAT(ADDRESS(I430,5),":",ADDRESS(I432,5))</f>
        <v>$E$430:$E$457</v>
      </c>
      <c r="J434" s="150" t="str">
        <f>_xlfn.CONCAT(ADDRESS(J430,6),":",ADDRESS(J432,6))</f>
        <v>$F$430:$F$457</v>
      </c>
      <c r="K434" s="126"/>
      <c r="L434" s="403">
        <f t="shared" si="48"/>
        <v>44232</v>
      </c>
      <c r="M434" s="56" t="str">
        <f t="shared" si="49"/>
        <v>FRI</v>
      </c>
      <c r="O434" s="378">
        <f t="shared" si="52"/>
        <v>3</v>
      </c>
      <c r="P434" s="392">
        <f t="shared" si="51"/>
        <v>1.0000016666666667</v>
      </c>
    </row>
    <row r="435" spans="2:24">
      <c r="B435" s="41"/>
      <c r="C435" s="403">
        <f t="shared" si="46"/>
        <v>44233</v>
      </c>
      <c r="D435" s="56" t="str">
        <f>VLOOKUP(MOD(C435,7),'CALENDAR INFO'!$G$5:$H$11,2)</f>
        <v>SAT</v>
      </c>
      <c r="E435" s="165">
        <v>0.08</v>
      </c>
      <c r="F435" s="336">
        <v>0.02</v>
      </c>
      <c r="G435" s="411">
        <f t="shared" si="47"/>
        <v>-0.06</v>
      </c>
      <c r="K435" s="126"/>
      <c r="L435" s="403">
        <f t="shared" si="48"/>
        <v>44233</v>
      </c>
      <c r="M435" s="56" t="str">
        <f t="shared" si="49"/>
        <v>SAT</v>
      </c>
      <c r="O435" s="378">
        <f t="shared" si="52"/>
        <v>0</v>
      </c>
      <c r="P435" s="392">
        <f t="shared" si="51"/>
        <v>1</v>
      </c>
    </row>
    <row r="436" spans="2:24">
      <c r="B436" s="41"/>
      <c r="C436" s="403">
        <f t="shared" si="46"/>
        <v>44234</v>
      </c>
      <c r="D436" s="56" t="str">
        <f>VLOOKUP(MOD(C436,7),'CALENDAR INFO'!$G$5:$H$11,2)</f>
        <v>SUN</v>
      </c>
      <c r="E436" s="165">
        <v>0.08</v>
      </c>
      <c r="F436" s="336">
        <v>0.02</v>
      </c>
      <c r="G436" s="411">
        <f t="shared" si="47"/>
        <v>-0.06</v>
      </c>
      <c r="H436" s="376" t="s">
        <v>221</v>
      </c>
      <c r="I436" s="147">
        <f ca="1">AVERAGE(INDIRECT(I434))</f>
        <v>7.5714285714285734E-2</v>
      </c>
      <c r="J436" s="326">
        <f ca="1">AVERAGE(INDIRECT(J434))</f>
        <v>3.7142857142857158E-2</v>
      </c>
      <c r="K436" s="126"/>
      <c r="L436" s="403">
        <f t="shared" si="48"/>
        <v>44234</v>
      </c>
      <c r="M436" s="56" t="str">
        <f t="shared" si="49"/>
        <v>SUN</v>
      </c>
      <c r="O436" s="378">
        <f t="shared" si="52"/>
        <v>0</v>
      </c>
      <c r="P436" s="392">
        <f t="shared" si="51"/>
        <v>1</v>
      </c>
    </row>
    <row r="437" spans="2:24">
      <c r="B437" s="41"/>
      <c r="C437" s="403">
        <f t="shared" ref="C437:C500" si="53">C436+1</f>
        <v>44235</v>
      </c>
      <c r="D437" s="56" t="str">
        <f>VLOOKUP(MOD(C437,7),'CALENDAR INFO'!$G$5:$H$11,2)</f>
        <v>MON</v>
      </c>
      <c r="E437" s="165">
        <v>7.0000000000000007E-2</v>
      </c>
      <c r="F437" s="336">
        <v>0.02</v>
      </c>
      <c r="G437" s="411">
        <f t="shared" si="47"/>
        <v>-0.05</v>
      </c>
      <c r="I437" s="240"/>
      <c r="J437" s="157"/>
      <c r="K437" s="126"/>
      <c r="L437" s="403">
        <f t="shared" si="48"/>
        <v>44235</v>
      </c>
      <c r="M437" s="56" t="str">
        <f t="shared" si="49"/>
        <v>MON</v>
      </c>
      <c r="O437" s="378">
        <f t="shared" si="52"/>
        <v>1</v>
      </c>
      <c r="P437" s="392">
        <f t="shared" si="51"/>
        <v>1.0000005555555556</v>
      </c>
    </row>
    <row r="438" spans="2:24">
      <c r="B438" s="41"/>
      <c r="C438" s="403">
        <f t="shared" si="53"/>
        <v>44236</v>
      </c>
      <c r="D438" s="56" t="str">
        <f>VLOOKUP(MOD(C438,7),'CALENDAR INFO'!$G$5:$H$11,2)</f>
        <v>TUE</v>
      </c>
      <c r="E438" s="165">
        <v>0.08</v>
      </c>
      <c r="F438" s="336">
        <v>0.05</v>
      </c>
      <c r="G438" s="411">
        <f t="shared" si="47"/>
        <v>-0.03</v>
      </c>
      <c r="H438" s="15" t="s">
        <v>222</v>
      </c>
      <c r="I438" s="147">
        <f ca="1">100-I436</f>
        <v>99.924285714285716</v>
      </c>
      <c r="J438" s="326">
        <f ca="1">100-J436</f>
        <v>99.962857142857146</v>
      </c>
      <c r="K438" s="126"/>
      <c r="L438" s="403">
        <f t="shared" si="48"/>
        <v>44236</v>
      </c>
      <c r="M438" s="56" t="str">
        <f t="shared" si="49"/>
        <v>TUE</v>
      </c>
      <c r="O438" s="378">
        <f t="shared" si="52"/>
        <v>1</v>
      </c>
      <c r="P438" s="392">
        <f t="shared" si="51"/>
        <v>1.0000013888888888</v>
      </c>
    </row>
    <row r="439" spans="2:24">
      <c r="B439" s="41"/>
      <c r="C439" s="403">
        <f t="shared" si="53"/>
        <v>44237</v>
      </c>
      <c r="D439" s="56" t="str">
        <f>VLOOKUP(MOD(C439,7),'CALENDAR INFO'!$G$5:$H$11,2)</f>
        <v>WED</v>
      </c>
      <c r="E439" s="165">
        <v>0.08</v>
      </c>
      <c r="F439" s="336">
        <v>0.06</v>
      </c>
      <c r="G439" s="411">
        <f t="shared" si="47"/>
        <v>-2.0000000000000004E-2</v>
      </c>
      <c r="I439" s="137"/>
      <c r="J439" s="150"/>
      <c r="K439" s="126" t="s">
        <v>19</v>
      </c>
      <c r="L439" s="403">
        <f t="shared" si="48"/>
        <v>44237</v>
      </c>
      <c r="M439" s="56" t="str">
        <f t="shared" si="49"/>
        <v>WED</v>
      </c>
      <c r="O439" s="378">
        <f t="shared" si="52"/>
        <v>1</v>
      </c>
      <c r="P439" s="392">
        <f t="shared" si="51"/>
        <v>1.0000016666666667</v>
      </c>
    </row>
    <row r="440" spans="2:24">
      <c r="B440" s="41"/>
      <c r="C440" s="403">
        <f t="shared" si="53"/>
        <v>44238</v>
      </c>
      <c r="D440" s="56" t="str">
        <f>VLOOKUP(MOD(C440,7),'CALENDAR INFO'!$G$5:$H$11,2)</f>
        <v>THU</v>
      </c>
      <c r="E440" s="165">
        <v>0.08</v>
      </c>
      <c r="F440" s="336">
        <v>0.06</v>
      </c>
      <c r="G440" s="411">
        <f t="shared" si="47"/>
        <v>-2.0000000000000004E-2</v>
      </c>
      <c r="H440" s="425" t="s">
        <v>97</v>
      </c>
      <c r="I440" s="419">
        <v>99.924000000000007</v>
      </c>
      <c r="J440" s="426">
        <v>99.962999999999994</v>
      </c>
      <c r="K440" s="129" t="s">
        <v>18</v>
      </c>
      <c r="L440" s="403">
        <f t="shared" si="48"/>
        <v>44238</v>
      </c>
      <c r="M440" s="56" t="str">
        <f t="shared" si="49"/>
        <v>THU</v>
      </c>
      <c r="O440" s="378">
        <f t="shared" si="52"/>
        <v>1</v>
      </c>
      <c r="P440" s="392">
        <f t="shared" si="51"/>
        <v>1.0000016666666667</v>
      </c>
    </row>
    <row r="441" spans="2:24">
      <c r="B441" s="41"/>
      <c r="C441" s="403">
        <f t="shared" si="53"/>
        <v>44239</v>
      </c>
      <c r="D441" s="56" t="str">
        <f>VLOOKUP(MOD(C441,7),'CALENDAR INFO'!$G$5:$H$11,2)</f>
        <v>FRI</v>
      </c>
      <c r="E441" s="165">
        <v>0.08</v>
      </c>
      <c r="F441" s="336">
        <v>0.05</v>
      </c>
      <c r="G441" s="411">
        <f t="shared" si="47"/>
        <v>-0.03</v>
      </c>
      <c r="I441" s="137"/>
      <c r="J441" s="150"/>
      <c r="K441" s="129"/>
      <c r="L441" s="403">
        <f t="shared" si="48"/>
        <v>44239</v>
      </c>
      <c r="M441" s="56" t="str">
        <f t="shared" si="49"/>
        <v>FRI</v>
      </c>
      <c r="O441" s="380">
        <v>4</v>
      </c>
      <c r="P441" s="392">
        <f t="shared" si="51"/>
        <v>1.0000055555555556</v>
      </c>
    </row>
    <row r="442" spans="2:24">
      <c r="B442" s="41"/>
      <c r="C442" s="403">
        <f t="shared" si="53"/>
        <v>44240</v>
      </c>
      <c r="D442" s="56" t="str">
        <f>VLOOKUP(MOD(C442,7),'CALENDAR INFO'!$G$5:$H$11,2)</f>
        <v>SAT</v>
      </c>
      <c r="E442" s="165">
        <v>0.08</v>
      </c>
      <c r="F442" s="336">
        <v>0.05</v>
      </c>
      <c r="G442" s="411">
        <f t="shared" si="47"/>
        <v>-0.03</v>
      </c>
      <c r="H442" s="136"/>
      <c r="I442" s="139"/>
      <c r="J442" s="151"/>
      <c r="K442" s="129"/>
      <c r="L442" s="403">
        <f t="shared" si="48"/>
        <v>44240</v>
      </c>
      <c r="M442" s="56" t="str">
        <f t="shared" si="49"/>
        <v>SAT</v>
      </c>
      <c r="O442" s="378">
        <f>IF(MOD(C442,7)&lt;2,0,IF(MOD(C442,7)=6,3,1))</f>
        <v>0</v>
      </c>
      <c r="P442" s="392">
        <f t="shared" si="51"/>
        <v>1</v>
      </c>
    </row>
    <row r="443" spans="2:24">
      <c r="B443" s="41"/>
      <c r="C443" s="403">
        <f t="shared" si="53"/>
        <v>44241</v>
      </c>
      <c r="D443" s="56" t="str">
        <f>VLOOKUP(MOD(C443,7),'CALENDAR INFO'!$G$5:$H$11,2)</f>
        <v>SUN</v>
      </c>
      <c r="E443" s="165">
        <v>0.08</v>
      </c>
      <c r="F443" s="336">
        <v>0.05</v>
      </c>
      <c r="G443" s="411">
        <f t="shared" si="47"/>
        <v>-0.03</v>
      </c>
      <c r="K443" s="129"/>
      <c r="L443" s="403">
        <f t="shared" si="48"/>
        <v>44241</v>
      </c>
      <c r="M443" s="56" t="str">
        <f t="shared" si="49"/>
        <v>SUN</v>
      </c>
      <c r="O443" s="378">
        <f>IF(MOD(C443,7)&lt;2,0,IF(MOD(C443,7)=6,3,1))</f>
        <v>0</v>
      </c>
      <c r="P443" s="392">
        <f t="shared" si="51"/>
        <v>1</v>
      </c>
      <c r="X443" s="101"/>
    </row>
    <row r="444" spans="2:24">
      <c r="B444" s="41"/>
      <c r="C444" s="403">
        <f t="shared" si="53"/>
        <v>44242</v>
      </c>
      <c r="D444" s="56" t="str">
        <f>VLOOKUP(MOD(C444,7),'CALENDAR INFO'!$G$5:$H$11,2)</f>
        <v>MON</v>
      </c>
      <c r="E444" s="165">
        <v>0.08</v>
      </c>
      <c r="F444" s="336">
        <v>0.05</v>
      </c>
      <c r="G444" s="411">
        <f t="shared" si="47"/>
        <v>-0.03</v>
      </c>
      <c r="H444" s="135"/>
      <c r="I444" s="144"/>
      <c r="J444" s="152"/>
      <c r="K444" s="129"/>
      <c r="L444" s="403">
        <f t="shared" si="48"/>
        <v>44242</v>
      </c>
      <c r="M444" s="56" t="str">
        <f t="shared" si="49"/>
        <v>MON</v>
      </c>
      <c r="N444" s="132" t="s">
        <v>113</v>
      </c>
      <c r="O444" s="380">
        <v>0</v>
      </c>
      <c r="P444" s="392">
        <f t="shared" si="51"/>
        <v>1</v>
      </c>
      <c r="X444" s="101"/>
    </row>
    <row r="445" spans="2:24">
      <c r="B445" s="41"/>
      <c r="C445" s="403">
        <f t="shared" si="53"/>
        <v>44243</v>
      </c>
      <c r="D445" s="56" t="str">
        <f>VLOOKUP(MOD(C445,7),'CALENDAR INFO'!$G$5:$H$11,2)</f>
        <v>TUE</v>
      </c>
      <c r="E445" s="165">
        <v>0.08</v>
      </c>
      <c r="F445" s="336">
        <v>0.06</v>
      </c>
      <c r="G445" s="411">
        <f t="shared" si="47"/>
        <v>-2.0000000000000004E-2</v>
      </c>
      <c r="K445" s="129"/>
      <c r="L445" s="403">
        <f t="shared" si="48"/>
        <v>44243</v>
      </c>
      <c r="M445" s="56" t="str">
        <f t="shared" si="49"/>
        <v>TUE</v>
      </c>
      <c r="O445" s="378">
        <f t="shared" ref="O445:O488" si="54">IF(MOD(C445,7)&lt;2,0,IF(MOD(C445,7)=6,3,1))</f>
        <v>1</v>
      </c>
      <c r="P445" s="392">
        <f t="shared" si="51"/>
        <v>1.0000016666666667</v>
      </c>
      <c r="X445" s="101"/>
    </row>
    <row r="446" spans="2:24">
      <c r="B446" s="41"/>
      <c r="C446" s="403">
        <f t="shared" si="53"/>
        <v>44244</v>
      </c>
      <c r="D446" s="56" t="str">
        <f>VLOOKUP(MOD(C446,7),'CALENDAR INFO'!$G$5:$H$11,2)</f>
        <v>WED</v>
      </c>
      <c r="E446" s="165">
        <v>0.08</v>
      </c>
      <c r="F446" s="336">
        <v>0.06</v>
      </c>
      <c r="G446" s="411">
        <f t="shared" si="47"/>
        <v>-2.0000000000000004E-2</v>
      </c>
      <c r="K446" s="129"/>
      <c r="L446" s="403">
        <f t="shared" si="48"/>
        <v>44244</v>
      </c>
      <c r="M446" s="56" t="str">
        <f t="shared" si="49"/>
        <v>WED</v>
      </c>
      <c r="O446" s="378">
        <f t="shared" si="54"/>
        <v>1</v>
      </c>
      <c r="P446" s="392">
        <f t="shared" si="51"/>
        <v>1.0000016666666667</v>
      </c>
      <c r="X446" s="101"/>
    </row>
    <row r="447" spans="2:24">
      <c r="B447" s="41"/>
      <c r="C447" s="403">
        <f t="shared" si="53"/>
        <v>44245</v>
      </c>
      <c r="D447" s="56" t="str">
        <f>VLOOKUP(MOD(C447,7),'CALENDAR INFO'!$G$5:$H$11,2)</f>
        <v>THU</v>
      </c>
      <c r="E447" s="165">
        <v>7.0000000000000007E-2</v>
      </c>
      <c r="F447" s="336">
        <v>0.03</v>
      </c>
      <c r="G447" s="411">
        <f t="shared" si="47"/>
        <v>-4.0000000000000008E-2</v>
      </c>
      <c r="K447" s="129"/>
      <c r="L447" s="403">
        <f t="shared" si="48"/>
        <v>44245</v>
      </c>
      <c r="M447" s="56" t="str">
        <f t="shared" si="49"/>
        <v>THU</v>
      </c>
      <c r="O447" s="378">
        <f t="shared" si="54"/>
        <v>1</v>
      </c>
      <c r="P447" s="392">
        <f t="shared" si="51"/>
        <v>1.0000008333333332</v>
      </c>
      <c r="X447" s="101"/>
    </row>
    <row r="448" spans="2:24">
      <c r="B448" s="41"/>
      <c r="C448" s="403">
        <f t="shared" si="53"/>
        <v>44246</v>
      </c>
      <c r="D448" s="56" t="str">
        <f>VLOOKUP(MOD(C448,7),'CALENDAR INFO'!$G$5:$H$11,2)</f>
        <v>FRI</v>
      </c>
      <c r="E448" s="165">
        <v>7.0000000000000007E-2</v>
      </c>
      <c r="F448" s="336">
        <v>0.02</v>
      </c>
      <c r="G448" s="411">
        <f t="shared" si="47"/>
        <v>-0.05</v>
      </c>
      <c r="K448" s="129"/>
      <c r="L448" s="403">
        <f t="shared" si="48"/>
        <v>44246</v>
      </c>
      <c r="M448" s="56" t="str">
        <f t="shared" si="49"/>
        <v>FRI</v>
      </c>
      <c r="O448" s="378">
        <f t="shared" si="54"/>
        <v>3</v>
      </c>
      <c r="P448" s="392">
        <f t="shared" si="51"/>
        <v>1.0000016666666667</v>
      </c>
      <c r="X448" s="101"/>
    </row>
    <row r="449" spans="1:30">
      <c r="B449" s="41"/>
      <c r="C449" s="403">
        <f t="shared" si="53"/>
        <v>44247</v>
      </c>
      <c r="D449" s="56" t="str">
        <f>VLOOKUP(MOD(C449,7),'CALENDAR INFO'!$G$5:$H$11,2)</f>
        <v>SAT</v>
      </c>
      <c r="E449" s="165">
        <v>7.0000000000000007E-2</v>
      </c>
      <c r="F449" s="336">
        <v>0.02</v>
      </c>
      <c r="G449" s="411">
        <f t="shared" si="47"/>
        <v>-0.05</v>
      </c>
      <c r="K449" s="129"/>
      <c r="L449" s="403">
        <f t="shared" si="48"/>
        <v>44247</v>
      </c>
      <c r="M449" s="56" t="str">
        <f t="shared" si="49"/>
        <v>SAT</v>
      </c>
      <c r="O449" s="378">
        <f t="shared" si="54"/>
        <v>0</v>
      </c>
      <c r="P449" s="392">
        <f t="shared" si="51"/>
        <v>1</v>
      </c>
      <c r="X449" s="101"/>
    </row>
    <row r="450" spans="1:30">
      <c r="B450" s="41"/>
      <c r="C450" s="403">
        <f t="shared" si="53"/>
        <v>44248</v>
      </c>
      <c r="D450" s="56" t="str">
        <f>VLOOKUP(MOD(C450,7),'CALENDAR INFO'!$G$5:$H$11,2)</f>
        <v>SUN</v>
      </c>
      <c r="E450" s="165">
        <v>7.0000000000000007E-2</v>
      </c>
      <c r="F450" s="336">
        <v>0.02</v>
      </c>
      <c r="G450" s="411">
        <f t="shared" si="47"/>
        <v>-0.05</v>
      </c>
      <c r="K450" s="129"/>
      <c r="L450" s="403">
        <f t="shared" si="48"/>
        <v>44248</v>
      </c>
      <c r="M450" s="56" t="str">
        <f t="shared" si="49"/>
        <v>SUN</v>
      </c>
      <c r="O450" s="378">
        <f t="shared" si="54"/>
        <v>0</v>
      </c>
      <c r="P450" s="392">
        <f t="shared" si="51"/>
        <v>1</v>
      </c>
      <c r="X450" s="101"/>
    </row>
    <row r="451" spans="1:30">
      <c r="B451" s="41"/>
      <c r="C451" s="403">
        <f t="shared" si="53"/>
        <v>44249</v>
      </c>
      <c r="D451" s="56" t="str">
        <f>VLOOKUP(MOD(C451,7),'CALENDAR INFO'!$G$5:$H$11,2)</f>
        <v>MON</v>
      </c>
      <c r="E451" s="165">
        <v>7.0000000000000007E-2</v>
      </c>
      <c r="F451" s="336">
        <v>0.03</v>
      </c>
      <c r="G451" s="411">
        <f t="shared" ref="G451:G514" si="55">F451-E451</f>
        <v>-4.0000000000000008E-2</v>
      </c>
      <c r="K451" s="129"/>
      <c r="L451" s="403">
        <f t="shared" ref="L451:L514" si="56">C451</f>
        <v>44249</v>
      </c>
      <c r="M451" s="56" t="str">
        <f t="shared" ref="M451:M514" si="57">D451</f>
        <v>MON</v>
      </c>
      <c r="O451" s="378">
        <f t="shared" si="54"/>
        <v>1</v>
      </c>
      <c r="P451" s="392">
        <f t="shared" si="51"/>
        <v>1.0000008333333332</v>
      </c>
      <c r="X451" s="101"/>
    </row>
    <row r="452" spans="1:30">
      <c r="B452" s="41"/>
      <c r="C452" s="403">
        <f t="shared" si="53"/>
        <v>44250</v>
      </c>
      <c r="D452" s="56" t="str">
        <f>VLOOKUP(MOD(C452,7),'CALENDAR INFO'!$G$5:$H$11,2)</f>
        <v>TUE</v>
      </c>
      <c r="E452" s="165">
        <v>7.0000000000000007E-2</v>
      </c>
      <c r="F452" s="336">
        <v>0.01</v>
      </c>
      <c r="G452" s="411">
        <f t="shared" si="55"/>
        <v>-6.0000000000000005E-2</v>
      </c>
      <c r="K452" s="129"/>
      <c r="L452" s="403">
        <f t="shared" si="56"/>
        <v>44250</v>
      </c>
      <c r="M452" s="56" t="str">
        <f t="shared" si="57"/>
        <v>TUE</v>
      </c>
      <c r="O452" s="378">
        <f t="shared" si="54"/>
        <v>1</v>
      </c>
      <c r="P452" s="392">
        <f t="shared" si="51"/>
        <v>1.0000002777777777</v>
      </c>
      <c r="X452" s="101"/>
    </row>
    <row r="453" spans="1:30">
      <c r="B453" s="41"/>
      <c r="C453" s="403">
        <f t="shared" si="53"/>
        <v>44251</v>
      </c>
      <c r="D453" s="56" t="str">
        <f>VLOOKUP(MOD(C453,7),'CALENDAR INFO'!$G$5:$H$11,2)</f>
        <v>WED</v>
      </c>
      <c r="E453" s="165">
        <v>7.0000000000000007E-2</v>
      </c>
      <c r="F453" s="336">
        <v>0.02</v>
      </c>
      <c r="G453" s="411">
        <f t="shared" si="55"/>
        <v>-0.05</v>
      </c>
      <c r="K453" s="129" t="s">
        <v>19</v>
      </c>
      <c r="L453" s="403">
        <f t="shared" si="56"/>
        <v>44251</v>
      </c>
      <c r="M453" s="56" t="str">
        <f t="shared" si="57"/>
        <v>WED</v>
      </c>
      <c r="O453" s="378">
        <f t="shared" si="54"/>
        <v>1</v>
      </c>
      <c r="P453" s="392">
        <f t="shared" si="51"/>
        <v>1.0000005555555556</v>
      </c>
      <c r="X453" s="101"/>
    </row>
    <row r="454" spans="1:30">
      <c r="B454" s="41"/>
      <c r="C454" s="403">
        <f t="shared" si="53"/>
        <v>44252</v>
      </c>
      <c r="D454" s="56" t="str">
        <f>VLOOKUP(MOD(C454,7),'CALENDAR INFO'!$G$5:$H$11,2)</f>
        <v>THU</v>
      </c>
      <c r="E454" s="165">
        <v>7.0000000000000007E-2</v>
      </c>
      <c r="F454" s="336">
        <v>0.03</v>
      </c>
      <c r="G454" s="411">
        <f t="shared" si="55"/>
        <v>-4.0000000000000008E-2</v>
      </c>
      <c r="K454" s="126" t="s">
        <v>18</v>
      </c>
      <c r="L454" s="403">
        <f t="shared" si="56"/>
        <v>44252</v>
      </c>
      <c r="M454" s="56" t="str">
        <f t="shared" si="57"/>
        <v>THU</v>
      </c>
      <c r="O454" s="378">
        <f t="shared" si="54"/>
        <v>1</v>
      </c>
      <c r="P454" s="392">
        <f t="shared" si="51"/>
        <v>1.0000008333333332</v>
      </c>
      <c r="X454" s="101"/>
    </row>
    <row r="455" spans="1:30">
      <c r="B455" s="41"/>
      <c r="C455" s="403">
        <f t="shared" si="53"/>
        <v>44253</v>
      </c>
      <c r="D455" s="56" t="str">
        <f>VLOOKUP(MOD(C455,7),'CALENDAR INFO'!$G$5:$H$11,2)</f>
        <v>FRI</v>
      </c>
      <c r="E455" s="165">
        <v>7.0000000000000007E-2</v>
      </c>
      <c r="F455" s="336">
        <v>0.01</v>
      </c>
      <c r="G455" s="411">
        <f t="shared" si="55"/>
        <v>-6.0000000000000005E-2</v>
      </c>
      <c r="K455" s="126"/>
      <c r="L455" s="403">
        <f t="shared" si="56"/>
        <v>44253</v>
      </c>
      <c r="M455" s="56" t="str">
        <f t="shared" si="57"/>
        <v>FRI</v>
      </c>
      <c r="O455" s="378">
        <f t="shared" si="54"/>
        <v>3</v>
      </c>
      <c r="P455" s="392">
        <f t="shared" si="51"/>
        <v>1.0000008333333332</v>
      </c>
      <c r="X455" s="101"/>
      <c r="AD455" s="102"/>
    </row>
    <row r="456" spans="1:30">
      <c r="B456" s="41"/>
      <c r="C456" s="403">
        <f t="shared" si="53"/>
        <v>44254</v>
      </c>
      <c r="D456" s="56" t="str">
        <f>VLOOKUP(MOD(C456,7),'CALENDAR INFO'!$G$5:$H$11,2)</f>
        <v>SAT</v>
      </c>
      <c r="E456" s="165">
        <v>7.0000000000000007E-2</v>
      </c>
      <c r="F456" s="336">
        <v>0.01</v>
      </c>
      <c r="G456" s="411">
        <f t="shared" si="55"/>
        <v>-6.0000000000000005E-2</v>
      </c>
      <c r="I456" s="137"/>
      <c r="K456" s="126"/>
      <c r="L456" s="403">
        <f t="shared" si="56"/>
        <v>44254</v>
      </c>
      <c r="M456" s="56" t="str">
        <f t="shared" si="57"/>
        <v>SAT</v>
      </c>
      <c r="O456" s="378">
        <f t="shared" si="54"/>
        <v>0</v>
      </c>
      <c r="P456" s="392">
        <f t="shared" si="51"/>
        <v>1</v>
      </c>
    </row>
    <row r="457" spans="1:30" ht="15.75" thickBot="1">
      <c r="A457" s="81"/>
      <c r="B457" s="178"/>
      <c r="C457" s="404">
        <f t="shared" si="53"/>
        <v>44255</v>
      </c>
      <c r="D457" s="64" t="str">
        <f>VLOOKUP(MOD(C457,7),'CALENDAR INFO'!$G$5:$H$11,2)</f>
        <v>SUN</v>
      </c>
      <c r="E457" s="166">
        <v>7.0000000000000007E-2</v>
      </c>
      <c r="F457" s="337">
        <v>0.01</v>
      </c>
      <c r="G457" s="412">
        <f t="shared" si="55"/>
        <v>-6.0000000000000005E-2</v>
      </c>
      <c r="H457" s="345"/>
      <c r="I457" s="149"/>
      <c r="J457" s="161"/>
      <c r="K457" s="77"/>
      <c r="L457" s="404">
        <f t="shared" si="56"/>
        <v>44255</v>
      </c>
      <c r="M457" s="64" t="str">
        <f t="shared" si="57"/>
        <v>SUN</v>
      </c>
      <c r="N457" s="90"/>
      <c r="O457" s="381">
        <f t="shared" si="54"/>
        <v>0</v>
      </c>
      <c r="P457" s="388">
        <f t="shared" si="51"/>
        <v>1</v>
      </c>
    </row>
    <row r="458" spans="1:30">
      <c r="B458" s="41"/>
      <c r="C458" s="403">
        <f t="shared" si="53"/>
        <v>44256</v>
      </c>
      <c r="D458" s="56" t="str">
        <f>VLOOKUP(MOD(C458,7),'CALENDAR INFO'!$G$5:$H$11,2)</f>
        <v>MON</v>
      </c>
      <c r="E458" s="165">
        <v>7.0000000000000007E-2</v>
      </c>
      <c r="F458" s="336">
        <v>0.02</v>
      </c>
      <c r="G458" s="411">
        <f t="shared" si="55"/>
        <v>-0.05</v>
      </c>
      <c r="H458" s="15" t="s">
        <v>149</v>
      </c>
      <c r="I458" s="15">
        <f>ROW(I458)</f>
        <v>458</v>
      </c>
      <c r="J458" s="138">
        <f>I458</f>
        <v>458</v>
      </c>
      <c r="K458" s="126"/>
      <c r="L458" s="403">
        <f t="shared" si="56"/>
        <v>44256</v>
      </c>
      <c r="M458" s="56" t="str">
        <f t="shared" si="57"/>
        <v>MON</v>
      </c>
      <c r="O458" s="378">
        <f t="shared" si="54"/>
        <v>1</v>
      </c>
      <c r="P458" s="392">
        <f t="shared" si="51"/>
        <v>1.0000005555555556</v>
      </c>
    </row>
    <row r="459" spans="1:30">
      <c r="B459" s="41"/>
      <c r="C459" s="403">
        <f t="shared" si="53"/>
        <v>44257</v>
      </c>
      <c r="D459" s="56" t="str">
        <f>VLOOKUP(MOD(C459,7),'CALENDAR INFO'!$G$5:$H$11,2)</f>
        <v>TUE</v>
      </c>
      <c r="E459" s="165">
        <v>7.0000000000000007E-2</v>
      </c>
      <c r="F459" s="336">
        <v>0.04</v>
      </c>
      <c r="G459" s="411">
        <f t="shared" si="55"/>
        <v>-3.0000000000000006E-2</v>
      </c>
      <c r="H459" s="376" t="s">
        <v>210</v>
      </c>
      <c r="I459" s="15">
        <f>VLOOKUP(MONTH($C458),'CALENDAR INFO'!$J$5:$K$16,2)</f>
        <v>31</v>
      </c>
      <c r="J459" s="138">
        <f>I459</f>
        <v>31</v>
      </c>
      <c r="K459" s="126"/>
      <c r="L459" s="403">
        <f t="shared" si="56"/>
        <v>44257</v>
      </c>
      <c r="M459" s="56" t="str">
        <f t="shared" si="57"/>
        <v>TUE</v>
      </c>
      <c r="O459" s="378">
        <f t="shared" si="54"/>
        <v>1</v>
      </c>
      <c r="P459" s="392">
        <f t="shared" si="51"/>
        <v>1.0000011111111111</v>
      </c>
    </row>
    <row r="460" spans="1:30">
      <c r="B460" s="41"/>
      <c r="C460" s="403">
        <f t="shared" si="53"/>
        <v>44258</v>
      </c>
      <c r="D460" s="56" t="str">
        <f>VLOOKUP(MOD(C460,7),'CALENDAR INFO'!$G$5:$H$11,2)</f>
        <v>WED</v>
      </c>
      <c r="E460" s="165">
        <v>7.0000000000000007E-2</v>
      </c>
      <c r="F460" s="336">
        <v>0.04</v>
      </c>
      <c r="G460" s="411">
        <f t="shared" si="55"/>
        <v>-3.0000000000000006E-2</v>
      </c>
      <c r="H460" s="376" t="s">
        <v>211</v>
      </c>
      <c r="I460" s="15">
        <f>I459+I458-1</f>
        <v>488</v>
      </c>
      <c r="J460" s="138">
        <f>I460</f>
        <v>488</v>
      </c>
      <c r="K460" s="126"/>
      <c r="L460" s="403">
        <f t="shared" si="56"/>
        <v>44258</v>
      </c>
      <c r="M460" s="56" t="str">
        <f t="shared" si="57"/>
        <v>WED</v>
      </c>
      <c r="O460" s="378">
        <f t="shared" si="54"/>
        <v>1</v>
      </c>
      <c r="P460" s="392">
        <f t="shared" si="51"/>
        <v>1.0000011111111111</v>
      </c>
    </row>
    <row r="461" spans="1:30">
      <c r="B461" s="41"/>
      <c r="C461" s="403">
        <f t="shared" si="53"/>
        <v>44259</v>
      </c>
      <c r="D461" s="56" t="str">
        <f>VLOOKUP(MOD(C461,7),'CALENDAR INFO'!$G$5:$H$11,2)</f>
        <v>THU</v>
      </c>
      <c r="E461" s="165">
        <v>7.0000000000000007E-2</v>
      </c>
      <c r="F461" s="336">
        <v>0.02</v>
      </c>
      <c r="G461" s="411">
        <f t="shared" si="55"/>
        <v>-0.05</v>
      </c>
      <c r="K461" s="126"/>
      <c r="L461" s="403">
        <f t="shared" si="56"/>
        <v>44259</v>
      </c>
      <c r="M461" s="56" t="str">
        <f t="shared" si="57"/>
        <v>THU</v>
      </c>
      <c r="O461" s="378">
        <f t="shared" si="54"/>
        <v>1</v>
      </c>
      <c r="P461" s="392">
        <f t="shared" si="51"/>
        <v>1.0000005555555556</v>
      </c>
    </row>
    <row r="462" spans="1:30">
      <c r="B462" s="41"/>
      <c r="C462" s="403">
        <f t="shared" si="53"/>
        <v>44260</v>
      </c>
      <c r="D462" s="56" t="str">
        <f>VLOOKUP(MOD(C462,7),'CALENDAR INFO'!$G$5:$H$11,2)</f>
        <v>FRI</v>
      </c>
      <c r="E462" s="165">
        <v>7.0000000000000007E-2</v>
      </c>
      <c r="F462" s="336">
        <v>0.02</v>
      </c>
      <c r="G462" s="411">
        <f t="shared" si="55"/>
        <v>-0.05</v>
      </c>
      <c r="H462" s="15" t="s">
        <v>150</v>
      </c>
      <c r="I462" s="137" t="str">
        <f>_xlfn.CONCAT(ADDRESS(I458,5),":",ADDRESS(I460,5))</f>
        <v>$E$458:$E$488</v>
      </c>
      <c r="J462" s="150" t="str">
        <f>_xlfn.CONCAT(ADDRESS(J458,6),":",ADDRESS(J460,6))</f>
        <v>$F$458:$F$488</v>
      </c>
      <c r="K462" s="126"/>
      <c r="L462" s="403">
        <f t="shared" si="56"/>
        <v>44260</v>
      </c>
      <c r="M462" s="56" t="str">
        <f t="shared" si="57"/>
        <v>FRI</v>
      </c>
      <c r="O462" s="378">
        <f t="shared" si="54"/>
        <v>3</v>
      </c>
      <c r="P462" s="392">
        <f t="shared" si="51"/>
        <v>1.0000016666666667</v>
      </c>
    </row>
    <row r="463" spans="1:30">
      <c r="B463" s="41"/>
      <c r="C463" s="403">
        <f t="shared" si="53"/>
        <v>44261</v>
      </c>
      <c r="D463" s="56" t="str">
        <f>VLOOKUP(MOD(C463,7),'CALENDAR INFO'!$G$5:$H$11,2)</f>
        <v>SAT</v>
      </c>
      <c r="E463" s="165">
        <v>7.0000000000000007E-2</v>
      </c>
      <c r="F463" s="336">
        <v>0.02</v>
      </c>
      <c r="G463" s="411">
        <f t="shared" si="55"/>
        <v>-0.05</v>
      </c>
      <c r="K463" s="126"/>
      <c r="L463" s="403">
        <f t="shared" si="56"/>
        <v>44261</v>
      </c>
      <c r="M463" s="56" t="str">
        <f t="shared" si="57"/>
        <v>SAT</v>
      </c>
      <c r="O463" s="378">
        <f t="shared" si="54"/>
        <v>0</v>
      </c>
      <c r="P463" s="392">
        <f t="shared" si="51"/>
        <v>1</v>
      </c>
    </row>
    <row r="464" spans="1:30">
      <c r="B464" s="41"/>
      <c r="C464" s="403">
        <f t="shared" si="53"/>
        <v>44262</v>
      </c>
      <c r="D464" s="56" t="str">
        <f>VLOOKUP(MOD(C464,7),'CALENDAR INFO'!$G$5:$H$11,2)</f>
        <v>SUN</v>
      </c>
      <c r="E464" s="165">
        <v>7.0000000000000007E-2</v>
      </c>
      <c r="F464" s="336">
        <v>0.02</v>
      </c>
      <c r="G464" s="411">
        <f t="shared" si="55"/>
        <v>-0.05</v>
      </c>
      <c r="H464" s="376" t="s">
        <v>221</v>
      </c>
      <c r="I464" s="147">
        <f ca="1">AVERAGE(INDIRECT(I462))</f>
        <v>6.9677419354838746E-2</v>
      </c>
      <c r="J464" s="326">
        <f ca="1">AVERAGE(INDIRECT(J462))</f>
        <v>1.4516129032258069E-2</v>
      </c>
      <c r="K464" s="126"/>
      <c r="L464" s="403">
        <f t="shared" si="56"/>
        <v>44262</v>
      </c>
      <c r="M464" s="56" t="str">
        <f t="shared" si="57"/>
        <v>SUN</v>
      </c>
      <c r="O464" s="378">
        <f t="shared" si="54"/>
        <v>0</v>
      </c>
      <c r="P464" s="392">
        <f t="shared" si="51"/>
        <v>1</v>
      </c>
    </row>
    <row r="465" spans="2:19">
      <c r="B465" s="41"/>
      <c r="C465" s="403">
        <f t="shared" si="53"/>
        <v>44263</v>
      </c>
      <c r="D465" s="56" t="str">
        <f>VLOOKUP(MOD(C465,7),'CALENDAR INFO'!$G$5:$H$11,2)</f>
        <v>MON</v>
      </c>
      <c r="E465" s="165">
        <v>7.0000000000000007E-2</v>
      </c>
      <c r="F465" s="336">
        <v>0.02</v>
      </c>
      <c r="G465" s="411">
        <f t="shared" si="55"/>
        <v>-0.05</v>
      </c>
      <c r="I465" s="240"/>
      <c r="J465" s="157"/>
      <c r="K465" s="126"/>
      <c r="L465" s="403">
        <f t="shared" si="56"/>
        <v>44263</v>
      </c>
      <c r="M465" s="56" t="str">
        <f t="shared" si="57"/>
        <v>MON</v>
      </c>
      <c r="O465" s="378">
        <f t="shared" si="54"/>
        <v>1</v>
      </c>
      <c r="P465" s="392">
        <f t="shared" si="51"/>
        <v>1.0000005555555556</v>
      </c>
    </row>
    <row r="466" spans="2:19">
      <c r="B466" s="41"/>
      <c r="C466" s="403">
        <f t="shared" si="53"/>
        <v>44264</v>
      </c>
      <c r="D466" s="56" t="str">
        <f>VLOOKUP(MOD(C466,7),'CALENDAR INFO'!$G$5:$H$11,2)</f>
        <v>TUE</v>
      </c>
      <c r="E466" s="165">
        <v>7.0000000000000007E-2</v>
      </c>
      <c r="F466" s="336">
        <v>0.02</v>
      </c>
      <c r="G466" s="411">
        <f t="shared" si="55"/>
        <v>-0.05</v>
      </c>
      <c r="H466" s="15" t="s">
        <v>222</v>
      </c>
      <c r="I466" s="147">
        <f ca="1">100-I464</f>
        <v>99.930322580645168</v>
      </c>
      <c r="J466" s="326">
        <f ca="1">100-J464</f>
        <v>99.985483870967741</v>
      </c>
      <c r="K466" s="126"/>
      <c r="L466" s="403">
        <f t="shared" si="56"/>
        <v>44264</v>
      </c>
      <c r="M466" s="56" t="str">
        <f t="shared" si="57"/>
        <v>TUE</v>
      </c>
      <c r="O466" s="378">
        <f t="shared" si="54"/>
        <v>1</v>
      </c>
      <c r="P466" s="392">
        <f t="shared" si="51"/>
        <v>1.0000005555555556</v>
      </c>
    </row>
    <row r="467" spans="2:19">
      <c r="B467" s="41"/>
      <c r="C467" s="403">
        <f t="shared" si="53"/>
        <v>44265</v>
      </c>
      <c r="D467" s="56" t="str">
        <f>VLOOKUP(MOD(C467,7),'CALENDAR INFO'!$G$5:$H$11,2)</f>
        <v>WED</v>
      </c>
      <c r="E467" s="165">
        <v>7.0000000000000007E-2</v>
      </c>
      <c r="F467" s="336">
        <v>0.02</v>
      </c>
      <c r="G467" s="411">
        <f t="shared" si="55"/>
        <v>-0.05</v>
      </c>
      <c r="I467" s="137"/>
      <c r="J467" s="150"/>
      <c r="K467" s="126" t="s">
        <v>19</v>
      </c>
      <c r="L467" s="403">
        <f t="shared" si="56"/>
        <v>44265</v>
      </c>
      <c r="M467" s="56" t="str">
        <f t="shared" si="57"/>
        <v>WED</v>
      </c>
      <c r="O467" s="378">
        <f t="shared" si="54"/>
        <v>1</v>
      </c>
      <c r="P467" s="392">
        <f t="shared" ref="P467:P530" si="58">1+(O467/360)*(MAX(F467,B467)/100)</f>
        <v>1.0000005555555556</v>
      </c>
    </row>
    <row r="468" spans="2:19">
      <c r="B468" s="41"/>
      <c r="C468" s="403">
        <f t="shared" si="53"/>
        <v>44266</v>
      </c>
      <c r="D468" s="56" t="str">
        <f>VLOOKUP(MOD(C468,7),'CALENDAR INFO'!$G$5:$H$11,2)</f>
        <v>THU</v>
      </c>
      <c r="E468" s="165">
        <v>7.0000000000000007E-2</v>
      </c>
      <c r="F468" s="336">
        <v>0.01</v>
      </c>
      <c r="G468" s="411">
        <f t="shared" si="55"/>
        <v>-6.0000000000000005E-2</v>
      </c>
      <c r="H468" s="425" t="s">
        <v>97</v>
      </c>
      <c r="I468" s="419">
        <v>99.93</v>
      </c>
      <c r="J468" s="426">
        <v>99.984999999999999</v>
      </c>
      <c r="K468" s="129" t="s">
        <v>18</v>
      </c>
      <c r="L468" s="403">
        <f t="shared" si="56"/>
        <v>44266</v>
      </c>
      <c r="M468" s="56" t="str">
        <f t="shared" si="57"/>
        <v>THU</v>
      </c>
      <c r="O468" s="378">
        <f t="shared" si="54"/>
        <v>1</v>
      </c>
      <c r="P468" s="392">
        <f t="shared" si="58"/>
        <v>1.0000002777777777</v>
      </c>
    </row>
    <row r="469" spans="2:19">
      <c r="B469" s="41"/>
      <c r="C469" s="403">
        <f t="shared" si="53"/>
        <v>44267</v>
      </c>
      <c r="D469" s="56" t="str">
        <f>VLOOKUP(MOD(C469,7),'CALENDAR INFO'!$G$5:$H$11,2)</f>
        <v>FRI</v>
      </c>
      <c r="E469" s="165">
        <v>7.0000000000000007E-2</v>
      </c>
      <c r="F469" s="336">
        <v>0.01</v>
      </c>
      <c r="G469" s="411">
        <f t="shared" si="55"/>
        <v>-6.0000000000000005E-2</v>
      </c>
      <c r="I469" s="137"/>
      <c r="J469" s="150"/>
      <c r="K469" s="129"/>
      <c r="L469" s="403">
        <f t="shared" si="56"/>
        <v>44267</v>
      </c>
      <c r="M469" s="56" t="str">
        <f t="shared" si="57"/>
        <v>FRI</v>
      </c>
      <c r="O469" s="378">
        <f t="shared" si="54"/>
        <v>3</v>
      </c>
      <c r="P469" s="392">
        <f t="shared" si="58"/>
        <v>1.0000008333333332</v>
      </c>
    </row>
    <row r="470" spans="2:19">
      <c r="B470" s="41"/>
      <c r="C470" s="403">
        <f t="shared" si="53"/>
        <v>44268</v>
      </c>
      <c r="D470" s="56" t="str">
        <f>VLOOKUP(MOD(C470,7),'CALENDAR INFO'!$G$5:$H$11,2)</f>
        <v>SAT</v>
      </c>
      <c r="E470" s="165">
        <v>7.0000000000000007E-2</v>
      </c>
      <c r="F470" s="336">
        <v>0.01</v>
      </c>
      <c r="G470" s="411">
        <f t="shared" si="55"/>
        <v>-6.0000000000000005E-2</v>
      </c>
      <c r="H470" s="136"/>
      <c r="I470" s="139"/>
      <c r="J470" s="151"/>
      <c r="K470" s="129"/>
      <c r="L470" s="403">
        <f t="shared" si="56"/>
        <v>44268</v>
      </c>
      <c r="M470" s="56" t="str">
        <f t="shared" si="57"/>
        <v>SAT</v>
      </c>
      <c r="O470" s="378">
        <f t="shared" si="54"/>
        <v>0</v>
      </c>
      <c r="P470" s="392">
        <f t="shared" si="58"/>
        <v>1</v>
      </c>
      <c r="Q470" s="331" t="s">
        <v>92</v>
      </c>
      <c r="R470" s="75"/>
    </row>
    <row r="471" spans="2:19">
      <c r="B471" s="41"/>
      <c r="C471" s="403">
        <f t="shared" si="53"/>
        <v>44269</v>
      </c>
      <c r="D471" s="56" t="str">
        <f>VLOOKUP(MOD(C471,7),'CALENDAR INFO'!$G$5:$H$11,2)</f>
        <v>SUN</v>
      </c>
      <c r="E471" s="165">
        <v>7.0000000000000007E-2</v>
      </c>
      <c r="F471" s="336">
        <v>0.01</v>
      </c>
      <c r="G471" s="411">
        <f t="shared" si="55"/>
        <v>-6.0000000000000005E-2</v>
      </c>
      <c r="K471" s="129"/>
      <c r="L471" s="403">
        <f t="shared" si="56"/>
        <v>44269</v>
      </c>
      <c r="M471" s="56" t="str">
        <f t="shared" si="57"/>
        <v>SUN</v>
      </c>
      <c r="O471" s="378">
        <f t="shared" si="54"/>
        <v>0</v>
      </c>
      <c r="P471" s="392">
        <f t="shared" si="58"/>
        <v>1</v>
      </c>
      <c r="Q471" s="331" t="s">
        <v>76</v>
      </c>
      <c r="R471" s="98">
        <v>99.946399999999997</v>
      </c>
      <c r="S471" s="17" t="s">
        <v>106</v>
      </c>
    </row>
    <row r="472" spans="2:19">
      <c r="B472" s="41"/>
      <c r="C472" s="403">
        <f t="shared" si="53"/>
        <v>44270</v>
      </c>
      <c r="D472" s="56" t="str">
        <f>VLOOKUP(MOD(C472,7),'CALENDAR INFO'!$G$5:$H$11,2)</f>
        <v>MON</v>
      </c>
      <c r="E472" s="165">
        <v>7.0000000000000007E-2</v>
      </c>
      <c r="F472" s="336">
        <v>0.01</v>
      </c>
      <c r="G472" s="411">
        <f t="shared" si="55"/>
        <v>-6.0000000000000005E-2</v>
      </c>
      <c r="H472" s="135"/>
      <c r="I472" s="144"/>
      <c r="J472" s="152"/>
      <c r="K472" s="129"/>
      <c r="L472" s="403">
        <f t="shared" si="56"/>
        <v>44270</v>
      </c>
      <c r="M472" s="56" t="str">
        <f t="shared" si="57"/>
        <v>MON</v>
      </c>
      <c r="O472" s="378">
        <f t="shared" si="54"/>
        <v>1</v>
      </c>
      <c r="P472" s="392">
        <f t="shared" si="58"/>
        <v>1.0000002777777777</v>
      </c>
    </row>
    <row r="473" spans="2:19">
      <c r="B473" s="41"/>
      <c r="C473" s="403">
        <f t="shared" si="53"/>
        <v>44271</v>
      </c>
      <c r="D473" s="56" t="str">
        <f>VLOOKUP(MOD(C473,7),'CALENDAR INFO'!$G$5:$H$11,2)</f>
        <v>TUE</v>
      </c>
      <c r="E473" s="165">
        <v>7.0000000000000007E-2</v>
      </c>
      <c r="F473" s="336">
        <v>0.01</v>
      </c>
      <c r="G473" s="411">
        <f t="shared" si="55"/>
        <v>-6.0000000000000005E-2</v>
      </c>
      <c r="K473" s="129"/>
      <c r="L473" s="403">
        <f t="shared" si="56"/>
        <v>44271</v>
      </c>
      <c r="M473" s="56" t="str">
        <f t="shared" si="57"/>
        <v>TUE</v>
      </c>
      <c r="N473" s="116" t="s">
        <v>20</v>
      </c>
      <c r="O473" s="378">
        <f t="shared" si="54"/>
        <v>1</v>
      </c>
      <c r="P473" s="392">
        <f t="shared" si="58"/>
        <v>1.0000002777777777</v>
      </c>
    </row>
    <row r="474" spans="2:19">
      <c r="B474" s="41"/>
      <c r="C474" s="403">
        <f t="shared" si="53"/>
        <v>44272</v>
      </c>
      <c r="D474" s="56" t="str">
        <f>VLOOKUP(MOD(C474,7),'CALENDAR INFO'!$G$5:$H$11,2)</f>
        <v>WED</v>
      </c>
      <c r="E474" s="165">
        <v>7.0000000000000007E-2</v>
      </c>
      <c r="F474" s="336">
        <v>0.01</v>
      </c>
      <c r="G474" s="411">
        <f t="shared" si="55"/>
        <v>-6.0000000000000005E-2</v>
      </c>
      <c r="K474" s="129"/>
      <c r="L474" s="403">
        <f t="shared" si="56"/>
        <v>44272</v>
      </c>
      <c r="M474" s="56" t="str">
        <f t="shared" si="57"/>
        <v>WED</v>
      </c>
      <c r="N474" s="116" t="s">
        <v>20</v>
      </c>
      <c r="O474" s="378">
        <f t="shared" si="54"/>
        <v>1</v>
      </c>
      <c r="P474" s="392">
        <f t="shared" si="58"/>
        <v>1.0000002777777777</v>
      </c>
    </row>
    <row r="475" spans="2:19">
      <c r="B475" s="41"/>
      <c r="C475" s="403">
        <f t="shared" si="53"/>
        <v>44273</v>
      </c>
      <c r="D475" s="56" t="str">
        <f>VLOOKUP(MOD(C475,7),'CALENDAR INFO'!$G$5:$H$11,2)</f>
        <v>THU</v>
      </c>
      <c r="E475" s="165">
        <v>7.0000000000000007E-2</v>
      </c>
      <c r="F475" s="336">
        <v>0.01</v>
      </c>
      <c r="G475" s="411">
        <f t="shared" si="55"/>
        <v>-6.0000000000000005E-2</v>
      </c>
      <c r="K475" s="129"/>
      <c r="L475" s="403">
        <f t="shared" si="56"/>
        <v>44273</v>
      </c>
      <c r="M475" s="56" t="str">
        <f t="shared" si="57"/>
        <v>THU</v>
      </c>
      <c r="O475" s="378">
        <f t="shared" si="54"/>
        <v>1</v>
      </c>
      <c r="P475" s="392">
        <f t="shared" si="58"/>
        <v>1.0000002777777777</v>
      </c>
    </row>
    <row r="476" spans="2:19">
      <c r="B476" s="41"/>
      <c r="C476" s="403">
        <f t="shared" si="53"/>
        <v>44274</v>
      </c>
      <c r="D476" s="56" t="str">
        <f>VLOOKUP(MOD(C476,7),'CALENDAR INFO'!$G$5:$H$11,2)</f>
        <v>FRI</v>
      </c>
      <c r="E476" s="165">
        <v>7.0000000000000007E-2</v>
      </c>
      <c r="F476" s="336">
        <v>0.01</v>
      </c>
      <c r="G476" s="411">
        <f t="shared" si="55"/>
        <v>-6.0000000000000005E-2</v>
      </c>
      <c r="K476" s="129"/>
      <c r="L476" s="403">
        <f t="shared" si="56"/>
        <v>44274</v>
      </c>
      <c r="M476" s="56" t="str">
        <f t="shared" si="57"/>
        <v>FRI</v>
      </c>
      <c r="O476" s="378">
        <f t="shared" si="54"/>
        <v>3</v>
      </c>
      <c r="P476" s="392">
        <f t="shared" si="58"/>
        <v>1.0000008333333332</v>
      </c>
    </row>
    <row r="477" spans="2:19">
      <c r="B477" s="41"/>
      <c r="C477" s="403">
        <f t="shared" si="53"/>
        <v>44275</v>
      </c>
      <c r="D477" s="56" t="str">
        <f>VLOOKUP(MOD(C477,7),'CALENDAR INFO'!$G$5:$H$11,2)</f>
        <v>SAT</v>
      </c>
      <c r="E477" s="165">
        <v>7.0000000000000007E-2</v>
      </c>
      <c r="F477" s="336">
        <v>0.01</v>
      </c>
      <c r="G477" s="411">
        <f t="shared" si="55"/>
        <v>-6.0000000000000005E-2</v>
      </c>
      <c r="K477" s="129"/>
      <c r="L477" s="403">
        <f t="shared" si="56"/>
        <v>44275</v>
      </c>
      <c r="M477" s="56" t="str">
        <f t="shared" si="57"/>
        <v>SAT</v>
      </c>
      <c r="O477" s="378">
        <f t="shared" si="54"/>
        <v>0</v>
      </c>
      <c r="P477" s="392">
        <f t="shared" si="58"/>
        <v>1</v>
      </c>
    </row>
    <row r="478" spans="2:19">
      <c r="B478" s="41"/>
      <c r="C478" s="403">
        <f t="shared" si="53"/>
        <v>44276</v>
      </c>
      <c r="D478" s="56" t="str">
        <f>VLOOKUP(MOD(C478,7),'CALENDAR INFO'!$G$5:$H$11,2)</f>
        <v>SUN</v>
      </c>
      <c r="E478" s="165">
        <v>7.0000000000000007E-2</v>
      </c>
      <c r="F478" s="336">
        <v>0.01</v>
      </c>
      <c r="G478" s="411">
        <f t="shared" si="55"/>
        <v>-6.0000000000000005E-2</v>
      </c>
      <c r="K478" s="129"/>
      <c r="L478" s="403">
        <f t="shared" si="56"/>
        <v>44276</v>
      </c>
      <c r="M478" s="56" t="str">
        <f t="shared" si="57"/>
        <v>SUN</v>
      </c>
      <c r="O478" s="378">
        <f t="shared" si="54"/>
        <v>0</v>
      </c>
      <c r="P478" s="392">
        <f t="shared" si="58"/>
        <v>1</v>
      </c>
    </row>
    <row r="479" spans="2:19">
      <c r="B479" s="41"/>
      <c r="C479" s="403">
        <f t="shared" si="53"/>
        <v>44277</v>
      </c>
      <c r="D479" s="56" t="str">
        <f>VLOOKUP(MOD(C479,7),'CALENDAR INFO'!$G$5:$H$11,2)</f>
        <v>MON</v>
      </c>
      <c r="E479" s="165">
        <v>7.0000000000000007E-2</v>
      </c>
      <c r="F479" s="336">
        <v>0.01</v>
      </c>
      <c r="G479" s="411">
        <f t="shared" si="55"/>
        <v>-6.0000000000000005E-2</v>
      </c>
      <c r="K479" s="129"/>
      <c r="L479" s="403">
        <f t="shared" si="56"/>
        <v>44277</v>
      </c>
      <c r="M479" s="56" t="str">
        <f t="shared" si="57"/>
        <v>MON</v>
      </c>
      <c r="O479" s="378">
        <f t="shared" si="54"/>
        <v>1</v>
      </c>
      <c r="P479" s="392">
        <f t="shared" si="58"/>
        <v>1.0000002777777777</v>
      </c>
    </row>
    <row r="480" spans="2:19">
      <c r="B480" s="41"/>
      <c r="C480" s="403">
        <f t="shared" si="53"/>
        <v>44278</v>
      </c>
      <c r="D480" s="56" t="str">
        <f>VLOOKUP(MOD(C480,7),'CALENDAR INFO'!$G$5:$H$11,2)</f>
        <v>TUE</v>
      </c>
      <c r="E480" s="165">
        <v>7.0000000000000007E-2</v>
      </c>
      <c r="F480" s="336">
        <v>0.01</v>
      </c>
      <c r="G480" s="411">
        <f t="shared" si="55"/>
        <v>-6.0000000000000005E-2</v>
      </c>
      <c r="K480" s="129"/>
      <c r="L480" s="403">
        <f t="shared" si="56"/>
        <v>44278</v>
      </c>
      <c r="M480" s="56" t="str">
        <f t="shared" si="57"/>
        <v>TUE</v>
      </c>
      <c r="O480" s="378">
        <f t="shared" si="54"/>
        <v>1</v>
      </c>
      <c r="P480" s="392">
        <f t="shared" si="58"/>
        <v>1.0000002777777777</v>
      </c>
    </row>
    <row r="481" spans="1:16">
      <c r="B481" s="41"/>
      <c r="C481" s="403">
        <f t="shared" si="53"/>
        <v>44279</v>
      </c>
      <c r="D481" s="56" t="str">
        <f>VLOOKUP(MOD(C481,7),'CALENDAR INFO'!$G$5:$H$11,2)</f>
        <v>WED</v>
      </c>
      <c r="E481" s="165">
        <v>7.0000000000000007E-2</v>
      </c>
      <c r="F481" s="336">
        <v>0.01</v>
      </c>
      <c r="G481" s="411">
        <f t="shared" si="55"/>
        <v>-6.0000000000000005E-2</v>
      </c>
      <c r="K481" s="129" t="s">
        <v>19</v>
      </c>
      <c r="L481" s="403">
        <f t="shared" si="56"/>
        <v>44279</v>
      </c>
      <c r="M481" s="56" t="str">
        <f t="shared" si="57"/>
        <v>WED</v>
      </c>
      <c r="O481" s="378">
        <f t="shared" si="54"/>
        <v>1</v>
      </c>
      <c r="P481" s="392">
        <f t="shared" si="58"/>
        <v>1.0000002777777777</v>
      </c>
    </row>
    <row r="482" spans="1:16">
      <c r="B482" s="41"/>
      <c r="C482" s="403">
        <f t="shared" si="53"/>
        <v>44280</v>
      </c>
      <c r="D482" s="56" t="str">
        <f>VLOOKUP(MOD(C482,7),'CALENDAR INFO'!$G$5:$H$11,2)</f>
        <v>THU</v>
      </c>
      <c r="E482" s="165">
        <v>7.0000000000000007E-2</v>
      </c>
      <c r="F482" s="336">
        <v>0.01</v>
      </c>
      <c r="G482" s="411">
        <f t="shared" si="55"/>
        <v>-6.0000000000000005E-2</v>
      </c>
      <c r="K482" s="126" t="s">
        <v>18</v>
      </c>
      <c r="L482" s="403">
        <f t="shared" si="56"/>
        <v>44280</v>
      </c>
      <c r="M482" s="56" t="str">
        <f t="shared" si="57"/>
        <v>THU</v>
      </c>
      <c r="O482" s="378">
        <f t="shared" si="54"/>
        <v>1</v>
      </c>
      <c r="P482" s="392">
        <f t="shared" si="58"/>
        <v>1.0000002777777777</v>
      </c>
    </row>
    <row r="483" spans="1:16">
      <c r="B483" s="41"/>
      <c r="C483" s="403">
        <f t="shared" si="53"/>
        <v>44281</v>
      </c>
      <c r="D483" s="56" t="str">
        <f>VLOOKUP(MOD(C483,7),'CALENDAR INFO'!$G$5:$H$11,2)</f>
        <v>FRI</v>
      </c>
      <c r="E483" s="165">
        <v>7.0000000000000007E-2</v>
      </c>
      <c r="F483" s="336">
        <v>0.01</v>
      </c>
      <c r="G483" s="411">
        <f t="shared" si="55"/>
        <v>-6.0000000000000005E-2</v>
      </c>
      <c r="K483" s="126"/>
      <c r="L483" s="403">
        <f t="shared" si="56"/>
        <v>44281</v>
      </c>
      <c r="M483" s="56" t="str">
        <f t="shared" si="57"/>
        <v>FRI</v>
      </c>
      <c r="O483" s="378">
        <f t="shared" si="54"/>
        <v>3</v>
      </c>
      <c r="P483" s="392">
        <f t="shared" si="58"/>
        <v>1.0000008333333332</v>
      </c>
    </row>
    <row r="484" spans="1:16">
      <c r="B484" s="41"/>
      <c r="C484" s="403">
        <f t="shared" si="53"/>
        <v>44282</v>
      </c>
      <c r="D484" s="56" t="str">
        <f>VLOOKUP(MOD(C484,7),'CALENDAR INFO'!$G$5:$H$11,2)</f>
        <v>SAT</v>
      </c>
      <c r="E484" s="165">
        <v>7.0000000000000007E-2</v>
      </c>
      <c r="F484" s="336">
        <v>0.01</v>
      </c>
      <c r="G484" s="411">
        <f t="shared" si="55"/>
        <v>-6.0000000000000005E-2</v>
      </c>
      <c r="I484" s="137"/>
      <c r="K484" s="126"/>
      <c r="L484" s="403">
        <f t="shared" si="56"/>
        <v>44282</v>
      </c>
      <c r="M484" s="56" t="str">
        <f t="shared" si="57"/>
        <v>SAT</v>
      </c>
      <c r="O484" s="378">
        <f t="shared" si="54"/>
        <v>0</v>
      </c>
      <c r="P484" s="392">
        <f t="shared" si="58"/>
        <v>1</v>
      </c>
    </row>
    <row r="485" spans="1:16">
      <c r="B485" s="41"/>
      <c r="C485" s="403">
        <f t="shared" si="53"/>
        <v>44283</v>
      </c>
      <c r="D485" s="56" t="str">
        <f>VLOOKUP(MOD(C485,7),'CALENDAR INFO'!$G$5:$H$11,2)</f>
        <v>SUN</v>
      </c>
      <c r="E485" s="165">
        <v>7.0000000000000007E-2</v>
      </c>
      <c r="F485" s="336">
        <v>0.01</v>
      </c>
      <c r="G485" s="411">
        <f t="shared" si="55"/>
        <v>-6.0000000000000005E-2</v>
      </c>
      <c r="H485" s="115"/>
      <c r="I485" s="141"/>
      <c r="J485" s="158"/>
      <c r="K485" s="126"/>
      <c r="L485" s="403">
        <f t="shared" si="56"/>
        <v>44283</v>
      </c>
      <c r="M485" s="56" t="str">
        <f t="shared" si="57"/>
        <v>SUN</v>
      </c>
      <c r="O485" s="378">
        <f t="shared" si="54"/>
        <v>0</v>
      </c>
      <c r="P485" s="392">
        <f t="shared" si="58"/>
        <v>1</v>
      </c>
    </row>
    <row r="486" spans="1:16">
      <c r="B486" s="41"/>
      <c r="C486" s="403">
        <f t="shared" si="53"/>
        <v>44284</v>
      </c>
      <c r="D486" s="56" t="str">
        <f>VLOOKUP(MOD(C486,7),'CALENDAR INFO'!$G$5:$H$11,2)</f>
        <v>MON</v>
      </c>
      <c r="E486" s="165">
        <v>7.0000000000000007E-2</v>
      </c>
      <c r="F486" s="336">
        <v>0.01</v>
      </c>
      <c r="G486" s="411">
        <f t="shared" si="55"/>
        <v>-6.0000000000000005E-2</v>
      </c>
      <c r="H486" s="115"/>
      <c r="I486" s="148"/>
      <c r="J486" s="160"/>
      <c r="K486" s="126"/>
      <c r="L486" s="403">
        <f t="shared" si="56"/>
        <v>44284</v>
      </c>
      <c r="M486" s="56" t="str">
        <f t="shared" si="57"/>
        <v>MON</v>
      </c>
      <c r="O486" s="378">
        <f t="shared" si="54"/>
        <v>1</v>
      </c>
      <c r="P486" s="392">
        <f t="shared" si="58"/>
        <v>1.0000002777777777</v>
      </c>
    </row>
    <row r="487" spans="1:16">
      <c r="B487" s="41"/>
      <c r="C487" s="403">
        <f t="shared" si="53"/>
        <v>44285</v>
      </c>
      <c r="D487" s="56" t="str">
        <f>VLOOKUP(MOD(C487,7),'CALENDAR INFO'!$G$5:$H$11,2)</f>
        <v>TUE</v>
      </c>
      <c r="E487" s="165">
        <v>7.0000000000000007E-2</v>
      </c>
      <c r="F487" s="336">
        <v>0.01</v>
      </c>
      <c r="G487" s="411">
        <f t="shared" si="55"/>
        <v>-6.0000000000000005E-2</v>
      </c>
      <c r="H487" s="115"/>
      <c r="I487" s="141"/>
      <c r="J487" s="158"/>
      <c r="K487" s="126"/>
      <c r="L487" s="403">
        <f t="shared" si="56"/>
        <v>44285</v>
      </c>
      <c r="M487" s="56" t="str">
        <f t="shared" si="57"/>
        <v>TUE</v>
      </c>
      <c r="O487" s="378">
        <f t="shared" si="54"/>
        <v>1</v>
      </c>
      <c r="P487" s="392">
        <f t="shared" si="58"/>
        <v>1.0000002777777777</v>
      </c>
    </row>
    <row r="488" spans="1:16" ht="15.75" thickBot="1">
      <c r="A488" s="81"/>
      <c r="B488" s="178"/>
      <c r="C488" s="404">
        <f t="shared" si="53"/>
        <v>44286</v>
      </c>
      <c r="D488" s="64" t="str">
        <f>VLOOKUP(MOD(C488,7),'CALENDAR INFO'!$G$5:$H$11,2)</f>
        <v>WED</v>
      </c>
      <c r="E488" s="166">
        <v>0.06</v>
      </c>
      <c r="F488" s="337">
        <v>0.01</v>
      </c>
      <c r="G488" s="412">
        <f t="shared" si="55"/>
        <v>-4.9999999999999996E-2</v>
      </c>
      <c r="H488" s="345"/>
      <c r="I488" s="143"/>
      <c r="J488" s="162"/>
      <c r="K488" s="77"/>
      <c r="L488" s="404">
        <f t="shared" si="56"/>
        <v>44286</v>
      </c>
      <c r="M488" s="64" t="str">
        <f t="shared" si="57"/>
        <v>WED</v>
      </c>
      <c r="N488" s="90"/>
      <c r="O488" s="381">
        <f t="shared" si="54"/>
        <v>1</v>
      </c>
      <c r="P488" s="388">
        <f t="shared" si="58"/>
        <v>1.0000002777777777</v>
      </c>
    </row>
    <row r="489" spans="1:16">
      <c r="B489" s="41"/>
      <c r="C489" s="403">
        <f t="shared" si="53"/>
        <v>44287</v>
      </c>
      <c r="D489" s="56" t="str">
        <f>VLOOKUP(MOD(C489,7),'CALENDAR INFO'!$G$5:$H$11,2)</f>
        <v>THU</v>
      </c>
      <c r="E489" s="165">
        <v>7.0000000000000007E-2</v>
      </c>
      <c r="F489" s="336">
        <v>0.01</v>
      </c>
      <c r="G489" s="411">
        <f t="shared" si="55"/>
        <v>-6.0000000000000005E-2</v>
      </c>
      <c r="H489" s="15" t="s">
        <v>149</v>
      </c>
      <c r="I489" s="15">
        <f>ROW(I489)</f>
        <v>489</v>
      </c>
      <c r="J489" s="138">
        <f>I489</f>
        <v>489</v>
      </c>
      <c r="K489" s="126"/>
      <c r="L489" s="403">
        <f t="shared" si="56"/>
        <v>44287</v>
      </c>
      <c r="M489" s="56" t="str">
        <f t="shared" si="57"/>
        <v>THU</v>
      </c>
      <c r="O489" s="384">
        <v>4</v>
      </c>
      <c r="P489" s="392">
        <f t="shared" si="58"/>
        <v>1.0000011111111111</v>
      </c>
    </row>
    <row r="490" spans="1:16">
      <c r="B490" s="41"/>
      <c r="C490" s="403">
        <f t="shared" si="53"/>
        <v>44288</v>
      </c>
      <c r="D490" s="56" t="str">
        <f>VLOOKUP(MOD(C490,7),'CALENDAR INFO'!$G$5:$H$11,2)</f>
        <v>FRI</v>
      </c>
      <c r="E490" s="165">
        <v>7.0000000000000007E-2</v>
      </c>
      <c r="F490" s="336">
        <v>0.01</v>
      </c>
      <c r="G490" s="411">
        <f t="shared" si="55"/>
        <v>-6.0000000000000005E-2</v>
      </c>
      <c r="H490" s="376" t="s">
        <v>210</v>
      </c>
      <c r="I490" s="15">
        <f>VLOOKUP(MONTH($C489),'CALENDAR INFO'!$J$5:$K$16,2)</f>
        <v>30</v>
      </c>
      <c r="J490" s="138">
        <f>I490</f>
        <v>30</v>
      </c>
      <c r="K490" s="126"/>
      <c r="L490" s="403">
        <f t="shared" si="56"/>
        <v>44288</v>
      </c>
      <c r="M490" s="56" t="str">
        <f t="shared" si="57"/>
        <v>FRI</v>
      </c>
      <c r="N490" s="132" t="s">
        <v>56</v>
      </c>
      <c r="O490" s="384">
        <v>0</v>
      </c>
      <c r="P490" s="392">
        <f t="shared" si="58"/>
        <v>1</v>
      </c>
    </row>
    <row r="491" spans="1:16">
      <c r="B491" s="41"/>
      <c r="C491" s="403">
        <f t="shared" si="53"/>
        <v>44289</v>
      </c>
      <c r="D491" s="56" t="str">
        <f>VLOOKUP(MOD(C491,7),'CALENDAR INFO'!$G$5:$H$11,2)</f>
        <v>SAT</v>
      </c>
      <c r="E491" s="165">
        <v>7.0000000000000007E-2</v>
      </c>
      <c r="F491" s="336">
        <v>0.01</v>
      </c>
      <c r="G491" s="411">
        <f t="shared" si="55"/>
        <v>-6.0000000000000005E-2</v>
      </c>
      <c r="H491" s="376" t="s">
        <v>211</v>
      </c>
      <c r="I491" s="15">
        <f>I490+I489-1</f>
        <v>518</v>
      </c>
      <c r="J491" s="138">
        <f>I491</f>
        <v>518</v>
      </c>
      <c r="K491" s="126"/>
      <c r="L491" s="403">
        <f t="shared" si="56"/>
        <v>44289</v>
      </c>
      <c r="M491" s="56" t="str">
        <f t="shared" si="57"/>
        <v>SAT</v>
      </c>
      <c r="O491" s="383">
        <f t="shared" ref="O491:O522" si="59">IF(MOD(C491,7)&lt;2,0,IF(MOD(C491,7)=6,3,1))</f>
        <v>0</v>
      </c>
      <c r="P491" s="392">
        <f t="shared" si="58"/>
        <v>1</v>
      </c>
    </row>
    <row r="492" spans="1:16">
      <c r="B492" s="41"/>
      <c r="C492" s="403">
        <f t="shared" si="53"/>
        <v>44290</v>
      </c>
      <c r="D492" s="56" t="str">
        <f>VLOOKUP(MOD(C492,7),'CALENDAR INFO'!$G$5:$H$11,2)</f>
        <v>SUN</v>
      </c>
      <c r="E492" s="165">
        <v>7.0000000000000007E-2</v>
      </c>
      <c r="F492" s="336">
        <v>0.01</v>
      </c>
      <c r="G492" s="411">
        <f t="shared" si="55"/>
        <v>-6.0000000000000005E-2</v>
      </c>
      <c r="K492" s="126"/>
      <c r="L492" s="403">
        <f t="shared" si="56"/>
        <v>44290</v>
      </c>
      <c r="M492" s="56" t="str">
        <f t="shared" si="57"/>
        <v>SUN</v>
      </c>
      <c r="O492" s="383">
        <f t="shared" si="59"/>
        <v>0</v>
      </c>
      <c r="P492" s="392">
        <f t="shared" si="58"/>
        <v>1</v>
      </c>
    </row>
    <row r="493" spans="1:16">
      <c r="B493" s="41"/>
      <c r="C493" s="403">
        <f t="shared" si="53"/>
        <v>44291</v>
      </c>
      <c r="D493" s="56" t="str">
        <f>VLOOKUP(MOD(C493,7),'CALENDAR INFO'!$G$5:$H$11,2)</f>
        <v>MON</v>
      </c>
      <c r="E493" s="165">
        <v>7.0000000000000007E-2</v>
      </c>
      <c r="F493" s="336">
        <v>0.01</v>
      </c>
      <c r="G493" s="411">
        <f t="shared" si="55"/>
        <v>-6.0000000000000005E-2</v>
      </c>
      <c r="H493" s="15" t="s">
        <v>150</v>
      </c>
      <c r="I493" s="137" t="str">
        <f>_xlfn.CONCAT(ADDRESS(I489,5),":",ADDRESS(I491,5))</f>
        <v>$E$489:$E$518</v>
      </c>
      <c r="J493" s="150" t="str">
        <f>_xlfn.CONCAT(ADDRESS(J489,6),":",ADDRESS(J491,6))</f>
        <v>$F$489:$F$518</v>
      </c>
      <c r="K493" s="126"/>
      <c r="L493" s="403">
        <f t="shared" si="56"/>
        <v>44291</v>
      </c>
      <c r="M493" s="56" t="str">
        <f t="shared" si="57"/>
        <v>MON</v>
      </c>
      <c r="O493" s="383">
        <f t="shared" si="59"/>
        <v>1</v>
      </c>
      <c r="P493" s="392">
        <f t="shared" si="58"/>
        <v>1.0000002777777777</v>
      </c>
    </row>
    <row r="494" spans="1:16">
      <c r="B494" s="41"/>
      <c r="C494" s="403">
        <f t="shared" si="53"/>
        <v>44292</v>
      </c>
      <c r="D494" s="56" t="str">
        <f>VLOOKUP(MOD(C494,7),'CALENDAR INFO'!$G$5:$H$11,2)</f>
        <v>TUE</v>
      </c>
      <c r="E494" s="165">
        <v>7.0000000000000007E-2</v>
      </c>
      <c r="F494" s="336">
        <v>0.01</v>
      </c>
      <c r="G494" s="411">
        <f t="shared" si="55"/>
        <v>-6.0000000000000005E-2</v>
      </c>
      <c r="K494" s="126"/>
      <c r="L494" s="403">
        <f t="shared" si="56"/>
        <v>44292</v>
      </c>
      <c r="M494" s="56" t="str">
        <f t="shared" si="57"/>
        <v>TUE</v>
      </c>
      <c r="O494" s="383">
        <f t="shared" si="59"/>
        <v>1</v>
      </c>
      <c r="P494" s="392">
        <f t="shared" si="58"/>
        <v>1.0000002777777777</v>
      </c>
    </row>
    <row r="495" spans="1:16">
      <c r="B495" s="41"/>
      <c r="C495" s="403">
        <f t="shared" si="53"/>
        <v>44293</v>
      </c>
      <c r="D495" s="56" t="str">
        <f>VLOOKUP(MOD(C495,7),'CALENDAR INFO'!$G$5:$H$11,2)</f>
        <v>WED</v>
      </c>
      <c r="E495" s="165">
        <v>7.0000000000000007E-2</v>
      </c>
      <c r="F495" s="336">
        <v>0.01</v>
      </c>
      <c r="G495" s="411">
        <f t="shared" si="55"/>
        <v>-6.0000000000000005E-2</v>
      </c>
      <c r="H495" s="376" t="s">
        <v>221</v>
      </c>
      <c r="I495" s="147">
        <f ca="1">AVERAGE(INDIRECT(I493))</f>
        <v>6.9000000000000034E-2</v>
      </c>
      <c r="J495" s="326">
        <f ca="1">AVERAGE(INDIRECT(J493))</f>
        <v>1.0000000000000004E-2</v>
      </c>
      <c r="K495" s="126" t="s">
        <v>19</v>
      </c>
      <c r="L495" s="403">
        <f t="shared" si="56"/>
        <v>44293</v>
      </c>
      <c r="M495" s="56" t="str">
        <f t="shared" si="57"/>
        <v>WED</v>
      </c>
      <c r="O495" s="383">
        <f t="shared" si="59"/>
        <v>1</v>
      </c>
      <c r="P495" s="392">
        <f t="shared" si="58"/>
        <v>1.0000002777777777</v>
      </c>
    </row>
    <row r="496" spans="1:16">
      <c r="B496" s="41"/>
      <c r="C496" s="403">
        <f t="shared" si="53"/>
        <v>44294</v>
      </c>
      <c r="D496" s="56" t="str">
        <f>VLOOKUP(MOD(C496,7),'CALENDAR INFO'!$G$5:$H$11,2)</f>
        <v>THU</v>
      </c>
      <c r="E496" s="165">
        <v>7.0000000000000007E-2</v>
      </c>
      <c r="F496" s="336">
        <v>0.01</v>
      </c>
      <c r="G496" s="411">
        <f t="shared" si="55"/>
        <v>-6.0000000000000005E-2</v>
      </c>
      <c r="I496" s="240"/>
      <c r="J496" s="157"/>
      <c r="K496" s="129" t="s">
        <v>18</v>
      </c>
      <c r="L496" s="403">
        <f t="shared" si="56"/>
        <v>44294</v>
      </c>
      <c r="M496" s="56" t="str">
        <f t="shared" si="57"/>
        <v>THU</v>
      </c>
      <c r="O496" s="383">
        <f t="shared" si="59"/>
        <v>1</v>
      </c>
      <c r="P496" s="392">
        <f t="shared" si="58"/>
        <v>1.0000002777777777</v>
      </c>
    </row>
    <row r="497" spans="2:16">
      <c r="B497" s="41"/>
      <c r="C497" s="403">
        <f t="shared" si="53"/>
        <v>44295</v>
      </c>
      <c r="D497" s="56" t="str">
        <f>VLOOKUP(MOD(C497,7),'CALENDAR INFO'!$G$5:$H$11,2)</f>
        <v>FRI</v>
      </c>
      <c r="E497" s="165">
        <v>7.0000000000000007E-2</v>
      </c>
      <c r="F497" s="336">
        <v>0.01</v>
      </c>
      <c r="G497" s="411">
        <f t="shared" si="55"/>
        <v>-6.0000000000000005E-2</v>
      </c>
      <c r="H497" s="15" t="s">
        <v>222</v>
      </c>
      <c r="I497" s="147">
        <f ca="1">100-I495</f>
        <v>99.930999999999997</v>
      </c>
      <c r="J497" s="326">
        <f ca="1">100-J495</f>
        <v>99.99</v>
      </c>
      <c r="K497" s="129"/>
      <c r="L497" s="403">
        <f t="shared" si="56"/>
        <v>44295</v>
      </c>
      <c r="M497" s="56" t="str">
        <f t="shared" si="57"/>
        <v>FRI</v>
      </c>
      <c r="O497" s="383">
        <f t="shared" si="59"/>
        <v>3</v>
      </c>
      <c r="P497" s="392">
        <f t="shared" si="58"/>
        <v>1.0000008333333332</v>
      </c>
    </row>
    <row r="498" spans="2:16">
      <c r="B498" s="41"/>
      <c r="C498" s="403">
        <f t="shared" si="53"/>
        <v>44296</v>
      </c>
      <c r="D498" s="56" t="str">
        <f>VLOOKUP(MOD(C498,7),'CALENDAR INFO'!$G$5:$H$11,2)</f>
        <v>SAT</v>
      </c>
      <c r="E498" s="165">
        <v>7.0000000000000007E-2</v>
      </c>
      <c r="F498" s="336">
        <v>0.01</v>
      </c>
      <c r="G498" s="411">
        <f t="shared" si="55"/>
        <v>-6.0000000000000005E-2</v>
      </c>
      <c r="I498" s="137"/>
      <c r="J498" s="150"/>
      <c r="K498" s="129"/>
      <c r="L498" s="403">
        <f t="shared" si="56"/>
        <v>44296</v>
      </c>
      <c r="M498" s="56" t="str">
        <f t="shared" si="57"/>
        <v>SAT</v>
      </c>
      <c r="O498" s="383">
        <f t="shared" si="59"/>
        <v>0</v>
      </c>
      <c r="P498" s="392">
        <f t="shared" si="58"/>
        <v>1</v>
      </c>
    </row>
    <row r="499" spans="2:16">
      <c r="B499" s="41"/>
      <c r="C499" s="403">
        <f t="shared" si="53"/>
        <v>44297</v>
      </c>
      <c r="D499" s="56" t="str">
        <f>VLOOKUP(MOD(C499,7),'CALENDAR INFO'!$G$5:$H$11,2)</f>
        <v>SUN</v>
      </c>
      <c r="E499" s="165">
        <v>7.0000000000000007E-2</v>
      </c>
      <c r="F499" s="336">
        <v>0.01</v>
      </c>
      <c r="G499" s="411">
        <f t="shared" si="55"/>
        <v>-6.0000000000000005E-2</v>
      </c>
      <c r="H499" s="425" t="s">
        <v>97</v>
      </c>
      <c r="I499" s="419">
        <v>99.930999999999997</v>
      </c>
      <c r="J499" s="426">
        <v>99.99</v>
      </c>
      <c r="K499" s="129"/>
      <c r="L499" s="403">
        <f t="shared" si="56"/>
        <v>44297</v>
      </c>
      <c r="M499" s="56" t="str">
        <f t="shared" si="57"/>
        <v>SUN</v>
      </c>
      <c r="O499" s="383">
        <f t="shared" si="59"/>
        <v>0</v>
      </c>
      <c r="P499" s="392">
        <f t="shared" si="58"/>
        <v>1</v>
      </c>
    </row>
    <row r="500" spans="2:16">
      <c r="B500" s="41"/>
      <c r="C500" s="403">
        <f t="shared" si="53"/>
        <v>44298</v>
      </c>
      <c r="D500" s="56" t="str">
        <f>VLOOKUP(MOD(C500,7),'CALENDAR INFO'!$G$5:$H$11,2)</f>
        <v>MON</v>
      </c>
      <c r="E500" s="165">
        <v>7.0000000000000007E-2</v>
      </c>
      <c r="F500" s="336">
        <v>0.01</v>
      </c>
      <c r="G500" s="411">
        <f t="shared" si="55"/>
        <v>-6.0000000000000005E-2</v>
      </c>
      <c r="I500" s="137"/>
      <c r="J500" s="150"/>
      <c r="K500" s="129"/>
      <c r="L500" s="403">
        <f t="shared" si="56"/>
        <v>44298</v>
      </c>
      <c r="M500" s="56" t="str">
        <f t="shared" si="57"/>
        <v>MON</v>
      </c>
      <c r="O500" s="383">
        <f t="shared" si="59"/>
        <v>1</v>
      </c>
      <c r="P500" s="392">
        <f t="shared" si="58"/>
        <v>1.0000002777777777</v>
      </c>
    </row>
    <row r="501" spans="2:16">
      <c r="B501" s="41"/>
      <c r="C501" s="403">
        <f t="shared" ref="C501:C564" si="60">C500+1</f>
        <v>44299</v>
      </c>
      <c r="D501" s="56" t="str">
        <f>VLOOKUP(MOD(C501,7),'CALENDAR INFO'!$G$5:$H$11,2)</f>
        <v>TUE</v>
      </c>
      <c r="E501" s="165">
        <v>7.0000000000000007E-2</v>
      </c>
      <c r="F501" s="336">
        <v>0.01</v>
      </c>
      <c r="G501" s="411">
        <f t="shared" si="55"/>
        <v>-6.0000000000000005E-2</v>
      </c>
      <c r="H501" s="136"/>
      <c r="I501" s="139"/>
      <c r="J501" s="151"/>
      <c r="K501" s="129"/>
      <c r="L501" s="403">
        <f t="shared" si="56"/>
        <v>44299</v>
      </c>
      <c r="M501" s="56" t="str">
        <f t="shared" si="57"/>
        <v>TUE</v>
      </c>
      <c r="O501" s="383">
        <f t="shared" si="59"/>
        <v>1</v>
      </c>
      <c r="P501" s="392">
        <f t="shared" si="58"/>
        <v>1.0000002777777777</v>
      </c>
    </row>
    <row r="502" spans="2:16">
      <c r="B502" s="41"/>
      <c r="C502" s="403">
        <f t="shared" si="60"/>
        <v>44300</v>
      </c>
      <c r="D502" s="56" t="str">
        <f>VLOOKUP(MOD(C502,7),'CALENDAR INFO'!$G$5:$H$11,2)</f>
        <v>WED</v>
      </c>
      <c r="E502" s="165">
        <v>7.0000000000000007E-2</v>
      </c>
      <c r="F502" s="336">
        <v>0.01</v>
      </c>
      <c r="G502" s="411">
        <f t="shared" si="55"/>
        <v>-6.0000000000000005E-2</v>
      </c>
      <c r="K502" s="129"/>
      <c r="L502" s="403">
        <f t="shared" si="56"/>
        <v>44300</v>
      </c>
      <c r="M502" s="56" t="str">
        <f t="shared" si="57"/>
        <v>WED</v>
      </c>
      <c r="O502" s="383">
        <f t="shared" si="59"/>
        <v>1</v>
      </c>
      <c r="P502" s="392">
        <f t="shared" si="58"/>
        <v>1.0000002777777777</v>
      </c>
    </row>
    <row r="503" spans="2:16">
      <c r="B503" s="41"/>
      <c r="C503" s="403">
        <f t="shared" si="60"/>
        <v>44301</v>
      </c>
      <c r="D503" s="56" t="str">
        <f>VLOOKUP(MOD(C503,7),'CALENDAR INFO'!$G$5:$H$11,2)</f>
        <v>THU</v>
      </c>
      <c r="E503" s="165">
        <v>7.0000000000000007E-2</v>
      </c>
      <c r="F503" s="336">
        <v>0.01</v>
      </c>
      <c r="G503" s="411">
        <f t="shared" si="55"/>
        <v>-6.0000000000000005E-2</v>
      </c>
      <c r="H503" s="135"/>
      <c r="I503" s="144"/>
      <c r="J503" s="152"/>
      <c r="K503" s="129"/>
      <c r="L503" s="403">
        <f t="shared" si="56"/>
        <v>44301</v>
      </c>
      <c r="M503" s="56" t="str">
        <f t="shared" si="57"/>
        <v>THU</v>
      </c>
      <c r="O503" s="383">
        <f t="shared" si="59"/>
        <v>1</v>
      </c>
      <c r="P503" s="392">
        <f t="shared" si="58"/>
        <v>1.0000002777777777</v>
      </c>
    </row>
    <row r="504" spans="2:16">
      <c r="B504" s="41"/>
      <c r="C504" s="403">
        <f t="shared" si="60"/>
        <v>44302</v>
      </c>
      <c r="D504" s="56" t="str">
        <f>VLOOKUP(MOD(C504,7),'CALENDAR INFO'!$G$5:$H$11,2)</f>
        <v>FRI</v>
      </c>
      <c r="E504" s="165">
        <v>7.0000000000000007E-2</v>
      </c>
      <c r="F504" s="336">
        <v>0.01</v>
      </c>
      <c r="G504" s="411">
        <f t="shared" si="55"/>
        <v>-6.0000000000000005E-2</v>
      </c>
      <c r="K504" s="129"/>
      <c r="L504" s="403">
        <f t="shared" si="56"/>
        <v>44302</v>
      </c>
      <c r="M504" s="56" t="str">
        <f t="shared" si="57"/>
        <v>FRI</v>
      </c>
      <c r="O504" s="383">
        <f t="shared" si="59"/>
        <v>3</v>
      </c>
      <c r="P504" s="392">
        <f t="shared" si="58"/>
        <v>1.0000008333333332</v>
      </c>
    </row>
    <row r="505" spans="2:16">
      <c r="B505" s="41"/>
      <c r="C505" s="403">
        <f t="shared" si="60"/>
        <v>44303</v>
      </c>
      <c r="D505" s="56" t="str">
        <f>VLOOKUP(MOD(C505,7),'CALENDAR INFO'!$G$5:$H$11,2)</f>
        <v>SAT</v>
      </c>
      <c r="E505" s="165">
        <v>7.0000000000000007E-2</v>
      </c>
      <c r="F505" s="336">
        <v>0.01</v>
      </c>
      <c r="G505" s="411">
        <f t="shared" si="55"/>
        <v>-6.0000000000000005E-2</v>
      </c>
      <c r="K505" s="129"/>
      <c r="L505" s="403">
        <f t="shared" si="56"/>
        <v>44303</v>
      </c>
      <c r="M505" s="56" t="str">
        <f t="shared" si="57"/>
        <v>SAT</v>
      </c>
      <c r="O505" s="383">
        <f t="shared" si="59"/>
        <v>0</v>
      </c>
      <c r="P505" s="392">
        <f t="shared" si="58"/>
        <v>1</v>
      </c>
    </row>
    <row r="506" spans="2:16">
      <c r="B506" s="41"/>
      <c r="C506" s="403">
        <f t="shared" si="60"/>
        <v>44304</v>
      </c>
      <c r="D506" s="56" t="str">
        <f>VLOOKUP(MOD(C506,7),'CALENDAR INFO'!$G$5:$H$11,2)</f>
        <v>SUN</v>
      </c>
      <c r="E506" s="165">
        <v>7.0000000000000007E-2</v>
      </c>
      <c r="F506" s="336">
        <v>0.01</v>
      </c>
      <c r="G506" s="411">
        <f t="shared" si="55"/>
        <v>-6.0000000000000005E-2</v>
      </c>
      <c r="K506" s="129"/>
      <c r="L506" s="403">
        <f t="shared" si="56"/>
        <v>44304</v>
      </c>
      <c r="M506" s="56" t="str">
        <f t="shared" si="57"/>
        <v>SUN</v>
      </c>
      <c r="O506" s="383">
        <f t="shared" si="59"/>
        <v>0</v>
      </c>
      <c r="P506" s="392">
        <f t="shared" si="58"/>
        <v>1</v>
      </c>
    </row>
    <row r="507" spans="2:16">
      <c r="B507" s="41"/>
      <c r="C507" s="403">
        <f t="shared" si="60"/>
        <v>44305</v>
      </c>
      <c r="D507" s="56" t="str">
        <f>VLOOKUP(MOD(C507,7),'CALENDAR INFO'!$G$5:$H$11,2)</f>
        <v>MON</v>
      </c>
      <c r="E507" s="165">
        <v>7.0000000000000007E-2</v>
      </c>
      <c r="F507" s="336">
        <v>0.01</v>
      </c>
      <c r="G507" s="411">
        <f t="shared" si="55"/>
        <v>-6.0000000000000005E-2</v>
      </c>
      <c r="K507" s="129"/>
      <c r="L507" s="403">
        <f t="shared" si="56"/>
        <v>44305</v>
      </c>
      <c r="M507" s="56" t="str">
        <f t="shared" si="57"/>
        <v>MON</v>
      </c>
      <c r="O507" s="383">
        <f t="shared" si="59"/>
        <v>1</v>
      </c>
      <c r="P507" s="392">
        <f t="shared" si="58"/>
        <v>1.0000002777777777</v>
      </c>
    </row>
    <row r="508" spans="2:16">
      <c r="B508" s="41"/>
      <c r="C508" s="403">
        <f t="shared" si="60"/>
        <v>44306</v>
      </c>
      <c r="D508" s="56" t="str">
        <f>VLOOKUP(MOD(C508,7),'CALENDAR INFO'!$G$5:$H$11,2)</f>
        <v>TUE</v>
      </c>
      <c r="E508" s="165">
        <v>7.0000000000000007E-2</v>
      </c>
      <c r="F508" s="336">
        <v>0.01</v>
      </c>
      <c r="G508" s="411">
        <f t="shared" si="55"/>
        <v>-6.0000000000000005E-2</v>
      </c>
      <c r="K508" s="129"/>
      <c r="L508" s="403">
        <f t="shared" si="56"/>
        <v>44306</v>
      </c>
      <c r="M508" s="56" t="str">
        <f t="shared" si="57"/>
        <v>TUE</v>
      </c>
      <c r="O508" s="383">
        <f t="shared" si="59"/>
        <v>1</v>
      </c>
      <c r="P508" s="392">
        <f t="shared" si="58"/>
        <v>1.0000002777777777</v>
      </c>
    </row>
    <row r="509" spans="2:16">
      <c r="B509" s="41"/>
      <c r="C509" s="403">
        <f t="shared" si="60"/>
        <v>44307</v>
      </c>
      <c r="D509" s="56" t="str">
        <f>VLOOKUP(MOD(C509,7),'CALENDAR INFO'!$G$5:$H$11,2)</f>
        <v>WED</v>
      </c>
      <c r="E509" s="165">
        <v>7.0000000000000007E-2</v>
      </c>
      <c r="F509" s="336">
        <v>0.01</v>
      </c>
      <c r="G509" s="411">
        <f t="shared" si="55"/>
        <v>-6.0000000000000005E-2</v>
      </c>
      <c r="K509" s="129" t="s">
        <v>19</v>
      </c>
      <c r="L509" s="403">
        <f t="shared" si="56"/>
        <v>44307</v>
      </c>
      <c r="M509" s="56" t="str">
        <f t="shared" si="57"/>
        <v>WED</v>
      </c>
      <c r="O509" s="383">
        <f t="shared" si="59"/>
        <v>1</v>
      </c>
      <c r="P509" s="392">
        <f t="shared" si="58"/>
        <v>1.0000002777777777</v>
      </c>
    </row>
    <row r="510" spans="2:16">
      <c r="B510" s="41"/>
      <c r="C510" s="403">
        <f t="shared" si="60"/>
        <v>44308</v>
      </c>
      <c r="D510" s="56" t="str">
        <f>VLOOKUP(MOD(C510,7),'CALENDAR INFO'!$G$5:$H$11,2)</f>
        <v>THU</v>
      </c>
      <c r="E510" s="165">
        <v>7.0000000000000007E-2</v>
      </c>
      <c r="F510" s="336">
        <v>0.01</v>
      </c>
      <c r="G510" s="411">
        <f t="shared" si="55"/>
        <v>-6.0000000000000005E-2</v>
      </c>
      <c r="K510" s="126" t="s">
        <v>18</v>
      </c>
      <c r="L510" s="403">
        <f t="shared" si="56"/>
        <v>44308</v>
      </c>
      <c r="M510" s="56" t="str">
        <f t="shared" si="57"/>
        <v>THU</v>
      </c>
      <c r="O510" s="383">
        <f t="shared" si="59"/>
        <v>1</v>
      </c>
      <c r="P510" s="392">
        <f t="shared" si="58"/>
        <v>1.0000002777777777</v>
      </c>
    </row>
    <row r="511" spans="2:16">
      <c r="B511" s="41"/>
      <c r="C511" s="403">
        <f t="shared" si="60"/>
        <v>44309</v>
      </c>
      <c r="D511" s="56" t="str">
        <f>VLOOKUP(MOD(C511,7),'CALENDAR INFO'!$G$5:$H$11,2)</f>
        <v>FRI</v>
      </c>
      <c r="E511" s="165">
        <v>7.0000000000000007E-2</v>
      </c>
      <c r="F511" s="336">
        <v>0.01</v>
      </c>
      <c r="G511" s="411">
        <f t="shared" si="55"/>
        <v>-6.0000000000000005E-2</v>
      </c>
      <c r="K511" s="126"/>
      <c r="L511" s="403">
        <f t="shared" si="56"/>
        <v>44309</v>
      </c>
      <c r="M511" s="56" t="str">
        <f t="shared" si="57"/>
        <v>FRI</v>
      </c>
      <c r="O511" s="383">
        <f t="shared" si="59"/>
        <v>3</v>
      </c>
      <c r="P511" s="392">
        <f t="shared" si="58"/>
        <v>1.0000008333333332</v>
      </c>
    </row>
    <row r="512" spans="2:16">
      <c r="B512" s="41"/>
      <c r="C512" s="403">
        <f t="shared" si="60"/>
        <v>44310</v>
      </c>
      <c r="D512" s="56" t="str">
        <f>VLOOKUP(MOD(C512,7),'CALENDAR INFO'!$G$5:$H$11,2)</f>
        <v>SAT</v>
      </c>
      <c r="E512" s="165">
        <v>7.0000000000000007E-2</v>
      </c>
      <c r="F512" s="336">
        <v>0.01</v>
      </c>
      <c r="G512" s="411">
        <f t="shared" si="55"/>
        <v>-6.0000000000000005E-2</v>
      </c>
      <c r="K512" s="126"/>
      <c r="L512" s="403">
        <f t="shared" si="56"/>
        <v>44310</v>
      </c>
      <c r="M512" s="56" t="str">
        <f t="shared" si="57"/>
        <v>SAT</v>
      </c>
      <c r="O512" s="383">
        <f t="shared" si="59"/>
        <v>0</v>
      </c>
      <c r="P512" s="392">
        <f t="shared" si="58"/>
        <v>1</v>
      </c>
    </row>
    <row r="513" spans="1:16">
      <c r="B513" s="41"/>
      <c r="C513" s="403">
        <f t="shared" si="60"/>
        <v>44311</v>
      </c>
      <c r="D513" s="56" t="str">
        <f>VLOOKUP(MOD(C513,7),'CALENDAR INFO'!$G$5:$H$11,2)</f>
        <v>SUN</v>
      </c>
      <c r="E513" s="165">
        <v>7.0000000000000007E-2</v>
      </c>
      <c r="F513" s="336">
        <v>0.01</v>
      </c>
      <c r="G513" s="411">
        <f t="shared" si="55"/>
        <v>-6.0000000000000005E-2</v>
      </c>
      <c r="K513" s="126"/>
      <c r="L513" s="403">
        <f t="shared" si="56"/>
        <v>44311</v>
      </c>
      <c r="M513" s="56" t="str">
        <f t="shared" si="57"/>
        <v>SUN</v>
      </c>
      <c r="O513" s="383">
        <f t="shared" si="59"/>
        <v>0</v>
      </c>
      <c r="P513" s="392">
        <f t="shared" si="58"/>
        <v>1</v>
      </c>
    </row>
    <row r="514" spans="1:16">
      <c r="B514" s="41"/>
      <c r="C514" s="403">
        <f t="shared" si="60"/>
        <v>44312</v>
      </c>
      <c r="D514" s="56" t="str">
        <f>VLOOKUP(MOD(C514,7),'CALENDAR INFO'!$G$5:$H$11,2)</f>
        <v>MON</v>
      </c>
      <c r="E514" s="165">
        <v>7.0000000000000007E-2</v>
      </c>
      <c r="F514" s="336">
        <v>0.01</v>
      </c>
      <c r="G514" s="411">
        <f t="shared" si="55"/>
        <v>-6.0000000000000005E-2</v>
      </c>
      <c r="K514" s="126"/>
      <c r="L514" s="403">
        <f t="shared" si="56"/>
        <v>44312</v>
      </c>
      <c r="M514" s="56" t="str">
        <f t="shared" si="57"/>
        <v>MON</v>
      </c>
      <c r="O514" s="383">
        <f t="shared" si="59"/>
        <v>1</v>
      </c>
      <c r="P514" s="392">
        <f t="shared" si="58"/>
        <v>1.0000002777777777</v>
      </c>
    </row>
    <row r="515" spans="1:16">
      <c r="B515" s="41"/>
      <c r="C515" s="403">
        <f t="shared" si="60"/>
        <v>44313</v>
      </c>
      <c r="D515" s="56" t="str">
        <f>VLOOKUP(MOD(C515,7),'CALENDAR INFO'!$G$5:$H$11,2)</f>
        <v>TUE</v>
      </c>
      <c r="E515" s="165">
        <v>7.0000000000000007E-2</v>
      </c>
      <c r="F515" s="336">
        <v>0.01</v>
      </c>
      <c r="G515" s="411">
        <f t="shared" ref="G515:G578" si="61">F515-E515</f>
        <v>-6.0000000000000005E-2</v>
      </c>
      <c r="I515" s="137"/>
      <c r="K515" s="126"/>
      <c r="L515" s="403">
        <f t="shared" ref="L515:L578" si="62">C515</f>
        <v>44313</v>
      </c>
      <c r="M515" s="56" t="str">
        <f t="shared" ref="M515:M578" si="63">D515</f>
        <v>TUE</v>
      </c>
      <c r="N515" s="116" t="s">
        <v>20</v>
      </c>
      <c r="O515" s="383">
        <f t="shared" si="59"/>
        <v>1</v>
      </c>
      <c r="P515" s="392">
        <f t="shared" si="58"/>
        <v>1.0000002777777777</v>
      </c>
    </row>
    <row r="516" spans="1:16">
      <c r="B516" s="41"/>
      <c r="C516" s="403">
        <f t="shared" si="60"/>
        <v>44314</v>
      </c>
      <c r="D516" s="56" t="str">
        <f>VLOOKUP(MOD(C516,7),'CALENDAR INFO'!$G$5:$H$11,2)</f>
        <v>WED</v>
      </c>
      <c r="E516" s="165">
        <v>7.0000000000000007E-2</v>
      </c>
      <c r="F516" s="336">
        <v>0.01</v>
      </c>
      <c r="G516" s="411">
        <f t="shared" si="61"/>
        <v>-6.0000000000000005E-2</v>
      </c>
      <c r="H516" s="115"/>
      <c r="I516" s="148"/>
      <c r="J516" s="160"/>
      <c r="K516" s="126"/>
      <c r="L516" s="403">
        <f t="shared" si="62"/>
        <v>44314</v>
      </c>
      <c r="M516" s="56" t="str">
        <f t="shared" si="63"/>
        <v>WED</v>
      </c>
      <c r="N516" s="116" t="s">
        <v>20</v>
      </c>
      <c r="O516" s="383">
        <f t="shared" si="59"/>
        <v>1</v>
      </c>
      <c r="P516" s="392">
        <f t="shared" si="58"/>
        <v>1.0000002777777777</v>
      </c>
    </row>
    <row r="517" spans="1:16">
      <c r="B517" s="41"/>
      <c r="C517" s="403">
        <f t="shared" si="60"/>
        <v>44315</v>
      </c>
      <c r="D517" s="56" t="str">
        <f>VLOOKUP(MOD(C517,7),'CALENDAR INFO'!$G$5:$H$11,2)</f>
        <v>THU</v>
      </c>
      <c r="E517" s="165">
        <v>0.06</v>
      </c>
      <c r="F517" s="336">
        <v>0.01</v>
      </c>
      <c r="G517" s="411">
        <f t="shared" si="61"/>
        <v>-4.9999999999999996E-2</v>
      </c>
      <c r="H517" s="115"/>
      <c r="I517" s="141"/>
      <c r="J517" s="158"/>
      <c r="K517" s="126"/>
      <c r="L517" s="403">
        <f t="shared" si="62"/>
        <v>44315</v>
      </c>
      <c r="M517" s="56" t="str">
        <f t="shared" si="63"/>
        <v>THU</v>
      </c>
      <c r="O517" s="383">
        <f t="shared" si="59"/>
        <v>1</v>
      </c>
      <c r="P517" s="392">
        <f t="shared" si="58"/>
        <v>1.0000002777777777</v>
      </c>
    </row>
    <row r="518" spans="1:16" ht="15.75" thickBot="1">
      <c r="A518" s="81"/>
      <c r="B518" s="178"/>
      <c r="C518" s="404">
        <f t="shared" si="60"/>
        <v>44316</v>
      </c>
      <c r="D518" s="64" t="str">
        <f>VLOOKUP(MOD(C518,7),'CALENDAR INFO'!$G$5:$H$11,2)</f>
        <v>FRI</v>
      </c>
      <c r="E518" s="166">
        <v>0.05</v>
      </c>
      <c r="F518" s="337">
        <v>0.01</v>
      </c>
      <c r="G518" s="412">
        <f t="shared" si="61"/>
        <v>-0.04</v>
      </c>
      <c r="H518" s="345"/>
      <c r="I518" s="143"/>
      <c r="J518" s="162"/>
      <c r="K518" s="77"/>
      <c r="L518" s="404">
        <f t="shared" si="62"/>
        <v>44316</v>
      </c>
      <c r="M518" s="64" t="str">
        <f t="shared" si="63"/>
        <v>FRI</v>
      </c>
      <c r="N518" s="90"/>
      <c r="O518" s="382">
        <f t="shared" si="59"/>
        <v>3</v>
      </c>
      <c r="P518" s="388">
        <f t="shared" si="58"/>
        <v>1.0000008333333332</v>
      </c>
    </row>
    <row r="519" spans="1:16">
      <c r="A519" s="83"/>
      <c r="B519" s="179"/>
      <c r="C519" s="406">
        <f t="shared" si="60"/>
        <v>44317</v>
      </c>
      <c r="D519" s="86" t="str">
        <f>VLOOKUP(MOD(C519,7),'CALENDAR INFO'!$G$5:$H$11,2)</f>
        <v>SAT</v>
      </c>
      <c r="E519" s="168">
        <v>0.05</v>
      </c>
      <c r="F519" s="340">
        <v>0.01</v>
      </c>
      <c r="G519" s="414">
        <f t="shared" si="61"/>
        <v>-0.04</v>
      </c>
      <c r="H519" s="15" t="s">
        <v>149</v>
      </c>
      <c r="I519" s="15">
        <f>ROW(I519)</f>
        <v>519</v>
      </c>
      <c r="J519" s="138">
        <f>I519</f>
        <v>519</v>
      </c>
      <c r="K519" s="88"/>
      <c r="L519" s="406">
        <f t="shared" si="62"/>
        <v>44317</v>
      </c>
      <c r="M519" s="86" t="str">
        <f t="shared" si="63"/>
        <v>SAT</v>
      </c>
      <c r="N519" s="89"/>
      <c r="O519" s="386">
        <f t="shared" si="59"/>
        <v>0</v>
      </c>
      <c r="P519" s="390">
        <f t="shared" si="58"/>
        <v>1</v>
      </c>
    </row>
    <row r="520" spans="1:16">
      <c r="B520" s="41"/>
      <c r="C520" s="403">
        <f t="shared" si="60"/>
        <v>44318</v>
      </c>
      <c r="D520" s="56" t="str">
        <f>VLOOKUP(MOD(C520,7),'CALENDAR INFO'!$G$5:$H$11,2)</f>
        <v>SUN</v>
      </c>
      <c r="E520" s="165">
        <v>0.05</v>
      </c>
      <c r="F520" s="336">
        <v>0.01</v>
      </c>
      <c r="G520" s="411">
        <f t="shared" si="61"/>
        <v>-0.04</v>
      </c>
      <c r="H520" s="376" t="s">
        <v>210</v>
      </c>
      <c r="I520" s="15">
        <f>VLOOKUP(MONTH($C519),'CALENDAR INFO'!$J$5:$K$16,2)</f>
        <v>31</v>
      </c>
      <c r="J520" s="138">
        <f>I520</f>
        <v>31</v>
      </c>
      <c r="K520" s="126"/>
      <c r="L520" s="403">
        <f t="shared" si="62"/>
        <v>44318</v>
      </c>
      <c r="M520" s="56" t="str">
        <f t="shared" si="63"/>
        <v>SUN</v>
      </c>
      <c r="O520" s="383">
        <f t="shared" si="59"/>
        <v>0</v>
      </c>
      <c r="P520" s="392">
        <f t="shared" si="58"/>
        <v>1</v>
      </c>
    </row>
    <row r="521" spans="1:16">
      <c r="B521" s="41"/>
      <c r="C521" s="403">
        <f t="shared" si="60"/>
        <v>44319</v>
      </c>
      <c r="D521" s="56" t="str">
        <f>VLOOKUP(MOD(C521,7),'CALENDAR INFO'!$G$5:$H$11,2)</f>
        <v>MON</v>
      </c>
      <c r="E521" s="165">
        <v>0.06</v>
      </c>
      <c r="F521" s="336">
        <v>0.01</v>
      </c>
      <c r="G521" s="411">
        <f t="shared" si="61"/>
        <v>-4.9999999999999996E-2</v>
      </c>
      <c r="H521" s="376" t="s">
        <v>211</v>
      </c>
      <c r="I521" s="15">
        <f>I520+I519-1</f>
        <v>549</v>
      </c>
      <c r="J521" s="138">
        <f>I521</f>
        <v>549</v>
      </c>
      <c r="K521" s="126"/>
      <c r="L521" s="403">
        <f t="shared" si="62"/>
        <v>44319</v>
      </c>
      <c r="M521" s="56" t="str">
        <f t="shared" si="63"/>
        <v>MON</v>
      </c>
      <c r="O521" s="383">
        <f t="shared" si="59"/>
        <v>1</v>
      </c>
      <c r="P521" s="392">
        <f t="shared" si="58"/>
        <v>1.0000002777777777</v>
      </c>
    </row>
    <row r="522" spans="1:16">
      <c r="B522" s="41"/>
      <c r="C522" s="403">
        <f t="shared" si="60"/>
        <v>44320</v>
      </c>
      <c r="D522" s="56" t="str">
        <f>VLOOKUP(MOD(C522,7),'CALENDAR INFO'!$G$5:$H$11,2)</f>
        <v>TUE</v>
      </c>
      <c r="E522" s="165">
        <v>0.06</v>
      </c>
      <c r="F522" s="336">
        <v>0.01</v>
      </c>
      <c r="G522" s="411">
        <f t="shared" si="61"/>
        <v>-4.9999999999999996E-2</v>
      </c>
      <c r="K522" s="126"/>
      <c r="L522" s="403">
        <f t="shared" si="62"/>
        <v>44320</v>
      </c>
      <c r="M522" s="56" t="str">
        <f t="shared" si="63"/>
        <v>TUE</v>
      </c>
      <c r="O522" s="383">
        <f t="shared" si="59"/>
        <v>1</v>
      </c>
      <c r="P522" s="392">
        <f t="shared" si="58"/>
        <v>1.0000002777777777</v>
      </c>
    </row>
    <row r="523" spans="1:16">
      <c r="B523" s="41"/>
      <c r="C523" s="403">
        <f t="shared" si="60"/>
        <v>44321</v>
      </c>
      <c r="D523" s="56" t="str">
        <f>VLOOKUP(MOD(C523,7),'CALENDAR INFO'!$G$5:$H$11,2)</f>
        <v>WED</v>
      </c>
      <c r="E523" s="165">
        <v>0.06</v>
      </c>
      <c r="F523" s="336">
        <v>0.01</v>
      </c>
      <c r="G523" s="411">
        <f t="shared" si="61"/>
        <v>-4.9999999999999996E-2</v>
      </c>
      <c r="H523" s="15" t="s">
        <v>150</v>
      </c>
      <c r="I523" s="137" t="str">
        <f>_xlfn.CONCAT(ADDRESS(I519,5),":",ADDRESS(I521,5))</f>
        <v>$E$519:$E$549</v>
      </c>
      <c r="J523" s="150" t="str">
        <f>_xlfn.CONCAT(ADDRESS(J519,6),":",ADDRESS(J521,6))</f>
        <v>$F$519:$F$549</v>
      </c>
      <c r="K523" s="126" t="s">
        <v>19</v>
      </c>
      <c r="L523" s="403">
        <f t="shared" si="62"/>
        <v>44321</v>
      </c>
      <c r="M523" s="56" t="str">
        <f t="shared" si="63"/>
        <v>WED</v>
      </c>
      <c r="O523" s="383">
        <f t="shared" ref="O523:O545" si="64">IF(MOD(C523,7)&lt;2,0,IF(MOD(C523,7)=6,3,1))</f>
        <v>1</v>
      </c>
      <c r="P523" s="392">
        <f t="shared" si="58"/>
        <v>1.0000002777777777</v>
      </c>
    </row>
    <row r="524" spans="1:16">
      <c r="B524" s="41"/>
      <c r="C524" s="403">
        <f t="shared" si="60"/>
        <v>44322</v>
      </c>
      <c r="D524" s="56" t="str">
        <f>VLOOKUP(MOD(C524,7),'CALENDAR INFO'!$G$5:$H$11,2)</f>
        <v>THU</v>
      </c>
      <c r="E524" s="165">
        <v>0.06</v>
      </c>
      <c r="F524" s="336">
        <v>0.01</v>
      </c>
      <c r="G524" s="411">
        <f t="shared" si="61"/>
        <v>-4.9999999999999996E-2</v>
      </c>
      <c r="K524" s="129" t="s">
        <v>18</v>
      </c>
      <c r="L524" s="403">
        <f t="shared" si="62"/>
        <v>44322</v>
      </c>
      <c r="M524" s="56" t="str">
        <f t="shared" si="63"/>
        <v>THU</v>
      </c>
      <c r="O524" s="383">
        <f t="shared" si="64"/>
        <v>1</v>
      </c>
      <c r="P524" s="392">
        <f t="shared" si="58"/>
        <v>1.0000002777777777</v>
      </c>
    </row>
    <row r="525" spans="1:16">
      <c r="B525" s="41"/>
      <c r="C525" s="403">
        <f t="shared" si="60"/>
        <v>44323</v>
      </c>
      <c r="D525" s="56" t="str">
        <f>VLOOKUP(MOD(C525,7),'CALENDAR INFO'!$G$5:$H$11,2)</f>
        <v>FRI</v>
      </c>
      <c r="E525" s="165">
        <v>0.06</v>
      </c>
      <c r="F525" s="336">
        <v>0.01</v>
      </c>
      <c r="G525" s="411">
        <f t="shared" si="61"/>
        <v>-4.9999999999999996E-2</v>
      </c>
      <c r="H525" s="376" t="s">
        <v>221</v>
      </c>
      <c r="I525" s="147">
        <f ca="1">AVERAGE(INDIRECT(I523))</f>
        <v>5.8064516129032295E-2</v>
      </c>
      <c r="J525" s="326">
        <f ca="1">AVERAGE(INDIRECT(J523))</f>
        <v>1.0000000000000004E-2</v>
      </c>
      <c r="K525" s="129"/>
      <c r="L525" s="403">
        <f t="shared" si="62"/>
        <v>44323</v>
      </c>
      <c r="M525" s="56" t="str">
        <f t="shared" si="63"/>
        <v>FRI</v>
      </c>
      <c r="O525" s="383">
        <f t="shared" si="64"/>
        <v>3</v>
      </c>
      <c r="P525" s="392">
        <f t="shared" si="58"/>
        <v>1.0000008333333332</v>
      </c>
    </row>
    <row r="526" spans="1:16">
      <c r="B526" s="41"/>
      <c r="C526" s="403">
        <f t="shared" si="60"/>
        <v>44324</v>
      </c>
      <c r="D526" s="56" t="str">
        <f>VLOOKUP(MOD(C526,7),'CALENDAR INFO'!$G$5:$H$11,2)</f>
        <v>SAT</v>
      </c>
      <c r="E526" s="165">
        <v>0.06</v>
      </c>
      <c r="F526" s="336">
        <v>0.01</v>
      </c>
      <c r="G526" s="411">
        <f t="shared" si="61"/>
        <v>-4.9999999999999996E-2</v>
      </c>
      <c r="I526" s="240"/>
      <c r="J526" s="157"/>
      <c r="K526" s="129"/>
      <c r="L526" s="403">
        <f t="shared" si="62"/>
        <v>44324</v>
      </c>
      <c r="M526" s="56" t="str">
        <f t="shared" si="63"/>
        <v>SAT</v>
      </c>
      <c r="O526" s="383">
        <f t="shared" si="64"/>
        <v>0</v>
      </c>
      <c r="P526" s="392">
        <f t="shared" si="58"/>
        <v>1</v>
      </c>
    </row>
    <row r="527" spans="1:16">
      <c r="B527" s="41"/>
      <c r="C527" s="403">
        <f t="shared" si="60"/>
        <v>44325</v>
      </c>
      <c r="D527" s="56" t="str">
        <f>VLOOKUP(MOD(C527,7),'CALENDAR INFO'!$G$5:$H$11,2)</f>
        <v>SUN</v>
      </c>
      <c r="E527" s="165">
        <v>0.06</v>
      </c>
      <c r="F527" s="336">
        <v>0.01</v>
      </c>
      <c r="G527" s="411">
        <f t="shared" si="61"/>
        <v>-4.9999999999999996E-2</v>
      </c>
      <c r="H527" s="15" t="s">
        <v>222</v>
      </c>
      <c r="I527" s="147">
        <f ca="1">100-I525</f>
        <v>99.941935483870964</v>
      </c>
      <c r="J527" s="326">
        <f ca="1">100-J525</f>
        <v>99.99</v>
      </c>
      <c r="K527" s="129"/>
      <c r="L527" s="403">
        <f t="shared" si="62"/>
        <v>44325</v>
      </c>
      <c r="M527" s="56" t="str">
        <f t="shared" si="63"/>
        <v>SUN</v>
      </c>
      <c r="O527" s="383">
        <f t="shared" si="64"/>
        <v>0</v>
      </c>
      <c r="P527" s="392">
        <f t="shared" si="58"/>
        <v>1</v>
      </c>
    </row>
    <row r="528" spans="1:16">
      <c r="B528" s="41"/>
      <c r="C528" s="403">
        <f t="shared" si="60"/>
        <v>44326</v>
      </c>
      <c r="D528" s="56" t="str">
        <f>VLOOKUP(MOD(C528,7),'CALENDAR INFO'!$G$5:$H$11,2)</f>
        <v>MON</v>
      </c>
      <c r="E528" s="165">
        <v>0.06</v>
      </c>
      <c r="F528" s="336">
        <v>0.01</v>
      </c>
      <c r="G528" s="411">
        <f t="shared" si="61"/>
        <v>-4.9999999999999996E-2</v>
      </c>
      <c r="I528" s="137"/>
      <c r="J528" s="150"/>
      <c r="K528" s="129"/>
      <c r="L528" s="403">
        <f t="shared" si="62"/>
        <v>44326</v>
      </c>
      <c r="M528" s="56" t="str">
        <f t="shared" si="63"/>
        <v>MON</v>
      </c>
      <c r="O528" s="383">
        <f t="shared" si="64"/>
        <v>1</v>
      </c>
      <c r="P528" s="392">
        <f t="shared" si="58"/>
        <v>1.0000002777777777</v>
      </c>
    </row>
    <row r="529" spans="2:16">
      <c r="B529" s="41"/>
      <c r="C529" s="403">
        <f t="shared" si="60"/>
        <v>44327</v>
      </c>
      <c r="D529" s="56" t="str">
        <f>VLOOKUP(MOD(C529,7),'CALENDAR INFO'!$G$5:$H$11,2)</f>
        <v>TUE</v>
      </c>
      <c r="E529" s="165">
        <v>0.06</v>
      </c>
      <c r="F529" s="336">
        <v>0.01</v>
      </c>
      <c r="G529" s="411">
        <f t="shared" si="61"/>
        <v>-4.9999999999999996E-2</v>
      </c>
      <c r="H529" s="136"/>
      <c r="I529" s="139"/>
      <c r="J529" s="151"/>
      <c r="K529" s="129"/>
      <c r="L529" s="403">
        <f t="shared" si="62"/>
        <v>44327</v>
      </c>
      <c r="M529" s="56" t="str">
        <f t="shared" si="63"/>
        <v>TUE</v>
      </c>
      <c r="O529" s="383">
        <f t="shared" si="64"/>
        <v>1</v>
      </c>
      <c r="P529" s="392">
        <f t="shared" si="58"/>
        <v>1.0000002777777777</v>
      </c>
    </row>
    <row r="530" spans="2:16">
      <c r="B530" s="41"/>
      <c r="C530" s="403">
        <f t="shared" si="60"/>
        <v>44328</v>
      </c>
      <c r="D530" s="56" t="str">
        <f>VLOOKUP(MOD(C530,7),'CALENDAR INFO'!$G$5:$H$11,2)</f>
        <v>WED</v>
      </c>
      <c r="E530" s="165">
        <v>0.06</v>
      </c>
      <c r="F530" s="336">
        <v>0.01</v>
      </c>
      <c r="G530" s="411">
        <f t="shared" si="61"/>
        <v>-4.9999999999999996E-2</v>
      </c>
      <c r="H530" s="136"/>
      <c r="I530" s="139"/>
      <c r="J530" s="151"/>
      <c r="K530" s="129"/>
      <c r="L530" s="403">
        <f t="shared" si="62"/>
        <v>44328</v>
      </c>
      <c r="M530" s="56" t="str">
        <f t="shared" si="63"/>
        <v>WED</v>
      </c>
      <c r="O530" s="383">
        <f t="shared" si="64"/>
        <v>1</v>
      </c>
      <c r="P530" s="392">
        <f t="shared" si="58"/>
        <v>1.0000002777777777</v>
      </c>
    </row>
    <row r="531" spans="2:16">
      <c r="B531" s="41"/>
      <c r="C531" s="403">
        <f t="shared" si="60"/>
        <v>44329</v>
      </c>
      <c r="D531" s="56" t="str">
        <f>VLOOKUP(MOD(C531,7),'CALENDAR INFO'!$G$5:$H$11,2)</f>
        <v>THU</v>
      </c>
      <c r="E531" s="165">
        <v>0.06</v>
      </c>
      <c r="F531" s="336">
        <v>0.01</v>
      </c>
      <c r="G531" s="411">
        <f t="shared" si="61"/>
        <v>-4.9999999999999996E-2</v>
      </c>
      <c r="H531" s="136"/>
      <c r="I531" s="139"/>
      <c r="J531" s="151"/>
      <c r="K531" s="129"/>
      <c r="L531" s="403">
        <f t="shared" si="62"/>
        <v>44329</v>
      </c>
      <c r="M531" s="56" t="str">
        <f t="shared" si="63"/>
        <v>THU</v>
      </c>
      <c r="O531" s="383">
        <f t="shared" si="64"/>
        <v>1</v>
      </c>
      <c r="P531" s="392">
        <f t="shared" ref="P531:P594" si="65">1+(O531/360)*(MAX(F531,B531)/100)</f>
        <v>1.0000002777777777</v>
      </c>
    </row>
    <row r="532" spans="2:16">
      <c r="B532" s="41"/>
      <c r="C532" s="403">
        <f t="shared" si="60"/>
        <v>44330</v>
      </c>
      <c r="D532" s="56" t="str">
        <f>VLOOKUP(MOD(C532,7),'CALENDAR INFO'!$G$5:$H$11,2)</f>
        <v>FRI</v>
      </c>
      <c r="E532" s="165">
        <v>0.06</v>
      </c>
      <c r="F532" s="336">
        <v>0.01</v>
      </c>
      <c r="G532" s="411">
        <f t="shared" si="61"/>
        <v>-4.9999999999999996E-2</v>
      </c>
      <c r="K532" s="129"/>
      <c r="L532" s="403">
        <f t="shared" si="62"/>
        <v>44330</v>
      </c>
      <c r="M532" s="56" t="str">
        <f t="shared" si="63"/>
        <v>FRI</v>
      </c>
      <c r="O532" s="383">
        <f t="shared" si="64"/>
        <v>3</v>
      </c>
      <c r="P532" s="392">
        <f t="shared" si="65"/>
        <v>1.0000008333333332</v>
      </c>
    </row>
    <row r="533" spans="2:16">
      <c r="B533" s="41"/>
      <c r="C533" s="403">
        <f t="shared" si="60"/>
        <v>44331</v>
      </c>
      <c r="D533" s="56" t="str">
        <f>VLOOKUP(MOD(C533,7),'CALENDAR INFO'!$G$5:$H$11,2)</f>
        <v>SAT</v>
      </c>
      <c r="E533" s="165">
        <v>0.06</v>
      </c>
      <c r="F533" s="336">
        <v>0.01</v>
      </c>
      <c r="G533" s="411">
        <f t="shared" si="61"/>
        <v>-4.9999999999999996E-2</v>
      </c>
      <c r="H533" s="135"/>
      <c r="I533" s="144"/>
      <c r="J533" s="152"/>
      <c r="K533" s="129"/>
      <c r="L533" s="403">
        <f t="shared" si="62"/>
        <v>44331</v>
      </c>
      <c r="M533" s="56" t="str">
        <f t="shared" si="63"/>
        <v>SAT</v>
      </c>
      <c r="O533" s="383">
        <f t="shared" si="64"/>
        <v>0</v>
      </c>
      <c r="P533" s="392">
        <f t="shared" si="65"/>
        <v>1</v>
      </c>
    </row>
    <row r="534" spans="2:16">
      <c r="B534" s="41"/>
      <c r="C534" s="403">
        <f t="shared" si="60"/>
        <v>44332</v>
      </c>
      <c r="D534" s="56" t="str">
        <f>VLOOKUP(MOD(C534,7),'CALENDAR INFO'!$G$5:$H$11,2)</f>
        <v>SUN</v>
      </c>
      <c r="E534" s="165">
        <v>0.06</v>
      </c>
      <c r="F534" s="336">
        <v>0.01</v>
      </c>
      <c r="G534" s="411">
        <f t="shared" si="61"/>
        <v>-4.9999999999999996E-2</v>
      </c>
      <c r="K534" s="129"/>
      <c r="L534" s="403">
        <f t="shared" si="62"/>
        <v>44332</v>
      </c>
      <c r="M534" s="56" t="str">
        <f t="shared" si="63"/>
        <v>SUN</v>
      </c>
      <c r="O534" s="383">
        <f t="shared" si="64"/>
        <v>0</v>
      </c>
      <c r="P534" s="392">
        <f t="shared" si="65"/>
        <v>1</v>
      </c>
    </row>
    <row r="535" spans="2:16">
      <c r="B535" s="41"/>
      <c r="C535" s="403">
        <f t="shared" si="60"/>
        <v>44333</v>
      </c>
      <c r="D535" s="56" t="str">
        <f>VLOOKUP(MOD(C535,7),'CALENDAR INFO'!$G$5:$H$11,2)</f>
        <v>MON</v>
      </c>
      <c r="E535" s="165">
        <v>0.06</v>
      </c>
      <c r="F535" s="336">
        <v>0.01</v>
      </c>
      <c r="G535" s="411">
        <f t="shared" si="61"/>
        <v>-4.9999999999999996E-2</v>
      </c>
      <c r="K535" s="129"/>
      <c r="L535" s="403">
        <f t="shared" si="62"/>
        <v>44333</v>
      </c>
      <c r="M535" s="56" t="str">
        <f t="shared" si="63"/>
        <v>MON</v>
      </c>
      <c r="O535" s="383">
        <f t="shared" si="64"/>
        <v>1</v>
      </c>
      <c r="P535" s="392">
        <f t="shared" si="65"/>
        <v>1.0000002777777777</v>
      </c>
    </row>
    <row r="536" spans="2:16">
      <c r="B536" s="41"/>
      <c r="C536" s="403">
        <f t="shared" si="60"/>
        <v>44334</v>
      </c>
      <c r="D536" s="56" t="str">
        <f>VLOOKUP(MOD(C536,7),'CALENDAR INFO'!$G$5:$H$11,2)</f>
        <v>TUE</v>
      </c>
      <c r="E536" s="165">
        <v>0.06</v>
      </c>
      <c r="F536" s="336">
        <v>0.01</v>
      </c>
      <c r="G536" s="411">
        <f t="shared" si="61"/>
        <v>-4.9999999999999996E-2</v>
      </c>
      <c r="K536" s="129"/>
      <c r="L536" s="403">
        <f t="shared" si="62"/>
        <v>44334</v>
      </c>
      <c r="M536" s="56" t="str">
        <f t="shared" si="63"/>
        <v>TUE</v>
      </c>
      <c r="O536" s="383">
        <f t="shared" si="64"/>
        <v>1</v>
      </c>
      <c r="P536" s="392">
        <f t="shared" si="65"/>
        <v>1.0000002777777777</v>
      </c>
    </row>
    <row r="537" spans="2:16">
      <c r="B537" s="41"/>
      <c r="C537" s="403">
        <f t="shared" si="60"/>
        <v>44335</v>
      </c>
      <c r="D537" s="56" t="str">
        <f>VLOOKUP(MOD(C537,7),'CALENDAR INFO'!$G$5:$H$11,2)</f>
        <v>WED</v>
      </c>
      <c r="E537" s="165">
        <v>0.06</v>
      </c>
      <c r="F537" s="336">
        <v>0.01</v>
      </c>
      <c r="G537" s="411">
        <f t="shared" si="61"/>
        <v>-4.9999999999999996E-2</v>
      </c>
      <c r="K537" s="129" t="s">
        <v>19</v>
      </c>
      <c r="L537" s="403">
        <f t="shared" si="62"/>
        <v>44335</v>
      </c>
      <c r="M537" s="56" t="str">
        <f t="shared" si="63"/>
        <v>WED</v>
      </c>
      <c r="O537" s="383">
        <f t="shared" si="64"/>
        <v>1</v>
      </c>
      <c r="P537" s="392">
        <f t="shared" si="65"/>
        <v>1.0000002777777777</v>
      </c>
    </row>
    <row r="538" spans="2:16">
      <c r="B538" s="41"/>
      <c r="C538" s="403">
        <f t="shared" si="60"/>
        <v>44336</v>
      </c>
      <c r="D538" s="56" t="str">
        <f>VLOOKUP(MOD(C538,7),'CALENDAR INFO'!$G$5:$H$11,2)</f>
        <v>THU</v>
      </c>
      <c r="E538" s="165">
        <v>0.06</v>
      </c>
      <c r="F538" s="336">
        <v>0.01</v>
      </c>
      <c r="G538" s="411">
        <f t="shared" si="61"/>
        <v>-4.9999999999999996E-2</v>
      </c>
      <c r="K538" s="126" t="s">
        <v>18</v>
      </c>
      <c r="L538" s="403">
        <f t="shared" si="62"/>
        <v>44336</v>
      </c>
      <c r="M538" s="56" t="str">
        <f t="shared" si="63"/>
        <v>THU</v>
      </c>
      <c r="O538" s="383">
        <f t="shared" si="64"/>
        <v>1</v>
      </c>
      <c r="P538" s="392">
        <f t="shared" si="65"/>
        <v>1.0000002777777777</v>
      </c>
    </row>
    <row r="539" spans="2:16">
      <c r="B539" s="41"/>
      <c r="C539" s="403">
        <f t="shared" si="60"/>
        <v>44337</v>
      </c>
      <c r="D539" s="56" t="str">
        <f>VLOOKUP(MOD(C539,7),'CALENDAR INFO'!$G$5:$H$11,2)</f>
        <v>FRI</v>
      </c>
      <c r="E539" s="165">
        <v>0.06</v>
      </c>
      <c r="F539" s="336">
        <v>0.01</v>
      </c>
      <c r="G539" s="411">
        <f t="shared" si="61"/>
        <v>-4.9999999999999996E-2</v>
      </c>
      <c r="K539" s="126"/>
      <c r="L539" s="403">
        <f t="shared" si="62"/>
        <v>44337</v>
      </c>
      <c r="M539" s="56" t="str">
        <f t="shared" si="63"/>
        <v>FRI</v>
      </c>
      <c r="O539" s="383">
        <f t="shared" si="64"/>
        <v>3</v>
      </c>
      <c r="P539" s="392">
        <f t="shared" si="65"/>
        <v>1.0000008333333332</v>
      </c>
    </row>
    <row r="540" spans="2:16">
      <c r="B540" s="41"/>
      <c r="C540" s="403">
        <f t="shared" si="60"/>
        <v>44338</v>
      </c>
      <c r="D540" s="56" t="str">
        <f>VLOOKUP(MOD(C540,7),'CALENDAR INFO'!$G$5:$H$11,2)</f>
        <v>SAT</v>
      </c>
      <c r="E540" s="165">
        <v>0.06</v>
      </c>
      <c r="F540" s="336">
        <v>0.01</v>
      </c>
      <c r="G540" s="411">
        <f t="shared" si="61"/>
        <v>-4.9999999999999996E-2</v>
      </c>
      <c r="K540" s="126"/>
      <c r="L540" s="403">
        <f t="shared" si="62"/>
        <v>44338</v>
      </c>
      <c r="M540" s="56" t="str">
        <f t="shared" si="63"/>
        <v>SAT</v>
      </c>
      <c r="O540" s="383">
        <f t="shared" si="64"/>
        <v>0</v>
      </c>
      <c r="P540" s="392">
        <f t="shared" si="65"/>
        <v>1</v>
      </c>
    </row>
    <row r="541" spans="2:16">
      <c r="B541" s="41"/>
      <c r="C541" s="403">
        <f t="shared" si="60"/>
        <v>44339</v>
      </c>
      <c r="D541" s="56" t="str">
        <f>VLOOKUP(MOD(C541,7),'CALENDAR INFO'!$G$5:$H$11,2)</f>
        <v>SUN</v>
      </c>
      <c r="E541" s="165">
        <v>0.06</v>
      </c>
      <c r="F541" s="336">
        <v>0.01</v>
      </c>
      <c r="G541" s="411">
        <f t="shared" si="61"/>
        <v>-4.9999999999999996E-2</v>
      </c>
      <c r="K541" s="126"/>
      <c r="L541" s="403">
        <f t="shared" si="62"/>
        <v>44339</v>
      </c>
      <c r="M541" s="56" t="str">
        <f t="shared" si="63"/>
        <v>SUN</v>
      </c>
      <c r="O541" s="383">
        <f t="shared" si="64"/>
        <v>0</v>
      </c>
      <c r="P541" s="392">
        <f t="shared" si="65"/>
        <v>1</v>
      </c>
    </row>
    <row r="542" spans="2:16">
      <c r="B542" s="41"/>
      <c r="C542" s="403">
        <f t="shared" si="60"/>
        <v>44340</v>
      </c>
      <c r="D542" s="56" t="str">
        <f>VLOOKUP(MOD(C542,7),'CALENDAR INFO'!$G$5:$H$11,2)</f>
        <v>MON</v>
      </c>
      <c r="E542" s="165">
        <v>0.06</v>
      </c>
      <c r="F542" s="336">
        <v>0.01</v>
      </c>
      <c r="G542" s="411">
        <f t="shared" si="61"/>
        <v>-4.9999999999999996E-2</v>
      </c>
      <c r="K542" s="126"/>
      <c r="L542" s="403">
        <f t="shared" si="62"/>
        <v>44340</v>
      </c>
      <c r="M542" s="56" t="str">
        <f t="shared" si="63"/>
        <v>MON</v>
      </c>
      <c r="O542" s="383">
        <f t="shared" si="64"/>
        <v>1</v>
      </c>
      <c r="P542" s="392">
        <f t="shared" si="65"/>
        <v>1.0000002777777777</v>
      </c>
    </row>
    <row r="543" spans="2:16">
      <c r="B543" s="41"/>
      <c r="C543" s="403">
        <f t="shared" si="60"/>
        <v>44341</v>
      </c>
      <c r="D543" s="56" t="str">
        <f>VLOOKUP(MOD(C543,7),'CALENDAR INFO'!$G$5:$H$11,2)</f>
        <v>TUE</v>
      </c>
      <c r="E543" s="165">
        <v>0.06</v>
      </c>
      <c r="F543" s="336">
        <v>0.01</v>
      </c>
      <c r="G543" s="411">
        <f t="shared" si="61"/>
        <v>-4.9999999999999996E-2</v>
      </c>
      <c r="K543" s="126"/>
      <c r="L543" s="403">
        <f t="shared" si="62"/>
        <v>44341</v>
      </c>
      <c r="M543" s="56" t="str">
        <f t="shared" si="63"/>
        <v>TUE</v>
      </c>
      <c r="O543" s="383">
        <f t="shared" si="64"/>
        <v>1</v>
      </c>
      <c r="P543" s="392">
        <f t="shared" si="65"/>
        <v>1.0000002777777777</v>
      </c>
    </row>
    <row r="544" spans="2:16">
      <c r="B544" s="41"/>
      <c r="C544" s="403">
        <f t="shared" si="60"/>
        <v>44342</v>
      </c>
      <c r="D544" s="56" t="str">
        <f>VLOOKUP(MOD(C544,7),'CALENDAR INFO'!$G$5:$H$11,2)</f>
        <v>WED</v>
      </c>
      <c r="E544" s="165">
        <v>0.06</v>
      </c>
      <c r="F544" s="336">
        <v>0.01</v>
      </c>
      <c r="G544" s="411">
        <f t="shared" si="61"/>
        <v>-4.9999999999999996E-2</v>
      </c>
      <c r="K544" s="126"/>
      <c r="L544" s="403">
        <f t="shared" si="62"/>
        <v>44342</v>
      </c>
      <c r="M544" s="56" t="str">
        <f t="shared" si="63"/>
        <v>WED</v>
      </c>
      <c r="O544" s="383">
        <f t="shared" si="64"/>
        <v>1</v>
      </c>
      <c r="P544" s="392">
        <f t="shared" si="65"/>
        <v>1.0000002777777777</v>
      </c>
    </row>
    <row r="545" spans="1:16">
      <c r="B545" s="41"/>
      <c r="C545" s="403">
        <f t="shared" si="60"/>
        <v>44343</v>
      </c>
      <c r="D545" s="56" t="str">
        <f>VLOOKUP(MOD(C545,7),'CALENDAR INFO'!$G$5:$H$11,2)</f>
        <v>THU</v>
      </c>
      <c r="E545" s="165">
        <v>0.06</v>
      </c>
      <c r="F545" s="336">
        <v>0.01</v>
      </c>
      <c r="G545" s="411">
        <f t="shared" si="61"/>
        <v>-4.9999999999999996E-2</v>
      </c>
      <c r="I545" s="137"/>
      <c r="K545" s="126"/>
      <c r="L545" s="403">
        <f t="shared" si="62"/>
        <v>44343</v>
      </c>
      <c r="M545" s="56" t="str">
        <f t="shared" si="63"/>
        <v>THU</v>
      </c>
      <c r="O545" s="383">
        <f t="shared" si="64"/>
        <v>1</v>
      </c>
      <c r="P545" s="392">
        <f t="shared" si="65"/>
        <v>1.0000002777777777</v>
      </c>
    </row>
    <row r="546" spans="1:16">
      <c r="B546" s="41"/>
      <c r="C546" s="403">
        <f t="shared" si="60"/>
        <v>44344</v>
      </c>
      <c r="D546" s="56" t="str">
        <f>VLOOKUP(MOD(C546,7),'CALENDAR INFO'!$G$5:$H$11,2)</f>
        <v>FRI</v>
      </c>
      <c r="E546" s="165">
        <v>0.05</v>
      </c>
      <c r="F546" s="336">
        <v>0.01</v>
      </c>
      <c r="G546" s="411">
        <f t="shared" si="61"/>
        <v>-0.04</v>
      </c>
      <c r="H546" s="115"/>
      <c r="I546" s="141"/>
      <c r="J546" s="158"/>
      <c r="K546" s="126"/>
      <c r="L546" s="403">
        <f t="shared" si="62"/>
        <v>44344</v>
      </c>
      <c r="M546" s="56" t="str">
        <f t="shared" si="63"/>
        <v>FRI</v>
      </c>
      <c r="O546" s="384">
        <v>4</v>
      </c>
      <c r="P546" s="392">
        <f t="shared" si="65"/>
        <v>1.0000011111111111</v>
      </c>
    </row>
    <row r="547" spans="1:16">
      <c r="B547" s="41"/>
      <c r="C547" s="403">
        <f t="shared" si="60"/>
        <v>44345</v>
      </c>
      <c r="D547" s="56" t="str">
        <f>VLOOKUP(MOD(C547,7),'CALENDAR INFO'!$G$5:$H$11,2)</f>
        <v>SAT</v>
      </c>
      <c r="E547" s="165">
        <v>0.05</v>
      </c>
      <c r="F547" s="336">
        <v>0.01</v>
      </c>
      <c r="G547" s="411">
        <f t="shared" si="61"/>
        <v>-0.04</v>
      </c>
      <c r="H547" s="115"/>
      <c r="I547" s="148"/>
      <c r="J547" s="160"/>
      <c r="K547" s="126"/>
      <c r="L547" s="403">
        <f t="shared" si="62"/>
        <v>44345</v>
      </c>
      <c r="M547" s="56" t="str">
        <f t="shared" si="63"/>
        <v>SAT</v>
      </c>
      <c r="O547" s="383">
        <f>IF(MOD(C547,7)&lt;2,0,IF(MOD(C547,7)=6,3,1))</f>
        <v>0</v>
      </c>
      <c r="P547" s="392">
        <f t="shared" si="65"/>
        <v>1</v>
      </c>
    </row>
    <row r="548" spans="1:16">
      <c r="B548" s="41"/>
      <c r="C548" s="403">
        <f t="shared" si="60"/>
        <v>44346</v>
      </c>
      <c r="D548" s="56" t="str">
        <f>VLOOKUP(MOD(C548,7),'CALENDAR INFO'!$G$5:$H$11,2)</f>
        <v>SUN</v>
      </c>
      <c r="E548" s="165">
        <v>0.05</v>
      </c>
      <c r="F548" s="336">
        <v>0.01</v>
      </c>
      <c r="G548" s="411">
        <f t="shared" si="61"/>
        <v>-0.04</v>
      </c>
      <c r="H548" s="115"/>
      <c r="I548" s="141"/>
      <c r="J548" s="158"/>
      <c r="K548" s="126"/>
      <c r="L548" s="403">
        <f t="shared" si="62"/>
        <v>44346</v>
      </c>
      <c r="M548" s="56" t="str">
        <f t="shared" si="63"/>
        <v>SUN</v>
      </c>
      <c r="O548" s="383">
        <f>IF(MOD(C548,7)&lt;2,0,IF(MOD(C548,7)=6,3,1))</f>
        <v>0</v>
      </c>
      <c r="P548" s="392">
        <f t="shared" si="65"/>
        <v>1</v>
      </c>
    </row>
    <row r="549" spans="1:16" ht="15.75" thickBot="1">
      <c r="A549" s="81"/>
      <c r="B549" s="178"/>
      <c r="C549" s="404">
        <f t="shared" si="60"/>
        <v>44347</v>
      </c>
      <c r="D549" s="64" t="str">
        <f>VLOOKUP(MOD(C549,7),'CALENDAR INFO'!$G$5:$H$11,2)</f>
        <v>MON</v>
      </c>
      <c r="E549" s="166">
        <v>0.05</v>
      </c>
      <c r="F549" s="337">
        <v>0.01</v>
      </c>
      <c r="G549" s="412">
        <f t="shared" si="61"/>
        <v>-0.04</v>
      </c>
      <c r="H549" s="345"/>
      <c r="I549" s="143"/>
      <c r="J549" s="162"/>
      <c r="K549" s="77"/>
      <c r="L549" s="404">
        <f t="shared" si="62"/>
        <v>44347</v>
      </c>
      <c r="M549" s="64" t="str">
        <f t="shared" si="63"/>
        <v>MON</v>
      </c>
      <c r="N549" s="90" t="s">
        <v>112</v>
      </c>
      <c r="O549" s="387">
        <v>0</v>
      </c>
      <c r="P549" s="388">
        <f t="shared" si="65"/>
        <v>1</v>
      </c>
    </row>
    <row r="550" spans="1:16">
      <c r="A550" s="83"/>
      <c r="B550" s="179"/>
      <c r="C550" s="406">
        <f t="shared" si="60"/>
        <v>44348</v>
      </c>
      <c r="D550" s="86" t="str">
        <f>VLOOKUP(MOD(C550,7),'CALENDAR INFO'!$G$5:$H$11,2)</f>
        <v>TUE</v>
      </c>
      <c r="E550" s="168">
        <v>0.06</v>
      </c>
      <c r="F550" s="340">
        <v>0.01</v>
      </c>
      <c r="G550" s="414">
        <f t="shared" si="61"/>
        <v>-4.9999999999999996E-2</v>
      </c>
      <c r="H550" s="15" t="s">
        <v>149</v>
      </c>
      <c r="I550" s="15">
        <f>ROW(I550)</f>
        <v>550</v>
      </c>
      <c r="J550" s="138">
        <f>I550</f>
        <v>550</v>
      </c>
      <c r="K550" s="88"/>
      <c r="L550" s="406">
        <f t="shared" si="62"/>
        <v>44348</v>
      </c>
      <c r="M550" s="86" t="str">
        <f t="shared" si="63"/>
        <v>TUE</v>
      </c>
      <c r="N550" s="89"/>
      <c r="O550" s="386">
        <f t="shared" ref="O550:O580" si="66">IF(MOD(C550,7)&lt;2,0,IF(MOD(C550,7)=6,3,1))</f>
        <v>1</v>
      </c>
      <c r="P550" s="390">
        <f t="shared" si="65"/>
        <v>1.0000002777777777</v>
      </c>
    </row>
    <row r="551" spans="1:16">
      <c r="B551" s="41"/>
      <c r="C551" s="403">
        <f t="shared" si="60"/>
        <v>44349</v>
      </c>
      <c r="D551" s="56" t="str">
        <f>VLOOKUP(MOD(C551,7),'CALENDAR INFO'!$G$5:$H$11,2)</f>
        <v>WED</v>
      </c>
      <c r="E551" s="165">
        <v>0.06</v>
      </c>
      <c r="F551" s="336">
        <v>0.01</v>
      </c>
      <c r="G551" s="411">
        <f t="shared" si="61"/>
        <v>-4.9999999999999996E-2</v>
      </c>
      <c r="H551" s="376" t="s">
        <v>210</v>
      </c>
      <c r="I551" s="15">
        <f>VLOOKUP(MONTH($C550),'CALENDAR INFO'!$J$5:$K$16,2)</f>
        <v>30</v>
      </c>
      <c r="J551" s="138">
        <f>I551</f>
        <v>30</v>
      </c>
      <c r="K551" s="126" t="s">
        <v>19</v>
      </c>
      <c r="L551" s="403">
        <f t="shared" si="62"/>
        <v>44349</v>
      </c>
      <c r="M551" s="56" t="str">
        <f t="shared" si="63"/>
        <v>WED</v>
      </c>
      <c r="O551" s="383">
        <f t="shared" si="66"/>
        <v>1</v>
      </c>
      <c r="P551" s="392">
        <f t="shared" si="65"/>
        <v>1.0000002777777777</v>
      </c>
    </row>
    <row r="552" spans="1:16">
      <c r="B552" s="41"/>
      <c r="C552" s="403">
        <f t="shared" si="60"/>
        <v>44350</v>
      </c>
      <c r="D552" s="56" t="str">
        <f>VLOOKUP(MOD(C552,7),'CALENDAR INFO'!$G$5:$H$11,2)</f>
        <v>THU</v>
      </c>
      <c r="E552" s="165">
        <v>0.06</v>
      </c>
      <c r="F552" s="336">
        <v>0.01</v>
      </c>
      <c r="G552" s="411">
        <f t="shared" si="61"/>
        <v>-4.9999999999999996E-2</v>
      </c>
      <c r="H552" s="376" t="s">
        <v>211</v>
      </c>
      <c r="I552" s="15">
        <f>I551+I550-1</f>
        <v>579</v>
      </c>
      <c r="J552" s="138">
        <f>I552</f>
        <v>579</v>
      </c>
      <c r="K552" s="129" t="s">
        <v>18</v>
      </c>
      <c r="L552" s="403">
        <f t="shared" si="62"/>
        <v>44350</v>
      </c>
      <c r="M552" s="56" t="str">
        <f t="shared" si="63"/>
        <v>THU</v>
      </c>
      <c r="O552" s="383">
        <f t="shared" si="66"/>
        <v>1</v>
      </c>
      <c r="P552" s="392">
        <f t="shared" si="65"/>
        <v>1.0000002777777777</v>
      </c>
    </row>
    <row r="553" spans="1:16">
      <c r="B553" s="41"/>
      <c r="C553" s="403">
        <f t="shared" si="60"/>
        <v>44351</v>
      </c>
      <c r="D553" s="56" t="str">
        <f>VLOOKUP(MOD(C553,7),'CALENDAR INFO'!$G$5:$H$11,2)</f>
        <v>FRI</v>
      </c>
      <c r="E553" s="165">
        <v>0.06</v>
      </c>
      <c r="F553" s="336">
        <v>0.01</v>
      </c>
      <c r="G553" s="411">
        <f t="shared" si="61"/>
        <v>-4.9999999999999996E-2</v>
      </c>
      <c r="K553" s="129"/>
      <c r="L553" s="403">
        <f t="shared" si="62"/>
        <v>44351</v>
      </c>
      <c r="M553" s="56" t="str">
        <f t="shared" si="63"/>
        <v>FRI</v>
      </c>
      <c r="O553" s="383">
        <f t="shared" si="66"/>
        <v>3</v>
      </c>
      <c r="P553" s="392">
        <f t="shared" si="65"/>
        <v>1.0000008333333332</v>
      </c>
    </row>
    <row r="554" spans="1:16">
      <c r="B554" s="41"/>
      <c r="C554" s="403">
        <f t="shared" si="60"/>
        <v>44352</v>
      </c>
      <c r="D554" s="56" t="str">
        <f>VLOOKUP(MOD(C554,7),'CALENDAR INFO'!$G$5:$H$11,2)</f>
        <v>SAT</v>
      </c>
      <c r="E554" s="165">
        <v>0.06</v>
      </c>
      <c r="F554" s="336">
        <v>0.01</v>
      </c>
      <c r="G554" s="411">
        <f t="shared" si="61"/>
        <v>-4.9999999999999996E-2</v>
      </c>
      <c r="H554" s="15" t="s">
        <v>150</v>
      </c>
      <c r="I554" s="137" t="str">
        <f>_xlfn.CONCAT(ADDRESS(I550,5),":",ADDRESS(I552,5))</f>
        <v>$E$550:$E$579</v>
      </c>
      <c r="J554" s="150" t="str">
        <f>_xlfn.CONCAT(ADDRESS(J550,6),":",ADDRESS(J552,6))</f>
        <v>$F$550:$F$579</v>
      </c>
      <c r="K554" s="129"/>
      <c r="L554" s="403">
        <f t="shared" si="62"/>
        <v>44352</v>
      </c>
      <c r="M554" s="56" t="str">
        <f t="shared" si="63"/>
        <v>SAT</v>
      </c>
      <c r="O554" s="383">
        <f t="shared" si="66"/>
        <v>0</v>
      </c>
      <c r="P554" s="392">
        <f t="shared" si="65"/>
        <v>1</v>
      </c>
    </row>
    <row r="555" spans="1:16">
      <c r="B555" s="41"/>
      <c r="C555" s="403">
        <f t="shared" si="60"/>
        <v>44353</v>
      </c>
      <c r="D555" s="56" t="str">
        <f>VLOOKUP(MOD(C555,7),'CALENDAR INFO'!$G$5:$H$11,2)</f>
        <v>SUN</v>
      </c>
      <c r="E555" s="165">
        <v>0.06</v>
      </c>
      <c r="F555" s="336">
        <v>0.01</v>
      </c>
      <c r="G555" s="411">
        <f t="shared" si="61"/>
        <v>-4.9999999999999996E-2</v>
      </c>
      <c r="K555" s="129"/>
      <c r="L555" s="403">
        <f t="shared" si="62"/>
        <v>44353</v>
      </c>
      <c r="M555" s="56" t="str">
        <f t="shared" si="63"/>
        <v>SUN</v>
      </c>
      <c r="O555" s="383">
        <f t="shared" si="66"/>
        <v>0</v>
      </c>
      <c r="P555" s="392">
        <f t="shared" si="65"/>
        <v>1</v>
      </c>
    </row>
    <row r="556" spans="1:16">
      <c r="B556" s="41"/>
      <c r="C556" s="403">
        <f t="shared" si="60"/>
        <v>44354</v>
      </c>
      <c r="D556" s="56" t="str">
        <f>VLOOKUP(MOD(C556,7),'CALENDAR INFO'!$G$5:$H$11,2)</f>
        <v>MON</v>
      </c>
      <c r="E556" s="165">
        <v>0.06</v>
      </c>
      <c r="F556" s="336">
        <v>0.01</v>
      </c>
      <c r="G556" s="411">
        <f t="shared" si="61"/>
        <v>-4.9999999999999996E-2</v>
      </c>
      <c r="H556" s="376" t="s">
        <v>221</v>
      </c>
      <c r="I556" s="147">
        <f ca="1">AVERAGE(INDIRECT(I554))</f>
        <v>7.8000000000000055E-2</v>
      </c>
      <c r="J556" s="326">
        <f ca="1">AVERAGE(INDIRECT(J554))</f>
        <v>2.8666666666666677E-2</v>
      </c>
      <c r="K556" s="129"/>
      <c r="L556" s="403">
        <f t="shared" si="62"/>
        <v>44354</v>
      </c>
      <c r="M556" s="56" t="str">
        <f t="shared" si="63"/>
        <v>MON</v>
      </c>
      <c r="O556" s="383">
        <f t="shared" si="66"/>
        <v>1</v>
      </c>
      <c r="P556" s="392">
        <f t="shared" si="65"/>
        <v>1.0000002777777777</v>
      </c>
    </row>
    <row r="557" spans="1:16">
      <c r="B557" s="41"/>
      <c r="C557" s="403">
        <f t="shared" si="60"/>
        <v>44355</v>
      </c>
      <c r="D557" s="56" t="str">
        <f>VLOOKUP(MOD(C557,7),'CALENDAR INFO'!$G$5:$H$11,2)</f>
        <v>TUE</v>
      </c>
      <c r="E557" s="165">
        <v>0.06</v>
      </c>
      <c r="F557" s="336">
        <v>0.01</v>
      </c>
      <c r="G557" s="411">
        <f t="shared" si="61"/>
        <v>-4.9999999999999996E-2</v>
      </c>
      <c r="I557" s="240"/>
      <c r="J557" s="157"/>
      <c r="K557" s="129"/>
      <c r="L557" s="403">
        <f t="shared" si="62"/>
        <v>44355</v>
      </c>
      <c r="M557" s="56" t="str">
        <f t="shared" si="63"/>
        <v>TUE</v>
      </c>
      <c r="O557" s="383">
        <f t="shared" si="66"/>
        <v>1</v>
      </c>
      <c r="P557" s="392">
        <f t="shared" si="65"/>
        <v>1.0000002777777777</v>
      </c>
    </row>
    <row r="558" spans="1:16">
      <c r="B558" s="41"/>
      <c r="C558" s="403">
        <f t="shared" si="60"/>
        <v>44356</v>
      </c>
      <c r="D558" s="56" t="str">
        <f>VLOOKUP(MOD(C558,7),'CALENDAR INFO'!$G$5:$H$11,2)</f>
        <v>WED</v>
      </c>
      <c r="E558" s="165">
        <v>0.06</v>
      </c>
      <c r="F558" s="336">
        <v>0.01</v>
      </c>
      <c r="G558" s="411">
        <f t="shared" si="61"/>
        <v>-4.9999999999999996E-2</v>
      </c>
      <c r="H558" s="15" t="s">
        <v>222</v>
      </c>
      <c r="I558" s="147">
        <f ca="1">100-I556</f>
        <v>99.921999999999997</v>
      </c>
      <c r="J558" s="326">
        <f ca="1">100-J556</f>
        <v>99.971333333333334</v>
      </c>
      <c r="K558" s="129"/>
      <c r="L558" s="403">
        <f t="shared" si="62"/>
        <v>44356</v>
      </c>
      <c r="M558" s="56" t="str">
        <f t="shared" si="63"/>
        <v>WED</v>
      </c>
      <c r="O558" s="383">
        <f t="shared" si="66"/>
        <v>1</v>
      </c>
      <c r="P558" s="392">
        <f t="shared" si="65"/>
        <v>1.0000002777777777</v>
      </c>
    </row>
    <row r="559" spans="1:16">
      <c r="B559" s="41"/>
      <c r="C559" s="403">
        <f t="shared" si="60"/>
        <v>44357</v>
      </c>
      <c r="D559" s="56" t="str">
        <f>VLOOKUP(MOD(C559,7),'CALENDAR INFO'!$G$5:$H$11,2)</f>
        <v>THU</v>
      </c>
      <c r="E559" s="165">
        <v>0.06</v>
      </c>
      <c r="F559" s="336">
        <v>0.01</v>
      </c>
      <c r="G559" s="411">
        <f t="shared" si="61"/>
        <v>-4.9999999999999996E-2</v>
      </c>
      <c r="I559" s="137"/>
      <c r="J559" s="150"/>
      <c r="K559" s="129"/>
      <c r="L559" s="403">
        <f t="shared" si="62"/>
        <v>44357</v>
      </c>
      <c r="M559" s="56" t="str">
        <f t="shared" si="63"/>
        <v>THU</v>
      </c>
      <c r="O559" s="383">
        <f t="shared" si="66"/>
        <v>1</v>
      </c>
      <c r="P559" s="392">
        <f t="shared" si="65"/>
        <v>1.0000002777777777</v>
      </c>
    </row>
    <row r="560" spans="1:16">
      <c r="B560" s="41"/>
      <c r="C560" s="403">
        <f t="shared" si="60"/>
        <v>44358</v>
      </c>
      <c r="D560" s="56" t="str">
        <f>VLOOKUP(MOD(C560,7),'CALENDAR INFO'!$G$5:$H$11,2)</f>
        <v>FRI</v>
      </c>
      <c r="E560" s="165">
        <v>0.06</v>
      </c>
      <c r="F560" s="336">
        <v>0.01</v>
      </c>
      <c r="G560" s="411">
        <f t="shared" si="61"/>
        <v>-4.9999999999999996E-2</v>
      </c>
      <c r="H560" s="136"/>
      <c r="I560" s="139"/>
      <c r="J560" s="151"/>
      <c r="K560" s="129"/>
      <c r="L560" s="403">
        <f t="shared" si="62"/>
        <v>44358</v>
      </c>
      <c r="M560" s="56" t="str">
        <f t="shared" si="63"/>
        <v>FRI</v>
      </c>
      <c r="O560" s="383">
        <f t="shared" si="66"/>
        <v>3</v>
      </c>
      <c r="P560" s="392">
        <f t="shared" si="65"/>
        <v>1.0000008333333332</v>
      </c>
    </row>
    <row r="561" spans="2:18">
      <c r="B561" s="41"/>
      <c r="C561" s="403">
        <f t="shared" si="60"/>
        <v>44359</v>
      </c>
      <c r="D561" s="56" t="str">
        <f>VLOOKUP(MOD(C561,7),'CALENDAR INFO'!$G$5:$H$11,2)</f>
        <v>SAT</v>
      </c>
      <c r="E561" s="165">
        <v>0.06</v>
      </c>
      <c r="F561" s="336">
        <v>0.01</v>
      </c>
      <c r="G561" s="411">
        <f t="shared" si="61"/>
        <v>-4.9999999999999996E-2</v>
      </c>
      <c r="H561" s="136"/>
      <c r="I561" s="139"/>
      <c r="J561" s="151"/>
      <c r="K561" s="129"/>
      <c r="L561" s="403">
        <f t="shared" si="62"/>
        <v>44359</v>
      </c>
      <c r="M561" s="56" t="str">
        <f t="shared" si="63"/>
        <v>SAT</v>
      </c>
      <c r="O561" s="383">
        <f t="shared" si="66"/>
        <v>0</v>
      </c>
      <c r="P561" s="392">
        <f t="shared" si="65"/>
        <v>1</v>
      </c>
      <c r="Q561" s="331" t="s">
        <v>92</v>
      </c>
      <c r="R561" s="75"/>
    </row>
    <row r="562" spans="2:18">
      <c r="B562" s="41"/>
      <c r="C562" s="403">
        <f t="shared" si="60"/>
        <v>44360</v>
      </c>
      <c r="D562" s="56" t="str">
        <f>VLOOKUP(MOD(C562,7),'CALENDAR INFO'!$G$5:$H$11,2)</f>
        <v>SUN</v>
      </c>
      <c r="E562" s="165">
        <v>0.06</v>
      </c>
      <c r="F562" s="336">
        <v>0.01</v>
      </c>
      <c r="G562" s="411">
        <f t="shared" si="61"/>
        <v>-4.9999999999999996E-2</v>
      </c>
      <c r="H562" s="136"/>
      <c r="I562" s="139"/>
      <c r="J562" s="151"/>
      <c r="K562" s="129"/>
      <c r="L562" s="403">
        <f t="shared" si="62"/>
        <v>44360</v>
      </c>
      <c r="M562" s="56" t="str">
        <f t="shared" si="63"/>
        <v>SUN</v>
      </c>
      <c r="O562" s="383">
        <f t="shared" si="66"/>
        <v>0</v>
      </c>
      <c r="P562" s="392">
        <f t="shared" si="65"/>
        <v>1</v>
      </c>
      <c r="Q562" s="331" t="s">
        <v>76</v>
      </c>
      <c r="R562" s="100"/>
    </row>
    <row r="563" spans="2:18">
      <c r="B563" s="41"/>
      <c r="C563" s="403">
        <f t="shared" si="60"/>
        <v>44361</v>
      </c>
      <c r="D563" s="56" t="str">
        <f>VLOOKUP(MOD(C563,7),'CALENDAR INFO'!$G$5:$H$11,2)</f>
        <v>MON</v>
      </c>
      <c r="E563" s="165">
        <v>0.06</v>
      </c>
      <c r="F563" s="336">
        <v>0.01</v>
      </c>
      <c r="G563" s="411">
        <f t="shared" si="61"/>
        <v>-4.9999999999999996E-2</v>
      </c>
      <c r="K563" s="129"/>
      <c r="L563" s="403">
        <f t="shared" si="62"/>
        <v>44361</v>
      </c>
      <c r="M563" s="56" t="str">
        <f t="shared" si="63"/>
        <v>MON</v>
      </c>
      <c r="O563" s="383">
        <f t="shared" si="66"/>
        <v>1</v>
      </c>
      <c r="P563" s="392">
        <f t="shared" si="65"/>
        <v>1.0000002777777777</v>
      </c>
      <c r="Q563" s="40"/>
      <c r="R563" s="99"/>
    </row>
    <row r="564" spans="2:18">
      <c r="B564" s="41"/>
      <c r="C564" s="403">
        <f t="shared" si="60"/>
        <v>44362</v>
      </c>
      <c r="D564" s="56" t="str">
        <f>VLOOKUP(MOD(C564,7),'CALENDAR INFO'!$G$5:$H$11,2)</f>
        <v>TUE</v>
      </c>
      <c r="E564" s="165">
        <v>0.06</v>
      </c>
      <c r="F564" s="336">
        <v>0.01</v>
      </c>
      <c r="G564" s="411">
        <f t="shared" si="61"/>
        <v>-4.9999999999999996E-2</v>
      </c>
      <c r="H564" s="135"/>
      <c r="I564" s="144"/>
      <c r="J564" s="152"/>
      <c r="K564" s="129"/>
      <c r="L564" s="403">
        <f t="shared" si="62"/>
        <v>44362</v>
      </c>
      <c r="M564" s="56" t="str">
        <f t="shared" si="63"/>
        <v>TUE</v>
      </c>
      <c r="N564" s="116" t="s">
        <v>20</v>
      </c>
      <c r="O564" s="383">
        <f t="shared" si="66"/>
        <v>1</v>
      </c>
      <c r="P564" s="392">
        <f t="shared" si="65"/>
        <v>1.0000002777777777</v>
      </c>
    </row>
    <row r="565" spans="2:18">
      <c r="B565" s="41"/>
      <c r="C565" s="403">
        <f t="shared" ref="C565:C628" si="67">C564+1</f>
        <v>44363</v>
      </c>
      <c r="D565" s="56" t="str">
        <f>VLOOKUP(MOD(C565,7),'CALENDAR INFO'!$G$5:$H$11,2)</f>
        <v>WED</v>
      </c>
      <c r="E565" s="169">
        <v>0.06</v>
      </c>
      <c r="F565" s="341">
        <v>0.01</v>
      </c>
      <c r="G565" s="411">
        <f t="shared" si="61"/>
        <v>-4.9999999999999996E-2</v>
      </c>
      <c r="K565" s="129" t="s">
        <v>19</v>
      </c>
      <c r="L565" s="403">
        <f t="shared" si="62"/>
        <v>44363</v>
      </c>
      <c r="M565" s="56" t="str">
        <f t="shared" si="63"/>
        <v>WED</v>
      </c>
      <c r="N565" s="116" t="s">
        <v>20</v>
      </c>
      <c r="O565" s="383">
        <f t="shared" si="66"/>
        <v>1</v>
      </c>
      <c r="P565" s="392">
        <f t="shared" si="65"/>
        <v>1.0000002777777777</v>
      </c>
    </row>
    <row r="566" spans="2:18">
      <c r="B566" s="41"/>
      <c r="C566" s="403">
        <f t="shared" si="67"/>
        <v>44364</v>
      </c>
      <c r="D566" s="56" t="str">
        <f>VLOOKUP(MOD(C566,7),'CALENDAR INFO'!$G$5:$H$11,2)</f>
        <v>THU</v>
      </c>
      <c r="E566" s="169">
        <v>0.1</v>
      </c>
      <c r="F566" s="341">
        <v>0.05</v>
      </c>
      <c r="G566" s="411">
        <f t="shared" si="61"/>
        <v>-0.05</v>
      </c>
      <c r="K566" s="126" t="s">
        <v>18</v>
      </c>
      <c r="L566" s="403">
        <f t="shared" si="62"/>
        <v>44364</v>
      </c>
      <c r="M566" s="56" t="str">
        <f t="shared" si="63"/>
        <v>THU</v>
      </c>
      <c r="O566" s="383">
        <f t="shared" si="66"/>
        <v>1</v>
      </c>
      <c r="P566" s="392">
        <f t="shared" si="65"/>
        <v>1.0000013888888888</v>
      </c>
    </row>
    <row r="567" spans="2:18">
      <c r="B567" s="41"/>
      <c r="C567" s="403">
        <f t="shared" si="67"/>
        <v>44365</v>
      </c>
      <c r="D567" s="56" t="str">
        <f>VLOOKUP(MOD(C567,7),'CALENDAR INFO'!$G$5:$H$11,2)</f>
        <v>FRI</v>
      </c>
      <c r="E567" s="165">
        <v>0.1</v>
      </c>
      <c r="F567" s="336">
        <v>0.05</v>
      </c>
      <c r="G567" s="411">
        <f t="shared" si="61"/>
        <v>-0.05</v>
      </c>
      <c r="K567" s="130" t="s">
        <v>118</v>
      </c>
      <c r="L567" s="403">
        <f t="shared" si="62"/>
        <v>44365</v>
      </c>
      <c r="M567" s="56" t="str">
        <f t="shared" si="63"/>
        <v>FRI</v>
      </c>
      <c r="N567" s="188"/>
      <c r="O567" s="383">
        <f t="shared" si="66"/>
        <v>3</v>
      </c>
      <c r="P567" s="392">
        <f t="shared" si="65"/>
        <v>1.0000041666666666</v>
      </c>
    </row>
    <row r="568" spans="2:18">
      <c r="B568" s="41"/>
      <c r="C568" s="403">
        <f t="shared" si="67"/>
        <v>44366</v>
      </c>
      <c r="D568" s="56" t="str">
        <f>VLOOKUP(MOD(C568,7),'CALENDAR INFO'!$G$5:$H$11,2)</f>
        <v>SAT</v>
      </c>
      <c r="E568" s="165">
        <v>0.1</v>
      </c>
      <c r="F568" s="336">
        <v>0.05</v>
      </c>
      <c r="G568" s="411">
        <f t="shared" si="61"/>
        <v>-0.05</v>
      </c>
      <c r="K568" s="126"/>
      <c r="L568" s="403">
        <f t="shared" si="62"/>
        <v>44366</v>
      </c>
      <c r="M568" s="56" t="str">
        <f t="shared" si="63"/>
        <v>SAT</v>
      </c>
      <c r="O568" s="383">
        <f t="shared" si="66"/>
        <v>0</v>
      </c>
      <c r="P568" s="392">
        <f t="shared" si="65"/>
        <v>1</v>
      </c>
    </row>
    <row r="569" spans="2:18">
      <c r="B569" s="41"/>
      <c r="C569" s="403">
        <f t="shared" si="67"/>
        <v>44367</v>
      </c>
      <c r="D569" s="56" t="str">
        <f>VLOOKUP(MOD(C569,7),'CALENDAR INFO'!$G$5:$H$11,2)</f>
        <v>SUN</v>
      </c>
      <c r="E569" s="165">
        <v>0.1</v>
      </c>
      <c r="F569" s="336">
        <v>0.05</v>
      </c>
      <c r="G569" s="411">
        <f t="shared" si="61"/>
        <v>-0.05</v>
      </c>
      <c r="K569" s="126"/>
      <c r="L569" s="403">
        <f t="shared" si="62"/>
        <v>44367</v>
      </c>
      <c r="M569" s="56" t="str">
        <f t="shared" si="63"/>
        <v>SUN</v>
      </c>
      <c r="O569" s="383">
        <f t="shared" si="66"/>
        <v>0</v>
      </c>
      <c r="P569" s="392">
        <f t="shared" si="65"/>
        <v>1</v>
      </c>
    </row>
    <row r="570" spans="2:18">
      <c r="B570" s="41"/>
      <c r="C570" s="403">
        <f t="shared" si="67"/>
        <v>44368</v>
      </c>
      <c r="D570" s="56" t="str">
        <f>VLOOKUP(MOD(C570,7),'CALENDAR INFO'!$G$5:$H$11,2)</f>
        <v>MON</v>
      </c>
      <c r="E570" s="165">
        <v>0.1</v>
      </c>
      <c r="F570" s="336">
        <v>0.05</v>
      </c>
      <c r="G570" s="411">
        <f t="shared" si="61"/>
        <v>-0.05</v>
      </c>
      <c r="K570" s="126"/>
      <c r="L570" s="403">
        <f t="shared" si="62"/>
        <v>44368</v>
      </c>
      <c r="M570" s="56" t="str">
        <f t="shared" si="63"/>
        <v>MON</v>
      </c>
      <c r="O570" s="383">
        <f t="shared" si="66"/>
        <v>1</v>
      </c>
      <c r="P570" s="392">
        <f t="shared" si="65"/>
        <v>1.0000013888888888</v>
      </c>
    </row>
    <row r="571" spans="2:18">
      <c r="B571" s="41"/>
      <c r="C571" s="403">
        <f t="shared" si="67"/>
        <v>44369</v>
      </c>
      <c r="D571" s="56" t="str">
        <f>VLOOKUP(MOD(C571,7),'CALENDAR INFO'!$G$5:$H$11,2)</f>
        <v>TUE</v>
      </c>
      <c r="E571" s="165">
        <v>0.1</v>
      </c>
      <c r="F571" s="336">
        <v>0.05</v>
      </c>
      <c r="G571" s="411">
        <f t="shared" si="61"/>
        <v>-0.05</v>
      </c>
      <c r="K571" s="126"/>
      <c r="L571" s="403">
        <f t="shared" si="62"/>
        <v>44369</v>
      </c>
      <c r="M571" s="56" t="str">
        <f t="shared" si="63"/>
        <v>TUE</v>
      </c>
      <c r="O571" s="383">
        <f t="shared" si="66"/>
        <v>1</v>
      </c>
      <c r="P571" s="392">
        <f t="shared" si="65"/>
        <v>1.0000013888888888</v>
      </c>
    </row>
    <row r="572" spans="2:18">
      <c r="B572" s="41"/>
      <c r="C572" s="403">
        <f t="shared" si="67"/>
        <v>44370</v>
      </c>
      <c r="D572" s="56" t="str">
        <f>VLOOKUP(MOD(C572,7),'CALENDAR INFO'!$G$5:$H$11,2)</f>
        <v>WED</v>
      </c>
      <c r="E572" s="165">
        <v>0.1</v>
      </c>
      <c r="F572" s="336">
        <v>0.05</v>
      </c>
      <c r="G572" s="411">
        <f t="shared" si="61"/>
        <v>-0.05</v>
      </c>
      <c r="K572" s="126"/>
      <c r="L572" s="403">
        <f t="shared" si="62"/>
        <v>44370</v>
      </c>
      <c r="M572" s="56" t="str">
        <f t="shared" si="63"/>
        <v>WED</v>
      </c>
      <c r="O572" s="383">
        <f t="shared" si="66"/>
        <v>1</v>
      </c>
      <c r="P572" s="392">
        <f t="shared" si="65"/>
        <v>1.0000013888888888</v>
      </c>
    </row>
    <row r="573" spans="2:18">
      <c r="B573" s="41"/>
      <c r="C573" s="403">
        <f t="shared" si="67"/>
        <v>44371</v>
      </c>
      <c r="D573" s="56" t="str">
        <f>VLOOKUP(MOD(C573,7),'CALENDAR INFO'!$G$5:$H$11,2)</f>
        <v>THU</v>
      </c>
      <c r="E573" s="165">
        <v>0.1</v>
      </c>
      <c r="F573" s="336">
        <v>0.05</v>
      </c>
      <c r="G573" s="411">
        <f t="shared" si="61"/>
        <v>-0.05</v>
      </c>
      <c r="K573" s="126"/>
      <c r="L573" s="403">
        <f t="shared" si="62"/>
        <v>44371</v>
      </c>
      <c r="M573" s="56" t="str">
        <f t="shared" si="63"/>
        <v>THU</v>
      </c>
      <c r="O573" s="383">
        <f t="shared" si="66"/>
        <v>1</v>
      </c>
      <c r="P573" s="392">
        <f t="shared" si="65"/>
        <v>1.0000013888888888</v>
      </c>
    </row>
    <row r="574" spans="2:18">
      <c r="B574" s="41"/>
      <c r="C574" s="403">
        <f t="shared" si="67"/>
        <v>44372</v>
      </c>
      <c r="D574" s="56" t="str">
        <f>VLOOKUP(MOD(C574,7),'CALENDAR INFO'!$G$5:$H$11,2)</f>
        <v>FRI</v>
      </c>
      <c r="E574" s="165">
        <v>0.1</v>
      </c>
      <c r="F574" s="336">
        <v>0.05</v>
      </c>
      <c r="G574" s="411">
        <f t="shared" si="61"/>
        <v>-0.05</v>
      </c>
      <c r="K574" s="126"/>
      <c r="L574" s="403">
        <f t="shared" si="62"/>
        <v>44372</v>
      </c>
      <c r="M574" s="56" t="str">
        <f t="shared" si="63"/>
        <v>FRI</v>
      </c>
      <c r="O574" s="383">
        <f t="shared" si="66"/>
        <v>3</v>
      </c>
      <c r="P574" s="392">
        <f t="shared" si="65"/>
        <v>1.0000041666666666</v>
      </c>
    </row>
    <row r="575" spans="2:18">
      <c r="B575" s="41"/>
      <c r="C575" s="403">
        <f t="shared" si="67"/>
        <v>44373</v>
      </c>
      <c r="D575" s="56" t="str">
        <f>VLOOKUP(MOD(C575,7),'CALENDAR INFO'!$G$5:$H$11,2)</f>
        <v>SAT</v>
      </c>
      <c r="E575" s="165">
        <v>0.1</v>
      </c>
      <c r="F575" s="336">
        <v>0.05</v>
      </c>
      <c r="G575" s="411">
        <f t="shared" si="61"/>
        <v>-0.05</v>
      </c>
      <c r="K575" s="126"/>
      <c r="L575" s="403">
        <f t="shared" si="62"/>
        <v>44373</v>
      </c>
      <c r="M575" s="56" t="str">
        <f t="shared" si="63"/>
        <v>SAT</v>
      </c>
      <c r="O575" s="383">
        <f t="shared" si="66"/>
        <v>0</v>
      </c>
      <c r="P575" s="392">
        <f t="shared" si="65"/>
        <v>1</v>
      </c>
    </row>
    <row r="576" spans="2:18">
      <c r="B576" s="41"/>
      <c r="C576" s="403">
        <f t="shared" si="67"/>
        <v>44374</v>
      </c>
      <c r="D576" s="56" t="str">
        <f>VLOOKUP(MOD(C576,7),'CALENDAR INFO'!$G$5:$H$11,2)</f>
        <v>SUN</v>
      </c>
      <c r="E576" s="165">
        <v>0.1</v>
      </c>
      <c r="F576" s="336">
        <v>0.05</v>
      </c>
      <c r="G576" s="411">
        <f t="shared" si="61"/>
        <v>-0.05</v>
      </c>
      <c r="I576" s="137"/>
      <c r="K576" s="126"/>
      <c r="L576" s="403">
        <f t="shared" si="62"/>
        <v>44374</v>
      </c>
      <c r="M576" s="56" t="str">
        <f t="shared" si="63"/>
        <v>SUN</v>
      </c>
      <c r="O576" s="383">
        <f t="shared" si="66"/>
        <v>0</v>
      </c>
      <c r="P576" s="392">
        <f t="shared" si="65"/>
        <v>1</v>
      </c>
    </row>
    <row r="577" spans="1:16">
      <c r="B577" s="41"/>
      <c r="C577" s="403">
        <f t="shared" si="67"/>
        <v>44375</v>
      </c>
      <c r="D577" s="56" t="str">
        <f>VLOOKUP(MOD(C577,7),'CALENDAR INFO'!$G$5:$H$11,2)</f>
        <v>MON</v>
      </c>
      <c r="E577" s="165">
        <v>0.1</v>
      </c>
      <c r="F577" s="336">
        <v>0.05</v>
      </c>
      <c r="G577" s="411">
        <f t="shared" si="61"/>
        <v>-0.05</v>
      </c>
      <c r="H577" s="115"/>
      <c r="I577" s="148"/>
      <c r="J577" s="160"/>
      <c r="K577" s="126"/>
      <c r="L577" s="403">
        <f t="shared" si="62"/>
        <v>44375</v>
      </c>
      <c r="M577" s="56" t="str">
        <f t="shared" si="63"/>
        <v>MON</v>
      </c>
      <c r="O577" s="383">
        <f t="shared" si="66"/>
        <v>1</v>
      </c>
      <c r="P577" s="392">
        <f t="shared" si="65"/>
        <v>1.0000013888888888</v>
      </c>
    </row>
    <row r="578" spans="1:16">
      <c r="B578" s="41"/>
      <c r="C578" s="403">
        <f t="shared" si="67"/>
        <v>44376</v>
      </c>
      <c r="D578" s="56" t="str">
        <f>VLOOKUP(MOD(C578,7),'CALENDAR INFO'!$G$5:$H$11,2)</f>
        <v>TUE</v>
      </c>
      <c r="E578" s="165">
        <v>0.1</v>
      </c>
      <c r="F578" s="336">
        <v>0.05</v>
      </c>
      <c r="G578" s="411">
        <f t="shared" si="61"/>
        <v>-0.05</v>
      </c>
      <c r="H578" s="115"/>
      <c r="I578" s="141"/>
      <c r="J578" s="158"/>
      <c r="K578" s="126"/>
      <c r="L578" s="403">
        <f t="shared" si="62"/>
        <v>44376</v>
      </c>
      <c r="M578" s="56" t="str">
        <f t="shared" si="63"/>
        <v>TUE</v>
      </c>
      <c r="O578" s="383">
        <f t="shared" si="66"/>
        <v>1</v>
      </c>
      <c r="P578" s="392">
        <f t="shared" si="65"/>
        <v>1.0000013888888888</v>
      </c>
    </row>
    <row r="579" spans="1:16" ht="15.75" thickBot="1">
      <c r="A579" s="81"/>
      <c r="B579" s="178"/>
      <c r="C579" s="404">
        <f t="shared" si="67"/>
        <v>44377</v>
      </c>
      <c r="D579" s="64" t="str">
        <f>VLOOKUP(MOD(C579,7),'CALENDAR INFO'!$G$5:$H$11,2)</f>
        <v>WED</v>
      </c>
      <c r="E579" s="166">
        <v>0.08</v>
      </c>
      <c r="F579" s="337">
        <v>0.05</v>
      </c>
      <c r="G579" s="412">
        <f t="shared" ref="G579:G642" si="68">F579-E579</f>
        <v>-0.03</v>
      </c>
      <c r="H579" s="345"/>
      <c r="I579" s="143"/>
      <c r="J579" s="162"/>
      <c r="K579" s="77" t="s">
        <v>19</v>
      </c>
      <c r="L579" s="404">
        <f t="shared" ref="L579:L642" si="69">C579</f>
        <v>44377</v>
      </c>
      <c r="M579" s="64" t="str">
        <f t="shared" ref="M579:M642" si="70">D579</f>
        <v>WED</v>
      </c>
      <c r="N579" s="90"/>
      <c r="O579" s="382">
        <f t="shared" si="66"/>
        <v>1</v>
      </c>
      <c r="P579" s="388">
        <f t="shared" si="65"/>
        <v>1.0000013888888888</v>
      </c>
    </row>
    <row r="580" spans="1:16">
      <c r="A580" s="83"/>
      <c r="B580" s="179"/>
      <c r="C580" s="406">
        <f t="shared" si="67"/>
        <v>44378</v>
      </c>
      <c r="D580" s="86" t="str">
        <f>VLOOKUP(MOD(C580,7),'CALENDAR INFO'!$G$5:$H$11,2)</f>
        <v>THU</v>
      </c>
      <c r="E580" s="168">
        <v>0.1</v>
      </c>
      <c r="F580" s="340">
        <v>0.05</v>
      </c>
      <c r="G580" s="414">
        <f t="shared" si="68"/>
        <v>-0.05</v>
      </c>
      <c r="H580" s="15" t="s">
        <v>149</v>
      </c>
      <c r="I580" s="15">
        <f>ROW(I580)</f>
        <v>580</v>
      </c>
      <c r="J580" s="138">
        <f>I580</f>
        <v>580</v>
      </c>
      <c r="K580" s="91" t="s">
        <v>18</v>
      </c>
      <c r="L580" s="406">
        <f t="shared" si="69"/>
        <v>44378</v>
      </c>
      <c r="M580" s="86" t="str">
        <f t="shared" si="70"/>
        <v>THU</v>
      </c>
      <c r="N580" s="89"/>
      <c r="O580" s="386">
        <f t="shared" si="66"/>
        <v>1</v>
      </c>
      <c r="P580" s="390">
        <f t="shared" si="65"/>
        <v>1.0000013888888888</v>
      </c>
    </row>
    <row r="581" spans="1:16">
      <c r="B581" s="41"/>
      <c r="C581" s="403">
        <f t="shared" si="67"/>
        <v>44379</v>
      </c>
      <c r="D581" s="56" t="str">
        <f>VLOOKUP(MOD(C581,7),'CALENDAR INFO'!$G$5:$H$11,2)</f>
        <v>FRI</v>
      </c>
      <c r="E581" s="165">
        <v>0.1</v>
      </c>
      <c r="F581" s="336">
        <v>0.05</v>
      </c>
      <c r="G581" s="411">
        <f t="shared" si="68"/>
        <v>-0.05</v>
      </c>
      <c r="H581" s="376" t="s">
        <v>210</v>
      </c>
      <c r="I581" s="15">
        <f>VLOOKUP(MONTH($C580),'CALENDAR INFO'!$J$5:$K$16,2)</f>
        <v>31</v>
      </c>
      <c r="J581" s="138">
        <f>I581</f>
        <v>31</v>
      </c>
      <c r="K581" s="129"/>
      <c r="L581" s="403">
        <f t="shared" si="69"/>
        <v>44379</v>
      </c>
      <c r="M581" s="56" t="str">
        <f t="shared" si="70"/>
        <v>FRI</v>
      </c>
      <c r="O581" s="384">
        <v>4</v>
      </c>
      <c r="P581" s="392">
        <f t="shared" si="65"/>
        <v>1.0000055555555556</v>
      </c>
    </row>
    <row r="582" spans="1:16">
      <c r="B582" s="41"/>
      <c r="C582" s="403">
        <f t="shared" si="67"/>
        <v>44380</v>
      </c>
      <c r="D582" s="56" t="str">
        <f>VLOOKUP(MOD(C582,7),'CALENDAR INFO'!$G$5:$H$11,2)</f>
        <v>SAT</v>
      </c>
      <c r="E582" s="165">
        <v>0.1</v>
      </c>
      <c r="F582" s="336">
        <v>0.05</v>
      </c>
      <c r="G582" s="411">
        <f t="shared" si="68"/>
        <v>-0.05</v>
      </c>
      <c r="H582" s="376" t="s">
        <v>211</v>
      </c>
      <c r="I582" s="15">
        <f>I581+I580-1</f>
        <v>610</v>
      </c>
      <c r="J582" s="138">
        <f>I582</f>
        <v>610</v>
      </c>
      <c r="K582" s="129"/>
      <c r="L582" s="403">
        <f t="shared" si="69"/>
        <v>44380</v>
      </c>
      <c r="M582" s="56" t="str">
        <f t="shared" si="70"/>
        <v>SAT</v>
      </c>
      <c r="O582" s="383">
        <f>IF(MOD(C582,7)&lt;2,0,IF(MOD(C582,7)=6,3,1))</f>
        <v>0</v>
      </c>
      <c r="P582" s="392">
        <f t="shared" si="65"/>
        <v>1</v>
      </c>
    </row>
    <row r="583" spans="1:16">
      <c r="B583" s="41"/>
      <c r="C583" s="403">
        <f t="shared" si="67"/>
        <v>44381</v>
      </c>
      <c r="D583" s="56" t="str">
        <f>VLOOKUP(MOD(C583,7),'CALENDAR INFO'!$G$5:$H$11,2)</f>
        <v>SUN</v>
      </c>
      <c r="E583" s="165">
        <v>0.1</v>
      </c>
      <c r="F583" s="336">
        <v>0.05</v>
      </c>
      <c r="G583" s="411">
        <f t="shared" si="68"/>
        <v>-0.05</v>
      </c>
      <c r="K583" s="129"/>
      <c r="L583" s="403">
        <f t="shared" si="69"/>
        <v>44381</v>
      </c>
      <c r="M583" s="56" t="str">
        <f t="shared" si="70"/>
        <v>SUN</v>
      </c>
      <c r="O583" s="383">
        <f>IF(MOD(C583,7)&lt;2,0,IF(MOD(C583,7)=6,3,1))</f>
        <v>0</v>
      </c>
      <c r="P583" s="392">
        <f t="shared" si="65"/>
        <v>1</v>
      </c>
    </row>
    <row r="584" spans="1:16">
      <c r="B584" s="41"/>
      <c r="C584" s="403">
        <f t="shared" si="67"/>
        <v>44382</v>
      </c>
      <c r="D584" s="56" t="str">
        <f>VLOOKUP(MOD(C584,7),'CALENDAR INFO'!$G$5:$H$11,2)</f>
        <v>MON</v>
      </c>
      <c r="E584" s="165">
        <v>0.1</v>
      </c>
      <c r="F584" s="336">
        <v>0.05</v>
      </c>
      <c r="G584" s="411">
        <f t="shared" si="68"/>
        <v>-0.05</v>
      </c>
      <c r="H584" s="15" t="s">
        <v>150</v>
      </c>
      <c r="I584" s="137" t="str">
        <f>_xlfn.CONCAT(ADDRESS(I580,5),":",ADDRESS(I582,5))</f>
        <v>$E$580:$E$610</v>
      </c>
      <c r="J584" s="150" t="str">
        <f>_xlfn.CONCAT(ADDRESS(J580,6),":",ADDRESS(J582,6))</f>
        <v>$F$580:$F$610</v>
      </c>
      <c r="K584" s="129"/>
      <c r="L584" s="403">
        <f t="shared" si="69"/>
        <v>44382</v>
      </c>
      <c r="M584" s="56" t="str">
        <f t="shared" si="70"/>
        <v>MON</v>
      </c>
      <c r="N584" s="134" t="s">
        <v>49</v>
      </c>
      <c r="O584" s="384">
        <v>0</v>
      </c>
      <c r="P584" s="392">
        <f t="shared" si="65"/>
        <v>1</v>
      </c>
    </row>
    <row r="585" spans="1:16">
      <c r="B585" s="41"/>
      <c r="C585" s="403">
        <f t="shared" si="67"/>
        <v>44383</v>
      </c>
      <c r="D585" s="56" t="str">
        <f>VLOOKUP(MOD(C585,7),'CALENDAR INFO'!$G$5:$H$11,2)</f>
        <v>TUE</v>
      </c>
      <c r="E585" s="165">
        <v>0.1</v>
      </c>
      <c r="F585" s="336">
        <v>0.05</v>
      </c>
      <c r="G585" s="411">
        <f t="shared" si="68"/>
        <v>-0.05</v>
      </c>
      <c r="K585" s="129"/>
      <c r="L585" s="403">
        <f t="shared" si="69"/>
        <v>44383</v>
      </c>
      <c r="M585" s="56" t="str">
        <f t="shared" si="70"/>
        <v>TUE</v>
      </c>
      <c r="O585" s="383">
        <f t="shared" ref="O585:O616" si="71">IF(MOD(C585,7)&lt;2,0,IF(MOD(C585,7)=6,3,1))</f>
        <v>1</v>
      </c>
      <c r="P585" s="392">
        <f t="shared" si="65"/>
        <v>1.0000013888888888</v>
      </c>
    </row>
    <row r="586" spans="1:16">
      <c r="B586" s="41"/>
      <c r="C586" s="403">
        <f t="shared" si="67"/>
        <v>44384</v>
      </c>
      <c r="D586" s="56" t="str">
        <f>VLOOKUP(MOD(C586,7),'CALENDAR INFO'!$G$5:$H$11,2)</f>
        <v>WED</v>
      </c>
      <c r="E586" s="165">
        <v>0.1</v>
      </c>
      <c r="F586" s="336">
        <v>0.05</v>
      </c>
      <c r="G586" s="411">
        <f t="shared" si="68"/>
        <v>-0.05</v>
      </c>
      <c r="H586" s="376" t="s">
        <v>221</v>
      </c>
      <c r="I586" s="147">
        <f ca="1">AVERAGE(INDIRECT(I584))</f>
        <v>9.8064516129032289E-2</v>
      </c>
      <c r="J586" s="326">
        <f ca="1">AVERAGE(INDIRECT(J584))</f>
        <v>5.0000000000000024E-2</v>
      </c>
      <c r="K586" s="129"/>
      <c r="L586" s="403">
        <f t="shared" si="69"/>
        <v>44384</v>
      </c>
      <c r="M586" s="56" t="str">
        <f t="shared" si="70"/>
        <v>WED</v>
      </c>
      <c r="O586" s="383">
        <f t="shared" si="71"/>
        <v>1</v>
      </c>
      <c r="P586" s="392">
        <f t="shared" si="65"/>
        <v>1.0000013888888888</v>
      </c>
    </row>
    <row r="587" spans="1:16">
      <c r="B587" s="41"/>
      <c r="C587" s="403">
        <f t="shared" si="67"/>
        <v>44385</v>
      </c>
      <c r="D587" s="56" t="str">
        <f>VLOOKUP(MOD(C587,7),'CALENDAR INFO'!$G$5:$H$11,2)</f>
        <v>THU</v>
      </c>
      <c r="E587" s="165">
        <v>0.1</v>
      </c>
      <c r="F587" s="336">
        <v>0.05</v>
      </c>
      <c r="G587" s="411">
        <f t="shared" si="68"/>
        <v>-0.05</v>
      </c>
      <c r="I587" s="240"/>
      <c r="J587" s="157"/>
      <c r="K587" s="129"/>
      <c r="L587" s="403">
        <f t="shared" si="69"/>
        <v>44385</v>
      </c>
      <c r="M587" s="56" t="str">
        <f t="shared" si="70"/>
        <v>THU</v>
      </c>
      <c r="O587" s="383">
        <f t="shared" si="71"/>
        <v>1</v>
      </c>
      <c r="P587" s="392">
        <f t="shared" si="65"/>
        <v>1.0000013888888888</v>
      </c>
    </row>
    <row r="588" spans="1:16">
      <c r="B588" s="41"/>
      <c r="C588" s="403">
        <f t="shared" si="67"/>
        <v>44386</v>
      </c>
      <c r="D588" s="56" t="str">
        <f>VLOOKUP(MOD(C588,7),'CALENDAR INFO'!$G$5:$H$11,2)</f>
        <v>FRI</v>
      </c>
      <c r="E588" s="165">
        <v>0.1</v>
      </c>
      <c r="F588" s="336">
        <v>0.05</v>
      </c>
      <c r="G588" s="411">
        <f t="shared" si="68"/>
        <v>-0.05</v>
      </c>
      <c r="H588" s="15" t="s">
        <v>222</v>
      </c>
      <c r="I588" s="147">
        <f ca="1">100-I586</f>
        <v>99.901935483870972</v>
      </c>
      <c r="J588" s="326">
        <f ca="1">100-J586</f>
        <v>99.95</v>
      </c>
      <c r="K588" s="129"/>
      <c r="L588" s="403">
        <f t="shared" si="69"/>
        <v>44386</v>
      </c>
      <c r="M588" s="56" t="str">
        <f t="shared" si="70"/>
        <v>FRI</v>
      </c>
      <c r="O588" s="383">
        <f t="shared" si="71"/>
        <v>3</v>
      </c>
      <c r="P588" s="392">
        <f t="shared" si="65"/>
        <v>1.0000041666666666</v>
      </c>
    </row>
    <row r="589" spans="1:16">
      <c r="B589" s="41"/>
      <c r="C589" s="403">
        <f t="shared" si="67"/>
        <v>44387</v>
      </c>
      <c r="D589" s="56" t="str">
        <f>VLOOKUP(MOD(C589,7),'CALENDAR INFO'!$G$5:$H$11,2)</f>
        <v>SAT</v>
      </c>
      <c r="E589" s="165">
        <v>0.1</v>
      </c>
      <c r="F589" s="336">
        <v>0.05</v>
      </c>
      <c r="G589" s="411">
        <f t="shared" si="68"/>
        <v>-0.05</v>
      </c>
      <c r="I589" s="137"/>
      <c r="J589" s="150"/>
      <c r="K589" s="129"/>
      <c r="L589" s="403">
        <f t="shared" si="69"/>
        <v>44387</v>
      </c>
      <c r="M589" s="56" t="str">
        <f t="shared" si="70"/>
        <v>SAT</v>
      </c>
      <c r="O589" s="383">
        <f t="shared" si="71"/>
        <v>0</v>
      </c>
      <c r="P589" s="392">
        <f t="shared" si="65"/>
        <v>1</v>
      </c>
    </row>
    <row r="590" spans="1:16">
      <c r="B590" s="41"/>
      <c r="C590" s="403">
        <f t="shared" si="67"/>
        <v>44388</v>
      </c>
      <c r="D590" s="56" t="str">
        <f>VLOOKUP(MOD(C590,7),'CALENDAR INFO'!$G$5:$H$11,2)</f>
        <v>SUN</v>
      </c>
      <c r="E590" s="165">
        <v>0.1</v>
      </c>
      <c r="F590" s="336">
        <v>0.05</v>
      </c>
      <c r="G590" s="411">
        <f t="shared" si="68"/>
        <v>-0.05</v>
      </c>
      <c r="I590" s="137"/>
      <c r="J590" s="150"/>
      <c r="K590" s="129"/>
      <c r="L590" s="403">
        <f t="shared" si="69"/>
        <v>44388</v>
      </c>
      <c r="M590" s="56" t="str">
        <f t="shared" si="70"/>
        <v>SUN</v>
      </c>
      <c r="O590" s="383">
        <f t="shared" si="71"/>
        <v>0</v>
      </c>
      <c r="P590" s="392">
        <f t="shared" si="65"/>
        <v>1</v>
      </c>
    </row>
    <row r="591" spans="1:16">
      <c r="B591" s="41"/>
      <c r="C591" s="403">
        <f t="shared" si="67"/>
        <v>44389</v>
      </c>
      <c r="D591" s="56" t="str">
        <f>VLOOKUP(MOD(C591,7),'CALENDAR INFO'!$G$5:$H$11,2)</f>
        <v>MON</v>
      </c>
      <c r="E591" s="165">
        <v>0.1</v>
      </c>
      <c r="F591" s="336">
        <v>0.05</v>
      </c>
      <c r="G591" s="411">
        <f t="shared" si="68"/>
        <v>-0.05</v>
      </c>
      <c r="I591" s="137"/>
      <c r="J591" s="150"/>
      <c r="K591" s="129"/>
      <c r="L591" s="403">
        <f t="shared" si="69"/>
        <v>44389</v>
      </c>
      <c r="M591" s="56" t="str">
        <f t="shared" si="70"/>
        <v>MON</v>
      </c>
      <c r="O591" s="383">
        <f t="shared" si="71"/>
        <v>1</v>
      </c>
      <c r="P591" s="392">
        <f t="shared" si="65"/>
        <v>1.0000013888888888</v>
      </c>
    </row>
    <row r="592" spans="1:16">
      <c r="B592" s="41"/>
      <c r="C592" s="403">
        <f t="shared" si="67"/>
        <v>44390</v>
      </c>
      <c r="D592" s="56" t="str">
        <f>VLOOKUP(MOD(C592,7),'CALENDAR INFO'!$G$5:$H$11,2)</f>
        <v>TUE</v>
      </c>
      <c r="E592" s="165">
        <v>0.1</v>
      </c>
      <c r="F592" s="336">
        <v>0.05</v>
      </c>
      <c r="G592" s="411">
        <f t="shared" si="68"/>
        <v>-0.05</v>
      </c>
      <c r="H592" s="136"/>
      <c r="I592" s="139"/>
      <c r="J592" s="151"/>
      <c r="K592" s="129"/>
      <c r="L592" s="403">
        <f t="shared" si="69"/>
        <v>44390</v>
      </c>
      <c r="M592" s="56" t="str">
        <f t="shared" si="70"/>
        <v>TUE</v>
      </c>
      <c r="O592" s="383">
        <f t="shared" si="71"/>
        <v>1</v>
      </c>
      <c r="P592" s="392">
        <f t="shared" si="65"/>
        <v>1.0000013888888888</v>
      </c>
    </row>
    <row r="593" spans="2:16">
      <c r="B593" s="41"/>
      <c r="C593" s="403">
        <f t="shared" si="67"/>
        <v>44391</v>
      </c>
      <c r="D593" s="56" t="str">
        <f>VLOOKUP(MOD(C593,7),'CALENDAR INFO'!$G$5:$H$11,2)</f>
        <v>WED</v>
      </c>
      <c r="E593" s="165">
        <v>0.1</v>
      </c>
      <c r="F593" s="336">
        <v>0.05</v>
      </c>
      <c r="G593" s="411">
        <f t="shared" si="68"/>
        <v>-0.05</v>
      </c>
      <c r="K593" s="129" t="s">
        <v>19</v>
      </c>
      <c r="L593" s="403">
        <f t="shared" si="69"/>
        <v>44391</v>
      </c>
      <c r="M593" s="56" t="str">
        <f t="shared" si="70"/>
        <v>WED</v>
      </c>
      <c r="O593" s="383">
        <f t="shared" si="71"/>
        <v>1</v>
      </c>
      <c r="P593" s="392">
        <f t="shared" si="65"/>
        <v>1.0000013888888888</v>
      </c>
    </row>
    <row r="594" spans="2:16">
      <c r="B594" s="41"/>
      <c r="C594" s="403">
        <f t="shared" si="67"/>
        <v>44392</v>
      </c>
      <c r="D594" s="56" t="str">
        <f>VLOOKUP(MOD(C594,7),'CALENDAR INFO'!$G$5:$H$11,2)</f>
        <v>THU</v>
      </c>
      <c r="E594" s="165">
        <v>0.1</v>
      </c>
      <c r="F594" s="336">
        <v>0.05</v>
      </c>
      <c r="G594" s="411">
        <f t="shared" si="68"/>
        <v>-0.05</v>
      </c>
      <c r="H594" s="135"/>
      <c r="I594" s="144"/>
      <c r="J594" s="152"/>
      <c r="K594" s="126" t="s">
        <v>18</v>
      </c>
      <c r="L594" s="403">
        <f t="shared" si="69"/>
        <v>44392</v>
      </c>
      <c r="M594" s="56" t="str">
        <f t="shared" si="70"/>
        <v>THU</v>
      </c>
      <c r="O594" s="383">
        <f t="shared" si="71"/>
        <v>1</v>
      </c>
      <c r="P594" s="392">
        <f t="shared" si="65"/>
        <v>1.0000013888888888</v>
      </c>
    </row>
    <row r="595" spans="2:16">
      <c r="B595" s="41"/>
      <c r="C595" s="403">
        <f t="shared" si="67"/>
        <v>44393</v>
      </c>
      <c r="D595" s="56" t="str">
        <f>VLOOKUP(MOD(C595,7),'CALENDAR INFO'!$G$5:$H$11,2)</f>
        <v>FRI</v>
      </c>
      <c r="E595" s="165">
        <v>0.1</v>
      </c>
      <c r="F595" s="336">
        <v>0.05</v>
      </c>
      <c r="G595" s="411">
        <f t="shared" si="68"/>
        <v>-0.05</v>
      </c>
      <c r="K595" s="126"/>
      <c r="L595" s="403">
        <f t="shared" si="69"/>
        <v>44393</v>
      </c>
      <c r="M595" s="56" t="str">
        <f t="shared" si="70"/>
        <v>FRI</v>
      </c>
      <c r="O595" s="383">
        <f t="shared" si="71"/>
        <v>3</v>
      </c>
      <c r="P595" s="392">
        <f t="shared" ref="P595:P658" si="72">1+(O595/360)*(MAX(F595,B595)/100)</f>
        <v>1.0000041666666666</v>
      </c>
    </row>
    <row r="596" spans="2:16">
      <c r="B596" s="41"/>
      <c r="C596" s="403">
        <f t="shared" si="67"/>
        <v>44394</v>
      </c>
      <c r="D596" s="56" t="str">
        <f>VLOOKUP(MOD(C596,7),'CALENDAR INFO'!$G$5:$H$11,2)</f>
        <v>SAT</v>
      </c>
      <c r="E596" s="165">
        <v>0.1</v>
      </c>
      <c r="F596" s="336">
        <v>0.05</v>
      </c>
      <c r="G596" s="411">
        <f t="shared" si="68"/>
        <v>-0.05</v>
      </c>
      <c r="K596" s="126"/>
      <c r="L596" s="403">
        <f t="shared" si="69"/>
        <v>44394</v>
      </c>
      <c r="M596" s="56" t="str">
        <f t="shared" si="70"/>
        <v>SAT</v>
      </c>
      <c r="O596" s="383">
        <f t="shared" si="71"/>
        <v>0</v>
      </c>
      <c r="P596" s="392">
        <f t="shared" si="72"/>
        <v>1</v>
      </c>
    </row>
    <row r="597" spans="2:16">
      <c r="B597" s="41"/>
      <c r="C597" s="403">
        <f t="shared" si="67"/>
        <v>44395</v>
      </c>
      <c r="D597" s="56" t="str">
        <f>VLOOKUP(MOD(C597,7),'CALENDAR INFO'!$G$5:$H$11,2)</f>
        <v>SUN</v>
      </c>
      <c r="E597" s="165">
        <v>0.1</v>
      </c>
      <c r="F597" s="336">
        <v>0.05</v>
      </c>
      <c r="G597" s="411">
        <f t="shared" si="68"/>
        <v>-0.05</v>
      </c>
      <c r="K597" s="126"/>
      <c r="L597" s="403">
        <f t="shared" si="69"/>
        <v>44395</v>
      </c>
      <c r="M597" s="56" t="str">
        <f t="shared" si="70"/>
        <v>SUN</v>
      </c>
      <c r="O597" s="383">
        <f t="shared" si="71"/>
        <v>0</v>
      </c>
      <c r="P597" s="392">
        <f t="shared" si="72"/>
        <v>1</v>
      </c>
    </row>
    <row r="598" spans="2:16">
      <c r="B598" s="41"/>
      <c r="C598" s="403">
        <f t="shared" si="67"/>
        <v>44396</v>
      </c>
      <c r="D598" s="56" t="str">
        <f>VLOOKUP(MOD(C598,7),'CALENDAR INFO'!$G$5:$H$11,2)</f>
        <v>MON</v>
      </c>
      <c r="E598" s="165">
        <v>0.1</v>
      </c>
      <c r="F598" s="336">
        <v>0.05</v>
      </c>
      <c r="G598" s="411">
        <f t="shared" si="68"/>
        <v>-0.05</v>
      </c>
      <c r="K598" s="126"/>
      <c r="L598" s="403">
        <f t="shared" si="69"/>
        <v>44396</v>
      </c>
      <c r="M598" s="56" t="str">
        <f t="shared" si="70"/>
        <v>MON</v>
      </c>
      <c r="O598" s="383">
        <f t="shared" si="71"/>
        <v>1</v>
      </c>
      <c r="P598" s="392">
        <f t="shared" si="72"/>
        <v>1.0000013888888888</v>
      </c>
    </row>
    <row r="599" spans="2:16">
      <c r="B599" s="41"/>
      <c r="C599" s="403">
        <f t="shared" si="67"/>
        <v>44397</v>
      </c>
      <c r="D599" s="56" t="str">
        <f>VLOOKUP(MOD(C599,7),'CALENDAR INFO'!$G$5:$H$11,2)</f>
        <v>TUE</v>
      </c>
      <c r="E599" s="165">
        <v>0.1</v>
      </c>
      <c r="F599" s="336">
        <v>0.05</v>
      </c>
      <c r="G599" s="411">
        <f t="shared" si="68"/>
        <v>-0.05</v>
      </c>
      <c r="K599" s="126"/>
      <c r="L599" s="403">
        <f t="shared" si="69"/>
        <v>44397</v>
      </c>
      <c r="M599" s="56" t="str">
        <f t="shared" si="70"/>
        <v>TUE</v>
      </c>
      <c r="O599" s="383">
        <f t="shared" si="71"/>
        <v>1</v>
      </c>
      <c r="P599" s="392">
        <f t="shared" si="72"/>
        <v>1.0000013888888888</v>
      </c>
    </row>
    <row r="600" spans="2:16">
      <c r="B600" s="41"/>
      <c r="C600" s="403">
        <f t="shared" si="67"/>
        <v>44398</v>
      </c>
      <c r="D600" s="56" t="str">
        <f>VLOOKUP(MOD(C600,7),'CALENDAR INFO'!$G$5:$H$11,2)</f>
        <v>WED</v>
      </c>
      <c r="E600" s="165">
        <v>0.1</v>
      </c>
      <c r="F600" s="336">
        <v>0.05</v>
      </c>
      <c r="G600" s="411">
        <f t="shared" si="68"/>
        <v>-0.05</v>
      </c>
      <c r="K600" s="126"/>
      <c r="L600" s="403">
        <f t="shared" si="69"/>
        <v>44398</v>
      </c>
      <c r="M600" s="56" t="str">
        <f t="shared" si="70"/>
        <v>WED</v>
      </c>
      <c r="O600" s="383">
        <f t="shared" si="71"/>
        <v>1</v>
      </c>
      <c r="P600" s="392">
        <f t="shared" si="72"/>
        <v>1.0000013888888888</v>
      </c>
    </row>
    <row r="601" spans="2:16">
      <c r="B601" s="41"/>
      <c r="C601" s="403">
        <f t="shared" si="67"/>
        <v>44399</v>
      </c>
      <c r="D601" s="56" t="str">
        <f>VLOOKUP(MOD(C601,7),'CALENDAR INFO'!$G$5:$H$11,2)</f>
        <v>THU</v>
      </c>
      <c r="E601" s="165">
        <v>0.1</v>
      </c>
      <c r="F601" s="336">
        <v>0.05</v>
      </c>
      <c r="G601" s="411">
        <f t="shared" si="68"/>
        <v>-0.05</v>
      </c>
      <c r="K601" s="126"/>
      <c r="L601" s="403">
        <f t="shared" si="69"/>
        <v>44399</v>
      </c>
      <c r="M601" s="56" t="str">
        <f t="shared" si="70"/>
        <v>THU</v>
      </c>
      <c r="O601" s="383">
        <f t="shared" si="71"/>
        <v>1</v>
      </c>
      <c r="P601" s="392">
        <f t="shared" si="72"/>
        <v>1.0000013888888888</v>
      </c>
    </row>
    <row r="602" spans="2:16">
      <c r="B602" s="41"/>
      <c r="C602" s="403">
        <f t="shared" si="67"/>
        <v>44400</v>
      </c>
      <c r="D602" s="56" t="str">
        <f>VLOOKUP(MOD(C602,7),'CALENDAR INFO'!$G$5:$H$11,2)</f>
        <v>FRI</v>
      </c>
      <c r="E602" s="165">
        <v>0.1</v>
      </c>
      <c r="F602" s="336">
        <v>0.05</v>
      </c>
      <c r="G602" s="411">
        <f t="shared" si="68"/>
        <v>-0.05</v>
      </c>
      <c r="K602" s="126"/>
      <c r="L602" s="403">
        <f t="shared" si="69"/>
        <v>44400</v>
      </c>
      <c r="M602" s="56" t="str">
        <f t="shared" si="70"/>
        <v>FRI</v>
      </c>
      <c r="O602" s="383">
        <f t="shared" si="71"/>
        <v>3</v>
      </c>
      <c r="P602" s="392">
        <f t="shared" si="72"/>
        <v>1.0000041666666666</v>
      </c>
    </row>
    <row r="603" spans="2:16">
      <c r="B603" s="41"/>
      <c r="C603" s="403">
        <f t="shared" si="67"/>
        <v>44401</v>
      </c>
      <c r="D603" s="56" t="str">
        <f>VLOOKUP(MOD(C603,7),'CALENDAR INFO'!$G$5:$H$11,2)</f>
        <v>SAT</v>
      </c>
      <c r="E603" s="165">
        <v>0.1</v>
      </c>
      <c r="F603" s="336">
        <v>0.05</v>
      </c>
      <c r="G603" s="411">
        <f t="shared" si="68"/>
        <v>-0.05</v>
      </c>
      <c r="K603" s="126"/>
      <c r="L603" s="403">
        <f t="shared" si="69"/>
        <v>44401</v>
      </c>
      <c r="M603" s="56" t="str">
        <f t="shared" si="70"/>
        <v>SAT</v>
      </c>
      <c r="O603" s="383">
        <f t="shared" si="71"/>
        <v>0</v>
      </c>
      <c r="P603" s="392">
        <f t="shared" si="72"/>
        <v>1</v>
      </c>
    </row>
    <row r="604" spans="2:16">
      <c r="B604" s="41"/>
      <c r="C604" s="403">
        <f t="shared" si="67"/>
        <v>44402</v>
      </c>
      <c r="D604" s="56" t="str">
        <f>VLOOKUP(MOD(C604,7),'CALENDAR INFO'!$G$5:$H$11,2)</f>
        <v>SUN</v>
      </c>
      <c r="E604" s="165">
        <v>0.1</v>
      </c>
      <c r="F604" s="336">
        <v>0.05</v>
      </c>
      <c r="G604" s="411">
        <f t="shared" si="68"/>
        <v>-0.05</v>
      </c>
      <c r="K604" s="126"/>
      <c r="L604" s="403">
        <f t="shared" si="69"/>
        <v>44402</v>
      </c>
      <c r="M604" s="56" t="str">
        <f t="shared" si="70"/>
        <v>SUN</v>
      </c>
      <c r="O604" s="383">
        <f t="shared" si="71"/>
        <v>0</v>
      </c>
      <c r="P604" s="392">
        <f t="shared" si="72"/>
        <v>1</v>
      </c>
    </row>
    <row r="605" spans="2:16">
      <c r="B605" s="41"/>
      <c r="C605" s="403">
        <f t="shared" si="67"/>
        <v>44403</v>
      </c>
      <c r="D605" s="56" t="str">
        <f>VLOOKUP(MOD(C605,7),'CALENDAR INFO'!$G$5:$H$11,2)</f>
        <v>MON</v>
      </c>
      <c r="E605" s="165">
        <v>0.1</v>
      </c>
      <c r="F605" s="336">
        <v>0.05</v>
      </c>
      <c r="G605" s="411">
        <f t="shared" si="68"/>
        <v>-0.05</v>
      </c>
      <c r="K605" s="126"/>
      <c r="L605" s="403">
        <f t="shared" si="69"/>
        <v>44403</v>
      </c>
      <c r="M605" s="56" t="str">
        <f t="shared" si="70"/>
        <v>MON</v>
      </c>
      <c r="O605" s="383">
        <f t="shared" si="71"/>
        <v>1</v>
      </c>
      <c r="P605" s="392">
        <f t="shared" si="72"/>
        <v>1.0000013888888888</v>
      </c>
    </row>
    <row r="606" spans="2:16">
      <c r="B606" s="41"/>
      <c r="C606" s="403">
        <f t="shared" si="67"/>
        <v>44404</v>
      </c>
      <c r="D606" s="56" t="str">
        <f>VLOOKUP(MOD(C606,7),'CALENDAR INFO'!$G$5:$H$11,2)</f>
        <v>TUE</v>
      </c>
      <c r="E606" s="165">
        <v>0.1</v>
      </c>
      <c r="F606" s="336">
        <v>0.05</v>
      </c>
      <c r="G606" s="411">
        <f t="shared" si="68"/>
        <v>-0.05</v>
      </c>
      <c r="I606" s="137"/>
      <c r="K606" s="126"/>
      <c r="L606" s="403">
        <f t="shared" si="69"/>
        <v>44404</v>
      </c>
      <c r="M606" s="56" t="str">
        <f t="shared" si="70"/>
        <v>TUE</v>
      </c>
      <c r="N606" s="116" t="s">
        <v>20</v>
      </c>
      <c r="O606" s="383">
        <f t="shared" si="71"/>
        <v>1</v>
      </c>
      <c r="P606" s="392">
        <f t="shared" si="72"/>
        <v>1.0000013888888888</v>
      </c>
    </row>
    <row r="607" spans="2:16">
      <c r="B607" s="41"/>
      <c r="C607" s="403">
        <f t="shared" si="67"/>
        <v>44405</v>
      </c>
      <c r="D607" s="56" t="str">
        <f>VLOOKUP(MOD(C607,7),'CALENDAR INFO'!$G$5:$H$11,2)</f>
        <v>WED</v>
      </c>
      <c r="E607" s="165">
        <v>0.1</v>
      </c>
      <c r="F607" s="336">
        <v>0.05</v>
      </c>
      <c r="G607" s="411">
        <f t="shared" si="68"/>
        <v>-0.05</v>
      </c>
      <c r="H607" s="115"/>
      <c r="I607" s="141"/>
      <c r="J607" s="158"/>
      <c r="K607" s="126" t="s">
        <v>19</v>
      </c>
      <c r="L607" s="403">
        <f t="shared" si="69"/>
        <v>44405</v>
      </c>
      <c r="M607" s="56" t="str">
        <f t="shared" si="70"/>
        <v>WED</v>
      </c>
      <c r="N607" s="116" t="s">
        <v>20</v>
      </c>
      <c r="O607" s="383">
        <f t="shared" si="71"/>
        <v>1</v>
      </c>
      <c r="P607" s="392">
        <f t="shared" si="72"/>
        <v>1.0000013888888888</v>
      </c>
    </row>
    <row r="608" spans="2:16">
      <c r="B608" s="41"/>
      <c r="C608" s="403">
        <f t="shared" si="67"/>
        <v>44406</v>
      </c>
      <c r="D608" s="56" t="str">
        <f>VLOOKUP(MOD(C608,7),'CALENDAR INFO'!$G$5:$H$11,2)</f>
        <v>THU</v>
      </c>
      <c r="E608" s="165">
        <v>0.1</v>
      </c>
      <c r="F608" s="336">
        <v>0.05</v>
      </c>
      <c r="G608" s="411">
        <f t="shared" si="68"/>
        <v>-0.05</v>
      </c>
      <c r="H608" s="115"/>
      <c r="I608" s="148"/>
      <c r="J608" s="160"/>
      <c r="K608" s="129" t="s">
        <v>18</v>
      </c>
      <c r="L608" s="403">
        <f t="shared" si="69"/>
        <v>44406</v>
      </c>
      <c r="M608" s="56" t="str">
        <f t="shared" si="70"/>
        <v>THU</v>
      </c>
      <c r="O608" s="383">
        <f t="shared" si="71"/>
        <v>1</v>
      </c>
      <c r="P608" s="392">
        <f t="shared" si="72"/>
        <v>1.0000013888888888</v>
      </c>
    </row>
    <row r="609" spans="1:18">
      <c r="B609" s="41"/>
      <c r="C609" s="403">
        <f t="shared" si="67"/>
        <v>44407</v>
      </c>
      <c r="D609" s="56" t="str">
        <f>VLOOKUP(MOD(C609,7),'CALENDAR INFO'!$G$5:$H$11,2)</f>
        <v>FRI</v>
      </c>
      <c r="E609" s="165">
        <v>7.0000000000000007E-2</v>
      </c>
      <c r="F609" s="336">
        <v>0.05</v>
      </c>
      <c r="G609" s="411">
        <f t="shared" si="68"/>
        <v>-2.0000000000000004E-2</v>
      </c>
      <c r="H609" s="115"/>
      <c r="I609" s="141"/>
      <c r="J609" s="158"/>
      <c r="K609" s="129"/>
      <c r="L609" s="403">
        <f t="shared" si="69"/>
        <v>44407</v>
      </c>
      <c r="M609" s="56" t="str">
        <f t="shared" si="70"/>
        <v>FRI</v>
      </c>
      <c r="O609" s="383">
        <f t="shared" si="71"/>
        <v>3</v>
      </c>
      <c r="P609" s="392">
        <f t="shared" si="72"/>
        <v>1.0000041666666666</v>
      </c>
    </row>
    <row r="610" spans="1:18" ht="15.75" thickBot="1">
      <c r="A610" s="81"/>
      <c r="B610" s="178"/>
      <c r="C610" s="404">
        <f t="shared" si="67"/>
        <v>44408</v>
      </c>
      <c r="D610" s="64" t="str">
        <f>VLOOKUP(MOD(C610,7),'CALENDAR INFO'!$G$5:$H$11,2)</f>
        <v>SAT</v>
      </c>
      <c r="E610" s="166">
        <v>7.0000000000000007E-2</v>
      </c>
      <c r="F610" s="337">
        <v>0.05</v>
      </c>
      <c r="G610" s="412">
        <f t="shared" si="68"/>
        <v>-2.0000000000000004E-2</v>
      </c>
      <c r="H610" s="345"/>
      <c r="I610" s="143"/>
      <c r="J610" s="162"/>
      <c r="K610" s="84"/>
      <c r="L610" s="404">
        <f t="shared" si="69"/>
        <v>44408</v>
      </c>
      <c r="M610" s="64" t="str">
        <f t="shared" si="70"/>
        <v>SAT</v>
      </c>
      <c r="N610" s="90"/>
      <c r="O610" s="382">
        <f t="shared" si="71"/>
        <v>0</v>
      </c>
      <c r="P610" s="388">
        <f t="shared" si="72"/>
        <v>1</v>
      </c>
    </row>
    <row r="611" spans="1:18">
      <c r="A611" s="83"/>
      <c r="B611" s="179"/>
      <c r="C611" s="406">
        <f t="shared" si="67"/>
        <v>44409</v>
      </c>
      <c r="D611" s="86" t="str">
        <f>VLOOKUP(MOD(C611,7),'CALENDAR INFO'!$G$5:$H$11,2)</f>
        <v>SUN</v>
      </c>
      <c r="E611" s="168">
        <v>7.0000000000000007E-2</v>
      </c>
      <c r="F611" s="340">
        <v>0.05</v>
      </c>
      <c r="G611" s="414">
        <f t="shared" si="68"/>
        <v>-2.0000000000000004E-2</v>
      </c>
      <c r="H611" s="15" t="s">
        <v>149</v>
      </c>
      <c r="I611" s="15">
        <f>ROW(I611)</f>
        <v>611</v>
      </c>
      <c r="J611" s="138">
        <f>I611</f>
        <v>611</v>
      </c>
      <c r="K611" s="91"/>
      <c r="L611" s="406">
        <f t="shared" si="69"/>
        <v>44409</v>
      </c>
      <c r="M611" s="86" t="str">
        <f t="shared" si="70"/>
        <v>SUN</v>
      </c>
      <c r="N611" s="89"/>
      <c r="O611" s="386">
        <f t="shared" si="71"/>
        <v>0</v>
      </c>
      <c r="P611" s="390">
        <f t="shared" si="72"/>
        <v>1</v>
      </c>
    </row>
    <row r="612" spans="1:18">
      <c r="B612" s="41"/>
      <c r="C612" s="403">
        <f t="shared" si="67"/>
        <v>44410</v>
      </c>
      <c r="D612" s="56" t="str">
        <f>VLOOKUP(MOD(C612,7),'CALENDAR INFO'!$G$5:$H$11,2)</f>
        <v>MON</v>
      </c>
      <c r="E612" s="165">
        <v>0.1</v>
      </c>
      <c r="F612" s="336">
        <v>0.05</v>
      </c>
      <c r="G612" s="411">
        <f t="shared" si="68"/>
        <v>-0.05</v>
      </c>
      <c r="H612" s="376" t="s">
        <v>210</v>
      </c>
      <c r="I612" s="15">
        <f>VLOOKUP(MONTH($C611),'CALENDAR INFO'!$J$5:$K$16,2)</f>
        <v>31</v>
      </c>
      <c r="J612" s="138">
        <f>I612</f>
        <v>31</v>
      </c>
      <c r="K612" s="129"/>
      <c r="L612" s="403">
        <f t="shared" si="69"/>
        <v>44410</v>
      </c>
      <c r="M612" s="56" t="str">
        <f t="shared" si="70"/>
        <v>MON</v>
      </c>
      <c r="O612" s="383">
        <f t="shared" si="71"/>
        <v>1</v>
      </c>
      <c r="P612" s="392">
        <f t="shared" si="72"/>
        <v>1.0000013888888888</v>
      </c>
    </row>
    <row r="613" spans="1:18">
      <c r="B613" s="41"/>
      <c r="C613" s="403">
        <f t="shared" si="67"/>
        <v>44411</v>
      </c>
      <c r="D613" s="56" t="str">
        <f>VLOOKUP(MOD(C613,7),'CALENDAR INFO'!$G$5:$H$11,2)</f>
        <v>TUE</v>
      </c>
      <c r="E613" s="165">
        <v>0.1</v>
      </c>
      <c r="F613" s="336">
        <v>0.05</v>
      </c>
      <c r="G613" s="411">
        <f t="shared" si="68"/>
        <v>-0.05</v>
      </c>
      <c r="H613" s="376" t="s">
        <v>211</v>
      </c>
      <c r="I613" s="15">
        <f>I612+I611-1</f>
        <v>641</v>
      </c>
      <c r="J613" s="138">
        <f>I613</f>
        <v>641</v>
      </c>
      <c r="K613" s="129"/>
      <c r="L613" s="403">
        <f t="shared" si="69"/>
        <v>44411</v>
      </c>
      <c r="M613" s="56" t="str">
        <f t="shared" si="70"/>
        <v>TUE</v>
      </c>
      <c r="O613" s="383">
        <f t="shared" si="71"/>
        <v>1</v>
      </c>
      <c r="P613" s="392">
        <f t="shared" si="72"/>
        <v>1.0000013888888888</v>
      </c>
    </row>
    <row r="614" spans="1:18">
      <c r="B614" s="41"/>
      <c r="C614" s="403">
        <f t="shared" si="67"/>
        <v>44412</v>
      </c>
      <c r="D614" s="56" t="str">
        <f>VLOOKUP(MOD(C614,7),'CALENDAR INFO'!$G$5:$H$11,2)</f>
        <v>WED</v>
      </c>
      <c r="E614" s="165">
        <v>0.1</v>
      </c>
      <c r="F614" s="336">
        <v>0.05</v>
      </c>
      <c r="G614" s="411">
        <f t="shared" si="68"/>
        <v>-0.05</v>
      </c>
      <c r="K614" s="129"/>
      <c r="L614" s="403">
        <f t="shared" si="69"/>
        <v>44412</v>
      </c>
      <c r="M614" s="56" t="str">
        <f t="shared" si="70"/>
        <v>WED</v>
      </c>
      <c r="O614" s="383">
        <f t="shared" si="71"/>
        <v>1</v>
      </c>
      <c r="P614" s="392">
        <f t="shared" si="72"/>
        <v>1.0000013888888888</v>
      </c>
    </row>
    <row r="615" spans="1:18">
      <c r="B615" s="41"/>
      <c r="C615" s="403">
        <f t="shared" si="67"/>
        <v>44413</v>
      </c>
      <c r="D615" s="56" t="str">
        <f>VLOOKUP(MOD(C615,7),'CALENDAR INFO'!$G$5:$H$11,2)</f>
        <v>THU</v>
      </c>
      <c r="E615" s="165">
        <v>0.1</v>
      </c>
      <c r="F615" s="336">
        <v>0.05</v>
      </c>
      <c r="G615" s="411">
        <f t="shared" si="68"/>
        <v>-0.05</v>
      </c>
      <c r="H615" s="15" t="s">
        <v>150</v>
      </c>
      <c r="I615" s="137" t="str">
        <f>_xlfn.CONCAT(ADDRESS(I611,5),":",ADDRESS(I613,5))</f>
        <v>$E$611:$E$641</v>
      </c>
      <c r="J615" s="150" t="str">
        <f>_xlfn.CONCAT(ADDRESS(J611,6),":",ADDRESS(J613,6))</f>
        <v>$F$611:$F$641</v>
      </c>
      <c r="K615" s="129"/>
      <c r="L615" s="403">
        <f t="shared" si="69"/>
        <v>44413</v>
      </c>
      <c r="M615" s="56" t="str">
        <f t="shared" si="70"/>
        <v>THU</v>
      </c>
      <c r="O615" s="383">
        <f t="shared" si="71"/>
        <v>1</v>
      </c>
      <c r="P615" s="392">
        <f t="shared" si="72"/>
        <v>1.0000013888888888</v>
      </c>
    </row>
    <row r="616" spans="1:18">
      <c r="B616" s="41"/>
      <c r="C616" s="403">
        <f t="shared" si="67"/>
        <v>44414</v>
      </c>
      <c r="D616" s="56" t="str">
        <f>VLOOKUP(MOD(C616,7),'CALENDAR INFO'!$G$5:$H$11,2)</f>
        <v>FRI</v>
      </c>
      <c r="E616" s="165">
        <v>0.1</v>
      </c>
      <c r="F616" s="336">
        <v>0.05</v>
      </c>
      <c r="G616" s="411">
        <f t="shared" si="68"/>
        <v>-0.05</v>
      </c>
      <c r="K616" s="129"/>
      <c r="L616" s="403">
        <f t="shared" si="69"/>
        <v>44414</v>
      </c>
      <c r="M616" s="56" t="str">
        <f t="shared" si="70"/>
        <v>FRI</v>
      </c>
      <c r="O616" s="383">
        <f t="shared" si="71"/>
        <v>3</v>
      </c>
      <c r="P616" s="392">
        <f t="shared" si="72"/>
        <v>1.0000041666666666</v>
      </c>
      <c r="R616" s="92"/>
    </row>
    <row r="617" spans="1:18">
      <c r="B617" s="41"/>
      <c r="C617" s="403">
        <f t="shared" si="67"/>
        <v>44415</v>
      </c>
      <c r="D617" s="56" t="str">
        <f>VLOOKUP(MOD(C617,7),'CALENDAR INFO'!$G$5:$H$11,2)</f>
        <v>SAT</v>
      </c>
      <c r="E617" s="165">
        <v>0.1</v>
      </c>
      <c r="F617" s="336">
        <v>0.05</v>
      </c>
      <c r="G617" s="411">
        <f t="shared" si="68"/>
        <v>-0.05</v>
      </c>
      <c r="H617" s="376" t="s">
        <v>221</v>
      </c>
      <c r="I617" s="147">
        <f ca="1">AVERAGE(INDIRECT(I615))</f>
        <v>9.2258064516129043E-2</v>
      </c>
      <c r="J617" s="326">
        <f ca="1">AVERAGE(INDIRECT(J615))</f>
        <v>5.0000000000000024E-2</v>
      </c>
      <c r="K617" s="129"/>
      <c r="L617" s="403">
        <f t="shared" si="69"/>
        <v>44415</v>
      </c>
      <c r="M617" s="56" t="str">
        <f t="shared" si="70"/>
        <v>SAT</v>
      </c>
      <c r="O617" s="383">
        <f t="shared" ref="O617:O643" si="73">IF(MOD(C617,7)&lt;2,0,IF(MOD(C617,7)=6,3,1))</f>
        <v>0</v>
      </c>
      <c r="P617" s="392">
        <f t="shared" si="72"/>
        <v>1</v>
      </c>
      <c r="R617" s="92"/>
    </row>
    <row r="618" spans="1:18">
      <c r="B618" s="41"/>
      <c r="C618" s="403">
        <f t="shared" si="67"/>
        <v>44416</v>
      </c>
      <c r="D618" s="56" t="str">
        <f>VLOOKUP(MOD(C618,7),'CALENDAR INFO'!$G$5:$H$11,2)</f>
        <v>SUN</v>
      </c>
      <c r="E618" s="165">
        <v>0.1</v>
      </c>
      <c r="F618" s="336">
        <v>0.05</v>
      </c>
      <c r="G618" s="411">
        <f t="shared" si="68"/>
        <v>-0.05</v>
      </c>
      <c r="I618" s="240"/>
      <c r="J618" s="157"/>
      <c r="K618" s="129"/>
      <c r="L618" s="403">
        <f t="shared" si="69"/>
        <v>44416</v>
      </c>
      <c r="M618" s="56" t="str">
        <f t="shared" si="70"/>
        <v>SUN</v>
      </c>
      <c r="O618" s="383">
        <f t="shared" si="73"/>
        <v>0</v>
      </c>
      <c r="P618" s="392">
        <f t="shared" si="72"/>
        <v>1</v>
      </c>
    </row>
    <row r="619" spans="1:18">
      <c r="B619" s="41"/>
      <c r="C619" s="403">
        <f t="shared" si="67"/>
        <v>44417</v>
      </c>
      <c r="D619" s="56" t="str">
        <f>VLOOKUP(MOD(C619,7),'CALENDAR INFO'!$G$5:$H$11,2)</f>
        <v>MON</v>
      </c>
      <c r="E619" s="165">
        <v>0.1</v>
      </c>
      <c r="F619" s="336">
        <v>0.05</v>
      </c>
      <c r="G619" s="411">
        <f t="shared" si="68"/>
        <v>-0.05</v>
      </c>
      <c r="H619" s="15" t="s">
        <v>222</v>
      </c>
      <c r="I619" s="147">
        <f ca="1">100-I617</f>
        <v>99.90774193548387</v>
      </c>
      <c r="J619" s="326">
        <f ca="1">100-J617</f>
        <v>99.95</v>
      </c>
      <c r="K619" s="129"/>
      <c r="L619" s="403">
        <f t="shared" si="69"/>
        <v>44417</v>
      </c>
      <c r="M619" s="56" t="str">
        <f t="shared" si="70"/>
        <v>MON</v>
      </c>
      <c r="O619" s="383">
        <f t="shared" si="73"/>
        <v>1</v>
      </c>
      <c r="P619" s="392">
        <f t="shared" si="72"/>
        <v>1.0000013888888888</v>
      </c>
    </row>
    <row r="620" spans="1:18">
      <c r="B620" s="41"/>
      <c r="C620" s="403">
        <f t="shared" si="67"/>
        <v>44418</v>
      </c>
      <c r="D620" s="56" t="str">
        <f>VLOOKUP(MOD(C620,7),'CALENDAR INFO'!$G$5:$H$11,2)</f>
        <v>TUE</v>
      </c>
      <c r="E620" s="165">
        <v>0.1</v>
      </c>
      <c r="F620" s="336">
        <v>0.05</v>
      </c>
      <c r="G620" s="411">
        <f t="shared" si="68"/>
        <v>-0.05</v>
      </c>
      <c r="I620" s="137"/>
      <c r="J620" s="150"/>
      <c r="K620" s="129"/>
      <c r="L620" s="403">
        <f t="shared" si="69"/>
        <v>44418</v>
      </c>
      <c r="M620" s="56" t="str">
        <f t="shared" si="70"/>
        <v>TUE</v>
      </c>
      <c r="O620" s="383">
        <f t="shared" si="73"/>
        <v>1</v>
      </c>
      <c r="P620" s="392">
        <f t="shared" si="72"/>
        <v>1.0000013888888888</v>
      </c>
    </row>
    <row r="621" spans="1:18">
      <c r="B621" s="41"/>
      <c r="C621" s="403">
        <f t="shared" si="67"/>
        <v>44419</v>
      </c>
      <c r="D621" s="56" t="str">
        <f>VLOOKUP(MOD(C621,7),'CALENDAR INFO'!$G$5:$H$11,2)</f>
        <v>WED</v>
      </c>
      <c r="E621" s="165">
        <v>0.1</v>
      </c>
      <c r="F621" s="336">
        <v>0.05</v>
      </c>
      <c r="G621" s="411">
        <f t="shared" si="68"/>
        <v>-0.05</v>
      </c>
      <c r="H621" s="136"/>
      <c r="I621" s="139"/>
      <c r="J621" s="151"/>
      <c r="K621" s="129" t="s">
        <v>19</v>
      </c>
      <c r="L621" s="403">
        <f t="shared" si="69"/>
        <v>44419</v>
      </c>
      <c r="M621" s="56" t="str">
        <f t="shared" si="70"/>
        <v>WED</v>
      </c>
      <c r="O621" s="383">
        <f t="shared" si="73"/>
        <v>1</v>
      </c>
      <c r="P621" s="392">
        <f t="shared" si="72"/>
        <v>1.0000013888888888</v>
      </c>
    </row>
    <row r="622" spans="1:18">
      <c r="B622" s="41"/>
      <c r="C622" s="403">
        <f t="shared" si="67"/>
        <v>44420</v>
      </c>
      <c r="D622" s="56" t="str">
        <f>VLOOKUP(MOD(C622,7),'CALENDAR INFO'!$G$5:$H$11,2)</f>
        <v>THU</v>
      </c>
      <c r="E622" s="165">
        <v>0.1</v>
      </c>
      <c r="F622" s="336">
        <v>0.05</v>
      </c>
      <c r="G622" s="411">
        <f t="shared" si="68"/>
        <v>-0.05</v>
      </c>
      <c r="H622" s="136"/>
      <c r="I622" s="139"/>
      <c r="J622" s="151"/>
      <c r="K622" s="126" t="s">
        <v>18</v>
      </c>
      <c r="L622" s="403">
        <f t="shared" si="69"/>
        <v>44420</v>
      </c>
      <c r="M622" s="56" t="str">
        <f t="shared" si="70"/>
        <v>THU</v>
      </c>
      <c r="O622" s="383">
        <f t="shared" si="73"/>
        <v>1</v>
      </c>
      <c r="P622" s="392">
        <f t="shared" si="72"/>
        <v>1.0000013888888888</v>
      </c>
    </row>
    <row r="623" spans="1:18">
      <c r="B623" s="41"/>
      <c r="C623" s="403">
        <f t="shared" si="67"/>
        <v>44421</v>
      </c>
      <c r="D623" s="56" t="str">
        <f>VLOOKUP(MOD(C623,7),'CALENDAR INFO'!$G$5:$H$11,2)</f>
        <v>FRI</v>
      </c>
      <c r="E623" s="165">
        <v>0.1</v>
      </c>
      <c r="F623" s="336">
        <v>0.05</v>
      </c>
      <c r="G623" s="411">
        <f t="shared" si="68"/>
        <v>-0.05</v>
      </c>
      <c r="H623" s="136"/>
      <c r="I623" s="139"/>
      <c r="J623" s="151"/>
      <c r="K623" s="126"/>
      <c r="L623" s="403">
        <f t="shared" si="69"/>
        <v>44421</v>
      </c>
      <c r="M623" s="56" t="str">
        <f t="shared" si="70"/>
        <v>FRI</v>
      </c>
      <c r="O623" s="383">
        <f t="shared" si="73"/>
        <v>3</v>
      </c>
      <c r="P623" s="392">
        <f t="shared" si="72"/>
        <v>1.0000041666666666</v>
      </c>
    </row>
    <row r="624" spans="1:18">
      <c r="B624" s="41"/>
      <c r="C624" s="403">
        <f t="shared" si="67"/>
        <v>44422</v>
      </c>
      <c r="D624" s="56" t="str">
        <f>VLOOKUP(MOD(C624,7),'CALENDAR INFO'!$G$5:$H$11,2)</f>
        <v>SAT</v>
      </c>
      <c r="E624" s="165">
        <v>0.1</v>
      </c>
      <c r="F624" s="336">
        <v>0.05</v>
      </c>
      <c r="G624" s="411">
        <f t="shared" si="68"/>
        <v>-0.05</v>
      </c>
      <c r="K624" s="126"/>
      <c r="L624" s="403">
        <f t="shared" si="69"/>
        <v>44422</v>
      </c>
      <c r="M624" s="56" t="str">
        <f t="shared" si="70"/>
        <v>SAT</v>
      </c>
      <c r="O624" s="383">
        <f t="shared" si="73"/>
        <v>0</v>
      </c>
      <c r="P624" s="392">
        <f t="shared" si="72"/>
        <v>1</v>
      </c>
    </row>
    <row r="625" spans="2:16">
      <c r="B625" s="41"/>
      <c r="C625" s="403">
        <f t="shared" si="67"/>
        <v>44423</v>
      </c>
      <c r="D625" s="56" t="str">
        <f>VLOOKUP(MOD(C625,7),'CALENDAR INFO'!$G$5:$H$11,2)</f>
        <v>SUN</v>
      </c>
      <c r="E625" s="165">
        <v>0.1</v>
      </c>
      <c r="F625" s="336">
        <v>0.05</v>
      </c>
      <c r="G625" s="411">
        <f t="shared" si="68"/>
        <v>-0.05</v>
      </c>
      <c r="H625" s="135"/>
      <c r="I625" s="144"/>
      <c r="J625" s="152"/>
      <c r="K625" s="126"/>
      <c r="L625" s="403">
        <f t="shared" si="69"/>
        <v>44423</v>
      </c>
      <c r="M625" s="56" t="str">
        <f t="shared" si="70"/>
        <v>SUN</v>
      </c>
      <c r="O625" s="383">
        <f t="shared" si="73"/>
        <v>0</v>
      </c>
      <c r="P625" s="392">
        <f t="shared" si="72"/>
        <v>1</v>
      </c>
    </row>
    <row r="626" spans="2:16">
      <c r="B626" s="41"/>
      <c r="C626" s="403">
        <f t="shared" si="67"/>
        <v>44424</v>
      </c>
      <c r="D626" s="56" t="str">
        <f>VLOOKUP(MOD(C626,7),'CALENDAR INFO'!$G$5:$H$11,2)</f>
        <v>MON</v>
      </c>
      <c r="E626" s="165">
        <v>0.1</v>
      </c>
      <c r="F626" s="336">
        <v>0.05</v>
      </c>
      <c r="G626" s="411">
        <f t="shared" si="68"/>
        <v>-0.05</v>
      </c>
      <c r="K626" s="126"/>
      <c r="L626" s="403">
        <f t="shared" si="69"/>
        <v>44424</v>
      </c>
      <c r="M626" s="56" t="str">
        <f t="shared" si="70"/>
        <v>MON</v>
      </c>
      <c r="O626" s="383">
        <f t="shared" si="73"/>
        <v>1</v>
      </c>
      <c r="P626" s="392">
        <f t="shared" si="72"/>
        <v>1.0000013888888888</v>
      </c>
    </row>
    <row r="627" spans="2:16">
      <c r="B627" s="41"/>
      <c r="C627" s="403">
        <f t="shared" si="67"/>
        <v>44425</v>
      </c>
      <c r="D627" s="56" t="str">
        <f>VLOOKUP(MOD(C627,7),'CALENDAR INFO'!$G$5:$H$11,2)</f>
        <v>TUE</v>
      </c>
      <c r="E627" s="165">
        <v>0.1</v>
      </c>
      <c r="F627" s="336">
        <v>0.05</v>
      </c>
      <c r="G627" s="411">
        <f t="shared" si="68"/>
        <v>-0.05</v>
      </c>
      <c r="K627" s="126"/>
      <c r="L627" s="403">
        <f t="shared" si="69"/>
        <v>44425</v>
      </c>
      <c r="M627" s="56" t="str">
        <f t="shared" si="70"/>
        <v>TUE</v>
      </c>
      <c r="O627" s="383">
        <f t="shared" si="73"/>
        <v>1</v>
      </c>
      <c r="P627" s="392">
        <f t="shared" si="72"/>
        <v>1.0000013888888888</v>
      </c>
    </row>
    <row r="628" spans="2:16">
      <c r="B628" s="41"/>
      <c r="C628" s="403">
        <f t="shared" si="67"/>
        <v>44426</v>
      </c>
      <c r="D628" s="56" t="str">
        <f>VLOOKUP(MOD(C628,7),'CALENDAR INFO'!$G$5:$H$11,2)</f>
        <v>WED</v>
      </c>
      <c r="E628" s="165">
        <v>0.09</v>
      </c>
      <c r="F628" s="336">
        <v>0.05</v>
      </c>
      <c r="G628" s="411">
        <f t="shared" si="68"/>
        <v>-3.9999999999999994E-2</v>
      </c>
      <c r="K628" s="126"/>
      <c r="L628" s="403">
        <f t="shared" si="69"/>
        <v>44426</v>
      </c>
      <c r="M628" s="56" t="str">
        <f t="shared" si="70"/>
        <v>WED</v>
      </c>
      <c r="O628" s="383">
        <f t="shared" si="73"/>
        <v>1</v>
      </c>
      <c r="P628" s="392">
        <f t="shared" si="72"/>
        <v>1.0000013888888888</v>
      </c>
    </row>
    <row r="629" spans="2:16">
      <c r="B629" s="41"/>
      <c r="C629" s="403">
        <f t="shared" ref="C629:C692" si="74">C628+1</f>
        <v>44427</v>
      </c>
      <c r="D629" s="56" t="str">
        <f>VLOOKUP(MOD(C629,7),'CALENDAR INFO'!$G$5:$H$11,2)</f>
        <v>THU</v>
      </c>
      <c r="E629" s="165">
        <v>0.09</v>
      </c>
      <c r="F629" s="336">
        <v>0.05</v>
      </c>
      <c r="G629" s="411">
        <f t="shared" si="68"/>
        <v>-3.9999999999999994E-2</v>
      </c>
      <c r="K629" s="126"/>
      <c r="L629" s="403">
        <f t="shared" si="69"/>
        <v>44427</v>
      </c>
      <c r="M629" s="56" t="str">
        <f t="shared" si="70"/>
        <v>THU</v>
      </c>
      <c r="O629" s="383">
        <f t="shared" si="73"/>
        <v>1</v>
      </c>
      <c r="P629" s="392">
        <f t="shared" si="72"/>
        <v>1.0000013888888888</v>
      </c>
    </row>
    <row r="630" spans="2:16">
      <c r="B630" s="41"/>
      <c r="C630" s="403">
        <f t="shared" si="74"/>
        <v>44428</v>
      </c>
      <c r="D630" s="56" t="str">
        <f>VLOOKUP(MOD(C630,7),'CALENDAR INFO'!$G$5:$H$11,2)</f>
        <v>FRI</v>
      </c>
      <c r="E630" s="165">
        <v>0.09</v>
      </c>
      <c r="F630" s="336">
        <v>0.05</v>
      </c>
      <c r="G630" s="411">
        <f t="shared" si="68"/>
        <v>-3.9999999999999994E-2</v>
      </c>
      <c r="K630" s="126"/>
      <c r="L630" s="403">
        <f t="shared" si="69"/>
        <v>44428</v>
      </c>
      <c r="M630" s="56" t="str">
        <f t="shared" si="70"/>
        <v>FRI</v>
      </c>
      <c r="O630" s="383">
        <f t="shared" si="73"/>
        <v>3</v>
      </c>
      <c r="P630" s="392">
        <f t="shared" si="72"/>
        <v>1.0000041666666666</v>
      </c>
    </row>
    <row r="631" spans="2:16">
      <c r="B631" s="41"/>
      <c r="C631" s="403">
        <f t="shared" si="74"/>
        <v>44429</v>
      </c>
      <c r="D631" s="56" t="str">
        <f>VLOOKUP(MOD(C631,7),'CALENDAR INFO'!$G$5:$H$11,2)</f>
        <v>SAT</v>
      </c>
      <c r="E631" s="165">
        <v>0.09</v>
      </c>
      <c r="F631" s="336">
        <v>0.05</v>
      </c>
      <c r="G631" s="411">
        <f t="shared" si="68"/>
        <v>-3.9999999999999994E-2</v>
      </c>
      <c r="K631" s="126"/>
      <c r="L631" s="403">
        <f t="shared" si="69"/>
        <v>44429</v>
      </c>
      <c r="M631" s="56" t="str">
        <f t="shared" si="70"/>
        <v>SAT</v>
      </c>
      <c r="O631" s="383">
        <f t="shared" si="73"/>
        <v>0</v>
      </c>
      <c r="P631" s="392">
        <f t="shared" si="72"/>
        <v>1</v>
      </c>
    </row>
    <row r="632" spans="2:16">
      <c r="B632" s="41"/>
      <c r="C632" s="403">
        <f t="shared" si="74"/>
        <v>44430</v>
      </c>
      <c r="D632" s="56" t="str">
        <f>VLOOKUP(MOD(C632,7),'CALENDAR INFO'!$G$5:$H$11,2)</f>
        <v>SUN</v>
      </c>
      <c r="E632" s="165">
        <v>0.09</v>
      </c>
      <c r="F632" s="336">
        <v>0.05</v>
      </c>
      <c r="G632" s="411">
        <f t="shared" si="68"/>
        <v>-3.9999999999999994E-2</v>
      </c>
      <c r="K632" s="126"/>
      <c r="L632" s="403">
        <f t="shared" si="69"/>
        <v>44430</v>
      </c>
      <c r="M632" s="56" t="str">
        <f t="shared" si="70"/>
        <v>SUN</v>
      </c>
      <c r="O632" s="383">
        <f t="shared" si="73"/>
        <v>0</v>
      </c>
      <c r="P632" s="392">
        <f t="shared" si="72"/>
        <v>1</v>
      </c>
    </row>
    <row r="633" spans="2:16">
      <c r="B633" s="41"/>
      <c r="C633" s="403">
        <f t="shared" si="74"/>
        <v>44431</v>
      </c>
      <c r="D633" s="56" t="str">
        <f>VLOOKUP(MOD(C633,7),'CALENDAR INFO'!$G$5:$H$11,2)</f>
        <v>MON</v>
      </c>
      <c r="E633" s="165">
        <v>0.09</v>
      </c>
      <c r="F633" s="336">
        <v>0.05</v>
      </c>
      <c r="G633" s="411">
        <f t="shared" si="68"/>
        <v>-3.9999999999999994E-2</v>
      </c>
      <c r="K633" s="126"/>
      <c r="L633" s="403">
        <f t="shared" si="69"/>
        <v>44431</v>
      </c>
      <c r="M633" s="56" t="str">
        <f t="shared" si="70"/>
        <v>MON</v>
      </c>
      <c r="O633" s="383">
        <f t="shared" si="73"/>
        <v>1</v>
      </c>
      <c r="P633" s="392">
        <f t="shared" si="72"/>
        <v>1.0000013888888888</v>
      </c>
    </row>
    <row r="634" spans="2:16">
      <c r="B634" s="41"/>
      <c r="C634" s="403">
        <f t="shared" si="74"/>
        <v>44432</v>
      </c>
      <c r="D634" s="56" t="str">
        <f>VLOOKUP(MOD(C634,7),'CALENDAR INFO'!$G$5:$H$11,2)</f>
        <v>TUE</v>
      </c>
      <c r="E634" s="165">
        <v>0.09</v>
      </c>
      <c r="F634" s="336">
        <v>0.05</v>
      </c>
      <c r="G634" s="411">
        <f t="shared" si="68"/>
        <v>-3.9999999999999994E-2</v>
      </c>
      <c r="K634" s="126"/>
      <c r="L634" s="403">
        <f t="shared" si="69"/>
        <v>44432</v>
      </c>
      <c r="M634" s="56" t="str">
        <f t="shared" si="70"/>
        <v>TUE</v>
      </c>
      <c r="O634" s="383">
        <f t="shared" si="73"/>
        <v>1</v>
      </c>
      <c r="P634" s="392">
        <f t="shared" si="72"/>
        <v>1.0000013888888888</v>
      </c>
    </row>
    <row r="635" spans="2:16">
      <c r="B635" s="41"/>
      <c r="C635" s="403">
        <f t="shared" si="74"/>
        <v>44433</v>
      </c>
      <c r="D635" s="56" t="str">
        <f>VLOOKUP(MOD(C635,7),'CALENDAR INFO'!$G$5:$H$11,2)</f>
        <v>WED</v>
      </c>
      <c r="E635" s="165">
        <v>0.09</v>
      </c>
      <c r="F635" s="336">
        <v>0.05</v>
      </c>
      <c r="G635" s="411">
        <f t="shared" si="68"/>
        <v>-3.9999999999999994E-2</v>
      </c>
      <c r="K635" s="126" t="s">
        <v>19</v>
      </c>
      <c r="L635" s="403">
        <f t="shared" si="69"/>
        <v>44433</v>
      </c>
      <c r="M635" s="56" t="str">
        <f t="shared" si="70"/>
        <v>WED</v>
      </c>
      <c r="O635" s="383">
        <f t="shared" si="73"/>
        <v>1</v>
      </c>
      <c r="P635" s="392">
        <f t="shared" si="72"/>
        <v>1.0000013888888888</v>
      </c>
    </row>
    <row r="636" spans="2:16">
      <c r="B636" s="41"/>
      <c r="C636" s="403">
        <f t="shared" si="74"/>
        <v>44434</v>
      </c>
      <c r="D636" s="56" t="str">
        <f>VLOOKUP(MOD(C636,7),'CALENDAR INFO'!$G$5:$H$11,2)</f>
        <v>THU</v>
      </c>
      <c r="E636" s="165">
        <v>0.09</v>
      </c>
      <c r="F636" s="336">
        <v>0.05</v>
      </c>
      <c r="G636" s="411">
        <f t="shared" si="68"/>
        <v>-3.9999999999999994E-2</v>
      </c>
      <c r="K636" s="129" t="s">
        <v>18</v>
      </c>
      <c r="L636" s="403">
        <f t="shared" si="69"/>
        <v>44434</v>
      </c>
      <c r="M636" s="56" t="str">
        <f t="shared" si="70"/>
        <v>THU</v>
      </c>
      <c r="O636" s="383">
        <f t="shared" si="73"/>
        <v>1</v>
      </c>
      <c r="P636" s="392">
        <f t="shared" si="72"/>
        <v>1.0000013888888888</v>
      </c>
    </row>
    <row r="637" spans="2:16">
      <c r="B637" s="41"/>
      <c r="C637" s="403">
        <f t="shared" si="74"/>
        <v>44435</v>
      </c>
      <c r="D637" s="56" t="str">
        <f>VLOOKUP(MOD(C637,7),'CALENDAR INFO'!$G$5:$H$11,2)</f>
        <v>FRI</v>
      </c>
      <c r="E637" s="165">
        <v>0.08</v>
      </c>
      <c r="F637" s="336">
        <v>0.05</v>
      </c>
      <c r="G637" s="411">
        <f t="shared" si="68"/>
        <v>-0.03</v>
      </c>
      <c r="I637" s="137"/>
      <c r="K637" s="129"/>
      <c r="L637" s="403">
        <f t="shared" si="69"/>
        <v>44435</v>
      </c>
      <c r="M637" s="56" t="str">
        <f t="shared" si="70"/>
        <v>FRI</v>
      </c>
      <c r="O637" s="383">
        <f t="shared" si="73"/>
        <v>3</v>
      </c>
      <c r="P637" s="392">
        <f t="shared" si="72"/>
        <v>1.0000041666666666</v>
      </c>
    </row>
    <row r="638" spans="2:16">
      <c r="B638" s="41"/>
      <c r="C638" s="403">
        <f t="shared" si="74"/>
        <v>44436</v>
      </c>
      <c r="D638" s="56" t="str">
        <f>VLOOKUP(MOD(C638,7),'CALENDAR INFO'!$G$5:$H$11,2)</f>
        <v>SAT</v>
      </c>
      <c r="E638" s="165">
        <v>0.08</v>
      </c>
      <c r="F638" s="336">
        <v>0.05</v>
      </c>
      <c r="G638" s="411">
        <f t="shared" si="68"/>
        <v>-0.03</v>
      </c>
      <c r="H638" s="115"/>
      <c r="I638" s="141"/>
      <c r="J638" s="158"/>
      <c r="K638" s="129"/>
      <c r="L638" s="403">
        <f t="shared" si="69"/>
        <v>44436</v>
      </c>
      <c r="M638" s="56" t="str">
        <f t="shared" si="70"/>
        <v>SAT</v>
      </c>
      <c r="O638" s="383">
        <f t="shared" si="73"/>
        <v>0</v>
      </c>
      <c r="P638" s="392">
        <f t="shared" si="72"/>
        <v>1</v>
      </c>
    </row>
    <row r="639" spans="2:16">
      <c r="B639" s="41"/>
      <c r="C639" s="403">
        <f t="shared" si="74"/>
        <v>44437</v>
      </c>
      <c r="D639" s="56" t="str">
        <f>VLOOKUP(MOD(C639,7),'CALENDAR INFO'!$G$5:$H$11,2)</f>
        <v>SUN</v>
      </c>
      <c r="E639" s="165">
        <v>0.08</v>
      </c>
      <c r="F639" s="336">
        <v>0.05</v>
      </c>
      <c r="G639" s="411">
        <f t="shared" si="68"/>
        <v>-0.03</v>
      </c>
      <c r="H639" s="115"/>
      <c r="I639" s="148"/>
      <c r="J639" s="160"/>
      <c r="K639" s="129"/>
      <c r="L639" s="403">
        <f t="shared" si="69"/>
        <v>44437</v>
      </c>
      <c r="M639" s="56" t="str">
        <f t="shared" si="70"/>
        <v>SUN</v>
      </c>
      <c r="O639" s="383">
        <f t="shared" si="73"/>
        <v>0</v>
      </c>
      <c r="P639" s="392">
        <f t="shared" si="72"/>
        <v>1</v>
      </c>
    </row>
    <row r="640" spans="2:16">
      <c r="B640" s="41"/>
      <c r="C640" s="403">
        <f t="shared" si="74"/>
        <v>44438</v>
      </c>
      <c r="D640" s="56" t="str">
        <f>VLOOKUP(MOD(C640,7),'CALENDAR INFO'!$G$5:$H$11,2)</f>
        <v>MON</v>
      </c>
      <c r="E640" s="165">
        <v>0.08</v>
      </c>
      <c r="F640" s="336">
        <v>0.05</v>
      </c>
      <c r="G640" s="411">
        <f t="shared" si="68"/>
        <v>-0.03</v>
      </c>
      <c r="H640" s="115"/>
      <c r="I640" s="141"/>
      <c r="J640" s="158"/>
      <c r="K640" s="129"/>
      <c r="L640" s="403">
        <f t="shared" si="69"/>
        <v>44438</v>
      </c>
      <c r="M640" s="56" t="str">
        <f t="shared" si="70"/>
        <v>MON</v>
      </c>
      <c r="O640" s="383">
        <f t="shared" si="73"/>
        <v>1</v>
      </c>
      <c r="P640" s="392">
        <f t="shared" si="72"/>
        <v>1.0000013888888888</v>
      </c>
    </row>
    <row r="641" spans="1:18" ht="15.75" thickBot="1">
      <c r="A641" s="81"/>
      <c r="B641" s="178"/>
      <c r="C641" s="404">
        <f t="shared" si="74"/>
        <v>44439</v>
      </c>
      <c r="D641" s="64" t="str">
        <f>VLOOKUP(MOD(C641,7),'CALENDAR INFO'!$G$5:$H$11,2)</f>
        <v>TUE</v>
      </c>
      <c r="E641" s="166">
        <v>0.06</v>
      </c>
      <c r="F641" s="337">
        <v>0.05</v>
      </c>
      <c r="G641" s="412">
        <f t="shared" si="68"/>
        <v>-9.999999999999995E-3</v>
      </c>
      <c r="H641" s="345"/>
      <c r="I641" s="143"/>
      <c r="J641" s="162"/>
      <c r="K641" s="84"/>
      <c r="L641" s="404">
        <f t="shared" si="69"/>
        <v>44439</v>
      </c>
      <c r="M641" s="64" t="str">
        <f t="shared" si="70"/>
        <v>TUE</v>
      </c>
      <c r="N641" s="90"/>
      <c r="O641" s="382">
        <f t="shared" si="73"/>
        <v>1</v>
      </c>
      <c r="P641" s="388">
        <f t="shared" si="72"/>
        <v>1.0000013888888888</v>
      </c>
    </row>
    <row r="642" spans="1:18">
      <c r="A642" s="83"/>
      <c r="B642" s="179"/>
      <c r="C642" s="406">
        <f t="shared" si="74"/>
        <v>44440</v>
      </c>
      <c r="D642" s="86" t="str">
        <f>VLOOKUP(MOD(C642,7),'CALENDAR INFO'!$G$5:$H$11,2)</f>
        <v>WED</v>
      </c>
      <c r="E642" s="168">
        <v>0.08</v>
      </c>
      <c r="F642" s="340">
        <v>0.05</v>
      </c>
      <c r="G642" s="414">
        <f t="shared" si="68"/>
        <v>-0.03</v>
      </c>
      <c r="H642" s="15" t="s">
        <v>149</v>
      </c>
      <c r="I642" s="15">
        <f>ROW(I642)</f>
        <v>642</v>
      </c>
      <c r="J642" s="138">
        <f>I642</f>
        <v>642</v>
      </c>
      <c r="K642" s="91"/>
      <c r="L642" s="406">
        <f t="shared" si="69"/>
        <v>44440</v>
      </c>
      <c r="M642" s="86" t="str">
        <f t="shared" si="70"/>
        <v>WED</v>
      </c>
      <c r="N642" s="89"/>
      <c r="O642" s="386">
        <f t="shared" si="73"/>
        <v>1</v>
      </c>
      <c r="P642" s="390">
        <f t="shared" si="72"/>
        <v>1.0000013888888888</v>
      </c>
    </row>
    <row r="643" spans="1:18">
      <c r="B643" s="41"/>
      <c r="C643" s="403">
        <f t="shared" si="74"/>
        <v>44441</v>
      </c>
      <c r="D643" s="56" t="str">
        <f>VLOOKUP(MOD(C643,7),'CALENDAR INFO'!$G$5:$H$11,2)</f>
        <v>THU</v>
      </c>
      <c r="E643" s="165">
        <v>0.08</v>
      </c>
      <c r="F643" s="336">
        <v>0.05</v>
      </c>
      <c r="G643" s="411">
        <f t="shared" ref="G643:G706" si="75">F643-E643</f>
        <v>-0.03</v>
      </c>
      <c r="H643" s="376" t="s">
        <v>210</v>
      </c>
      <c r="I643" s="15">
        <f>VLOOKUP(MONTH($C642),'CALENDAR INFO'!$J$5:$K$16,2)</f>
        <v>30</v>
      </c>
      <c r="J643" s="138">
        <f>I643</f>
        <v>30</v>
      </c>
      <c r="K643" s="129"/>
      <c r="L643" s="403">
        <f t="shared" ref="L643:L706" si="76">C643</f>
        <v>44441</v>
      </c>
      <c r="M643" s="56" t="str">
        <f t="shared" ref="M643:M706" si="77">D643</f>
        <v>THU</v>
      </c>
      <c r="O643" s="383">
        <f t="shared" si="73"/>
        <v>1</v>
      </c>
      <c r="P643" s="392">
        <f t="shared" si="72"/>
        <v>1.0000013888888888</v>
      </c>
    </row>
    <row r="644" spans="1:18">
      <c r="B644" s="41"/>
      <c r="C644" s="403">
        <f t="shared" si="74"/>
        <v>44442</v>
      </c>
      <c r="D644" s="56" t="str">
        <f>VLOOKUP(MOD(C644,7),'CALENDAR INFO'!$G$5:$H$11,2)</f>
        <v>FRI</v>
      </c>
      <c r="E644" s="165">
        <v>0.08</v>
      </c>
      <c r="F644" s="336">
        <v>0.05</v>
      </c>
      <c r="G644" s="411">
        <f t="shared" si="75"/>
        <v>-0.03</v>
      </c>
      <c r="H644" s="376" t="s">
        <v>211</v>
      </c>
      <c r="I644" s="15">
        <f>I643+I642-1</f>
        <v>671</v>
      </c>
      <c r="J644" s="138">
        <f>I644</f>
        <v>671</v>
      </c>
      <c r="K644" s="129"/>
      <c r="L644" s="403">
        <f t="shared" si="76"/>
        <v>44442</v>
      </c>
      <c r="M644" s="56" t="str">
        <f t="shared" si="77"/>
        <v>FRI</v>
      </c>
      <c r="O644" s="384">
        <v>4</v>
      </c>
      <c r="P644" s="392">
        <f t="shared" si="72"/>
        <v>1.0000055555555556</v>
      </c>
    </row>
    <row r="645" spans="1:18">
      <c r="B645" s="41"/>
      <c r="C645" s="403">
        <f t="shared" si="74"/>
        <v>44443</v>
      </c>
      <c r="D645" s="56" t="str">
        <f>VLOOKUP(MOD(C645,7),'CALENDAR INFO'!$G$5:$H$11,2)</f>
        <v>SAT</v>
      </c>
      <c r="E645" s="165">
        <v>0.08</v>
      </c>
      <c r="F645" s="336">
        <v>0.05</v>
      </c>
      <c r="G645" s="411">
        <f t="shared" si="75"/>
        <v>-0.03</v>
      </c>
      <c r="K645" s="129"/>
      <c r="L645" s="403">
        <f t="shared" si="76"/>
        <v>44443</v>
      </c>
      <c r="M645" s="56" t="str">
        <f t="shared" si="77"/>
        <v>SAT</v>
      </c>
      <c r="O645" s="383">
        <f>IF(MOD(C645,7)&lt;2,0,IF(MOD(C645,7)=6,3,1))</f>
        <v>0</v>
      </c>
      <c r="P645" s="392">
        <f t="shared" si="72"/>
        <v>1</v>
      </c>
    </row>
    <row r="646" spans="1:18">
      <c r="B646" s="41"/>
      <c r="C646" s="403">
        <f t="shared" si="74"/>
        <v>44444</v>
      </c>
      <c r="D646" s="56" t="str">
        <f>VLOOKUP(MOD(C646,7),'CALENDAR INFO'!$G$5:$H$11,2)</f>
        <v>SUN</v>
      </c>
      <c r="E646" s="165">
        <v>0.08</v>
      </c>
      <c r="F646" s="336">
        <v>0.05</v>
      </c>
      <c r="G646" s="411">
        <f t="shared" si="75"/>
        <v>-0.03</v>
      </c>
      <c r="H646" s="15" t="s">
        <v>150</v>
      </c>
      <c r="I646" s="137" t="str">
        <f>_xlfn.CONCAT(ADDRESS(I642,5),":",ADDRESS(I644,5))</f>
        <v>$E$642:$E$671</v>
      </c>
      <c r="J646" s="150" t="str">
        <f>_xlfn.CONCAT(ADDRESS(J642,6),":",ADDRESS(J644,6))</f>
        <v>$F$642:$F$671</v>
      </c>
      <c r="K646" s="129"/>
      <c r="L646" s="403">
        <f t="shared" si="76"/>
        <v>44444</v>
      </c>
      <c r="M646" s="56" t="str">
        <f t="shared" si="77"/>
        <v>SUN</v>
      </c>
      <c r="O646" s="383">
        <f>IF(MOD(C646,7)&lt;2,0,IF(MOD(C646,7)=6,3,1))</f>
        <v>0</v>
      </c>
      <c r="P646" s="392">
        <f t="shared" si="72"/>
        <v>1</v>
      </c>
    </row>
    <row r="647" spans="1:18">
      <c r="B647" s="41"/>
      <c r="C647" s="403">
        <f t="shared" si="74"/>
        <v>44445</v>
      </c>
      <c r="D647" s="56" t="str">
        <f>VLOOKUP(MOD(C647,7),'CALENDAR INFO'!$G$5:$H$11,2)</f>
        <v>MON</v>
      </c>
      <c r="E647" s="165">
        <v>0.08</v>
      </c>
      <c r="F647" s="336">
        <v>0.05</v>
      </c>
      <c r="G647" s="411">
        <f t="shared" si="75"/>
        <v>-0.03</v>
      </c>
      <c r="K647" s="129"/>
      <c r="L647" s="403">
        <f t="shared" si="76"/>
        <v>44445</v>
      </c>
      <c r="M647" s="56" t="str">
        <f t="shared" si="77"/>
        <v>MON</v>
      </c>
      <c r="N647" s="134" t="s">
        <v>111</v>
      </c>
      <c r="O647" s="384">
        <v>0</v>
      </c>
      <c r="P647" s="392">
        <f t="shared" si="72"/>
        <v>1</v>
      </c>
    </row>
    <row r="648" spans="1:18">
      <c r="B648" s="41"/>
      <c r="C648" s="403">
        <f t="shared" si="74"/>
        <v>44446</v>
      </c>
      <c r="D648" s="56" t="str">
        <f>VLOOKUP(MOD(C648,7),'CALENDAR INFO'!$G$5:$H$11,2)</f>
        <v>TUE</v>
      </c>
      <c r="E648" s="165">
        <v>0.08</v>
      </c>
      <c r="F648" s="336">
        <v>0.05</v>
      </c>
      <c r="G648" s="411">
        <f t="shared" si="75"/>
        <v>-0.03</v>
      </c>
      <c r="H648" s="376" t="s">
        <v>221</v>
      </c>
      <c r="I648" s="147">
        <f ca="1">AVERAGE(INDIRECT(I646))</f>
        <v>7.9333333333333353E-2</v>
      </c>
      <c r="J648" s="326">
        <f ca="1">AVERAGE(INDIRECT(J646))</f>
        <v>5.0000000000000024E-2</v>
      </c>
      <c r="K648" s="129"/>
      <c r="L648" s="403">
        <f t="shared" si="76"/>
        <v>44446</v>
      </c>
      <c r="M648" s="56" t="str">
        <f t="shared" si="77"/>
        <v>TUE</v>
      </c>
      <c r="O648" s="383">
        <f t="shared" ref="O648:O678" si="78">IF(MOD(C648,7)&lt;2,0,IF(MOD(C648,7)=6,3,1))</f>
        <v>1</v>
      </c>
      <c r="P648" s="392">
        <f t="shared" si="72"/>
        <v>1.0000013888888888</v>
      </c>
    </row>
    <row r="649" spans="1:18">
      <c r="B649" s="41"/>
      <c r="C649" s="403">
        <f t="shared" si="74"/>
        <v>44447</v>
      </c>
      <c r="D649" s="56" t="str">
        <f>VLOOKUP(MOD(C649,7),'CALENDAR INFO'!$G$5:$H$11,2)</f>
        <v>WED</v>
      </c>
      <c r="E649" s="165">
        <v>0.08</v>
      </c>
      <c r="F649" s="336">
        <v>0.05</v>
      </c>
      <c r="G649" s="411">
        <f t="shared" si="75"/>
        <v>-0.03</v>
      </c>
      <c r="I649" s="240"/>
      <c r="J649" s="157"/>
      <c r="K649" s="129" t="s">
        <v>19</v>
      </c>
      <c r="L649" s="403">
        <f t="shared" si="76"/>
        <v>44447</v>
      </c>
      <c r="M649" s="56" t="str">
        <f t="shared" si="77"/>
        <v>WED</v>
      </c>
      <c r="O649" s="383">
        <f t="shared" si="78"/>
        <v>1</v>
      </c>
      <c r="P649" s="392">
        <f t="shared" si="72"/>
        <v>1.0000013888888888</v>
      </c>
    </row>
    <row r="650" spans="1:18">
      <c r="B650" s="41"/>
      <c r="C650" s="403">
        <f t="shared" si="74"/>
        <v>44448</v>
      </c>
      <c r="D650" s="56" t="str">
        <f>VLOOKUP(MOD(C650,7),'CALENDAR INFO'!$G$5:$H$11,2)</f>
        <v>THU</v>
      </c>
      <c r="E650" s="165">
        <v>0.08</v>
      </c>
      <c r="F650" s="336">
        <v>0.05</v>
      </c>
      <c r="G650" s="411">
        <f t="shared" si="75"/>
        <v>-0.03</v>
      </c>
      <c r="H650" s="15" t="s">
        <v>222</v>
      </c>
      <c r="I650" s="147">
        <f ca="1">100-I648</f>
        <v>99.920666666666662</v>
      </c>
      <c r="J650" s="326">
        <f ca="1">100-J648</f>
        <v>99.95</v>
      </c>
      <c r="K650" s="126" t="s">
        <v>18</v>
      </c>
      <c r="L650" s="403">
        <f t="shared" si="76"/>
        <v>44448</v>
      </c>
      <c r="M650" s="56" t="str">
        <f t="shared" si="77"/>
        <v>THU</v>
      </c>
      <c r="O650" s="383">
        <f t="shared" si="78"/>
        <v>1</v>
      </c>
      <c r="P650" s="392">
        <f t="shared" si="72"/>
        <v>1.0000013888888888</v>
      </c>
    </row>
    <row r="651" spans="1:18">
      <c r="B651" s="41"/>
      <c r="C651" s="403">
        <f t="shared" si="74"/>
        <v>44449</v>
      </c>
      <c r="D651" s="56" t="str">
        <f>VLOOKUP(MOD(C651,7),'CALENDAR INFO'!$G$5:$H$11,2)</f>
        <v>FRI</v>
      </c>
      <c r="E651" s="165">
        <v>0.08</v>
      </c>
      <c r="F651" s="336">
        <v>0.05</v>
      </c>
      <c r="G651" s="411">
        <f t="shared" si="75"/>
        <v>-0.03</v>
      </c>
      <c r="I651" s="137"/>
      <c r="J651" s="150"/>
      <c r="K651" s="126"/>
      <c r="L651" s="403">
        <f t="shared" si="76"/>
        <v>44449</v>
      </c>
      <c r="M651" s="56" t="str">
        <f t="shared" si="77"/>
        <v>FRI</v>
      </c>
      <c r="O651" s="383">
        <f t="shared" si="78"/>
        <v>3</v>
      </c>
      <c r="P651" s="392">
        <f t="shared" si="72"/>
        <v>1.0000041666666666</v>
      </c>
    </row>
    <row r="652" spans="1:18">
      <c r="B652" s="41"/>
      <c r="C652" s="403">
        <f t="shared" si="74"/>
        <v>44450</v>
      </c>
      <c r="D652" s="56" t="str">
        <f>VLOOKUP(MOD(C652,7),'CALENDAR INFO'!$G$5:$H$11,2)</f>
        <v>SAT</v>
      </c>
      <c r="E652" s="165">
        <v>0.08</v>
      </c>
      <c r="F652" s="336">
        <v>0.05</v>
      </c>
      <c r="G652" s="411">
        <f t="shared" si="75"/>
        <v>-0.03</v>
      </c>
      <c r="H652" s="136"/>
      <c r="I652" s="139"/>
      <c r="J652" s="151"/>
      <c r="K652" s="126"/>
      <c r="L652" s="403">
        <f t="shared" si="76"/>
        <v>44450</v>
      </c>
      <c r="M652" s="56" t="str">
        <f t="shared" si="77"/>
        <v>SAT</v>
      </c>
      <c r="O652" s="383">
        <f t="shared" si="78"/>
        <v>0</v>
      </c>
      <c r="P652" s="392">
        <f t="shared" si="72"/>
        <v>1</v>
      </c>
      <c r="Q652" s="331" t="s">
        <v>92</v>
      </c>
      <c r="R652" s="75"/>
    </row>
    <row r="653" spans="1:18">
      <c r="B653" s="41"/>
      <c r="C653" s="403">
        <f t="shared" si="74"/>
        <v>44451</v>
      </c>
      <c r="D653" s="56" t="str">
        <f>VLOOKUP(MOD(C653,7),'CALENDAR INFO'!$G$5:$H$11,2)</f>
        <v>SUN</v>
      </c>
      <c r="E653" s="165">
        <v>0.08</v>
      </c>
      <c r="F653" s="336">
        <v>0.05</v>
      </c>
      <c r="G653" s="411">
        <f t="shared" si="75"/>
        <v>-0.03</v>
      </c>
      <c r="H653" s="136"/>
      <c r="I653" s="139"/>
      <c r="J653" s="151"/>
      <c r="K653" s="126"/>
      <c r="L653" s="403">
        <f t="shared" si="76"/>
        <v>44451</v>
      </c>
      <c r="M653" s="56" t="str">
        <f t="shared" si="77"/>
        <v>SUN</v>
      </c>
      <c r="O653" s="383">
        <f t="shared" si="78"/>
        <v>0</v>
      </c>
      <c r="P653" s="392">
        <f t="shared" si="72"/>
        <v>1</v>
      </c>
      <c r="Q653" s="331" t="s">
        <v>76</v>
      </c>
      <c r="R653" s="100"/>
    </row>
    <row r="654" spans="1:18">
      <c r="B654" s="41"/>
      <c r="C654" s="403">
        <f t="shared" si="74"/>
        <v>44452</v>
      </c>
      <c r="D654" s="56" t="str">
        <f>VLOOKUP(MOD(C654,7),'CALENDAR INFO'!$G$5:$H$11,2)</f>
        <v>MON</v>
      </c>
      <c r="E654" s="165">
        <v>0.08</v>
      </c>
      <c r="F654" s="336">
        <v>0.05</v>
      </c>
      <c r="G654" s="411">
        <f t="shared" si="75"/>
        <v>-0.03</v>
      </c>
      <c r="H654" s="136"/>
      <c r="I654" s="139"/>
      <c r="J654" s="151"/>
      <c r="K654" s="126"/>
      <c r="L654" s="403">
        <f t="shared" si="76"/>
        <v>44452</v>
      </c>
      <c r="M654" s="56" t="str">
        <f t="shared" si="77"/>
        <v>MON</v>
      </c>
      <c r="O654" s="383">
        <f t="shared" si="78"/>
        <v>1</v>
      </c>
      <c r="P654" s="392">
        <f t="shared" si="72"/>
        <v>1.0000013888888888</v>
      </c>
    </row>
    <row r="655" spans="1:18">
      <c r="B655" s="41"/>
      <c r="C655" s="403">
        <f t="shared" si="74"/>
        <v>44453</v>
      </c>
      <c r="D655" s="56" t="str">
        <f>VLOOKUP(MOD(C655,7),'CALENDAR INFO'!$G$5:$H$11,2)</f>
        <v>TUE</v>
      </c>
      <c r="E655" s="165">
        <v>0.08</v>
      </c>
      <c r="F655" s="336">
        <v>0.05</v>
      </c>
      <c r="G655" s="411">
        <f t="shared" si="75"/>
        <v>-0.03</v>
      </c>
      <c r="K655" s="126"/>
      <c r="L655" s="403">
        <f t="shared" si="76"/>
        <v>44453</v>
      </c>
      <c r="M655" s="56" t="str">
        <f t="shared" si="77"/>
        <v>TUE</v>
      </c>
      <c r="O655" s="383">
        <f t="shared" si="78"/>
        <v>1</v>
      </c>
      <c r="P655" s="392">
        <f t="shared" si="72"/>
        <v>1.0000013888888888</v>
      </c>
    </row>
    <row r="656" spans="1:18">
      <c r="B656" s="41"/>
      <c r="C656" s="403">
        <f t="shared" si="74"/>
        <v>44454</v>
      </c>
      <c r="D656" s="56" t="str">
        <f>VLOOKUP(MOD(C656,7),'CALENDAR INFO'!$G$5:$H$11,2)</f>
        <v>WED</v>
      </c>
      <c r="E656" s="165">
        <v>0.08</v>
      </c>
      <c r="F656" s="336">
        <v>0.05</v>
      </c>
      <c r="G656" s="411">
        <f t="shared" si="75"/>
        <v>-0.03</v>
      </c>
      <c r="H656" s="135"/>
      <c r="I656" s="144"/>
      <c r="J656" s="152"/>
      <c r="K656" s="126"/>
      <c r="L656" s="403">
        <f t="shared" si="76"/>
        <v>44454</v>
      </c>
      <c r="M656" s="56" t="str">
        <f t="shared" si="77"/>
        <v>WED</v>
      </c>
      <c r="O656" s="383">
        <f t="shared" si="78"/>
        <v>1</v>
      </c>
      <c r="P656" s="392">
        <f t="shared" si="72"/>
        <v>1.0000013888888888</v>
      </c>
    </row>
    <row r="657" spans="1:16">
      <c r="B657" s="41"/>
      <c r="C657" s="403">
        <f t="shared" si="74"/>
        <v>44455</v>
      </c>
      <c r="D657" s="56" t="str">
        <f>VLOOKUP(MOD(C657,7),'CALENDAR INFO'!$G$5:$H$11,2)</f>
        <v>THU</v>
      </c>
      <c r="E657" s="165">
        <v>0.08</v>
      </c>
      <c r="F657" s="336">
        <v>0.05</v>
      </c>
      <c r="G657" s="411">
        <f t="shared" si="75"/>
        <v>-0.03</v>
      </c>
      <c r="K657" s="126"/>
      <c r="L657" s="403">
        <f t="shared" si="76"/>
        <v>44455</v>
      </c>
      <c r="M657" s="56" t="str">
        <f t="shared" si="77"/>
        <v>THU</v>
      </c>
      <c r="O657" s="383">
        <f t="shared" si="78"/>
        <v>1</v>
      </c>
      <c r="P657" s="392">
        <f t="shared" si="72"/>
        <v>1.0000013888888888</v>
      </c>
    </row>
    <row r="658" spans="1:16">
      <c r="B658" s="41"/>
      <c r="C658" s="403">
        <f t="shared" si="74"/>
        <v>44456</v>
      </c>
      <c r="D658" s="56" t="str">
        <f>VLOOKUP(MOD(C658,7),'CALENDAR INFO'!$G$5:$H$11,2)</f>
        <v>FRI</v>
      </c>
      <c r="E658" s="165">
        <v>0.08</v>
      </c>
      <c r="F658" s="336">
        <v>0.05</v>
      </c>
      <c r="G658" s="411">
        <f t="shared" si="75"/>
        <v>-0.03</v>
      </c>
      <c r="K658" s="126"/>
      <c r="L658" s="403">
        <f t="shared" si="76"/>
        <v>44456</v>
      </c>
      <c r="M658" s="56" t="str">
        <f t="shared" si="77"/>
        <v>FRI</v>
      </c>
      <c r="O658" s="383">
        <f t="shared" si="78"/>
        <v>3</v>
      </c>
      <c r="P658" s="392">
        <f t="shared" si="72"/>
        <v>1.0000041666666666</v>
      </c>
    </row>
    <row r="659" spans="1:16">
      <c r="B659" s="41"/>
      <c r="C659" s="403">
        <f t="shared" si="74"/>
        <v>44457</v>
      </c>
      <c r="D659" s="56" t="str">
        <f>VLOOKUP(MOD(C659,7),'CALENDAR INFO'!$G$5:$H$11,2)</f>
        <v>SAT</v>
      </c>
      <c r="E659" s="165">
        <v>0.08</v>
      </c>
      <c r="F659" s="336">
        <v>0.05</v>
      </c>
      <c r="G659" s="411">
        <f t="shared" si="75"/>
        <v>-0.03</v>
      </c>
      <c r="K659" s="126"/>
      <c r="L659" s="403">
        <f t="shared" si="76"/>
        <v>44457</v>
      </c>
      <c r="M659" s="56" t="str">
        <f t="shared" si="77"/>
        <v>SAT</v>
      </c>
      <c r="O659" s="383">
        <f t="shared" si="78"/>
        <v>0</v>
      </c>
      <c r="P659" s="392">
        <f t="shared" ref="P659:P722" si="79">1+(O659/360)*(MAX(F659,B659)/100)</f>
        <v>1</v>
      </c>
    </row>
    <row r="660" spans="1:16">
      <c r="B660" s="41"/>
      <c r="C660" s="403">
        <f t="shared" si="74"/>
        <v>44458</v>
      </c>
      <c r="D660" s="56" t="str">
        <f>VLOOKUP(MOD(C660,7),'CALENDAR INFO'!$G$5:$H$11,2)</f>
        <v>SUN</v>
      </c>
      <c r="E660" s="165">
        <v>0.08</v>
      </c>
      <c r="F660" s="336">
        <v>0.05</v>
      </c>
      <c r="G660" s="411">
        <f t="shared" si="75"/>
        <v>-0.03</v>
      </c>
      <c r="K660" s="126"/>
      <c r="L660" s="403">
        <f t="shared" si="76"/>
        <v>44458</v>
      </c>
      <c r="M660" s="56" t="str">
        <f t="shared" si="77"/>
        <v>SUN</v>
      </c>
      <c r="O660" s="383">
        <f t="shared" si="78"/>
        <v>0</v>
      </c>
      <c r="P660" s="392">
        <f t="shared" si="79"/>
        <v>1</v>
      </c>
    </row>
    <row r="661" spans="1:16">
      <c r="B661" s="41"/>
      <c r="C661" s="403">
        <f t="shared" si="74"/>
        <v>44459</v>
      </c>
      <c r="D661" s="56" t="str">
        <f>VLOOKUP(MOD(C661,7),'CALENDAR INFO'!$G$5:$H$11,2)</f>
        <v>MON</v>
      </c>
      <c r="E661" s="165">
        <v>0.08</v>
      </c>
      <c r="F661" s="336">
        <v>0.05</v>
      </c>
      <c r="G661" s="411">
        <f t="shared" si="75"/>
        <v>-0.03</v>
      </c>
      <c r="K661" s="126"/>
      <c r="L661" s="403">
        <f t="shared" si="76"/>
        <v>44459</v>
      </c>
      <c r="M661" s="56" t="str">
        <f t="shared" si="77"/>
        <v>MON</v>
      </c>
      <c r="O661" s="383">
        <f t="shared" si="78"/>
        <v>1</v>
      </c>
      <c r="P661" s="392">
        <f t="shared" si="79"/>
        <v>1.0000013888888888</v>
      </c>
    </row>
    <row r="662" spans="1:16">
      <c r="B662" s="41"/>
      <c r="C662" s="403">
        <f t="shared" si="74"/>
        <v>44460</v>
      </c>
      <c r="D662" s="56" t="str">
        <f>VLOOKUP(MOD(C662,7),'CALENDAR INFO'!$G$5:$H$11,2)</f>
        <v>TUE</v>
      </c>
      <c r="E662" s="165">
        <v>0.08</v>
      </c>
      <c r="F662" s="336">
        <v>0.05</v>
      </c>
      <c r="G662" s="411">
        <f t="shared" si="75"/>
        <v>-0.03</v>
      </c>
      <c r="K662" s="126"/>
      <c r="L662" s="403">
        <f t="shared" si="76"/>
        <v>44460</v>
      </c>
      <c r="M662" s="56" t="str">
        <f t="shared" si="77"/>
        <v>TUE</v>
      </c>
      <c r="N662" s="116" t="s">
        <v>20</v>
      </c>
      <c r="O662" s="383">
        <f t="shared" si="78"/>
        <v>1</v>
      </c>
      <c r="P662" s="392">
        <f t="shared" si="79"/>
        <v>1.0000013888888888</v>
      </c>
    </row>
    <row r="663" spans="1:16">
      <c r="B663" s="41"/>
      <c r="C663" s="403">
        <f t="shared" si="74"/>
        <v>44461</v>
      </c>
      <c r="D663" s="56" t="str">
        <f>VLOOKUP(MOD(C663,7),'CALENDAR INFO'!$G$5:$H$11,2)</f>
        <v>WED</v>
      </c>
      <c r="E663" s="165">
        <v>0.08</v>
      </c>
      <c r="F663" s="336">
        <v>0.05</v>
      </c>
      <c r="G663" s="411">
        <f t="shared" si="75"/>
        <v>-0.03</v>
      </c>
      <c r="K663" s="126" t="s">
        <v>19</v>
      </c>
      <c r="L663" s="403">
        <f t="shared" si="76"/>
        <v>44461</v>
      </c>
      <c r="M663" s="56" t="str">
        <f t="shared" si="77"/>
        <v>WED</v>
      </c>
      <c r="N663" s="116" t="s">
        <v>20</v>
      </c>
      <c r="O663" s="383">
        <f t="shared" si="78"/>
        <v>1</v>
      </c>
      <c r="P663" s="392">
        <f t="shared" si="79"/>
        <v>1.0000013888888888</v>
      </c>
    </row>
    <row r="664" spans="1:16">
      <c r="B664" s="41"/>
      <c r="C664" s="403">
        <f t="shared" si="74"/>
        <v>44462</v>
      </c>
      <c r="D664" s="56" t="str">
        <f>VLOOKUP(MOD(C664,7),'CALENDAR INFO'!$G$5:$H$11,2)</f>
        <v>THU</v>
      </c>
      <c r="E664" s="165">
        <v>0.08</v>
      </c>
      <c r="F664" s="336">
        <v>0.05</v>
      </c>
      <c r="G664" s="411">
        <f t="shared" si="75"/>
        <v>-0.03</v>
      </c>
      <c r="K664" s="129" t="s">
        <v>18</v>
      </c>
      <c r="L664" s="403">
        <f t="shared" si="76"/>
        <v>44462</v>
      </c>
      <c r="M664" s="56" t="str">
        <f t="shared" si="77"/>
        <v>THU</v>
      </c>
      <c r="O664" s="383">
        <f t="shared" si="78"/>
        <v>1</v>
      </c>
      <c r="P664" s="392">
        <f t="shared" si="79"/>
        <v>1.0000013888888888</v>
      </c>
    </row>
    <row r="665" spans="1:16">
      <c r="B665" s="41"/>
      <c r="C665" s="403">
        <f t="shared" si="74"/>
        <v>44463</v>
      </c>
      <c r="D665" s="56" t="str">
        <f>VLOOKUP(MOD(C665,7),'CALENDAR INFO'!$G$5:$H$11,2)</f>
        <v>FRI</v>
      </c>
      <c r="E665" s="165">
        <v>0.08</v>
      </c>
      <c r="F665" s="336">
        <v>0.05</v>
      </c>
      <c r="G665" s="411">
        <f t="shared" si="75"/>
        <v>-0.03</v>
      </c>
      <c r="K665" s="129"/>
      <c r="L665" s="403">
        <f t="shared" si="76"/>
        <v>44463</v>
      </c>
      <c r="M665" s="56" t="str">
        <f t="shared" si="77"/>
        <v>FRI</v>
      </c>
      <c r="O665" s="383">
        <f t="shared" si="78"/>
        <v>3</v>
      </c>
      <c r="P665" s="392">
        <f t="shared" si="79"/>
        <v>1.0000041666666666</v>
      </c>
    </row>
    <row r="666" spans="1:16">
      <c r="B666" s="41"/>
      <c r="C666" s="403">
        <f t="shared" si="74"/>
        <v>44464</v>
      </c>
      <c r="D666" s="56" t="str">
        <f>VLOOKUP(MOD(C666,7),'CALENDAR INFO'!$G$5:$H$11,2)</f>
        <v>SAT</v>
      </c>
      <c r="E666" s="165">
        <v>0.08</v>
      </c>
      <c r="F666" s="336">
        <v>0.05</v>
      </c>
      <c r="G666" s="411">
        <f t="shared" si="75"/>
        <v>-0.03</v>
      </c>
      <c r="K666" s="129"/>
      <c r="L666" s="403">
        <f t="shared" si="76"/>
        <v>44464</v>
      </c>
      <c r="M666" s="56" t="str">
        <f t="shared" si="77"/>
        <v>SAT</v>
      </c>
      <c r="O666" s="383">
        <f t="shared" si="78"/>
        <v>0</v>
      </c>
      <c r="P666" s="392">
        <f t="shared" si="79"/>
        <v>1</v>
      </c>
    </row>
    <row r="667" spans="1:16">
      <c r="B667" s="41"/>
      <c r="C667" s="403">
        <f t="shared" si="74"/>
        <v>44465</v>
      </c>
      <c r="D667" s="56" t="str">
        <f>VLOOKUP(MOD(C667,7),'CALENDAR INFO'!$G$5:$H$11,2)</f>
        <v>SUN</v>
      </c>
      <c r="E667" s="165">
        <v>0.08</v>
      </c>
      <c r="F667" s="336">
        <v>0.05</v>
      </c>
      <c r="G667" s="411">
        <f t="shared" si="75"/>
        <v>-0.03</v>
      </c>
      <c r="K667" s="129"/>
      <c r="L667" s="403">
        <f t="shared" si="76"/>
        <v>44465</v>
      </c>
      <c r="M667" s="56" t="str">
        <f t="shared" si="77"/>
        <v>SUN</v>
      </c>
      <c r="O667" s="383">
        <f t="shared" si="78"/>
        <v>0</v>
      </c>
      <c r="P667" s="392">
        <f t="shared" si="79"/>
        <v>1</v>
      </c>
    </row>
    <row r="668" spans="1:16">
      <c r="B668" s="41"/>
      <c r="C668" s="403">
        <f t="shared" si="74"/>
        <v>44466</v>
      </c>
      <c r="D668" s="56" t="str">
        <f>VLOOKUP(MOD(C668,7),'CALENDAR INFO'!$G$5:$H$11,2)</f>
        <v>MON</v>
      </c>
      <c r="E668" s="165">
        <v>0.08</v>
      </c>
      <c r="F668" s="336">
        <v>0.05</v>
      </c>
      <c r="G668" s="411">
        <f t="shared" si="75"/>
        <v>-0.03</v>
      </c>
      <c r="I668" s="137"/>
      <c r="K668" s="129"/>
      <c r="L668" s="403">
        <f t="shared" si="76"/>
        <v>44466</v>
      </c>
      <c r="M668" s="56" t="str">
        <f t="shared" si="77"/>
        <v>MON</v>
      </c>
      <c r="O668" s="383">
        <f t="shared" si="78"/>
        <v>1</v>
      </c>
      <c r="P668" s="392">
        <f t="shared" si="79"/>
        <v>1.0000013888888888</v>
      </c>
    </row>
    <row r="669" spans="1:16">
      <c r="B669" s="41"/>
      <c r="C669" s="403">
        <f t="shared" si="74"/>
        <v>44467</v>
      </c>
      <c r="D669" s="56" t="str">
        <f>VLOOKUP(MOD(C669,7),'CALENDAR INFO'!$G$5:$H$11,2)</f>
        <v>TUE</v>
      </c>
      <c r="E669" s="165">
        <v>0.08</v>
      </c>
      <c r="F669" s="336">
        <v>0.05</v>
      </c>
      <c r="G669" s="411">
        <f t="shared" si="75"/>
        <v>-0.03</v>
      </c>
      <c r="H669" s="115"/>
      <c r="I669" s="148"/>
      <c r="J669" s="160"/>
      <c r="K669" s="129"/>
      <c r="L669" s="403">
        <f t="shared" si="76"/>
        <v>44467</v>
      </c>
      <c r="M669" s="56" t="str">
        <f t="shared" si="77"/>
        <v>TUE</v>
      </c>
      <c r="O669" s="383">
        <f t="shared" si="78"/>
        <v>1</v>
      </c>
      <c r="P669" s="392">
        <f t="shared" si="79"/>
        <v>1.0000013888888888</v>
      </c>
    </row>
    <row r="670" spans="1:16">
      <c r="B670" s="41"/>
      <c r="C670" s="403">
        <f t="shared" si="74"/>
        <v>44468</v>
      </c>
      <c r="D670" s="56" t="str">
        <f>VLOOKUP(MOD(C670,7),'CALENDAR INFO'!$G$5:$H$11,2)</f>
        <v>WED</v>
      </c>
      <c r="E670" s="165">
        <v>0.08</v>
      </c>
      <c r="F670" s="336">
        <v>0.05</v>
      </c>
      <c r="G670" s="411">
        <f t="shared" si="75"/>
        <v>-0.03</v>
      </c>
      <c r="H670" s="115"/>
      <c r="I670" s="141"/>
      <c r="J670" s="158"/>
      <c r="K670" s="129"/>
      <c r="L670" s="403">
        <f t="shared" si="76"/>
        <v>44468</v>
      </c>
      <c r="M670" s="56" t="str">
        <f t="shared" si="77"/>
        <v>WED</v>
      </c>
      <c r="O670" s="383">
        <f t="shared" si="78"/>
        <v>1</v>
      </c>
      <c r="P670" s="392">
        <f t="shared" si="79"/>
        <v>1.0000013888888888</v>
      </c>
    </row>
    <row r="671" spans="1:16" ht="15.75" thickBot="1">
      <c r="A671" s="81"/>
      <c r="B671" s="178"/>
      <c r="C671" s="404">
        <f t="shared" si="74"/>
        <v>44469</v>
      </c>
      <c r="D671" s="64" t="str">
        <f>VLOOKUP(MOD(C671,7),'CALENDAR INFO'!$G$5:$H$11,2)</f>
        <v>THU</v>
      </c>
      <c r="E671" s="166">
        <v>0.06</v>
      </c>
      <c r="F671" s="337">
        <v>0.05</v>
      </c>
      <c r="G671" s="412">
        <f t="shared" si="75"/>
        <v>-9.999999999999995E-3</v>
      </c>
      <c r="H671" s="345"/>
      <c r="I671" s="143"/>
      <c r="J671" s="162"/>
      <c r="K671" s="84"/>
      <c r="L671" s="404">
        <f t="shared" si="76"/>
        <v>44469</v>
      </c>
      <c r="M671" s="64" t="str">
        <f t="shared" si="77"/>
        <v>THU</v>
      </c>
      <c r="N671" s="90"/>
      <c r="O671" s="382">
        <f t="shared" si="78"/>
        <v>1</v>
      </c>
      <c r="P671" s="388">
        <f t="shared" si="79"/>
        <v>1.0000013888888888</v>
      </c>
    </row>
    <row r="672" spans="1:16">
      <c r="A672" s="83"/>
      <c r="B672" s="179"/>
      <c r="C672" s="406">
        <f t="shared" si="74"/>
        <v>44470</v>
      </c>
      <c r="D672" s="86" t="str">
        <f>VLOOKUP(MOD(C672,7),'CALENDAR INFO'!$G$5:$H$11,2)</f>
        <v>FRI</v>
      </c>
      <c r="E672" s="168">
        <v>0.08</v>
      </c>
      <c r="F672" s="340">
        <v>0.05</v>
      </c>
      <c r="G672" s="414">
        <f t="shared" si="75"/>
        <v>-0.03</v>
      </c>
      <c r="H672" s="15" t="s">
        <v>149</v>
      </c>
      <c r="I672" s="15">
        <f>ROW(I672)</f>
        <v>672</v>
      </c>
      <c r="J672" s="138">
        <f>I672</f>
        <v>672</v>
      </c>
      <c r="K672" s="91"/>
      <c r="L672" s="406">
        <f t="shared" si="76"/>
        <v>44470</v>
      </c>
      <c r="M672" s="86" t="str">
        <f t="shared" si="77"/>
        <v>FRI</v>
      </c>
      <c r="N672" s="89"/>
      <c r="O672" s="386">
        <f t="shared" si="78"/>
        <v>3</v>
      </c>
      <c r="P672" s="390">
        <f t="shared" si="79"/>
        <v>1.0000041666666666</v>
      </c>
    </row>
    <row r="673" spans="2:16">
      <c r="B673" s="41"/>
      <c r="C673" s="403">
        <f t="shared" si="74"/>
        <v>44471</v>
      </c>
      <c r="D673" s="56" t="str">
        <f>VLOOKUP(MOD(C673,7),'CALENDAR INFO'!$G$5:$H$11,2)</f>
        <v>SAT</v>
      </c>
      <c r="E673" s="165">
        <v>0.08</v>
      </c>
      <c r="F673" s="336">
        <v>0.05</v>
      </c>
      <c r="G673" s="411">
        <f t="shared" si="75"/>
        <v>-0.03</v>
      </c>
      <c r="H673" s="376" t="s">
        <v>210</v>
      </c>
      <c r="I673" s="15">
        <f>VLOOKUP(MONTH($C672),'CALENDAR INFO'!$J$5:$K$16,2)</f>
        <v>31</v>
      </c>
      <c r="J673" s="138">
        <f>I673</f>
        <v>31</v>
      </c>
      <c r="K673" s="129"/>
      <c r="L673" s="403">
        <f t="shared" si="76"/>
        <v>44471</v>
      </c>
      <c r="M673" s="56" t="str">
        <f t="shared" si="77"/>
        <v>SAT</v>
      </c>
      <c r="O673" s="383">
        <f t="shared" si="78"/>
        <v>0</v>
      </c>
      <c r="P673" s="392">
        <f t="shared" si="79"/>
        <v>1</v>
      </c>
    </row>
    <row r="674" spans="2:16">
      <c r="B674" s="41"/>
      <c r="C674" s="403">
        <f t="shared" si="74"/>
        <v>44472</v>
      </c>
      <c r="D674" s="56" t="str">
        <f>VLOOKUP(MOD(C674,7),'CALENDAR INFO'!$G$5:$H$11,2)</f>
        <v>SUN</v>
      </c>
      <c r="E674" s="165">
        <v>0.08</v>
      </c>
      <c r="F674" s="336">
        <v>0.05</v>
      </c>
      <c r="G674" s="411">
        <f t="shared" si="75"/>
        <v>-0.03</v>
      </c>
      <c r="H674" s="376" t="s">
        <v>211</v>
      </c>
      <c r="I674" s="15">
        <f>I673+I672-1</f>
        <v>702</v>
      </c>
      <c r="J674" s="138">
        <f>I674</f>
        <v>702</v>
      </c>
      <c r="K674" s="129"/>
      <c r="L674" s="403">
        <f t="shared" si="76"/>
        <v>44472</v>
      </c>
      <c r="M674" s="56" t="str">
        <f t="shared" si="77"/>
        <v>SUN</v>
      </c>
      <c r="O674" s="383">
        <f t="shared" si="78"/>
        <v>0</v>
      </c>
      <c r="P674" s="392">
        <f t="shared" si="79"/>
        <v>1</v>
      </c>
    </row>
    <row r="675" spans="2:16">
      <c r="B675" s="41"/>
      <c r="C675" s="403">
        <f t="shared" si="74"/>
        <v>44473</v>
      </c>
      <c r="D675" s="56" t="str">
        <f>VLOOKUP(MOD(C675,7),'CALENDAR INFO'!$G$5:$H$11,2)</f>
        <v>MON</v>
      </c>
      <c r="E675" s="165">
        <v>0.08</v>
      </c>
      <c r="F675" s="336">
        <v>0.05</v>
      </c>
      <c r="G675" s="411">
        <f t="shared" si="75"/>
        <v>-0.03</v>
      </c>
      <c r="K675" s="129"/>
      <c r="L675" s="403">
        <f t="shared" si="76"/>
        <v>44473</v>
      </c>
      <c r="M675" s="56" t="str">
        <f t="shared" si="77"/>
        <v>MON</v>
      </c>
      <c r="O675" s="383">
        <f t="shared" si="78"/>
        <v>1</v>
      </c>
      <c r="P675" s="392">
        <f t="shared" si="79"/>
        <v>1.0000013888888888</v>
      </c>
    </row>
    <row r="676" spans="2:16">
      <c r="B676" s="41"/>
      <c r="C676" s="403">
        <f t="shared" si="74"/>
        <v>44474</v>
      </c>
      <c r="D676" s="56" t="str">
        <f>VLOOKUP(MOD(C676,7),'CALENDAR INFO'!$G$5:$H$11,2)</f>
        <v>TUE</v>
      </c>
      <c r="E676" s="165">
        <v>0.08</v>
      </c>
      <c r="F676" s="336">
        <v>0.05</v>
      </c>
      <c r="G676" s="411">
        <f t="shared" si="75"/>
        <v>-0.03</v>
      </c>
      <c r="H676" s="15" t="s">
        <v>150</v>
      </c>
      <c r="I676" s="137" t="str">
        <f>_xlfn.CONCAT(ADDRESS(I672,5),":",ADDRESS(I674,5))</f>
        <v>$E$672:$E$702</v>
      </c>
      <c r="J676" s="150" t="str">
        <f>_xlfn.CONCAT(ADDRESS(J672,6),":",ADDRESS(J674,6))</f>
        <v>$F$672:$F$702</v>
      </c>
      <c r="K676" s="129"/>
      <c r="L676" s="403">
        <f t="shared" si="76"/>
        <v>44474</v>
      </c>
      <c r="M676" s="56" t="str">
        <f t="shared" si="77"/>
        <v>TUE</v>
      </c>
      <c r="O676" s="383">
        <f t="shared" si="78"/>
        <v>1</v>
      </c>
      <c r="P676" s="392">
        <f t="shared" si="79"/>
        <v>1.0000013888888888</v>
      </c>
    </row>
    <row r="677" spans="2:16">
      <c r="B677" s="41"/>
      <c r="C677" s="403">
        <f t="shared" si="74"/>
        <v>44475</v>
      </c>
      <c r="D677" s="56" t="str">
        <f>VLOOKUP(MOD(C677,7),'CALENDAR INFO'!$G$5:$H$11,2)</f>
        <v>WED</v>
      </c>
      <c r="E677" s="165">
        <v>0.08</v>
      </c>
      <c r="F677" s="336">
        <v>0.05</v>
      </c>
      <c r="G677" s="411">
        <f t="shared" si="75"/>
        <v>-0.03</v>
      </c>
      <c r="K677" s="129" t="s">
        <v>19</v>
      </c>
      <c r="L677" s="403">
        <f t="shared" si="76"/>
        <v>44475</v>
      </c>
      <c r="M677" s="56" t="str">
        <f t="shared" si="77"/>
        <v>WED</v>
      </c>
      <c r="O677" s="383">
        <f t="shared" si="78"/>
        <v>1</v>
      </c>
      <c r="P677" s="392">
        <f t="shared" si="79"/>
        <v>1.0000013888888888</v>
      </c>
    </row>
    <row r="678" spans="2:16">
      <c r="B678" s="41"/>
      <c r="C678" s="403">
        <f t="shared" si="74"/>
        <v>44476</v>
      </c>
      <c r="D678" s="56" t="str">
        <f>VLOOKUP(MOD(C678,7),'CALENDAR INFO'!$G$5:$H$11,2)</f>
        <v>THU</v>
      </c>
      <c r="E678" s="165">
        <v>0.08</v>
      </c>
      <c r="F678" s="336">
        <v>0.05</v>
      </c>
      <c r="G678" s="411">
        <f t="shared" si="75"/>
        <v>-0.03</v>
      </c>
      <c r="H678" s="376" t="s">
        <v>221</v>
      </c>
      <c r="I678" s="147">
        <f ca="1">AVERAGE(INDIRECT(I676))</f>
        <v>7.9032258064516137E-2</v>
      </c>
      <c r="J678" s="326">
        <f ca="1">AVERAGE(INDIRECT(J676))</f>
        <v>4.7741935483870991E-2</v>
      </c>
      <c r="K678" s="126" t="s">
        <v>18</v>
      </c>
      <c r="L678" s="403">
        <f t="shared" si="76"/>
        <v>44476</v>
      </c>
      <c r="M678" s="56" t="str">
        <f t="shared" si="77"/>
        <v>THU</v>
      </c>
      <c r="O678" s="383">
        <f t="shared" si="78"/>
        <v>1</v>
      </c>
      <c r="P678" s="392">
        <f t="shared" si="79"/>
        <v>1.0000013888888888</v>
      </c>
    </row>
    <row r="679" spans="2:16">
      <c r="B679" s="41"/>
      <c r="C679" s="403">
        <f t="shared" si="74"/>
        <v>44477</v>
      </c>
      <c r="D679" s="56" t="str">
        <f>VLOOKUP(MOD(C679,7),'CALENDAR INFO'!$G$5:$H$11,2)</f>
        <v>FRI</v>
      </c>
      <c r="E679" s="165">
        <v>0.08</v>
      </c>
      <c r="F679" s="336">
        <v>0.05</v>
      </c>
      <c r="G679" s="411">
        <f t="shared" si="75"/>
        <v>-0.03</v>
      </c>
      <c r="I679" s="240"/>
      <c r="J679" s="157"/>
      <c r="K679" s="126"/>
      <c r="L679" s="403">
        <f t="shared" si="76"/>
        <v>44477</v>
      </c>
      <c r="M679" s="56" t="str">
        <f t="shared" si="77"/>
        <v>FRI</v>
      </c>
      <c r="O679" s="384">
        <v>4</v>
      </c>
      <c r="P679" s="392">
        <f t="shared" si="79"/>
        <v>1.0000055555555556</v>
      </c>
    </row>
    <row r="680" spans="2:16">
      <c r="B680" s="41"/>
      <c r="C680" s="403">
        <f t="shared" si="74"/>
        <v>44478</v>
      </c>
      <c r="D680" s="56" t="str">
        <f>VLOOKUP(MOD(C680,7),'CALENDAR INFO'!$G$5:$H$11,2)</f>
        <v>SAT</v>
      </c>
      <c r="E680" s="165">
        <v>0.08</v>
      </c>
      <c r="F680" s="336">
        <v>0.05</v>
      </c>
      <c r="G680" s="411">
        <f t="shared" si="75"/>
        <v>-0.03</v>
      </c>
      <c r="H680" s="15" t="s">
        <v>222</v>
      </c>
      <c r="I680" s="147">
        <f ca="1">100-I678</f>
        <v>99.920967741935485</v>
      </c>
      <c r="J680" s="326">
        <f ca="1">100-J678</f>
        <v>99.95225806451613</v>
      </c>
      <c r="K680" s="126"/>
      <c r="L680" s="403">
        <f t="shared" si="76"/>
        <v>44478</v>
      </c>
      <c r="M680" s="56" t="str">
        <f t="shared" si="77"/>
        <v>SAT</v>
      </c>
      <c r="O680" s="383">
        <f>IF(MOD(C680,7)&lt;2,0,IF(MOD(C680,7)=6,3,1))</f>
        <v>0</v>
      </c>
      <c r="P680" s="392">
        <f t="shared" si="79"/>
        <v>1</v>
      </c>
    </row>
    <row r="681" spans="2:16">
      <c r="B681" s="41"/>
      <c r="C681" s="403">
        <f t="shared" si="74"/>
        <v>44479</v>
      </c>
      <c r="D681" s="56" t="str">
        <f>VLOOKUP(MOD(C681,7),'CALENDAR INFO'!$G$5:$H$11,2)</f>
        <v>SUN</v>
      </c>
      <c r="E681" s="165">
        <v>0.08</v>
      </c>
      <c r="F681" s="336">
        <v>0.05</v>
      </c>
      <c r="G681" s="411">
        <f t="shared" si="75"/>
        <v>-0.03</v>
      </c>
      <c r="I681" s="137"/>
      <c r="J681" s="150"/>
      <c r="K681" s="126"/>
      <c r="L681" s="403">
        <f t="shared" si="76"/>
        <v>44479</v>
      </c>
      <c r="M681" s="56" t="str">
        <f t="shared" si="77"/>
        <v>SUN</v>
      </c>
      <c r="O681" s="383">
        <f>IF(MOD(C681,7)&lt;2,0,IF(MOD(C681,7)=6,3,1))</f>
        <v>0</v>
      </c>
      <c r="P681" s="392">
        <f t="shared" si="79"/>
        <v>1</v>
      </c>
    </row>
    <row r="682" spans="2:16">
      <c r="B682" s="41"/>
      <c r="C682" s="403">
        <f t="shared" si="74"/>
        <v>44480</v>
      </c>
      <c r="D682" s="56" t="str">
        <f>VLOOKUP(MOD(C682,7),'CALENDAR INFO'!$G$5:$H$11,2)</f>
        <v>MON</v>
      </c>
      <c r="E682" s="165">
        <v>0.08</v>
      </c>
      <c r="F682" s="336">
        <v>0.05</v>
      </c>
      <c r="G682" s="411">
        <f t="shared" si="75"/>
        <v>-0.03</v>
      </c>
      <c r="H682" s="136"/>
      <c r="I682" s="139"/>
      <c r="J682" s="151"/>
      <c r="K682" s="126"/>
      <c r="L682" s="403">
        <f t="shared" si="76"/>
        <v>44480</v>
      </c>
      <c r="M682" s="56" t="str">
        <f t="shared" si="77"/>
        <v>MON</v>
      </c>
      <c r="N682" s="132" t="s">
        <v>107</v>
      </c>
      <c r="O682" s="384">
        <v>0</v>
      </c>
      <c r="P682" s="392">
        <f t="shared" si="79"/>
        <v>1</v>
      </c>
    </row>
    <row r="683" spans="2:16">
      <c r="B683" s="41"/>
      <c r="C683" s="403">
        <f t="shared" si="74"/>
        <v>44481</v>
      </c>
      <c r="D683" s="56" t="str">
        <f>VLOOKUP(MOD(C683,7),'CALENDAR INFO'!$G$5:$H$11,2)</f>
        <v>TUE</v>
      </c>
      <c r="E683" s="165">
        <v>0.08</v>
      </c>
      <c r="F683" s="336">
        <v>0.05</v>
      </c>
      <c r="G683" s="411">
        <f t="shared" si="75"/>
        <v>-0.03</v>
      </c>
      <c r="H683" s="136"/>
      <c r="I683" s="139"/>
      <c r="J683" s="151"/>
      <c r="K683" s="126"/>
      <c r="L683" s="403">
        <f t="shared" si="76"/>
        <v>44481</v>
      </c>
      <c r="M683" s="56" t="str">
        <f t="shared" si="77"/>
        <v>TUE</v>
      </c>
      <c r="O683" s="383">
        <f t="shared" ref="O683:O711" si="80">IF(MOD(C683,7)&lt;2,0,IF(MOD(C683,7)=6,3,1))</f>
        <v>1</v>
      </c>
      <c r="P683" s="392">
        <f t="shared" si="79"/>
        <v>1.0000013888888888</v>
      </c>
    </row>
    <row r="684" spans="2:16">
      <c r="B684" s="41"/>
      <c r="C684" s="403">
        <f t="shared" si="74"/>
        <v>44482</v>
      </c>
      <c r="D684" s="56" t="str">
        <f>VLOOKUP(MOD(C684,7),'CALENDAR INFO'!$G$5:$H$11,2)</f>
        <v>WED</v>
      </c>
      <c r="E684" s="165">
        <v>0.08</v>
      </c>
      <c r="F684" s="336">
        <v>0.05</v>
      </c>
      <c r="G684" s="411">
        <f t="shared" si="75"/>
        <v>-0.03</v>
      </c>
      <c r="H684" s="136"/>
      <c r="I684" s="139"/>
      <c r="J684" s="151"/>
      <c r="K684" s="126"/>
      <c r="L684" s="403">
        <f t="shared" si="76"/>
        <v>44482</v>
      </c>
      <c r="M684" s="56" t="str">
        <f t="shared" si="77"/>
        <v>WED</v>
      </c>
      <c r="O684" s="383">
        <f t="shared" si="80"/>
        <v>1</v>
      </c>
      <c r="P684" s="392">
        <f t="shared" si="79"/>
        <v>1.0000013888888888</v>
      </c>
    </row>
    <row r="685" spans="2:16">
      <c r="B685" s="41"/>
      <c r="C685" s="403">
        <f t="shared" si="74"/>
        <v>44483</v>
      </c>
      <c r="D685" s="56" t="str">
        <f>VLOOKUP(MOD(C685,7),'CALENDAR INFO'!$G$5:$H$11,2)</f>
        <v>THU</v>
      </c>
      <c r="E685" s="165">
        <v>0.08</v>
      </c>
      <c r="F685" s="336">
        <v>0.05</v>
      </c>
      <c r="G685" s="411">
        <f t="shared" si="75"/>
        <v>-0.03</v>
      </c>
      <c r="K685" s="126"/>
      <c r="L685" s="403">
        <f t="shared" si="76"/>
        <v>44483</v>
      </c>
      <c r="M685" s="56" t="str">
        <f t="shared" si="77"/>
        <v>THU</v>
      </c>
      <c r="O685" s="383">
        <f t="shared" si="80"/>
        <v>1</v>
      </c>
      <c r="P685" s="392">
        <f t="shared" si="79"/>
        <v>1.0000013888888888</v>
      </c>
    </row>
    <row r="686" spans="2:16">
      <c r="B686" s="41"/>
      <c r="C686" s="403">
        <f t="shared" si="74"/>
        <v>44484</v>
      </c>
      <c r="D686" s="56" t="str">
        <f>VLOOKUP(MOD(C686,7),'CALENDAR INFO'!$G$5:$H$11,2)</f>
        <v>FRI</v>
      </c>
      <c r="E686" s="165">
        <v>0.08</v>
      </c>
      <c r="F686" s="336">
        <v>0.05</v>
      </c>
      <c r="G686" s="411">
        <f t="shared" si="75"/>
        <v>-0.03</v>
      </c>
      <c r="H686" s="135"/>
      <c r="I686" s="144"/>
      <c r="J686" s="152"/>
      <c r="K686" s="126"/>
      <c r="L686" s="403">
        <f t="shared" si="76"/>
        <v>44484</v>
      </c>
      <c r="M686" s="56" t="str">
        <f t="shared" si="77"/>
        <v>FRI</v>
      </c>
      <c r="O686" s="383">
        <f t="shared" si="80"/>
        <v>3</v>
      </c>
      <c r="P686" s="392">
        <f t="shared" si="79"/>
        <v>1.0000041666666666</v>
      </c>
    </row>
    <row r="687" spans="2:16">
      <c r="B687" s="41"/>
      <c r="C687" s="403">
        <f t="shared" si="74"/>
        <v>44485</v>
      </c>
      <c r="D687" s="56" t="str">
        <f>VLOOKUP(MOD(C687,7),'CALENDAR INFO'!$G$5:$H$11,2)</f>
        <v>SAT</v>
      </c>
      <c r="E687" s="165">
        <v>0.08</v>
      </c>
      <c r="F687" s="336">
        <v>0.05</v>
      </c>
      <c r="G687" s="411">
        <f t="shared" si="75"/>
        <v>-0.03</v>
      </c>
      <c r="K687" s="126"/>
      <c r="L687" s="403">
        <f t="shared" si="76"/>
        <v>44485</v>
      </c>
      <c r="M687" s="56" t="str">
        <f t="shared" si="77"/>
        <v>SAT</v>
      </c>
      <c r="O687" s="383">
        <f t="shared" si="80"/>
        <v>0</v>
      </c>
      <c r="P687" s="392">
        <f t="shared" si="79"/>
        <v>1</v>
      </c>
    </row>
    <row r="688" spans="2:16">
      <c r="B688" s="41"/>
      <c r="C688" s="403">
        <f t="shared" si="74"/>
        <v>44486</v>
      </c>
      <c r="D688" s="56" t="str">
        <f>VLOOKUP(MOD(C688,7),'CALENDAR INFO'!$G$5:$H$11,2)</f>
        <v>SUN</v>
      </c>
      <c r="E688" s="165">
        <v>0.08</v>
      </c>
      <c r="F688" s="336">
        <v>0.05</v>
      </c>
      <c r="G688" s="411">
        <f t="shared" si="75"/>
        <v>-0.03</v>
      </c>
      <c r="K688" s="126"/>
      <c r="L688" s="403">
        <f t="shared" si="76"/>
        <v>44486</v>
      </c>
      <c r="M688" s="56" t="str">
        <f t="shared" si="77"/>
        <v>SUN</v>
      </c>
      <c r="O688" s="383">
        <f t="shared" si="80"/>
        <v>0</v>
      </c>
      <c r="P688" s="392">
        <f t="shared" si="79"/>
        <v>1</v>
      </c>
    </row>
    <row r="689" spans="1:16">
      <c r="B689" s="41"/>
      <c r="C689" s="403">
        <f t="shared" si="74"/>
        <v>44487</v>
      </c>
      <c r="D689" s="56" t="str">
        <f>VLOOKUP(MOD(C689,7),'CALENDAR INFO'!$G$5:$H$11,2)</f>
        <v>MON</v>
      </c>
      <c r="E689" s="165">
        <v>0.08</v>
      </c>
      <c r="F689" s="336">
        <v>0.05</v>
      </c>
      <c r="G689" s="411">
        <f t="shared" si="75"/>
        <v>-0.03</v>
      </c>
      <c r="K689" s="126"/>
      <c r="L689" s="403">
        <f t="shared" si="76"/>
        <v>44487</v>
      </c>
      <c r="M689" s="56" t="str">
        <f t="shared" si="77"/>
        <v>MON</v>
      </c>
      <c r="O689" s="383">
        <f t="shared" si="80"/>
        <v>1</v>
      </c>
      <c r="P689" s="392">
        <f t="shared" si="79"/>
        <v>1.0000013888888888</v>
      </c>
    </row>
    <row r="690" spans="1:16">
      <c r="B690" s="41"/>
      <c r="C690" s="403">
        <f t="shared" si="74"/>
        <v>44488</v>
      </c>
      <c r="D690" s="56" t="str">
        <f>VLOOKUP(MOD(C690,7),'CALENDAR INFO'!$G$5:$H$11,2)</f>
        <v>TUE</v>
      </c>
      <c r="E690" s="165">
        <v>0.08</v>
      </c>
      <c r="F690" s="336">
        <v>0.03</v>
      </c>
      <c r="G690" s="411">
        <f t="shared" si="75"/>
        <v>-0.05</v>
      </c>
      <c r="K690" s="126"/>
      <c r="L690" s="403">
        <f t="shared" si="76"/>
        <v>44488</v>
      </c>
      <c r="M690" s="56" t="str">
        <f t="shared" si="77"/>
        <v>TUE</v>
      </c>
      <c r="O690" s="383">
        <f t="shared" si="80"/>
        <v>1</v>
      </c>
      <c r="P690" s="392">
        <f t="shared" si="79"/>
        <v>1.0000008333333332</v>
      </c>
    </row>
    <row r="691" spans="1:16">
      <c r="B691" s="41"/>
      <c r="C691" s="403">
        <f t="shared" si="74"/>
        <v>44489</v>
      </c>
      <c r="D691" s="56" t="str">
        <f>VLOOKUP(MOD(C691,7),'CALENDAR INFO'!$G$5:$H$11,2)</f>
        <v>WED</v>
      </c>
      <c r="E691" s="165">
        <v>0.08</v>
      </c>
      <c r="F691" s="336">
        <v>0.03</v>
      </c>
      <c r="G691" s="411">
        <f t="shared" si="75"/>
        <v>-0.05</v>
      </c>
      <c r="K691" s="126" t="s">
        <v>19</v>
      </c>
      <c r="L691" s="403">
        <f t="shared" si="76"/>
        <v>44489</v>
      </c>
      <c r="M691" s="56" t="str">
        <f t="shared" si="77"/>
        <v>WED</v>
      </c>
      <c r="O691" s="383">
        <f t="shared" si="80"/>
        <v>1</v>
      </c>
      <c r="P691" s="392">
        <f t="shared" si="79"/>
        <v>1.0000008333333332</v>
      </c>
    </row>
    <row r="692" spans="1:16">
      <c r="B692" s="41"/>
      <c r="C692" s="403">
        <f t="shared" si="74"/>
        <v>44490</v>
      </c>
      <c r="D692" s="56" t="str">
        <f>VLOOKUP(MOD(C692,7),'CALENDAR INFO'!$G$5:$H$11,2)</f>
        <v>THU</v>
      </c>
      <c r="E692" s="165">
        <v>0.08</v>
      </c>
      <c r="F692" s="336">
        <v>0.03</v>
      </c>
      <c r="G692" s="411">
        <f t="shared" si="75"/>
        <v>-0.05</v>
      </c>
      <c r="K692" s="129" t="s">
        <v>18</v>
      </c>
      <c r="L692" s="403">
        <f t="shared" si="76"/>
        <v>44490</v>
      </c>
      <c r="M692" s="56" t="str">
        <f t="shared" si="77"/>
        <v>THU</v>
      </c>
      <c r="O692" s="383">
        <f t="shared" si="80"/>
        <v>1</v>
      </c>
      <c r="P692" s="392">
        <f t="shared" si="79"/>
        <v>1.0000008333333332</v>
      </c>
    </row>
    <row r="693" spans="1:16">
      <c r="B693" s="41"/>
      <c r="C693" s="403">
        <f t="shared" ref="C693:C756" si="81">C692+1</f>
        <v>44491</v>
      </c>
      <c r="D693" s="56" t="str">
        <f>VLOOKUP(MOD(C693,7),'CALENDAR INFO'!$G$5:$H$11,2)</f>
        <v>FRI</v>
      </c>
      <c r="E693" s="165">
        <v>0.08</v>
      </c>
      <c r="F693" s="336">
        <v>0.05</v>
      </c>
      <c r="G693" s="411">
        <f t="shared" si="75"/>
        <v>-0.03</v>
      </c>
      <c r="K693" s="129"/>
      <c r="L693" s="403">
        <f t="shared" si="76"/>
        <v>44491</v>
      </c>
      <c r="M693" s="56" t="str">
        <f t="shared" si="77"/>
        <v>FRI</v>
      </c>
      <c r="O693" s="383">
        <f t="shared" si="80"/>
        <v>3</v>
      </c>
      <c r="P693" s="392">
        <f t="shared" si="79"/>
        <v>1.0000041666666666</v>
      </c>
    </row>
    <row r="694" spans="1:16">
      <c r="B694" s="41"/>
      <c r="C694" s="403">
        <f t="shared" si="81"/>
        <v>44492</v>
      </c>
      <c r="D694" s="56" t="str">
        <f>VLOOKUP(MOD(C694,7),'CALENDAR INFO'!$G$5:$H$11,2)</f>
        <v>SAT</v>
      </c>
      <c r="E694" s="165">
        <v>0.08</v>
      </c>
      <c r="F694" s="336">
        <v>0.05</v>
      </c>
      <c r="G694" s="411">
        <f t="shared" si="75"/>
        <v>-0.03</v>
      </c>
      <c r="K694" s="129"/>
      <c r="L694" s="403">
        <f t="shared" si="76"/>
        <v>44492</v>
      </c>
      <c r="M694" s="56" t="str">
        <f t="shared" si="77"/>
        <v>SAT</v>
      </c>
      <c r="O694" s="383">
        <f t="shared" si="80"/>
        <v>0</v>
      </c>
      <c r="P694" s="392">
        <f t="shared" si="79"/>
        <v>1</v>
      </c>
    </row>
    <row r="695" spans="1:16">
      <c r="B695" s="41"/>
      <c r="C695" s="403">
        <f t="shared" si="81"/>
        <v>44493</v>
      </c>
      <c r="D695" s="56" t="str">
        <f>VLOOKUP(MOD(C695,7),'CALENDAR INFO'!$G$5:$H$11,2)</f>
        <v>SUN</v>
      </c>
      <c r="E695" s="165">
        <v>0.08</v>
      </c>
      <c r="F695" s="336">
        <v>0.05</v>
      </c>
      <c r="G695" s="411">
        <f t="shared" si="75"/>
        <v>-0.03</v>
      </c>
      <c r="K695" s="129"/>
      <c r="L695" s="403">
        <f t="shared" si="76"/>
        <v>44493</v>
      </c>
      <c r="M695" s="56" t="str">
        <f t="shared" si="77"/>
        <v>SUN</v>
      </c>
      <c r="O695" s="383">
        <f t="shared" si="80"/>
        <v>0</v>
      </c>
      <c r="P695" s="392">
        <f t="shared" si="79"/>
        <v>1</v>
      </c>
    </row>
    <row r="696" spans="1:16">
      <c r="B696" s="41"/>
      <c r="C696" s="403">
        <f t="shared" si="81"/>
        <v>44494</v>
      </c>
      <c r="D696" s="56" t="str">
        <f>VLOOKUP(MOD(C696,7),'CALENDAR INFO'!$G$5:$H$11,2)</f>
        <v>MON</v>
      </c>
      <c r="E696" s="165">
        <v>0.08</v>
      </c>
      <c r="F696" s="336">
        <v>0.04</v>
      </c>
      <c r="G696" s="411">
        <f t="shared" si="75"/>
        <v>-0.04</v>
      </c>
      <c r="K696" s="129"/>
      <c r="L696" s="403">
        <f t="shared" si="76"/>
        <v>44494</v>
      </c>
      <c r="M696" s="56" t="str">
        <f t="shared" si="77"/>
        <v>MON</v>
      </c>
      <c r="O696" s="383">
        <f t="shared" si="80"/>
        <v>1</v>
      </c>
      <c r="P696" s="392">
        <f t="shared" si="79"/>
        <v>1.0000011111111111</v>
      </c>
    </row>
    <row r="697" spans="1:16">
      <c r="B697" s="41"/>
      <c r="C697" s="403">
        <f t="shared" si="81"/>
        <v>44495</v>
      </c>
      <c r="D697" s="56" t="str">
        <f>VLOOKUP(MOD(C697,7),'CALENDAR INFO'!$G$5:$H$11,2)</f>
        <v>TUE</v>
      </c>
      <c r="E697" s="165">
        <v>0.08</v>
      </c>
      <c r="F697" s="336">
        <v>0.05</v>
      </c>
      <c r="G697" s="411">
        <f t="shared" si="75"/>
        <v>-0.03</v>
      </c>
      <c r="K697" s="129"/>
      <c r="L697" s="403">
        <f t="shared" si="76"/>
        <v>44495</v>
      </c>
      <c r="M697" s="56" t="str">
        <f t="shared" si="77"/>
        <v>TUE</v>
      </c>
      <c r="O697" s="383">
        <f t="shared" si="80"/>
        <v>1</v>
      </c>
      <c r="P697" s="392">
        <f t="shared" si="79"/>
        <v>1.0000013888888888</v>
      </c>
    </row>
    <row r="698" spans="1:16">
      <c r="B698" s="41"/>
      <c r="C698" s="403">
        <f t="shared" si="81"/>
        <v>44496</v>
      </c>
      <c r="D698" s="56" t="str">
        <f>VLOOKUP(MOD(C698,7),'CALENDAR INFO'!$G$5:$H$11,2)</f>
        <v>WED</v>
      </c>
      <c r="E698" s="165">
        <v>0.08</v>
      </c>
      <c r="F698" s="336">
        <v>0.05</v>
      </c>
      <c r="G698" s="411">
        <f t="shared" si="75"/>
        <v>-0.03</v>
      </c>
      <c r="I698" s="137"/>
      <c r="K698" s="129"/>
      <c r="L698" s="403">
        <f t="shared" si="76"/>
        <v>44496</v>
      </c>
      <c r="M698" s="56" t="str">
        <f t="shared" si="77"/>
        <v>WED</v>
      </c>
      <c r="O698" s="383">
        <f t="shared" si="80"/>
        <v>1</v>
      </c>
      <c r="P698" s="392">
        <f t="shared" si="79"/>
        <v>1.0000013888888888</v>
      </c>
    </row>
    <row r="699" spans="1:16">
      <c r="B699" s="41"/>
      <c r="C699" s="403">
        <f t="shared" si="81"/>
        <v>44497</v>
      </c>
      <c r="D699" s="56" t="str">
        <f>VLOOKUP(MOD(C699,7),'CALENDAR INFO'!$G$5:$H$11,2)</f>
        <v>THU</v>
      </c>
      <c r="E699" s="165">
        <v>0.08</v>
      </c>
      <c r="F699" s="336">
        <v>0.05</v>
      </c>
      <c r="G699" s="411">
        <f t="shared" si="75"/>
        <v>-0.03</v>
      </c>
      <c r="H699" s="115"/>
      <c r="I699" s="141"/>
      <c r="J699" s="158"/>
      <c r="K699" s="129"/>
      <c r="L699" s="403">
        <f t="shared" si="76"/>
        <v>44497</v>
      </c>
      <c r="M699" s="56" t="str">
        <f t="shared" si="77"/>
        <v>THU</v>
      </c>
      <c r="O699" s="383">
        <f t="shared" si="80"/>
        <v>1</v>
      </c>
      <c r="P699" s="392">
        <f t="shared" si="79"/>
        <v>1.0000013888888888</v>
      </c>
    </row>
    <row r="700" spans="1:16">
      <c r="B700" s="41"/>
      <c r="C700" s="403">
        <f t="shared" si="81"/>
        <v>44498</v>
      </c>
      <c r="D700" s="56" t="str">
        <f>VLOOKUP(MOD(C700,7),'CALENDAR INFO'!$G$5:$H$11,2)</f>
        <v>FRI</v>
      </c>
      <c r="E700" s="165">
        <v>7.0000000000000007E-2</v>
      </c>
      <c r="F700" s="336">
        <v>0.05</v>
      </c>
      <c r="G700" s="411">
        <f t="shared" si="75"/>
        <v>-2.0000000000000004E-2</v>
      </c>
      <c r="H700" s="115"/>
      <c r="I700" s="148"/>
      <c r="J700" s="160"/>
      <c r="K700" s="129"/>
      <c r="L700" s="403">
        <f t="shared" si="76"/>
        <v>44498</v>
      </c>
      <c r="M700" s="56" t="str">
        <f t="shared" si="77"/>
        <v>FRI</v>
      </c>
      <c r="O700" s="383">
        <f t="shared" si="80"/>
        <v>3</v>
      </c>
      <c r="P700" s="392">
        <f t="shared" si="79"/>
        <v>1.0000041666666666</v>
      </c>
    </row>
    <row r="701" spans="1:16">
      <c r="B701" s="41"/>
      <c r="C701" s="403">
        <f t="shared" si="81"/>
        <v>44499</v>
      </c>
      <c r="D701" s="56" t="str">
        <f>VLOOKUP(MOD(C701,7),'CALENDAR INFO'!$G$5:$H$11,2)</f>
        <v>SAT</v>
      </c>
      <c r="E701" s="165">
        <v>7.0000000000000007E-2</v>
      </c>
      <c r="F701" s="336">
        <v>0.05</v>
      </c>
      <c r="G701" s="411">
        <f t="shared" si="75"/>
        <v>-2.0000000000000004E-2</v>
      </c>
      <c r="H701" s="115"/>
      <c r="I701" s="141"/>
      <c r="J701" s="158"/>
      <c r="K701" s="129"/>
      <c r="L701" s="403">
        <f t="shared" si="76"/>
        <v>44499</v>
      </c>
      <c r="M701" s="56" t="str">
        <f t="shared" si="77"/>
        <v>SAT</v>
      </c>
      <c r="O701" s="383">
        <f t="shared" si="80"/>
        <v>0</v>
      </c>
      <c r="P701" s="392">
        <f t="shared" si="79"/>
        <v>1</v>
      </c>
    </row>
    <row r="702" spans="1:16" ht="15.75" thickBot="1">
      <c r="A702" s="81"/>
      <c r="B702" s="178"/>
      <c r="C702" s="404">
        <f t="shared" si="81"/>
        <v>44500</v>
      </c>
      <c r="D702" s="64" t="str">
        <f>VLOOKUP(MOD(C702,7),'CALENDAR INFO'!$G$5:$H$11,2)</f>
        <v>SUN</v>
      </c>
      <c r="E702" s="166">
        <v>7.0000000000000007E-2</v>
      </c>
      <c r="F702" s="337">
        <v>0.05</v>
      </c>
      <c r="G702" s="412">
        <f t="shared" si="75"/>
        <v>-2.0000000000000004E-2</v>
      </c>
      <c r="H702" s="345"/>
      <c r="I702" s="143"/>
      <c r="J702" s="162"/>
      <c r="K702" s="84"/>
      <c r="L702" s="404">
        <f t="shared" si="76"/>
        <v>44500</v>
      </c>
      <c r="M702" s="64" t="str">
        <f t="shared" si="77"/>
        <v>SUN</v>
      </c>
      <c r="N702" s="90"/>
      <c r="O702" s="382">
        <f t="shared" si="80"/>
        <v>0</v>
      </c>
      <c r="P702" s="388">
        <f t="shared" si="79"/>
        <v>1</v>
      </c>
    </row>
    <row r="703" spans="1:16">
      <c r="A703" s="83"/>
      <c r="B703" s="179"/>
      <c r="C703" s="406">
        <f t="shared" si="81"/>
        <v>44501</v>
      </c>
      <c r="D703" s="86" t="str">
        <f>VLOOKUP(MOD(C703,7),'CALENDAR INFO'!$G$5:$H$11,2)</f>
        <v>MON</v>
      </c>
      <c r="E703" s="168">
        <v>0.08</v>
      </c>
      <c r="F703" s="340">
        <v>0.05</v>
      </c>
      <c r="G703" s="414">
        <f t="shared" si="75"/>
        <v>-0.03</v>
      </c>
      <c r="H703" s="15" t="s">
        <v>149</v>
      </c>
      <c r="I703" s="15">
        <f>ROW(I703)</f>
        <v>703</v>
      </c>
      <c r="J703" s="138">
        <f>I703</f>
        <v>703</v>
      </c>
      <c r="K703" s="91"/>
      <c r="L703" s="406">
        <f t="shared" si="76"/>
        <v>44501</v>
      </c>
      <c r="M703" s="86" t="str">
        <f t="shared" si="77"/>
        <v>MON</v>
      </c>
      <c r="N703" s="89"/>
      <c r="O703" s="386">
        <f t="shared" si="80"/>
        <v>1</v>
      </c>
      <c r="P703" s="390">
        <f t="shared" si="79"/>
        <v>1.0000013888888888</v>
      </c>
    </row>
    <row r="704" spans="1:16">
      <c r="B704" s="41"/>
      <c r="C704" s="403">
        <f t="shared" si="81"/>
        <v>44502</v>
      </c>
      <c r="D704" s="56" t="str">
        <f>VLOOKUP(MOD(C704,7),'CALENDAR INFO'!$G$5:$H$11,2)</f>
        <v>TUE</v>
      </c>
      <c r="E704" s="165">
        <v>0.08</v>
      </c>
      <c r="F704" s="336">
        <v>0.05</v>
      </c>
      <c r="G704" s="411">
        <f t="shared" si="75"/>
        <v>-0.03</v>
      </c>
      <c r="H704" s="376" t="s">
        <v>210</v>
      </c>
      <c r="I704" s="15">
        <f>VLOOKUP(MONTH($C703),'CALENDAR INFO'!$J$5:$K$16,2)</f>
        <v>30</v>
      </c>
      <c r="J704" s="138">
        <f>I704</f>
        <v>30</v>
      </c>
      <c r="K704" s="129"/>
      <c r="L704" s="403">
        <f t="shared" si="76"/>
        <v>44502</v>
      </c>
      <c r="M704" s="56" t="str">
        <f t="shared" si="77"/>
        <v>TUE</v>
      </c>
      <c r="N704" s="116" t="s">
        <v>20</v>
      </c>
      <c r="O704" s="383">
        <f t="shared" si="80"/>
        <v>1</v>
      </c>
      <c r="P704" s="392">
        <f t="shared" si="79"/>
        <v>1.0000013888888888</v>
      </c>
    </row>
    <row r="705" spans="2:16">
      <c r="B705" s="41"/>
      <c r="C705" s="403">
        <f t="shared" si="81"/>
        <v>44503</v>
      </c>
      <c r="D705" s="56" t="str">
        <f>VLOOKUP(MOD(C705,7),'CALENDAR INFO'!$G$5:$H$11,2)</f>
        <v>WED</v>
      </c>
      <c r="E705" s="165">
        <v>0.08</v>
      </c>
      <c r="F705" s="336">
        <v>0.05</v>
      </c>
      <c r="G705" s="411">
        <f t="shared" si="75"/>
        <v>-0.03</v>
      </c>
      <c r="H705" s="376" t="s">
        <v>211</v>
      </c>
      <c r="I705" s="15">
        <f>I704+I703-1</f>
        <v>732</v>
      </c>
      <c r="J705" s="138">
        <f>I705</f>
        <v>732</v>
      </c>
      <c r="K705" s="129" t="s">
        <v>19</v>
      </c>
      <c r="L705" s="403">
        <f t="shared" si="76"/>
        <v>44503</v>
      </c>
      <c r="M705" s="56" t="str">
        <f t="shared" si="77"/>
        <v>WED</v>
      </c>
      <c r="N705" s="116" t="s">
        <v>20</v>
      </c>
      <c r="O705" s="383">
        <f t="shared" si="80"/>
        <v>1</v>
      </c>
      <c r="P705" s="392">
        <f t="shared" si="79"/>
        <v>1.0000013888888888</v>
      </c>
    </row>
    <row r="706" spans="2:16">
      <c r="B706" s="41"/>
      <c r="C706" s="403">
        <f t="shared" si="81"/>
        <v>44504</v>
      </c>
      <c r="D706" s="56" t="str">
        <f>VLOOKUP(MOD(C706,7),'CALENDAR INFO'!$G$5:$H$11,2)</f>
        <v>THU</v>
      </c>
      <c r="E706" s="165">
        <v>0.08</v>
      </c>
      <c r="F706" s="336">
        <v>0.05</v>
      </c>
      <c r="G706" s="411">
        <f t="shared" si="75"/>
        <v>-0.03</v>
      </c>
      <c r="K706" s="126" t="s">
        <v>18</v>
      </c>
      <c r="L706" s="403">
        <f t="shared" si="76"/>
        <v>44504</v>
      </c>
      <c r="M706" s="56" t="str">
        <f t="shared" si="77"/>
        <v>THU</v>
      </c>
      <c r="O706" s="383">
        <f t="shared" si="80"/>
        <v>1</v>
      </c>
      <c r="P706" s="392">
        <f t="shared" si="79"/>
        <v>1.0000013888888888</v>
      </c>
    </row>
    <row r="707" spans="2:16">
      <c r="B707" s="41"/>
      <c r="C707" s="403">
        <f t="shared" si="81"/>
        <v>44505</v>
      </c>
      <c r="D707" s="56" t="str">
        <f>VLOOKUP(MOD(C707,7),'CALENDAR INFO'!$G$5:$H$11,2)</f>
        <v>FRI</v>
      </c>
      <c r="E707" s="165">
        <v>0.08</v>
      </c>
      <c r="F707" s="336">
        <v>0.05</v>
      </c>
      <c r="G707" s="411">
        <f t="shared" ref="G707:G770" si="82">F707-E707</f>
        <v>-0.03</v>
      </c>
      <c r="H707" s="15" t="s">
        <v>150</v>
      </c>
      <c r="I707" s="137" t="str">
        <f>_xlfn.CONCAT(ADDRESS(I703,5),":",ADDRESS(I705,5))</f>
        <v>$E$703:$E$732</v>
      </c>
      <c r="J707" s="150" t="str">
        <f>_xlfn.CONCAT(ADDRESS(J703,6),":",ADDRESS(J705,6))</f>
        <v>$F$703:$F$732</v>
      </c>
      <c r="K707" s="126"/>
      <c r="L707" s="403">
        <f t="shared" ref="L707:L770" si="83">C707</f>
        <v>44505</v>
      </c>
      <c r="M707" s="56" t="str">
        <f t="shared" ref="M707:M770" si="84">D707</f>
        <v>FRI</v>
      </c>
      <c r="O707" s="383">
        <f t="shared" si="80"/>
        <v>3</v>
      </c>
      <c r="P707" s="392">
        <f t="shared" si="79"/>
        <v>1.0000041666666666</v>
      </c>
    </row>
    <row r="708" spans="2:16">
      <c r="B708" s="41"/>
      <c r="C708" s="403">
        <f t="shared" si="81"/>
        <v>44506</v>
      </c>
      <c r="D708" s="56" t="str">
        <f>VLOOKUP(MOD(C708,7),'CALENDAR INFO'!$G$5:$H$11,2)</f>
        <v>SAT</v>
      </c>
      <c r="E708" s="165">
        <v>0.08</v>
      </c>
      <c r="F708" s="336">
        <v>0.05</v>
      </c>
      <c r="G708" s="411">
        <f t="shared" si="82"/>
        <v>-0.03</v>
      </c>
      <c r="K708" s="126"/>
      <c r="L708" s="403">
        <f t="shared" si="83"/>
        <v>44506</v>
      </c>
      <c r="M708" s="56" t="str">
        <f t="shared" si="84"/>
        <v>SAT</v>
      </c>
      <c r="O708" s="383">
        <f t="shared" si="80"/>
        <v>0</v>
      </c>
      <c r="P708" s="392">
        <f t="shared" si="79"/>
        <v>1</v>
      </c>
    </row>
    <row r="709" spans="2:16">
      <c r="B709" s="41"/>
      <c r="C709" s="403">
        <f t="shared" si="81"/>
        <v>44507</v>
      </c>
      <c r="D709" s="56" t="str">
        <f>VLOOKUP(MOD(C709,7),'CALENDAR INFO'!$G$5:$H$11,2)</f>
        <v>SUN</v>
      </c>
      <c r="E709" s="165">
        <v>0.08</v>
      </c>
      <c r="F709" s="336">
        <v>0.05</v>
      </c>
      <c r="G709" s="411">
        <f t="shared" si="82"/>
        <v>-0.03</v>
      </c>
      <c r="H709" s="376" t="s">
        <v>221</v>
      </c>
      <c r="I709" s="147">
        <f ca="1">AVERAGE(INDIRECT(I707))</f>
        <v>7.9666666666666691E-2</v>
      </c>
      <c r="J709" s="326">
        <f ca="1">AVERAGE(INDIRECT(J707))</f>
        <v>5.0000000000000024E-2</v>
      </c>
      <c r="K709" s="126"/>
      <c r="L709" s="403">
        <f t="shared" si="83"/>
        <v>44507</v>
      </c>
      <c r="M709" s="56" t="str">
        <f t="shared" si="84"/>
        <v>SUN</v>
      </c>
      <c r="O709" s="383">
        <f t="shared" si="80"/>
        <v>0</v>
      </c>
      <c r="P709" s="392">
        <f t="shared" si="79"/>
        <v>1</v>
      </c>
    </row>
    <row r="710" spans="2:16">
      <c r="B710" s="41"/>
      <c r="C710" s="403">
        <f t="shared" si="81"/>
        <v>44508</v>
      </c>
      <c r="D710" s="56" t="str">
        <f>VLOOKUP(MOD(C710,7),'CALENDAR INFO'!$G$5:$H$11,2)</f>
        <v>MON</v>
      </c>
      <c r="E710" s="165">
        <v>0.08</v>
      </c>
      <c r="F710" s="336">
        <v>0.05</v>
      </c>
      <c r="G710" s="411">
        <f t="shared" si="82"/>
        <v>-0.03</v>
      </c>
      <c r="I710" s="240"/>
      <c r="J710" s="157"/>
      <c r="K710" s="126"/>
      <c r="L710" s="403">
        <f t="shared" si="83"/>
        <v>44508</v>
      </c>
      <c r="M710" s="56" t="str">
        <f t="shared" si="84"/>
        <v>MON</v>
      </c>
      <c r="O710" s="383">
        <f t="shared" si="80"/>
        <v>1</v>
      </c>
      <c r="P710" s="392">
        <f t="shared" si="79"/>
        <v>1.0000013888888888</v>
      </c>
    </row>
    <row r="711" spans="2:16">
      <c r="B711" s="41"/>
      <c r="C711" s="403">
        <f t="shared" si="81"/>
        <v>44509</v>
      </c>
      <c r="D711" s="56" t="str">
        <f>VLOOKUP(MOD(C711,7),'CALENDAR INFO'!$G$5:$H$11,2)</f>
        <v>TUE</v>
      </c>
      <c r="E711" s="165">
        <v>0.08</v>
      </c>
      <c r="F711" s="336">
        <v>0.05</v>
      </c>
      <c r="G711" s="411">
        <f t="shared" si="82"/>
        <v>-0.03</v>
      </c>
      <c r="H711" s="15" t="s">
        <v>222</v>
      </c>
      <c r="I711" s="147">
        <f ca="1">100-I709</f>
        <v>99.920333333333332</v>
      </c>
      <c r="J711" s="326">
        <f ca="1">100-J709</f>
        <v>99.95</v>
      </c>
      <c r="K711" s="126"/>
      <c r="L711" s="403">
        <f t="shared" si="83"/>
        <v>44509</v>
      </c>
      <c r="M711" s="56" t="str">
        <f t="shared" si="84"/>
        <v>TUE</v>
      </c>
      <c r="O711" s="383">
        <f t="shared" si="80"/>
        <v>1</v>
      </c>
      <c r="P711" s="392">
        <f t="shared" si="79"/>
        <v>1.0000013888888888</v>
      </c>
    </row>
    <row r="712" spans="2:16">
      <c r="B712" s="41"/>
      <c r="C712" s="403">
        <f t="shared" si="81"/>
        <v>44510</v>
      </c>
      <c r="D712" s="56" t="str">
        <f>VLOOKUP(MOD(C712,7),'CALENDAR INFO'!$G$5:$H$11,2)</f>
        <v>WED</v>
      </c>
      <c r="E712" s="165">
        <v>0.08</v>
      </c>
      <c r="F712" s="336">
        <v>0.05</v>
      </c>
      <c r="G712" s="411">
        <f t="shared" si="82"/>
        <v>-0.03</v>
      </c>
      <c r="I712" s="137"/>
      <c r="J712" s="150"/>
      <c r="K712" s="126"/>
      <c r="L712" s="403">
        <f t="shared" si="83"/>
        <v>44510</v>
      </c>
      <c r="M712" s="56" t="str">
        <f t="shared" si="84"/>
        <v>WED</v>
      </c>
      <c r="O712" s="384">
        <v>2</v>
      </c>
      <c r="P712" s="392">
        <f t="shared" si="79"/>
        <v>1.0000027777777778</v>
      </c>
    </row>
    <row r="713" spans="2:16">
      <c r="B713" s="41"/>
      <c r="C713" s="403">
        <f t="shared" si="81"/>
        <v>44511</v>
      </c>
      <c r="D713" s="56" t="str">
        <f>VLOOKUP(MOD(C713,7),'CALENDAR INFO'!$G$5:$H$11,2)</f>
        <v>THU</v>
      </c>
      <c r="E713" s="165">
        <v>0.08</v>
      </c>
      <c r="F713" s="336">
        <v>0.05</v>
      </c>
      <c r="G713" s="411">
        <f t="shared" si="82"/>
        <v>-0.03</v>
      </c>
      <c r="H713" s="136"/>
      <c r="I713" s="139"/>
      <c r="J713" s="151"/>
      <c r="K713" s="126"/>
      <c r="L713" s="403">
        <f t="shared" si="83"/>
        <v>44511</v>
      </c>
      <c r="M713" s="56" t="str">
        <f t="shared" si="84"/>
        <v>THU</v>
      </c>
      <c r="N713" s="132" t="s">
        <v>108</v>
      </c>
      <c r="O713" s="384">
        <v>0</v>
      </c>
      <c r="P713" s="392">
        <f t="shared" si="79"/>
        <v>1</v>
      </c>
    </row>
    <row r="714" spans="2:16">
      <c r="B714" s="41"/>
      <c r="C714" s="403">
        <f t="shared" si="81"/>
        <v>44512</v>
      </c>
      <c r="D714" s="56" t="str">
        <f>VLOOKUP(MOD(C714,7),'CALENDAR INFO'!$G$5:$H$11,2)</f>
        <v>FRI</v>
      </c>
      <c r="E714" s="165">
        <v>0.08</v>
      </c>
      <c r="F714" s="336">
        <v>0.05</v>
      </c>
      <c r="G714" s="411">
        <f t="shared" si="82"/>
        <v>-0.03</v>
      </c>
      <c r="K714" s="126"/>
      <c r="L714" s="403">
        <f t="shared" si="83"/>
        <v>44512</v>
      </c>
      <c r="M714" s="56" t="str">
        <f t="shared" si="84"/>
        <v>FRI</v>
      </c>
      <c r="O714" s="383">
        <f t="shared" ref="O714:O725" si="85">IF(MOD(C714,7)&lt;2,0,IF(MOD(C714,7)=6,3,1))</f>
        <v>3</v>
      </c>
      <c r="P714" s="392">
        <f t="shared" si="79"/>
        <v>1.0000041666666666</v>
      </c>
    </row>
    <row r="715" spans="2:16">
      <c r="B715" s="41"/>
      <c r="C715" s="403">
        <f t="shared" si="81"/>
        <v>44513</v>
      </c>
      <c r="D715" s="56" t="str">
        <f>VLOOKUP(MOD(C715,7),'CALENDAR INFO'!$G$5:$H$11,2)</f>
        <v>SAT</v>
      </c>
      <c r="E715" s="165">
        <v>0.08</v>
      </c>
      <c r="F715" s="336">
        <v>0.05</v>
      </c>
      <c r="G715" s="411">
        <f t="shared" si="82"/>
        <v>-0.03</v>
      </c>
      <c r="H715" s="136"/>
      <c r="I715" s="139"/>
      <c r="J715" s="151"/>
      <c r="K715" s="126"/>
      <c r="L715" s="403">
        <f t="shared" si="83"/>
        <v>44513</v>
      </c>
      <c r="M715" s="56" t="str">
        <f t="shared" si="84"/>
        <v>SAT</v>
      </c>
      <c r="O715" s="383">
        <f t="shared" si="85"/>
        <v>0</v>
      </c>
      <c r="P715" s="392">
        <f t="shared" si="79"/>
        <v>1</v>
      </c>
    </row>
    <row r="716" spans="2:16">
      <c r="B716" s="41"/>
      <c r="C716" s="403">
        <f t="shared" si="81"/>
        <v>44514</v>
      </c>
      <c r="D716" s="56" t="str">
        <f>VLOOKUP(MOD(C716,7),'CALENDAR INFO'!$G$5:$H$11,2)</f>
        <v>SUN</v>
      </c>
      <c r="E716" s="165">
        <v>0.08</v>
      </c>
      <c r="F716" s="336">
        <v>0.05</v>
      </c>
      <c r="G716" s="411">
        <f t="shared" si="82"/>
        <v>-0.03</v>
      </c>
      <c r="K716" s="126"/>
      <c r="L716" s="403">
        <f t="shared" si="83"/>
        <v>44514</v>
      </c>
      <c r="M716" s="56" t="str">
        <f t="shared" si="84"/>
        <v>SUN</v>
      </c>
      <c r="O716" s="383">
        <f t="shared" si="85"/>
        <v>0</v>
      </c>
      <c r="P716" s="392">
        <f t="shared" si="79"/>
        <v>1</v>
      </c>
    </row>
    <row r="717" spans="2:16">
      <c r="B717" s="41"/>
      <c r="C717" s="403">
        <f t="shared" si="81"/>
        <v>44515</v>
      </c>
      <c r="D717" s="56" t="str">
        <f>VLOOKUP(MOD(C717,7),'CALENDAR INFO'!$G$5:$H$11,2)</f>
        <v>MON</v>
      </c>
      <c r="E717" s="165">
        <v>0.08</v>
      </c>
      <c r="F717" s="336">
        <v>0.05</v>
      </c>
      <c r="G717" s="411">
        <f t="shared" si="82"/>
        <v>-0.03</v>
      </c>
      <c r="H717" s="135"/>
      <c r="I717" s="144"/>
      <c r="J717" s="152"/>
      <c r="K717" s="126"/>
      <c r="L717" s="403">
        <f t="shared" si="83"/>
        <v>44515</v>
      </c>
      <c r="M717" s="56" t="str">
        <f t="shared" si="84"/>
        <v>MON</v>
      </c>
      <c r="O717" s="383">
        <f t="shared" si="85"/>
        <v>1</v>
      </c>
      <c r="P717" s="392">
        <f t="shared" si="79"/>
        <v>1.0000013888888888</v>
      </c>
    </row>
    <row r="718" spans="2:16">
      <c r="B718" s="41"/>
      <c r="C718" s="403">
        <f t="shared" si="81"/>
        <v>44516</v>
      </c>
      <c r="D718" s="56" t="str">
        <f>VLOOKUP(MOD(C718,7),'CALENDAR INFO'!$G$5:$H$11,2)</f>
        <v>TUE</v>
      </c>
      <c r="E718" s="165">
        <v>0.08</v>
      </c>
      <c r="F718" s="336">
        <v>0.05</v>
      </c>
      <c r="G718" s="411">
        <f t="shared" si="82"/>
        <v>-0.03</v>
      </c>
      <c r="K718" s="126"/>
      <c r="L718" s="403">
        <f t="shared" si="83"/>
        <v>44516</v>
      </c>
      <c r="M718" s="56" t="str">
        <f t="shared" si="84"/>
        <v>TUE</v>
      </c>
      <c r="O718" s="383">
        <f t="shared" si="85"/>
        <v>1</v>
      </c>
      <c r="P718" s="392">
        <f t="shared" si="79"/>
        <v>1.0000013888888888</v>
      </c>
    </row>
    <row r="719" spans="2:16">
      <c r="B719" s="41"/>
      <c r="C719" s="403">
        <f t="shared" si="81"/>
        <v>44517</v>
      </c>
      <c r="D719" s="56" t="str">
        <f>VLOOKUP(MOD(C719,7),'CALENDAR INFO'!$G$5:$H$11,2)</f>
        <v>WED</v>
      </c>
      <c r="E719" s="165">
        <v>0.08</v>
      </c>
      <c r="F719" s="336">
        <v>0.05</v>
      </c>
      <c r="G719" s="411">
        <f t="shared" si="82"/>
        <v>-0.03</v>
      </c>
      <c r="K719" s="126" t="s">
        <v>19</v>
      </c>
      <c r="L719" s="403">
        <f t="shared" si="83"/>
        <v>44517</v>
      </c>
      <c r="M719" s="56" t="str">
        <f t="shared" si="84"/>
        <v>WED</v>
      </c>
      <c r="O719" s="383">
        <f t="shared" si="85"/>
        <v>1</v>
      </c>
      <c r="P719" s="392">
        <f t="shared" si="79"/>
        <v>1.0000013888888888</v>
      </c>
    </row>
    <row r="720" spans="2:16">
      <c r="B720" s="41"/>
      <c r="C720" s="403">
        <f t="shared" si="81"/>
        <v>44518</v>
      </c>
      <c r="D720" s="56" t="str">
        <f>VLOOKUP(MOD(C720,7),'CALENDAR INFO'!$G$5:$H$11,2)</f>
        <v>THU</v>
      </c>
      <c r="E720" s="165">
        <v>0.08</v>
      </c>
      <c r="F720" s="336">
        <v>0.05</v>
      </c>
      <c r="G720" s="411">
        <f t="shared" si="82"/>
        <v>-0.03</v>
      </c>
      <c r="K720" s="129" t="s">
        <v>18</v>
      </c>
      <c r="L720" s="403">
        <f t="shared" si="83"/>
        <v>44518</v>
      </c>
      <c r="M720" s="56" t="str">
        <f t="shared" si="84"/>
        <v>THU</v>
      </c>
      <c r="O720" s="383">
        <f t="shared" si="85"/>
        <v>1</v>
      </c>
      <c r="P720" s="392">
        <f t="shared" si="79"/>
        <v>1.0000013888888888</v>
      </c>
    </row>
    <row r="721" spans="1:16">
      <c r="B721" s="41"/>
      <c r="C721" s="403">
        <f t="shared" si="81"/>
        <v>44519</v>
      </c>
      <c r="D721" s="56" t="str">
        <f>VLOOKUP(MOD(C721,7),'CALENDAR INFO'!$G$5:$H$11,2)</f>
        <v>FRI</v>
      </c>
      <c r="E721" s="165">
        <v>0.08</v>
      </c>
      <c r="F721" s="336">
        <v>0.05</v>
      </c>
      <c r="G721" s="411">
        <f t="shared" si="82"/>
        <v>-0.03</v>
      </c>
      <c r="K721" s="129"/>
      <c r="L721" s="403">
        <f t="shared" si="83"/>
        <v>44519</v>
      </c>
      <c r="M721" s="56" t="str">
        <f t="shared" si="84"/>
        <v>FRI</v>
      </c>
      <c r="O721" s="383">
        <f t="shared" si="85"/>
        <v>3</v>
      </c>
      <c r="P721" s="392">
        <f t="shared" si="79"/>
        <v>1.0000041666666666</v>
      </c>
    </row>
    <row r="722" spans="1:16">
      <c r="B722" s="41"/>
      <c r="C722" s="403">
        <f t="shared" si="81"/>
        <v>44520</v>
      </c>
      <c r="D722" s="56" t="str">
        <f>VLOOKUP(MOD(C722,7),'CALENDAR INFO'!$G$5:$H$11,2)</f>
        <v>SAT</v>
      </c>
      <c r="E722" s="165">
        <v>0.08</v>
      </c>
      <c r="F722" s="336">
        <v>0.05</v>
      </c>
      <c r="G722" s="411">
        <f t="shared" si="82"/>
        <v>-0.03</v>
      </c>
      <c r="K722" s="129"/>
      <c r="L722" s="403">
        <f t="shared" si="83"/>
        <v>44520</v>
      </c>
      <c r="M722" s="56" t="str">
        <f t="shared" si="84"/>
        <v>SAT</v>
      </c>
      <c r="O722" s="383">
        <f t="shared" si="85"/>
        <v>0</v>
      </c>
      <c r="P722" s="392">
        <f t="shared" si="79"/>
        <v>1</v>
      </c>
    </row>
    <row r="723" spans="1:16">
      <c r="B723" s="41"/>
      <c r="C723" s="403">
        <f t="shared" si="81"/>
        <v>44521</v>
      </c>
      <c r="D723" s="56" t="str">
        <f>VLOOKUP(MOD(C723,7),'CALENDAR INFO'!$G$5:$H$11,2)</f>
        <v>SUN</v>
      </c>
      <c r="E723" s="165">
        <v>0.08</v>
      </c>
      <c r="F723" s="336">
        <v>0.05</v>
      </c>
      <c r="G723" s="411">
        <f t="shared" si="82"/>
        <v>-0.03</v>
      </c>
      <c r="K723" s="129"/>
      <c r="L723" s="403">
        <f t="shared" si="83"/>
        <v>44521</v>
      </c>
      <c r="M723" s="56" t="str">
        <f t="shared" si="84"/>
        <v>SUN</v>
      </c>
      <c r="O723" s="383">
        <f t="shared" si="85"/>
        <v>0</v>
      </c>
      <c r="P723" s="392">
        <f t="shared" ref="P723:P786" si="86">1+(O723/360)*(MAX(F723,B723)/100)</f>
        <v>1</v>
      </c>
    </row>
    <row r="724" spans="1:16">
      <c r="B724" s="41"/>
      <c r="C724" s="403">
        <f t="shared" si="81"/>
        <v>44522</v>
      </c>
      <c r="D724" s="56" t="str">
        <f>VLOOKUP(MOD(C724,7),'CALENDAR INFO'!$G$5:$H$11,2)</f>
        <v>MON</v>
      </c>
      <c r="E724" s="165">
        <v>0.08</v>
      </c>
      <c r="F724" s="336">
        <v>0.05</v>
      </c>
      <c r="G724" s="411">
        <f t="shared" si="82"/>
        <v>-0.03</v>
      </c>
      <c r="K724" s="129"/>
      <c r="L724" s="403">
        <f t="shared" si="83"/>
        <v>44522</v>
      </c>
      <c r="M724" s="56" t="str">
        <f t="shared" si="84"/>
        <v>MON</v>
      </c>
      <c r="O724" s="383">
        <f t="shared" si="85"/>
        <v>1</v>
      </c>
      <c r="P724" s="392">
        <f t="shared" si="86"/>
        <v>1.0000013888888888</v>
      </c>
    </row>
    <row r="725" spans="1:16">
      <c r="B725" s="41"/>
      <c r="C725" s="403">
        <f t="shared" si="81"/>
        <v>44523</v>
      </c>
      <c r="D725" s="56" t="str">
        <f>VLOOKUP(MOD(C725,7),'CALENDAR INFO'!$G$5:$H$11,2)</f>
        <v>TUE</v>
      </c>
      <c r="E725" s="165">
        <v>0.08</v>
      </c>
      <c r="F725" s="336">
        <v>0.05</v>
      </c>
      <c r="G725" s="411">
        <f t="shared" si="82"/>
        <v>-0.03</v>
      </c>
      <c r="K725" s="129"/>
      <c r="L725" s="403">
        <f t="shared" si="83"/>
        <v>44523</v>
      </c>
      <c r="M725" s="56" t="str">
        <f t="shared" si="84"/>
        <v>TUE</v>
      </c>
      <c r="O725" s="383">
        <f t="shared" si="85"/>
        <v>1</v>
      </c>
      <c r="P725" s="392">
        <f t="shared" si="86"/>
        <v>1.0000013888888888</v>
      </c>
    </row>
    <row r="726" spans="1:16">
      <c r="B726" s="41"/>
      <c r="C726" s="403">
        <f t="shared" si="81"/>
        <v>44524</v>
      </c>
      <c r="D726" s="56" t="str">
        <f>VLOOKUP(MOD(C726,7),'CALENDAR INFO'!$G$5:$H$11,2)</f>
        <v>WED</v>
      </c>
      <c r="E726" s="165">
        <v>0.08</v>
      </c>
      <c r="F726" s="336">
        <v>0.05</v>
      </c>
      <c r="G726" s="411">
        <f t="shared" si="82"/>
        <v>-0.03</v>
      </c>
      <c r="K726" s="129"/>
      <c r="L726" s="403">
        <f t="shared" si="83"/>
        <v>44524</v>
      </c>
      <c r="M726" s="56" t="str">
        <f t="shared" si="84"/>
        <v>WED</v>
      </c>
      <c r="O726" s="384">
        <v>2</v>
      </c>
      <c r="P726" s="392">
        <f t="shared" si="86"/>
        <v>1.0000027777777778</v>
      </c>
    </row>
    <row r="727" spans="1:16">
      <c r="B727" s="41"/>
      <c r="C727" s="403">
        <f t="shared" si="81"/>
        <v>44525</v>
      </c>
      <c r="D727" s="56" t="str">
        <f>VLOOKUP(MOD(C727,7),'CALENDAR INFO'!$G$5:$H$11,2)</f>
        <v>THU</v>
      </c>
      <c r="E727" s="165">
        <v>0.08</v>
      </c>
      <c r="F727" s="336">
        <v>0.05</v>
      </c>
      <c r="G727" s="411">
        <f t="shared" si="82"/>
        <v>-0.03</v>
      </c>
      <c r="K727" s="129"/>
      <c r="L727" s="403">
        <f t="shared" si="83"/>
        <v>44525</v>
      </c>
      <c r="M727" s="56" t="str">
        <f t="shared" si="84"/>
        <v>THU</v>
      </c>
      <c r="N727" s="132" t="s">
        <v>109</v>
      </c>
      <c r="O727" s="384">
        <v>0</v>
      </c>
      <c r="P727" s="392">
        <f t="shared" si="86"/>
        <v>1</v>
      </c>
    </row>
    <row r="728" spans="1:16">
      <c r="B728" s="41"/>
      <c r="C728" s="403">
        <f t="shared" si="81"/>
        <v>44526</v>
      </c>
      <c r="D728" s="56" t="str">
        <f>VLOOKUP(MOD(C728,7),'CALENDAR INFO'!$G$5:$H$11,2)</f>
        <v>FRI</v>
      </c>
      <c r="E728" s="165">
        <v>0.08</v>
      </c>
      <c r="F728" s="336">
        <v>0.05</v>
      </c>
      <c r="G728" s="411">
        <f t="shared" si="82"/>
        <v>-0.03</v>
      </c>
      <c r="K728" s="129"/>
      <c r="L728" s="403">
        <f t="shared" si="83"/>
        <v>44526</v>
      </c>
      <c r="M728" s="56" t="str">
        <f t="shared" si="84"/>
        <v>FRI</v>
      </c>
      <c r="O728" s="383">
        <f t="shared" ref="O728:O754" si="87">IF(MOD(C728,7)&lt;2,0,IF(MOD(C728,7)=6,3,1))</f>
        <v>3</v>
      </c>
      <c r="P728" s="392">
        <f t="shared" si="86"/>
        <v>1.0000041666666666</v>
      </c>
    </row>
    <row r="729" spans="1:16">
      <c r="B729" s="41"/>
      <c r="C729" s="403">
        <f t="shared" si="81"/>
        <v>44527</v>
      </c>
      <c r="D729" s="56" t="str">
        <f>VLOOKUP(MOD(C729,7),'CALENDAR INFO'!$G$5:$H$11,2)</f>
        <v>SAT</v>
      </c>
      <c r="E729" s="165">
        <v>0.08</v>
      </c>
      <c r="F729" s="336">
        <v>0.05</v>
      </c>
      <c r="G729" s="411">
        <f t="shared" si="82"/>
        <v>-0.03</v>
      </c>
      <c r="I729" s="137"/>
      <c r="K729" s="129"/>
      <c r="L729" s="403">
        <f t="shared" si="83"/>
        <v>44527</v>
      </c>
      <c r="M729" s="56" t="str">
        <f t="shared" si="84"/>
        <v>SAT</v>
      </c>
      <c r="O729" s="383">
        <f t="shared" si="87"/>
        <v>0</v>
      </c>
      <c r="P729" s="392">
        <f t="shared" si="86"/>
        <v>1</v>
      </c>
    </row>
    <row r="730" spans="1:16">
      <c r="B730" s="41"/>
      <c r="C730" s="403">
        <f t="shared" si="81"/>
        <v>44528</v>
      </c>
      <c r="D730" s="56" t="str">
        <f>VLOOKUP(MOD(C730,7),'CALENDAR INFO'!$G$5:$H$11,2)</f>
        <v>SUN</v>
      </c>
      <c r="E730" s="165">
        <v>0.08</v>
      </c>
      <c r="F730" s="336">
        <v>0.05</v>
      </c>
      <c r="G730" s="411">
        <f t="shared" si="82"/>
        <v>-0.03</v>
      </c>
      <c r="H730" s="115"/>
      <c r="I730" s="148"/>
      <c r="J730" s="160"/>
      <c r="K730" s="129"/>
      <c r="L730" s="403">
        <f t="shared" si="83"/>
        <v>44528</v>
      </c>
      <c r="M730" s="56" t="str">
        <f t="shared" si="84"/>
        <v>SUN</v>
      </c>
      <c r="O730" s="383">
        <f t="shared" si="87"/>
        <v>0</v>
      </c>
      <c r="P730" s="392">
        <f t="shared" si="86"/>
        <v>1</v>
      </c>
    </row>
    <row r="731" spans="1:16">
      <c r="B731" s="41"/>
      <c r="C731" s="403">
        <f t="shared" si="81"/>
        <v>44529</v>
      </c>
      <c r="D731" s="56" t="str">
        <f>VLOOKUP(MOD(C731,7),'CALENDAR INFO'!$G$5:$H$11,2)</f>
        <v>MON</v>
      </c>
      <c r="E731" s="165">
        <v>0.08</v>
      </c>
      <c r="F731" s="336">
        <v>0.05</v>
      </c>
      <c r="G731" s="411">
        <f t="shared" si="82"/>
        <v>-0.03</v>
      </c>
      <c r="H731" s="115"/>
      <c r="I731" s="141"/>
      <c r="J731" s="158"/>
      <c r="K731" s="129"/>
      <c r="L731" s="403">
        <f t="shared" si="83"/>
        <v>44529</v>
      </c>
      <c r="M731" s="56" t="str">
        <f t="shared" si="84"/>
        <v>MON</v>
      </c>
      <c r="O731" s="383">
        <f t="shared" si="87"/>
        <v>1</v>
      </c>
      <c r="P731" s="392">
        <f t="shared" si="86"/>
        <v>1.0000013888888888</v>
      </c>
    </row>
    <row r="732" spans="1:16" ht="15.75" thickBot="1">
      <c r="A732" s="81"/>
      <c r="B732" s="178"/>
      <c r="C732" s="404">
        <f t="shared" si="81"/>
        <v>44530</v>
      </c>
      <c r="D732" s="64" t="str">
        <f>VLOOKUP(MOD(C732,7),'CALENDAR INFO'!$G$5:$H$11,2)</f>
        <v>TUE</v>
      </c>
      <c r="E732" s="166">
        <v>7.0000000000000007E-2</v>
      </c>
      <c r="F732" s="337">
        <v>0.05</v>
      </c>
      <c r="G732" s="412">
        <f t="shared" si="82"/>
        <v>-2.0000000000000004E-2</v>
      </c>
      <c r="H732" s="345"/>
      <c r="I732" s="143"/>
      <c r="J732" s="162"/>
      <c r="K732" s="84"/>
      <c r="L732" s="404">
        <f t="shared" si="83"/>
        <v>44530</v>
      </c>
      <c r="M732" s="64" t="str">
        <f t="shared" si="84"/>
        <v>TUE</v>
      </c>
      <c r="N732" s="90"/>
      <c r="O732" s="382">
        <f t="shared" si="87"/>
        <v>1</v>
      </c>
      <c r="P732" s="388">
        <f t="shared" si="86"/>
        <v>1.0000013888888888</v>
      </c>
    </row>
    <row r="733" spans="1:16">
      <c r="A733" s="83"/>
      <c r="B733" s="179"/>
      <c r="C733" s="406">
        <f t="shared" si="81"/>
        <v>44531</v>
      </c>
      <c r="D733" s="86" t="str">
        <f>VLOOKUP(MOD(C733,7),'CALENDAR INFO'!$G$5:$H$11,2)</f>
        <v>WED</v>
      </c>
      <c r="E733" s="168">
        <v>0.08</v>
      </c>
      <c r="F733" s="340">
        <v>0.05</v>
      </c>
      <c r="G733" s="414">
        <f t="shared" si="82"/>
        <v>-0.03</v>
      </c>
      <c r="H733" s="15" t="s">
        <v>149</v>
      </c>
      <c r="I733" s="15">
        <f>ROW(I733)</f>
        <v>733</v>
      </c>
      <c r="J733" s="138">
        <f>I733</f>
        <v>733</v>
      </c>
      <c r="K733" s="91" t="s">
        <v>19</v>
      </c>
      <c r="L733" s="406">
        <f t="shared" si="83"/>
        <v>44531</v>
      </c>
      <c r="M733" s="86" t="str">
        <f t="shared" si="84"/>
        <v>WED</v>
      </c>
      <c r="N733" s="89"/>
      <c r="O733" s="386">
        <f t="shared" si="87"/>
        <v>1</v>
      </c>
      <c r="P733" s="390">
        <f t="shared" si="86"/>
        <v>1.0000013888888888</v>
      </c>
    </row>
    <row r="734" spans="1:16">
      <c r="B734" s="41"/>
      <c r="C734" s="403">
        <f t="shared" si="81"/>
        <v>44532</v>
      </c>
      <c r="D734" s="56" t="str">
        <f>VLOOKUP(MOD(C734,7),'CALENDAR INFO'!$G$5:$H$11,2)</f>
        <v>THU</v>
      </c>
      <c r="E734" s="165">
        <v>0.08</v>
      </c>
      <c r="F734" s="336">
        <v>0.05</v>
      </c>
      <c r="G734" s="411">
        <f t="shared" si="82"/>
        <v>-0.03</v>
      </c>
      <c r="H734" s="376" t="s">
        <v>210</v>
      </c>
      <c r="I734" s="15">
        <f>VLOOKUP(MONTH($C733),'CALENDAR INFO'!$J$5:$K$16,2)</f>
        <v>31</v>
      </c>
      <c r="J734" s="138">
        <f>I734</f>
        <v>31</v>
      </c>
      <c r="K734" s="126" t="s">
        <v>18</v>
      </c>
      <c r="L734" s="403">
        <f t="shared" si="83"/>
        <v>44532</v>
      </c>
      <c r="M734" s="56" t="str">
        <f t="shared" si="84"/>
        <v>THU</v>
      </c>
      <c r="O734" s="383">
        <f t="shared" si="87"/>
        <v>1</v>
      </c>
      <c r="P734" s="392">
        <f t="shared" si="86"/>
        <v>1.0000013888888888</v>
      </c>
    </row>
    <row r="735" spans="1:16">
      <c r="B735" s="41"/>
      <c r="C735" s="403">
        <f t="shared" si="81"/>
        <v>44533</v>
      </c>
      <c r="D735" s="56" t="str">
        <f>VLOOKUP(MOD(C735,7),'CALENDAR INFO'!$G$5:$H$11,2)</f>
        <v>FRI</v>
      </c>
      <c r="E735" s="165">
        <v>0.08</v>
      </c>
      <c r="F735" s="336">
        <v>0.05</v>
      </c>
      <c r="G735" s="411">
        <f t="shared" si="82"/>
        <v>-0.03</v>
      </c>
      <c r="H735" s="376" t="s">
        <v>211</v>
      </c>
      <c r="I735" s="15">
        <f>I734+I733-1</f>
        <v>763</v>
      </c>
      <c r="J735" s="138">
        <f>I735</f>
        <v>763</v>
      </c>
      <c r="K735" s="126"/>
      <c r="L735" s="403">
        <f t="shared" si="83"/>
        <v>44533</v>
      </c>
      <c r="M735" s="56" t="str">
        <f t="shared" si="84"/>
        <v>FRI</v>
      </c>
      <c r="O735" s="383">
        <f t="shared" si="87"/>
        <v>3</v>
      </c>
      <c r="P735" s="392">
        <f t="shared" si="86"/>
        <v>1.0000041666666666</v>
      </c>
    </row>
    <row r="736" spans="1:16">
      <c r="B736" s="41"/>
      <c r="C736" s="403">
        <f t="shared" si="81"/>
        <v>44534</v>
      </c>
      <c r="D736" s="56" t="str">
        <f>VLOOKUP(MOD(C736,7),'CALENDAR INFO'!$G$5:$H$11,2)</f>
        <v>SAT</v>
      </c>
      <c r="E736" s="165">
        <v>0.08</v>
      </c>
      <c r="F736" s="336">
        <v>0.05</v>
      </c>
      <c r="G736" s="411">
        <f t="shared" si="82"/>
        <v>-0.03</v>
      </c>
      <c r="K736" s="126"/>
      <c r="L736" s="403">
        <f t="shared" si="83"/>
        <v>44534</v>
      </c>
      <c r="M736" s="56" t="str">
        <f t="shared" si="84"/>
        <v>SAT</v>
      </c>
      <c r="O736" s="383">
        <f t="shared" si="87"/>
        <v>0</v>
      </c>
      <c r="P736" s="392">
        <f t="shared" si="86"/>
        <v>1</v>
      </c>
    </row>
    <row r="737" spans="2:18">
      <c r="B737" s="41"/>
      <c r="C737" s="403">
        <f t="shared" si="81"/>
        <v>44535</v>
      </c>
      <c r="D737" s="56" t="str">
        <f>VLOOKUP(MOD(C737,7),'CALENDAR INFO'!$G$5:$H$11,2)</f>
        <v>SUN</v>
      </c>
      <c r="E737" s="165">
        <v>0.08</v>
      </c>
      <c r="F737" s="336">
        <v>0.05</v>
      </c>
      <c r="G737" s="411">
        <f t="shared" si="82"/>
        <v>-0.03</v>
      </c>
      <c r="H737" s="15" t="s">
        <v>150</v>
      </c>
      <c r="I737" s="137" t="str">
        <f>_xlfn.CONCAT(ADDRESS(I733,5),":",ADDRESS(I735,5))</f>
        <v>$E$733:$E$763</v>
      </c>
      <c r="J737" s="150" t="str">
        <f>_xlfn.CONCAT(ADDRESS(J733,6),":",ADDRESS(J735,6))</f>
        <v>$F$733:$F$763</v>
      </c>
      <c r="K737" s="126"/>
      <c r="L737" s="403">
        <f t="shared" si="83"/>
        <v>44535</v>
      </c>
      <c r="M737" s="56" t="str">
        <f t="shared" si="84"/>
        <v>SUN</v>
      </c>
      <c r="O737" s="383">
        <f t="shared" si="87"/>
        <v>0</v>
      </c>
      <c r="P737" s="392">
        <f t="shared" si="86"/>
        <v>1</v>
      </c>
    </row>
    <row r="738" spans="2:18">
      <c r="B738" s="41"/>
      <c r="C738" s="403">
        <f t="shared" si="81"/>
        <v>44536</v>
      </c>
      <c r="D738" s="56" t="str">
        <f>VLOOKUP(MOD(C738,7),'CALENDAR INFO'!$G$5:$H$11,2)</f>
        <v>MON</v>
      </c>
      <c r="E738" s="165">
        <v>0.08</v>
      </c>
      <c r="F738" s="336">
        <v>0.05</v>
      </c>
      <c r="G738" s="411">
        <f t="shared" si="82"/>
        <v>-0.03</v>
      </c>
      <c r="K738" s="126"/>
      <c r="L738" s="403">
        <f t="shared" si="83"/>
        <v>44536</v>
      </c>
      <c r="M738" s="56" t="str">
        <f t="shared" si="84"/>
        <v>MON</v>
      </c>
      <c r="O738" s="383">
        <f t="shared" si="87"/>
        <v>1</v>
      </c>
      <c r="P738" s="392">
        <f t="shared" si="86"/>
        <v>1.0000013888888888</v>
      </c>
    </row>
    <row r="739" spans="2:18">
      <c r="B739" s="41"/>
      <c r="C739" s="403">
        <f t="shared" si="81"/>
        <v>44537</v>
      </c>
      <c r="D739" s="56" t="str">
        <f>VLOOKUP(MOD(C739,7),'CALENDAR INFO'!$G$5:$H$11,2)</f>
        <v>TUE</v>
      </c>
      <c r="E739" s="165">
        <v>0.08</v>
      </c>
      <c r="F739" s="336">
        <v>0.05</v>
      </c>
      <c r="G739" s="411">
        <f t="shared" si="82"/>
        <v>-0.03</v>
      </c>
      <c r="H739" s="376" t="s">
        <v>221</v>
      </c>
      <c r="I739" s="147">
        <f ca="1">AVERAGE(INDIRECT(I737))</f>
        <v>7.9677419354838727E-2</v>
      </c>
      <c r="J739" s="326">
        <f ca="1">AVERAGE(INDIRECT(J737))</f>
        <v>4.9677419354838735E-2</v>
      </c>
      <c r="K739" s="126"/>
      <c r="L739" s="403">
        <f t="shared" si="83"/>
        <v>44537</v>
      </c>
      <c r="M739" s="56" t="str">
        <f t="shared" si="84"/>
        <v>TUE</v>
      </c>
      <c r="O739" s="383">
        <f t="shared" si="87"/>
        <v>1</v>
      </c>
      <c r="P739" s="392">
        <f t="shared" si="86"/>
        <v>1.0000013888888888</v>
      </c>
    </row>
    <row r="740" spans="2:18">
      <c r="B740" s="41"/>
      <c r="C740" s="403">
        <f t="shared" si="81"/>
        <v>44538</v>
      </c>
      <c r="D740" s="56" t="str">
        <f>VLOOKUP(MOD(C740,7),'CALENDAR INFO'!$G$5:$H$11,2)</f>
        <v>WED</v>
      </c>
      <c r="E740" s="165">
        <v>0.08</v>
      </c>
      <c r="F740" s="336">
        <v>0.05</v>
      </c>
      <c r="G740" s="411">
        <f t="shared" si="82"/>
        <v>-0.03</v>
      </c>
      <c r="I740" s="240"/>
      <c r="J740" s="157"/>
      <c r="K740" s="126"/>
      <c r="L740" s="403">
        <f t="shared" si="83"/>
        <v>44538</v>
      </c>
      <c r="M740" s="56" t="str">
        <f t="shared" si="84"/>
        <v>WED</v>
      </c>
      <c r="O740" s="383">
        <f t="shared" si="87"/>
        <v>1</v>
      </c>
      <c r="P740" s="392">
        <f t="shared" si="86"/>
        <v>1.0000013888888888</v>
      </c>
    </row>
    <row r="741" spans="2:18">
      <c r="B741" s="41"/>
      <c r="C741" s="403">
        <f t="shared" si="81"/>
        <v>44539</v>
      </c>
      <c r="D741" s="56" t="str">
        <f>VLOOKUP(MOD(C741,7),'CALENDAR INFO'!$G$5:$H$11,2)</f>
        <v>THU</v>
      </c>
      <c r="E741" s="165">
        <v>0.08</v>
      </c>
      <c r="F741" s="336">
        <v>0.05</v>
      </c>
      <c r="G741" s="411">
        <f t="shared" si="82"/>
        <v>-0.03</v>
      </c>
      <c r="H741" s="15" t="s">
        <v>222</v>
      </c>
      <c r="I741" s="147">
        <f ca="1">100-I739</f>
        <v>99.920322580645163</v>
      </c>
      <c r="J741" s="326">
        <f ca="1">100-J739</f>
        <v>99.950322580645164</v>
      </c>
      <c r="K741" s="126"/>
      <c r="L741" s="403">
        <f t="shared" si="83"/>
        <v>44539</v>
      </c>
      <c r="M741" s="56" t="str">
        <f t="shared" si="84"/>
        <v>THU</v>
      </c>
      <c r="O741" s="383">
        <f t="shared" si="87"/>
        <v>1</v>
      </c>
      <c r="P741" s="392">
        <f t="shared" si="86"/>
        <v>1.0000013888888888</v>
      </c>
    </row>
    <row r="742" spans="2:18">
      <c r="B742" s="41"/>
      <c r="C742" s="403">
        <f t="shared" si="81"/>
        <v>44540</v>
      </c>
      <c r="D742" s="56" t="str">
        <f>VLOOKUP(MOD(C742,7),'CALENDAR INFO'!$G$5:$H$11,2)</f>
        <v>FRI</v>
      </c>
      <c r="E742" s="165">
        <v>0.08</v>
      </c>
      <c r="F742" s="336">
        <v>0.05</v>
      </c>
      <c r="G742" s="411">
        <f t="shared" si="82"/>
        <v>-0.03</v>
      </c>
      <c r="H742" s="136"/>
      <c r="I742" s="139"/>
      <c r="J742" s="151"/>
      <c r="K742" s="126"/>
      <c r="L742" s="403">
        <f t="shared" si="83"/>
        <v>44540</v>
      </c>
      <c r="M742" s="56" t="str">
        <f t="shared" si="84"/>
        <v>FRI</v>
      </c>
      <c r="O742" s="383">
        <f t="shared" si="87"/>
        <v>3</v>
      </c>
      <c r="P742" s="392">
        <f t="shared" si="86"/>
        <v>1.0000041666666666</v>
      </c>
    </row>
    <row r="743" spans="2:18">
      <c r="B743" s="41"/>
      <c r="C743" s="403">
        <f t="shared" si="81"/>
        <v>44541</v>
      </c>
      <c r="D743" s="56" t="str">
        <f>VLOOKUP(MOD(C743,7),'CALENDAR INFO'!$G$5:$H$11,2)</f>
        <v>SAT</v>
      </c>
      <c r="E743" s="165">
        <v>0.08</v>
      </c>
      <c r="F743" s="336">
        <v>0.05</v>
      </c>
      <c r="G743" s="411">
        <f t="shared" si="82"/>
        <v>-0.03</v>
      </c>
      <c r="H743" s="136"/>
      <c r="I743" s="139"/>
      <c r="J743" s="151"/>
      <c r="K743" s="126"/>
      <c r="L743" s="403">
        <f t="shared" si="83"/>
        <v>44541</v>
      </c>
      <c r="M743" s="56" t="str">
        <f t="shared" si="84"/>
        <v>SAT</v>
      </c>
      <c r="O743" s="383">
        <f t="shared" si="87"/>
        <v>0</v>
      </c>
      <c r="P743" s="392">
        <f t="shared" si="86"/>
        <v>1</v>
      </c>
      <c r="Q743" s="331" t="s">
        <v>92</v>
      </c>
      <c r="R743" s="75"/>
    </row>
    <row r="744" spans="2:18">
      <c r="B744" s="41"/>
      <c r="C744" s="403">
        <f t="shared" si="81"/>
        <v>44542</v>
      </c>
      <c r="D744" s="56" t="str">
        <f>VLOOKUP(MOD(C744,7),'CALENDAR INFO'!$G$5:$H$11,2)</f>
        <v>SUN</v>
      </c>
      <c r="E744" s="165">
        <v>0.08</v>
      </c>
      <c r="F744" s="336">
        <v>0.05</v>
      </c>
      <c r="G744" s="411">
        <f t="shared" si="82"/>
        <v>-0.03</v>
      </c>
      <c r="H744" s="136"/>
      <c r="I744" s="139"/>
      <c r="J744" s="151"/>
      <c r="K744" s="126"/>
      <c r="L744" s="403">
        <f t="shared" si="83"/>
        <v>44542</v>
      </c>
      <c r="M744" s="56" t="str">
        <f t="shared" si="84"/>
        <v>SUN</v>
      </c>
      <c r="O744" s="383">
        <f t="shared" si="87"/>
        <v>0</v>
      </c>
      <c r="P744" s="392">
        <f t="shared" si="86"/>
        <v>1</v>
      </c>
      <c r="Q744" s="331" t="s">
        <v>76</v>
      </c>
      <c r="R744" s="100"/>
    </row>
    <row r="745" spans="2:18">
      <c r="B745" s="41"/>
      <c r="C745" s="403">
        <f t="shared" si="81"/>
        <v>44543</v>
      </c>
      <c r="D745" s="56" t="str">
        <f>VLOOKUP(MOD(C745,7),'CALENDAR INFO'!$G$5:$H$11,2)</f>
        <v>MON</v>
      </c>
      <c r="E745" s="165">
        <v>0.08</v>
      </c>
      <c r="F745" s="336">
        <v>0.05</v>
      </c>
      <c r="G745" s="411">
        <f t="shared" si="82"/>
        <v>-0.03</v>
      </c>
      <c r="H745" s="136"/>
      <c r="I745" s="139"/>
      <c r="J745" s="151"/>
      <c r="K745" s="126"/>
      <c r="L745" s="403">
        <f t="shared" si="83"/>
        <v>44543</v>
      </c>
      <c r="M745" s="56" t="str">
        <f t="shared" si="84"/>
        <v>MON</v>
      </c>
      <c r="O745" s="383">
        <f t="shared" si="87"/>
        <v>1</v>
      </c>
      <c r="P745" s="392">
        <f t="shared" si="86"/>
        <v>1.0000013888888888</v>
      </c>
    </row>
    <row r="746" spans="2:18">
      <c r="B746" s="41"/>
      <c r="C746" s="403">
        <f t="shared" si="81"/>
        <v>44544</v>
      </c>
      <c r="D746" s="56" t="str">
        <f>VLOOKUP(MOD(C746,7),'CALENDAR INFO'!$G$5:$H$11,2)</f>
        <v>TUE</v>
      </c>
      <c r="E746" s="165">
        <v>0.08</v>
      </c>
      <c r="F746" s="336">
        <v>0.05</v>
      </c>
      <c r="G746" s="411">
        <f t="shared" si="82"/>
        <v>-0.03</v>
      </c>
      <c r="K746" s="126"/>
      <c r="L746" s="403">
        <f t="shared" si="83"/>
        <v>44544</v>
      </c>
      <c r="M746" s="56" t="str">
        <f t="shared" si="84"/>
        <v>TUE</v>
      </c>
      <c r="N746" s="116" t="s">
        <v>20</v>
      </c>
      <c r="O746" s="383">
        <f t="shared" si="87"/>
        <v>1</v>
      </c>
      <c r="P746" s="392">
        <f t="shared" si="86"/>
        <v>1.0000013888888888</v>
      </c>
    </row>
    <row r="747" spans="2:18">
      <c r="B747" s="41"/>
      <c r="C747" s="403">
        <f t="shared" si="81"/>
        <v>44545</v>
      </c>
      <c r="D747" s="56" t="str">
        <f>VLOOKUP(MOD(C747,7),'CALENDAR INFO'!$G$5:$H$11,2)</f>
        <v>WED</v>
      </c>
      <c r="E747" s="165">
        <v>0.08</v>
      </c>
      <c r="F747" s="336">
        <v>0.05</v>
      </c>
      <c r="G747" s="411">
        <f t="shared" si="82"/>
        <v>-0.03</v>
      </c>
      <c r="H747" s="135"/>
      <c r="I747" s="144"/>
      <c r="J747" s="152"/>
      <c r="K747" s="126" t="s">
        <v>19</v>
      </c>
      <c r="L747" s="403">
        <f t="shared" si="83"/>
        <v>44545</v>
      </c>
      <c r="M747" s="56" t="str">
        <f t="shared" si="84"/>
        <v>WED</v>
      </c>
      <c r="N747" s="116" t="s">
        <v>20</v>
      </c>
      <c r="O747" s="383">
        <f t="shared" si="87"/>
        <v>1</v>
      </c>
      <c r="P747" s="392">
        <f t="shared" si="86"/>
        <v>1.0000013888888888</v>
      </c>
    </row>
    <row r="748" spans="2:18">
      <c r="B748" s="41"/>
      <c r="C748" s="403">
        <f t="shared" si="81"/>
        <v>44546</v>
      </c>
      <c r="D748" s="56" t="str">
        <f>VLOOKUP(MOD(C748,7),'CALENDAR INFO'!$G$5:$H$11,2)</f>
        <v>THU</v>
      </c>
      <c r="E748" s="165">
        <v>0.08</v>
      </c>
      <c r="F748" s="336">
        <v>0.05</v>
      </c>
      <c r="G748" s="411">
        <f t="shared" si="82"/>
        <v>-0.03</v>
      </c>
      <c r="K748" s="129" t="s">
        <v>18</v>
      </c>
      <c r="L748" s="403">
        <f t="shared" si="83"/>
        <v>44546</v>
      </c>
      <c r="M748" s="56" t="str">
        <f t="shared" si="84"/>
        <v>THU</v>
      </c>
      <c r="O748" s="383">
        <f t="shared" si="87"/>
        <v>1</v>
      </c>
      <c r="P748" s="392">
        <f t="shared" si="86"/>
        <v>1.0000013888888888</v>
      </c>
    </row>
    <row r="749" spans="2:18">
      <c r="B749" s="41"/>
      <c r="C749" s="403">
        <f t="shared" si="81"/>
        <v>44547</v>
      </c>
      <c r="D749" s="56" t="str">
        <f>VLOOKUP(MOD(C749,7),'CALENDAR INFO'!$G$5:$H$11,2)</f>
        <v>FRI</v>
      </c>
      <c r="E749" s="165">
        <v>0.08</v>
      </c>
      <c r="F749" s="336">
        <v>0.05</v>
      </c>
      <c r="G749" s="411">
        <f t="shared" si="82"/>
        <v>-0.03</v>
      </c>
      <c r="K749" s="129"/>
      <c r="L749" s="403">
        <f t="shared" si="83"/>
        <v>44547</v>
      </c>
      <c r="M749" s="56" t="str">
        <f t="shared" si="84"/>
        <v>FRI</v>
      </c>
      <c r="O749" s="383">
        <f t="shared" si="87"/>
        <v>3</v>
      </c>
      <c r="P749" s="392">
        <f t="shared" si="86"/>
        <v>1.0000041666666666</v>
      </c>
    </row>
    <row r="750" spans="2:18">
      <c r="B750" s="41"/>
      <c r="C750" s="403">
        <f t="shared" si="81"/>
        <v>44548</v>
      </c>
      <c r="D750" s="56" t="str">
        <f>VLOOKUP(MOD(C750,7),'CALENDAR INFO'!$G$5:$H$11,2)</f>
        <v>SAT</v>
      </c>
      <c r="E750" s="165">
        <v>0.08</v>
      </c>
      <c r="F750" s="336">
        <v>0.05</v>
      </c>
      <c r="G750" s="411">
        <f t="shared" si="82"/>
        <v>-0.03</v>
      </c>
      <c r="K750" s="129"/>
      <c r="L750" s="403">
        <f t="shared" si="83"/>
        <v>44548</v>
      </c>
      <c r="M750" s="56" t="str">
        <f t="shared" si="84"/>
        <v>SAT</v>
      </c>
      <c r="O750" s="383">
        <f t="shared" si="87"/>
        <v>0</v>
      </c>
      <c r="P750" s="392">
        <f t="shared" si="86"/>
        <v>1</v>
      </c>
    </row>
    <row r="751" spans="2:18">
      <c r="B751" s="41"/>
      <c r="C751" s="403">
        <f t="shared" si="81"/>
        <v>44549</v>
      </c>
      <c r="D751" s="56" t="str">
        <f>VLOOKUP(MOD(C751,7),'CALENDAR INFO'!$G$5:$H$11,2)</f>
        <v>SUN</v>
      </c>
      <c r="E751" s="165">
        <v>0.08</v>
      </c>
      <c r="F751" s="336">
        <v>0.05</v>
      </c>
      <c r="G751" s="411">
        <f t="shared" si="82"/>
        <v>-0.03</v>
      </c>
      <c r="K751" s="129"/>
      <c r="L751" s="403">
        <f t="shared" si="83"/>
        <v>44549</v>
      </c>
      <c r="M751" s="56" t="str">
        <f t="shared" si="84"/>
        <v>SUN</v>
      </c>
      <c r="O751" s="383">
        <f t="shared" si="87"/>
        <v>0</v>
      </c>
      <c r="P751" s="392">
        <f t="shared" si="86"/>
        <v>1</v>
      </c>
    </row>
    <row r="752" spans="2:18">
      <c r="B752" s="41"/>
      <c r="C752" s="403">
        <f t="shared" si="81"/>
        <v>44550</v>
      </c>
      <c r="D752" s="56" t="str">
        <f>VLOOKUP(MOD(C752,7),'CALENDAR INFO'!$G$5:$H$11,2)</f>
        <v>MON</v>
      </c>
      <c r="E752" s="165">
        <v>0.08</v>
      </c>
      <c r="F752" s="336">
        <v>0.04</v>
      </c>
      <c r="G752" s="411">
        <f t="shared" si="82"/>
        <v>-0.04</v>
      </c>
      <c r="K752" s="129"/>
      <c r="L752" s="403">
        <f t="shared" si="83"/>
        <v>44550</v>
      </c>
      <c r="M752" s="56" t="str">
        <f t="shared" si="84"/>
        <v>MON</v>
      </c>
      <c r="O752" s="383">
        <f t="shared" si="87"/>
        <v>1</v>
      </c>
      <c r="P752" s="392">
        <f t="shared" si="86"/>
        <v>1.0000011111111111</v>
      </c>
    </row>
    <row r="753" spans="1:16">
      <c r="B753" s="41"/>
      <c r="C753" s="403">
        <f t="shared" si="81"/>
        <v>44551</v>
      </c>
      <c r="D753" s="56" t="str">
        <f>VLOOKUP(MOD(C753,7),'CALENDAR INFO'!$G$5:$H$11,2)</f>
        <v>TUE</v>
      </c>
      <c r="E753" s="165">
        <v>0.08</v>
      </c>
      <c r="F753" s="336">
        <v>0.05</v>
      </c>
      <c r="G753" s="411">
        <f t="shared" si="82"/>
        <v>-0.03</v>
      </c>
      <c r="K753" s="129"/>
      <c r="L753" s="403">
        <f t="shared" si="83"/>
        <v>44551</v>
      </c>
      <c r="M753" s="56" t="str">
        <f t="shared" si="84"/>
        <v>TUE</v>
      </c>
      <c r="O753" s="383">
        <f t="shared" si="87"/>
        <v>1</v>
      </c>
      <c r="P753" s="392">
        <f t="shared" si="86"/>
        <v>1.0000013888888888</v>
      </c>
    </row>
    <row r="754" spans="1:16">
      <c r="B754" s="41"/>
      <c r="C754" s="403">
        <f t="shared" si="81"/>
        <v>44552</v>
      </c>
      <c r="D754" s="56" t="str">
        <f>VLOOKUP(MOD(C754,7),'CALENDAR INFO'!$G$5:$H$11,2)</f>
        <v>WED</v>
      </c>
      <c r="E754" s="165">
        <v>0.08</v>
      </c>
      <c r="F754" s="336">
        <v>0.05</v>
      </c>
      <c r="G754" s="411">
        <f t="shared" si="82"/>
        <v>-0.03</v>
      </c>
      <c r="K754" s="129"/>
      <c r="L754" s="403">
        <f t="shared" si="83"/>
        <v>44552</v>
      </c>
      <c r="M754" s="56" t="str">
        <f t="shared" si="84"/>
        <v>WED</v>
      </c>
      <c r="O754" s="383">
        <f t="shared" si="87"/>
        <v>1</v>
      </c>
      <c r="P754" s="392">
        <f t="shared" si="86"/>
        <v>1.0000013888888888</v>
      </c>
    </row>
    <row r="755" spans="1:16">
      <c r="B755" s="41"/>
      <c r="C755" s="403">
        <f t="shared" si="81"/>
        <v>44553</v>
      </c>
      <c r="D755" s="56" t="str">
        <f>VLOOKUP(MOD(C755,7),'CALENDAR INFO'!$G$5:$H$11,2)</f>
        <v>THU</v>
      </c>
      <c r="E755" s="165">
        <v>0.08</v>
      </c>
      <c r="F755" s="336">
        <v>0.05</v>
      </c>
      <c r="G755" s="411">
        <f t="shared" si="82"/>
        <v>-0.03</v>
      </c>
      <c r="K755" s="129"/>
      <c r="L755" s="403">
        <f t="shared" si="83"/>
        <v>44553</v>
      </c>
      <c r="M755" s="56" t="str">
        <f t="shared" si="84"/>
        <v>THU</v>
      </c>
      <c r="O755" s="384">
        <v>4</v>
      </c>
      <c r="P755" s="392">
        <f t="shared" si="86"/>
        <v>1.0000055555555556</v>
      </c>
    </row>
    <row r="756" spans="1:16">
      <c r="B756" s="41"/>
      <c r="C756" s="403">
        <f t="shared" si="81"/>
        <v>44554</v>
      </c>
      <c r="D756" s="56" t="str">
        <f>VLOOKUP(MOD(C756,7),'CALENDAR INFO'!$G$5:$H$11,2)</f>
        <v>FRI</v>
      </c>
      <c r="E756" s="165">
        <v>0.08</v>
      </c>
      <c r="F756" s="336">
        <v>0.05</v>
      </c>
      <c r="G756" s="411">
        <f t="shared" si="82"/>
        <v>-0.03</v>
      </c>
      <c r="K756" s="129"/>
      <c r="L756" s="403">
        <f t="shared" si="83"/>
        <v>44554</v>
      </c>
      <c r="M756" s="56" t="str">
        <f t="shared" si="84"/>
        <v>FRI</v>
      </c>
      <c r="N756" s="132" t="s">
        <v>110</v>
      </c>
      <c r="O756" s="384">
        <v>0</v>
      </c>
      <c r="P756" s="392">
        <f t="shared" si="86"/>
        <v>1</v>
      </c>
    </row>
    <row r="757" spans="1:16">
      <c r="B757" s="41"/>
      <c r="C757" s="403">
        <f t="shared" ref="C757:C820" si="88">C756+1</f>
        <v>44555</v>
      </c>
      <c r="D757" s="56" t="str">
        <f>VLOOKUP(MOD(C757,7),'CALENDAR INFO'!$G$5:$H$11,2)</f>
        <v>SAT</v>
      </c>
      <c r="E757" s="165">
        <v>0.08</v>
      </c>
      <c r="F757" s="336">
        <v>0.05</v>
      </c>
      <c r="G757" s="411">
        <f t="shared" si="82"/>
        <v>-0.03</v>
      </c>
      <c r="K757" s="129"/>
      <c r="L757" s="403">
        <f t="shared" si="83"/>
        <v>44555</v>
      </c>
      <c r="M757" s="56" t="str">
        <f t="shared" si="84"/>
        <v>SAT</v>
      </c>
      <c r="O757" s="383">
        <f t="shared" ref="O757:O776" si="89">IF(MOD(C757,7)&lt;2,0,IF(MOD(C757,7)=6,3,1))</f>
        <v>0</v>
      </c>
      <c r="P757" s="392">
        <f t="shared" si="86"/>
        <v>1</v>
      </c>
    </row>
    <row r="758" spans="1:16">
      <c r="B758" s="41"/>
      <c r="C758" s="403">
        <f t="shared" si="88"/>
        <v>44556</v>
      </c>
      <c r="D758" s="56" t="str">
        <f>VLOOKUP(MOD(C758,7),'CALENDAR INFO'!$G$5:$H$11,2)</f>
        <v>SUN</v>
      </c>
      <c r="E758" s="165">
        <v>0.08</v>
      </c>
      <c r="F758" s="336">
        <v>0.05</v>
      </c>
      <c r="G758" s="411">
        <f t="shared" si="82"/>
        <v>-0.03</v>
      </c>
      <c r="K758" s="129"/>
      <c r="L758" s="403">
        <f t="shared" si="83"/>
        <v>44556</v>
      </c>
      <c r="M758" s="56" t="str">
        <f t="shared" si="84"/>
        <v>SUN</v>
      </c>
      <c r="O758" s="383">
        <f t="shared" si="89"/>
        <v>0</v>
      </c>
      <c r="P758" s="392">
        <f t="shared" si="86"/>
        <v>1</v>
      </c>
    </row>
    <row r="759" spans="1:16">
      <c r="B759" s="41"/>
      <c r="C759" s="403">
        <f t="shared" si="88"/>
        <v>44557</v>
      </c>
      <c r="D759" s="56" t="str">
        <f>VLOOKUP(MOD(C759,7),'CALENDAR INFO'!$G$5:$H$11,2)</f>
        <v>MON</v>
      </c>
      <c r="E759" s="165">
        <v>0.08</v>
      </c>
      <c r="F759" s="336">
        <v>0.05</v>
      </c>
      <c r="G759" s="411">
        <f t="shared" si="82"/>
        <v>-0.03</v>
      </c>
      <c r="I759" s="137"/>
      <c r="K759" s="129"/>
      <c r="L759" s="403">
        <f t="shared" si="83"/>
        <v>44557</v>
      </c>
      <c r="M759" s="56" t="str">
        <f t="shared" si="84"/>
        <v>MON</v>
      </c>
      <c r="O759" s="383">
        <f t="shared" si="89"/>
        <v>1</v>
      </c>
      <c r="P759" s="392">
        <f t="shared" si="86"/>
        <v>1.0000013888888888</v>
      </c>
    </row>
    <row r="760" spans="1:16">
      <c r="B760" s="41"/>
      <c r="C760" s="403">
        <f t="shared" si="88"/>
        <v>44558</v>
      </c>
      <c r="D760" s="56" t="str">
        <f>VLOOKUP(MOD(C760,7),'CALENDAR INFO'!$G$5:$H$11,2)</f>
        <v>TUE</v>
      </c>
      <c r="E760" s="165">
        <v>0.08</v>
      </c>
      <c r="F760" s="336">
        <v>0.05</v>
      </c>
      <c r="G760" s="411">
        <f t="shared" si="82"/>
        <v>-0.03</v>
      </c>
      <c r="H760" s="115"/>
      <c r="I760" s="141"/>
      <c r="J760" s="158"/>
      <c r="K760" s="129"/>
      <c r="L760" s="403">
        <f t="shared" si="83"/>
        <v>44558</v>
      </c>
      <c r="M760" s="56" t="str">
        <f t="shared" si="84"/>
        <v>TUE</v>
      </c>
      <c r="O760" s="383">
        <f t="shared" si="89"/>
        <v>1</v>
      </c>
      <c r="P760" s="392">
        <f t="shared" si="86"/>
        <v>1.0000013888888888</v>
      </c>
    </row>
    <row r="761" spans="1:16">
      <c r="B761" s="41"/>
      <c r="C761" s="403">
        <f t="shared" si="88"/>
        <v>44559</v>
      </c>
      <c r="D761" s="56" t="str">
        <f>VLOOKUP(MOD(C761,7),'CALENDAR INFO'!$G$5:$H$11,2)</f>
        <v>WED</v>
      </c>
      <c r="E761" s="165">
        <v>0.08</v>
      </c>
      <c r="F761" s="336">
        <v>0.05</v>
      </c>
      <c r="G761" s="411">
        <f t="shared" si="82"/>
        <v>-0.03</v>
      </c>
      <c r="H761" s="115"/>
      <c r="I761" s="148"/>
      <c r="J761" s="160"/>
      <c r="K761" s="129" t="s">
        <v>19</v>
      </c>
      <c r="L761" s="403">
        <f t="shared" si="83"/>
        <v>44559</v>
      </c>
      <c r="M761" s="56" t="str">
        <f t="shared" si="84"/>
        <v>WED</v>
      </c>
      <c r="O761" s="383">
        <f t="shared" si="89"/>
        <v>1</v>
      </c>
      <c r="P761" s="392">
        <f t="shared" si="86"/>
        <v>1.0000013888888888</v>
      </c>
    </row>
    <row r="762" spans="1:16">
      <c r="B762" s="41"/>
      <c r="C762" s="403">
        <f t="shared" si="88"/>
        <v>44560</v>
      </c>
      <c r="D762" s="56" t="str">
        <f>VLOOKUP(MOD(C762,7),'CALENDAR INFO'!$G$5:$H$11,2)</f>
        <v>THU</v>
      </c>
      <c r="E762" s="165">
        <v>0.08</v>
      </c>
      <c r="F762" s="336">
        <v>0.05</v>
      </c>
      <c r="G762" s="411">
        <f t="shared" si="82"/>
        <v>-0.03</v>
      </c>
      <c r="H762" s="115"/>
      <c r="I762" s="141"/>
      <c r="J762" s="158"/>
      <c r="K762" s="126" t="s">
        <v>18</v>
      </c>
      <c r="L762" s="403">
        <f t="shared" si="83"/>
        <v>44560</v>
      </c>
      <c r="M762" s="56" t="str">
        <f t="shared" si="84"/>
        <v>THU</v>
      </c>
      <c r="O762" s="383">
        <f t="shared" si="89"/>
        <v>1</v>
      </c>
      <c r="P762" s="392">
        <f t="shared" si="86"/>
        <v>1.0000013888888888</v>
      </c>
    </row>
    <row r="763" spans="1:16" ht="15.75" thickBot="1">
      <c r="A763" s="81"/>
      <c r="B763" s="178"/>
      <c r="C763" s="404">
        <f t="shared" si="88"/>
        <v>44561</v>
      </c>
      <c r="D763" s="64" t="str">
        <f>VLOOKUP(MOD(C763,7),'CALENDAR INFO'!$G$5:$H$11,2)</f>
        <v>FRI</v>
      </c>
      <c r="E763" s="166">
        <v>7.0000000000000007E-2</v>
      </c>
      <c r="F763" s="337">
        <v>0.05</v>
      </c>
      <c r="G763" s="412">
        <f t="shared" si="82"/>
        <v>-2.0000000000000004E-2</v>
      </c>
      <c r="H763" s="345"/>
      <c r="I763" s="143"/>
      <c r="J763" s="162"/>
      <c r="K763" s="77"/>
      <c r="L763" s="404">
        <f t="shared" si="83"/>
        <v>44561</v>
      </c>
      <c r="M763" s="64" t="str">
        <f t="shared" si="84"/>
        <v>FRI</v>
      </c>
      <c r="N763" s="90"/>
      <c r="O763" s="382">
        <f t="shared" si="89"/>
        <v>3</v>
      </c>
      <c r="P763" s="388">
        <f t="shared" si="86"/>
        <v>1.0000041666666666</v>
      </c>
    </row>
    <row r="764" spans="1:16">
      <c r="A764" s="83"/>
      <c r="B764" s="181"/>
      <c r="C764" s="406">
        <f t="shared" si="88"/>
        <v>44562</v>
      </c>
      <c r="D764" s="93" t="str">
        <f>VLOOKUP(MOD(C764,7),'CALENDAR INFO'!$G$5:$H$11,2)</f>
        <v>SAT</v>
      </c>
      <c r="E764" s="168">
        <v>7.0000000000000007E-2</v>
      </c>
      <c r="F764" s="340">
        <v>0.05</v>
      </c>
      <c r="G764" s="414">
        <f t="shared" si="82"/>
        <v>-2.0000000000000004E-2</v>
      </c>
      <c r="H764" s="15" t="s">
        <v>149</v>
      </c>
      <c r="I764" s="15">
        <f>ROW(I764)</f>
        <v>764</v>
      </c>
      <c r="J764" s="138">
        <f>I764</f>
        <v>764</v>
      </c>
      <c r="K764" s="88"/>
      <c r="L764" s="406">
        <f t="shared" si="83"/>
        <v>44562</v>
      </c>
      <c r="M764" s="93" t="str">
        <f t="shared" si="84"/>
        <v>SAT</v>
      </c>
      <c r="N764" s="89"/>
      <c r="O764" s="378">
        <f t="shared" si="89"/>
        <v>0</v>
      </c>
      <c r="P764" s="390">
        <f t="shared" si="86"/>
        <v>1</v>
      </c>
    </row>
    <row r="765" spans="1:16">
      <c r="C765" s="403">
        <f t="shared" si="88"/>
        <v>44563</v>
      </c>
      <c r="D765" s="94" t="str">
        <f>VLOOKUP(MOD(C765,7),'CALENDAR INFO'!$G$5:$H$11,2)</f>
        <v>SUN</v>
      </c>
      <c r="E765" s="165">
        <v>7.0000000000000007E-2</v>
      </c>
      <c r="F765" s="336">
        <v>0.05</v>
      </c>
      <c r="G765" s="411">
        <f t="shared" si="82"/>
        <v>-2.0000000000000004E-2</v>
      </c>
      <c r="H765" s="376" t="s">
        <v>210</v>
      </c>
      <c r="I765" s="15">
        <f>VLOOKUP(MONTH($C764),'CALENDAR INFO'!$J$5:$K$16,2)</f>
        <v>31</v>
      </c>
      <c r="J765" s="138">
        <f>I765</f>
        <v>31</v>
      </c>
      <c r="K765" s="126"/>
      <c r="L765" s="403">
        <f t="shared" si="83"/>
        <v>44563</v>
      </c>
      <c r="M765" s="94" t="str">
        <f t="shared" si="84"/>
        <v>SUN</v>
      </c>
      <c r="O765" s="378">
        <f t="shared" si="89"/>
        <v>0</v>
      </c>
      <c r="P765" s="392">
        <f t="shared" si="86"/>
        <v>1</v>
      </c>
    </row>
    <row r="766" spans="1:16">
      <c r="C766" s="403">
        <f t="shared" si="88"/>
        <v>44564</v>
      </c>
      <c r="D766" s="94" t="str">
        <f>VLOOKUP(MOD(C766,7),'CALENDAR INFO'!$G$5:$H$11,2)</f>
        <v>MON</v>
      </c>
      <c r="E766" s="165">
        <v>0.08</v>
      </c>
      <c r="F766" s="336">
        <v>0.05</v>
      </c>
      <c r="G766" s="411">
        <f t="shared" si="82"/>
        <v>-0.03</v>
      </c>
      <c r="H766" s="376" t="s">
        <v>211</v>
      </c>
      <c r="I766" s="15">
        <f>I765+I764-1</f>
        <v>794</v>
      </c>
      <c r="J766" s="138">
        <f>I766</f>
        <v>794</v>
      </c>
      <c r="K766" s="126"/>
      <c r="L766" s="403">
        <f t="shared" si="83"/>
        <v>44564</v>
      </c>
      <c r="M766" s="94" t="str">
        <f t="shared" si="84"/>
        <v>MON</v>
      </c>
      <c r="O766" s="378">
        <f t="shared" si="89"/>
        <v>1</v>
      </c>
      <c r="P766" s="392">
        <f t="shared" si="86"/>
        <v>1.0000013888888888</v>
      </c>
    </row>
    <row r="767" spans="1:16">
      <c r="C767" s="403">
        <f t="shared" si="88"/>
        <v>44565</v>
      </c>
      <c r="D767" s="94" t="str">
        <f>VLOOKUP(MOD(C767,7),'CALENDAR INFO'!$G$5:$H$11,2)</f>
        <v>TUE</v>
      </c>
      <c r="E767" s="165">
        <v>0.08</v>
      </c>
      <c r="F767" s="336">
        <v>0.05</v>
      </c>
      <c r="G767" s="411">
        <f t="shared" si="82"/>
        <v>-0.03</v>
      </c>
      <c r="K767" s="126"/>
      <c r="L767" s="403">
        <f t="shared" si="83"/>
        <v>44565</v>
      </c>
      <c r="M767" s="94" t="str">
        <f t="shared" si="84"/>
        <v>TUE</v>
      </c>
      <c r="O767" s="378">
        <f t="shared" si="89"/>
        <v>1</v>
      </c>
      <c r="P767" s="392">
        <f t="shared" si="86"/>
        <v>1.0000013888888888</v>
      </c>
    </row>
    <row r="768" spans="1:16">
      <c r="C768" s="403">
        <f t="shared" si="88"/>
        <v>44566</v>
      </c>
      <c r="D768" s="94" t="str">
        <f>VLOOKUP(MOD(C768,7),'CALENDAR INFO'!$G$5:$H$11,2)</f>
        <v>WED</v>
      </c>
      <c r="E768" s="165">
        <v>0.08</v>
      </c>
      <c r="F768" s="336">
        <v>0.05</v>
      </c>
      <c r="G768" s="411">
        <f t="shared" si="82"/>
        <v>-0.03</v>
      </c>
      <c r="H768" s="15" t="s">
        <v>150</v>
      </c>
      <c r="I768" s="137" t="str">
        <f>_xlfn.CONCAT(ADDRESS(I764,5),":",ADDRESS(I766,5))</f>
        <v>$E$764:$E$794</v>
      </c>
      <c r="J768" s="150" t="str">
        <f>_xlfn.CONCAT(ADDRESS(J764,6),":",ADDRESS(J766,6))</f>
        <v>$F$764:$F$794</v>
      </c>
      <c r="K768" s="126"/>
      <c r="L768" s="403">
        <f t="shared" si="83"/>
        <v>44566</v>
      </c>
      <c r="M768" s="94" t="str">
        <f t="shared" si="84"/>
        <v>WED</v>
      </c>
      <c r="O768" s="378">
        <f t="shared" si="89"/>
        <v>1</v>
      </c>
      <c r="P768" s="392">
        <f t="shared" si="86"/>
        <v>1.0000013888888888</v>
      </c>
    </row>
    <row r="769" spans="3:16">
      <c r="C769" s="403">
        <f t="shared" si="88"/>
        <v>44567</v>
      </c>
      <c r="D769" s="94" t="str">
        <f>VLOOKUP(MOD(C769,7),'CALENDAR INFO'!$G$5:$H$11,2)</f>
        <v>THU</v>
      </c>
      <c r="E769" s="165">
        <v>0.08</v>
      </c>
      <c r="F769" s="336">
        <v>0.05</v>
      </c>
      <c r="G769" s="411">
        <f t="shared" si="82"/>
        <v>-0.03</v>
      </c>
      <c r="K769" s="126"/>
      <c r="L769" s="403">
        <f t="shared" si="83"/>
        <v>44567</v>
      </c>
      <c r="M769" s="94" t="str">
        <f t="shared" si="84"/>
        <v>THU</v>
      </c>
      <c r="O769" s="378">
        <f t="shared" si="89"/>
        <v>1</v>
      </c>
      <c r="P769" s="392">
        <f t="shared" si="86"/>
        <v>1.0000013888888888</v>
      </c>
    </row>
    <row r="770" spans="3:16">
      <c r="C770" s="403">
        <f t="shared" si="88"/>
        <v>44568</v>
      </c>
      <c r="D770" s="94" t="str">
        <f>VLOOKUP(MOD(C770,7),'CALENDAR INFO'!$G$5:$H$11,2)</f>
        <v>FRI</v>
      </c>
      <c r="E770" s="165">
        <v>0.08</v>
      </c>
      <c r="F770" s="336">
        <v>0.05</v>
      </c>
      <c r="G770" s="411">
        <f t="shared" si="82"/>
        <v>-0.03</v>
      </c>
      <c r="H770" s="376" t="s">
        <v>221</v>
      </c>
      <c r="I770" s="147">
        <f ca="1">AVERAGE(INDIRECT(I768))</f>
        <v>7.9354838709677453E-2</v>
      </c>
      <c r="J770" s="326">
        <f ca="1">AVERAGE(INDIRECT(J768))</f>
        <v>4.8709677419354863E-2</v>
      </c>
      <c r="K770" s="126"/>
      <c r="L770" s="403">
        <f t="shared" si="83"/>
        <v>44568</v>
      </c>
      <c r="M770" s="94" t="str">
        <f t="shared" si="84"/>
        <v>FRI</v>
      </c>
      <c r="O770" s="378">
        <f t="shared" si="89"/>
        <v>3</v>
      </c>
      <c r="P770" s="392">
        <f t="shared" si="86"/>
        <v>1.0000041666666666</v>
      </c>
    </row>
    <row r="771" spans="3:16">
      <c r="C771" s="403">
        <f t="shared" si="88"/>
        <v>44569</v>
      </c>
      <c r="D771" s="94" t="str">
        <f>VLOOKUP(MOD(C771,7),'CALENDAR INFO'!$G$5:$H$11,2)</f>
        <v>SAT</v>
      </c>
      <c r="E771" s="165">
        <v>0.08</v>
      </c>
      <c r="F771" s="336">
        <v>0.05</v>
      </c>
      <c r="G771" s="411">
        <f t="shared" ref="G771:G834" si="90">F771-E771</f>
        <v>-0.03</v>
      </c>
      <c r="I771" s="240"/>
      <c r="J771" s="157"/>
      <c r="K771" s="126"/>
      <c r="L771" s="403">
        <f t="shared" ref="L771:L834" si="91">C771</f>
        <v>44569</v>
      </c>
      <c r="M771" s="94" t="str">
        <f t="shared" ref="M771:M834" si="92">D771</f>
        <v>SAT</v>
      </c>
      <c r="O771" s="378">
        <f t="shared" si="89"/>
        <v>0</v>
      </c>
      <c r="P771" s="392">
        <f t="shared" si="86"/>
        <v>1</v>
      </c>
    </row>
    <row r="772" spans="3:16">
      <c r="C772" s="403">
        <f t="shared" si="88"/>
        <v>44570</v>
      </c>
      <c r="D772" s="94" t="str">
        <f>VLOOKUP(MOD(C772,7),'CALENDAR INFO'!$G$5:$H$11,2)</f>
        <v>SUN</v>
      </c>
      <c r="E772" s="165">
        <v>0.08</v>
      </c>
      <c r="F772" s="336">
        <v>0.05</v>
      </c>
      <c r="G772" s="411">
        <f t="shared" si="90"/>
        <v>-0.03</v>
      </c>
      <c r="H772" s="15" t="s">
        <v>222</v>
      </c>
      <c r="I772" s="147">
        <f ca="1">100-I770</f>
        <v>99.920645161290324</v>
      </c>
      <c r="J772" s="326">
        <f ca="1">100-J770</f>
        <v>99.951290322580647</v>
      </c>
      <c r="K772" s="126"/>
      <c r="L772" s="403">
        <f t="shared" si="91"/>
        <v>44570</v>
      </c>
      <c r="M772" s="94" t="str">
        <f t="shared" si="92"/>
        <v>SUN</v>
      </c>
      <c r="O772" s="378">
        <f t="shared" si="89"/>
        <v>0</v>
      </c>
      <c r="P772" s="392">
        <f t="shared" si="86"/>
        <v>1</v>
      </c>
    </row>
    <row r="773" spans="3:16">
      <c r="C773" s="403">
        <f t="shared" si="88"/>
        <v>44571</v>
      </c>
      <c r="D773" s="94" t="str">
        <f>VLOOKUP(MOD(C773,7),'CALENDAR INFO'!$G$5:$H$11,2)</f>
        <v>MON</v>
      </c>
      <c r="E773" s="165">
        <v>0.08</v>
      </c>
      <c r="F773" s="336">
        <v>0.05</v>
      </c>
      <c r="G773" s="411">
        <f t="shared" si="90"/>
        <v>-0.03</v>
      </c>
      <c r="I773" s="137"/>
      <c r="J773" s="150"/>
      <c r="K773" s="126"/>
      <c r="L773" s="403">
        <f t="shared" si="91"/>
        <v>44571</v>
      </c>
      <c r="M773" s="94" t="str">
        <f t="shared" si="92"/>
        <v>MON</v>
      </c>
      <c r="O773" s="378">
        <f t="shared" si="89"/>
        <v>1</v>
      </c>
      <c r="P773" s="392">
        <f t="shared" si="86"/>
        <v>1.0000013888888888</v>
      </c>
    </row>
    <row r="774" spans="3:16">
      <c r="C774" s="403">
        <f t="shared" si="88"/>
        <v>44572</v>
      </c>
      <c r="D774" s="94" t="str">
        <f>VLOOKUP(MOD(C774,7),'CALENDAR INFO'!$G$5:$H$11,2)</f>
        <v>TUE</v>
      </c>
      <c r="E774" s="165">
        <v>0.08</v>
      </c>
      <c r="F774" s="336">
        <v>0.05</v>
      </c>
      <c r="G774" s="411">
        <f t="shared" si="90"/>
        <v>-0.03</v>
      </c>
      <c r="K774" s="126"/>
      <c r="L774" s="403">
        <f t="shared" si="91"/>
        <v>44572</v>
      </c>
      <c r="M774" s="94" t="str">
        <f t="shared" si="92"/>
        <v>TUE</v>
      </c>
      <c r="O774" s="378">
        <f t="shared" si="89"/>
        <v>1</v>
      </c>
      <c r="P774" s="392">
        <f t="shared" si="86"/>
        <v>1.0000013888888888</v>
      </c>
    </row>
    <row r="775" spans="3:16">
      <c r="C775" s="403">
        <f t="shared" si="88"/>
        <v>44573</v>
      </c>
      <c r="D775" s="94" t="str">
        <f>VLOOKUP(MOD(C775,7),'CALENDAR INFO'!$G$5:$H$11,2)</f>
        <v>WED</v>
      </c>
      <c r="E775" s="165">
        <v>0.08</v>
      </c>
      <c r="F775" s="336">
        <v>0.05</v>
      </c>
      <c r="G775" s="411">
        <f t="shared" si="90"/>
        <v>-0.03</v>
      </c>
      <c r="K775" s="126" t="s">
        <v>19</v>
      </c>
      <c r="L775" s="403">
        <f t="shared" si="91"/>
        <v>44573</v>
      </c>
      <c r="M775" s="94" t="str">
        <f t="shared" si="92"/>
        <v>WED</v>
      </c>
      <c r="O775" s="378">
        <f t="shared" si="89"/>
        <v>1</v>
      </c>
      <c r="P775" s="392">
        <f t="shared" si="86"/>
        <v>1.0000013888888888</v>
      </c>
    </row>
    <row r="776" spans="3:16">
      <c r="C776" s="403">
        <f t="shared" si="88"/>
        <v>44574</v>
      </c>
      <c r="D776" s="94" t="str">
        <f>VLOOKUP(MOD(C776,7),'CALENDAR INFO'!$G$5:$H$11,2)</f>
        <v>THU</v>
      </c>
      <c r="E776" s="165">
        <v>0.08</v>
      </c>
      <c r="F776" s="336">
        <v>0.05</v>
      </c>
      <c r="G776" s="411">
        <f t="shared" si="90"/>
        <v>-0.03</v>
      </c>
      <c r="K776" s="129" t="s">
        <v>18</v>
      </c>
      <c r="L776" s="403">
        <f t="shared" si="91"/>
        <v>44574</v>
      </c>
      <c r="M776" s="94" t="str">
        <f t="shared" si="92"/>
        <v>THU</v>
      </c>
      <c r="O776" s="378">
        <f t="shared" si="89"/>
        <v>1</v>
      </c>
      <c r="P776" s="392">
        <f t="shared" si="86"/>
        <v>1.0000013888888888</v>
      </c>
    </row>
    <row r="777" spans="3:16">
      <c r="C777" s="403">
        <f t="shared" si="88"/>
        <v>44575</v>
      </c>
      <c r="D777" s="94" t="str">
        <f>VLOOKUP(MOD(C777,7),'CALENDAR INFO'!$G$5:$H$11,2)</f>
        <v>FRI</v>
      </c>
      <c r="E777" s="165">
        <v>0.08</v>
      </c>
      <c r="F777" s="336">
        <v>0.05</v>
      </c>
      <c r="G777" s="411">
        <f t="shared" si="90"/>
        <v>-0.03</v>
      </c>
      <c r="K777" s="129"/>
      <c r="L777" s="403">
        <f t="shared" si="91"/>
        <v>44575</v>
      </c>
      <c r="M777" s="94" t="str">
        <f t="shared" si="92"/>
        <v>FRI</v>
      </c>
      <c r="O777" s="380">
        <v>4</v>
      </c>
      <c r="P777" s="392">
        <f t="shared" si="86"/>
        <v>1.0000055555555556</v>
      </c>
    </row>
    <row r="778" spans="3:16">
      <c r="C778" s="403">
        <f t="shared" si="88"/>
        <v>44576</v>
      </c>
      <c r="D778" s="94" t="str">
        <f>VLOOKUP(MOD(C778,7),'CALENDAR INFO'!$G$5:$H$11,2)</f>
        <v>SAT</v>
      </c>
      <c r="E778" s="165">
        <v>0.08</v>
      </c>
      <c r="F778" s="336">
        <v>0.05</v>
      </c>
      <c r="G778" s="411">
        <f t="shared" si="90"/>
        <v>-0.03</v>
      </c>
      <c r="H778" s="135"/>
      <c r="I778" s="144"/>
      <c r="J778" s="152"/>
      <c r="K778" s="129"/>
      <c r="L778" s="403">
        <f t="shared" si="91"/>
        <v>44576</v>
      </c>
      <c r="M778" s="94" t="str">
        <f t="shared" si="92"/>
        <v>SAT</v>
      </c>
      <c r="O778" s="378">
        <f>IF(MOD(C778,7)&lt;2,0,IF(MOD(C778,7)=6,3,1))</f>
        <v>0</v>
      </c>
      <c r="P778" s="392">
        <f t="shared" si="86"/>
        <v>1</v>
      </c>
    </row>
    <row r="779" spans="3:16">
      <c r="C779" s="403">
        <f t="shared" si="88"/>
        <v>44577</v>
      </c>
      <c r="D779" s="94" t="str">
        <f>VLOOKUP(MOD(C779,7),'CALENDAR INFO'!$G$5:$H$11,2)</f>
        <v>SUN</v>
      </c>
      <c r="E779" s="165">
        <v>0.08</v>
      </c>
      <c r="F779" s="336">
        <v>0.05</v>
      </c>
      <c r="G779" s="411">
        <f t="shared" si="90"/>
        <v>-0.03</v>
      </c>
      <c r="K779" s="129"/>
      <c r="L779" s="403">
        <f t="shared" si="91"/>
        <v>44577</v>
      </c>
      <c r="M779" s="94" t="str">
        <f t="shared" si="92"/>
        <v>SUN</v>
      </c>
      <c r="O779" s="378">
        <f>IF(MOD(C779,7)&lt;2,0,IF(MOD(C779,7)=6,3,1))</f>
        <v>0</v>
      </c>
      <c r="P779" s="392">
        <f t="shared" si="86"/>
        <v>1</v>
      </c>
    </row>
    <row r="780" spans="3:16">
      <c r="C780" s="403">
        <f t="shared" si="88"/>
        <v>44578</v>
      </c>
      <c r="D780" s="94" t="str">
        <f>VLOOKUP(MOD(C780,7),'CALENDAR INFO'!$G$5:$H$11,2)</f>
        <v>MON</v>
      </c>
      <c r="E780" s="165">
        <v>0.08</v>
      </c>
      <c r="F780" s="336">
        <v>0.05</v>
      </c>
      <c r="G780" s="411">
        <f t="shared" si="90"/>
        <v>-0.03</v>
      </c>
      <c r="K780" s="129"/>
      <c r="L780" s="403">
        <f t="shared" si="91"/>
        <v>44578</v>
      </c>
      <c r="M780" s="94" t="str">
        <f t="shared" si="92"/>
        <v>MON</v>
      </c>
      <c r="N780" s="132" t="s">
        <v>102</v>
      </c>
      <c r="O780" s="380">
        <v>0</v>
      </c>
      <c r="P780" s="392">
        <f t="shared" si="86"/>
        <v>1</v>
      </c>
    </row>
    <row r="781" spans="3:16">
      <c r="C781" s="403">
        <f t="shared" si="88"/>
        <v>44579</v>
      </c>
      <c r="D781" s="94" t="str">
        <f>VLOOKUP(MOD(C781,7),'CALENDAR INFO'!$G$5:$H$11,2)</f>
        <v>TUE</v>
      </c>
      <c r="E781" s="165">
        <v>0.08</v>
      </c>
      <c r="F781" s="336">
        <v>0.05</v>
      </c>
      <c r="G781" s="411">
        <f t="shared" si="90"/>
        <v>-0.03</v>
      </c>
      <c r="K781" s="129"/>
      <c r="L781" s="403">
        <f t="shared" si="91"/>
        <v>44579</v>
      </c>
      <c r="M781" s="94" t="str">
        <f t="shared" si="92"/>
        <v>TUE</v>
      </c>
      <c r="O781" s="378">
        <f t="shared" ref="O781:O811" si="93">IF(MOD(C781,7)&lt;2,0,IF(MOD(C781,7)=6,3,1))</f>
        <v>1</v>
      </c>
      <c r="P781" s="392">
        <f t="shared" si="86"/>
        <v>1.0000013888888888</v>
      </c>
    </row>
    <row r="782" spans="3:16">
      <c r="C782" s="403">
        <f t="shared" si="88"/>
        <v>44580</v>
      </c>
      <c r="D782" s="94" t="str">
        <f>VLOOKUP(MOD(C782,7),'CALENDAR INFO'!$G$5:$H$11,2)</f>
        <v>WED</v>
      </c>
      <c r="E782" s="165">
        <v>0.08</v>
      </c>
      <c r="F782" s="336">
        <v>0.05</v>
      </c>
      <c r="G782" s="411">
        <f t="shared" si="90"/>
        <v>-0.03</v>
      </c>
      <c r="K782" s="129"/>
      <c r="L782" s="403">
        <f t="shared" si="91"/>
        <v>44580</v>
      </c>
      <c r="M782" s="94" t="str">
        <f t="shared" si="92"/>
        <v>WED</v>
      </c>
      <c r="O782" s="378">
        <f t="shared" si="93"/>
        <v>1</v>
      </c>
      <c r="P782" s="392">
        <f t="shared" si="86"/>
        <v>1.0000013888888888</v>
      </c>
    </row>
    <row r="783" spans="3:16">
      <c r="C783" s="403">
        <f t="shared" si="88"/>
        <v>44581</v>
      </c>
      <c r="D783" s="94" t="str">
        <f>VLOOKUP(MOD(C783,7),'CALENDAR INFO'!$G$5:$H$11,2)</f>
        <v>THU</v>
      </c>
      <c r="E783" s="165">
        <v>0.08</v>
      </c>
      <c r="F783" s="336">
        <v>0.04</v>
      </c>
      <c r="G783" s="411">
        <f t="shared" si="90"/>
        <v>-0.04</v>
      </c>
      <c r="K783" s="129"/>
      <c r="L783" s="403">
        <f t="shared" si="91"/>
        <v>44581</v>
      </c>
      <c r="M783" s="94" t="str">
        <f t="shared" si="92"/>
        <v>THU</v>
      </c>
      <c r="O783" s="378">
        <f t="shared" si="93"/>
        <v>1</v>
      </c>
      <c r="P783" s="392">
        <f t="shared" si="86"/>
        <v>1.0000011111111111</v>
      </c>
    </row>
    <row r="784" spans="3:16">
      <c r="C784" s="403">
        <f t="shared" si="88"/>
        <v>44582</v>
      </c>
      <c r="D784" s="94" t="str">
        <f>VLOOKUP(MOD(C784,7),'CALENDAR INFO'!$G$5:$H$11,2)</f>
        <v>FRI</v>
      </c>
      <c r="E784" s="165">
        <v>0.08</v>
      </c>
      <c r="F784" s="336">
        <v>0.05</v>
      </c>
      <c r="G784" s="411">
        <f t="shared" si="90"/>
        <v>-0.03</v>
      </c>
      <c r="K784" s="129"/>
      <c r="L784" s="403">
        <f t="shared" si="91"/>
        <v>44582</v>
      </c>
      <c r="M784" s="94" t="str">
        <f t="shared" si="92"/>
        <v>FRI</v>
      </c>
      <c r="O784" s="378">
        <f t="shared" si="93"/>
        <v>3</v>
      </c>
      <c r="P784" s="392">
        <f t="shared" si="86"/>
        <v>1.0000041666666666</v>
      </c>
    </row>
    <row r="785" spans="1:16">
      <c r="C785" s="403">
        <f t="shared" si="88"/>
        <v>44583</v>
      </c>
      <c r="D785" s="94" t="str">
        <f>VLOOKUP(MOD(C785,7),'CALENDAR INFO'!$G$5:$H$11,2)</f>
        <v>SAT</v>
      </c>
      <c r="E785" s="165">
        <v>0.08</v>
      </c>
      <c r="F785" s="336">
        <v>0.05</v>
      </c>
      <c r="G785" s="411">
        <f t="shared" si="90"/>
        <v>-0.03</v>
      </c>
      <c r="K785" s="129"/>
      <c r="L785" s="403">
        <f t="shared" si="91"/>
        <v>44583</v>
      </c>
      <c r="M785" s="94" t="str">
        <f t="shared" si="92"/>
        <v>SAT</v>
      </c>
      <c r="O785" s="378">
        <f t="shared" si="93"/>
        <v>0</v>
      </c>
      <c r="P785" s="392">
        <f t="shared" si="86"/>
        <v>1</v>
      </c>
    </row>
    <row r="786" spans="1:16">
      <c r="C786" s="403">
        <f t="shared" si="88"/>
        <v>44584</v>
      </c>
      <c r="D786" s="94" t="str">
        <f>VLOOKUP(MOD(C786,7),'CALENDAR INFO'!$G$5:$H$11,2)</f>
        <v>SUN</v>
      </c>
      <c r="E786" s="165">
        <v>0.08</v>
      </c>
      <c r="F786" s="336">
        <v>0.05</v>
      </c>
      <c r="G786" s="411">
        <f t="shared" si="90"/>
        <v>-0.03</v>
      </c>
      <c r="K786" s="129"/>
      <c r="L786" s="403">
        <f t="shared" si="91"/>
        <v>44584</v>
      </c>
      <c r="M786" s="94" t="str">
        <f t="shared" si="92"/>
        <v>SUN</v>
      </c>
      <c r="O786" s="378">
        <f t="shared" si="93"/>
        <v>0</v>
      </c>
      <c r="P786" s="392">
        <f t="shared" si="86"/>
        <v>1</v>
      </c>
    </row>
    <row r="787" spans="1:16">
      <c r="C787" s="403">
        <f t="shared" si="88"/>
        <v>44585</v>
      </c>
      <c r="D787" s="94" t="str">
        <f>VLOOKUP(MOD(C787,7),'CALENDAR INFO'!$G$5:$H$11,2)</f>
        <v>MON</v>
      </c>
      <c r="E787" s="165">
        <v>0.08</v>
      </c>
      <c r="F787" s="336">
        <v>0.04</v>
      </c>
      <c r="G787" s="411">
        <f t="shared" si="90"/>
        <v>-0.04</v>
      </c>
      <c r="K787" s="129"/>
      <c r="L787" s="403">
        <f t="shared" si="91"/>
        <v>44585</v>
      </c>
      <c r="M787" s="94" t="str">
        <f t="shared" si="92"/>
        <v>MON</v>
      </c>
      <c r="O787" s="378">
        <f t="shared" si="93"/>
        <v>1</v>
      </c>
      <c r="P787" s="392">
        <f t="shared" ref="P787:P850" si="94">1+(O787/360)*(MAX(F787,B787)/100)</f>
        <v>1.0000011111111111</v>
      </c>
    </row>
    <row r="788" spans="1:16">
      <c r="C788" s="403">
        <f t="shared" si="88"/>
        <v>44586</v>
      </c>
      <c r="D788" s="94" t="str">
        <f>VLOOKUP(MOD(C788,7),'CALENDAR INFO'!$G$5:$H$11,2)</f>
        <v>TUE</v>
      </c>
      <c r="E788" s="165">
        <v>0.08</v>
      </c>
      <c r="F788" s="336">
        <v>0.05</v>
      </c>
      <c r="G788" s="411">
        <f t="shared" si="90"/>
        <v>-0.03</v>
      </c>
      <c r="K788" s="129"/>
      <c r="L788" s="403">
        <f t="shared" si="91"/>
        <v>44586</v>
      </c>
      <c r="M788" s="94" t="str">
        <f t="shared" si="92"/>
        <v>TUE</v>
      </c>
      <c r="N788" s="116" t="s">
        <v>20</v>
      </c>
      <c r="O788" s="378">
        <f t="shared" si="93"/>
        <v>1</v>
      </c>
      <c r="P788" s="392">
        <f t="shared" si="94"/>
        <v>1.0000013888888888</v>
      </c>
    </row>
    <row r="789" spans="1:16">
      <c r="C789" s="403">
        <f t="shared" si="88"/>
        <v>44587</v>
      </c>
      <c r="D789" s="94" t="str">
        <f>VLOOKUP(MOD(C789,7),'CALENDAR INFO'!$G$5:$H$11,2)</f>
        <v>WED</v>
      </c>
      <c r="E789" s="165">
        <v>0.08</v>
      </c>
      <c r="F789" s="336">
        <v>0.04</v>
      </c>
      <c r="G789" s="411">
        <f t="shared" si="90"/>
        <v>-0.04</v>
      </c>
      <c r="K789" s="129" t="s">
        <v>19</v>
      </c>
      <c r="L789" s="403">
        <f t="shared" si="91"/>
        <v>44587</v>
      </c>
      <c r="M789" s="94" t="str">
        <f t="shared" si="92"/>
        <v>WED</v>
      </c>
      <c r="N789" s="116" t="s">
        <v>20</v>
      </c>
      <c r="O789" s="378">
        <f t="shared" si="93"/>
        <v>1</v>
      </c>
      <c r="P789" s="392">
        <f t="shared" si="94"/>
        <v>1.0000011111111111</v>
      </c>
    </row>
    <row r="790" spans="1:16">
      <c r="C790" s="403">
        <f t="shared" si="88"/>
        <v>44588</v>
      </c>
      <c r="D790" s="94" t="str">
        <f>VLOOKUP(MOD(C790,7),'CALENDAR INFO'!$G$5:$H$11,2)</f>
        <v>THU</v>
      </c>
      <c r="E790" s="165">
        <v>0.08</v>
      </c>
      <c r="F790" s="336">
        <v>0.04</v>
      </c>
      <c r="G790" s="411">
        <f t="shared" si="90"/>
        <v>-0.04</v>
      </c>
      <c r="I790" s="137"/>
      <c r="K790" s="126" t="s">
        <v>18</v>
      </c>
      <c r="L790" s="403">
        <f t="shared" si="91"/>
        <v>44588</v>
      </c>
      <c r="M790" s="94" t="str">
        <f t="shared" si="92"/>
        <v>THU</v>
      </c>
      <c r="O790" s="378">
        <f t="shared" si="93"/>
        <v>1</v>
      </c>
      <c r="P790" s="392">
        <f t="shared" si="94"/>
        <v>1.0000011111111111</v>
      </c>
    </row>
    <row r="791" spans="1:16">
      <c r="C791" s="403">
        <f t="shared" si="88"/>
        <v>44589</v>
      </c>
      <c r="D791" s="94" t="str">
        <f>VLOOKUP(MOD(C791,7),'CALENDAR INFO'!$G$5:$H$11,2)</f>
        <v>FRI</v>
      </c>
      <c r="E791" s="165">
        <v>0.08</v>
      </c>
      <c r="F791" s="336">
        <v>0.05</v>
      </c>
      <c r="G791" s="411">
        <f t="shared" si="90"/>
        <v>-0.03</v>
      </c>
      <c r="H791" s="115"/>
      <c r="I791" s="141"/>
      <c r="J791" s="158"/>
      <c r="K791" s="126"/>
      <c r="L791" s="403">
        <f t="shared" si="91"/>
        <v>44589</v>
      </c>
      <c r="M791" s="94" t="str">
        <f t="shared" si="92"/>
        <v>FRI</v>
      </c>
      <c r="O791" s="378">
        <f t="shared" si="93"/>
        <v>3</v>
      </c>
      <c r="P791" s="392">
        <f t="shared" si="94"/>
        <v>1.0000041666666666</v>
      </c>
    </row>
    <row r="792" spans="1:16">
      <c r="C792" s="403">
        <f t="shared" si="88"/>
        <v>44590</v>
      </c>
      <c r="D792" s="94" t="str">
        <f>VLOOKUP(MOD(C792,7),'CALENDAR INFO'!$G$5:$H$11,2)</f>
        <v>SAT</v>
      </c>
      <c r="E792" s="165">
        <v>0.08</v>
      </c>
      <c r="F792" s="336">
        <v>0.05</v>
      </c>
      <c r="G792" s="411">
        <f t="shared" si="90"/>
        <v>-0.03</v>
      </c>
      <c r="H792" s="115"/>
      <c r="I792" s="148"/>
      <c r="J792" s="160"/>
      <c r="K792" s="126"/>
      <c r="L792" s="403">
        <f t="shared" si="91"/>
        <v>44590</v>
      </c>
      <c r="M792" s="94" t="str">
        <f t="shared" si="92"/>
        <v>SAT</v>
      </c>
      <c r="O792" s="378">
        <f t="shared" si="93"/>
        <v>0</v>
      </c>
      <c r="P792" s="392">
        <f t="shared" si="94"/>
        <v>1</v>
      </c>
    </row>
    <row r="793" spans="1:16">
      <c r="C793" s="403">
        <f t="shared" si="88"/>
        <v>44591</v>
      </c>
      <c r="D793" s="94" t="str">
        <f>VLOOKUP(MOD(C793,7),'CALENDAR INFO'!$G$5:$H$11,2)</f>
        <v>SUN</v>
      </c>
      <c r="E793" s="165">
        <v>0.08</v>
      </c>
      <c r="F793" s="336">
        <v>0.05</v>
      </c>
      <c r="G793" s="411">
        <f t="shared" si="90"/>
        <v>-0.03</v>
      </c>
      <c r="H793" s="115"/>
      <c r="I793" s="141"/>
      <c r="J793" s="158"/>
      <c r="K793" s="126"/>
      <c r="L793" s="403">
        <f t="shared" si="91"/>
        <v>44591</v>
      </c>
      <c r="M793" s="94" t="str">
        <f t="shared" si="92"/>
        <v>SUN</v>
      </c>
      <c r="O793" s="378">
        <f t="shared" si="93"/>
        <v>0</v>
      </c>
      <c r="P793" s="392">
        <f t="shared" si="94"/>
        <v>1</v>
      </c>
    </row>
    <row r="794" spans="1:16" ht="15.75" thickBot="1">
      <c r="A794" s="81"/>
      <c r="B794" s="73"/>
      <c r="C794" s="404">
        <f t="shared" si="88"/>
        <v>44592</v>
      </c>
      <c r="D794" s="103" t="str">
        <f>VLOOKUP(MOD(C794,7),'CALENDAR INFO'!$G$5:$H$11,2)</f>
        <v>MON</v>
      </c>
      <c r="E794" s="166">
        <v>0.08</v>
      </c>
      <c r="F794" s="337">
        <v>0.05</v>
      </c>
      <c r="G794" s="412">
        <f t="shared" si="90"/>
        <v>-0.03</v>
      </c>
      <c r="H794" s="345"/>
      <c r="I794" s="149"/>
      <c r="J794" s="161"/>
      <c r="K794" s="77"/>
      <c r="L794" s="404">
        <f t="shared" si="91"/>
        <v>44592</v>
      </c>
      <c r="M794" s="103" t="str">
        <f t="shared" si="92"/>
        <v>MON</v>
      </c>
      <c r="N794" s="90"/>
      <c r="O794" s="381">
        <f t="shared" si="93"/>
        <v>1</v>
      </c>
      <c r="P794" s="388">
        <f t="shared" si="94"/>
        <v>1.0000013888888888</v>
      </c>
    </row>
    <row r="795" spans="1:16">
      <c r="C795" s="403">
        <f t="shared" si="88"/>
        <v>44593</v>
      </c>
      <c r="D795" s="94" t="str">
        <f>VLOOKUP(MOD(C795,7),'CALENDAR INFO'!$G$5:$H$11,2)</f>
        <v>TUE</v>
      </c>
      <c r="E795" s="165">
        <v>0.08</v>
      </c>
      <c r="F795" s="336">
        <v>0.05</v>
      </c>
      <c r="G795" s="411">
        <f t="shared" si="90"/>
        <v>-0.03</v>
      </c>
      <c r="H795" s="15" t="s">
        <v>149</v>
      </c>
      <c r="I795" s="15">
        <f>ROW(I795)</f>
        <v>795</v>
      </c>
      <c r="J795" s="138">
        <f>I795</f>
        <v>795</v>
      </c>
      <c r="K795" s="126"/>
      <c r="L795" s="403">
        <f t="shared" si="91"/>
        <v>44593</v>
      </c>
      <c r="M795" s="94" t="str">
        <f t="shared" si="92"/>
        <v>TUE</v>
      </c>
      <c r="O795" s="378">
        <f t="shared" si="93"/>
        <v>1</v>
      </c>
      <c r="P795" s="392">
        <f t="shared" si="94"/>
        <v>1.0000013888888888</v>
      </c>
    </row>
    <row r="796" spans="1:16">
      <c r="C796" s="403">
        <f t="shared" si="88"/>
        <v>44594</v>
      </c>
      <c r="D796" s="94" t="str">
        <f>VLOOKUP(MOD(C796,7),'CALENDAR INFO'!$G$5:$H$11,2)</f>
        <v>WED</v>
      </c>
      <c r="E796" s="165">
        <v>0.08</v>
      </c>
      <c r="F796" s="336">
        <v>0.05</v>
      </c>
      <c r="G796" s="411">
        <f t="shared" si="90"/>
        <v>-0.03</v>
      </c>
      <c r="H796" s="376" t="s">
        <v>210</v>
      </c>
      <c r="I796" s="15">
        <f>VLOOKUP(MONTH($C795),'CALENDAR INFO'!$J$5:$K$16,2)</f>
        <v>28</v>
      </c>
      <c r="J796" s="138">
        <f>I796</f>
        <v>28</v>
      </c>
      <c r="K796" s="126"/>
      <c r="L796" s="403">
        <f t="shared" si="91"/>
        <v>44594</v>
      </c>
      <c r="M796" s="94" t="str">
        <f t="shared" si="92"/>
        <v>WED</v>
      </c>
      <c r="O796" s="378">
        <f t="shared" si="93"/>
        <v>1</v>
      </c>
      <c r="P796" s="392">
        <f t="shared" si="94"/>
        <v>1.0000013888888888</v>
      </c>
    </row>
    <row r="797" spans="1:16">
      <c r="C797" s="403">
        <f t="shared" si="88"/>
        <v>44595</v>
      </c>
      <c r="D797" s="94" t="str">
        <f>VLOOKUP(MOD(C797,7),'CALENDAR INFO'!$G$5:$H$11,2)</f>
        <v>THU</v>
      </c>
      <c r="E797" s="165">
        <v>0.08</v>
      </c>
      <c r="F797" s="336">
        <v>0.05</v>
      </c>
      <c r="G797" s="411">
        <f t="shared" si="90"/>
        <v>-0.03</v>
      </c>
      <c r="H797" s="376" t="s">
        <v>211</v>
      </c>
      <c r="I797" s="15">
        <f>I796+I795-1</f>
        <v>822</v>
      </c>
      <c r="J797" s="138">
        <f>I797</f>
        <v>822</v>
      </c>
      <c r="K797" s="126"/>
      <c r="L797" s="403">
        <f t="shared" si="91"/>
        <v>44595</v>
      </c>
      <c r="M797" s="94" t="str">
        <f t="shared" si="92"/>
        <v>THU</v>
      </c>
      <c r="O797" s="378">
        <f t="shared" si="93"/>
        <v>1</v>
      </c>
      <c r="P797" s="392">
        <f t="shared" si="94"/>
        <v>1.0000013888888888</v>
      </c>
    </row>
    <row r="798" spans="1:16">
      <c r="C798" s="403">
        <f t="shared" si="88"/>
        <v>44596</v>
      </c>
      <c r="D798" s="94" t="str">
        <f>VLOOKUP(MOD(C798,7),'CALENDAR INFO'!$G$5:$H$11,2)</f>
        <v>FRI</v>
      </c>
      <c r="E798" s="165">
        <v>0.08</v>
      </c>
      <c r="F798" s="336">
        <v>0.05</v>
      </c>
      <c r="G798" s="411">
        <f t="shared" si="90"/>
        <v>-0.03</v>
      </c>
      <c r="K798" s="126"/>
      <c r="L798" s="403">
        <f t="shared" si="91"/>
        <v>44596</v>
      </c>
      <c r="M798" s="94" t="str">
        <f t="shared" si="92"/>
        <v>FRI</v>
      </c>
      <c r="O798" s="378">
        <f t="shared" si="93"/>
        <v>3</v>
      </c>
      <c r="P798" s="392">
        <f t="shared" si="94"/>
        <v>1.0000041666666666</v>
      </c>
    </row>
    <row r="799" spans="1:16">
      <c r="C799" s="403">
        <f t="shared" si="88"/>
        <v>44597</v>
      </c>
      <c r="D799" s="94" t="str">
        <f>VLOOKUP(MOD(C799,7),'CALENDAR INFO'!$G$5:$H$11,2)</f>
        <v>SAT</v>
      </c>
      <c r="E799" s="165">
        <v>0.08</v>
      </c>
      <c r="F799" s="336">
        <v>0.05</v>
      </c>
      <c r="G799" s="411">
        <f t="shared" si="90"/>
        <v>-0.03</v>
      </c>
      <c r="H799" s="15" t="s">
        <v>150</v>
      </c>
      <c r="I799" s="137" t="str">
        <f>_xlfn.CONCAT(ADDRESS(I795,5),":",ADDRESS(I797,5))</f>
        <v>$E$795:$E$822</v>
      </c>
      <c r="J799" s="150" t="str">
        <f>_xlfn.CONCAT(ADDRESS(J795,6),":",ADDRESS(J797,6))</f>
        <v>$F$795:$F$822</v>
      </c>
      <c r="K799" s="126"/>
      <c r="L799" s="403">
        <f t="shared" si="91"/>
        <v>44597</v>
      </c>
      <c r="M799" s="94" t="str">
        <f t="shared" si="92"/>
        <v>SAT</v>
      </c>
      <c r="O799" s="378">
        <f t="shared" si="93"/>
        <v>0</v>
      </c>
      <c r="P799" s="392">
        <f t="shared" si="94"/>
        <v>1</v>
      </c>
    </row>
    <row r="800" spans="1:16">
      <c r="C800" s="403">
        <f t="shared" si="88"/>
        <v>44598</v>
      </c>
      <c r="D800" s="94" t="str">
        <f>VLOOKUP(MOD(C800,7),'CALENDAR INFO'!$G$5:$H$11,2)</f>
        <v>SUN</v>
      </c>
      <c r="E800" s="165">
        <v>0.08</v>
      </c>
      <c r="F800" s="336">
        <v>0.05</v>
      </c>
      <c r="G800" s="411">
        <f t="shared" si="90"/>
        <v>-0.03</v>
      </c>
      <c r="K800" s="126"/>
      <c r="L800" s="403">
        <f t="shared" si="91"/>
        <v>44598</v>
      </c>
      <c r="M800" s="94" t="str">
        <f t="shared" si="92"/>
        <v>SUN</v>
      </c>
      <c r="O800" s="378">
        <f t="shared" si="93"/>
        <v>0</v>
      </c>
      <c r="P800" s="392">
        <f t="shared" si="94"/>
        <v>1</v>
      </c>
    </row>
    <row r="801" spans="3:16">
      <c r="C801" s="403">
        <f t="shared" si="88"/>
        <v>44599</v>
      </c>
      <c r="D801" s="94" t="str">
        <f>VLOOKUP(MOD(C801,7),'CALENDAR INFO'!$G$5:$H$11,2)</f>
        <v>MON</v>
      </c>
      <c r="E801" s="165">
        <v>0.08</v>
      </c>
      <c r="F801" s="336">
        <v>0.05</v>
      </c>
      <c r="G801" s="411">
        <f t="shared" si="90"/>
        <v>-0.03</v>
      </c>
      <c r="H801" s="376" t="s">
        <v>221</v>
      </c>
      <c r="I801" s="147">
        <f ca="1">AVERAGE(INDIRECT(I799))</f>
        <v>8.0000000000000029E-2</v>
      </c>
      <c r="J801" s="326">
        <f ca="1">AVERAGE(INDIRECT(J799))</f>
        <v>4.9642857142857162E-2</v>
      </c>
      <c r="K801" s="126"/>
      <c r="L801" s="403">
        <f t="shared" si="91"/>
        <v>44599</v>
      </c>
      <c r="M801" s="94" t="str">
        <f t="shared" si="92"/>
        <v>MON</v>
      </c>
      <c r="O801" s="378">
        <f t="shared" si="93"/>
        <v>1</v>
      </c>
      <c r="P801" s="392">
        <f t="shared" si="94"/>
        <v>1.0000013888888888</v>
      </c>
    </row>
    <row r="802" spans="3:16">
      <c r="C802" s="403">
        <f t="shared" si="88"/>
        <v>44600</v>
      </c>
      <c r="D802" s="94" t="str">
        <f>VLOOKUP(MOD(C802,7),'CALENDAR INFO'!$G$5:$H$11,2)</f>
        <v>TUE</v>
      </c>
      <c r="E802" s="165">
        <v>0.08</v>
      </c>
      <c r="F802" s="336">
        <v>0.05</v>
      </c>
      <c r="G802" s="411">
        <f t="shared" si="90"/>
        <v>-0.03</v>
      </c>
      <c r="I802" s="240"/>
      <c r="J802" s="157"/>
      <c r="K802" s="126"/>
      <c r="L802" s="403">
        <f t="shared" si="91"/>
        <v>44600</v>
      </c>
      <c r="M802" s="94" t="str">
        <f t="shared" si="92"/>
        <v>TUE</v>
      </c>
      <c r="O802" s="378">
        <f t="shared" si="93"/>
        <v>1</v>
      </c>
      <c r="P802" s="392">
        <f t="shared" si="94"/>
        <v>1.0000013888888888</v>
      </c>
    </row>
    <row r="803" spans="3:16">
      <c r="C803" s="403">
        <f t="shared" si="88"/>
        <v>44601</v>
      </c>
      <c r="D803" s="94" t="str">
        <f>VLOOKUP(MOD(C803,7),'CALENDAR INFO'!$G$5:$H$11,2)</f>
        <v>WED</v>
      </c>
      <c r="E803" s="165">
        <v>0.08</v>
      </c>
      <c r="F803" s="336">
        <v>0.04</v>
      </c>
      <c r="G803" s="411">
        <f t="shared" si="90"/>
        <v>-0.04</v>
      </c>
      <c r="H803" s="15" t="s">
        <v>222</v>
      </c>
      <c r="I803" s="147">
        <f ca="1">100-I801</f>
        <v>99.92</v>
      </c>
      <c r="J803" s="326">
        <f ca="1">100-J801</f>
        <v>99.950357142857143</v>
      </c>
      <c r="K803" s="126" t="s">
        <v>19</v>
      </c>
      <c r="L803" s="403">
        <f t="shared" si="91"/>
        <v>44601</v>
      </c>
      <c r="M803" s="94" t="str">
        <f t="shared" si="92"/>
        <v>WED</v>
      </c>
      <c r="O803" s="378">
        <f t="shared" si="93"/>
        <v>1</v>
      </c>
      <c r="P803" s="392">
        <f t="shared" si="94"/>
        <v>1.0000011111111111</v>
      </c>
    </row>
    <row r="804" spans="3:16">
      <c r="C804" s="403">
        <f t="shared" si="88"/>
        <v>44602</v>
      </c>
      <c r="D804" s="94" t="str">
        <f>VLOOKUP(MOD(C804,7),'CALENDAR INFO'!$G$5:$H$11,2)</f>
        <v>THU</v>
      </c>
      <c r="E804" s="165">
        <v>0.08</v>
      </c>
      <c r="F804" s="336">
        <v>0.05</v>
      </c>
      <c r="G804" s="411">
        <f t="shared" si="90"/>
        <v>-0.03</v>
      </c>
      <c r="I804" s="137"/>
      <c r="J804" s="150"/>
      <c r="K804" s="129" t="s">
        <v>18</v>
      </c>
      <c r="L804" s="403">
        <f t="shared" si="91"/>
        <v>44602</v>
      </c>
      <c r="M804" s="94" t="str">
        <f t="shared" si="92"/>
        <v>THU</v>
      </c>
      <c r="O804" s="378">
        <f t="shared" si="93"/>
        <v>1</v>
      </c>
      <c r="P804" s="392">
        <f t="shared" si="94"/>
        <v>1.0000013888888888</v>
      </c>
    </row>
    <row r="805" spans="3:16">
      <c r="C805" s="403">
        <f t="shared" si="88"/>
        <v>44603</v>
      </c>
      <c r="D805" s="94" t="str">
        <f>VLOOKUP(MOD(C805,7),'CALENDAR INFO'!$G$5:$H$11,2)</f>
        <v>FRI</v>
      </c>
      <c r="E805" s="165">
        <v>0.08</v>
      </c>
      <c r="F805" s="336">
        <v>0.05</v>
      </c>
      <c r="G805" s="411">
        <f t="shared" si="90"/>
        <v>-0.03</v>
      </c>
      <c r="H805" s="425" t="s">
        <v>97</v>
      </c>
      <c r="I805" s="419">
        <v>99.92</v>
      </c>
      <c r="J805" s="426">
        <v>99.95</v>
      </c>
      <c r="K805" s="129"/>
      <c r="L805" s="403">
        <f t="shared" si="91"/>
        <v>44603</v>
      </c>
      <c r="M805" s="94" t="str">
        <f t="shared" si="92"/>
        <v>FRI</v>
      </c>
      <c r="O805" s="378">
        <f t="shared" si="93"/>
        <v>3</v>
      </c>
      <c r="P805" s="392">
        <f t="shared" si="94"/>
        <v>1.0000041666666666</v>
      </c>
    </row>
    <row r="806" spans="3:16">
      <c r="C806" s="403">
        <f t="shared" si="88"/>
        <v>44604</v>
      </c>
      <c r="D806" s="94" t="str">
        <f>VLOOKUP(MOD(C806,7),'CALENDAR INFO'!$G$5:$H$11,2)</f>
        <v>SAT</v>
      </c>
      <c r="E806" s="165">
        <v>0.08</v>
      </c>
      <c r="F806" s="336">
        <v>0.05</v>
      </c>
      <c r="G806" s="411">
        <f t="shared" si="90"/>
        <v>-0.03</v>
      </c>
      <c r="I806" s="137"/>
      <c r="J806" s="150"/>
      <c r="K806" s="129"/>
      <c r="L806" s="403">
        <f t="shared" si="91"/>
        <v>44604</v>
      </c>
      <c r="M806" s="94" t="str">
        <f t="shared" si="92"/>
        <v>SAT</v>
      </c>
      <c r="O806" s="378">
        <f t="shared" si="93"/>
        <v>0</v>
      </c>
      <c r="P806" s="392">
        <f t="shared" si="94"/>
        <v>1</v>
      </c>
    </row>
    <row r="807" spans="3:16">
      <c r="C807" s="403">
        <f t="shared" si="88"/>
        <v>44605</v>
      </c>
      <c r="D807" s="94" t="str">
        <f>VLOOKUP(MOD(C807,7),'CALENDAR INFO'!$G$5:$H$11,2)</f>
        <v>SUN</v>
      </c>
      <c r="E807" s="165">
        <v>0.08</v>
      </c>
      <c r="F807" s="336">
        <v>0.05</v>
      </c>
      <c r="G807" s="411">
        <f t="shared" si="90"/>
        <v>-0.03</v>
      </c>
      <c r="H807" s="136"/>
      <c r="I807" s="139"/>
      <c r="J807" s="151"/>
      <c r="K807" s="129"/>
      <c r="L807" s="403">
        <f t="shared" si="91"/>
        <v>44605</v>
      </c>
      <c r="M807" s="94" t="str">
        <f t="shared" si="92"/>
        <v>SUN</v>
      </c>
      <c r="O807" s="378">
        <f t="shared" si="93"/>
        <v>0</v>
      </c>
      <c r="P807" s="392">
        <f t="shared" si="94"/>
        <v>1</v>
      </c>
    </row>
    <row r="808" spans="3:16">
      <c r="C808" s="403">
        <f t="shared" si="88"/>
        <v>44606</v>
      </c>
      <c r="D808" s="94" t="str">
        <f>VLOOKUP(MOD(C808,7),'CALENDAR INFO'!$G$5:$H$11,2)</f>
        <v>MON</v>
      </c>
      <c r="E808" s="165">
        <v>0.08</v>
      </c>
      <c r="F808" s="336">
        <v>0.05</v>
      </c>
      <c r="G808" s="411">
        <f t="shared" si="90"/>
        <v>-0.03</v>
      </c>
      <c r="K808" s="129"/>
      <c r="L808" s="403">
        <f t="shared" si="91"/>
        <v>44606</v>
      </c>
      <c r="M808" s="94" t="str">
        <f t="shared" si="92"/>
        <v>MON</v>
      </c>
      <c r="O808" s="378">
        <f t="shared" si="93"/>
        <v>1</v>
      </c>
      <c r="P808" s="392">
        <f t="shared" si="94"/>
        <v>1.0000013888888888</v>
      </c>
    </row>
    <row r="809" spans="3:16">
      <c r="C809" s="403">
        <f t="shared" si="88"/>
        <v>44607</v>
      </c>
      <c r="D809" s="94" t="str">
        <f>VLOOKUP(MOD(C809,7),'CALENDAR INFO'!$G$5:$H$11,2)</f>
        <v>TUE</v>
      </c>
      <c r="E809" s="165">
        <v>0.08</v>
      </c>
      <c r="F809" s="336">
        <v>0.05</v>
      </c>
      <c r="G809" s="411">
        <f t="shared" si="90"/>
        <v>-0.03</v>
      </c>
      <c r="H809" s="135"/>
      <c r="I809" s="144"/>
      <c r="J809" s="152"/>
      <c r="K809" s="129"/>
      <c r="L809" s="403">
        <f t="shared" si="91"/>
        <v>44607</v>
      </c>
      <c r="M809" s="94" t="str">
        <f t="shared" si="92"/>
        <v>TUE</v>
      </c>
      <c r="O809" s="378">
        <f t="shared" si="93"/>
        <v>1</v>
      </c>
      <c r="P809" s="392">
        <f t="shared" si="94"/>
        <v>1.0000013888888888</v>
      </c>
    </row>
    <row r="810" spans="3:16">
      <c r="C810" s="403">
        <f t="shared" si="88"/>
        <v>44608</v>
      </c>
      <c r="D810" s="94" t="str">
        <f>VLOOKUP(MOD(C810,7),'CALENDAR INFO'!$G$5:$H$11,2)</f>
        <v>WED</v>
      </c>
      <c r="E810" s="165">
        <v>0.08</v>
      </c>
      <c r="F810" s="336">
        <v>0.05</v>
      </c>
      <c r="G810" s="411">
        <f t="shared" si="90"/>
        <v>-0.03</v>
      </c>
      <c r="K810" s="129"/>
      <c r="L810" s="403">
        <f t="shared" si="91"/>
        <v>44608</v>
      </c>
      <c r="M810" s="94" t="str">
        <f t="shared" si="92"/>
        <v>WED</v>
      </c>
      <c r="O810" s="378">
        <f t="shared" si="93"/>
        <v>1</v>
      </c>
      <c r="P810" s="392">
        <f t="shared" si="94"/>
        <v>1.0000013888888888</v>
      </c>
    </row>
    <row r="811" spans="3:16">
      <c r="C811" s="403">
        <f t="shared" si="88"/>
        <v>44609</v>
      </c>
      <c r="D811" s="94" t="str">
        <f>VLOOKUP(MOD(C811,7),'CALENDAR INFO'!$G$5:$H$11,2)</f>
        <v>THU</v>
      </c>
      <c r="E811" s="165">
        <v>0.08</v>
      </c>
      <c r="F811" s="336">
        <v>0.05</v>
      </c>
      <c r="G811" s="411">
        <f t="shared" si="90"/>
        <v>-0.03</v>
      </c>
      <c r="K811" s="129"/>
      <c r="L811" s="403">
        <f t="shared" si="91"/>
        <v>44609</v>
      </c>
      <c r="M811" s="94" t="str">
        <f t="shared" si="92"/>
        <v>THU</v>
      </c>
      <c r="O811" s="378">
        <f t="shared" si="93"/>
        <v>1</v>
      </c>
      <c r="P811" s="392">
        <f t="shared" si="94"/>
        <v>1.0000013888888888</v>
      </c>
    </row>
    <row r="812" spans="3:16">
      <c r="C812" s="403">
        <f t="shared" si="88"/>
        <v>44610</v>
      </c>
      <c r="D812" s="94" t="str">
        <f>VLOOKUP(MOD(C812,7),'CALENDAR INFO'!$G$5:$H$11,2)</f>
        <v>FRI</v>
      </c>
      <c r="E812" s="165">
        <v>0.08</v>
      </c>
      <c r="F812" s="336">
        <v>0.05</v>
      </c>
      <c r="G812" s="411">
        <f t="shared" si="90"/>
        <v>-0.03</v>
      </c>
      <c r="K812" s="129"/>
      <c r="L812" s="403">
        <f t="shared" si="91"/>
        <v>44610</v>
      </c>
      <c r="M812" s="94" t="str">
        <f t="shared" si="92"/>
        <v>FRI</v>
      </c>
      <c r="O812" s="380">
        <v>4</v>
      </c>
      <c r="P812" s="392">
        <f t="shared" si="94"/>
        <v>1.0000055555555556</v>
      </c>
    </row>
    <row r="813" spans="3:16">
      <c r="C813" s="403">
        <f t="shared" si="88"/>
        <v>44611</v>
      </c>
      <c r="D813" s="94" t="str">
        <f>VLOOKUP(MOD(C813,7),'CALENDAR INFO'!$G$5:$H$11,2)</f>
        <v>SAT</v>
      </c>
      <c r="E813" s="165">
        <v>0.08</v>
      </c>
      <c r="F813" s="336">
        <v>0.05</v>
      </c>
      <c r="G813" s="411">
        <f t="shared" si="90"/>
        <v>-0.03</v>
      </c>
      <c r="K813" s="129"/>
      <c r="L813" s="403">
        <f t="shared" si="91"/>
        <v>44611</v>
      </c>
      <c r="M813" s="94" t="str">
        <f t="shared" si="92"/>
        <v>SAT</v>
      </c>
      <c r="O813" s="378">
        <f>IF(MOD(C813,7)&lt;2,0,IF(MOD(C813,7)=6,3,1))</f>
        <v>0</v>
      </c>
      <c r="P813" s="392">
        <f t="shared" si="94"/>
        <v>1</v>
      </c>
    </row>
    <row r="814" spans="3:16">
      <c r="C814" s="403">
        <f t="shared" si="88"/>
        <v>44612</v>
      </c>
      <c r="D814" s="94" t="str">
        <f>VLOOKUP(MOD(C814,7),'CALENDAR INFO'!$G$5:$H$11,2)</f>
        <v>SUN</v>
      </c>
      <c r="E814" s="165">
        <v>0.08</v>
      </c>
      <c r="F814" s="336">
        <v>0.05</v>
      </c>
      <c r="G814" s="411">
        <f t="shared" si="90"/>
        <v>-0.03</v>
      </c>
      <c r="K814" s="129"/>
      <c r="L814" s="403">
        <f t="shared" si="91"/>
        <v>44612</v>
      </c>
      <c r="M814" s="94" t="str">
        <f t="shared" si="92"/>
        <v>SUN</v>
      </c>
      <c r="O814" s="378">
        <f>IF(MOD(C814,7)&lt;2,0,IF(MOD(C814,7)=6,3,1))</f>
        <v>0</v>
      </c>
      <c r="P814" s="392">
        <f t="shared" si="94"/>
        <v>1</v>
      </c>
    </row>
    <row r="815" spans="3:16">
      <c r="C815" s="403">
        <f t="shared" si="88"/>
        <v>44613</v>
      </c>
      <c r="D815" s="94" t="str">
        <f>VLOOKUP(MOD(C815,7),'CALENDAR INFO'!$G$5:$H$11,2)</f>
        <v>MON</v>
      </c>
      <c r="E815" s="165">
        <v>0.08</v>
      </c>
      <c r="F815" s="336">
        <v>0.05</v>
      </c>
      <c r="G815" s="411">
        <f t="shared" si="90"/>
        <v>-0.03</v>
      </c>
      <c r="K815" s="129"/>
      <c r="L815" s="403">
        <f t="shared" si="91"/>
        <v>44613</v>
      </c>
      <c r="M815" s="94" t="str">
        <f t="shared" si="92"/>
        <v>MON</v>
      </c>
      <c r="N815" s="132" t="s">
        <v>39</v>
      </c>
      <c r="O815" s="380">
        <v>0</v>
      </c>
      <c r="P815" s="392">
        <f t="shared" si="94"/>
        <v>1</v>
      </c>
    </row>
    <row r="816" spans="3:16">
      <c r="C816" s="403">
        <f t="shared" si="88"/>
        <v>44614</v>
      </c>
      <c r="D816" s="94" t="str">
        <f>VLOOKUP(MOD(C816,7),'CALENDAR INFO'!$G$5:$H$11,2)</f>
        <v>TUE</v>
      </c>
      <c r="E816" s="165">
        <v>0.08</v>
      </c>
      <c r="F816" s="336">
        <v>0.05</v>
      </c>
      <c r="G816" s="411">
        <f t="shared" si="90"/>
        <v>-0.03</v>
      </c>
      <c r="K816" s="129"/>
      <c r="L816" s="403">
        <f t="shared" si="91"/>
        <v>44614</v>
      </c>
      <c r="M816" s="94" t="str">
        <f t="shared" si="92"/>
        <v>TUE</v>
      </c>
      <c r="O816" s="378">
        <f t="shared" ref="O816:O847" si="95">IF(MOD(C816,7)&lt;2,0,IF(MOD(C816,7)=6,3,1))</f>
        <v>1</v>
      </c>
      <c r="P816" s="392">
        <f t="shared" si="94"/>
        <v>1.0000013888888888</v>
      </c>
    </row>
    <row r="817" spans="1:16">
      <c r="C817" s="403">
        <f t="shared" si="88"/>
        <v>44615</v>
      </c>
      <c r="D817" s="94" t="str">
        <f>VLOOKUP(MOD(C817,7),'CALENDAR INFO'!$G$5:$H$11,2)</f>
        <v>WED</v>
      </c>
      <c r="E817" s="165">
        <v>0.08</v>
      </c>
      <c r="F817" s="336">
        <v>0.05</v>
      </c>
      <c r="G817" s="411">
        <f t="shared" si="90"/>
        <v>-0.03</v>
      </c>
      <c r="K817" s="129" t="s">
        <v>19</v>
      </c>
      <c r="L817" s="403">
        <f t="shared" si="91"/>
        <v>44615</v>
      </c>
      <c r="M817" s="94" t="str">
        <f t="shared" si="92"/>
        <v>WED</v>
      </c>
      <c r="O817" s="378">
        <f t="shared" si="95"/>
        <v>1</v>
      </c>
      <c r="P817" s="392">
        <f t="shared" si="94"/>
        <v>1.0000013888888888</v>
      </c>
    </row>
    <row r="818" spans="1:16">
      <c r="C818" s="403">
        <f t="shared" si="88"/>
        <v>44616</v>
      </c>
      <c r="D818" s="94" t="str">
        <f>VLOOKUP(MOD(C818,7),'CALENDAR INFO'!$G$5:$H$11,2)</f>
        <v>THU</v>
      </c>
      <c r="E818" s="165">
        <v>0.08</v>
      </c>
      <c r="F818" s="336">
        <v>0.05</v>
      </c>
      <c r="G818" s="411">
        <f t="shared" si="90"/>
        <v>-0.03</v>
      </c>
      <c r="K818" s="126" t="s">
        <v>18</v>
      </c>
      <c r="L818" s="403">
        <f t="shared" si="91"/>
        <v>44616</v>
      </c>
      <c r="M818" s="94" t="str">
        <f t="shared" si="92"/>
        <v>THU</v>
      </c>
      <c r="O818" s="378">
        <f t="shared" si="95"/>
        <v>1</v>
      </c>
      <c r="P818" s="392">
        <f t="shared" si="94"/>
        <v>1.0000013888888888</v>
      </c>
    </row>
    <row r="819" spans="1:16">
      <c r="C819" s="403">
        <f t="shared" si="88"/>
        <v>44617</v>
      </c>
      <c r="D819" s="94" t="str">
        <f>VLOOKUP(MOD(C819,7),'CALENDAR INFO'!$G$5:$H$11,2)</f>
        <v>FRI</v>
      </c>
      <c r="E819" s="165">
        <v>0.08</v>
      </c>
      <c r="F819" s="336">
        <v>0.05</v>
      </c>
      <c r="G819" s="411">
        <f t="shared" si="90"/>
        <v>-0.03</v>
      </c>
      <c r="K819" s="126"/>
      <c r="L819" s="403">
        <f t="shared" si="91"/>
        <v>44617</v>
      </c>
      <c r="M819" s="94" t="str">
        <f t="shared" si="92"/>
        <v>FRI</v>
      </c>
      <c r="O819" s="378">
        <f t="shared" si="95"/>
        <v>3</v>
      </c>
      <c r="P819" s="392">
        <f t="shared" si="94"/>
        <v>1.0000041666666666</v>
      </c>
    </row>
    <row r="820" spans="1:16">
      <c r="C820" s="403">
        <f t="shared" si="88"/>
        <v>44618</v>
      </c>
      <c r="D820" s="94" t="str">
        <f>VLOOKUP(MOD(C820,7),'CALENDAR INFO'!$G$5:$H$11,2)</f>
        <v>SAT</v>
      </c>
      <c r="E820" s="165">
        <v>0.08</v>
      </c>
      <c r="F820" s="336">
        <v>0.05</v>
      </c>
      <c r="G820" s="411">
        <f t="shared" si="90"/>
        <v>-0.03</v>
      </c>
      <c r="K820" s="126"/>
      <c r="L820" s="403">
        <f t="shared" si="91"/>
        <v>44618</v>
      </c>
      <c r="M820" s="94" t="str">
        <f t="shared" si="92"/>
        <v>SAT</v>
      </c>
      <c r="O820" s="378">
        <f t="shared" si="95"/>
        <v>0</v>
      </c>
      <c r="P820" s="392">
        <f t="shared" si="94"/>
        <v>1</v>
      </c>
    </row>
    <row r="821" spans="1:16">
      <c r="C821" s="403">
        <f t="shared" ref="C821:C884" si="96">C820+1</f>
        <v>44619</v>
      </c>
      <c r="D821" s="94" t="str">
        <f>VLOOKUP(MOD(C821,7),'CALENDAR INFO'!$G$5:$H$11,2)</f>
        <v>SUN</v>
      </c>
      <c r="E821" s="165">
        <v>0.08</v>
      </c>
      <c r="F821" s="336">
        <v>0.05</v>
      </c>
      <c r="G821" s="411">
        <f t="shared" si="90"/>
        <v>-0.03</v>
      </c>
      <c r="I821" s="137"/>
      <c r="K821" s="126"/>
      <c r="L821" s="403">
        <f t="shared" si="91"/>
        <v>44619</v>
      </c>
      <c r="M821" s="94" t="str">
        <f t="shared" si="92"/>
        <v>SUN</v>
      </c>
      <c r="O821" s="378">
        <f t="shared" si="95"/>
        <v>0</v>
      </c>
      <c r="P821" s="392">
        <f t="shared" si="94"/>
        <v>1</v>
      </c>
    </row>
    <row r="822" spans="1:16" ht="15.75" thickBot="1">
      <c r="A822" s="81"/>
      <c r="B822" s="73"/>
      <c r="C822" s="404">
        <f t="shared" si="96"/>
        <v>44620</v>
      </c>
      <c r="D822" s="103" t="str">
        <f>VLOOKUP(MOD(C822,7),'CALENDAR INFO'!$G$5:$H$11,2)</f>
        <v>MON</v>
      </c>
      <c r="E822" s="166">
        <v>0.08</v>
      </c>
      <c r="F822" s="337">
        <v>0.05</v>
      </c>
      <c r="G822" s="412">
        <f t="shared" si="90"/>
        <v>-0.03</v>
      </c>
      <c r="H822" s="345"/>
      <c r="I822" s="149"/>
      <c r="J822" s="161"/>
      <c r="K822" s="77"/>
      <c r="L822" s="404">
        <f t="shared" si="91"/>
        <v>44620</v>
      </c>
      <c r="M822" s="103" t="str">
        <f t="shared" si="92"/>
        <v>MON</v>
      </c>
      <c r="N822" s="90"/>
      <c r="O822" s="381">
        <f t="shared" si="95"/>
        <v>1</v>
      </c>
      <c r="P822" s="388">
        <f t="shared" si="94"/>
        <v>1.0000013888888888</v>
      </c>
    </row>
    <row r="823" spans="1:16">
      <c r="B823" s="41"/>
      <c r="C823" s="403">
        <f t="shared" si="96"/>
        <v>44621</v>
      </c>
      <c r="D823" s="94" t="str">
        <f>VLOOKUP(MOD(C823,7),'CALENDAR INFO'!$G$5:$H$11,2)</f>
        <v>TUE</v>
      </c>
      <c r="E823" s="165">
        <v>0.08</v>
      </c>
      <c r="F823" s="336">
        <v>0.05</v>
      </c>
      <c r="G823" s="411">
        <f t="shared" si="90"/>
        <v>-0.03</v>
      </c>
      <c r="H823" s="15" t="s">
        <v>149</v>
      </c>
      <c r="I823" s="15">
        <f>ROW(I823)</f>
        <v>823</v>
      </c>
      <c r="J823" s="138">
        <f>I823</f>
        <v>823</v>
      </c>
      <c r="K823" s="126"/>
      <c r="L823" s="403">
        <f t="shared" si="91"/>
        <v>44621</v>
      </c>
      <c r="M823" s="94" t="str">
        <f t="shared" si="92"/>
        <v>TUE</v>
      </c>
      <c r="O823" s="378">
        <f t="shared" si="95"/>
        <v>1</v>
      </c>
      <c r="P823" s="392">
        <f t="shared" si="94"/>
        <v>1.0000013888888888</v>
      </c>
    </row>
    <row r="824" spans="1:16">
      <c r="B824" s="41"/>
      <c r="C824" s="403">
        <f t="shared" si="96"/>
        <v>44622</v>
      </c>
      <c r="D824" s="94" t="str">
        <f>VLOOKUP(MOD(C824,7),'CALENDAR INFO'!$G$5:$H$11,2)</f>
        <v>WED</v>
      </c>
      <c r="E824" s="165">
        <v>0.08</v>
      </c>
      <c r="F824" s="336">
        <v>0.05</v>
      </c>
      <c r="G824" s="411">
        <f t="shared" si="90"/>
        <v>-0.03</v>
      </c>
      <c r="H824" s="376" t="s">
        <v>210</v>
      </c>
      <c r="I824" s="15">
        <f>VLOOKUP(MONTH($C823),'CALENDAR INFO'!$J$5:$K$16,2)</f>
        <v>31</v>
      </c>
      <c r="J824" s="138">
        <f>I824</f>
        <v>31</v>
      </c>
      <c r="K824" s="126"/>
      <c r="L824" s="403">
        <f t="shared" si="91"/>
        <v>44622</v>
      </c>
      <c r="M824" s="94" t="str">
        <f t="shared" si="92"/>
        <v>WED</v>
      </c>
      <c r="O824" s="378">
        <f t="shared" si="95"/>
        <v>1</v>
      </c>
      <c r="P824" s="392">
        <f t="shared" si="94"/>
        <v>1.0000013888888888</v>
      </c>
    </row>
    <row r="825" spans="1:16">
      <c r="B825" s="41"/>
      <c r="C825" s="403">
        <f t="shared" si="96"/>
        <v>44623</v>
      </c>
      <c r="D825" s="94" t="str">
        <f>VLOOKUP(MOD(C825,7),'CALENDAR INFO'!$G$5:$H$11,2)</f>
        <v>THU</v>
      </c>
      <c r="E825" s="165">
        <v>0.08</v>
      </c>
      <c r="F825" s="336">
        <v>0.05</v>
      </c>
      <c r="G825" s="411">
        <f t="shared" si="90"/>
        <v>-0.03</v>
      </c>
      <c r="H825" s="376" t="s">
        <v>211</v>
      </c>
      <c r="I825" s="15">
        <f>I824+I823-1</f>
        <v>853</v>
      </c>
      <c r="J825" s="138">
        <f>I825</f>
        <v>853</v>
      </c>
      <c r="K825" s="126"/>
      <c r="L825" s="403">
        <f t="shared" si="91"/>
        <v>44623</v>
      </c>
      <c r="M825" s="94" t="str">
        <f t="shared" si="92"/>
        <v>THU</v>
      </c>
      <c r="O825" s="378">
        <f t="shared" si="95"/>
        <v>1</v>
      </c>
      <c r="P825" s="392">
        <f t="shared" si="94"/>
        <v>1.0000013888888888</v>
      </c>
    </row>
    <row r="826" spans="1:16">
      <c r="B826" s="41"/>
      <c r="C826" s="403">
        <f t="shared" si="96"/>
        <v>44624</v>
      </c>
      <c r="D826" s="94" t="str">
        <f>VLOOKUP(MOD(C826,7),'CALENDAR INFO'!$G$5:$H$11,2)</f>
        <v>FRI</v>
      </c>
      <c r="E826" s="165">
        <v>0.08</v>
      </c>
      <c r="F826" s="336">
        <v>0.05</v>
      </c>
      <c r="G826" s="411">
        <f t="shared" si="90"/>
        <v>-0.03</v>
      </c>
      <c r="K826" s="126"/>
      <c r="L826" s="403">
        <f t="shared" si="91"/>
        <v>44624</v>
      </c>
      <c r="M826" s="94" t="str">
        <f t="shared" si="92"/>
        <v>FRI</v>
      </c>
      <c r="O826" s="378">
        <f t="shared" si="95"/>
        <v>3</v>
      </c>
      <c r="P826" s="392">
        <f t="shared" si="94"/>
        <v>1.0000041666666666</v>
      </c>
    </row>
    <row r="827" spans="1:16">
      <c r="B827" s="41"/>
      <c r="C827" s="403">
        <f t="shared" si="96"/>
        <v>44625</v>
      </c>
      <c r="D827" s="94" t="str">
        <f>VLOOKUP(MOD(C827,7),'CALENDAR INFO'!$G$5:$H$11,2)</f>
        <v>SAT</v>
      </c>
      <c r="E827" s="165">
        <v>0.08</v>
      </c>
      <c r="F827" s="336">
        <v>0.05</v>
      </c>
      <c r="G827" s="411">
        <f t="shared" si="90"/>
        <v>-0.03</v>
      </c>
      <c r="H827" s="15" t="s">
        <v>150</v>
      </c>
      <c r="I827" s="137" t="str">
        <f>_xlfn.CONCAT(ADDRESS(I823,5),":",ADDRESS(I825,5))</f>
        <v>$E$823:$E$853</v>
      </c>
      <c r="J827" s="150" t="str">
        <f>_xlfn.CONCAT(ADDRESS(J823,6),":",ADDRESS(J825,6))</f>
        <v>$F$823:$F$853</v>
      </c>
      <c r="K827" s="126"/>
      <c r="L827" s="403">
        <f t="shared" si="91"/>
        <v>44625</v>
      </c>
      <c r="M827" s="94" t="str">
        <f t="shared" si="92"/>
        <v>SAT</v>
      </c>
      <c r="O827" s="378">
        <f t="shared" si="95"/>
        <v>0</v>
      </c>
      <c r="P827" s="392">
        <f t="shared" si="94"/>
        <v>1</v>
      </c>
    </row>
    <row r="828" spans="1:16">
      <c r="B828" s="41"/>
      <c r="C828" s="403">
        <f t="shared" si="96"/>
        <v>44626</v>
      </c>
      <c r="D828" s="94" t="str">
        <f>VLOOKUP(MOD(C828,7),'CALENDAR INFO'!$G$5:$H$11,2)</f>
        <v>SUN</v>
      </c>
      <c r="E828" s="165">
        <v>0.08</v>
      </c>
      <c r="F828" s="336">
        <v>0.05</v>
      </c>
      <c r="G828" s="411">
        <f t="shared" si="90"/>
        <v>-0.03</v>
      </c>
      <c r="K828" s="126"/>
      <c r="L828" s="403">
        <f t="shared" si="91"/>
        <v>44626</v>
      </c>
      <c r="M828" s="94" t="str">
        <f t="shared" si="92"/>
        <v>SUN</v>
      </c>
      <c r="O828" s="378">
        <f t="shared" si="95"/>
        <v>0</v>
      </c>
      <c r="P828" s="392">
        <f t="shared" si="94"/>
        <v>1</v>
      </c>
    </row>
    <row r="829" spans="1:16">
      <c r="B829" s="41"/>
      <c r="C829" s="403">
        <f t="shared" si="96"/>
        <v>44627</v>
      </c>
      <c r="D829" s="94" t="str">
        <f>VLOOKUP(MOD(C829,7),'CALENDAR INFO'!$G$5:$H$11,2)</f>
        <v>MON</v>
      </c>
      <c r="E829" s="165">
        <v>0.08</v>
      </c>
      <c r="F829" s="336">
        <v>0.05</v>
      </c>
      <c r="G829" s="411">
        <f t="shared" si="90"/>
        <v>-0.03</v>
      </c>
      <c r="H829" s="376" t="s">
        <v>221</v>
      </c>
      <c r="I829" s="147">
        <f ca="1">AVERAGE(INDIRECT(I827))</f>
        <v>0.20096774193548389</v>
      </c>
      <c r="J829" s="326">
        <f ca="1">AVERAGE(INDIRECT(J827))</f>
        <v>0.16354838709677424</v>
      </c>
      <c r="K829" s="126"/>
      <c r="L829" s="403">
        <f t="shared" si="91"/>
        <v>44627</v>
      </c>
      <c r="M829" s="94" t="str">
        <f t="shared" si="92"/>
        <v>MON</v>
      </c>
      <c r="O829" s="378">
        <f t="shared" si="95"/>
        <v>1</v>
      </c>
      <c r="P829" s="392">
        <f t="shared" si="94"/>
        <v>1.0000013888888888</v>
      </c>
    </row>
    <row r="830" spans="1:16">
      <c r="B830" s="41"/>
      <c r="C830" s="403">
        <f t="shared" si="96"/>
        <v>44628</v>
      </c>
      <c r="D830" s="94" t="str">
        <f>VLOOKUP(MOD(C830,7),'CALENDAR INFO'!$G$5:$H$11,2)</f>
        <v>TUE</v>
      </c>
      <c r="E830" s="165">
        <v>0.08</v>
      </c>
      <c r="F830" s="336">
        <v>0.05</v>
      </c>
      <c r="G830" s="411">
        <f t="shared" si="90"/>
        <v>-0.03</v>
      </c>
      <c r="I830" s="240"/>
      <c r="J830" s="157"/>
      <c r="K830" s="126"/>
      <c r="L830" s="403">
        <f t="shared" si="91"/>
        <v>44628</v>
      </c>
      <c r="M830" s="94" t="str">
        <f t="shared" si="92"/>
        <v>TUE</v>
      </c>
      <c r="O830" s="378">
        <f t="shared" si="95"/>
        <v>1</v>
      </c>
      <c r="P830" s="392">
        <f t="shared" si="94"/>
        <v>1.0000013888888888</v>
      </c>
    </row>
    <row r="831" spans="1:16">
      <c r="B831" s="41"/>
      <c r="C831" s="403">
        <f t="shared" si="96"/>
        <v>44629</v>
      </c>
      <c r="D831" s="94" t="str">
        <f>VLOOKUP(MOD(C831,7),'CALENDAR INFO'!$G$5:$H$11,2)</f>
        <v>WED</v>
      </c>
      <c r="E831" s="165">
        <v>0.08</v>
      </c>
      <c r="F831" s="336">
        <v>0.05</v>
      </c>
      <c r="G831" s="411">
        <f t="shared" si="90"/>
        <v>-0.03</v>
      </c>
      <c r="H831" s="15" t="s">
        <v>222</v>
      </c>
      <c r="I831" s="147">
        <f ca="1">100-I829</f>
        <v>99.799032258064514</v>
      </c>
      <c r="J831" s="326">
        <f ca="1">100-J829</f>
        <v>99.836451612903232</v>
      </c>
      <c r="K831" s="126" t="s">
        <v>19</v>
      </c>
      <c r="L831" s="403">
        <f t="shared" si="91"/>
        <v>44629</v>
      </c>
      <c r="M831" s="94" t="str">
        <f t="shared" si="92"/>
        <v>WED</v>
      </c>
      <c r="O831" s="378">
        <f t="shared" si="95"/>
        <v>1</v>
      </c>
      <c r="P831" s="392">
        <f t="shared" si="94"/>
        <v>1.0000013888888888</v>
      </c>
    </row>
    <row r="832" spans="1:16">
      <c r="B832" s="182"/>
      <c r="C832" s="403">
        <f t="shared" si="96"/>
        <v>44630</v>
      </c>
      <c r="D832" s="94" t="str">
        <f>VLOOKUP(MOD(C832,7),'CALENDAR INFO'!$G$5:$H$11,2)</f>
        <v>THU</v>
      </c>
      <c r="E832" s="165">
        <v>0.08</v>
      </c>
      <c r="F832" s="336">
        <v>0.05</v>
      </c>
      <c r="G832" s="411">
        <f t="shared" si="90"/>
        <v>-0.03</v>
      </c>
      <c r="I832" s="137"/>
      <c r="J832" s="150"/>
      <c r="K832" s="129" t="s">
        <v>18</v>
      </c>
      <c r="L832" s="403">
        <f t="shared" si="91"/>
        <v>44630</v>
      </c>
      <c r="M832" s="94" t="str">
        <f t="shared" si="92"/>
        <v>THU</v>
      </c>
      <c r="O832" s="378">
        <f t="shared" si="95"/>
        <v>1</v>
      </c>
      <c r="P832" s="392">
        <f t="shared" si="94"/>
        <v>1.0000013888888888</v>
      </c>
    </row>
    <row r="833" spans="1:18">
      <c r="B833" s="41"/>
      <c r="C833" s="403">
        <f t="shared" si="96"/>
        <v>44631</v>
      </c>
      <c r="D833" s="94" t="str">
        <f>VLOOKUP(MOD(C833,7),'CALENDAR INFO'!$G$5:$H$11,2)</f>
        <v>FRI</v>
      </c>
      <c r="E833" s="165">
        <v>0.08</v>
      </c>
      <c r="F833" s="336">
        <v>0.05</v>
      </c>
      <c r="G833" s="411">
        <f t="shared" si="90"/>
        <v>-0.03</v>
      </c>
      <c r="H833" s="136"/>
      <c r="I833" s="139"/>
      <c r="J833" s="151"/>
      <c r="K833" s="129"/>
      <c r="L833" s="403">
        <f t="shared" si="91"/>
        <v>44631</v>
      </c>
      <c r="M833" s="94" t="str">
        <f t="shared" si="92"/>
        <v>FRI</v>
      </c>
      <c r="O833" s="378">
        <f t="shared" si="95"/>
        <v>3</v>
      </c>
      <c r="P833" s="392">
        <f t="shared" si="94"/>
        <v>1.0000041666666666</v>
      </c>
    </row>
    <row r="834" spans="1:18">
      <c r="B834" s="41"/>
      <c r="C834" s="403">
        <f t="shared" si="96"/>
        <v>44632</v>
      </c>
      <c r="D834" s="94" t="str">
        <f>VLOOKUP(MOD(C834,7),'CALENDAR INFO'!$G$5:$H$11,2)</f>
        <v>SAT</v>
      </c>
      <c r="E834" s="165">
        <v>0.08</v>
      </c>
      <c r="F834" s="336">
        <v>0.05</v>
      </c>
      <c r="G834" s="411">
        <f t="shared" si="90"/>
        <v>-0.03</v>
      </c>
      <c r="K834" s="129"/>
      <c r="L834" s="403">
        <f t="shared" si="91"/>
        <v>44632</v>
      </c>
      <c r="M834" s="94" t="str">
        <f t="shared" si="92"/>
        <v>SAT</v>
      </c>
      <c r="O834" s="378">
        <f t="shared" si="95"/>
        <v>0</v>
      </c>
      <c r="P834" s="392">
        <f t="shared" si="94"/>
        <v>1</v>
      </c>
      <c r="Q834" s="331" t="s">
        <v>92</v>
      </c>
      <c r="R834" s="75"/>
    </row>
    <row r="835" spans="1:18">
      <c r="B835" s="41"/>
      <c r="C835" s="403">
        <f t="shared" si="96"/>
        <v>44633</v>
      </c>
      <c r="D835" s="94" t="str">
        <f>VLOOKUP(MOD(C835,7),'CALENDAR INFO'!$G$5:$H$11,2)</f>
        <v>SUN</v>
      </c>
      <c r="E835" s="165">
        <v>0.08</v>
      </c>
      <c r="F835" s="336">
        <v>0.05</v>
      </c>
      <c r="G835" s="411">
        <f t="shared" ref="G835:G898" si="97">F835-E835</f>
        <v>-0.03</v>
      </c>
      <c r="H835" s="136"/>
      <c r="I835" s="139"/>
      <c r="J835" s="151"/>
      <c r="K835" s="129"/>
      <c r="L835" s="403">
        <f t="shared" ref="L835:L898" si="98">C835</f>
        <v>44633</v>
      </c>
      <c r="M835" s="94" t="str">
        <f t="shared" ref="M835:M898" si="99">D835</f>
        <v>SUN</v>
      </c>
      <c r="O835" s="378">
        <f t="shared" si="95"/>
        <v>0</v>
      </c>
      <c r="P835" s="392">
        <f t="shared" si="94"/>
        <v>1</v>
      </c>
      <c r="Q835" s="331" t="s">
        <v>76</v>
      </c>
      <c r="R835" s="100"/>
    </row>
    <row r="836" spans="1:18">
      <c r="B836" s="41"/>
      <c r="C836" s="403">
        <f t="shared" si="96"/>
        <v>44634</v>
      </c>
      <c r="D836" s="94" t="str">
        <f>VLOOKUP(MOD(C836,7),'CALENDAR INFO'!$G$5:$H$11,2)</f>
        <v>MON</v>
      </c>
      <c r="E836" s="165">
        <v>0.08</v>
      </c>
      <c r="F836" s="336">
        <v>0.05</v>
      </c>
      <c r="G836" s="411">
        <f t="shared" si="97"/>
        <v>-0.03</v>
      </c>
      <c r="K836" s="129"/>
      <c r="L836" s="403">
        <f t="shared" si="98"/>
        <v>44634</v>
      </c>
      <c r="M836" s="94" t="str">
        <f t="shared" si="99"/>
        <v>MON</v>
      </c>
      <c r="O836" s="378">
        <f t="shared" si="95"/>
        <v>1</v>
      </c>
      <c r="P836" s="392">
        <f t="shared" si="94"/>
        <v>1.0000013888888888</v>
      </c>
    </row>
    <row r="837" spans="1:18">
      <c r="B837" s="41"/>
      <c r="C837" s="403">
        <f t="shared" si="96"/>
        <v>44635</v>
      </c>
      <c r="D837" s="94" t="str">
        <f>VLOOKUP(MOD(C837,7),'CALENDAR INFO'!$G$5:$H$11,2)</f>
        <v>TUE</v>
      </c>
      <c r="E837" s="165">
        <v>0.08</v>
      </c>
      <c r="F837" s="336">
        <v>0.05</v>
      </c>
      <c r="G837" s="411">
        <f t="shared" si="97"/>
        <v>-0.03</v>
      </c>
      <c r="H837" s="135"/>
      <c r="I837" s="144"/>
      <c r="J837" s="152"/>
      <c r="K837" s="129"/>
      <c r="L837" s="403">
        <f t="shared" si="98"/>
        <v>44635</v>
      </c>
      <c r="M837" s="94" t="str">
        <f t="shared" si="99"/>
        <v>TUE</v>
      </c>
      <c r="N837" s="116" t="s">
        <v>20</v>
      </c>
      <c r="O837" s="378">
        <f t="shared" si="95"/>
        <v>1</v>
      </c>
      <c r="P837" s="392">
        <f t="shared" si="94"/>
        <v>1.0000013888888888</v>
      </c>
    </row>
    <row r="838" spans="1:18">
      <c r="B838" s="41"/>
      <c r="C838" s="403">
        <f t="shared" si="96"/>
        <v>44636</v>
      </c>
      <c r="D838" s="94" t="str">
        <f>VLOOKUP(MOD(C838,7),'CALENDAR INFO'!$G$5:$H$11,2)</f>
        <v>WED</v>
      </c>
      <c r="E838" s="165">
        <v>0.08</v>
      </c>
      <c r="F838" s="336">
        <v>0.05</v>
      </c>
      <c r="G838" s="411">
        <f t="shared" si="97"/>
        <v>-0.03</v>
      </c>
      <c r="K838" s="129"/>
      <c r="L838" s="403">
        <f t="shared" si="98"/>
        <v>44636</v>
      </c>
      <c r="M838" s="94" t="str">
        <f t="shared" si="99"/>
        <v>WED</v>
      </c>
      <c r="N838" s="116" t="s">
        <v>20</v>
      </c>
      <c r="O838" s="378">
        <f t="shared" si="95"/>
        <v>1</v>
      </c>
      <c r="P838" s="392">
        <f t="shared" si="94"/>
        <v>1.0000013888888888</v>
      </c>
    </row>
    <row r="839" spans="1:18">
      <c r="A839" s="42"/>
      <c r="B839" s="41"/>
      <c r="C839" s="403">
        <f t="shared" si="96"/>
        <v>44637</v>
      </c>
      <c r="D839" s="94" t="str">
        <f>VLOOKUP(MOD(C839,7),'CALENDAR INFO'!$G$5:$H$11,2)</f>
        <v>THU</v>
      </c>
      <c r="E839" s="170">
        <v>0.33</v>
      </c>
      <c r="F839" s="342">
        <v>0.3</v>
      </c>
      <c r="G839" s="411">
        <f t="shared" si="97"/>
        <v>-3.0000000000000027E-2</v>
      </c>
      <c r="K839" s="129"/>
      <c r="L839" s="403">
        <f t="shared" si="98"/>
        <v>44637</v>
      </c>
      <c r="M839" s="94" t="str">
        <f t="shared" si="99"/>
        <v>THU</v>
      </c>
      <c r="O839" s="378">
        <f t="shared" si="95"/>
        <v>1</v>
      </c>
      <c r="P839" s="392">
        <f t="shared" si="94"/>
        <v>1.0000083333333334</v>
      </c>
    </row>
    <row r="840" spans="1:18">
      <c r="B840" s="41"/>
      <c r="C840" s="403">
        <f t="shared" si="96"/>
        <v>44638</v>
      </c>
      <c r="D840" s="94" t="str">
        <f>VLOOKUP(MOD(C840,7),'CALENDAR INFO'!$G$5:$H$11,2)</f>
        <v>FRI</v>
      </c>
      <c r="E840" s="165">
        <v>0.33</v>
      </c>
      <c r="F840" s="336">
        <v>0.3</v>
      </c>
      <c r="G840" s="411">
        <f t="shared" si="97"/>
        <v>-3.0000000000000027E-2</v>
      </c>
      <c r="K840" s="129"/>
      <c r="L840" s="403">
        <f t="shared" si="98"/>
        <v>44638</v>
      </c>
      <c r="M840" s="94" t="str">
        <f t="shared" si="99"/>
        <v>FRI</v>
      </c>
      <c r="O840" s="378">
        <f t="shared" si="95"/>
        <v>3</v>
      </c>
      <c r="P840" s="392">
        <f t="shared" si="94"/>
        <v>1.0000249999999999</v>
      </c>
    </row>
    <row r="841" spans="1:18">
      <c r="B841" s="41"/>
      <c r="C841" s="403">
        <f t="shared" si="96"/>
        <v>44639</v>
      </c>
      <c r="D841" s="94" t="str">
        <f>VLOOKUP(MOD(C841,7),'CALENDAR INFO'!$G$5:$H$11,2)</f>
        <v>SAT</v>
      </c>
      <c r="E841" s="165">
        <v>0.33</v>
      </c>
      <c r="F841" s="336">
        <v>0.3</v>
      </c>
      <c r="G841" s="411">
        <f t="shared" si="97"/>
        <v>-3.0000000000000027E-2</v>
      </c>
      <c r="K841" s="129"/>
      <c r="L841" s="403">
        <f t="shared" si="98"/>
        <v>44639</v>
      </c>
      <c r="M841" s="94" t="str">
        <f t="shared" si="99"/>
        <v>SAT</v>
      </c>
      <c r="O841" s="378">
        <f t="shared" si="95"/>
        <v>0</v>
      </c>
      <c r="P841" s="392">
        <f t="shared" si="94"/>
        <v>1</v>
      </c>
    </row>
    <row r="842" spans="1:18">
      <c r="B842" s="41"/>
      <c r="C842" s="403">
        <f t="shared" si="96"/>
        <v>44640</v>
      </c>
      <c r="D842" s="94" t="str">
        <f>VLOOKUP(MOD(C842,7),'CALENDAR INFO'!$G$5:$H$11,2)</f>
        <v>SUN</v>
      </c>
      <c r="E842" s="165">
        <v>0.33</v>
      </c>
      <c r="F842" s="336">
        <v>0.3</v>
      </c>
      <c r="G842" s="411">
        <f t="shared" si="97"/>
        <v>-3.0000000000000027E-2</v>
      </c>
      <c r="K842" s="129"/>
      <c r="L842" s="403">
        <f t="shared" si="98"/>
        <v>44640</v>
      </c>
      <c r="M842" s="94" t="str">
        <f t="shared" si="99"/>
        <v>SUN</v>
      </c>
      <c r="O842" s="378">
        <f t="shared" si="95"/>
        <v>0</v>
      </c>
      <c r="P842" s="392">
        <f t="shared" si="94"/>
        <v>1</v>
      </c>
    </row>
    <row r="843" spans="1:18">
      <c r="B843" s="41"/>
      <c r="C843" s="403">
        <f t="shared" si="96"/>
        <v>44641</v>
      </c>
      <c r="D843" s="94" t="str">
        <f>VLOOKUP(MOD(C843,7),'CALENDAR INFO'!$G$5:$H$11,2)</f>
        <v>MON</v>
      </c>
      <c r="E843" s="165">
        <v>0.33</v>
      </c>
      <c r="F843" s="336">
        <v>0.28999999999999998</v>
      </c>
      <c r="G843" s="411">
        <f t="shared" si="97"/>
        <v>-4.0000000000000036E-2</v>
      </c>
      <c r="K843" s="129"/>
      <c r="L843" s="403">
        <f t="shared" si="98"/>
        <v>44641</v>
      </c>
      <c r="M843" s="94" t="str">
        <f t="shared" si="99"/>
        <v>MON</v>
      </c>
      <c r="O843" s="378">
        <f t="shared" si="95"/>
        <v>1</v>
      </c>
      <c r="P843" s="392">
        <f t="shared" si="94"/>
        <v>1.0000080555555555</v>
      </c>
    </row>
    <row r="844" spans="1:18">
      <c r="B844" s="41"/>
      <c r="C844" s="403">
        <f t="shared" si="96"/>
        <v>44642</v>
      </c>
      <c r="D844" s="94" t="str">
        <f>VLOOKUP(MOD(C844,7),'CALENDAR INFO'!$G$5:$H$11,2)</f>
        <v>TUE</v>
      </c>
      <c r="E844" s="165">
        <v>0.33</v>
      </c>
      <c r="F844" s="336">
        <v>0.28000000000000003</v>
      </c>
      <c r="G844" s="411">
        <f t="shared" si="97"/>
        <v>-4.9999999999999989E-2</v>
      </c>
      <c r="K844" s="129"/>
      <c r="L844" s="403">
        <f t="shared" si="98"/>
        <v>44642</v>
      </c>
      <c r="M844" s="94" t="str">
        <f t="shared" si="99"/>
        <v>TUE</v>
      </c>
      <c r="O844" s="378">
        <f t="shared" si="95"/>
        <v>1</v>
      </c>
      <c r="P844" s="392">
        <f t="shared" si="94"/>
        <v>1.0000077777777778</v>
      </c>
    </row>
    <row r="845" spans="1:18">
      <c r="B845" s="41"/>
      <c r="C845" s="403">
        <f t="shared" si="96"/>
        <v>44643</v>
      </c>
      <c r="D845" s="94" t="str">
        <f>VLOOKUP(MOD(C845,7),'CALENDAR INFO'!$G$5:$H$11,2)</f>
        <v>WED</v>
      </c>
      <c r="E845" s="165">
        <v>0.33</v>
      </c>
      <c r="F845" s="336">
        <v>0.27</v>
      </c>
      <c r="G845" s="411">
        <f t="shared" si="97"/>
        <v>-0.06</v>
      </c>
      <c r="K845" s="129" t="s">
        <v>19</v>
      </c>
      <c r="L845" s="403">
        <f t="shared" si="98"/>
        <v>44643</v>
      </c>
      <c r="M845" s="94" t="str">
        <f t="shared" si="99"/>
        <v>WED</v>
      </c>
      <c r="O845" s="378">
        <f t="shared" si="95"/>
        <v>1</v>
      </c>
      <c r="P845" s="392">
        <f t="shared" si="94"/>
        <v>1.0000074999999999</v>
      </c>
    </row>
    <row r="846" spans="1:18">
      <c r="B846" s="41"/>
      <c r="C846" s="403">
        <f t="shared" si="96"/>
        <v>44644</v>
      </c>
      <c r="D846" s="94" t="str">
        <f>VLOOKUP(MOD(C846,7),'CALENDAR INFO'!$G$5:$H$11,2)</f>
        <v>THU</v>
      </c>
      <c r="E846" s="165">
        <v>0.33</v>
      </c>
      <c r="F846" s="336">
        <v>0.27</v>
      </c>
      <c r="G846" s="411">
        <f t="shared" si="97"/>
        <v>-0.06</v>
      </c>
      <c r="K846" s="126" t="s">
        <v>18</v>
      </c>
      <c r="L846" s="403">
        <f t="shared" si="98"/>
        <v>44644</v>
      </c>
      <c r="M846" s="94" t="str">
        <f t="shared" si="99"/>
        <v>THU</v>
      </c>
      <c r="O846" s="378">
        <f t="shared" si="95"/>
        <v>1</v>
      </c>
      <c r="P846" s="392">
        <f t="shared" si="94"/>
        <v>1.0000074999999999</v>
      </c>
    </row>
    <row r="847" spans="1:18">
      <c r="B847" s="41"/>
      <c r="C847" s="403">
        <f t="shared" si="96"/>
        <v>44645</v>
      </c>
      <c r="D847" s="94" t="str">
        <f>VLOOKUP(MOD(C847,7),'CALENDAR INFO'!$G$5:$H$11,2)</f>
        <v>FRI</v>
      </c>
      <c r="E847" s="165">
        <v>0.33</v>
      </c>
      <c r="F847" s="336">
        <v>0.28000000000000003</v>
      </c>
      <c r="G847" s="411">
        <f t="shared" si="97"/>
        <v>-4.9999999999999989E-2</v>
      </c>
      <c r="K847" s="126"/>
      <c r="L847" s="403">
        <f t="shared" si="98"/>
        <v>44645</v>
      </c>
      <c r="M847" s="94" t="str">
        <f t="shared" si="99"/>
        <v>FRI</v>
      </c>
      <c r="O847" s="378">
        <f t="shared" si="95"/>
        <v>3</v>
      </c>
      <c r="P847" s="392">
        <f t="shared" si="94"/>
        <v>1.0000233333333333</v>
      </c>
    </row>
    <row r="848" spans="1:18">
      <c r="B848" s="41"/>
      <c r="C848" s="403">
        <f t="shared" si="96"/>
        <v>44646</v>
      </c>
      <c r="D848" s="94" t="str">
        <f>VLOOKUP(MOD(C848,7),'CALENDAR INFO'!$G$5:$H$11,2)</f>
        <v>SAT</v>
      </c>
      <c r="E848" s="165">
        <v>0.33</v>
      </c>
      <c r="F848" s="336">
        <v>0.28000000000000003</v>
      </c>
      <c r="G848" s="411">
        <f t="shared" si="97"/>
        <v>-4.9999999999999989E-2</v>
      </c>
      <c r="K848" s="126"/>
      <c r="L848" s="403">
        <f t="shared" si="98"/>
        <v>44646</v>
      </c>
      <c r="M848" s="94" t="str">
        <f t="shared" si="99"/>
        <v>SAT</v>
      </c>
      <c r="O848" s="378">
        <f t="shared" ref="O848:O866" si="100">IF(MOD(C848,7)&lt;2,0,IF(MOD(C848,7)=6,3,1))</f>
        <v>0</v>
      </c>
      <c r="P848" s="392">
        <f t="shared" si="94"/>
        <v>1</v>
      </c>
    </row>
    <row r="849" spans="1:16">
      <c r="B849" s="41"/>
      <c r="C849" s="403">
        <f t="shared" si="96"/>
        <v>44647</v>
      </c>
      <c r="D849" s="94" t="str">
        <f>VLOOKUP(MOD(C849,7),'CALENDAR INFO'!$G$5:$H$11,2)</f>
        <v>SUN</v>
      </c>
      <c r="E849" s="165">
        <v>0.33</v>
      </c>
      <c r="F849" s="336">
        <v>0.28000000000000003</v>
      </c>
      <c r="G849" s="411">
        <f t="shared" si="97"/>
        <v>-4.9999999999999989E-2</v>
      </c>
      <c r="I849" s="137"/>
      <c r="K849" s="126"/>
      <c r="L849" s="403">
        <f t="shared" si="98"/>
        <v>44647</v>
      </c>
      <c r="M849" s="94" t="str">
        <f t="shared" si="99"/>
        <v>SUN</v>
      </c>
      <c r="O849" s="378">
        <f t="shared" si="100"/>
        <v>0</v>
      </c>
      <c r="P849" s="392">
        <f t="shared" si="94"/>
        <v>1</v>
      </c>
    </row>
    <row r="850" spans="1:16">
      <c r="B850" s="41"/>
      <c r="C850" s="403">
        <f t="shared" si="96"/>
        <v>44648</v>
      </c>
      <c r="D850" s="94" t="str">
        <f>VLOOKUP(MOD(C850,7),'CALENDAR INFO'!$G$5:$H$11,2)</f>
        <v>MON</v>
      </c>
      <c r="E850" s="165">
        <v>0.33</v>
      </c>
      <c r="F850" s="336">
        <v>0.28000000000000003</v>
      </c>
      <c r="G850" s="411">
        <f t="shared" si="97"/>
        <v>-4.9999999999999989E-2</v>
      </c>
      <c r="H850" s="115"/>
      <c r="I850" s="141"/>
      <c r="J850" s="158"/>
      <c r="K850" s="126"/>
      <c r="L850" s="403">
        <f t="shared" si="98"/>
        <v>44648</v>
      </c>
      <c r="M850" s="94" t="str">
        <f t="shared" si="99"/>
        <v>MON</v>
      </c>
      <c r="O850" s="378">
        <f t="shared" si="100"/>
        <v>1</v>
      </c>
      <c r="P850" s="392">
        <f t="shared" si="94"/>
        <v>1.0000077777777778</v>
      </c>
    </row>
    <row r="851" spans="1:16">
      <c r="B851" s="41"/>
      <c r="C851" s="403">
        <f t="shared" si="96"/>
        <v>44649</v>
      </c>
      <c r="D851" s="94" t="str">
        <f>VLOOKUP(MOD(C851,7),'CALENDAR INFO'!$G$5:$H$11,2)</f>
        <v>TUE</v>
      </c>
      <c r="E851" s="165">
        <v>0.33</v>
      </c>
      <c r="F851" s="336">
        <v>0.28000000000000003</v>
      </c>
      <c r="G851" s="411">
        <f t="shared" si="97"/>
        <v>-4.9999999999999989E-2</v>
      </c>
      <c r="H851" s="115"/>
      <c r="I851" s="148"/>
      <c r="J851" s="160"/>
      <c r="K851" s="126"/>
      <c r="L851" s="403">
        <f t="shared" si="98"/>
        <v>44649</v>
      </c>
      <c r="M851" s="94" t="str">
        <f t="shared" si="99"/>
        <v>TUE</v>
      </c>
      <c r="O851" s="378">
        <f t="shared" si="100"/>
        <v>1</v>
      </c>
      <c r="P851" s="392">
        <f t="shared" ref="P851:P914" si="101">1+(O851/360)*(MAX(F851,B851)/100)</f>
        <v>1.0000077777777778</v>
      </c>
    </row>
    <row r="852" spans="1:16">
      <c r="B852" s="41"/>
      <c r="C852" s="403">
        <f t="shared" si="96"/>
        <v>44650</v>
      </c>
      <c r="D852" s="94" t="str">
        <f>VLOOKUP(MOD(C852,7),'CALENDAR INFO'!$G$5:$H$11,2)</f>
        <v>WED</v>
      </c>
      <c r="E852" s="165">
        <v>0.33</v>
      </c>
      <c r="F852" s="336">
        <v>0.27</v>
      </c>
      <c r="G852" s="411">
        <f t="shared" si="97"/>
        <v>-0.06</v>
      </c>
      <c r="H852" s="115"/>
      <c r="I852" s="141"/>
      <c r="J852" s="158"/>
      <c r="K852" s="126"/>
      <c r="L852" s="403">
        <f t="shared" si="98"/>
        <v>44650</v>
      </c>
      <c r="M852" s="94" t="str">
        <f t="shared" si="99"/>
        <v>WED</v>
      </c>
      <c r="O852" s="378">
        <f t="shared" si="100"/>
        <v>1</v>
      </c>
      <c r="P852" s="392">
        <f t="shared" si="101"/>
        <v>1.0000074999999999</v>
      </c>
    </row>
    <row r="853" spans="1:16" ht="15.75" thickBot="1">
      <c r="A853" s="81"/>
      <c r="B853" s="178"/>
      <c r="C853" s="404">
        <f t="shared" si="96"/>
        <v>44651</v>
      </c>
      <c r="D853" s="103" t="str">
        <f>VLOOKUP(MOD(C853,7),'CALENDAR INFO'!$G$5:$H$11,2)</f>
        <v>THU</v>
      </c>
      <c r="E853" s="166">
        <v>0.33</v>
      </c>
      <c r="F853" s="337">
        <v>0.28999999999999998</v>
      </c>
      <c r="G853" s="412">
        <f t="shared" si="97"/>
        <v>-4.0000000000000036E-2</v>
      </c>
      <c r="H853" s="345"/>
      <c r="I853" s="143"/>
      <c r="J853" s="162"/>
      <c r="K853" s="77"/>
      <c r="L853" s="404">
        <f t="shared" si="98"/>
        <v>44651</v>
      </c>
      <c r="M853" s="103" t="str">
        <f t="shared" si="99"/>
        <v>THU</v>
      </c>
      <c r="N853" s="90"/>
      <c r="O853" s="381">
        <f t="shared" si="100"/>
        <v>1</v>
      </c>
      <c r="P853" s="388">
        <f t="shared" si="101"/>
        <v>1.0000080555555555</v>
      </c>
    </row>
    <row r="854" spans="1:16">
      <c r="A854" s="104"/>
      <c r="B854" s="182"/>
      <c r="C854" s="403">
        <f t="shared" si="96"/>
        <v>44652</v>
      </c>
      <c r="D854" s="94" t="str">
        <f>VLOOKUP(MOD(C854,7),'CALENDAR INFO'!$G$5:$H$11,2)</f>
        <v>FRI</v>
      </c>
      <c r="E854" s="165">
        <v>0.33</v>
      </c>
      <c r="F854" s="336">
        <v>0.3</v>
      </c>
      <c r="G854" s="411">
        <f t="shared" si="97"/>
        <v>-3.0000000000000027E-2</v>
      </c>
      <c r="H854" s="15" t="s">
        <v>149</v>
      </c>
      <c r="I854" s="15">
        <f>ROW(I854)</f>
        <v>854</v>
      </c>
      <c r="J854" s="138">
        <f>I854</f>
        <v>854</v>
      </c>
      <c r="K854" s="126"/>
      <c r="L854" s="403">
        <f t="shared" si="98"/>
        <v>44652</v>
      </c>
      <c r="M854" s="94" t="str">
        <f t="shared" si="99"/>
        <v>FRI</v>
      </c>
      <c r="O854" s="383">
        <f t="shared" si="100"/>
        <v>3</v>
      </c>
      <c r="P854" s="392">
        <f t="shared" si="101"/>
        <v>1.0000249999999999</v>
      </c>
    </row>
    <row r="855" spans="1:16">
      <c r="B855" s="41"/>
      <c r="C855" s="403">
        <f t="shared" si="96"/>
        <v>44653</v>
      </c>
      <c r="D855" s="94" t="str">
        <f>VLOOKUP(MOD(C855,7),'CALENDAR INFO'!$G$5:$H$11,2)</f>
        <v>SAT</v>
      </c>
      <c r="E855" s="165">
        <v>0.33</v>
      </c>
      <c r="F855" s="336">
        <v>0.3</v>
      </c>
      <c r="G855" s="411">
        <f t="shared" si="97"/>
        <v>-3.0000000000000027E-2</v>
      </c>
      <c r="H855" s="376" t="s">
        <v>210</v>
      </c>
      <c r="I855" s="15">
        <f>VLOOKUP(MONTH($C854),'CALENDAR INFO'!$J$5:$K$16,2)</f>
        <v>30</v>
      </c>
      <c r="J855" s="138">
        <f>I855</f>
        <v>30</v>
      </c>
      <c r="K855" s="126"/>
      <c r="L855" s="403">
        <f t="shared" si="98"/>
        <v>44653</v>
      </c>
      <c r="M855" s="94" t="str">
        <f t="shared" si="99"/>
        <v>SAT</v>
      </c>
      <c r="O855" s="383">
        <f t="shared" si="100"/>
        <v>0</v>
      </c>
      <c r="P855" s="392">
        <f t="shared" si="101"/>
        <v>1</v>
      </c>
    </row>
    <row r="856" spans="1:16">
      <c r="B856" s="41"/>
      <c r="C856" s="403">
        <f t="shared" si="96"/>
        <v>44654</v>
      </c>
      <c r="D856" s="94" t="str">
        <f>VLOOKUP(MOD(C856,7),'CALENDAR INFO'!$G$5:$H$11,2)</f>
        <v>SUN</v>
      </c>
      <c r="E856" s="165">
        <v>0.33</v>
      </c>
      <c r="F856" s="336">
        <v>0.3</v>
      </c>
      <c r="G856" s="411">
        <f t="shared" si="97"/>
        <v>-3.0000000000000027E-2</v>
      </c>
      <c r="H856" s="376" t="s">
        <v>211</v>
      </c>
      <c r="I856" s="15">
        <f>I855+I854-1</f>
        <v>883</v>
      </c>
      <c r="J856" s="138">
        <f>I856</f>
        <v>883</v>
      </c>
      <c r="K856" s="126"/>
      <c r="L856" s="403">
        <f t="shared" si="98"/>
        <v>44654</v>
      </c>
      <c r="M856" s="94" t="str">
        <f t="shared" si="99"/>
        <v>SUN</v>
      </c>
      <c r="O856" s="383">
        <f t="shared" si="100"/>
        <v>0</v>
      </c>
      <c r="P856" s="392">
        <f t="shared" si="101"/>
        <v>1</v>
      </c>
    </row>
    <row r="857" spans="1:16">
      <c r="B857" s="41"/>
      <c r="C857" s="403">
        <f t="shared" si="96"/>
        <v>44655</v>
      </c>
      <c r="D857" s="94" t="str">
        <f>VLOOKUP(MOD(C857,7),'CALENDAR INFO'!$G$5:$H$11,2)</f>
        <v>MON</v>
      </c>
      <c r="E857" s="165">
        <v>0.33</v>
      </c>
      <c r="F857" s="336">
        <v>0.3</v>
      </c>
      <c r="G857" s="411">
        <f t="shared" si="97"/>
        <v>-3.0000000000000027E-2</v>
      </c>
      <c r="K857" s="126"/>
      <c r="L857" s="403">
        <f t="shared" si="98"/>
        <v>44655</v>
      </c>
      <c r="M857" s="94" t="str">
        <f t="shared" si="99"/>
        <v>MON</v>
      </c>
      <c r="O857" s="383">
        <f t="shared" si="100"/>
        <v>1</v>
      </c>
      <c r="P857" s="392">
        <f t="shared" si="101"/>
        <v>1.0000083333333334</v>
      </c>
    </row>
    <row r="858" spans="1:16">
      <c r="B858" s="41"/>
      <c r="C858" s="403">
        <f t="shared" si="96"/>
        <v>44656</v>
      </c>
      <c r="D858" s="94" t="str">
        <f>VLOOKUP(MOD(C858,7),'CALENDAR INFO'!$G$5:$H$11,2)</f>
        <v>TUE</v>
      </c>
      <c r="E858" s="165">
        <v>0.33</v>
      </c>
      <c r="F858" s="336">
        <v>0.3</v>
      </c>
      <c r="G858" s="411">
        <f t="shared" si="97"/>
        <v>-3.0000000000000027E-2</v>
      </c>
      <c r="H858" s="15" t="s">
        <v>150</v>
      </c>
      <c r="I858" s="137" t="str">
        <f>_xlfn.CONCAT(ADDRESS(I854,5),":",ADDRESS(I856,5))</f>
        <v>$E$854:$E$883</v>
      </c>
      <c r="J858" s="150" t="str">
        <f>_xlfn.CONCAT(ADDRESS(J854,6),":",ADDRESS(J856,6))</f>
        <v>$F$854:$F$883</v>
      </c>
      <c r="K858" s="126"/>
      <c r="L858" s="403">
        <f t="shared" si="98"/>
        <v>44656</v>
      </c>
      <c r="M858" s="94" t="str">
        <f t="shared" si="99"/>
        <v>TUE</v>
      </c>
      <c r="O858" s="383">
        <f t="shared" si="100"/>
        <v>1</v>
      </c>
      <c r="P858" s="392">
        <f t="shared" si="101"/>
        <v>1.0000083333333334</v>
      </c>
    </row>
    <row r="859" spans="1:16">
      <c r="B859" s="41"/>
      <c r="C859" s="403">
        <f t="shared" si="96"/>
        <v>44657</v>
      </c>
      <c r="D859" s="94" t="str">
        <f>VLOOKUP(MOD(C859,7),'CALENDAR INFO'!$G$5:$H$11,2)</f>
        <v>WED</v>
      </c>
      <c r="E859" s="165">
        <v>0.33</v>
      </c>
      <c r="F859" s="336">
        <v>0.3</v>
      </c>
      <c r="G859" s="411">
        <f t="shared" si="97"/>
        <v>-3.0000000000000027E-2</v>
      </c>
      <c r="K859" s="126" t="s">
        <v>19</v>
      </c>
      <c r="L859" s="403">
        <f t="shared" si="98"/>
        <v>44657</v>
      </c>
      <c r="M859" s="94" t="str">
        <f t="shared" si="99"/>
        <v>WED</v>
      </c>
      <c r="O859" s="383">
        <f t="shared" si="100"/>
        <v>1</v>
      </c>
      <c r="P859" s="392">
        <f t="shared" si="101"/>
        <v>1.0000083333333334</v>
      </c>
    </row>
    <row r="860" spans="1:16">
      <c r="B860" s="41"/>
      <c r="C860" s="403">
        <f t="shared" si="96"/>
        <v>44658</v>
      </c>
      <c r="D860" s="94" t="str">
        <f>VLOOKUP(MOD(C860,7),'CALENDAR INFO'!$G$5:$H$11,2)</f>
        <v>THU</v>
      </c>
      <c r="E860" s="165">
        <v>0.33</v>
      </c>
      <c r="F860" s="336">
        <v>0.3</v>
      </c>
      <c r="G860" s="411">
        <f t="shared" si="97"/>
        <v>-3.0000000000000027E-2</v>
      </c>
      <c r="H860" s="376" t="s">
        <v>221</v>
      </c>
      <c r="I860" s="147">
        <f ca="1">AVERAGE(INDIRECT(I858))</f>
        <v>0.33</v>
      </c>
      <c r="J860" s="326">
        <f ca="1">AVERAGE(INDIRECT(J858))</f>
        <v>0.28699999999999987</v>
      </c>
      <c r="K860" s="129" t="s">
        <v>18</v>
      </c>
      <c r="L860" s="403">
        <f t="shared" si="98"/>
        <v>44658</v>
      </c>
      <c r="M860" s="94" t="str">
        <f t="shared" si="99"/>
        <v>THU</v>
      </c>
      <c r="O860" s="383">
        <f t="shared" si="100"/>
        <v>1</v>
      </c>
      <c r="P860" s="392">
        <f t="shared" si="101"/>
        <v>1.0000083333333334</v>
      </c>
    </row>
    <row r="861" spans="1:16">
      <c r="B861" s="41"/>
      <c r="C861" s="403">
        <f t="shared" si="96"/>
        <v>44659</v>
      </c>
      <c r="D861" s="94" t="str">
        <f>VLOOKUP(MOD(C861,7),'CALENDAR INFO'!$G$5:$H$11,2)</f>
        <v>FRI</v>
      </c>
      <c r="E861" s="165">
        <v>0.33</v>
      </c>
      <c r="F861" s="336">
        <v>0.3</v>
      </c>
      <c r="G861" s="411">
        <f t="shared" si="97"/>
        <v>-3.0000000000000027E-2</v>
      </c>
      <c r="I861" s="240"/>
      <c r="J861" s="157"/>
      <c r="K861" s="129"/>
      <c r="L861" s="403">
        <f t="shared" si="98"/>
        <v>44659</v>
      </c>
      <c r="M861" s="94" t="str">
        <f t="shared" si="99"/>
        <v>FRI</v>
      </c>
      <c r="O861" s="383">
        <f t="shared" si="100"/>
        <v>3</v>
      </c>
      <c r="P861" s="392">
        <f t="shared" si="101"/>
        <v>1.0000249999999999</v>
      </c>
    </row>
    <row r="862" spans="1:16">
      <c r="B862" s="41"/>
      <c r="C862" s="403">
        <f t="shared" si="96"/>
        <v>44660</v>
      </c>
      <c r="D862" s="94" t="str">
        <f>VLOOKUP(MOD(C862,7),'CALENDAR INFO'!$G$5:$H$11,2)</f>
        <v>SAT</v>
      </c>
      <c r="E862" s="165">
        <v>0.33</v>
      </c>
      <c r="F862" s="336">
        <v>0.3</v>
      </c>
      <c r="G862" s="411">
        <f t="shared" si="97"/>
        <v>-3.0000000000000027E-2</v>
      </c>
      <c r="H862" s="15" t="s">
        <v>222</v>
      </c>
      <c r="I862" s="147">
        <f ca="1">100-I860</f>
        <v>99.67</v>
      </c>
      <c r="J862" s="326">
        <f ca="1">100-J860</f>
        <v>99.712999999999994</v>
      </c>
      <c r="K862" s="129"/>
      <c r="L862" s="403">
        <f t="shared" si="98"/>
        <v>44660</v>
      </c>
      <c r="M862" s="94" t="str">
        <f t="shared" si="99"/>
        <v>SAT</v>
      </c>
      <c r="O862" s="383">
        <f t="shared" si="100"/>
        <v>0</v>
      </c>
      <c r="P862" s="392">
        <f t="shared" si="101"/>
        <v>1</v>
      </c>
    </row>
    <row r="863" spans="1:16">
      <c r="B863" s="41"/>
      <c r="C863" s="403">
        <f t="shared" si="96"/>
        <v>44661</v>
      </c>
      <c r="D863" s="94" t="str">
        <f>VLOOKUP(MOD(C863,7),'CALENDAR INFO'!$G$5:$H$11,2)</f>
        <v>SUN</v>
      </c>
      <c r="E863" s="165">
        <v>0.33</v>
      </c>
      <c r="F863" s="336">
        <v>0.3</v>
      </c>
      <c r="G863" s="411">
        <f t="shared" si="97"/>
        <v>-3.0000000000000027E-2</v>
      </c>
      <c r="I863" s="137"/>
      <c r="J863" s="150"/>
      <c r="K863" s="129"/>
      <c r="L863" s="403">
        <f t="shared" si="98"/>
        <v>44661</v>
      </c>
      <c r="M863" s="94" t="str">
        <f t="shared" si="99"/>
        <v>SUN</v>
      </c>
      <c r="O863" s="383">
        <f t="shared" si="100"/>
        <v>0</v>
      </c>
      <c r="P863" s="392">
        <f t="shared" si="101"/>
        <v>1</v>
      </c>
    </row>
    <row r="864" spans="1:16">
      <c r="B864" s="41"/>
      <c r="C864" s="403">
        <f t="shared" si="96"/>
        <v>44662</v>
      </c>
      <c r="D864" s="94" t="str">
        <f>VLOOKUP(MOD(C864,7),'CALENDAR INFO'!$G$5:$H$11,2)</f>
        <v>MON</v>
      </c>
      <c r="E864" s="165">
        <v>0.33</v>
      </c>
      <c r="F864" s="336">
        <v>0.3</v>
      </c>
      <c r="G864" s="411">
        <f t="shared" si="97"/>
        <v>-3.0000000000000027E-2</v>
      </c>
      <c r="H864" s="136"/>
      <c r="I864" s="139"/>
      <c r="J864" s="151"/>
      <c r="K864" s="129"/>
      <c r="L864" s="403">
        <f t="shared" si="98"/>
        <v>44662</v>
      </c>
      <c r="M864" s="94" t="str">
        <f t="shared" si="99"/>
        <v>MON</v>
      </c>
      <c r="O864" s="383">
        <f t="shared" si="100"/>
        <v>1</v>
      </c>
      <c r="P864" s="392">
        <f t="shared" si="101"/>
        <v>1.0000083333333334</v>
      </c>
    </row>
    <row r="865" spans="2:16">
      <c r="B865" s="41"/>
      <c r="C865" s="403">
        <f t="shared" si="96"/>
        <v>44663</v>
      </c>
      <c r="D865" s="94" t="str">
        <f>VLOOKUP(MOD(C865,7),'CALENDAR INFO'!$G$5:$H$11,2)</f>
        <v>TUE</v>
      </c>
      <c r="E865" s="165">
        <v>0.33</v>
      </c>
      <c r="F865" s="336">
        <v>0.28999999999999998</v>
      </c>
      <c r="G865" s="411">
        <f t="shared" si="97"/>
        <v>-4.0000000000000036E-2</v>
      </c>
      <c r="H865" s="136"/>
      <c r="I865" s="139"/>
      <c r="J865" s="151"/>
      <c r="K865" s="129"/>
      <c r="L865" s="403">
        <f t="shared" si="98"/>
        <v>44663</v>
      </c>
      <c r="M865" s="94" t="str">
        <f t="shared" si="99"/>
        <v>TUE</v>
      </c>
      <c r="O865" s="383">
        <f t="shared" si="100"/>
        <v>1</v>
      </c>
      <c r="P865" s="392">
        <f t="shared" si="101"/>
        <v>1.0000080555555555</v>
      </c>
    </row>
    <row r="866" spans="2:16">
      <c r="B866" s="41"/>
      <c r="C866" s="403">
        <f t="shared" si="96"/>
        <v>44664</v>
      </c>
      <c r="D866" s="94" t="str">
        <f>VLOOKUP(MOD(C866,7),'CALENDAR INFO'!$G$5:$H$11,2)</f>
        <v>WED</v>
      </c>
      <c r="E866" s="165">
        <v>0.33</v>
      </c>
      <c r="F866" s="336">
        <v>0.28999999999999998</v>
      </c>
      <c r="G866" s="411">
        <f t="shared" si="97"/>
        <v>-4.0000000000000036E-2</v>
      </c>
      <c r="H866" s="136"/>
      <c r="I866" s="139"/>
      <c r="J866" s="151"/>
      <c r="K866" s="129"/>
      <c r="L866" s="403">
        <f t="shared" si="98"/>
        <v>44664</v>
      </c>
      <c r="M866" s="94" t="str">
        <f t="shared" si="99"/>
        <v>WED</v>
      </c>
      <c r="O866" s="383">
        <f t="shared" si="100"/>
        <v>1</v>
      </c>
      <c r="P866" s="392">
        <f t="shared" si="101"/>
        <v>1.0000080555555555</v>
      </c>
    </row>
    <row r="867" spans="2:16">
      <c r="B867" s="41"/>
      <c r="C867" s="403">
        <f t="shared" si="96"/>
        <v>44665</v>
      </c>
      <c r="D867" s="94" t="str">
        <f>VLOOKUP(MOD(C867,7),'CALENDAR INFO'!$G$5:$H$11,2)</f>
        <v>THU</v>
      </c>
      <c r="E867" s="165">
        <v>0.33</v>
      </c>
      <c r="F867" s="336">
        <v>0.28999999999999998</v>
      </c>
      <c r="G867" s="411">
        <f t="shared" si="97"/>
        <v>-4.0000000000000036E-2</v>
      </c>
      <c r="K867" s="129"/>
      <c r="L867" s="403">
        <f t="shared" si="98"/>
        <v>44665</v>
      </c>
      <c r="M867" s="94" t="str">
        <f t="shared" si="99"/>
        <v>THU</v>
      </c>
      <c r="O867" s="384">
        <v>4</v>
      </c>
      <c r="P867" s="392">
        <f t="shared" si="101"/>
        <v>1.0000322222222222</v>
      </c>
    </row>
    <row r="868" spans="2:16">
      <c r="B868" s="41"/>
      <c r="C868" s="403">
        <f t="shared" si="96"/>
        <v>44666</v>
      </c>
      <c r="D868" s="94" t="str">
        <f>VLOOKUP(MOD(C868,7),'CALENDAR INFO'!$G$5:$H$11,2)</f>
        <v>FRI</v>
      </c>
      <c r="E868" s="165">
        <v>0.33</v>
      </c>
      <c r="F868" s="336">
        <v>0.28999999999999998</v>
      </c>
      <c r="G868" s="411">
        <f t="shared" si="97"/>
        <v>-4.0000000000000036E-2</v>
      </c>
      <c r="H868" s="135"/>
      <c r="I868" s="144"/>
      <c r="J868" s="152"/>
      <c r="K868" s="129"/>
      <c r="L868" s="403">
        <f t="shared" si="98"/>
        <v>44666</v>
      </c>
      <c r="M868" s="94" t="str">
        <f t="shared" si="99"/>
        <v>FRI</v>
      </c>
      <c r="N868" s="132" t="s">
        <v>56</v>
      </c>
      <c r="O868" s="384">
        <v>0</v>
      </c>
      <c r="P868" s="392">
        <f t="shared" si="101"/>
        <v>1</v>
      </c>
    </row>
    <row r="869" spans="2:16">
      <c r="B869" s="41"/>
      <c r="C869" s="403">
        <f t="shared" si="96"/>
        <v>44667</v>
      </c>
      <c r="D869" s="94" t="str">
        <f>VLOOKUP(MOD(C869,7),'CALENDAR INFO'!$G$5:$H$11,2)</f>
        <v>SAT</v>
      </c>
      <c r="E869" s="165">
        <v>0.33</v>
      </c>
      <c r="F869" s="336">
        <v>0.28999999999999998</v>
      </c>
      <c r="G869" s="411">
        <f t="shared" si="97"/>
        <v>-4.0000000000000036E-2</v>
      </c>
      <c r="K869" s="129"/>
      <c r="L869" s="403">
        <f t="shared" si="98"/>
        <v>44667</v>
      </c>
      <c r="M869" s="94" t="str">
        <f t="shared" si="99"/>
        <v>SAT</v>
      </c>
      <c r="O869" s="383">
        <f t="shared" ref="O869:O909" si="102">IF(MOD(C869,7)&lt;2,0,IF(MOD(C869,7)=6,3,1))</f>
        <v>0</v>
      </c>
      <c r="P869" s="392">
        <f t="shared" si="101"/>
        <v>1</v>
      </c>
    </row>
    <row r="870" spans="2:16">
      <c r="B870" s="41"/>
      <c r="C870" s="403">
        <f t="shared" si="96"/>
        <v>44668</v>
      </c>
      <c r="D870" s="94" t="str">
        <f>VLOOKUP(MOD(C870,7),'CALENDAR INFO'!$G$5:$H$11,2)</f>
        <v>SUN</v>
      </c>
      <c r="E870" s="165">
        <v>0.33</v>
      </c>
      <c r="F870" s="336">
        <v>0.28999999999999998</v>
      </c>
      <c r="G870" s="411">
        <f t="shared" si="97"/>
        <v>-4.0000000000000036E-2</v>
      </c>
      <c r="K870" s="129"/>
      <c r="L870" s="403">
        <f t="shared" si="98"/>
        <v>44668</v>
      </c>
      <c r="M870" s="94" t="str">
        <f t="shared" si="99"/>
        <v>SUN</v>
      </c>
      <c r="O870" s="383">
        <f t="shared" si="102"/>
        <v>0</v>
      </c>
      <c r="P870" s="392">
        <f t="shared" si="101"/>
        <v>1</v>
      </c>
    </row>
    <row r="871" spans="2:16">
      <c r="B871" s="41"/>
      <c r="C871" s="403">
        <f t="shared" si="96"/>
        <v>44669</v>
      </c>
      <c r="D871" s="94" t="str">
        <f>VLOOKUP(MOD(C871,7),'CALENDAR INFO'!$G$5:$H$11,2)</f>
        <v>MON</v>
      </c>
      <c r="E871" s="165">
        <v>0.33</v>
      </c>
      <c r="F871" s="336">
        <v>0.28999999999999998</v>
      </c>
      <c r="G871" s="411">
        <f t="shared" si="97"/>
        <v>-4.0000000000000036E-2</v>
      </c>
      <c r="K871" s="129"/>
      <c r="L871" s="403">
        <f t="shared" si="98"/>
        <v>44669</v>
      </c>
      <c r="M871" s="94" t="str">
        <f t="shared" si="99"/>
        <v>MON</v>
      </c>
      <c r="O871" s="383">
        <f t="shared" si="102"/>
        <v>1</v>
      </c>
      <c r="P871" s="392">
        <f t="shared" si="101"/>
        <v>1.0000080555555555</v>
      </c>
    </row>
    <row r="872" spans="2:16">
      <c r="B872" s="41"/>
      <c r="C872" s="403">
        <f t="shared" si="96"/>
        <v>44670</v>
      </c>
      <c r="D872" s="94" t="str">
        <f>VLOOKUP(MOD(C872,7),'CALENDAR INFO'!$G$5:$H$11,2)</f>
        <v>TUE</v>
      </c>
      <c r="E872" s="165">
        <v>0.33</v>
      </c>
      <c r="F872" s="336">
        <v>0.28000000000000003</v>
      </c>
      <c r="G872" s="411">
        <f t="shared" si="97"/>
        <v>-4.9999999999999989E-2</v>
      </c>
      <c r="K872" s="129"/>
      <c r="L872" s="403">
        <f t="shared" si="98"/>
        <v>44670</v>
      </c>
      <c r="M872" s="94" t="str">
        <f t="shared" si="99"/>
        <v>TUE</v>
      </c>
      <c r="O872" s="383">
        <f t="shared" si="102"/>
        <v>1</v>
      </c>
      <c r="P872" s="392">
        <f t="shared" si="101"/>
        <v>1.0000077777777778</v>
      </c>
    </row>
    <row r="873" spans="2:16">
      <c r="B873" s="41"/>
      <c r="C873" s="403">
        <f t="shared" si="96"/>
        <v>44671</v>
      </c>
      <c r="D873" s="94" t="str">
        <f>VLOOKUP(MOD(C873,7),'CALENDAR INFO'!$G$5:$H$11,2)</f>
        <v>WED</v>
      </c>
      <c r="E873" s="165">
        <v>0.33</v>
      </c>
      <c r="F873" s="336">
        <v>0.27</v>
      </c>
      <c r="G873" s="411">
        <f t="shared" si="97"/>
        <v>-0.06</v>
      </c>
      <c r="K873" s="129" t="s">
        <v>19</v>
      </c>
      <c r="L873" s="403">
        <f t="shared" si="98"/>
        <v>44671</v>
      </c>
      <c r="M873" s="94" t="str">
        <f t="shared" si="99"/>
        <v>WED</v>
      </c>
      <c r="O873" s="383">
        <f t="shared" si="102"/>
        <v>1</v>
      </c>
      <c r="P873" s="392">
        <f t="shared" si="101"/>
        <v>1.0000074999999999</v>
      </c>
    </row>
    <row r="874" spans="2:16">
      <c r="B874" s="41"/>
      <c r="C874" s="403">
        <f t="shared" si="96"/>
        <v>44672</v>
      </c>
      <c r="D874" s="94" t="str">
        <f>VLOOKUP(MOD(C874,7),'CALENDAR INFO'!$G$5:$H$11,2)</f>
        <v>THU</v>
      </c>
      <c r="E874" s="165">
        <v>0.33</v>
      </c>
      <c r="F874" s="336">
        <v>0.26</v>
      </c>
      <c r="G874" s="411">
        <f t="shared" si="97"/>
        <v>-7.0000000000000007E-2</v>
      </c>
      <c r="K874" s="126" t="s">
        <v>18</v>
      </c>
      <c r="L874" s="403">
        <f t="shared" si="98"/>
        <v>44672</v>
      </c>
      <c r="M874" s="94" t="str">
        <f t="shared" si="99"/>
        <v>THU</v>
      </c>
      <c r="O874" s="383">
        <f t="shared" si="102"/>
        <v>1</v>
      </c>
      <c r="P874" s="392">
        <f t="shared" si="101"/>
        <v>1.0000072222222223</v>
      </c>
    </row>
    <row r="875" spans="2:16">
      <c r="B875" s="41"/>
      <c r="C875" s="403">
        <f t="shared" si="96"/>
        <v>44673</v>
      </c>
      <c r="D875" s="94" t="str">
        <f>VLOOKUP(MOD(C875,7),'CALENDAR INFO'!$G$5:$H$11,2)</f>
        <v>FRI</v>
      </c>
      <c r="E875" s="165">
        <v>0.33</v>
      </c>
      <c r="F875" s="336">
        <v>0.27</v>
      </c>
      <c r="G875" s="411">
        <f t="shared" si="97"/>
        <v>-0.06</v>
      </c>
      <c r="K875" s="126"/>
      <c r="L875" s="403">
        <f t="shared" si="98"/>
        <v>44673</v>
      </c>
      <c r="M875" s="94" t="str">
        <f t="shared" si="99"/>
        <v>FRI</v>
      </c>
      <c r="O875" s="383">
        <f t="shared" si="102"/>
        <v>3</v>
      </c>
      <c r="P875" s="392">
        <f t="shared" si="101"/>
        <v>1.0000225</v>
      </c>
    </row>
    <row r="876" spans="2:16">
      <c r="B876" s="41"/>
      <c r="C876" s="403">
        <f t="shared" si="96"/>
        <v>44674</v>
      </c>
      <c r="D876" s="94" t="str">
        <f>VLOOKUP(MOD(C876,7),'CALENDAR INFO'!$G$5:$H$11,2)</f>
        <v>SAT</v>
      </c>
      <c r="E876" s="165">
        <v>0.33</v>
      </c>
      <c r="F876" s="336">
        <v>0.27</v>
      </c>
      <c r="G876" s="411">
        <f t="shared" si="97"/>
        <v>-0.06</v>
      </c>
      <c r="K876" s="126"/>
      <c r="L876" s="403">
        <f t="shared" si="98"/>
        <v>44674</v>
      </c>
      <c r="M876" s="94" t="str">
        <f t="shared" si="99"/>
        <v>SAT</v>
      </c>
      <c r="O876" s="383">
        <f t="shared" si="102"/>
        <v>0</v>
      </c>
      <c r="P876" s="392">
        <f t="shared" si="101"/>
        <v>1</v>
      </c>
    </row>
    <row r="877" spans="2:16">
      <c r="B877" s="41"/>
      <c r="C877" s="403">
        <f t="shared" si="96"/>
        <v>44675</v>
      </c>
      <c r="D877" s="94" t="str">
        <f>VLOOKUP(MOD(C877,7),'CALENDAR INFO'!$G$5:$H$11,2)</f>
        <v>SUN</v>
      </c>
      <c r="E877" s="165">
        <v>0.33</v>
      </c>
      <c r="F877" s="336">
        <v>0.27</v>
      </c>
      <c r="G877" s="411">
        <f t="shared" si="97"/>
        <v>-0.06</v>
      </c>
      <c r="K877" s="126"/>
      <c r="L877" s="403">
        <f t="shared" si="98"/>
        <v>44675</v>
      </c>
      <c r="M877" s="94" t="str">
        <f t="shared" si="99"/>
        <v>SUN</v>
      </c>
      <c r="O877" s="383">
        <f t="shared" si="102"/>
        <v>0</v>
      </c>
      <c r="P877" s="392">
        <f t="shared" si="101"/>
        <v>1</v>
      </c>
    </row>
    <row r="878" spans="2:16">
      <c r="B878" s="41"/>
      <c r="C878" s="403">
        <f t="shared" si="96"/>
        <v>44676</v>
      </c>
      <c r="D878" s="94" t="str">
        <f>VLOOKUP(MOD(C878,7),'CALENDAR INFO'!$G$5:$H$11,2)</f>
        <v>MON</v>
      </c>
      <c r="E878" s="165">
        <v>0.33</v>
      </c>
      <c r="F878" s="336">
        <v>0.27</v>
      </c>
      <c r="G878" s="411">
        <f t="shared" si="97"/>
        <v>-0.06</v>
      </c>
      <c r="K878" s="126"/>
      <c r="L878" s="403">
        <f t="shared" si="98"/>
        <v>44676</v>
      </c>
      <c r="M878" s="94" t="str">
        <f t="shared" si="99"/>
        <v>MON</v>
      </c>
      <c r="O878" s="383">
        <f t="shared" si="102"/>
        <v>1</v>
      </c>
      <c r="P878" s="392">
        <f t="shared" si="101"/>
        <v>1.0000074999999999</v>
      </c>
    </row>
    <row r="879" spans="2:16">
      <c r="B879" s="41"/>
      <c r="C879" s="403">
        <f t="shared" si="96"/>
        <v>44677</v>
      </c>
      <c r="D879" s="94" t="str">
        <f>VLOOKUP(MOD(C879,7),'CALENDAR INFO'!$G$5:$H$11,2)</f>
        <v>TUE</v>
      </c>
      <c r="E879" s="165">
        <v>0.33</v>
      </c>
      <c r="F879" s="336">
        <v>0.27</v>
      </c>
      <c r="G879" s="411">
        <f t="shared" si="97"/>
        <v>-0.06</v>
      </c>
      <c r="K879" s="126"/>
      <c r="L879" s="403">
        <f t="shared" si="98"/>
        <v>44677</v>
      </c>
      <c r="M879" s="94" t="str">
        <f t="shared" si="99"/>
        <v>TUE</v>
      </c>
      <c r="O879" s="383">
        <f t="shared" si="102"/>
        <v>1</v>
      </c>
      <c r="P879" s="392">
        <f t="shared" si="101"/>
        <v>1.0000074999999999</v>
      </c>
    </row>
    <row r="880" spans="2:16">
      <c r="B880" s="41"/>
      <c r="C880" s="403">
        <f t="shared" si="96"/>
        <v>44678</v>
      </c>
      <c r="D880" s="94" t="str">
        <f>VLOOKUP(MOD(C880,7),'CALENDAR INFO'!$G$5:$H$11,2)</f>
        <v>WED</v>
      </c>
      <c r="E880" s="165">
        <v>0.33</v>
      </c>
      <c r="F880" s="336">
        <v>0.28000000000000003</v>
      </c>
      <c r="G880" s="411">
        <f t="shared" si="97"/>
        <v>-4.9999999999999989E-2</v>
      </c>
      <c r="I880" s="137"/>
      <c r="K880" s="126"/>
      <c r="L880" s="403">
        <f t="shared" si="98"/>
        <v>44678</v>
      </c>
      <c r="M880" s="94" t="str">
        <f t="shared" si="99"/>
        <v>WED</v>
      </c>
      <c r="O880" s="383">
        <f t="shared" si="102"/>
        <v>1</v>
      </c>
      <c r="P880" s="392">
        <f t="shared" si="101"/>
        <v>1.0000077777777778</v>
      </c>
    </row>
    <row r="881" spans="1:16">
      <c r="B881" s="41"/>
      <c r="C881" s="403">
        <f t="shared" si="96"/>
        <v>44679</v>
      </c>
      <c r="D881" s="94" t="str">
        <f>VLOOKUP(MOD(C881,7),'CALENDAR INFO'!$G$5:$H$11,2)</f>
        <v>THU</v>
      </c>
      <c r="E881" s="165">
        <v>0.33</v>
      </c>
      <c r="F881" s="336">
        <v>0.28000000000000003</v>
      </c>
      <c r="G881" s="411">
        <f t="shared" si="97"/>
        <v>-4.9999999999999989E-2</v>
      </c>
      <c r="H881" s="115"/>
      <c r="I881" s="148"/>
      <c r="J881" s="160"/>
      <c r="K881" s="126"/>
      <c r="L881" s="403">
        <f t="shared" si="98"/>
        <v>44679</v>
      </c>
      <c r="M881" s="94" t="str">
        <f t="shared" si="99"/>
        <v>THU</v>
      </c>
      <c r="O881" s="383">
        <f t="shared" si="102"/>
        <v>1</v>
      </c>
      <c r="P881" s="392">
        <f t="shared" si="101"/>
        <v>1.0000077777777778</v>
      </c>
    </row>
    <row r="882" spans="1:16">
      <c r="B882" s="41"/>
      <c r="C882" s="403">
        <f t="shared" si="96"/>
        <v>44680</v>
      </c>
      <c r="D882" s="94" t="str">
        <f>VLOOKUP(MOD(C882,7),'CALENDAR INFO'!$G$5:$H$11,2)</f>
        <v>FRI</v>
      </c>
      <c r="E882" s="165">
        <v>0.33</v>
      </c>
      <c r="F882" s="336">
        <v>0.28000000000000003</v>
      </c>
      <c r="G882" s="411">
        <f t="shared" si="97"/>
        <v>-4.9999999999999989E-2</v>
      </c>
      <c r="H882" s="115"/>
      <c r="I882" s="141"/>
      <c r="J882" s="158"/>
      <c r="K882" s="126"/>
      <c r="L882" s="403">
        <f t="shared" si="98"/>
        <v>44680</v>
      </c>
      <c r="M882" s="94" t="str">
        <f t="shared" si="99"/>
        <v>FRI</v>
      </c>
      <c r="O882" s="383">
        <f t="shared" si="102"/>
        <v>3</v>
      </c>
      <c r="P882" s="392">
        <f t="shared" si="101"/>
        <v>1.0000233333333333</v>
      </c>
    </row>
    <row r="883" spans="1:16" ht="15.75" thickBot="1">
      <c r="A883" s="81"/>
      <c r="B883" s="178"/>
      <c r="C883" s="404">
        <f t="shared" si="96"/>
        <v>44681</v>
      </c>
      <c r="D883" s="103" t="str">
        <f>VLOOKUP(MOD(C883,7),'CALENDAR INFO'!$G$5:$H$11,2)</f>
        <v>SAT</v>
      </c>
      <c r="E883" s="166">
        <v>0.33</v>
      </c>
      <c r="F883" s="337">
        <v>0.28000000000000003</v>
      </c>
      <c r="G883" s="412">
        <f t="shared" si="97"/>
        <v>-4.9999999999999989E-2</v>
      </c>
      <c r="H883" s="345"/>
      <c r="I883" s="143"/>
      <c r="J883" s="162"/>
      <c r="K883" s="77"/>
      <c r="L883" s="404">
        <f t="shared" si="98"/>
        <v>44681</v>
      </c>
      <c r="M883" s="103" t="str">
        <f t="shared" si="99"/>
        <v>SAT</v>
      </c>
      <c r="N883" s="90"/>
      <c r="O883" s="382">
        <f t="shared" si="102"/>
        <v>0</v>
      </c>
      <c r="P883" s="388">
        <f t="shared" si="101"/>
        <v>1</v>
      </c>
    </row>
    <row r="884" spans="1:16">
      <c r="B884" s="41"/>
      <c r="C884" s="403">
        <f t="shared" si="96"/>
        <v>44682</v>
      </c>
      <c r="D884" s="94" t="str">
        <f>VLOOKUP(MOD(C884,7),'CALENDAR INFO'!$G$5:$H$11,2)</f>
        <v>SUN</v>
      </c>
      <c r="E884" s="165">
        <v>0.33</v>
      </c>
      <c r="F884" s="336">
        <v>0.28000000000000003</v>
      </c>
      <c r="G884" s="411">
        <f t="shared" si="97"/>
        <v>-4.9999999999999989E-2</v>
      </c>
      <c r="H884" s="15" t="s">
        <v>149</v>
      </c>
      <c r="I884" s="15">
        <f>ROW(I884)</f>
        <v>884</v>
      </c>
      <c r="J884" s="138">
        <f>I884</f>
        <v>884</v>
      </c>
      <c r="K884" s="126"/>
      <c r="L884" s="403">
        <f t="shared" si="98"/>
        <v>44682</v>
      </c>
      <c r="M884" s="94" t="str">
        <f t="shared" si="99"/>
        <v>SUN</v>
      </c>
      <c r="O884" s="386">
        <f t="shared" si="102"/>
        <v>0</v>
      </c>
      <c r="P884" s="390">
        <f t="shared" si="101"/>
        <v>1</v>
      </c>
    </row>
    <row r="885" spans="1:16">
      <c r="B885" s="41"/>
      <c r="C885" s="403">
        <f t="shared" ref="C885:C948" si="103">C884+1</f>
        <v>44683</v>
      </c>
      <c r="D885" s="94" t="str">
        <f>VLOOKUP(MOD(C885,7),'CALENDAR INFO'!$G$5:$H$11,2)</f>
        <v>MON</v>
      </c>
      <c r="E885" s="165">
        <v>0.33</v>
      </c>
      <c r="F885" s="336">
        <v>0.3</v>
      </c>
      <c r="G885" s="411">
        <f t="shared" si="97"/>
        <v>-3.0000000000000027E-2</v>
      </c>
      <c r="H885" s="376" t="s">
        <v>210</v>
      </c>
      <c r="I885" s="15">
        <f>VLOOKUP(MONTH($C884),'CALENDAR INFO'!$J$5:$K$16,2)</f>
        <v>31</v>
      </c>
      <c r="J885" s="138">
        <f>I885</f>
        <v>31</v>
      </c>
      <c r="K885" s="126"/>
      <c r="L885" s="403">
        <f t="shared" si="98"/>
        <v>44683</v>
      </c>
      <c r="M885" s="94" t="str">
        <f t="shared" si="99"/>
        <v>MON</v>
      </c>
      <c r="O885" s="383">
        <f t="shared" si="102"/>
        <v>1</v>
      </c>
      <c r="P885" s="392">
        <f t="shared" si="101"/>
        <v>1.0000083333333334</v>
      </c>
    </row>
    <row r="886" spans="1:16">
      <c r="B886" s="41"/>
      <c r="C886" s="403">
        <f t="shared" si="103"/>
        <v>44684</v>
      </c>
      <c r="D886" s="94" t="str">
        <f>VLOOKUP(MOD(C886,7),'CALENDAR INFO'!$G$5:$H$11,2)</f>
        <v>TUE</v>
      </c>
      <c r="E886" s="165">
        <v>0.33</v>
      </c>
      <c r="F886" s="336">
        <v>0.3</v>
      </c>
      <c r="G886" s="411">
        <f t="shared" si="97"/>
        <v>-3.0000000000000027E-2</v>
      </c>
      <c r="H886" s="376" t="s">
        <v>211</v>
      </c>
      <c r="I886" s="15">
        <f>I885+I884-1</f>
        <v>914</v>
      </c>
      <c r="J886" s="138">
        <f>I886</f>
        <v>914</v>
      </c>
      <c r="K886" s="126"/>
      <c r="L886" s="403">
        <f t="shared" si="98"/>
        <v>44684</v>
      </c>
      <c r="M886" s="94" t="str">
        <f t="shared" si="99"/>
        <v>TUE</v>
      </c>
      <c r="N886" s="116" t="s">
        <v>20</v>
      </c>
      <c r="O886" s="383">
        <f t="shared" si="102"/>
        <v>1</v>
      </c>
      <c r="P886" s="392">
        <f t="shared" si="101"/>
        <v>1.0000083333333334</v>
      </c>
    </row>
    <row r="887" spans="1:16">
      <c r="B887" s="182"/>
      <c r="C887" s="403">
        <f t="shared" si="103"/>
        <v>44685</v>
      </c>
      <c r="D887" s="94" t="str">
        <f>VLOOKUP(MOD(C887,7),'CALENDAR INFO'!$G$5:$H$11,2)</f>
        <v>WED</v>
      </c>
      <c r="E887" s="165">
        <v>0.33</v>
      </c>
      <c r="F887" s="336">
        <v>0.3</v>
      </c>
      <c r="G887" s="411">
        <f t="shared" si="97"/>
        <v>-3.0000000000000027E-2</v>
      </c>
      <c r="K887" s="126" t="s">
        <v>19</v>
      </c>
      <c r="L887" s="403">
        <f t="shared" si="98"/>
        <v>44685</v>
      </c>
      <c r="M887" s="94" t="str">
        <f t="shared" si="99"/>
        <v>WED</v>
      </c>
      <c r="N887" s="116" t="s">
        <v>20</v>
      </c>
      <c r="O887" s="383">
        <f t="shared" si="102"/>
        <v>1</v>
      </c>
      <c r="P887" s="392">
        <f t="shared" si="101"/>
        <v>1.0000083333333334</v>
      </c>
    </row>
    <row r="888" spans="1:16">
      <c r="B888" s="41"/>
      <c r="C888" s="403">
        <f t="shared" si="103"/>
        <v>44686</v>
      </c>
      <c r="D888" s="94" t="str">
        <f>VLOOKUP(MOD(C888,7),'CALENDAR INFO'!$G$5:$H$11,2)</f>
        <v>THU</v>
      </c>
      <c r="E888" s="170">
        <v>0.83</v>
      </c>
      <c r="F888" s="342">
        <v>0.79</v>
      </c>
      <c r="G888" s="411">
        <f t="shared" si="97"/>
        <v>-3.9999999999999925E-2</v>
      </c>
      <c r="H888" s="15" t="s">
        <v>150</v>
      </c>
      <c r="I888" s="137" t="str">
        <f>_xlfn.CONCAT(ADDRESS(I884,5),":",ADDRESS(I886,5))</f>
        <v>$E$884:$E$914</v>
      </c>
      <c r="J888" s="150" t="str">
        <f>_xlfn.CONCAT(ADDRESS(J884,6),":",ADDRESS(J886,6))</f>
        <v>$F$884:$F$914</v>
      </c>
      <c r="K888" s="129" t="s">
        <v>18</v>
      </c>
      <c r="L888" s="403">
        <f t="shared" si="98"/>
        <v>44686</v>
      </c>
      <c r="M888" s="94" t="str">
        <f t="shared" si="99"/>
        <v>THU</v>
      </c>
      <c r="O888" s="383">
        <f t="shared" si="102"/>
        <v>1</v>
      </c>
      <c r="P888" s="392">
        <f t="shared" si="101"/>
        <v>1.0000219444444445</v>
      </c>
    </row>
    <row r="889" spans="1:16">
      <c r="B889" s="41"/>
      <c r="C889" s="403">
        <f t="shared" si="103"/>
        <v>44687</v>
      </c>
      <c r="D889" s="94" t="str">
        <f>VLOOKUP(MOD(C889,7),'CALENDAR INFO'!$G$5:$H$11,2)</f>
        <v>FRI</v>
      </c>
      <c r="E889" s="165">
        <v>0.83</v>
      </c>
      <c r="F889" s="336">
        <v>0.78</v>
      </c>
      <c r="G889" s="411">
        <f t="shared" si="97"/>
        <v>-4.9999999999999933E-2</v>
      </c>
      <c r="K889" s="129"/>
      <c r="L889" s="403">
        <f t="shared" si="98"/>
        <v>44687</v>
      </c>
      <c r="M889" s="94" t="str">
        <f t="shared" si="99"/>
        <v>FRI</v>
      </c>
      <c r="O889" s="383">
        <f t="shared" si="102"/>
        <v>3</v>
      </c>
      <c r="P889" s="392">
        <f t="shared" si="101"/>
        <v>1.000065</v>
      </c>
    </row>
    <row r="890" spans="1:16">
      <c r="B890" s="41"/>
      <c r="C890" s="403">
        <f t="shared" si="103"/>
        <v>44688</v>
      </c>
      <c r="D890" s="94" t="str">
        <f>VLOOKUP(MOD(C890,7),'CALENDAR INFO'!$G$5:$H$11,2)</f>
        <v>SAT</v>
      </c>
      <c r="E890" s="165">
        <v>0.83</v>
      </c>
      <c r="F890" s="336">
        <v>0.78</v>
      </c>
      <c r="G890" s="411">
        <f t="shared" si="97"/>
        <v>-4.9999999999999933E-2</v>
      </c>
      <c r="H890" s="376" t="s">
        <v>221</v>
      </c>
      <c r="I890" s="147">
        <f ca="1">AVERAGE(INDIRECT(I888))</f>
        <v>0.7654838709677414</v>
      </c>
      <c r="J890" s="326">
        <f ca="1">AVERAGE(INDIRECT(J888))</f>
        <v>0.72129032258064529</v>
      </c>
      <c r="K890" s="129"/>
      <c r="L890" s="403">
        <f t="shared" si="98"/>
        <v>44688</v>
      </c>
      <c r="M890" s="94" t="str">
        <f t="shared" si="99"/>
        <v>SAT</v>
      </c>
      <c r="O890" s="383">
        <f t="shared" si="102"/>
        <v>0</v>
      </c>
      <c r="P890" s="392">
        <f t="shared" si="101"/>
        <v>1</v>
      </c>
    </row>
    <row r="891" spans="1:16">
      <c r="B891" s="41"/>
      <c r="C891" s="403">
        <f t="shared" si="103"/>
        <v>44689</v>
      </c>
      <c r="D891" s="94" t="str">
        <f>VLOOKUP(MOD(C891,7),'CALENDAR INFO'!$G$5:$H$11,2)</f>
        <v>SUN</v>
      </c>
      <c r="E891" s="165">
        <v>0.83</v>
      </c>
      <c r="F891" s="336">
        <v>0.78</v>
      </c>
      <c r="G891" s="411">
        <f t="shared" si="97"/>
        <v>-4.9999999999999933E-2</v>
      </c>
      <c r="I891" s="240"/>
      <c r="J891" s="157"/>
      <c r="K891" s="129"/>
      <c r="L891" s="403">
        <f t="shared" si="98"/>
        <v>44689</v>
      </c>
      <c r="M891" s="94" t="str">
        <f t="shared" si="99"/>
        <v>SUN</v>
      </c>
      <c r="O891" s="383">
        <f t="shared" si="102"/>
        <v>0</v>
      </c>
      <c r="P891" s="392">
        <f t="shared" si="101"/>
        <v>1</v>
      </c>
    </row>
    <row r="892" spans="1:16">
      <c r="B892" s="41"/>
      <c r="C892" s="403">
        <f t="shared" si="103"/>
        <v>44690</v>
      </c>
      <c r="D892" s="94" t="str">
        <f>VLOOKUP(MOD(C892,7),'CALENDAR INFO'!$G$5:$H$11,2)</f>
        <v>MON</v>
      </c>
      <c r="E892" s="165">
        <v>0.83</v>
      </c>
      <c r="F892" s="336">
        <v>0.78</v>
      </c>
      <c r="G892" s="411">
        <f t="shared" si="97"/>
        <v>-4.9999999999999933E-2</v>
      </c>
      <c r="H892" s="15" t="s">
        <v>222</v>
      </c>
      <c r="I892" s="147">
        <f ca="1">100-I890</f>
        <v>99.234516129032258</v>
      </c>
      <c r="J892" s="326">
        <f ca="1">100-J890</f>
        <v>99.278709677419357</v>
      </c>
      <c r="K892" s="129"/>
      <c r="L892" s="403">
        <f t="shared" si="98"/>
        <v>44690</v>
      </c>
      <c r="M892" s="94" t="str">
        <f t="shared" si="99"/>
        <v>MON</v>
      </c>
      <c r="O892" s="383">
        <f t="shared" si="102"/>
        <v>1</v>
      </c>
      <c r="P892" s="392">
        <f t="shared" si="101"/>
        <v>1.0000216666666666</v>
      </c>
    </row>
    <row r="893" spans="1:16">
      <c r="B893" s="41"/>
      <c r="C893" s="403">
        <f t="shared" si="103"/>
        <v>44691</v>
      </c>
      <c r="D893" s="94" t="str">
        <f>VLOOKUP(MOD(C893,7),'CALENDAR INFO'!$G$5:$H$11,2)</f>
        <v>TUE</v>
      </c>
      <c r="E893" s="165">
        <v>0.83</v>
      </c>
      <c r="F893" s="336">
        <v>0.78</v>
      </c>
      <c r="G893" s="411">
        <f t="shared" si="97"/>
        <v>-4.9999999999999933E-2</v>
      </c>
      <c r="I893" s="137"/>
      <c r="J893" s="150"/>
      <c r="K893" s="129"/>
      <c r="L893" s="403">
        <f t="shared" si="98"/>
        <v>44691</v>
      </c>
      <c r="M893" s="94" t="str">
        <f t="shared" si="99"/>
        <v>TUE</v>
      </c>
      <c r="O893" s="383">
        <f t="shared" si="102"/>
        <v>1</v>
      </c>
      <c r="P893" s="392">
        <f t="shared" si="101"/>
        <v>1.0000216666666666</v>
      </c>
    </row>
    <row r="894" spans="1:16">
      <c r="B894" s="41"/>
      <c r="C894" s="403">
        <f t="shared" si="103"/>
        <v>44692</v>
      </c>
      <c r="D894" s="94" t="str">
        <f>VLOOKUP(MOD(C894,7),'CALENDAR INFO'!$G$5:$H$11,2)</f>
        <v>WED</v>
      </c>
      <c r="E894" s="165">
        <v>0.83</v>
      </c>
      <c r="F894" s="336">
        <v>0.78</v>
      </c>
      <c r="G894" s="411">
        <f t="shared" si="97"/>
        <v>-4.9999999999999933E-2</v>
      </c>
      <c r="H894" s="136"/>
      <c r="I894" s="139"/>
      <c r="J894" s="151"/>
      <c r="K894" s="129"/>
      <c r="L894" s="403">
        <f t="shared" si="98"/>
        <v>44692</v>
      </c>
      <c r="M894" s="94" t="str">
        <f t="shared" si="99"/>
        <v>WED</v>
      </c>
      <c r="O894" s="383">
        <f t="shared" si="102"/>
        <v>1</v>
      </c>
      <c r="P894" s="392">
        <f t="shared" si="101"/>
        <v>1.0000216666666666</v>
      </c>
    </row>
    <row r="895" spans="1:16">
      <c r="B895" s="41"/>
      <c r="C895" s="403">
        <f t="shared" si="103"/>
        <v>44693</v>
      </c>
      <c r="D895" s="94" t="str">
        <f>VLOOKUP(MOD(C895,7),'CALENDAR INFO'!$G$5:$H$11,2)</f>
        <v>THU</v>
      </c>
      <c r="E895" s="165">
        <v>0.83</v>
      </c>
      <c r="F895" s="336">
        <v>0.79</v>
      </c>
      <c r="G895" s="411">
        <f t="shared" si="97"/>
        <v>-3.9999999999999925E-2</v>
      </c>
      <c r="H895" s="136"/>
      <c r="I895" s="139"/>
      <c r="J895" s="151"/>
      <c r="K895" s="129"/>
      <c r="L895" s="403">
        <f t="shared" si="98"/>
        <v>44693</v>
      </c>
      <c r="M895" s="94" t="str">
        <f t="shared" si="99"/>
        <v>THU</v>
      </c>
      <c r="O895" s="383">
        <f t="shared" si="102"/>
        <v>1</v>
      </c>
      <c r="P895" s="392">
        <f t="shared" si="101"/>
        <v>1.0000219444444445</v>
      </c>
    </row>
    <row r="896" spans="1:16">
      <c r="B896" s="41"/>
      <c r="C896" s="403">
        <f t="shared" si="103"/>
        <v>44694</v>
      </c>
      <c r="D896" s="94" t="str">
        <f>VLOOKUP(MOD(C896,7),'CALENDAR INFO'!$G$5:$H$11,2)</f>
        <v>FRI</v>
      </c>
      <c r="E896" s="165">
        <v>0.83</v>
      </c>
      <c r="F896" s="336">
        <v>0.79</v>
      </c>
      <c r="G896" s="411">
        <f t="shared" si="97"/>
        <v>-3.9999999999999925E-2</v>
      </c>
      <c r="H896" s="136"/>
      <c r="I896" s="139"/>
      <c r="J896" s="151"/>
      <c r="K896" s="129"/>
      <c r="L896" s="403">
        <f t="shared" si="98"/>
        <v>44694</v>
      </c>
      <c r="M896" s="94" t="str">
        <f t="shared" si="99"/>
        <v>FRI</v>
      </c>
      <c r="O896" s="383">
        <f t="shared" si="102"/>
        <v>3</v>
      </c>
      <c r="P896" s="392">
        <f t="shared" si="101"/>
        <v>1.0000658333333334</v>
      </c>
    </row>
    <row r="897" spans="2:16">
      <c r="B897" s="41"/>
      <c r="C897" s="403">
        <f t="shared" si="103"/>
        <v>44695</v>
      </c>
      <c r="D897" s="94" t="str">
        <f>VLOOKUP(MOD(C897,7),'CALENDAR INFO'!$G$5:$H$11,2)</f>
        <v>SAT</v>
      </c>
      <c r="E897" s="165">
        <v>0.83</v>
      </c>
      <c r="F897" s="336">
        <v>0.79</v>
      </c>
      <c r="G897" s="411">
        <f t="shared" si="97"/>
        <v>-3.9999999999999925E-2</v>
      </c>
      <c r="K897" s="129"/>
      <c r="L897" s="403">
        <f t="shared" si="98"/>
        <v>44695</v>
      </c>
      <c r="M897" s="94" t="str">
        <f t="shared" si="99"/>
        <v>SAT</v>
      </c>
      <c r="O897" s="383">
        <f t="shared" si="102"/>
        <v>0</v>
      </c>
      <c r="P897" s="392">
        <f t="shared" si="101"/>
        <v>1</v>
      </c>
    </row>
    <row r="898" spans="2:16">
      <c r="B898" s="41"/>
      <c r="C898" s="403">
        <f t="shared" si="103"/>
        <v>44696</v>
      </c>
      <c r="D898" s="94" t="str">
        <f>VLOOKUP(MOD(C898,7),'CALENDAR INFO'!$G$5:$H$11,2)</f>
        <v>SUN</v>
      </c>
      <c r="E898" s="165">
        <v>0.83</v>
      </c>
      <c r="F898" s="336">
        <v>0.79</v>
      </c>
      <c r="G898" s="411">
        <f t="shared" si="97"/>
        <v>-3.9999999999999925E-2</v>
      </c>
      <c r="H898" s="135"/>
      <c r="I898" s="144"/>
      <c r="J898" s="152"/>
      <c r="K898" s="129"/>
      <c r="L898" s="403">
        <f t="shared" si="98"/>
        <v>44696</v>
      </c>
      <c r="M898" s="94" t="str">
        <f t="shared" si="99"/>
        <v>SUN</v>
      </c>
      <c r="O898" s="383">
        <f t="shared" si="102"/>
        <v>0</v>
      </c>
      <c r="P898" s="392">
        <f t="shared" si="101"/>
        <v>1</v>
      </c>
    </row>
    <row r="899" spans="2:16">
      <c r="B899" s="41"/>
      <c r="C899" s="403">
        <f t="shared" si="103"/>
        <v>44697</v>
      </c>
      <c r="D899" s="94" t="str">
        <f>VLOOKUP(MOD(C899,7),'CALENDAR INFO'!$G$5:$H$11,2)</f>
        <v>MON</v>
      </c>
      <c r="E899" s="165">
        <v>0.83</v>
      </c>
      <c r="F899" s="336">
        <v>0.8</v>
      </c>
      <c r="G899" s="411">
        <f t="shared" ref="G899:G962" si="104">F899-E899</f>
        <v>-2.9999999999999916E-2</v>
      </c>
      <c r="K899" s="129"/>
      <c r="L899" s="403">
        <f t="shared" ref="L899:L962" si="105">C899</f>
        <v>44697</v>
      </c>
      <c r="M899" s="94" t="str">
        <f t="shared" ref="M899:M962" si="106">D899</f>
        <v>MON</v>
      </c>
      <c r="O899" s="383">
        <f t="shared" si="102"/>
        <v>1</v>
      </c>
      <c r="P899" s="392">
        <f t="shared" si="101"/>
        <v>1.0000222222222221</v>
      </c>
    </row>
    <row r="900" spans="2:16">
      <c r="B900" s="41"/>
      <c r="C900" s="403">
        <f t="shared" si="103"/>
        <v>44698</v>
      </c>
      <c r="D900" s="94" t="str">
        <f>VLOOKUP(MOD(C900,7),'CALENDAR INFO'!$G$5:$H$11,2)</f>
        <v>TUE</v>
      </c>
      <c r="E900" s="165">
        <v>0.83</v>
      </c>
      <c r="F900" s="336">
        <v>0.8</v>
      </c>
      <c r="G900" s="411">
        <f t="shared" si="104"/>
        <v>-2.9999999999999916E-2</v>
      </c>
      <c r="K900" s="129"/>
      <c r="L900" s="403">
        <f t="shared" si="105"/>
        <v>44698</v>
      </c>
      <c r="M900" s="94" t="str">
        <f t="shared" si="106"/>
        <v>TUE</v>
      </c>
      <c r="O900" s="383">
        <f t="shared" si="102"/>
        <v>1</v>
      </c>
      <c r="P900" s="392">
        <f t="shared" si="101"/>
        <v>1.0000222222222221</v>
      </c>
    </row>
    <row r="901" spans="2:16">
      <c r="B901" s="41"/>
      <c r="C901" s="403">
        <f t="shared" si="103"/>
        <v>44699</v>
      </c>
      <c r="D901" s="94" t="str">
        <f>VLOOKUP(MOD(C901,7),'CALENDAR INFO'!$G$5:$H$11,2)</f>
        <v>WED</v>
      </c>
      <c r="E901" s="165">
        <v>0.83</v>
      </c>
      <c r="F901" s="336">
        <v>0.79</v>
      </c>
      <c r="G901" s="411">
        <f t="shared" si="104"/>
        <v>-3.9999999999999925E-2</v>
      </c>
      <c r="K901" s="129" t="s">
        <v>19</v>
      </c>
      <c r="L901" s="403">
        <f t="shared" si="105"/>
        <v>44699</v>
      </c>
      <c r="M901" s="94" t="str">
        <f t="shared" si="106"/>
        <v>WED</v>
      </c>
      <c r="O901" s="383">
        <f t="shared" si="102"/>
        <v>1</v>
      </c>
      <c r="P901" s="392">
        <f t="shared" si="101"/>
        <v>1.0000219444444445</v>
      </c>
    </row>
    <row r="902" spans="2:16">
      <c r="B902" s="41"/>
      <c r="C902" s="403">
        <f t="shared" si="103"/>
        <v>44700</v>
      </c>
      <c r="D902" s="94" t="str">
        <f>VLOOKUP(MOD(C902,7),'CALENDAR INFO'!$G$5:$H$11,2)</f>
        <v>THU</v>
      </c>
      <c r="E902" s="165">
        <v>0.83</v>
      </c>
      <c r="F902" s="336">
        <v>0.79</v>
      </c>
      <c r="G902" s="411">
        <f t="shared" si="104"/>
        <v>-3.9999999999999925E-2</v>
      </c>
      <c r="K902" s="126" t="s">
        <v>18</v>
      </c>
      <c r="L902" s="403">
        <f t="shared" si="105"/>
        <v>44700</v>
      </c>
      <c r="M902" s="94" t="str">
        <f t="shared" si="106"/>
        <v>THU</v>
      </c>
      <c r="O902" s="383">
        <f t="shared" si="102"/>
        <v>1</v>
      </c>
      <c r="P902" s="392">
        <f t="shared" si="101"/>
        <v>1.0000219444444445</v>
      </c>
    </row>
    <row r="903" spans="2:16">
      <c r="B903" s="41"/>
      <c r="C903" s="403">
        <f t="shared" si="103"/>
        <v>44701</v>
      </c>
      <c r="D903" s="94" t="str">
        <f>VLOOKUP(MOD(C903,7),'CALENDAR INFO'!$G$5:$H$11,2)</f>
        <v>FRI</v>
      </c>
      <c r="E903" s="165">
        <v>0.83</v>
      </c>
      <c r="F903" s="336">
        <v>0.78</v>
      </c>
      <c r="G903" s="411">
        <f t="shared" si="104"/>
        <v>-4.9999999999999933E-2</v>
      </c>
      <c r="K903" s="126"/>
      <c r="L903" s="403">
        <f t="shared" si="105"/>
        <v>44701</v>
      </c>
      <c r="M903" s="94" t="str">
        <f t="shared" si="106"/>
        <v>FRI</v>
      </c>
      <c r="O903" s="383">
        <f t="shared" si="102"/>
        <v>3</v>
      </c>
      <c r="P903" s="392">
        <f t="shared" si="101"/>
        <v>1.000065</v>
      </c>
    </row>
    <row r="904" spans="2:16">
      <c r="B904" s="41"/>
      <c r="C904" s="403">
        <f t="shared" si="103"/>
        <v>44702</v>
      </c>
      <c r="D904" s="94" t="str">
        <f>VLOOKUP(MOD(C904,7),'CALENDAR INFO'!$G$5:$H$11,2)</f>
        <v>SAT</v>
      </c>
      <c r="E904" s="165">
        <v>0.83</v>
      </c>
      <c r="F904" s="336">
        <v>0.78</v>
      </c>
      <c r="G904" s="411">
        <f t="shared" si="104"/>
        <v>-4.9999999999999933E-2</v>
      </c>
      <c r="K904" s="126"/>
      <c r="L904" s="403">
        <f t="shared" si="105"/>
        <v>44702</v>
      </c>
      <c r="M904" s="94" t="str">
        <f t="shared" si="106"/>
        <v>SAT</v>
      </c>
      <c r="O904" s="383">
        <f t="shared" si="102"/>
        <v>0</v>
      </c>
      <c r="P904" s="392">
        <f t="shared" si="101"/>
        <v>1</v>
      </c>
    </row>
    <row r="905" spans="2:16">
      <c r="B905" s="41"/>
      <c r="C905" s="403">
        <f t="shared" si="103"/>
        <v>44703</v>
      </c>
      <c r="D905" s="94" t="str">
        <f>VLOOKUP(MOD(C905,7),'CALENDAR INFO'!$G$5:$H$11,2)</f>
        <v>SUN</v>
      </c>
      <c r="E905" s="165">
        <v>0.83</v>
      </c>
      <c r="F905" s="336">
        <v>0.78</v>
      </c>
      <c r="G905" s="411">
        <f t="shared" si="104"/>
        <v>-4.9999999999999933E-2</v>
      </c>
      <c r="K905" s="126"/>
      <c r="L905" s="403">
        <f t="shared" si="105"/>
        <v>44703</v>
      </c>
      <c r="M905" s="94" t="str">
        <f t="shared" si="106"/>
        <v>SUN</v>
      </c>
      <c r="O905" s="383">
        <f t="shared" si="102"/>
        <v>0</v>
      </c>
      <c r="P905" s="392">
        <f t="shared" si="101"/>
        <v>1</v>
      </c>
    </row>
    <row r="906" spans="2:16">
      <c r="B906" s="41"/>
      <c r="C906" s="403">
        <f t="shared" si="103"/>
        <v>44704</v>
      </c>
      <c r="D906" s="94" t="str">
        <f>VLOOKUP(MOD(C906,7),'CALENDAR INFO'!$G$5:$H$11,2)</f>
        <v>MON</v>
      </c>
      <c r="E906" s="165">
        <v>0.83</v>
      </c>
      <c r="F906" s="336">
        <v>0.78</v>
      </c>
      <c r="G906" s="411">
        <f t="shared" si="104"/>
        <v>-4.9999999999999933E-2</v>
      </c>
      <c r="K906" s="126"/>
      <c r="L906" s="403">
        <f t="shared" si="105"/>
        <v>44704</v>
      </c>
      <c r="M906" s="94" t="str">
        <f t="shared" si="106"/>
        <v>MON</v>
      </c>
      <c r="O906" s="383">
        <f t="shared" si="102"/>
        <v>1</v>
      </c>
      <c r="P906" s="392">
        <f t="shared" si="101"/>
        <v>1.0000216666666666</v>
      </c>
    </row>
    <row r="907" spans="2:16">
      <c r="B907" s="41"/>
      <c r="C907" s="403">
        <f t="shared" si="103"/>
        <v>44705</v>
      </c>
      <c r="D907" s="94" t="str">
        <f>VLOOKUP(MOD(C907,7),'CALENDAR INFO'!$G$5:$H$11,2)</f>
        <v>TUE</v>
      </c>
      <c r="E907" s="165">
        <v>0.83</v>
      </c>
      <c r="F907" s="336">
        <v>0.78</v>
      </c>
      <c r="G907" s="411">
        <f t="shared" si="104"/>
        <v>-4.9999999999999933E-2</v>
      </c>
      <c r="K907" s="126"/>
      <c r="L907" s="403">
        <f t="shared" si="105"/>
        <v>44705</v>
      </c>
      <c r="M907" s="94" t="str">
        <f t="shared" si="106"/>
        <v>TUE</v>
      </c>
      <c r="O907" s="383">
        <f t="shared" si="102"/>
        <v>1</v>
      </c>
      <c r="P907" s="392">
        <f t="shared" si="101"/>
        <v>1.0000216666666666</v>
      </c>
    </row>
    <row r="908" spans="2:16">
      <c r="B908" s="41"/>
      <c r="C908" s="403">
        <f t="shared" si="103"/>
        <v>44706</v>
      </c>
      <c r="D908" s="94" t="str">
        <f>VLOOKUP(MOD(C908,7),'CALENDAR INFO'!$G$5:$H$11,2)</f>
        <v>WED</v>
      </c>
      <c r="E908" s="165">
        <v>0.83</v>
      </c>
      <c r="F908" s="336">
        <v>0.78</v>
      </c>
      <c r="G908" s="411">
        <f t="shared" si="104"/>
        <v>-4.9999999999999933E-2</v>
      </c>
      <c r="K908" s="126"/>
      <c r="L908" s="403">
        <f t="shared" si="105"/>
        <v>44706</v>
      </c>
      <c r="M908" s="94" t="str">
        <f t="shared" si="106"/>
        <v>WED</v>
      </c>
      <c r="O908" s="383">
        <f t="shared" si="102"/>
        <v>1</v>
      </c>
      <c r="P908" s="392">
        <f t="shared" si="101"/>
        <v>1.0000216666666666</v>
      </c>
    </row>
    <row r="909" spans="2:16">
      <c r="B909" s="41"/>
      <c r="C909" s="403">
        <f t="shared" si="103"/>
        <v>44707</v>
      </c>
      <c r="D909" s="94" t="str">
        <f>VLOOKUP(MOD(C909,7),'CALENDAR INFO'!$G$5:$H$11,2)</f>
        <v>THU</v>
      </c>
      <c r="E909" s="165">
        <v>0.83</v>
      </c>
      <c r="F909" s="336">
        <v>0.78</v>
      </c>
      <c r="G909" s="411">
        <f t="shared" si="104"/>
        <v>-4.9999999999999933E-2</v>
      </c>
      <c r="K909" s="126"/>
      <c r="L909" s="403">
        <f t="shared" si="105"/>
        <v>44707</v>
      </c>
      <c r="M909" s="94" t="str">
        <f t="shared" si="106"/>
        <v>THU</v>
      </c>
      <c r="O909" s="383">
        <f t="shared" si="102"/>
        <v>1</v>
      </c>
      <c r="P909" s="392">
        <f t="shared" si="101"/>
        <v>1.0000216666666666</v>
      </c>
    </row>
    <row r="910" spans="2:16">
      <c r="B910" s="41"/>
      <c r="C910" s="403">
        <f t="shared" si="103"/>
        <v>44708</v>
      </c>
      <c r="D910" s="94" t="str">
        <f>VLOOKUP(MOD(C910,7),'CALENDAR INFO'!$G$5:$H$11,2)</f>
        <v>FRI</v>
      </c>
      <c r="E910" s="165">
        <v>0.83</v>
      </c>
      <c r="F910" s="336">
        <v>0.78</v>
      </c>
      <c r="G910" s="411">
        <f t="shared" si="104"/>
        <v>-4.9999999999999933E-2</v>
      </c>
      <c r="I910" s="137"/>
      <c r="K910" s="126"/>
      <c r="L910" s="403">
        <f t="shared" si="105"/>
        <v>44708</v>
      </c>
      <c r="M910" s="94" t="str">
        <f t="shared" si="106"/>
        <v>FRI</v>
      </c>
      <c r="O910" s="384">
        <v>4</v>
      </c>
      <c r="P910" s="392">
        <f t="shared" si="101"/>
        <v>1.0000866666666666</v>
      </c>
    </row>
    <row r="911" spans="2:16">
      <c r="B911" s="41"/>
      <c r="C911" s="403">
        <f t="shared" si="103"/>
        <v>44709</v>
      </c>
      <c r="D911" s="94" t="str">
        <f>VLOOKUP(MOD(C911,7),'CALENDAR INFO'!$G$5:$H$11,2)</f>
        <v>SAT</v>
      </c>
      <c r="E911" s="165">
        <v>0.83</v>
      </c>
      <c r="F911" s="336">
        <v>0.78</v>
      </c>
      <c r="G911" s="411">
        <f t="shared" si="104"/>
        <v>-4.9999999999999933E-2</v>
      </c>
      <c r="H911" s="115"/>
      <c r="I911" s="141"/>
      <c r="J911" s="158"/>
      <c r="K911" s="126"/>
      <c r="L911" s="403">
        <f t="shared" si="105"/>
        <v>44709</v>
      </c>
      <c r="M911" s="94" t="str">
        <f t="shared" si="106"/>
        <v>SAT</v>
      </c>
      <c r="O911" s="383">
        <f>IF(MOD(C911,7)&lt;2,0,IF(MOD(C911,7)=6,3,1))</f>
        <v>0</v>
      </c>
      <c r="P911" s="392">
        <f t="shared" si="101"/>
        <v>1</v>
      </c>
    </row>
    <row r="912" spans="2:16">
      <c r="B912" s="41"/>
      <c r="C912" s="403">
        <f t="shared" si="103"/>
        <v>44710</v>
      </c>
      <c r="D912" s="94" t="str">
        <f>VLOOKUP(MOD(C912,7),'CALENDAR INFO'!$G$5:$H$11,2)</f>
        <v>SUN</v>
      </c>
      <c r="E912" s="165">
        <v>0.83</v>
      </c>
      <c r="F912" s="336">
        <v>0.78</v>
      </c>
      <c r="G912" s="411">
        <f t="shared" si="104"/>
        <v>-4.9999999999999933E-2</v>
      </c>
      <c r="H912" s="115"/>
      <c r="I912" s="148"/>
      <c r="J912" s="160"/>
      <c r="K912" s="126"/>
      <c r="L912" s="403">
        <f t="shared" si="105"/>
        <v>44710</v>
      </c>
      <c r="M912" s="94" t="str">
        <f t="shared" si="106"/>
        <v>SUN</v>
      </c>
      <c r="O912" s="383">
        <f>IF(MOD(C912,7)&lt;2,0,IF(MOD(C912,7)=6,3,1))</f>
        <v>0</v>
      </c>
      <c r="P912" s="392">
        <f t="shared" si="101"/>
        <v>1</v>
      </c>
    </row>
    <row r="913" spans="1:18">
      <c r="B913" s="41"/>
      <c r="C913" s="403">
        <f t="shared" si="103"/>
        <v>44711</v>
      </c>
      <c r="D913" s="94" t="str">
        <f>VLOOKUP(MOD(C913,7),'CALENDAR INFO'!$G$5:$H$11,2)</f>
        <v>MON</v>
      </c>
      <c r="E913" s="165">
        <v>0.83</v>
      </c>
      <c r="F913" s="336">
        <v>0.78</v>
      </c>
      <c r="G913" s="411">
        <f t="shared" si="104"/>
        <v>-4.9999999999999933E-2</v>
      </c>
      <c r="H913" s="115"/>
      <c r="I913" s="141"/>
      <c r="J913" s="158"/>
      <c r="K913" s="126"/>
      <c r="L913" s="403">
        <f t="shared" si="105"/>
        <v>44711</v>
      </c>
      <c r="M913" s="94" t="str">
        <f t="shared" si="106"/>
        <v>MON</v>
      </c>
      <c r="N913" s="132" t="s">
        <v>40</v>
      </c>
      <c r="O913" s="384">
        <v>0</v>
      </c>
      <c r="P913" s="392">
        <f t="shared" si="101"/>
        <v>1</v>
      </c>
    </row>
    <row r="914" spans="1:18" ht="15.75" thickBot="1">
      <c r="A914" s="81"/>
      <c r="B914" s="178"/>
      <c r="C914" s="404">
        <f t="shared" si="103"/>
        <v>44712</v>
      </c>
      <c r="D914" s="103" t="str">
        <f>VLOOKUP(MOD(C914,7),'CALENDAR INFO'!$G$5:$H$11,2)</f>
        <v>TUE</v>
      </c>
      <c r="E914" s="166">
        <v>0.83</v>
      </c>
      <c r="F914" s="337">
        <v>0.79</v>
      </c>
      <c r="G914" s="412">
        <f t="shared" si="104"/>
        <v>-3.9999999999999925E-2</v>
      </c>
      <c r="H914" s="345"/>
      <c r="I914" s="143"/>
      <c r="J914" s="162"/>
      <c r="K914" s="77"/>
      <c r="L914" s="404">
        <f t="shared" si="105"/>
        <v>44712</v>
      </c>
      <c r="M914" s="103" t="str">
        <f t="shared" si="106"/>
        <v>TUE</v>
      </c>
      <c r="N914" s="90"/>
      <c r="O914" s="383">
        <f t="shared" ref="O914:O930" si="107">IF(MOD(C914,7)&lt;2,0,IF(MOD(C914,7)=6,3,1))</f>
        <v>1</v>
      </c>
      <c r="P914" s="388">
        <f t="shared" si="101"/>
        <v>1.0000219444444445</v>
      </c>
    </row>
    <row r="915" spans="1:18">
      <c r="B915" s="41"/>
      <c r="C915" s="403">
        <f t="shared" si="103"/>
        <v>44713</v>
      </c>
      <c r="D915" s="94" t="str">
        <f>VLOOKUP(MOD(C915,7),'CALENDAR INFO'!$G$5:$H$11,2)</f>
        <v>WED</v>
      </c>
      <c r="E915" s="165">
        <v>0.83</v>
      </c>
      <c r="F915" s="336">
        <v>0.8</v>
      </c>
      <c r="G915" s="411">
        <f t="shared" si="104"/>
        <v>-2.9999999999999916E-2</v>
      </c>
      <c r="H915" s="15" t="s">
        <v>149</v>
      </c>
      <c r="I915" s="15">
        <f>ROW(I915)</f>
        <v>915</v>
      </c>
      <c r="J915" s="138">
        <f>I915</f>
        <v>915</v>
      </c>
      <c r="K915" s="126" t="s">
        <v>19</v>
      </c>
      <c r="L915" s="403">
        <f t="shared" si="105"/>
        <v>44713</v>
      </c>
      <c r="M915" s="94" t="str">
        <f t="shared" si="106"/>
        <v>WED</v>
      </c>
      <c r="O915" s="386">
        <f t="shared" si="107"/>
        <v>1</v>
      </c>
      <c r="P915" s="390">
        <f t="shared" ref="P915:P978" si="108">1+(O915/360)*(MAX(F915,B915)/100)</f>
        <v>1.0000222222222221</v>
      </c>
    </row>
    <row r="916" spans="1:18">
      <c r="B916" s="41"/>
      <c r="C916" s="403">
        <f t="shared" si="103"/>
        <v>44714</v>
      </c>
      <c r="D916" s="94" t="str">
        <f>VLOOKUP(MOD(C916,7),'CALENDAR INFO'!$G$5:$H$11,2)</f>
        <v>THU</v>
      </c>
      <c r="E916" s="165">
        <v>0.83</v>
      </c>
      <c r="F916" s="336">
        <v>0.79</v>
      </c>
      <c r="G916" s="411">
        <f t="shared" si="104"/>
        <v>-3.9999999999999925E-2</v>
      </c>
      <c r="H916" s="376" t="s">
        <v>210</v>
      </c>
      <c r="I916" s="15">
        <f>VLOOKUP(MONTH($C915),'CALENDAR INFO'!$J$5:$K$16,2)</f>
        <v>30</v>
      </c>
      <c r="J916" s="138">
        <f>I916</f>
        <v>30</v>
      </c>
      <c r="K916" s="129" t="s">
        <v>18</v>
      </c>
      <c r="L916" s="403">
        <f t="shared" si="105"/>
        <v>44714</v>
      </c>
      <c r="M916" s="94" t="str">
        <f t="shared" si="106"/>
        <v>THU</v>
      </c>
      <c r="O916" s="383">
        <f t="shared" si="107"/>
        <v>1</v>
      </c>
      <c r="P916" s="392">
        <f t="shared" si="108"/>
        <v>1.0000219444444445</v>
      </c>
    </row>
    <row r="917" spans="1:18">
      <c r="B917" s="41"/>
      <c r="C917" s="403">
        <f t="shared" si="103"/>
        <v>44715</v>
      </c>
      <c r="D917" s="94" t="str">
        <f>VLOOKUP(MOD(C917,7),'CALENDAR INFO'!$G$5:$H$11,2)</f>
        <v>FRI</v>
      </c>
      <c r="E917" s="165">
        <v>0.83</v>
      </c>
      <c r="F917" s="336">
        <v>0.78</v>
      </c>
      <c r="G917" s="411">
        <f t="shared" si="104"/>
        <v>-4.9999999999999933E-2</v>
      </c>
      <c r="H917" s="376" t="s">
        <v>211</v>
      </c>
      <c r="I917" s="15">
        <f>I916+I915-1</f>
        <v>944</v>
      </c>
      <c r="J917" s="138">
        <f>I917</f>
        <v>944</v>
      </c>
      <c r="K917" s="129"/>
      <c r="L917" s="403">
        <f t="shared" si="105"/>
        <v>44715</v>
      </c>
      <c r="M917" s="94" t="str">
        <f t="shared" si="106"/>
        <v>FRI</v>
      </c>
      <c r="O917" s="383">
        <f t="shared" si="107"/>
        <v>3</v>
      </c>
      <c r="P917" s="392">
        <f t="shared" si="108"/>
        <v>1.000065</v>
      </c>
    </row>
    <row r="918" spans="1:18">
      <c r="B918" s="41"/>
      <c r="C918" s="403">
        <f t="shared" si="103"/>
        <v>44716</v>
      </c>
      <c r="D918" s="94" t="str">
        <f>VLOOKUP(MOD(C918,7),'CALENDAR INFO'!$G$5:$H$11,2)</f>
        <v>SAT</v>
      </c>
      <c r="E918" s="165">
        <v>0.83</v>
      </c>
      <c r="F918" s="336">
        <v>0.78</v>
      </c>
      <c r="G918" s="411">
        <f t="shared" si="104"/>
        <v>-4.9999999999999933E-2</v>
      </c>
      <c r="K918" s="129"/>
      <c r="L918" s="403">
        <f t="shared" si="105"/>
        <v>44716</v>
      </c>
      <c r="M918" s="94" t="str">
        <f t="shared" si="106"/>
        <v>SAT</v>
      </c>
      <c r="O918" s="383">
        <f t="shared" si="107"/>
        <v>0</v>
      </c>
      <c r="P918" s="392">
        <f t="shared" si="108"/>
        <v>1</v>
      </c>
    </row>
    <row r="919" spans="1:18">
      <c r="B919" s="41"/>
      <c r="C919" s="403">
        <f t="shared" si="103"/>
        <v>44717</v>
      </c>
      <c r="D919" s="94" t="str">
        <f>VLOOKUP(MOD(C919,7),'CALENDAR INFO'!$G$5:$H$11,2)</f>
        <v>SUN</v>
      </c>
      <c r="E919" s="165">
        <v>0.83</v>
      </c>
      <c r="F919" s="336">
        <v>0.78</v>
      </c>
      <c r="G919" s="411">
        <f t="shared" si="104"/>
        <v>-4.9999999999999933E-2</v>
      </c>
      <c r="H919" s="15" t="s">
        <v>150</v>
      </c>
      <c r="I919" s="137" t="str">
        <f>_xlfn.CONCAT(ADDRESS(I915,5),":",ADDRESS(I917,5))</f>
        <v>$E$915:$E$944</v>
      </c>
      <c r="J919" s="150" t="str">
        <f>_xlfn.CONCAT(ADDRESS(J915,6),":",ADDRESS(J917,6))</f>
        <v>$F$915:$F$944</v>
      </c>
      <c r="K919" s="129"/>
      <c r="L919" s="403">
        <f t="shared" si="105"/>
        <v>44717</v>
      </c>
      <c r="M919" s="94" t="str">
        <f t="shared" si="106"/>
        <v>SUN</v>
      </c>
      <c r="O919" s="383">
        <f t="shared" si="107"/>
        <v>0</v>
      </c>
      <c r="P919" s="392">
        <f t="shared" si="108"/>
        <v>1</v>
      </c>
    </row>
    <row r="920" spans="1:18">
      <c r="B920" s="41"/>
      <c r="C920" s="403">
        <f t="shared" si="103"/>
        <v>44718</v>
      </c>
      <c r="D920" s="94" t="str">
        <f>VLOOKUP(MOD(C920,7),'CALENDAR INFO'!$G$5:$H$11,2)</f>
        <v>MON</v>
      </c>
      <c r="E920" s="165">
        <v>0.83</v>
      </c>
      <c r="F920" s="336">
        <v>0.78</v>
      </c>
      <c r="G920" s="411">
        <f t="shared" si="104"/>
        <v>-4.9999999999999933E-2</v>
      </c>
      <c r="K920" s="129"/>
      <c r="L920" s="403">
        <f t="shared" si="105"/>
        <v>44718</v>
      </c>
      <c r="M920" s="94" t="str">
        <f t="shared" si="106"/>
        <v>MON</v>
      </c>
      <c r="O920" s="383">
        <f t="shared" si="107"/>
        <v>1</v>
      </c>
      <c r="P920" s="392">
        <f t="shared" si="108"/>
        <v>1.0000216666666666</v>
      </c>
    </row>
    <row r="921" spans="1:18">
      <c r="B921" s="41"/>
      <c r="C921" s="403">
        <f t="shared" si="103"/>
        <v>44719</v>
      </c>
      <c r="D921" s="94" t="str">
        <f>VLOOKUP(MOD(C921,7),'CALENDAR INFO'!$G$5:$H$11,2)</f>
        <v>TUE</v>
      </c>
      <c r="E921" s="165">
        <v>0.83</v>
      </c>
      <c r="F921" s="336">
        <v>0.77</v>
      </c>
      <c r="G921" s="411">
        <f t="shared" si="104"/>
        <v>-5.9999999999999942E-2</v>
      </c>
      <c r="H921" s="376" t="s">
        <v>221</v>
      </c>
      <c r="I921" s="147">
        <f ca="1">AVERAGE(INDIRECT(I919))</f>
        <v>1.2049999999999992</v>
      </c>
      <c r="J921" s="326">
        <f ca="1">AVERAGE(INDIRECT(J919))</f>
        <v>1.1119999999999999</v>
      </c>
      <c r="K921" s="129"/>
      <c r="L921" s="403">
        <f t="shared" si="105"/>
        <v>44719</v>
      </c>
      <c r="M921" s="94" t="str">
        <f t="shared" si="106"/>
        <v>TUE</v>
      </c>
      <c r="O921" s="383">
        <f t="shared" si="107"/>
        <v>1</v>
      </c>
      <c r="P921" s="392">
        <f t="shared" si="108"/>
        <v>1.0000213888888889</v>
      </c>
    </row>
    <row r="922" spans="1:18">
      <c r="B922" s="41"/>
      <c r="C922" s="403">
        <f t="shared" si="103"/>
        <v>44720</v>
      </c>
      <c r="D922" s="94" t="str">
        <f>VLOOKUP(MOD(C922,7),'CALENDAR INFO'!$G$5:$H$11,2)</f>
        <v>WED</v>
      </c>
      <c r="E922" s="165">
        <v>0.83</v>
      </c>
      <c r="F922" s="336">
        <v>0.76</v>
      </c>
      <c r="G922" s="411">
        <f t="shared" si="104"/>
        <v>-6.9999999999999951E-2</v>
      </c>
      <c r="I922" s="240"/>
      <c r="J922" s="157"/>
      <c r="K922" s="129"/>
      <c r="L922" s="403">
        <f t="shared" si="105"/>
        <v>44720</v>
      </c>
      <c r="M922" s="94" t="str">
        <f t="shared" si="106"/>
        <v>WED</v>
      </c>
      <c r="O922" s="383">
        <f t="shared" si="107"/>
        <v>1</v>
      </c>
      <c r="P922" s="392">
        <f t="shared" si="108"/>
        <v>1.000021111111111</v>
      </c>
    </row>
    <row r="923" spans="1:18">
      <c r="B923" s="41"/>
      <c r="C923" s="403">
        <f t="shared" si="103"/>
        <v>44721</v>
      </c>
      <c r="D923" s="94" t="str">
        <f>VLOOKUP(MOD(C923,7),'CALENDAR INFO'!$G$5:$H$11,2)</f>
        <v>THU</v>
      </c>
      <c r="E923" s="165">
        <v>0.83</v>
      </c>
      <c r="F923" s="336">
        <v>0.75</v>
      </c>
      <c r="G923" s="411">
        <f t="shared" si="104"/>
        <v>-7.999999999999996E-2</v>
      </c>
      <c r="H923" s="15" t="s">
        <v>222</v>
      </c>
      <c r="I923" s="147">
        <f ca="1">100-I921</f>
        <v>98.795000000000002</v>
      </c>
      <c r="J923" s="326">
        <f ca="1">100-J921</f>
        <v>98.888000000000005</v>
      </c>
      <c r="K923" s="129"/>
      <c r="L923" s="403">
        <f t="shared" si="105"/>
        <v>44721</v>
      </c>
      <c r="M923" s="94" t="str">
        <f t="shared" si="106"/>
        <v>THU</v>
      </c>
      <c r="O923" s="383">
        <f t="shared" si="107"/>
        <v>1</v>
      </c>
      <c r="P923" s="392">
        <f t="shared" si="108"/>
        <v>1.0000208333333334</v>
      </c>
    </row>
    <row r="924" spans="1:18">
      <c r="B924" s="41"/>
      <c r="C924" s="403">
        <f t="shared" si="103"/>
        <v>44722</v>
      </c>
      <c r="D924" s="94" t="str">
        <f>VLOOKUP(MOD(C924,7),'CALENDAR INFO'!$G$5:$H$11,2)</f>
        <v>FRI</v>
      </c>
      <c r="E924" s="165">
        <v>0.83</v>
      </c>
      <c r="F924" s="336">
        <v>0.75</v>
      </c>
      <c r="G924" s="411">
        <f t="shared" si="104"/>
        <v>-7.999999999999996E-2</v>
      </c>
      <c r="K924" s="129"/>
      <c r="L924" s="403">
        <f t="shared" si="105"/>
        <v>44722</v>
      </c>
      <c r="M924" s="94" t="str">
        <f t="shared" si="106"/>
        <v>FRI</v>
      </c>
      <c r="O924" s="383">
        <f t="shared" si="107"/>
        <v>3</v>
      </c>
      <c r="P924" s="392">
        <f t="shared" si="108"/>
        <v>1.0000625000000001</v>
      </c>
    </row>
    <row r="925" spans="1:18">
      <c r="B925" s="41"/>
      <c r="C925" s="403">
        <f t="shared" si="103"/>
        <v>44723</v>
      </c>
      <c r="D925" s="94" t="str">
        <f>VLOOKUP(MOD(C925,7),'CALENDAR INFO'!$G$5:$H$11,2)</f>
        <v>SAT</v>
      </c>
      <c r="E925" s="165">
        <v>0.83</v>
      </c>
      <c r="F925" s="336">
        <v>0.75</v>
      </c>
      <c r="G925" s="411">
        <f t="shared" si="104"/>
        <v>-7.999999999999996E-2</v>
      </c>
      <c r="H925" s="136"/>
      <c r="I925" s="139"/>
      <c r="J925" s="151"/>
      <c r="K925" s="129"/>
      <c r="L925" s="403">
        <f t="shared" si="105"/>
        <v>44723</v>
      </c>
      <c r="M925" s="94" t="str">
        <f t="shared" si="106"/>
        <v>SAT</v>
      </c>
      <c r="O925" s="383">
        <f t="shared" si="107"/>
        <v>0</v>
      </c>
      <c r="P925" s="392">
        <f t="shared" si="108"/>
        <v>1</v>
      </c>
      <c r="Q925" s="331" t="s">
        <v>92</v>
      </c>
      <c r="R925" s="75"/>
    </row>
    <row r="926" spans="1:18">
      <c r="B926" s="41"/>
      <c r="C926" s="403">
        <f t="shared" si="103"/>
        <v>44724</v>
      </c>
      <c r="D926" s="94" t="str">
        <f>VLOOKUP(MOD(C926,7),'CALENDAR INFO'!$G$5:$H$11,2)</f>
        <v>SUN</v>
      </c>
      <c r="E926" s="165">
        <v>0.83</v>
      </c>
      <c r="F926" s="336">
        <v>0.75</v>
      </c>
      <c r="G926" s="411">
        <f t="shared" si="104"/>
        <v>-7.999999999999996E-2</v>
      </c>
      <c r="K926" s="129"/>
      <c r="L926" s="403">
        <f t="shared" si="105"/>
        <v>44724</v>
      </c>
      <c r="M926" s="94" t="str">
        <f t="shared" si="106"/>
        <v>SUN</v>
      </c>
      <c r="O926" s="383">
        <f t="shared" si="107"/>
        <v>0</v>
      </c>
      <c r="P926" s="392">
        <f t="shared" si="108"/>
        <v>1</v>
      </c>
      <c r="Q926" s="331" t="s">
        <v>76</v>
      </c>
      <c r="R926" s="100"/>
    </row>
    <row r="927" spans="1:18">
      <c r="B927" s="41"/>
      <c r="C927" s="403">
        <f t="shared" si="103"/>
        <v>44725</v>
      </c>
      <c r="D927" s="94" t="str">
        <f>VLOOKUP(MOD(C927,7),'CALENDAR INFO'!$G$5:$H$11,2)</f>
        <v>MON</v>
      </c>
      <c r="E927" s="165">
        <v>0.83</v>
      </c>
      <c r="F927" s="336">
        <v>0.73</v>
      </c>
      <c r="G927" s="411">
        <f t="shared" si="104"/>
        <v>-9.9999999999999978E-2</v>
      </c>
      <c r="H927" s="136"/>
      <c r="I927" s="139"/>
      <c r="J927" s="151"/>
      <c r="K927" s="129"/>
      <c r="L927" s="403">
        <f t="shared" si="105"/>
        <v>44725</v>
      </c>
      <c r="M927" s="94" t="str">
        <f t="shared" si="106"/>
        <v>MON</v>
      </c>
      <c r="O927" s="383">
        <f t="shared" si="107"/>
        <v>1</v>
      </c>
      <c r="P927" s="392">
        <f t="shared" si="108"/>
        <v>1.0000202777777778</v>
      </c>
    </row>
    <row r="928" spans="1:18">
      <c r="B928" s="41"/>
      <c r="C928" s="403">
        <f t="shared" si="103"/>
        <v>44726</v>
      </c>
      <c r="D928" s="94" t="str">
        <f>VLOOKUP(MOD(C928,7),'CALENDAR INFO'!$G$5:$H$11,2)</f>
        <v>TUE</v>
      </c>
      <c r="E928" s="165">
        <v>0.83</v>
      </c>
      <c r="F928" s="336">
        <v>0.69</v>
      </c>
      <c r="G928" s="411">
        <f t="shared" si="104"/>
        <v>-0.14000000000000001</v>
      </c>
      <c r="K928" s="129"/>
      <c r="L928" s="403">
        <f t="shared" si="105"/>
        <v>44726</v>
      </c>
      <c r="M928" s="94" t="str">
        <f t="shared" si="106"/>
        <v>TUE</v>
      </c>
      <c r="N928" s="116" t="s">
        <v>20</v>
      </c>
      <c r="O928" s="383">
        <f t="shared" si="107"/>
        <v>1</v>
      </c>
      <c r="P928" s="392">
        <f t="shared" si="108"/>
        <v>1.0000191666666667</v>
      </c>
    </row>
    <row r="929" spans="1:16">
      <c r="B929" s="182"/>
      <c r="C929" s="403">
        <f t="shared" si="103"/>
        <v>44727</v>
      </c>
      <c r="D929" s="94" t="str">
        <f>VLOOKUP(MOD(C929,7),'CALENDAR INFO'!$G$5:$H$11,2)</f>
        <v>WED</v>
      </c>
      <c r="E929" s="165">
        <v>0.83</v>
      </c>
      <c r="F929" s="336">
        <v>0.7</v>
      </c>
      <c r="G929" s="411">
        <f t="shared" si="104"/>
        <v>-0.13</v>
      </c>
      <c r="H929" s="135"/>
      <c r="I929" s="144"/>
      <c r="J929" s="152"/>
      <c r="K929" s="129" t="s">
        <v>19</v>
      </c>
      <c r="L929" s="403">
        <f t="shared" si="105"/>
        <v>44727</v>
      </c>
      <c r="M929" s="94" t="str">
        <f t="shared" si="106"/>
        <v>WED</v>
      </c>
      <c r="N929" s="116" t="s">
        <v>20</v>
      </c>
      <c r="O929" s="383">
        <f t="shared" si="107"/>
        <v>1</v>
      </c>
      <c r="P929" s="392">
        <f t="shared" si="108"/>
        <v>1.0000194444444443</v>
      </c>
    </row>
    <row r="930" spans="1:16">
      <c r="A930" s="42"/>
      <c r="B930" s="41"/>
      <c r="C930" s="403">
        <f t="shared" si="103"/>
        <v>44728</v>
      </c>
      <c r="D930" s="94" t="str">
        <f>VLOOKUP(MOD(C930,7),'CALENDAR INFO'!$G$5:$H$11,2)</f>
        <v>THU</v>
      </c>
      <c r="E930" s="170">
        <v>1.58</v>
      </c>
      <c r="F930" s="342">
        <v>1.45</v>
      </c>
      <c r="G930" s="411">
        <f t="shared" si="104"/>
        <v>-0.13000000000000012</v>
      </c>
      <c r="K930" s="126" t="s">
        <v>18</v>
      </c>
      <c r="L930" s="403">
        <f t="shared" si="105"/>
        <v>44728</v>
      </c>
      <c r="M930" s="94" t="str">
        <f t="shared" si="106"/>
        <v>THU</v>
      </c>
      <c r="O930" s="383">
        <f t="shared" si="107"/>
        <v>1</v>
      </c>
      <c r="P930" s="392">
        <f t="shared" si="108"/>
        <v>1.0000402777777777</v>
      </c>
    </row>
    <row r="931" spans="1:16">
      <c r="B931" s="41"/>
      <c r="C931" s="403">
        <f t="shared" si="103"/>
        <v>44729</v>
      </c>
      <c r="D931" s="94" t="str">
        <f>VLOOKUP(MOD(C931,7),'CALENDAR INFO'!$G$5:$H$11,2)</f>
        <v>FRI</v>
      </c>
      <c r="E931" s="165">
        <v>1.58</v>
      </c>
      <c r="F931" s="336">
        <v>1.45</v>
      </c>
      <c r="G931" s="411">
        <f t="shared" si="104"/>
        <v>-0.13000000000000012</v>
      </c>
      <c r="K931" s="126"/>
      <c r="L931" s="403">
        <f t="shared" si="105"/>
        <v>44729</v>
      </c>
      <c r="M931" s="94" t="str">
        <f t="shared" si="106"/>
        <v>FRI</v>
      </c>
      <c r="O931" s="384">
        <v>4</v>
      </c>
      <c r="P931" s="392">
        <f t="shared" si="108"/>
        <v>1.0001611111111111</v>
      </c>
    </row>
    <row r="932" spans="1:16">
      <c r="B932" s="41"/>
      <c r="C932" s="403">
        <f t="shared" si="103"/>
        <v>44730</v>
      </c>
      <c r="D932" s="94" t="str">
        <f>VLOOKUP(MOD(C932,7),'CALENDAR INFO'!$G$5:$H$11,2)</f>
        <v>SAT</v>
      </c>
      <c r="E932" s="165">
        <v>1.58</v>
      </c>
      <c r="F932" s="336">
        <v>1.45</v>
      </c>
      <c r="G932" s="411">
        <f t="shared" si="104"/>
        <v>-0.13000000000000012</v>
      </c>
      <c r="K932" s="126"/>
      <c r="L932" s="403">
        <f t="shared" si="105"/>
        <v>44730</v>
      </c>
      <c r="M932" s="94" t="str">
        <f t="shared" si="106"/>
        <v>SAT</v>
      </c>
      <c r="O932" s="383">
        <f>IF(MOD(C932,7)&lt;2,0,IF(MOD(C932,7)=6,3,1))</f>
        <v>0</v>
      </c>
      <c r="P932" s="392">
        <f t="shared" si="108"/>
        <v>1</v>
      </c>
    </row>
    <row r="933" spans="1:16">
      <c r="B933" s="41"/>
      <c r="C933" s="403">
        <f t="shared" si="103"/>
        <v>44731</v>
      </c>
      <c r="D933" s="94" t="str">
        <f>VLOOKUP(MOD(C933,7),'CALENDAR INFO'!$G$5:$H$11,2)</f>
        <v>SUN</v>
      </c>
      <c r="E933" s="165">
        <v>1.58</v>
      </c>
      <c r="F933" s="336">
        <v>1.45</v>
      </c>
      <c r="G933" s="411">
        <f t="shared" si="104"/>
        <v>-0.13000000000000012</v>
      </c>
      <c r="K933" s="126"/>
      <c r="L933" s="403">
        <f t="shared" si="105"/>
        <v>44731</v>
      </c>
      <c r="M933" s="94" t="str">
        <f t="shared" si="106"/>
        <v>SUN</v>
      </c>
      <c r="O933" s="383">
        <f>IF(MOD(C933,7)&lt;2,0,IF(MOD(C933,7)=6,3,1))</f>
        <v>0</v>
      </c>
      <c r="P933" s="392">
        <f t="shared" si="108"/>
        <v>1</v>
      </c>
    </row>
    <row r="934" spans="1:16">
      <c r="B934" s="41"/>
      <c r="C934" s="403">
        <f t="shared" si="103"/>
        <v>44732</v>
      </c>
      <c r="D934" s="94" t="str">
        <f>VLOOKUP(MOD(C934,7),'CALENDAR INFO'!$G$5:$H$11,2)</f>
        <v>MON</v>
      </c>
      <c r="E934" s="165">
        <v>1.58</v>
      </c>
      <c r="F934" s="336">
        <v>1.45</v>
      </c>
      <c r="G934" s="411">
        <f t="shared" si="104"/>
        <v>-0.13000000000000012</v>
      </c>
      <c r="K934" s="126"/>
      <c r="L934" s="403">
        <f t="shared" si="105"/>
        <v>44732</v>
      </c>
      <c r="M934" s="94" t="str">
        <f t="shared" si="106"/>
        <v>MON</v>
      </c>
      <c r="N934" s="132" t="s">
        <v>126</v>
      </c>
      <c r="O934" s="384">
        <v>0</v>
      </c>
      <c r="P934" s="392">
        <f t="shared" si="108"/>
        <v>1</v>
      </c>
    </row>
    <row r="935" spans="1:16">
      <c r="B935" s="41"/>
      <c r="C935" s="403">
        <f t="shared" si="103"/>
        <v>44733</v>
      </c>
      <c r="D935" s="94" t="str">
        <f>VLOOKUP(MOD(C935,7),'CALENDAR INFO'!$G$5:$H$11,2)</f>
        <v>TUE</v>
      </c>
      <c r="E935" s="165">
        <v>1.58</v>
      </c>
      <c r="F935" s="336">
        <v>1.45</v>
      </c>
      <c r="G935" s="411">
        <f t="shared" si="104"/>
        <v>-0.13000000000000012</v>
      </c>
      <c r="K935" s="126"/>
      <c r="L935" s="403">
        <f t="shared" si="105"/>
        <v>44733</v>
      </c>
      <c r="M935" s="94" t="str">
        <f t="shared" si="106"/>
        <v>TUE</v>
      </c>
      <c r="O935" s="383">
        <f t="shared" ref="O935:O944" si="109">IF(MOD(C935,7)&lt;2,0,IF(MOD(C935,7)=6,3,1))</f>
        <v>1</v>
      </c>
      <c r="P935" s="392">
        <f t="shared" si="108"/>
        <v>1.0000402777777777</v>
      </c>
    </row>
    <row r="936" spans="1:16">
      <c r="B936" s="41"/>
      <c r="C936" s="403">
        <f t="shared" si="103"/>
        <v>44734</v>
      </c>
      <c r="D936" s="94" t="str">
        <f>VLOOKUP(MOD(C936,7),'CALENDAR INFO'!$G$5:$H$11,2)</f>
        <v>WED</v>
      </c>
      <c r="E936" s="165">
        <v>1.58</v>
      </c>
      <c r="F936" s="336">
        <v>1.45</v>
      </c>
      <c r="G936" s="411">
        <f t="shared" si="104"/>
        <v>-0.13000000000000012</v>
      </c>
      <c r="K936" s="126"/>
      <c r="L936" s="403">
        <f t="shared" si="105"/>
        <v>44734</v>
      </c>
      <c r="M936" s="94" t="str">
        <f t="shared" si="106"/>
        <v>WED</v>
      </c>
      <c r="O936" s="383">
        <f t="shared" si="109"/>
        <v>1</v>
      </c>
      <c r="P936" s="392">
        <f t="shared" si="108"/>
        <v>1.0000402777777777</v>
      </c>
    </row>
    <row r="937" spans="1:16">
      <c r="B937" s="41"/>
      <c r="C937" s="403">
        <f t="shared" si="103"/>
        <v>44735</v>
      </c>
      <c r="D937" s="94" t="str">
        <f>VLOOKUP(MOD(C937,7),'CALENDAR INFO'!$G$5:$H$11,2)</f>
        <v>THU</v>
      </c>
      <c r="E937" s="165">
        <v>1.58</v>
      </c>
      <c r="F937" s="336">
        <v>1.44</v>
      </c>
      <c r="G937" s="411">
        <f t="shared" si="104"/>
        <v>-0.14000000000000012</v>
      </c>
      <c r="K937" s="126"/>
      <c r="L937" s="403">
        <f t="shared" si="105"/>
        <v>44735</v>
      </c>
      <c r="M937" s="94" t="str">
        <f t="shared" si="106"/>
        <v>THU</v>
      </c>
      <c r="O937" s="383">
        <f t="shared" si="109"/>
        <v>1</v>
      </c>
      <c r="P937" s="392">
        <f t="shared" si="108"/>
        <v>1.00004</v>
      </c>
    </row>
    <row r="938" spans="1:16">
      <c r="B938" s="41"/>
      <c r="C938" s="403">
        <f t="shared" si="103"/>
        <v>44736</v>
      </c>
      <c r="D938" s="94" t="str">
        <f>VLOOKUP(MOD(C938,7),'CALENDAR INFO'!$G$5:$H$11,2)</f>
        <v>FRI</v>
      </c>
      <c r="E938" s="165">
        <v>1.58</v>
      </c>
      <c r="F938" s="336">
        <v>1.46</v>
      </c>
      <c r="G938" s="411">
        <f t="shared" si="104"/>
        <v>-0.12000000000000011</v>
      </c>
      <c r="K938" s="126"/>
      <c r="L938" s="403">
        <f t="shared" si="105"/>
        <v>44736</v>
      </c>
      <c r="M938" s="94" t="str">
        <f t="shared" si="106"/>
        <v>FRI</v>
      </c>
      <c r="O938" s="383">
        <f t="shared" si="109"/>
        <v>3</v>
      </c>
      <c r="P938" s="392">
        <f t="shared" si="108"/>
        <v>1.0001216666666666</v>
      </c>
    </row>
    <row r="939" spans="1:16">
      <c r="B939" s="41"/>
      <c r="C939" s="403">
        <f t="shared" si="103"/>
        <v>44737</v>
      </c>
      <c r="D939" s="94" t="str">
        <f>VLOOKUP(MOD(C939,7),'CALENDAR INFO'!$G$5:$H$11,2)</f>
        <v>SAT</v>
      </c>
      <c r="E939" s="165">
        <v>1.58</v>
      </c>
      <c r="F939" s="336">
        <v>1.46</v>
      </c>
      <c r="G939" s="411">
        <f t="shared" si="104"/>
        <v>-0.12000000000000011</v>
      </c>
      <c r="K939" s="126"/>
      <c r="L939" s="403">
        <f t="shared" si="105"/>
        <v>44737</v>
      </c>
      <c r="M939" s="94" t="str">
        <f t="shared" si="106"/>
        <v>SAT</v>
      </c>
      <c r="O939" s="383">
        <f t="shared" si="109"/>
        <v>0</v>
      </c>
      <c r="P939" s="392">
        <f t="shared" si="108"/>
        <v>1</v>
      </c>
    </row>
    <row r="940" spans="1:16">
      <c r="B940" s="41"/>
      <c r="C940" s="403">
        <f t="shared" si="103"/>
        <v>44738</v>
      </c>
      <c r="D940" s="94" t="str">
        <f>VLOOKUP(MOD(C940,7),'CALENDAR INFO'!$G$5:$H$11,2)</f>
        <v>SUN</v>
      </c>
      <c r="E940" s="165">
        <v>1.58</v>
      </c>
      <c r="F940" s="336">
        <v>1.46</v>
      </c>
      <c r="G940" s="411">
        <f t="shared" si="104"/>
        <v>-0.12000000000000011</v>
      </c>
      <c r="K940" s="126"/>
      <c r="L940" s="403">
        <f t="shared" si="105"/>
        <v>44738</v>
      </c>
      <c r="M940" s="94" t="str">
        <f t="shared" si="106"/>
        <v>SUN</v>
      </c>
      <c r="O940" s="383">
        <f t="shared" si="109"/>
        <v>0</v>
      </c>
      <c r="P940" s="392">
        <f t="shared" si="108"/>
        <v>1</v>
      </c>
    </row>
    <row r="941" spans="1:16">
      <c r="B941" s="41"/>
      <c r="C941" s="403">
        <f t="shared" si="103"/>
        <v>44739</v>
      </c>
      <c r="D941" s="94" t="str">
        <f>VLOOKUP(MOD(C941,7),'CALENDAR INFO'!$G$5:$H$11,2)</f>
        <v>MON</v>
      </c>
      <c r="E941" s="165">
        <v>1.58</v>
      </c>
      <c r="F941" s="336">
        <v>1.5</v>
      </c>
      <c r="G941" s="411">
        <f t="shared" si="104"/>
        <v>-8.0000000000000071E-2</v>
      </c>
      <c r="I941" s="137"/>
      <c r="K941" s="126"/>
      <c r="L941" s="403">
        <f t="shared" si="105"/>
        <v>44739</v>
      </c>
      <c r="M941" s="94" t="str">
        <f t="shared" si="106"/>
        <v>MON</v>
      </c>
      <c r="O941" s="383">
        <f t="shared" si="109"/>
        <v>1</v>
      </c>
      <c r="P941" s="392">
        <f t="shared" si="108"/>
        <v>1.0000416666666667</v>
      </c>
    </row>
    <row r="942" spans="1:16">
      <c r="B942" s="41"/>
      <c r="C942" s="403">
        <f t="shared" si="103"/>
        <v>44740</v>
      </c>
      <c r="D942" s="94" t="str">
        <f>VLOOKUP(MOD(C942,7),'CALENDAR INFO'!$G$5:$H$11,2)</f>
        <v>TUE</v>
      </c>
      <c r="E942" s="165">
        <v>1.58</v>
      </c>
      <c r="F942" s="336">
        <v>1.52</v>
      </c>
      <c r="G942" s="411">
        <f t="shared" si="104"/>
        <v>-6.0000000000000053E-2</v>
      </c>
      <c r="H942" s="115"/>
      <c r="I942" s="148"/>
      <c r="J942" s="160"/>
      <c r="K942" s="126"/>
      <c r="L942" s="403">
        <f t="shared" si="105"/>
        <v>44740</v>
      </c>
      <c r="M942" s="94" t="str">
        <f t="shared" si="106"/>
        <v>TUE</v>
      </c>
      <c r="O942" s="383">
        <f t="shared" si="109"/>
        <v>1</v>
      </c>
      <c r="P942" s="392">
        <f t="shared" si="108"/>
        <v>1.0000422222222223</v>
      </c>
    </row>
    <row r="943" spans="1:16">
      <c r="B943" s="41"/>
      <c r="C943" s="403">
        <f t="shared" si="103"/>
        <v>44741</v>
      </c>
      <c r="D943" s="94" t="str">
        <f>VLOOKUP(MOD(C943,7),'CALENDAR INFO'!$G$5:$H$11,2)</f>
        <v>WED</v>
      </c>
      <c r="E943" s="165">
        <v>1.58</v>
      </c>
      <c r="F943" s="336">
        <v>1.51</v>
      </c>
      <c r="G943" s="411">
        <f t="shared" si="104"/>
        <v>-7.0000000000000062E-2</v>
      </c>
      <c r="H943" s="115"/>
      <c r="I943" s="141"/>
      <c r="J943" s="158"/>
      <c r="K943" s="126" t="s">
        <v>19</v>
      </c>
      <c r="L943" s="403">
        <f t="shared" si="105"/>
        <v>44741</v>
      </c>
      <c r="M943" s="94" t="str">
        <f t="shared" si="106"/>
        <v>WED</v>
      </c>
      <c r="O943" s="383">
        <f t="shared" si="109"/>
        <v>1</v>
      </c>
      <c r="P943" s="392">
        <f t="shared" si="108"/>
        <v>1.0000419444444444</v>
      </c>
    </row>
    <row r="944" spans="1:16" ht="15.75" thickBot="1">
      <c r="A944" s="81"/>
      <c r="B944" s="178"/>
      <c r="C944" s="404">
        <f t="shared" si="103"/>
        <v>44742</v>
      </c>
      <c r="D944" s="103" t="str">
        <f>VLOOKUP(MOD(C944,7),'CALENDAR INFO'!$G$5:$H$11,2)</f>
        <v>THU</v>
      </c>
      <c r="E944" s="166">
        <v>1.58</v>
      </c>
      <c r="F944" s="337">
        <v>1.5</v>
      </c>
      <c r="G944" s="412">
        <f t="shared" si="104"/>
        <v>-8.0000000000000071E-2</v>
      </c>
      <c r="H944" s="345"/>
      <c r="I944" s="143"/>
      <c r="J944" s="162"/>
      <c r="K944" s="84" t="s">
        <v>18</v>
      </c>
      <c r="L944" s="404">
        <f t="shared" si="105"/>
        <v>44742</v>
      </c>
      <c r="M944" s="103" t="str">
        <f t="shared" si="106"/>
        <v>THU</v>
      </c>
      <c r="N944" s="90"/>
      <c r="O944" s="382">
        <f t="shared" si="109"/>
        <v>1</v>
      </c>
      <c r="P944" s="388">
        <f t="shared" si="108"/>
        <v>1.0000416666666667</v>
      </c>
    </row>
    <row r="945" spans="2:16">
      <c r="B945" s="41"/>
      <c r="C945" s="403">
        <f t="shared" si="103"/>
        <v>44743</v>
      </c>
      <c r="D945" s="94" t="str">
        <f>VLOOKUP(MOD(C945,7),'CALENDAR INFO'!$G$5:$H$11,2)</f>
        <v>FRI</v>
      </c>
      <c r="E945" s="165">
        <v>1.58</v>
      </c>
      <c r="F945" s="336">
        <v>1.52</v>
      </c>
      <c r="G945" s="411">
        <f t="shared" si="104"/>
        <v>-6.0000000000000053E-2</v>
      </c>
      <c r="H945" s="15" t="s">
        <v>149</v>
      </c>
      <c r="I945" s="15">
        <f>ROW(I945)</f>
        <v>945</v>
      </c>
      <c r="J945" s="138">
        <f>I945</f>
        <v>945</v>
      </c>
      <c r="K945" s="129"/>
      <c r="L945" s="403">
        <f t="shared" si="105"/>
        <v>44743</v>
      </c>
      <c r="M945" s="94" t="str">
        <f t="shared" si="106"/>
        <v>FRI</v>
      </c>
      <c r="O945" s="389">
        <v>4</v>
      </c>
      <c r="P945" s="390">
        <f t="shared" si="108"/>
        <v>1.0001688888888889</v>
      </c>
    </row>
    <row r="946" spans="2:16">
      <c r="B946" s="41"/>
      <c r="C946" s="403">
        <f t="shared" si="103"/>
        <v>44744</v>
      </c>
      <c r="D946" s="94" t="str">
        <f>VLOOKUP(MOD(C946,7),'CALENDAR INFO'!$G$5:$H$11,2)</f>
        <v>SAT</v>
      </c>
      <c r="E946" s="165">
        <v>1.58</v>
      </c>
      <c r="F946" s="336">
        <v>1.52</v>
      </c>
      <c r="G946" s="411">
        <f t="shared" si="104"/>
        <v>-6.0000000000000053E-2</v>
      </c>
      <c r="H946" s="376" t="s">
        <v>210</v>
      </c>
      <c r="I946" s="15">
        <f>VLOOKUP(MONTH($C945),'CALENDAR INFO'!$J$5:$K$16,2)</f>
        <v>31</v>
      </c>
      <c r="J946" s="138">
        <f>I946</f>
        <v>31</v>
      </c>
      <c r="K946" s="129"/>
      <c r="L946" s="403">
        <f t="shared" si="105"/>
        <v>44744</v>
      </c>
      <c r="M946" s="94" t="str">
        <f t="shared" si="106"/>
        <v>SAT</v>
      </c>
      <c r="O946" s="383">
        <f>IF(MOD(C946,7)&lt;2,0,IF(MOD(C946,7)=6,3,1))</f>
        <v>0</v>
      </c>
      <c r="P946" s="392">
        <f t="shared" si="108"/>
        <v>1</v>
      </c>
    </row>
    <row r="947" spans="2:16">
      <c r="B947" s="41"/>
      <c r="C947" s="403">
        <f t="shared" si="103"/>
        <v>44745</v>
      </c>
      <c r="D947" s="94" t="str">
        <f>VLOOKUP(MOD(C947,7),'CALENDAR INFO'!$G$5:$H$11,2)</f>
        <v>SUN</v>
      </c>
      <c r="E947" s="165">
        <v>1.58</v>
      </c>
      <c r="F947" s="336">
        <v>1.52</v>
      </c>
      <c r="G947" s="411">
        <f t="shared" si="104"/>
        <v>-6.0000000000000053E-2</v>
      </c>
      <c r="H947" s="376" t="s">
        <v>211</v>
      </c>
      <c r="I947" s="15">
        <f>I946+I945-1</f>
        <v>975</v>
      </c>
      <c r="J947" s="138">
        <f>I947</f>
        <v>975</v>
      </c>
      <c r="K947" s="129"/>
      <c r="L947" s="403">
        <f t="shared" si="105"/>
        <v>44745</v>
      </c>
      <c r="M947" s="94" t="str">
        <f t="shared" si="106"/>
        <v>SUN</v>
      </c>
      <c r="O947" s="383">
        <f>IF(MOD(C947,7)&lt;2,0,IF(MOD(C947,7)=6,3,1))</f>
        <v>0</v>
      </c>
      <c r="P947" s="392">
        <f t="shared" si="108"/>
        <v>1</v>
      </c>
    </row>
    <row r="948" spans="2:16">
      <c r="B948" s="41"/>
      <c r="C948" s="403">
        <f t="shared" si="103"/>
        <v>44746</v>
      </c>
      <c r="D948" s="94" t="str">
        <f>VLOOKUP(MOD(C948,7),'CALENDAR INFO'!$G$5:$H$11,2)</f>
        <v>MON</v>
      </c>
      <c r="E948" s="165">
        <v>1.58</v>
      </c>
      <c r="F948" s="336">
        <v>1.52</v>
      </c>
      <c r="G948" s="411">
        <f t="shared" si="104"/>
        <v>-6.0000000000000053E-2</v>
      </c>
      <c r="K948" s="129"/>
      <c r="L948" s="403">
        <f t="shared" si="105"/>
        <v>44746</v>
      </c>
      <c r="M948" s="94" t="str">
        <f t="shared" si="106"/>
        <v>MON</v>
      </c>
      <c r="N948" s="132" t="s">
        <v>49</v>
      </c>
      <c r="O948" s="384">
        <v>0</v>
      </c>
      <c r="P948" s="392">
        <f t="shared" si="108"/>
        <v>1</v>
      </c>
    </row>
    <row r="949" spans="2:16">
      <c r="B949" s="41"/>
      <c r="C949" s="403">
        <f t="shared" ref="C949:C1012" si="110">C948+1</f>
        <v>44747</v>
      </c>
      <c r="D949" s="94" t="str">
        <f>VLOOKUP(MOD(C949,7),'CALENDAR INFO'!$G$5:$H$11,2)</f>
        <v>TUE</v>
      </c>
      <c r="E949" s="165">
        <v>1.58</v>
      </c>
      <c r="F949" s="336">
        <v>1.54</v>
      </c>
      <c r="G949" s="411">
        <f t="shared" si="104"/>
        <v>-4.0000000000000036E-2</v>
      </c>
      <c r="H949" s="15" t="s">
        <v>150</v>
      </c>
      <c r="I949" s="137" t="str">
        <f>_xlfn.CONCAT(ADDRESS(I945,5),":",ADDRESS(I947,5))</f>
        <v>$E$945:$E$975</v>
      </c>
      <c r="J949" s="150" t="str">
        <f>_xlfn.CONCAT(ADDRESS(J945,6),":",ADDRESS(J947,6))</f>
        <v>$F$945:$F$975</v>
      </c>
      <c r="K949" s="129"/>
      <c r="L949" s="403">
        <f t="shared" si="105"/>
        <v>44747</v>
      </c>
      <c r="M949" s="94" t="str">
        <f t="shared" si="106"/>
        <v>TUE</v>
      </c>
      <c r="O949" s="383">
        <f t="shared" ref="O949:O980" si="111">IF(MOD(C949,7)&lt;2,0,IF(MOD(C949,7)=6,3,1))</f>
        <v>1</v>
      </c>
      <c r="P949" s="392">
        <f t="shared" si="108"/>
        <v>1.0000427777777778</v>
      </c>
    </row>
    <row r="950" spans="2:16">
      <c r="B950" s="41"/>
      <c r="C950" s="403">
        <f t="shared" si="110"/>
        <v>44748</v>
      </c>
      <c r="D950" s="94" t="str">
        <f>VLOOKUP(MOD(C950,7),'CALENDAR INFO'!$G$5:$H$11,2)</f>
        <v>WED</v>
      </c>
      <c r="E950" s="165">
        <v>1.58</v>
      </c>
      <c r="F950" s="336">
        <v>1.54</v>
      </c>
      <c r="G950" s="411">
        <f t="shared" si="104"/>
        <v>-4.0000000000000036E-2</v>
      </c>
      <c r="K950" s="129"/>
      <c r="L950" s="403">
        <f t="shared" si="105"/>
        <v>44748</v>
      </c>
      <c r="M950" s="94" t="str">
        <f t="shared" si="106"/>
        <v>WED</v>
      </c>
      <c r="O950" s="383">
        <f t="shared" si="111"/>
        <v>1</v>
      </c>
      <c r="P950" s="392">
        <f t="shared" si="108"/>
        <v>1.0000427777777778</v>
      </c>
    </row>
    <row r="951" spans="2:16">
      <c r="B951" s="41"/>
      <c r="C951" s="403">
        <f t="shared" si="110"/>
        <v>44749</v>
      </c>
      <c r="D951" s="94" t="str">
        <f>VLOOKUP(MOD(C951,7),'CALENDAR INFO'!$G$5:$H$11,2)</f>
        <v>THU</v>
      </c>
      <c r="E951" s="165">
        <v>1.58</v>
      </c>
      <c r="F951" s="336">
        <v>1.54</v>
      </c>
      <c r="G951" s="411">
        <f t="shared" si="104"/>
        <v>-4.0000000000000036E-2</v>
      </c>
      <c r="H951" s="376" t="s">
        <v>221</v>
      </c>
      <c r="I951" s="147">
        <f ca="1">AVERAGE(INDIRECT(I949))</f>
        <v>1.6758064516129023</v>
      </c>
      <c r="J951" s="326">
        <f ca="1">AVERAGE(INDIRECT(J949))</f>
        <v>1.6264516129032263</v>
      </c>
      <c r="K951" s="129"/>
      <c r="L951" s="403">
        <f t="shared" si="105"/>
        <v>44749</v>
      </c>
      <c r="M951" s="94" t="str">
        <f t="shared" si="106"/>
        <v>THU</v>
      </c>
      <c r="O951" s="383">
        <f t="shared" si="111"/>
        <v>1</v>
      </c>
      <c r="P951" s="392">
        <f t="shared" si="108"/>
        <v>1.0000427777777778</v>
      </c>
    </row>
    <row r="952" spans="2:16">
      <c r="B952" s="41"/>
      <c r="C952" s="403">
        <f t="shared" si="110"/>
        <v>44750</v>
      </c>
      <c r="D952" s="94" t="str">
        <f>VLOOKUP(MOD(C952,7),'CALENDAR INFO'!$G$5:$H$11,2)</f>
        <v>FRI</v>
      </c>
      <c r="E952" s="165">
        <v>1.58</v>
      </c>
      <c r="F952" s="336">
        <v>1.53</v>
      </c>
      <c r="G952" s="411">
        <f t="shared" si="104"/>
        <v>-5.0000000000000044E-2</v>
      </c>
      <c r="I952" s="240"/>
      <c r="J952" s="157"/>
      <c r="K952" s="129"/>
      <c r="L952" s="403">
        <f t="shared" si="105"/>
        <v>44750</v>
      </c>
      <c r="M952" s="94" t="str">
        <f t="shared" si="106"/>
        <v>FRI</v>
      </c>
      <c r="O952" s="383">
        <f t="shared" si="111"/>
        <v>3</v>
      </c>
      <c r="P952" s="392">
        <f t="shared" si="108"/>
        <v>1.0001275000000001</v>
      </c>
    </row>
    <row r="953" spans="2:16">
      <c r="B953" s="41"/>
      <c r="C953" s="403">
        <f t="shared" si="110"/>
        <v>44751</v>
      </c>
      <c r="D953" s="94" t="str">
        <f>VLOOKUP(MOD(C953,7),'CALENDAR INFO'!$G$5:$H$11,2)</f>
        <v>SAT</v>
      </c>
      <c r="E953" s="165">
        <v>1.58</v>
      </c>
      <c r="F953" s="336">
        <v>1.53</v>
      </c>
      <c r="G953" s="411">
        <f t="shared" si="104"/>
        <v>-5.0000000000000044E-2</v>
      </c>
      <c r="H953" s="15" t="s">
        <v>222</v>
      </c>
      <c r="I953" s="147">
        <f ca="1">100-I951</f>
        <v>98.3241935483871</v>
      </c>
      <c r="J953" s="326">
        <f ca="1">100-J951</f>
        <v>98.373548387096776</v>
      </c>
      <c r="K953" s="129"/>
      <c r="L953" s="403">
        <f t="shared" si="105"/>
        <v>44751</v>
      </c>
      <c r="M953" s="94" t="str">
        <f t="shared" si="106"/>
        <v>SAT</v>
      </c>
      <c r="O953" s="383">
        <f t="shared" si="111"/>
        <v>0</v>
      </c>
      <c r="P953" s="392">
        <f t="shared" si="108"/>
        <v>1</v>
      </c>
    </row>
    <row r="954" spans="2:16">
      <c r="B954" s="41"/>
      <c r="C954" s="403">
        <f t="shared" si="110"/>
        <v>44752</v>
      </c>
      <c r="D954" s="94" t="str">
        <f>VLOOKUP(MOD(C954,7),'CALENDAR INFO'!$G$5:$H$11,2)</f>
        <v>SUN</v>
      </c>
      <c r="E954" s="165">
        <v>1.58</v>
      </c>
      <c r="F954" s="336">
        <v>1.53</v>
      </c>
      <c r="G954" s="411">
        <f t="shared" si="104"/>
        <v>-5.0000000000000044E-2</v>
      </c>
      <c r="I954" s="137"/>
      <c r="J954" s="150"/>
      <c r="K954" s="129"/>
      <c r="L954" s="403">
        <f t="shared" si="105"/>
        <v>44752</v>
      </c>
      <c r="M954" s="94" t="str">
        <f t="shared" si="106"/>
        <v>SUN</v>
      </c>
      <c r="O954" s="383">
        <f t="shared" si="111"/>
        <v>0</v>
      </c>
      <c r="P954" s="392">
        <f t="shared" si="108"/>
        <v>1</v>
      </c>
    </row>
    <row r="955" spans="2:16">
      <c r="B955" s="41"/>
      <c r="C955" s="403">
        <f t="shared" si="110"/>
        <v>44753</v>
      </c>
      <c r="D955" s="94" t="str">
        <f>VLOOKUP(MOD(C955,7),'CALENDAR INFO'!$G$5:$H$11,2)</f>
        <v>MON</v>
      </c>
      <c r="E955" s="165">
        <v>1.58</v>
      </c>
      <c r="F955" s="336">
        <v>1.53</v>
      </c>
      <c r="G955" s="411">
        <f t="shared" si="104"/>
        <v>-5.0000000000000044E-2</v>
      </c>
      <c r="H955" s="136"/>
      <c r="I955" s="139"/>
      <c r="J955" s="151"/>
      <c r="K955" s="129"/>
      <c r="L955" s="403">
        <f t="shared" si="105"/>
        <v>44753</v>
      </c>
      <c r="M955" s="94" t="str">
        <f t="shared" si="106"/>
        <v>MON</v>
      </c>
      <c r="O955" s="383">
        <f t="shared" si="111"/>
        <v>1</v>
      </c>
      <c r="P955" s="392">
        <f t="shared" si="108"/>
        <v>1.0000424999999999</v>
      </c>
    </row>
    <row r="956" spans="2:16">
      <c r="B956" s="41"/>
      <c r="C956" s="403">
        <f t="shared" si="110"/>
        <v>44754</v>
      </c>
      <c r="D956" s="94" t="str">
        <f>VLOOKUP(MOD(C956,7),'CALENDAR INFO'!$G$5:$H$11,2)</f>
        <v>TUE</v>
      </c>
      <c r="E956" s="165">
        <v>1.58</v>
      </c>
      <c r="F956" s="336">
        <v>1.54</v>
      </c>
      <c r="G956" s="411">
        <f t="shared" si="104"/>
        <v>-4.0000000000000036E-2</v>
      </c>
      <c r="H956" s="136"/>
      <c r="I956" s="139"/>
      <c r="J956" s="151"/>
      <c r="K956" s="129"/>
      <c r="L956" s="403">
        <f t="shared" si="105"/>
        <v>44754</v>
      </c>
      <c r="M956" s="94" t="str">
        <f t="shared" si="106"/>
        <v>TUE</v>
      </c>
      <c r="O956" s="383">
        <f t="shared" si="111"/>
        <v>1</v>
      </c>
      <c r="P956" s="392">
        <f t="shared" si="108"/>
        <v>1.0000427777777778</v>
      </c>
    </row>
    <row r="957" spans="2:16">
      <c r="B957" s="41"/>
      <c r="C957" s="403">
        <f t="shared" si="110"/>
        <v>44755</v>
      </c>
      <c r="D957" s="94" t="str">
        <f>VLOOKUP(MOD(C957,7),'CALENDAR INFO'!$G$5:$H$11,2)</f>
        <v>WED</v>
      </c>
      <c r="E957" s="165">
        <v>1.58</v>
      </c>
      <c r="F957" s="336">
        <v>1.53</v>
      </c>
      <c r="G957" s="411">
        <f t="shared" si="104"/>
        <v>-5.0000000000000044E-2</v>
      </c>
      <c r="H957" s="136"/>
      <c r="I957" s="139"/>
      <c r="J957" s="151"/>
      <c r="K957" s="129" t="s">
        <v>19</v>
      </c>
      <c r="L957" s="403">
        <f t="shared" si="105"/>
        <v>44755</v>
      </c>
      <c r="M957" s="94" t="str">
        <f t="shared" si="106"/>
        <v>WED</v>
      </c>
      <c r="O957" s="383">
        <f t="shared" si="111"/>
        <v>1</v>
      </c>
      <c r="P957" s="392">
        <f t="shared" si="108"/>
        <v>1.0000424999999999</v>
      </c>
    </row>
    <row r="958" spans="2:16">
      <c r="B958" s="41"/>
      <c r="C958" s="403">
        <f t="shared" si="110"/>
        <v>44756</v>
      </c>
      <c r="D958" s="94" t="str">
        <f>VLOOKUP(MOD(C958,7),'CALENDAR INFO'!$G$5:$H$11,2)</f>
        <v>THU</v>
      </c>
      <c r="E958" s="165">
        <v>1.58</v>
      </c>
      <c r="F958" s="336">
        <v>1.53</v>
      </c>
      <c r="G958" s="411">
        <f t="shared" si="104"/>
        <v>-5.0000000000000044E-2</v>
      </c>
      <c r="K958" s="126" t="s">
        <v>18</v>
      </c>
      <c r="L958" s="403">
        <f t="shared" si="105"/>
        <v>44756</v>
      </c>
      <c r="M958" s="94" t="str">
        <f t="shared" si="106"/>
        <v>THU</v>
      </c>
      <c r="O958" s="383">
        <f t="shared" si="111"/>
        <v>1</v>
      </c>
      <c r="P958" s="392">
        <f t="shared" si="108"/>
        <v>1.0000424999999999</v>
      </c>
    </row>
    <row r="959" spans="2:16">
      <c r="B959" s="41"/>
      <c r="C959" s="403">
        <f t="shared" si="110"/>
        <v>44757</v>
      </c>
      <c r="D959" s="94" t="str">
        <f>VLOOKUP(MOD(C959,7),'CALENDAR INFO'!$G$5:$H$11,2)</f>
        <v>FRI</v>
      </c>
      <c r="E959" s="165">
        <v>1.58</v>
      </c>
      <c r="F959" s="336">
        <v>1.54</v>
      </c>
      <c r="G959" s="411">
        <f t="shared" si="104"/>
        <v>-4.0000000000000036E-2</v>
      </c>
      <c r="H959" s="135"/>
      <c r="I959" s="144"/>
      <c r="J959" s="152"/>
      <c r="K959" s="126"/>
      <c r="L959" s="403">
        <f t="shared" si="105"/>
        <v>44757</v>
      </c>
      <c r="M959" s="94" t="str">
        <f t="shared" si="106"/>
        <v>FRI</v>
      </c>
      <c r="O959" s="383">
        <f t="shared" si="111"/>
        <v>3</v>
      </c>
      <c r="P959" s="392">
        <f t="shared" si="108"/>
        <v>1.0001283333333333</v>
      </c>
    </row>
    <row r="960" spans="2:16">
      <c r="B960" s="41"/>
      <c r="C960" s="403">
        <f t="shared" si="110"/>
        <v>44758</v>
      </c>
      <c r="D960" s="94" t="str">
        <f>VLOOKUP(MOD(C960,7),'CALENDAR INFO'!$G$5:$H$11,2)</f>
        <v>SAT</v>
      </c>
      <c r="E960" s="165">
        <v>1.58</v>
      </c>
      <c r="F960" s="336">
        <v>1.54</v>
      </c>
      <c r="G960" s="411">
        <f t="shared" si="104"/>
        <v>-4.0000000000000036E-2</v>
      </c>
      <c r="K960" s="126"/>
      <c r="L960" s="403">
        <f t="shared" si="105"/>
        <v>44758</v>
      </c>
      <c r="M960" s="94" t="str">
        <f t="shared" si="106"/>
        <v>SAT</v>
      </c>
      <c r="O960" s="383">
        <f t="shared" si="111"/>
        <v>0</v>
      </c>
      <c r="P960" s="392">
        <f t="shared" si="108"/>
        <v>1</v>
      </c>
    </row>
    <row r="961" spans="1:16">
      <c r="B961" s="41"/>
      <c r="C961" s="403">
        <f t="shared" si="110"/>
        <v>44759</v>
      </c>
      <c r="D961" s="94" t="str">
        <f>VLOOKUP(MOD(C961,7),'CALENDAR INFO'!$G$5:$H$11,2)</f>
        <v>SUN</v>
      </c>
      <c r="E961" s="165">
        <v>1.58</v>
      </c>
      <c r="F961" s="336">
        <v>1.54</v>
      </c>
      <c r="G961" s="411">
        <f t="shared" si="104"/>
        <v>-4.0000000000000036E-2</v>
      </c>
      <c r="K961" s="126"/>
      <c r="L961" s="403">
        <f t="shared" si="105"/>
        <v>44759</v>
      </c>
      <c r="M961" s="94" t="str">
        <f t="shared" si="106"/>
        <v>SUN</v>
      </c>
      <c r="O961" s="383">
        <f t="shared" si="111"/>
        <v>0</v>
      </c>
      <c r="P961" s="392">
        <f t="shared" si="108"/>
        <v>1</v>
      </c>
    </row>
    <row r="962" spans="1:16">
      <c r="B962" s="41"/>
      <c r="C962" s="403">
        <f t="shared" si="110"/>
        <v>44760</v>
      </c>
      <c r="D962" s="94" t="str">
        <f>VLOOKUP(MOD(C962,7),'CALENDAR INFO'!$G$5:$H$11,2)</f>
        <v>MON</v>
      </c>
      <c r="E962" s="165">
        <v>1.58</v>
      </c>
      <c r="F962" s="336">
        <v>1.54</v>
      </c>
      <c r="G962" s="411">
        <f t="shared" si="104"/>
        <v>-4.0000000000000036E-2</v>
      </c>
      <c r="K962" s="126"/>
      <c r="L962" s="403">
        <f t="shared" si="105"/>
        <v>44760</v>
      </c>
      <c r="M962" s="94" t="str">
        <f t="shared" si="106"/>
        <v>MON</v>
      </c>
      <c r="O962" s="383">
        <f t="shared" si="111"/>
        <v>1</v>
      </c>
      <c r="P962" s="392">
        <f t="shared" si="108"/>
        <v>1.0000427777777778</v>
      </c>
    </row>
    <row r="963" spans="1:16">
      <c r="B963" s="41"/>
      <c r="C963" s="403">
        <f t="shared" si="110"/>
        <v>44761</v>
      </c>
      <c r="D963" s="94" t="str">
        <f>VLOOKUP(MOD(C963,7),'CALENDAR INFO'!$G$5:$H$11,2)</f>
        <v>TUE</v>
      </c>
      <c r="E963" s="165">
        <v>1.58</v>
      </c>
      <c r="F963" s="336">
        <v>1.54</v>
      </c>
      <c r="G963" s="411">
        <f t="shared" ref="G963:G1026" si="112">F963-E963</f>
        <v>-4.0000000000000036E-2</v>
      </c>
      <c r="K963" s="126"/>
      <c r="L963" s="403">
        <f t="shared" ref="L963:L1026" si="113">C963</f>
        <v>44761</v>
      </c>
      <c r="M963" s="94" t="str">
        <f t="shared" ref="M963:M1026" si="114">D963</f>
        <v>TUE</v>
      </c>
      <c r="O963" s="383">
        <f t="shared" si="111"/>
        <v>1</v>
      </c>
      <c r="P963" s="392">
        <f t="shared" si="108"/>
        <v>1.0000427777777778</v>
      </c>
    </row>
    <row r="964" spans="1:16">
      <c r="B964" s="41"/>
      <c r="C964" s="403">
        <f t="shared" si="110"/>
        <v>44762</v>
      </c>
      <c r="D964" s="94" t="str">
        <f>VLOOKUP(MOD(C964,7),'CALENDAR INFO'!$G$5:$H$11,2)</f>
        <v>WED</v>
      </c>
      <c r="E964" s="165">
        <v>1.58</v>
      </c>
      <c r="F964" s="336">
        <v>1.53</v>
      </c>
      <c r="G964" s="411">
        <f t="shared" si="112"/>
        <v>-5.0000000000000044E-2</v>
      </c>
      <c r="K964" s="126"/>
      <c r="L964" s="403">
        <f t="shared" si="113"/>
        <v>44762</v>
      </c>
      <c r="M964" s="94" t="str">
        <f t="shared" si="114"/>
        <v>WED</v>
      </c>
      <c r="O964" s="383">
        <f t="shared" si="111"/>
        <v>1</v>
      </c>
      <c r="P964" s="392">
        <f t="shared" si="108"/>
        <v>1.0000424999999999</v>
      </c>
    </row>
    <row r="965" spans="1:16">
      <c r="B965" s="41"/>
      <c r="C965" s="403">
        <f t="shared" si="110"/>
        <v>44763</v>
      </c>
      <c r="D965" s="94" t="str">
        <f>VLOOKUP(MOD(C965,7),'CALENDAR INFO'!$G$5:$H$11,2)</f>
        <v>THU</v>
      </c>
      <c r="E965" s="165">
        <v>1.58</v>
      </c>
      <c r="F965" s="336">
        <v>1.53</v>
      </c>
      <c r="G965" s="411">
        <f t="shared" si="112"/>
        <v>-5.0000000000000044E-2</v>
      </c>
      <c r="K965" s="126"/>
      <c r="L965" s="403">
        <f t="shared" si="113"/>
        <v>44763</v>
      </c>
      <c r="M965" s="94" t="str">
        <f t="shared" si="114"/>
        <v>THU</v>
      </c>
      <c r="O965" s="383">
        <f t="shared" si="111"/>
        <v>1</v>
      </c>
      <c r="P965" s="392">
        <f t="shared" si="108"/>
        <v>1.0000424999999999</v>
      </c>
    </row>
    <row r="966" spans="1:16">
      <c r="B966" s="41"/>
      <c r="C966" s="403">
        <f t="shared" si="110"/>
        <v>44764</v>
      </c>
      <c r="D966" s="94" t="str">
        <f>VLOOKUP(MOD(C966,7),'CALENDAR INFO'!$G$5:$H$11,2)</f>
        <v>FRI</v>
      </c>
      <c r="E966" s="165">
        <v>1.58</v>
      </c>
      <c r="F966" s="336">
        <v>1.52</v>
      </c>
      <c r="G966" s="411">
        <f t="shared" si="112"/>
        <v>-6.0000000000000053E-2</v>
      </c>
      <c r="K966" s="126"/>
      <c r="L966" s="403">
        <f t="shared" si="113"/>
        <v>44764</v>
      </c>
      <c r="M966" s="94" t="str">
        <f t="shared" si="114"/>
        <v>FRI</v>
      </c>
      <c r="O966" s="383">
        <f t="shared" si="111"/>
        <v>3</v>
      </c>
      <c r="P966" s="392">
        <f t="shared" si="108"/>
        <v>1.0001266666666666</v>
      </c>
    </row>
    <row r="967" spans="1:16">
      <c r="B967" s="41"/>
      <c r="C967" s="403">
        <f t="shared" si="110"/>
        <v>44765</v>
      </c>
      <c r="D967" s="94" t="str">
        <f>VLOOKUP(MOD(C967,7),'CALENDAR INFO'!$G$5:$H$11,2)</f>
        <v>SAT</v>
      </c>
      <c r="E967" s="165">
        <v>1.58</v>
      </c>
      <c r="F967" s="336">
        <v>1.52</v>
      </c>
      <c r="G967" s="411">
        <f t="shared" si="112"/>
        <v>-6.0000000000000053E-2</v>
      </c>
      <c r="K967" s="126"/>
      <c r="L967" s="403">
        <f t="shared" si="113"/>
        <v>44765</v>
      </c>
      <c r="M967" s="94" t="str">
        <f t="shared" si="114"/>
        <v>SAT</v>
      </c>
      <c r="O967" s="383">
        <f t="shared" si="111"/>
        <v>0</v>
      </c>
      <c r="P967" s="392">
        <f t="shared" si="108"/>
        <v>1</v>
      </c>
    </row>
    <row r="968" spans="1:16">
      <c r="B968" s="41"/>
      <c r="C968" s="403">
        <f t="shared" si="110"/>
        <v>44766</v>
      </c>
      <c r="D968" s="94" t="str">
        <f>VLOOKUP(MOD(C968,7),'CALENDAR INFO'!$G$5:$H$11,2)</f>
        <v>SUN</v>
      </c>
      <c r="E968" s="165">
        <v>1.58</v>
      </c>
      <c r="F968" s="336">
        <v>1.52</v>
      </c>
      <c r="G968" s="411">
        <f t="shared" si="112"/>
        <v>-6.0000000000000053E-2</v>
      </c>
      <c r="K968" s="126"/>
      <c r="L968" s="403">
        <f t="shared" si="113"/>
        <v>44766</v>
      </c>
      <c r="M968" s="94" t="str">
        <f t="shared" si="114"/>
        <v>SUN</v>
      </c>
      <c r="O968" s="383">
        <f t="shared" si="111"/>
        <v>0</v>
      </c>
      <c r="P968" s="392">
        <f t="shared" si="108"/>
        <v>1</v>
      </c>
    </row>
    <row r="969" spans="1:16">
      <c r="B969" s="41"/>
      <c r="C969" s="403">
        <f t="shared" si="110"/>
        <v>44767</v>
      </c>
      <c r="D969" s="94" t="str">
        <f>VLOOKUP(MOD(C969,7),'CALENDAR INFO'!$G$5:$H$11,2)</f>
        <v>MON</v>
      </c>
      <c r="E969" s="165">
        <v>1.58</v>
      </c>
      <c r="F969" s="336">
        <v>1.53</v>
      </c>
      <c r="G969" s="411">
        <f t="shared" si="112"/>
        <v>-5.0000000000000044E-2</v>
      </c>
      <c r="K969" s="126"/>
      <c r="L969" s="403">
        <f t="shared" si="113"/>
        <v>44767</v>
      </c>
      <c r="M969" s="94" t="str">
        <f t="shared" si="114"/>
        <v>MON</v>
      </c>
      <c r="O969" s="383">
        <f t="shared" si="111"/>
        <v>1</v>
      </c>
      <c r="P969" s="392">
        <f t="shared" si="108"/>
        <v>1.0000424999999999</v>
      </c>
    </row>
    <row r="970" spans="1:16">
      <c r="B970" s="41"/>
      <c r="C970" s="403">
        <f t="shared" si="110"/>
        <v>44768</v>
      </c>
      <c r="D970" s="94" t="str">
        <f>VLOOKUP(MOD(C970,7),'CALENDAR INFO'!$G$5:$H$11,2)</f>
        <v>TUE</v>
      </c>
      <c r="E970" s="165">
        <v>1.58</v>
      </c>
      <c r="F970" s="336">
        <v>1.53</v>
      </c>
      <c r="G970" s="411">
        <f t="shared" si="112"/>
        <v>-5.0000000000000044E-2</v>
      </c>
      <c r="K970" s="126"/>
      <c r="L970" s="403">
        <f t="shared" si="113"/>
        <v>44768</v>
      </c>
      <c r="M970" s="94" t="str">
        <f t="shared" si="114"/>
        <v>TUE</v>
      </c>
      <c r="N970" s="116" t="s">
        <v>20</v>
      </c>
      <c r="O970" s="383">
        <f t="shared" si="111"/>
        <v>1</v>
      </c>
      <c r="P970" s="392">
        <f t="shared" si="108"/>
        <v>1.0000424999999999</v>
      </c>
    </row>
    <row r="971" spans="1:16">
      <c r="B971" s="41"/>
      <c r="C971" s="403">
        <f t="shared" si="110"/>
        <v>44769</v>
      </c>
      <c r="D971" s="94" t="str">
        <f>VLOOKUP(MOD(C971,7),'CALENDAR INFO'!$G$5:$H$11,2)</f>
        <v>WED</v>
      </c>
      <c r="E971" s="165">
        <v>1.58</v>
      </c>
      <c r="F971" s="336">
        <v>1.53</v>
      </c>
      <c r="G971" s="411">
        <f t="shared" si="112"/>
        <v>-5.0000000000000044E-2</v>
      </c>
      <c r="I971" s="137"/>
      <c r="K971" s="126" t="s">
        <v>19</v>
      </c>
      <c r="L971" s="403">
        <f t="shared" si="113"/>
        <v>44769</v>
      </c>
      <c r="M971" s="94" t="str">
        <f t="shared" si="114"/>
        <v>WED</v>
      </c>
      <c r="N971" s="116" t="s">
        <v>20</v>
      </c>
      <c r="O971" s="383">
        <f t="shared" si="111"/>
        <v>1</v>
      </c>
      <c r="P971" s="392">
        <f t="shared" si="108"/>
        <v>1.0000424999999999</v>
      </c>
    </row>
    <row r="972" spans="1:16">
      <c r="A972" s="42"/>
      <c r="B972" s="41"/>
      <c r="C972" s="403">
        <f t="shared" si="110"/>
        <v>44770</v>
      </c>
      <c r="D972" s="94" t="str">
        <f>VLOOKUP(MOD(C972,7),'CALENDAR INFO'!$G$5:$H$11,2)</f>
        <v>THU</v>
      </c>
      <c r="E972" s="170">
        <v>2.33</v>
      </c>
      <c r="F972" s="342">
        <v>2.2799999999999998</v>
      </c>
      <c r="G972" s="411">
        <f t="shared" si="112"/>
        <v>-5.0000000000000266E-2</v>
      </c>
      <c r="H972" s="115"/>
      <c r="I972" s="141"/>
      <c r="J972" s="158"/>
      <c r="K972" s="129" t="s">
        <v>18</v>
      </c>
      <c r="L972" s="403">
        <f t="shared" si="113"/>
        <v>44770</v>
      </c>
      <c r="M972" s="94" t="str">
        <f t="shared" si="114"/>
        <v>THU</v>
      </c>
      <c r="O972" s="383">
        <f t="shared" si="111"/>
        <v>1</v>
      </c>
      <c r="P972" s="392">
        <f t="shared" si="108"/>
        <v>1.0000633333333333</v>
      </c>
    </row>
    <row r="973" spans="1:16">
      <c r="B973" s="41"/>
      <c r="C973" s="403">
        <f t="shared" si="110"/>
        <v>44771</v>
      </c>
      <c r="D973" s="94" t="str">
        <f>VLOOKUP(MOD(C973,7),'CALENDAR INFO'!$G$5:$H$11,2)</f>
        <v>FRI</v>
      </c>
      <c r="E973" s="165">
        <v>2.3199999999999998</v>
      </c>
      <c r="F973" s="336">
        <v>2.27</v>
      </c>
      <c r="G973" s="411">
        <f t="shared" si="112"/>
        <v>-4.9999999999999822E-2</v>
      </c>
      <c r="H973" s="115"/>
      <c r="I973" s="141"/>
      <c r="J973" s="158"/>
      <c r="K973" s="129"/>
      <c r="L973" s="403">
        <f t="shared" si="113"/>
        <v>44771</v>
      </c>
      <c r="M973" s="94" t="str">
        <f t="shared" si="114"/>
        <v>FRI</v>
      </c>
      <c r="O973" s="383">
        <f t="shared" si="111"/>
        <v>3</v>
      </c>
      <c r="P973" s="392">
        <f t="shared" si="108"/>
        <v>1.0001891666666667</v>
      </c>
    </row>
    <row r="974" spans="1:16">
      <c r="B974" s="41"/>
      <c r="C974" s="403">
        <f t="shared" si="110"/>
        <v>44772</v>
      </c>
      <c r="D974" s="94" t="str">
        <f>VLOOKUP(MOD(C974,7),'CALENDAR INFO'!$G$5:$H$11,2)</f>
        <v>SAT</v>
      </c>
      <c r="E974" s="165">
        <v>2.3199999999999998</v>
      </c>
      <c r="F974" s="336">
        <v>2.27</v>
      </c>
      <c r="G974" s="411">
        <f t="shared" si="112"/>
        <v>-4.9999999999999822E-2</v>
      </c>
      <c r="H974" s="115"/>
      <c r="I974" s="141"/>
      <c r="J974" s="158"/>
      <c r="K974" s="129"/>
      <c r="L974" s="403">
        <f t="shared" si="113"/>
        <v>44772</v>
      </c>
      <c r="M974" s="94" t="str">
        <f t="shared" si="114"/>
        <v>SAT</v>
      </c>
      <c r="O974" s="383">
        <f t="shared" si="111"/>
        <v>0</v>
      </c>
      <c r="P974" s="392">
        <f t="shared" si="108"/>
        <v>1</v>
      </c>
    </row>
    <row r="975" spans="1:16" ht="15.75" thickBot="1">
      <c r="A975" s="81"/>
      <c r="B975" s="178"/>
      <c r="C975" s="404">
        <f t="shared" si="110"/>
        <v>44773</v>
      </c>
      <c r="D975" s="103" t="str">
        <f>VLOOKUP(MOD(C975,7),'CALENDAR INFO'!$G$5:$H$11,2)</f>
        <v>SUN</v>
      </c>
      <c r="E975" s="166">
        <v>2.3199999999999998</v>
      </c>
      <c r="F975" s="337">
        <v>2.27</v>
      </c>
      <c r="G975" s="412">
        <f t="shared" si="112"/>
        <v>-4.9999999999999822E-2</v>
      </c>
      <c r="H975" s="345"/>
      <c r="I975" s="143"/>
      <c r="J975" s="162"/>
      <c r="K975" s="84"/>
      <c r="L975" s="404">
        <f t="shared" si="113"/>
        <v>44773</v>
      </c>
      <c r="M975" s="103" t="str">
        <f t="shared" si="114"/>
        <v>SUN</v>
      </c>
      <c r="N975" s="90"/>
      <c r="O975" s="383">
        <f t="shared" si="111"/>
        <v>0</v>
      </c>
      <c r="P975" s="388">
        <f t="shared" si="108"/>
        <v>1</v>
      </c>
    </row>
    <row r="976" spans="1:16">
      <c r="A976" s="104"/>
      <c r="B976" s="41"/>
      <c r="C976" s="403">
        <f t="shared" si="110"/>
        <v>44774</v>
      </c>
      <c r="D976" s="94" t="str">
        <f>VLOOKUP(MOD(C976,7),'CALENDAR INFO'!$G$5:$H$11,2)</f>
        <v>MON</v>
      </c>
      <c r="E976" s="165">
        <v>2.33</v>
      </c>
      <c r="F976" s="336">
        <v>2.2799999999999998</v>
      </c>
      <c r="G976" s="411">
        <f t="shared" si="112"/>
        <v>-5.0000000000000266E-2</v>
      </c>
      <c r="H976" s="15" t="s">
        <v>149</v>
      </c>
      <c r="I976" s="15">
        <f>ROW(I976)</f>
        <v>976</v>
      </c>
      <c r="J976" s="138">
        <f>I976</f>
        <v>976</v>
      </c>
      <c r="K976" s="129"/>
      <c r="L976" s="403">
        <f t="shared" si="113"/>
        <v>44774</v>
      </c>
      <c r="M976" s="94" t="str">
        <f t="shared" si="114"/>
        <v>MON</v>
      </c>
      <c r="O976" s="386">
        <f t="shared" si="111"/>
        <v>1</v>
      </c>
      <c r="P976" s="390">
        <f t="shared" si="108"/>
        <v>1.0000633333333333</v>
      </c>
    </row>
    <row r="977" spans="2:16">
      <c r="B977" s="41"/>
      <c r="C977" s="403">
        <f t="shared" si="110"/>
        <v>44775</v>
      </c>
      <c r="D977" s="94" t="str">
        <f>VLOOKUP(MOD(C977,7),'CALENDAR INFO'!$G$5:$H$11,2)</f>
        <v>TUE</v>
      </c>
      <c r="E977" s="165">
        <v>2.33</v>
      </c>
      <c r="F977" s="336">
        <v>2.2999999999999998</v>
      </c>
      <c r="G977" s="411">
        <f t="shared" si="112"/>
        <v>-3.0000000000000249E-2</v>
      </c>
      <c r="H977" s="376" t="s">
        <v>210</v>
      </c>
      <c r="I977" s="15">
        <f>VLOOKUP(MONTH($C976),'CALENDAR INFO'!$J$5:$K$16,2)</f>
        <v>31</v>
      </c>
      <c r="J977" s="138">
        <f>I977</f>
        <v>31</v>
      </c>
      <c r="K977" s="129"/>
      <c r="L977" s="403">
        <f t="shared" si="113"/>
        <v>44775</v>
      </c>
      <c r="M977" s="94" t="str">
        <f t="shared" si="114"/>
        <v>TUE</v>
      </c>
      <c r="O977" s="383">
        <f t="shared" si="111"/>
        <v>1</v>
      </c>
      <c r="P977" s="392">
        <f t="shared" si="108"/>
        <v>1.0000638888888889</v>
      </c>
    </row>
    <row r="978" spans="2:16">
      <c r="B978" s="41"/>
      <c r="C978" s="403">
        <f t="shared" si="110"/>
        <v>44776</v>
      </c>
      <c r="D978" s="94" t="str">
        <f>VLOOKUP(MOD(C978,7),'CALENDAR INFO'!$G$5:$H$11,2)</f>
        <v>WED</v>
      </c>
      <c r="E978" s="165">
        <v>2.33</v>
      </c>
      <c r="F978" s="336">
        <v>2.29</v>
      </c>
      <c r="G978" s="411">
        <f t="shared" si="112"/>
        <v>-4.0000000000000036E-2</v>
      </c>
      <c r="H978" s="376" t="s">
        <v>211</v>
      </c>
      <c r="I978" s="15">
        <f>I977+I976-1</f>
        <v>1006</v>
      </c>
      <c r="J978" s="138">
        <f>I978</f>
        <v>1006</v>
      </c>
      <c r="K978" s="129"/>
      <c r="L978" s="403">
        <f t="shared" si="113"/>
        <v>44776</v>
      </c>
      <c r="M978" s="94" t="str">
        <f t="shared" si="114"/>
        <v>WED</v>
      </c>
      <c r="O978" s="383">
        <f t="shared" si="111"/>
        <v>1</v>
      </c>
      <c r="P978" s="392">
        <f t="shared" si="108"/>
        <v>1.0000636111111112</v>
      </c>
    </row>
    <row r="979" spans="2:16">
      <c r="B979" s="41"/>
      <c r="C979" s="403">
        <f t="shared" si="110"/>
        <v>44777</v>
      </c>
      <c r="D979" s="94" t="str">
        <f>VLOOKUP(MOD(C979,7),'CALENDAR INFO'!$G$5:$H$11,2)</f>
        <v>THU</v>
      </c>
      <c r="E979" s="165">
        <v>2.33</v>
      </c>
      <c r="F979" s="336">
        <v>2.29</v>
      </c>
      <c r="G979" s="411">
        <f t="shared" si="112"/>
        <v>-4.0000000000000036E-2</v>
      </c>
      <c r="K979" s="129"/>
      <c r="L979" s="403">
        <f t="shared" si="113"/>
        <v>44777</v>
      </c>
      <c r="M979" s="94" t="str">
        <f t="shared" si="114"/>
        <v>THU</v>
      </c>
      <c r="O979" s="383">
        <f t="shared" si="111"/>
        <v>1</v>
      </c>
      <c r="P979" s="392">
        <f t="shared" ref="P979:P1042" si="115">1+(O979/360)*(MAX(F979,B979)/100)</f>
        <v>1.0000636111111112</v>
      </c>
    </row>
    <row r="980" spans="2:16">
      <c r="B980" s="41"/>
      <c r="C980" s="403">
        <f t="shared" si="110"/>
        <v>44778</v>
      </c>
      <c r="D980" s="94" t="str">
        <f>VLOOKUP(MOD(C980,7),'CALENDAR INFO'!$G$5:$H$11,2)</f>
        <v>FRI</v>
      </c>
      <c r="E980" s="165">
        <v>2.33</v>
      </c>
      <c r="F980" s="336">
        <v>2.2799999999999998</v>
      </c>
      <c r="G980" s="411">
        <f t="shared" si="112"/>
        <v>-5.0000000000000266E-2</v>
      </c>
      <c r="H980" s="15" t="s">
        <v>150</v>
      </c>
      <c r="I980" s="137" t="str">
        <f>_xlfn.CONCAT(ADDRESS(I976,5),":",ADDRESS(I978,5))</f>
        <v>$E$976:$E$1006</v>
      </c>
      <c r="J980" s="150" t="str">
        <f>_xlfn.CONCAT(ADDRESS(J976,6),":",ADDRESS(J978,6))</f>
        <v>$F$976:$F$1006</v>
      </c>
      <c r="K980" s="129"/>
      <c r="L980" s="403">
        <f t="shared" si="113"/>
        <v>44778</v>
      </c>
      <c r="M980" s="94" t="str">
        <f t="shared" si="114"/>
        <v>FRI</v>
      </c>
      <c r="O980" s="383">
        <f t="shared" si="111"/>
        <v>3</v>
      </c>
      <c r="P980" s="392">
        <f t="shared" si="115"/>
        <v>1.0001899999999999</v>
      </c>
    </row>
    <row r="981" spans="2:16">
      <c r="B981" s="41"/>
      <c r="C981" s="403">
        <f t="shared" si="110"/>
        <v>44779</v>
      </c>
      <c r="D981" s="94" t="str">
        <f>VLOOKUP(MOD(C981,7),'CALENDAR INFO'!$G$5:$H$11,2)</f>
        <v>SAT</v>
      </c>
      <c r="E981" s="165">
        <v>2.33</v>
      </c>
      <c r="F981" s="336">
        <v>2.2799999999999998</v>
      </c>
      <c r="G981" s="411">
        <f t="shared" si="112"/>
        <v>-5.0000000000000266E-2</v>
      </c>
      <c r="K981" s="129"/>
      <c r="L981" s="403">
        <f t="shared" si="113"/>
        <v>44779</v>
      </c>
      <c r="M981" s="94" t="str">
        <f t="shared" si="114"/>
        <v>SAT</v>
      </c>
      <c r="O981" s="383">
        <f t="shared" ref="O981:O1007" si="116">IF(MOD(C981,7)&lt;2,0,IF(MOD(C981,7)=6,3,1))</f>
        <v>0</v>
      </c>
      <c r="P981" s="392">
        <f t="shared" si="115"/>
        <v>1</v>
      </c>
    </row>
    <row r="982" spans="2:16">
      <c r="B982" s="41"/>
      <c r="C982" s="403">
        <f t="shared" si="110"/>
        <v>44780</v>
      </c>
      <c r="D982" s="94" t="str">
        <f>VLOOKUP(MOD(C982,7),'CALENDAR INFO'!$G$5:$H$11,2)</f>
        <v>SUN</v>
      </c>
      <c r="E982" s="165">
        <v>2.33</v>
      </c>
      <c r="F982" s="336">
        <v>2.2799999999999998</v>
      </c>
      <c r="G982" s="411">
        <f t="shared" si="112"/>
        <v>-5.0000000000000266E-2</v>
      </c>
      <c r="H982" s="376" t="s">
        <v>221</v>
      </c>
      <c r="I982" s="147">
        <f ca="1">AVERAGE(INDIRECT(I980))</f>
        <v>2.3299999999999987</v>
      </c>
      <c r="J982" s="326">
        <f ca="1">AVERAGE(INDIRECT(J980))</f>
        <v>2.2825806451612913</v>
      </c>
      <c r="K982" s="129"/>
      <c r="L982" s="403">
        <f t="shared" si="113"/>
        <v>44780</v>
      </c>
      <c r="M982" s="94" t="str">
        <f t="shared" si="114"/>
        <v>SUN</v>
      </c>
      <c r="O982" s="383">
        <f t="shared" si="116"/>
        <v>0</v>
      </c>
      <c r="P982" s="392">
        <f t="shared" si="115"/>
        <v>1</v>
      </c>
    </row>
    <row r="983" spans="2:16">
      <c r="B983" s="41"/>
      <c r="C983" s="403">
        <f t="shared" si="110"/>
        <v>44781</v>
      </c>
      <c r="D983" s="94" t="str">
        <f>VLOOKUP(MOD(C983,7),'CALENDAR INFO'!$G$5:$H$11,2)</f>
        <v>MON</v>
      </c>
      <c r="E983" s="165">
        <v>2.33</v>
      </c>
      <c r="F983" s="336">
        <v>2.2799999999999998</v>
      </c>
      <c r="G983" s="411">
        <f t="shared" si="112"/>
        <v>-5.0000000000000266E-2</v>
      </c>
      <c r="I983" s="240"/>
      <c r="J983" s="157"/>
      <c r="K983" s="129"/>
      <c r="L983" s="403">
        <f t="shared" si="113"/>
        <v>44781</v>
      </c>
      <c r="M983" s="94" t="str">
        <f t="shared" si="114"/>
        <v>MON</v>
      </c>
      <c r="O983" s="383">
        <f t="shared" si="116"/>
        <v>1</v>
      </c>
      <c r="P983" s="392">
        <f t="shared" si="115"/>
        <v>1.0000633333333333</v>
      </c>
    </row>
    <row r="984" spans="2:16">
      <c r="B984" s="41"/>
      <c r="C984" s="403">
        <f t="shared" si="110"/>
        <v>44782</v>
      </c>
      <c r="D984" s="94" t="str">
        <f>VLOOKUP(MOD(C984,7),'CALENDAR INFO'!$G$5:$H$11,2)</f>
        <v>TUE</v>
      </c>
      <c r="E984" s="165">
        <v>2.33</v>
      </c>
      <c r="F984" s="336">
        <v>2.29</v>
      </c>
      <c r="G984" s="411">
        <f t="shared" si="112"/>
        <v>-4.0000000000000036E-2</v>
      </c>
      <c r="H984" s="15" t="s">
        <v>222</v>
      </c>
      <c r="I984" s="147">
        <f ca="1">100-I982</f>
        <v>97.67</v>
      </c>
      <c r="J984" s="326">
        <f ca="1">100-J982</f>
        <v>97.717419354838711</v>
      </c>
      <c r="K984" s="129"/>
      <c r="L984" s="403">
        <f t="shared" si="113"/>
        <v>44782</v>
      </c>
      <c r="M984" s="94" t="str">
        <f t="shared" si="114"/>
        <v>TUE</v>
      </c>
      <c r="O984" s="383">
        <f t="shared" si="116"/>
        <v>1</v>
      </c>
      <c r="P984" s="392">
        <f t="shared" si="115"/>
        <v>1.0000636111111112</v>
      </c>
    </row>
    <row r="985" spans="2:16">
      <c r="B985" s="41"/>
      <c r="C985" s="403">
        <f t="shared" si="110"/>
        <v>44783</v>
      </c>
      <c r="D985" s="94" t="str">
        <f>VLOOKUP(MOD(C985,7),'CALENDAR INFO'!$G$5:$H$11,2)</f>
        <v>WED</v>
      </c>
      <c r="E985" s="165">
        <v>2.33</v>
      </c>
      <c r="F985" s="336">
        <v>2.2799999999999998</v>
      </c>
      <c r="G985" s="411">
        <f t="shared" si="112"/>
        <v>-5.0000000000000266E-2</v>
      </c>
      <c r="I985" s="137"/>
      <c r="J985" s="150"/>
      <c r="K985" s="129" t="s">
        <v>19</v>
      </c>
      <c r="L985" s="403">
        <f t="shared" si="113"/>
        <v>44783</v>
      </c>
      <c r="M985" s="94" t="str">
        <f t="shared" si="114"/>
        <v>WED</v>
      </c>
      <c r="O985" s="383">
        <f t="shared" si="116"/>
        <v>1</v>
      </c>
      <c r="P985" s="392">
        <f t="shared" si="115"/>
        <v>1.0000633333333333</v>
      </c>
    </row>
    <row r="986" spans="2:16">
      <c r="B986" s="41"/>
      <c r="C986" s="403">
        <f t="shared" si="110"/>
        <v>44784</v>
      </c>
      <c r="D986" s="94" t="str">
        <f>VLOOKUP(MOD(C986,7),'CALENDAR INFO'!$G$5:$H$11,2)</f>
        <v>THU</v>
      </c>
      <c r="E986" s="165">
        <v>2.33</v>
      </c>
      <c r="F986" s="336">
        <v>2.2799999999999998</v>
      </c>
      <c r="G986" s="411">
        <f t="shared" si="112"/>
        <v>-5.0000000000000266E-2</v>
      </c>
      <c r="H986" s="136"/>
      <c r="I986" s="139"/>
      <c r="J986" s="151"/>
      <c r="K986" s="126" t="s">
        <v>18</v>
      </c>
      <c r="L986" s="403">
        <f t="shared" si="113"/>
        <v>44784</v>
      </c>
      <c r="M986" s="94" t="str">
        <f t="shared" si="114"/>
        <v>THU</v>
      </c>
      <c r="O986" s="383">
        <f t="shared" si="116"/>
        <v>1</v>
      </c>
      <c r="P986" s="392">
        <f t="shared" si="115"/>
        <v>1.0000633333333333</v>
      </c>
    </row>
    <row r="987" spans="2:16">
      <c r="B987" s="41"/>
      <c r="C987" s="403">
        <f t="shared" si="110"/>
        <v>44785</v>
      </c>
      <c r="D987" s="94" t="str">
        <f>VLOOKUP(MOD(C987,7),'CALENDAR INFO'!$G$5:$H$11,2)</f>
        <v>FRI</v>
      </c>
      <c r="E987" s="165">
        <v>2.33</v>
      </c>
      <c r="F987" s="336">
        <v>2.2799999999999998</v>
      </c>
      <c r="G987" s="411">
        <f t="shared" si="112"/>
        <v>-5.0000000000000266E-2</v>
      </c>
      <c r="K987" s="126"/>
      <c r="L987" s="403">
        <f t="shared" si="113"/>
        <v>44785</v>
      </c>
      <c r="M987" s="94" t="str">
        <f t="shared" si="114"/>
        <v>FRI</v>
      </c>
      <c r="O987" s="383">
        <f t="shared" si="116"/>
        <v>3</v>
      </c>
      <c r="P987" s="392">
        <f t="shared" si="115"/>
        <v>1.0001899999999999</v>
      </c>
    </row>
    <row r="988" spans="2:16">
      <c r="B988" s="41"/>
      <c r="C988" s="403">
        <f t="shared" si="110"/>
        <v>44786</v>
      </c>
      <c r="D988" s="94" t="str">
        <f>VLOOKUP(MOD(C988,7),'CALENDAR INFO'!$G$5:$H$11,2)</f>
        <v>SAT</v>
      </c>
      <c r="E988" s="165">
        <v>2.33</v>
      </c>
      <c r="F988" s="336">
        <v>2.2799999999999998</v>
      </c>
      <c r="G988" s="411">
        <f t="shared" si="112"/>
        <v>-5.0000000000000266E-2</v>
      </c>
      <c r="H988" s="136"/>
      <c r="I988" s="139"/>
      <c r="J988" s="151"/>
      <c r="K988" s="126"/>
      <c r="L988" s="403">
        <f t="shared" si="113"/>
        <v>44786</v>
      </c>
      <c r="M988" s="94" t="str">
        <f t="shared" si="114"/>
        <v>SAT</v>
      </c>
      <c r="O988" s="383">
        <f t="shared" si="116"/>
        <v>0</v>
      </c>
      <c r="P988" s="392">
        <f t="shared" si="115"/>
        <v>1</v>
      </c>
    </row>
    <row r="989" spans="2:16">
      <c r="B989" s="41"/>
      <c r="C989" s="403">
        <f t="shared" si="110"/>
        <v>44787</v>
      </c>
      <c r="D989" s="94" t="str">
        <f>VLOOKUP(MOD(C989,7),'CALENDAR INFO'!$G$5:$H$11,2)</f>
        <v>SUN</v>
      </c>
      <c r="E989" s="165">
        <v>2.33</v>
      </c>
      <c r="F989" s="336">
        <v>2.2799999999999998</v>
      </c>
      <c r="G989" s="411">
        <f t="shared" si="112"/>
        <v>-5.0000000000000266E-2</v>
      </c>
      <c r="K989" s="126"/>
      <c r="L989" s="403">
        <f t="shared" si="113"/>
        <v>44787</v>
      </c>
      <c r="M989" s="94" t="str">
        <f t="shared" si="114"/>
        <v>SUN</v>
      </c>
      <c r="O989" s="383">
        <f t="shared" si="116"/>
        <v>0</v>
      </c>
      <c r="P989" s="392">
        <f t="shared" si="115"/>
        <v>1</v>
      </c>
    </row>
    <row r="990" spans="2:16">
      <c r="B990" s="41"/>
      <c r="C990" s="403">
        <f t="shared" si="110"/>
        <v>44788</v>
      </c>
      <c r="D990" s="94" t="str">
        <f>VLOOKUP(MOD(C990,7),'CALENDAR INFO'!$G$5:$H$11,2)</f>
        <v>MON</v>
      </c>
      <c r="E990" s="165">
        <v>2.33</v>
      </c>
      <c r="F990" s="336">
        <v>2.29</v>
      </c>
      <c r="G990" s="411">
        <f t="shared" si="112"/>
        <v>-4.0000000000000036E-2</v>
      </c>
      <c r="H990" s="135"/>
      <c r="I990" s="144"/>
      <c r="J990" s="152"/>
      <c r="K990" s="126"/>
      <c r="L990" s="403">
        <f t="shared" si="113"/>
        <v>44788</v>
      </c>
      <c r="M990" s="94" t="str">
        <f t="shared" si="114"/>
        <v>MON</v>
      </c>
      <c r="O990" s="383">
        <f t="shared" si="116"/>
        <v>1</v>
      </c>
      <c r="P990" s="392">
        <f t="shared" si="115"/>
        <v>1.0000636111111112</v>
      </c>
    </row>
    <row r="991" spans="2:16">
      <c r="B991" s="41"/>
      <c r="C991" s="403">
        <f t="shared" si="110"/>
        <v>44789</v>
      </c>
      <c r="D991" s="94" t="str">
        <f>VLOOKUP(MOD(C991,7),'CALENDAR INFO'!$G$5:$H$11,2)</f>
        <v>TUE</v>
      </c>
      <c r="E991" s="165">
        <v>2.33</v>
      </c>
      <c r="F991" s="336">
        <v>2.29</v>
      </c>
      <c r="G991" s="411">
        <f t="shared" si="112"/>
        <v>-4.0000000000000036E-2</v>
      </c>
      <c r="K991" s="126"/>
      <c r="L991" s="403">
        <f t="shared" si="113"/>
        <v>44789</v>
      </c>
      <c r="M991" s="94" t="str">
        <f t="shared" si="114"/>
        <v>TUE</v>
      </c>
      <c r="O991" s="383">
        <f t="shared" si="116"/>
        <v>1</v>
      </c>
      <c r="P991" s="392">
        <f t="shared" si="115"/>
        <v>1.0000636111111112</v>
      </c>
    </row>
    <row r="992" spans="2:16">
      <c r="B992" s="41"/>
      <c r="C992" s="403">
        <f t="shared" si="110"/>
        <v>44790</v>
      </c>
      <c r="D992" s="94" t="str">
        <f>VLOOKUP(MOD(C992,7),'CALENDAR INFO'!$G$5:$H$11,2)</f>
        <v>WED</v>
      </c>
      <c r="E992" s="165">
        <v>2.33</v>
      </c>
      <c r="F992" s="336">
        <v>2.29</v>
      </c>
      <c r="G992" s="411">
        <f t="shared" si="112"/>
        <v>-4.0000000000000036E-2</v>
      </c>
      <c r="K992" s="126"/>
      <c r="L992" s="403">
        <f t="shared" si="113"/>
        <v>44790</v>
      </c>
      <c r="M992" s="94" t="str">
        <f t="shared" si="114"/>
        <v>WED</v>
      </c>
      <c r="O992" s="383">
        <f t="shared" si="116"/>
        <v>1</v>
      </c>
      <c r="P992" s="392">
        <f t="shared" si="115"/>
        <v>1.0000636111111112</v>
      </c>
    </row>
    <row r="993" spans="1:16">
      <c r="B993" s="41"/>
      <c r="C993" s="403">
        <f t="shared" si="110"/>
        <v>44791</v>
      </c>
      <c r="D993" s="94" t="str">
        <f>VLOOKUP(MOD(C993,7),'CALENDAR INFO'!$G$5:$H$11,2)</f>
        <v>THU</v>
      </c>
      <c r="E993" s="165">
        <v>2.33</v>
      </c>
      <c r="F993" s="336">
        <v>2.2799999999999998</v>
      </c>
      <c r="G993" s="411">
        <f t="shared" si="112"/>
        <v>-5.0000000000000266E-2</v>
      </c>
      <c r="K993" s="126"/>
      <c r="L993" s="403">
        <f t="shared" si="113"/>
        <v>44791</v>
      </c>
      <c r="M993" s="94" t="str">
        <f t="shared" si="114"/>
        <v>THU</v>
      </c>
      <c r="O993" s="383">
        <f t="shared" si="116"/>
        <v>1</v>
      </c>
      <c r="P993" s="392">
        <f t="shared" si="115"/>
        <v>1.0000633333333333</v>
      </c>
    </row>
    <row r="994" spans="1:16">
      <c r="B994" s="41"/>
      <c r="C994" s="403">
        <f t="shared" si="110"/>
        <v>44792</v>
      </c>
      <c r="D994" s="94" t="str">
        <f>VLOOKUP(MOD(C994,7),'CALENDAR INFO'!$G$5:$H$11,2)</f>
        <v>FRI</v>
      </c>
      <c r="E994" s="165">
        <v>2.33</v>
      </c>
      <c r="F994" s="336">
        <v>2.2799999999999998</v>
      </c>
      <c r="G994" s="411">
        <f t="shared" si="112"/>
        <v>-5.0000000000000266E-2</v>
      </c>
      <c r="K994" s="126"/>
      <c r="L994" s="403">
        <f t="shared" si="113"/>
        <v>44792</v>
      </c>
      <c r="M994" s="94" t="str">
        <f t="shared" si="114"/>
        <v>FRI</v>
      </c>
      <c r="O994" s="383">
        <f t="shared" si="116"/>
        <v>3</v>
      </c>
      <c r="P994" s="392">
        <f t="shared" si="115"/>
        <v>1.0001899999999999</v>
      </c>
    </row>
    <row r="995" spans="1:16">
      <c r="B995" s="41"/>
      <c r="C995" s="403">
        <f t="shared" si="110"/>
        <v>44793</v>
      </c>
      <c r="D995" s="94" t="str">
        <f>VLOOKUP(MOD(C995,7),'CALENDAR INFO'!$G$5:$H$11,2)</f>
        <v>SAT</v>
      </c>
      <c r="E995" s="165">
        <v>2.33</v>
      </c>
      <c r="F995" s="336">
        <v>2.2799999999999998</v>
      </c>
      <c r="G995" s="411">
        <f t="shared" si="112"/>
        <v>-5.0000000000000266E-2</v>
      </c>
      <c r="K995" s="126"/>
      <c r="L995" s="403">
        <f t="shared" si="113"/>
        <v>44793</v>
      </c>
      <c r="M995" s="94" t="str">
        <f t="shared" si="114"/>
        <v>SAT</v>
      </c>
      <c r="O995" s="383">
        <f t="shared" si="116"/>
        <v>0</v>
      </c>
      <c r="P995" s="392">
        <f t="shared" si="115"/>
        <v>1</v>
      </c>
    </row>
    <row r="996" spans="1:16">
      <c r="B996" s="41"/>
      <c r="C996" s="403">
        <f t="shared" si="110"/>
        <v>44794</v>
      </c>
      <c r="D996" s="94" t="str">
        <f>VLOOKUP(MOD(C996,7),'CALENDAR INFO'!$G$5:$H$11,2)</f>
        <v>SUN</v>
      </c>
      <c r="E996" s="165">
        <v>2.33</v>
      </c>
      <c r="F996" s="336">
        <v>2.2799999999999998</v>
      </c>
      <c r="G996" s="411">
        <f t="shared" si="112"/>
        <v>-5.0000000000000266E-2</v>
      </c>
      <c r="K996" s="126"/>
      <c r="L996" s="403">
        <f t="shared" si="113"/>
        <v>44794</v>
      </c>
      <c r="M996" s="94" t="str">
        <f t="shared" si="114"/>
        <v>SUN</v>
      </c>
      <c r="O996" s="383">
        <f t="shared" si="116"/>
        <v>0</v>
      </c>
      <c r="P996" s="392">
        <f t="shared" si="115"/>
        <v>1</v>
      </c>
    </row>
    <row r="997" spans="1:16">
      <c r="B997" s="41"/>
      <c r="C997" s="403">
        <f t="shared" si="110"/>
        <v>44795</v>
      </c>
      <c r="D997" s="94" t="str">
        <f>VLOOKUP(MOD(C997,7),'CALENDAR INFO'!$G$5:$H$11,2)</f>
        <v>MON</v>
      </c>
      <c r="E997" s="165">
        <v>2.33</v>
      </c>
      <c r="F997" s="336">
        <v>2.2799999999999998</v>
      </c>
      <c r="G997" s="411">
        <f t="shared" si="112"/>
        <v>-5.0000000000000266E-2</v>
      </c>
      <c r="K997" s="126"/>
      <c r="L997" s="403">
        <f t="shared" si="113"/>
        <v>44795</v>
      </c>
      <c r="M997" s="94" t="str">
        <f t="shared" si="114"/>
        <v>MON</v>
      </c>
      <c r="O997" s="383">
        <f t="shared" si="116"/>
        <v>1</v>
      </c>
      <c r="P997" s="392">
        <f t="shared" si="115"/>
        <v>1.0000633333333333</v>
      </c>
    </row>
    <row r="998" spans="1:16">
      <c r="B998" s="41"/>
      <c r="C998" s="403">
        <f t="shared" si="110"/>
        <v>44796</v>
      </c>
      <c r="D998" s="94" t="str">
        <f>VLOOKUP(MOD(C998,7),'CALENDAR INFO'!$G$5:$H$11,2)</f>
        <v>TUE</v>
      </c>
      <c r="E998" s="165">
        <v>2.33</v>
      </c>
      <c r="F998" s="336">
        <v>2.27</v>
      </c>
      <c r="G998" s="411">
        <f t="shared" si="112"/>
        <v>-6.0000000000000053E-2</v>
      </c>
      <c r="K998" s="126"/>
      <c r="L998" s="403">
        <f t="shared" si="113"/>
        <v>44796</v>
      </c>
      <c r="M998" s="94" t="str">
        <f t="shared" si="114"/>
        <v>TUE</v>
      </c>
      <c r="O998" s="383">
        <f t="shared" si="116"/>
        <v>1</v>
      </c>
      <c r="P998" s="392">
        <f t="shared" si="115"/>
        <v>1.0000630555555556</v>
      </c>
    </row>
    <row r="999" spans="1:16">
      <c r="B999" s="41"/>
      <c r="C999" s="403">
        <f t="shared" si="110"/>
        <v>44797</v>
      </c>
      <c r="D999" s="94" t="str">
        <f>VLOOKUP(MOD(C999,7),'CALENDAR INFO'!$G$5:$H$11,2)</f>
        <v>WED</v>
      </c>
      <c r="E999" s="165">
        <v>2.33</v>
      </c>
      <c r="F999" s="336">
        <v>2.27</v>
      </c>
      <c r="G999" s="411">
        <f t="shared" si="112"/>
        <v>-6.0000000000000053E-2</v>
      </c>
      <c r="K999" s="126" t="s">
        <v>19</v>
      </c>
      <c r="L999" s="403">
        <f t="shared" si="113"/>
        <v>44797</v>
      </c>
      <c r="M999" s="94" t="str">
        <f t="shared" si="114"/>
        <v>WED</v>
      </c>
      <c r="O999" s="383">
        <f t="shared" si="116"/>
        <v>1</v>
      </c>
      <c r="P999" s="392">
        <f t="shared" si="115"/>
        <v>1.0000630555555556</v>
      </c>
    </row>
    <row r="1000" spans="1:16">
      <c r="B1000" s="41"/>
      <c r="C1000" s="403">
        <f t="shared" si="110"/>
        <v>44798</v>
      </c>
      <c r="D1000" s="94" t="str">
        <f>VLOOKUP(MOD(C1000,7),'CALENDAR INFO'!$G$5:$H$11,2)</f>
        <v>THU</v>
      </c>
      <c r="E1000" s="165">
        <v>2.33</v>
      </c>
      <c r="F1000" s="336">
        <v>2.2799999999999998</v>
      </c>
      <c r="G1000" s="411">
        <f t="shared" si="112"/>
        <v>-5.0000000000000266E-2</v>
      </c>
      <c r="K1000" s="129" t="s">
        <v>18</v>
      </c>
      <c r="L1000" s="403">
        <f t="shared" si="113"/>
        <v>44798</v>
      </c>
      <c r="M1000" s="94" t="str">
        <f t="shared" si="114"/>
        <v>THU</v>
      </c>
      <c r="O1000" s="383">
        <f t="shared" si="116"/>
        <v>1</v>
      </c>
      <c r="P1000" s="392">
        <f t="shared" si="115"/>
        <v>1.0000633333333333</v>
      </c>
    </row>
    <row r="1001" spans="1:16">
      <c r="B1001" s="41"/>
      <c r="C1001" s="403">
        <f t="shared" si="110"/>
        <v>44799</v>
      </c>
      <c r="D1001" s="94" t="str">
        <f>VLOOKUP(MOD(C1001,7),'CALENDAR INFO'!$G$5:$H$11,2)</f>
        <v>FRI</v>
      </c>
      <c r="E1001" s="165">
        <v>2.33</v>
      </c>
      <c r="F1001" s="336">
        <v>2.2799999999999998</v>
      </c>
      <c r="G1001" s="411">
        <f t="shared" si="112"/>
        <v>-5.0000000000000266E-2</v>
      </c>
      <c r="K1001" s="129"/>
      <c r="L1001" s="403">
        <f t="shared" si="113"/>
        <v>44799</v>
      </c>
      <c r="M1001" s="94" t="str">
        <f t="shared" si="114"/>
        <v>FRI</v>
      </c>
      <c r="O1001" s="383">
        <f t="shared" si="116"/>
        <v>3</v>
      </c>
      <c r="P1001" s="392">
        <f t="shared" si="115"/>
        <v>1.0001899999999999</v>
      </c>
    </row>
    <row r="1002" spans="1:16">
      <c r="B1002" s="41"/>
      <c r="C1002" s="403">
        <f t="shared" si="110"/>
        <v>44800</v>
      </c>
      <c r="D1002" s="94" t="str">
        <f>VLOOKUP(MOD(C1002,7),'CALENDAR INFO'!$G$5:$H$11,2)</f>
        <v>SAT</v>
      </c>
      <c r="E1002" s="165">
        <v>2.33</v>
      </c>
      <c r="F1002" s="336">
        <v>2.2799999999999998</v>
      </c>
      <c r="G1002" s="411">
        <f t="shared" si="112"/>
        <v>-5.0000000000000266E-2</v>
      </c>
      <c r="I1002" s="137"/>
      <c r="K1002" s="129"/>
      <c r="L1002" s="403">
        <f t="shared" si="113"/>
        <v>44800</v>
      </c>
      <c r="M1002" s="94" t="str">
        <f t="shared" si="114"/>
        <v>SAT</v>
      </c>
      <c r="O1002" s="383">
        <f t="shared" si="116"/>
        <v>0</v>
      </c>
      <c r="P1002" s="392">
        <f t="shared" si="115"/>
        <v>1</v>
      </c>
    </row>
    <row r="1003" spans="1:16">
      <c r="B1003" s="41"/>
      <c r="C1003" s="403">
        <f t="shared" si="110"/>
        <v>44801</v>
      </c>
      <c r="D1003" s="94" t="str">
        <f>VLOOKUP(MOD(C1003,7),'CALENDAR INFO'!$G$5:$H$11,2)</f>
        <v>SUN</v>
      </c>
      <c r="E1003" s="165">
        <v>2.33</v>
      </c>
      <c r="F1003" s="336">
        <v>2.2799999999999998</v>
      </c>
      <c r="G1003" s="411">
        <f t="shared" si="112"/>
        <v>-5.0000000000000266E-2</v>
      </c>
      <c r="H1003" s="115"/>
      <c r="I1003" s="141"/>
      <c r="J1003" s="158"/>
      <c r="K1003" s="129"/>
      <c r="L1003" s="403">
        <f t="shared" si="113"/>
        <v>44801</v>
      </c>
      <c r="M1003" s="94" t="str">
        <f t="shared" si="114"/>
        <v>SUN</v>
      </c>
      <c r="O1003" s="383">
        <f t="shared" si="116"/>
        <v>0</v>
      </c>
      <c r="P1003" s="392">
        <f t="shared" si="115"/>
        <v>1</v>
      </c>
    </row>
    <row r="1004" spans="1:16">
      <c r="B1004" s="41"/>
      <c r="C1004" s="403">
        <f t="shared" si="110"/>
        <v>44802</v>
      </c>
      <c r="D1004" s="94" t="str">
        <f>VLOOKUP(MOD(C1004,7),'CALENDAR INFO'!$G$5:$H$11,2)</f>
        <v>MON</v>
      </c>
      <c r="E1004" s="165">
        <v>2.33</v>
      </c>
      <c r="F1004" s="336">
        <v>2.2799999999999998</v>
      </c>
      <c r="G1004" s="411">
        <f t="shared" si="112"/>
        <v>-5.0000000000000266E-2</v>
      </c>
      <c r="H1004" s="115"/>
      <c r="I1004" s="141"/>
      <c r="J1004" s="158"/>
      <c r="K1004" s="129"/>
      <c r="L1004" s="403">
        <f t="shared" si="113"/>
        <v>44802</v>
      </c>
      <c r="M1004" s="94" t="str">
        <f t="shared" si="114"/>
        <v>MON</v>
      </c>
      <c r="O1004" s="383">
        <f t="shared" si="116"/>
        <v>1</v>
      </c>
      <c r="P1004" s="392">
        <f t="shared" si="115"/>
        <v>1.0000633333333333</v>
      </c>
    </row>
    <row r="1005" spans="1:16">
      <c r="B1005" s="41"/>
      <c r="C1005" s="403">
        <f t="shared" si="110"/>
        <v>44803</v>
      </c>
      <c r="D1005" s="94" t="str">
        <f>VLOOKUP(MOD(C1005,7),'CALENDAR INFO'!$G$5:$H$11,2)</f>
        <v>TUE</v>
      </c>
      <c r="E1005" s="165">
        <v>2.33</v>
      </c>
      <c r="F1005" s="336">
        <v>2.29</v>
      </c>
      <c r="G1005" s="411">
        <f t="shared" si="112"/>
        <v>-4.0000000000000036E-2</v>
      </c>
      <c r="H1005" s="115"/>
      <c r="I1005" s="141"/>
      <c r="J1005" s="158"/>
      <c r="K1005" s="129"/>
      <c r="L1005" s="403">
        <f t="shared" si="113"/>
        <v>44803</v>
      </c>
      <c r="M1005" s="94" t="str">
        <f t="shared" si="114"/>
        <v>TUE</v>
      </c>
      <c r="O1005" s="383">
        <f t="shared" si="116"/>
        <v>1</v>
      </c>
      <c r="P1005" s="392">
        <f t="shared" si="115"/>
        <v>1.0000636111111112</v>
      </c>
    </row>
    <row r="1006" spans="1:16" ht="15.75" thickBot="1">
      <c r="A1006" s="81"/>
      <c r="B1006" s="178"/>
      <c r="C1006" s="404">
        <f t="shared" si="110"/>
        <v>44804</v>
      </c>
      <c r="D1006" s="103" t="str">
        <f>VLOOKUP(MOD(C1006,7),'CALENDAR INFO'!$G$5:$H$11,2)</f>
        <v>WED</v>
      </c>
      <c r="E1006" s="166">
        <v>2.33</v>
      </c>
      <c r="F1006" s="337">
        <v>2.29</v>
      </c>
      <c r="G1006" s="412">
        <f t="shared" si="112"/>
        <v>-4.0000000000000036E-2</v>
      </c>
      <c r="H1006" s="345"/>
      <c r="I1006" s="143"/>
      <c r="J1006" s="162"/>
      <c r="K1006" s="84"/>
      <c r="L1006" s="404">
        <f t="shared" si="113"/>
        <v>44804</v>
      </c>
      <c r="M1006" s="103" t="str">
        <f t="shared" si="114"/>
        <v>WED</v>
      </c>
      <c r="N1006" s="90"/>
      <c r="O1006" s="383">
        <f t="shared" si="116"/>
        <v>1</v>
      </c>
      <c r="P1006" s="388">
        <f t="shared" si="115"/>
        <v>1.0000636111111112</v>
      </c>
    </row>
    <row r="1007" spans="1:16">
      <c r="B1007" s="41"/>
      <c r="C1007" s="403">
        <f t="shared" si="110"/>
        <v>44805</v>
      </c>
      <c r="D1007" s="94" t="str">
        <f>VLOOKUP(MOD(C1007,7),'CALENDAR INFO'!$G$5:$H$11,2)</f>
        <v>THU</v>
      </c>
      <c r="E1007" s="165">
        <v>2.33</v>
      </c>
      <c r="F1007" s="336">
        <v>2.29</v>
      </c>
      <c r="G1007" s="411">
        <f t="shared" si="112"/>
        <v>-4.0000000000000036E-2</v>
      </c>
      <c r="H1007" s="15" t="s">
        <v>149</v>
      </c>
      <c r="I1007" s="15">
        <f>ROW(I1007)</f>
        <v>1007</v>
      </c>
      <c r="J1007" s="138">
        <f>I1007</f>
        <v>1007</v>
      </c>
      <c r="K1007" s="129"/>
      <c r="L1007" s="403">
        <f t="shared" si="113"/>
        <v>44805</v>
      </c>
      <c r="M1007" s="94" t="str">
        <f t="shared" si="114"/>
        <v>THU</v>
      </c>
      <c r="O1007" s="386">
        <f t="shared" si="116"/>
        <v>1</v>
      </c>
      <c r="P1007" s="390">
        <f t="shared" si="115"/>
        <v>1.0000636111111112</v>
      </c>
    </row>
    <row r="1008" spans="1:16">
      <c r="B1008" s="41"/>
      <c r="C1008" s="403">
        <f t="shared" si="110"/>
        <v>44806</v>
      </c>
      <c r="D1008" s="94" t="str">
        <f>VLOOKUP(MOD(C1008,7),'CALENDAR INFO'!$G$5:$H$11,2)</f>
        <v>FRI</v>
      </c>
      <c r="E1008" s="165">
        <v>2.33</v>
      </c>
      <c r="F1008" s="336">
        <v>2.29</v>
      </c>
      <c r="G1008" s="411">
        <f t="shared" si="112"/>
        <v>-4.0000000000000036E-2</v>
      </c>
      <c r="H1008" s="376" t="s">
        <v>210</v>
      </c>
      <c r="I1008" s="15">
        <f>VLOOKUP(MONTH($C1007),'CALENDAR INFO'!$J$5:$K$16,2)</f>
        <v>30</v>
      </c>
      <c r="J1008" s="138">
        <f>I1008</f>
        <v>30</v>
      </c>
      <c r="K1008" s="129"/>
      <c r="L1008" s="403">
        <f t="shared" si="113"/>
        <v>44806</v>
      </c>
      <c r="M1008" s="94" t="str">
        <f t="shared" si="114"/>
        <v>FRI</v>
      </c>
      <c r="O1008" s="384">
        <v>4</v>
      </c>
      <c r="P1008" s="392">
        <f t="shared" si="115"/>
        <v>1.0002544444444443</v>
      </c>
    </row>
    <row r="1009" spans="2:16">
      <c r="B1009" s="41"/>
      <c r="C1009" s="403">
        <f t="shared" si="110"/>
        <v>44807</v>
      </c>
      <c r="D1009" s="94" t="str">
        <f>VLOOKUP(MOD(C1009,7),'CALENDAR INFO'!$G$5:$H$11,2)</f>
        <v>SAT</v>
      </c>
      <c r="E1009" s="165">
        <v>2.33</v>
      </c>
      <c r="F1009" s="336">
        <v>2.29</v>
      </c>
      <c r="G1009" s="411">
        <f t="shared" si="112"/>
        <v>-4.0000000000000036E-2</v>
      </c>
      <c r="H1009" s="376" t="s">
        <v>211</v>
      </c>
      <c r="I1009" s="15">
        <f>I1008+I1007-1</f>
        <v>1036</v>
      </c>
      <c r="J1009" s="138">
        <f>I1009</f>
        <v>1036</v>
      </c>
      <c r="K1009" s="129"/>
      <c r="L1009" s="403">
        <f t="shared" si="113"/>
        <v>44807</v>
      </c>
      <c r="M1009" s="94" t="str">
        <f t="shared" si="114"/>
        <v>SAT</v>
      </c>
      <c r="O1009" s="383">
        <f>IF(MOD(C1009,7)&lt;2,0,IF(MOD(C1009,7)=6,3,1))</f>
        <v>0</v>
      </c>
      <c r="P1009" s="392">
        <f t="shared" si="115"/>
        <v>1</v>
      </c>
    </row>
    <row r="1010" spans="2:16">
      <c r="B1010" s="41"/>
      <c r="C1010" s="403">
        <f t="shared" si="110"/>
        <v>44808</v>
      </c>
      <c r="D1010" s="94" t="str">
        <f>VLOOKUP(MOD(C1010,7),'CALENDAR INFO'!$G$5:$H$11,2)</f>
        <v>SUN</v>
      </c>
      <c r="E1010" s="165">
        <v>2.33</v>
      </c>
      <c r="F1010" s="336">
        <v>2.29</v>
      </c>
      <c r="G1010" s="411">
        <f t="shared" si="112"/>
        <v>-4.0000000000000036E-2</v>
      </c>
      <c r="K1010" s="129"/>
      <c r="L1010" s="403">
        <f t="shared" si="113"/>
        <v>44808</v>
      </c>
      <c r="M1010" s="94" t="str">
        <f t="shared" si="114"/>
        <v>SUN</v>
      </c>
      <c r="O1010" s="383">
        <f>IF(MOD(C1010,7)&lt;2,0,IF(MOD(C1010,7)=6,3,1))</f>
        <v>0</v>
      </c>
      <c r="P1010" s="392">
        <f t="shared" si="115"/>
        <v>1</v>
      </c>
    </row>
    <row r="1011" spans="2:16">
      <c r="B1011" s="41"/>
      <c r="C1011" s="403">
        <f t="shared" si="110"/>
        <v>44809</v>
      </c>
      <c r="D1011" s="94" t="str">
        <f>VLOOKUP(MOD(C1011,7),'CALENDAR INFO'!$G$5:$H$11,2)</f>
        <v>MON</v>
      </c>
      <c r="E1011" s="165">
        <v>2.33</v>
      </c>
      <c r="F1011" s="336">
        <v>2.29</v>
      </c>
      <c r="G1011" s="411">
        <f t="shared" si="112"/>
        <v>-4.0000000000000036E-2</v>
      </c>
      <c r="H1011" s="15" t="s">
        <v>150</v>
      </c>
      <c r="I1011" s="137" t="str">
        <f>_xlfn.CONCAT(ADDRESS(I1007,5),":",ADDRESS(I1009,5))</f>
        <v>$E$1007:$E$1036</v>
      </c>
      <c r="J1011" s="150" t="str">
        <f>_xlfn.CONCAT(ADDRESS(J1007,6),":",ADDRESS(J1009,6))</f>
        <v>$F$1007:$F$1036</v>
      </c>
      <c r="K1011" s="129"/>
      <c r="L1011" s="403">
        <f t="shared" si="113"/>
        <v>44809</v>
      </c>
      <c r="M1011" s="94" t="str">
        <f t="shared" si="114"/>
        <v>MON</v>
      </c>
      <c r="N1011" s="132" t="s">
        <v>111</v>
      </c>
      <c r="O1011" s="384">
        <v>0</v>
      </c>
      <c r="P1011" s="392">
        <f t="shared" si="115"/>
        <v>1</v>
      </c>
    </row>
    <row r="1012" spans="2:16">
      <c r="B1012" s="41"/>
      <c r="C1012" s="403">
        <f t="shared" si="110"/>
        <v>44810</v>
      </c>
      <c r="D1012" s="94" t="str">
        <f>VLOOKUP(MOD(C1012,7),'CALENDAR INFO'!$G$5:$H$11,2)</f>
        <v>TUE</v>
      </c>
      <c r="E1012" s="165">
        <v>2.33</v>
      </c>
      <c r="F1012" s="336">
        <v>2.29</v>
      </c>
      <c r="G1012" s="411">
        <f t="shared" si="112"/>
        <v>-4.0000000000000036E-2</v>
      </c>
      <c r="K1012" s="129"/>
      <c r="L1012" s="403">
        <f t="shared" si="113"/>
        <v>44810</v>
      </c>
      <c r="M1012" s="94" t="str">
        <f t="shared" si="114"/>
        <v>TUE</v>
      </c>
      <c r="O1012" s="383">
        <f t="shared" ref="O1012:O1042" si="117">IF(MOD(C1012,7)&lt;2,0,IF(MOD(C1012,7)=6,3,1))</f>
        <v>1</v>
      </c>
      <c r="P1012" s="392">
        <f t="shared" si="115"/>
        <v>1.0000636111111112</v>
      </c>
    </row>
    <row r="1013" spans="2:16">
      <c r="B1013" s="41"/>
      <c r="C1013" s="403">
        <f t="shared" ref="C1013:C1076" si="118">C1012+1</f>
        <v>44811</v>
      </c>
      <c r="D1013" s="94" t="str">
        <f>VLOOKUP(MOD(C1013,7),'CALENDAR INFO'!$G$5:$H$11,2)</f>
        <v>WED</v>
      </c>
      <c r="E1013" s="165">
        <v>2.33</v>
      </c>
      <c r="F1013" s="336">
        <v>2.2799999999999998</v>
      </c>
      <c r="G1013" s="411">
        <f t="shared" si="112"/>
        <v>-5.0000000000000266E-2</v>
      </c>
      <c r="H1013" s="376" t="s">
        <v>221</v>
      </c>
      <c r="I1013" s="147">
        <f ca="1">AVERAGE(INDIRECT(I1011))</f>
        <v>2.5549999999999988</v>
      </c>
      <c r="J1013" s="326">
        <f ca="1">AVERAGE(INDIRECT(J1011))</f>
        <v>2.4896666666666674</v>
      </c>
      <c r="K1013" s="129" t="s">
        <v>19</v>
      </c>
      <c r="L1013" s="403">
        <f t="shared" si="113"/>
        <v>44811</v>
      </c>
      <c r="M1013" s="94" t="str">
        <f t="shared" si="114"/>
        <v>WED</v>
      </c>
      <c r="O1013" s="383">
        <f t="shared" si="117"/>
        <v>1</v>
      </c>
      <c r="P1013" s="392">
        <f t="shared" si="115"/>
        <v>1.0000633333333333</v>
      </c>
    </row>
    <row r="1014" spans="2:16">
      <c r="B1014" s="41"/>
      <c r="C1014" s="403">
        <f t="shared" si="118"/>
        <v>44812</v>
      </c>
      <c r="D1014" s="94" t="str">
        <f>VLOOKUP(MOD(C1014,7),'CALENDAR INFO'!$G$5:$H$11,2)</f>
        <v>THU</v>
      </c>
      <c r="E1014" s="165">
        <v>2.33</v>
      </c>
      <c r="F1014" s="336">
        <v>2.2799999999999998</v>
      </c>
      <c r="G1014" s="411">
        <f t="shared" si="112"/>
        <v>-5.0000000000000266E-2</v>
      </c>
      <c r="I1014" s="240"/>
      <c r="J1014" s="157"/>
      <c r="K1014" s="126" t="s">
        <v>18</v>
      </c>
      <c r="L1014" s="403">
        <f t="shared" si="113"/>
        <v>44812</v>
      </c>
      <c r="M1014" s="94" t="str">
        <f t="shared" si="114"/>
        <v>THU</v>
      </c>
      <c r="O1014" s="383">
        <f t="shared" si="117"/>
        <v>1</v>
      </c>
      <c r="P1014" s="392">
        <f t="shared" si="115"/>
        <v>1.0000633333333333</v>
      </c>
    </row>
    <row r="1015" spans="2:16">
      <c r="B1015" s="41"/>
      <c r="C1015" s="403">
        <f t="shared" si="118"/>
        <v>44813</v>
      </c>
      <c r="D1015" s="94" t="str">
        <f>VLOOKUP(MOD(C1015,7),'CALENDAR INFO'!$G$5:$H$11,2)</f>
        <v>FRI</v>
      </c>
      <c r="E1015" s="165">
        <v>2.33</v>
      </c>
      <c r="F1015" s="336">
        <v>2.2799999999999998</v>
      </c>
      <c r="G1015" s="411">
        <f t="shared" si="112"/>
        <v>-5.0000000000000266E-2</v>
      </c>
      <c r="H1015" s="15" t="s">
        <v>222</v>
      </c>
      <c r="I1015" s="147">
        <f ca="1">100-I1013</f>
        <v>97.445000000000007</v>
      </c>
      <c r="J1015" s="326">
        <f ca="1">100-J1013</f>
        <v>97.510333333333335</v>
      </c>
      <c r="K1015" s="126"/>
      <c r="L1015" s="403">
        <f t="shared" si="113"/>
        <v>44813</v>
      </c>
      <c r="M1015" s="94" t="str">
        <f t="shared" si="114"/>
        <v>FRI</v>
      </c>
      <c r="O1015" s="383">
        <f t="shared" si="117"/>
        <v>3</v>
      </c>
      <c r="P1015" s="392">
        <f t="shared" si="115"/>
        <v>1.0001899999999999</v>
      </c>
    </row>
    <row r="1016" spans="2:16">
      <c r="B1016" s="41"/>
      <c r="C1016" s="403">
        <f t="shared" si="118"/>
        <v>44814</v>
      </c>
      <c r="D1016" s="94" t="str">
        <f>VLOOKUP(MOD(C1016,7),'CALENDAR INFO'!$G$5:$H$11,2)</f>
        <v>SAT</v>
      </c>
      <c r="E1016" s="165">
        <v>2.33</v>
      </c>
      <c r="F1016" s="336">
        <v>2.2799999999999998</v>
      </c>
      <c r="G1016" s="411">
        <f t="shared" si="112"/>
        <v>-5.0000000000000266E-2</v>
      </c>
      <c r="I1016" s="137"/>
      <c r="J1016" s="150"/>
      <c r="K1016" s="126"/>
      <c r="L1016" s="403">
        <f t="shared" si="113"/>
        <v>44814</v>
      </c>
      <c r="M1016" s="94" t="str">
        <f t="shared" si="114"/>
        <v>SAT</v>
      </c>
      <c r="O1016" s="383">
        <f t="shared" si="117"/>
        <v>0</v>
      </c>
      <c r="P1016" s="392">
        <f t="shared" si="115"/>
        <v>1</v>
      </c>
    </row>
    <row r="1017" spans="2:16">
      <c r="B1017" s="41"/>
      <c r="C1017" s="403">
        <f t="shared" si="118"/>
        <v>44815</v>
      </c>
      <c r="D1017" s="94" t="str">
        <f>VLOOKUP(MOD(C1017,7),'CALENDAR INFO'!$G$5:$H$11,2)</f>
        <v>SUN</v>
      </c>
      <c r="E1017" s="165">
        <v>2.33</v>
      </c>
      <c r="F1017" s="336">
        <v>2.2799999999999998</v>
      </c>
      <c r="G1017" s="411">
        <f t="shared" si="112"/>
        <v>-5.0000000000000266E-2</v>
      </c>
      <c r="H1017" s="136"/>
      <c r="I1017" s="139"/>
      <c r="J1017" s="151"/>
      <c r="K1017" s="126"/>
      <c r="L1017" s="403">
        <f t="shared" si="113"/>
        <v>44815</v>
      </c>
      <c r="M1017" s="94" t="str">
        <f t="shared" si="114"/>
        <v>SUN</v>
      </c>
      <c r="O1017" s="383">
        <f t="shared" si="117"/>
        <v>0</v>
      </c>
      <c r="P1017" s="392">
        <f t="shared" si="115"/>
        <v>1</v>
      </c>
    </row>
    <row r="1018" spans="2:16">
      <c r="B1018" s="41"/>
      <c r="C1018" s="403">
        <f t="shared" si="118"/>
        <v>44816</v>
      </c>
      <c r="D1018" s="94" t="str">
        <f>VLOOKUP(MOD(C1018,7),'CALENDAR INFO'!$G$5:$H$11,2)</f>
        <v>MON</v>
      </c>
      <c r="E1018" s="165">
        <v>2.33</v>
      </c>
      <c r="F1018" s="336">
        <v>2.2799999999999998</v>
      </c>
      <c r="G1018" s="411">
        <f t="shared" si="112"/>
        <v>-5.0000000000000266E-2</v>
      </c>
      <c r="H1018" s="136"/>
      <c r="I1018" s="139"/>
      <c r="J1018" s="151"/>
      <c r="K1018" s="126"/>
      <c r="L1018" s="403">
        <f t="shared" si="113"/>
        <v>44816</v>
      </c>
      <c r="M1018" s="94" t="str">
        <f t="shared" si="114"/>
        <v>MON</v>
      </c>
      <c r="O1018" s="383">
        <f t="shared" si="117"/>
        <v>1</v>
      </c>
      <c r="P1018" s="392">
        <f t="shared" si="115"/>
        <v>1.0000633333333333</v>
      </c>
    </row>
    <row r="1019" spans="2:16">
      <c r="B1019" s="41"/>
      <c r="C1019" s="403">
        <f t="shared" si="118"/>
        <v>44817</v>
      </c>
      <c r="D1019" s="94" t="str">
        <f>VLOOKUP(MOD(C1019,7),'CALENDAR INFO'!$G$5:$H$11,2)</f>
        <v>TUE</v>
      </c>
      <c r="E1019" s="165">
        <v>2.33</v>
      </c>
      <c r="F1019" s="336">
        <v>2.2799999999999998</v>
      </c>
      <c r="G1019" s="411">
        <f t="shared" si="112"/>
        <v>-5.0000000000000266E-2</v>
      </c>
      <c r="H1019" s="136"/>
      <c r="I1019" s="139"/>
      <c r="J1019" s="151"/>
      <c r="K1019" s="126"/>
      <c r="L1019" s="403">
        <f t="shared" si="113"/>
        <v>44817</v>
      </c>
      <c r="M1019" s="94" t="str">
        <f t="shared" si="114"/>
        <v>TUE</v>
      </c>
      <c r="O1019" s="383">
        <f t="shared" si="117"/>
        <v>1</v>
      </c>
      <c r="P1019" s="392">
        <f t="shared" si="115"/>
        <v>1.0000633333333333</v>
      </c>
    </row>
    <row r="1020" spans="2:16">
      <c r="B1020" s="41"/>
      <c r="C1020" s="403">
        <f t="shared" si="118"/>
        <v>44818</v>
      </c>
      <c r="D1020" s="94" t="str">
        <f>VLOOKUP(MOD(C1020,7),'CALENDAR INFO'!$G$5:$H$11,2)</f>
        <v>WED</v>
      </c>
      <c r="E1020" s="165">
        <v>2.33</v>
      </c>
      <c r="F1020" s="336">
        <v>2.27</v>
      </c>
      <c r="G1020" s="411">
        <f t="shared" si="112"/>
        <v>-6.0000000000000053E-2</v>
      </c>
      <c r="K1020" s="126"/>
      <c r="L1020" s="403">
        <f t="shared" si="113"/>
        <v>44818</v>
      </c>
      <c r="M1020" s="94" t="str">
        <f t="shared" si="114"/>
        <v>WED</v>
      </c>
      <c r="O1020" s="383">
        <f t="shared" si="117"/>
        <v>1</v>
      </c>
      <c r="P1020" s="392">
        <f t="shared" si="115"/>
        <v>1.0000630555555556</v>
      </c>
    </row>
    <row r="1021" spans="2:16">
      <c r="B1021" s="41"/>
      <c r="C1021" s="403">
        <f>C1020+1</f>
        <v>44819</v>
      </c>
      <c r="D1021" s="94" t="str">
        <f>VLOOKUP(MOD(C1021,7),'CALENDAR INFO'!$G$5:$H$11,2)</f>
        <v>THU</v>
      </c>
      <c r="E1021" s="165">
        <v>2.33</v>
      </c>
      <c r="F1021" s="336">
        <v>2.2799999999999998</v>
      </c>
      <c r="G1021" s="411">
        <f t="shared" si="112"/>
        <v>-5.0000000000000266E-2</v>
      </c>
      <c r="H1021" s="135"/>
      <c r="I1021" s="144"/>
      <c r="J1021" s="152"/>
      <c r="K1021" s="126"/>
      <c r="L1021" s="403">
        <f t="shared" si="113"/>
        <v>44819</v>
      </c>
      <c r="M1021" s="94" t="str">
        <f t="shared" si="114"/>
        <v>THU</v>
      </c>
      <c r="O1021" s="383">
        <f t="shared" si="117"/>
        <v>1</v>
      </c>
      <c r="P1021" s="392">
        <f t="shared" si="115"/>
        <v>1.0000633333333333</v>
      </c>
    </row>
    <row r="1022" spans="2:16">
      <c r="B1022" s="41"/>
      <c r="C1022" s="403">
        <f t="shared" si="118"/>
        <v>44820</v>
      </c>
      <c r="D1022" s="94" t="str">
        <f>VLOOKUP(MOD(C1022,7),'CALENDAR INFO'!$G$5:$H$11,2)</f>
        <v>FRI</v>
      </c>
      <c r="E1022" s="165">
        <v>2.33</v>
      </c>
      <c r="F1022" s="336">
        <v>2.27</v>
      </c>
      <c r="G1022" s="411">
        <f t="shared" si="112"/>
        <v>-6.0000000000000053E-2</v>
      </c>
      <c r="K1022" s="126"/>
      <c r="L1022" s="403">
        <f t="shared" si="113"/>
        <v>44820</v>
      </c>
      <c r="M1022" s="94" t="str">
        <f t="shared" si="114"/>
        <v>FRI</v>
      </c>
      <c r="O1022" s="383">
        <f t="shared" si="117"/>
        <v>3</v>
      </c>
      <c r="P1022" s="392">
        <f t="shared" si="115"/>
        <v>1.0001891666666667</v>
      </c>
    </row>
    <row r="1023" spans="2:16">
      <c r="B1023" s="41"/>
      <c r="C1023" s="403">
        <f t="shared" si="118"/>
        <v>44821</v>
      </c>
      <c r="D1023" s="94" t="str">
        <f>VLOOKUP(MOD(C1023,7),'CALENDAR INFO'!$G$5:$H$11,2)</f>
        <v>SAT</v>
      </c>
      <c r="E1023" s="165">
        <v>2.33</v>
      </c>
      <c r="F1023" s="336">
        <v>2.27</v>
      </c>
      <c r="G1023" s="411">
        <f t="shared" si="112"/>
        <v>-6.0000000000000053E-2</v>
      </c>
      <c r="K1023" s="126"/>
      <c r="L1023" s="403">
        <f t="shared" si="113"/>
        <v>44821</v>
      </c>
      <c r="M1023" s="94" t="str">
        <f t="shared" si="114"/>
        <v>SAT</v>
      </c>
      <c r="O1023" s="383">
        <f t="shared" si="117"/>
        <v>0</v>
      </c>
      <c r="P1023" s="392">
        <f t="shared" si="115"/>
        <v>1</v>
      </c>
    </row>
    <row r="1024" spans="2:16">
      <c r="B1024" s="41"/>
      <c r="C1024" s="403">
        <f t="shared" si="118"/>
        <v>44822</v>
      </c>
      <c r="D1024" s="94" t="str">
        <f>VLOOKUP(MOD(C1024,7),'CALENDAR INFO'!$G$5:$H$11,2)</f>
        <v>SUN</v>
      </c>
      <c r="E1024" s="165">
        <v>2.33</v>
      </c>
      <c r="F1024" s="336">
        <v>2.27</v>
      </c>
      <c r="G1024" s="411">
        <f t="shared" si="112"/>
        <v>-6.0000000000000053E-2</v>
      </c>
      <c r="K1024" s="126"/>
      <c r="L1024" s="403">
        <f t="shared" si="113"/>
        <v>44822</v>
      </c>
      <c r="M1024" s="94" t="str">
        <f t="shared" si="114"/>
        <v>SUN</v>
      </c>
      <c r="O1024" s="383">
        <f t="shared" si="117"/>
        <v>0</v>
      </c>
      <c r="P1024" s="392">
        <f t="shared" si="115"/>
        <v>1</v>
      </c>
    </row>
    <row r="1025" spans="1:18">
      <c r="B1025" s="41"/>
      <c r="C1025" s="403">
        <f t="shared" si="118"/>
        <v>44823</v>
      </c>
      <c r="D1025" s="94" t="str">
        <f>VLOOKUP(MOD(C1025,7),'CALENDAR INFO'!$G$5:$H$11,2)</f>
        <v>MON</v>
      </c>
      <c r="E1025" s="165">
        <v>2.33</v>
      </c>
      <c r="F1025" s="336">
        <v>2.27</v>
      </c>
      <c r="G1025" s="411">
        <f t="shared" si="112"/>
        <v>-6.0000000000000053E-2</v>
      </c>
      <c r="K1025" s="126"/>
      <c r="L1025" s="403">
        <f t="shared" si="113"/>
        <v>44823</v>
      </c>
      <c r="M1025" s="94" t="str">
        <f t="shared" si="114"/>
        <v>MON</v>
      </c>
      <c r="O1025" s="383">
        <f t="shared" si="117"/>
        <v>1</v>
      </c>
      <c r="P1025" s="392">
        <f t="shared" si="115"/>
        <v>1.0000630555555556</v>
      </c>
    </row>
    <row r="1026" spans="1:18">
      <c r="B1026" s="41"/>
      <c r="C1026" s="403">
        <f t="shared" si="118"/>
        <v>44824</v>
      </c>
      <c r="D1026" s="94" t="str">
        <f>VLOOKUP(MOD(C1026,7),'CALENDAR INFO'!$G$5:$H$11,2)</f>
        <v>TUE</v>
      </c>
      <c r="E1026" s="165">
        <v>2.33</v>
      </c>
      <c r="F1026" s="336">
        <v>2.2599999999999998</v>
      </c>
      <c r="G1026" s="411">
        <f t="shared" si="112"/>
        <v>-7.0000000000000284E-2</v>
      </c>
      <c r="K1026" s="126"/>
      <c r="L1026" s="403">
        <f t="shared" si="113"/>
        <v>44824</v>
      </c>
      <c r="M1026" s="94" t="str">
        <f t="shared" si="114"/>
        <v>TUE</v>
      </c>
      <c r="N1026" s="116" t="s">
        <v>20</v>
      </c>
      <c r="O1026" s="383">
        <f t="shared" si="117"/>
        <v>1</v>
      </c>
      <c r="P1026" s="392">
        <f t="shared" si="115"/>
        <v>1.0000627777777777</v>
      </c>
    </row>
    <row r="1027" spans="1:18">
      <c r="B1027" s="41"/>
      <c r="C1027" s="403">
        <f t="shared" si="118"/>
        <v>44825</v>
      </c>
      <c r="D1027" s="94" t="str">
        <f>VLOOKUP(MOD(C1027,7),'CALENDAR INFO'!$G$5:$H$11,2)</f>
        <v>WED</v>
      </c>
      <c r="E1027" s="165">
        <v>2.33</v>
      </c>
      <c r="F1027" s="336">
        <v>2.25</v>
      </c>
      <c r="G1027" s="411">
        <f t="shared" ref="G1027:G1090" si="119">F1027-E1027</f>
        <v>-8.0000000000000071E-2</v>
      </c>
      <c r="K1027" s="126" t="s">
        <v>19</v>
      </c>
      <c r="L1027" s="403">
        <f t="shared" ref="L1027:L1090" si="120">C1027</f>
        <v>44825</v>
      </c>
      <c r="M1027" s="94" t="str">
        <f t="shared" ref="M1027:M1090" si="121">D1027</f>
        <v>WED</v>
      </c>
      <c r="N1027" s="116" t="s">
        <v>20</v>
      </c>
      <c r="O1027" s="383">
        <f t="shared" si="117"/>
        <v>1</v>
      </c>
      <c r="P1027" s="392">
        <f t="shared" si="115"/>
        <v>1.0000625000000001</v>
      </c>
    </row>
    <row r="1028" spans="1:18">
      <c r="B1028" s="41"/>
      <c r="C1028" s="403">
        <f t="shared" si="118"/>
        <v>44826</v>
      </c>
      <c r="D1028" s="94" t="str">
        <f>VLOOKUP(MOD(C1028,7),'CALENDAR INFO'!$G$5:$H$11,2)</f>
        <v>THU</v>
      </c>
      <c r="E1028" s="170">
        <v>3.08</v>
      </c>
      <c r="F1028" s="342">
        <v>2.99</v>
      </c>
      <c r="G1028" s="411">
        <f t="shared" si="119"/>
        <v>-8.9999999999999858E-2</v>
      </c>
      <c r="K1028" s="129" t="s">
        <v>18</v>
      </c>
      <c r="L1028" s="403">
        <f t="shared" si="120"/>
        <v>44826</v>
      </c>
      <c r="M1028" s="94" t="str">
        <f t="shared" si="121"/>
        <v>THU</v>
      </c>
      <c r="O1028" s="383">
        <f t="shared" si="117"/>
        <v>1</v>
      </c>
      <c r="P1028" s="392">
        <f t="shared" si="115"/>
        <v>1.0000830555555555</v>
      </c>
    </row>
    <row r="1029" spans="1:18">
      <c r="B1029" s="41"/>
      <c r="C1029" s="403">
        <f t="shared" si="118"/>
        <v>44827</v>
      </c>
      <c r="D1029" s="94" t="str">
        <f>VLOOKUP(MOD(C1029,7),'CALENDAR INFO'!$G$5:$H$11,2)</f>
        <v>FRI</v>
      </c>
      <c r="E1029" s="165">
        <v>3.08</v>
      </c>
      <c r="F1029" s="336">
        <v>2.99</v>
      </c>
      <c r="G1029" s="411">
        <f t="shared" si="119"/>
        <v>-8.9999999999999858E-2</v>
      </c>
      <c r="K1029" s="129"/>
      <c r="L1029" s="403">
        <f t="shared" si="120"/>
        <v>44827</v>
      </c>
      <c r="M1029" s="94" t="str">
        <f t="shared" si="121"/>
        <v>FRI</v>
      </c>
      <c r="O1029" s="383">
        <f t="shared" si="117"/>
        <v>3</v>
      </c>
      <c r="P1029" s="392">
        <f t="shared" si="115"/>
        <v>1.0002491666666666</v>
      </c>
    </row>
    <row r="1030" spans="1:18">
      <c r="B1030" s="41"/>
      <c r="C1030" s="403">
        <f t="shared" si="118"/>
        <v>44828</v>
      </c>
      <c r="D1030" s="94" t="str">
        <f>VLOOKUP(MOD(C1030,7),'CALENDAR INFO'!$G$5:$H$11,2)</f>
        <v>SAT</v>
      </c>
      <c r="E1030" s="165">
        <v>3.08</v>
      </c>
      <c r="F1030" s="336">
        <v>2.99</v>
      </c>
      <c r="G1030" s="411">
        <f t="shared" si="119"/>
        <v>-8.9999999999999858E-2</v>
      </c>
      <c r="K1030" s="129"/>
      <c r="L1030" s="403">
        <f t="shared" si="120"/>
        <v>44828</v>
      </c>
      <c r="M1030" s="94" t="str">
        <f t="shared" si="121"/>
        <v>SAT</v>
      </c>
      <c r="O1030" s="383">
        <f t="shared" si="117"/>
        <v>0</v>
      </c>
      <c r="P1030" s="392">
        <f t="shared" si="115"/>
        <v>1</v>
      </c>
    </row>
    <row r="1031" spans="1:18">
      <c r="B1031" s="41"/>
      <c r="C1031" s="403">
        <f t="shared" si="118"/>
        <v>44829</v>
      </c>
      <c r="D1031" s="94" t="str">
        <f>VLOOKUP(MOD(C1031,7),'CALENDAR INFO'!$G$5:$H$11,2)</f>
        <v>SUN</v>
      </c>
      <c r="E1031" s="165">
        <v>3.08</v>
      </c>
      <c r="F1031" s="336">
        <v>2.99</v>
      </c>
      <c r="G1031" s="411">
        <f t="shared" si="119"/>
        <v>-8.9999999999999858E-2</v>
      </c>
      <c r="K1031" s="129"/>
      <c r="L1031" s="403">
        <f t="shared" si="120"/>
        <v>44829</v>
      </c>
      <c r="M1031" s="94" t="str">
        <f t="shared" si="121"/>
        <v>SUN</v>
      </c>
      <c r="O1031" s="383">
        <f t="shared" si="117"/>
        <v>0</v>
      </c>
      <c r="P1031" s="392">
        <f t="shared" si="115"/>
        <v>1</v>
      </c>
    </row>
    <row r="1032" spans="1:18">
      <c r="B1032" s="41"/>
      <c r="C1032" s="403">
        <f t="shared" si="118"/>
        <v>44830</v>
      </c>
      <c r="D1032" s="94" t="str">
        <f>VLOOKUP(MOD(C1032,7),'CALENDAR INFO'!$G$5:$H$11,2)</f>
        <v>MON</v>
      </c>
      <c r="E1032" s="165">
        <v>3.08</v>
      </c>
      <c r="F1032" s="336">
        <v>2.99</v>
      </c>
      <c r="G1032" s="411">
        <f t="shared" si="119"/>
        <v>-8.9999999999999858E-2</v>
      </c>
      <c r="K1032" s="129"/>
      <c r="L1032" s="403">
        <f t="shared" si="120"/>
        <v>44830</v>
      </c>
      <c r="M1032" s="94" t="str">
        <f t="shared" si="121"/>
        <v>MON</v>
      </c>
      <c r="O1032" s="383">
        <f t="shared" si="117"/>
        <v>1</v>
      </c>
      <c r="P1032" s="392">
        <f t="shared" si="115"/>
        <v>1.0000830555555555</v>
      </c>
      <c r="Q1032" s="21"/>
      <c r="R1032" s="221"/>
    </row>
    <row r="1033" spans="1:18">
      <c r="B1033" s="41"/>
      <c r="C1033" s="403">
        <f t="shared" si="118"/>
        <v>44831</v>
      </c>
      <c r="D1033" s="94" t="str">
        <f>VLOOKUP(MOD(C1033,7),'CALENDAR INFO'!$G$5:$H$11,2)</f>
        <v>TUE</v>
      </c>
      <c r="E1033" s="165">
        <v>3.08</v>
      </c>
      <c r="F1033" s="336">
        <v>2.98</v>
      </c>
      <c r="G1033" s="411">
        <f t="shared" si="119"/>
        <v>-0.10000000000000009</v>
      </c>
      <c r="I1033" s="137"/>
      <c r="K1033" s="129"/>
      <c r="L1033" s="403">
        <f t="shared" si="120"/>
        <v>44831</v>
      </c>
      <c r="M1033" s="94" t="str">
        <f t="shared" si="121"/>
        <v>TUE</v>
      </c>
      <c r="O1033" s="383">
        <f t="shared" si="117"/>
        <v>1</v>
      </c>
      <c r="P1033" s="392">
        <f t="shared" si="115"/>
        <v>1.0000827777777779</v>
      </c>
      <c r="Q1033" s="21"/>
      <c r="R1033" s="222"/>
    </row>
    <row r="1034" spans="1:18">
      <c r="B1034" s="41"/>
      <c r="C1034" s="403">
        <f t="shared" si="118"/>
        <v>44832</v>
      </c>
      <c r="D1034" s="94" t="str">
        <f>VLOOKUP(MOD(C1034,7),'CALENDAR INFO'!$G$5:$H$11,2)</f>
        <v>WED</v>
      </c>
      <c r="E1034" s="165">
        <v>3.08</v>
      </c>
      <c r="F1034" s="336">
        <v>2.98</v>
      </c>
      <c r="G1034" s="411">
        <f t="shared" si="119"/>
        <v>-0.10000000000000009</v>
      </c>
      <c r="H1034" s="115"/>
      <c r="I1034" s="148"/>
      <c r="J1034" s="160"/>
      <c r="K1034" s="129"/>
      <c r="L1034" s="403">
        <f t="shared" si="120"/>
        <v>44832</v>
      </c>
      <c r="M1034" s="94" t="str">
        <f t="shared" si="121"/>
        <v>WED</v>
      </c>
      <c r="O1034" s="383">
        <f t="shared" si="117"/>
        <v>1</v>
      </c>
      <c r="P1034" s="392">
        <f t="shared" si="115"/>
        <v>1.0000827777777779</v>
      </c>
      <c r="Q1034" s="21"/>
      <c r="R1034" s="222"/>
    </row>
    <row r="1035" spans="1:18">
      <c r="B1035" s="41"/>
      <c r="C1035" s="403">
        <f t="shared" si="118"/>
        <v>44833</v>
      </c>
      <c r="D1035" s="94" t="str">
        <f>VLOOKUP(MOD(C1035,7),'CALENDAR INFO'!$G$5:$H$11,2)</f>
        <v>THU</v>
      </c>
      <c r="E1035" s="165">
        <v>3.08</v>
      </c>
      <c r="F1035" s="336">
        <v>2.96</v>
      </c>
      <c r="G1035" s="411">
        <f t="shared" si="119"/>
        <v>-0.12000000000000011</v>
      </c>
      <c r="H1035" s="115"/>
      <c r="I1035" s="141"/>
      <c r="J1035" s="158"/>
      <c r="K1035" s="129"/>
      <c r="L1035" s="403">
        <f t="shared" si="120"/>
        <v>44833</v>
      </c>
      <c r="M1035" s="94" t="str">
        <f t="shared" si="121"/>
        <v>THU</v>
      </c>
      <c r="O1035" s="383">
        <f t="shared" si="117"/>
        <v>1</v>
      </c>
      <c r="P1035" s="392">
        <f t="shared" si="115"/>
        <v>1.0000822222222223</v>
      </c>
    </row>
    <row r="1036" spans="1:18" ht="15.75" thickBot="1">
      <c r="A1036" s="81"/>
      <c r="B1036" s="178"/>
      <c r="C1036" s="404">
        <f t="shared" si="118"/>
        <v>44834</v>
      </c>
      <c r="D1036" s="103" t="str">
        <f>VLOOKUP(MOD(C1036,7),'CALENDAR INFO'!$G$5:$H$11,2)</f>
        <v>FRI</v>
      </c>
      <c r="E1036" s="166">
        <v>3.08</v>
      </c>
      <c r="F1036" s="337">
        <v>2.98</v>
      </c>
      <c r="G1036" s="412">
        <f t="shared" si="119"/>
        <v>-0.10000000000000009</v>
      </c>
      <c r="H1036" s="345"/>
      <c r="I1036" s="143"/>
      <c r="J1036" s="162"/>
      <c r="K1036" s="84"/>
      <c r="L1036" s="404">
        <f t="shared" si="120"/>
        <v>44834</v>
      </c>
      <c r="M1036" s="103" t="str">
        <f t="shared" si="121"/>
        <v>FRI</v>
      </c>
      <c r="N1036" s="90"/>
      <c r="O1036" s="383">
        <f t="shared" si="117"/>
        <v>3</v>
      </c>
      <c r="P1036" s="388">
        <f t="shared" si="115"/>
        <v>1.0002483333333334</v>
      </c>
    </row>
    <row r="1037" spans="1:18">
      <c r="B1037" s="41"/>
      <c r="C1037" s="403">
        <f t="shared" si="118"/>
        <v>44835</v>
      </c>
      <c r="D1037" s="94" t="str">
        <f>VLOOKUP(MOD(C1037,7),'CALENDAR INFO'!$G$5:$H$11,2)</f>
        <v>SAT</v>
      </c>
      <c r="E1037" s="165">
        <v>3.08</v>
      </c>
      <c r="F1037" s="336">
        <v>2.98</v>
      </c>
      <c r="G1037" s="411">
        <f t="shared" si="119"/>
        <v>-0.10000000000000009</v>
      </c>
      <c r="H1037" s="15" t="s">
        <v>149</v>
      </c>
      <c r="I1037" s="15">
        <f>ROW(I1037)</f>
        <v>1037</v>
      </c>
      <c r="J1037" s="138">
        <f>I1037</f>
        <v>1037</v>
      </c>
      <c r="K1037" s="129"/>
      <c r="L1037" s="403">
        <f t="shared" si="120"/>
        <v>44835</v>
      </c>
      <c r="M1037" s="94" t="str">
        <f t="shared" si="121"/>
        <v>SAT</v>
      </c>
      <c r="O1037" s="386">
        <f t="shared" si="117"/>
        <v>0</v>
      </c>
      <c r="P1037" s="390">
        <f t="shared" si="115"/>
        <v>1</v>
      </c>
    </row>
    <row r="1038" spans="1:18">
      <c r="B1038" s="41"/>
      <c r="C1038" s="403">
        <f t="shared" si="118"/>
        <v>44836</v>
      </c>
      <c r="D1038" s="94" t="str">
        <f>VLOOKUP(MOD(C1038,7),'CALENDAR INFO'!$G$5:$H$11,2)</f>
        <v>SUN</v>
      </c>
      <c r="E1038" s="165">
        <v>3.08</v>
      </c>
      <c r="F1038" s="336">
        <v>2.98</v>
      </c>
      <c r="G1038" s="411">
        <f t="shared" si="119"/>
        <v>-0.10000000000000009</v>
      </c>
      <c r="H1038" s="376" t="s">
        <v>210</v>
      </c>
      <c r="I1038" s="15">
        <f>VLOOKUP(MONTH($C1037),'CALENDAR INFO'!$J$5:$K$16,2)</f>
        <v>31</v>
      </c>
      <c r="J1038" s="138">
        <f>I1038</f>
        <v>31</v>
      </c>
      <c r="K1038" s="129"/>
      <c r="L1038" s="403">
        <f t="shared" si="120"/>
        <v>44836</v>
      </c>
      <c r="M1038" s="94" t="str">
        <f t="shared" si="121"/>
        <v>SUN</v>
      </c>
      <c r="O1038" s="383">
        <f t="shared" si="117"/>
        <v>0</v>
      </c>
      <c r="P1038" s="392">
        <f t="shared" si="115"/>
        <v>1</v>
      </c>
    </row>
    <row r="1039" spans="1:18">
      <c r="B1039" s="41"/>
      <c r="C1039" s="403">
        <f t="shared" si="118"/>
        <v>44837</v>
      </c>
      <c r="D1039" s="94" t="str">
        <f>VLOOKUP(MOD(C1039,7),'CALENDAR INFO'!$G$5:$H$11,2)</f>
        <v>MON</v>
      </c>
      <c r="E1039" s="165">
        <v>3.08</v>
      </c>
      <c r="F1039" s="336">
        <v>3</v>
      </c>
      <c r="G1039" s="411">
        <f t="shared" si="119"/>
        <v>-8.0000000000000071E-2</v>
      </c>
      <c r="H1039" s="376" t="s">
        <v>211</v>
      </c>
      <c r="I1039" s="15">
        <f>I1038+I1037-1</f>
        <v>1067</v>
      </c>
      <c r="J1039" s="138">
        <f>I1039</f>
        <v>1067</v>
      </c>
      <c r="K1039" s="129"/>
      <c r="L1039" s="403">
        <f t="shared" si="120"/>
        <v>44837</v>
      </c>
      <c r="M1039" s="94" t="str">
        <f t="shared" si="121"/>
        <v>MON</v>
      </c>
      <c r="O1039" s="383">
        <f t="shared" si="117"/>
        <v>1</v>
      </c>
      <c r="P1039" s="392">
        <f t="shared" si="115"/>
        <v>1.0000833333333334</v>
      </c>
    </row>
    <row r="1040" spans="1:18">
      <c r="B1040" s="41"/>
      <c r="C1040" s="403">
        <f t="shared" si="118"/>
        <v>44838</v>
      </c>
      <c r="D1040" s="94" t="str">
        <f>VLOOKUP(MOD(C1040,7),'CALENDAR INFO'!$G$5:$H$11,2)</f>
        <v>TUE</v>
      </c>
      <c r="E1040" s="165">
        <v>3.08</v>
      </c>
      <c r="F1040" s="336">
        <v>3.04</v>
      </c>
      <c r="G1040" s="411">
        <f t="shared" si="119"/>
        <v>-4.0000000000000036E-2</v>
      </c>
      <c r="K1040" s="129"/>
      <c r="L1040" s="403">
        <f t="shared" si="120"/>
        <v>44838</v>
      </c>
      <c r="M1040" s="94" t="str">
        <f t="shared" si="121"/>
        <v>TUE</v>
      </c>
      <c r="O1040" s="383">
        <f t="shared" si="117"/>
        <v>1</v>
      </c>
      <c r="P1040" s="392">
        <f t="shared" si="115"/>
        <v>1.0000844444444446</v>
      </c>
    </row>
    <row r="1041" spans="2:16">
      <c r="B1041" s="41"/>
      <c r="C1041" s="403">
        <f t="shared" si="118"/>
        <v>44839</v>
      </c>
      <c r="D1041" s="94" t="str">
        <f>VLOOKUP(MOD(C1041,7),'CALENDAR INFO'!$G$5:$H$11,2)</f>
        <v>WED</v>
      </c>
      <c r="E1041" s="165">
        <v>3.08</v>
      </c>
      <c r="F1041" s="336">
        <v>3.04</v>
      </c>
      <c r="G1041" s="411">
        <f t="shared" si="119"/>
        <v>-4.0000000000000036E-2</v>
      </c>
      <c r="H1041" s="15" t="s">
        <v>150</v>
      </c>
      <c r="I1041" s="137" t="str">
        <f>_xlfn.CONCAT(ADDRESS(I1037,5),":",ADDRESS(I1039,5))</f>
        <v>$E$1037:$E$1067</v>
      </c>
      <c r="J1041" s="150" t="str">
        <f>_xlfn.CONCAT(ADDRESS(J1037,6),":",ADDRESS(J1039,6))</f>
        <v>$F$1037:$F$1067</v>
      </c>
      <c r="K1041" s="129" t="s">
        <v>19</v>
      </c>
      <c r="L1041" s="403">
        <f t="shared" si="120"/>
        <v>44839</v>
      </c>
      <c r="M1041" s="94" t="str">
        <f t="shared" si="121"/>
        <v>WED</v>
      </c>
      <c r="O1041" s="383">
        <f t="shared" si="117"/>
        <v>1</v>
      </c>
      <c r="P1041" s="392">
        <f t="shared" si="115"/>
        <v>1.0000844444444446</v>
      </c>
    </row>
    <row r="1042" spans="2:16">
      <c r="B1042" s="41"/>
      <c r="C1042" s="403">
        <f t="shared" si="118"/>
        <v>44840</v>
      </c>
      <c r="D1042" s="94" t="str">
        <f>VLOOKUP(MOD(C1042,7),'CALENDAR INFO'!$G$5:$H$11,2)</f>
        <v>THU</v>
      </c>
      <c r="E1042" s="165">
        <v>3.08</v>
      </c>
      <c r="F1042" s="336">
        <v>3.05</v>
      </c>
      <c r="G1042" s="411">
        <f t="shared" si="119"/>
        <v>-3.0000000000000249E-2</v>
      </c>
      <c r="K1042" s="126" t="s">
        <v>18</v>
      </c>
      <c r="L1042" s="403">
        <f t="shared" si="120"/>
        <v>44840</v>
      </c>
      <c r="M1042" s="94" t="str">
        <f t="shared" si="121"/>
        <v>THU</v>
      </c>
      <c r="O1042" s="383">
        <f t="shared" si="117"/>
        <v>1</v>
      </c>
      <c r="P1042" s="392">
        <f t="shared" si="115"/>
        <v>1.0000847222222222</v>
      </c>
    </row>
    <row r="1043" spans="2:16">
      <c r="B1043" s="41"/>
      <c r="C1043" s="403">
        <f t="shared" si="118"/>
        <v>44841</v>
      </c>
      <c r="D1043" s="94" t="str">
        <f>VLOOKUP(MOD(C1043,7),'CALENDAR INFO'!$G$5:$H$11,2)</f>
        <v>FRI</v>
      </c>
      <c r="E1043" s="165">
        <v>3.08</v>
      </c>
      <c r="F1043" s="336">
        <v>3.05</v>
      </c>
      <c r="G1043" s="411">
        <f t="shared" si="119"/>
        <v>-3.0000000000000249E-2</v>
      </c>
      <c r="H1043" s="376" t="s">
        <v>221</v>
      </c>
      <c r="I1043" s="147">
        <f ca="1">AVERAGE(INDIRECT(I1041))</f>
        <v>3.0799999999999987</v>
      </c>
      <c r="J1043" s="326">
        <f ca="1">AVERAGE(INDIRECT(J1041))</f>
        <v>3.0341935483870963</v>
      </c>
      <c r="K1043" s="126"/>
      <c r="L1043" s="403">
        <f t="shared" si="120"/>
        <v>44841</v>
      </c>
      <c r="M1043" s="94" t="str">
        <f t="shared" si="121"/>
        <v>FRI</v>
      </c>
      <c r="O1043" s="384">
        <v>4</v>
      </c>
      <c r="P1043" s="392">
        <f t="shared" ref="P1043:P1106" si="122">1+(O1043/360)*(MAX(F1043,B1043)/100)</f>
        <v>1.0003388888888889</v>
      </c>
    </row>
    <row r="1044" spans="2:16">
      <c r="B1044" s="41"/>
      <c r="C1044" s="403">
        <f t="shared" si="118"/>
        <v>44842</v>
      </c>
      <c r="D1044" s="94" t="str">
        <f>VLOOKUP(MOD(C1044,7),'CALENDAR INFO'!$G$5:$H$11,2)</f>
        <v>SAT</v>
      </c>
      <c r="E1044" s="165">
        <v>3.08</v>
      </c>
      <c r="F1044" s="336">
        <v>3.05</v>
      </c>
      <c r="G1044" s="411">
        <f t="shared" si="119"/>
        <v>-3.0000000000000249E-2</v>
      </c>
      <c r="I1044" s="240"/>
      <c r="J1044" s="157"/>
      <c r="K1044" s="126"/>
      <c r="L1044" s="403">
        <f t="shared" si="120"/>
        <v>44842</v>
      </c>
      <c r="M1044" s="94" t="str">
        <f t="shared" si="121"/>
        <v>SAT</v>
      </c>
      <c r="O1044" s="383">
        <f>IF(MOD(C1044,7)&lt;2,0,IF(MOD(C1044,7)=6,3,1))</f>
        <v>0</v>
      </c>
      <c r="P1044" s="392">
        <f t="shared" si="122"/>
        <v>1</v>
      </c>
    </row>
    <row r="1045" spans="2:16">
      <c r="B1045" s="41"/>
      <c r="C1045" s="403">
        <f t="shared" si="118"/>
        <v>44843</v>
      </c>
      <c r="D1045" s="94" t="str">
        <f>VLOOKUP(MOD(C1045,7),'CALENDAR INFO'!$G$5:$H$11,2)</f>
        <v>SUN</v>
      </c>
      <c r="E1045" s="165">
        <v>3.08</v>
      </c>
      <c r="F1045" s="336">
        <v>3.05</v>
      </c>
      <c r="G1045" s="411">
        <f t="shared" si="119"/>
        <v>-3.0000000000000249E-2</v>
      </c>
      <c r="H1045" s="15" t="s">
        <v>222</v>
      </c>
      <c r="I1045" s="147">
        <f ca="1">100-I1043</f>
        <v>96.92</v>
      </c>
      <c r="J1045" s="326">
        <f ca="1">100-J1043</f>
        <v>96.965806451612906</v>
      </c>
      <c r="K1045" s="126"/>
      <c r="L1045" s="403">
        <f t="shared" si="120"/>
        <v>44843</v>
      </c>
      <c r="M1045" s="94" t="str">
        <f t="shared" si="121"/>
        <v>SUN</v>
      </c>
      <c r="O1045" s="383">
        <f>IF(MOD(C1045,7)&lt;2,0,IF(MOD(C1045,7)=6,3,1))</f>
        <v>0</v>
      </c>
      <c r="P1045" s="392">
        <f t="shared" si="122"/>
        <v>1</v>
      </c>
    </row>
    <row r="1046" spans="2:16">
      <c r="B1046" s="41"/>
      <c r="C1046" s="403">
        <f t="shared" si="118"/>
        <v>44844</v>
      </c>
      <c r="D1046" s="94" t="str">
        <f>VLOOKUP(MOD(C1046,7),'CALENDAR INFO'!$G$5:$H$11,2)</f>
        <v>MON</v>
      </c>
      <c r="E1046" s="165">
        <v>3.08</v>
      </c>
      <c r="F1046" s="336">
        <v>3.05</v>
      </c>
      <c r="G1046" s="411">
        <f t="shared" si="119"/>
        <v>-3.0000000000000249E-2</v>
      </c>
      <c r="K1046" s="126"/>
      <c r="L1046" s="403">
        <f t="shared" si="120"/>
        <v>44844</v>
      </c>
      <c r="M1046" s="94" t="str">
        <f t="shared" si="121"/>
        <v>MON</v>
      </c>
      <c r="N1046" s="132" t="s">
        <v>107</v>
      </c>
      <c r="O1046" s="384">
        <v>0</v>
      </c>
      <c r="P1046" s="392">
        <f t="shared" si="122"/>
        <v>1</v>
      </c>
    </row>
    <row r="1047" spans="2:16">
      <c r="B1047" s="41"/>
      <c r="C1047" s="403">
        <f t="shared" si="118"/>
        <v>44845</v>
      </c>
      <c r="D1047" s="94" t="str">
        <f>VLOOKUP(MOD(C1047,7),'CALENDAR INFO'!$G$5:$H$11,2)</f>
        <v>TUE</v>
      </c>
      <c r="E1047" s="165">
        <v>3.08</v>
      </c>
      <c r="F1047" s="336">
        <v>3.05</v>
      </c>
      <c r="G1047" s="411">
        <f t="shared" si="119"/>
        <v>-3.0000000000000249E-2</v>
      </c>
      <c r="H1047" s="135"/>
      <c r="I1047" s="144"/>
      <c r="J1047" s="152"/>
      <c r="K1047" s="126"/>
      <c r="L1047" s="403">
        <f t="shared" si="120"/>
        <v>44845</v>
      </c>
      <c r="M1047" s="94" t="str">
        <f t="shared" si="121"/>
        <v>TUE</v>
      </c>
      <c r="O1047" s="383">
        <f t="shared" ref="O1047:O1076" si="123">IF(MOD(C1047,7)&lt;2,0,IF(MOD(C1047,7)=6,3,1))</f>
        <v>1</v>
      </c>
      <c r="P1047" s="392">
        <f t="shared" si="122"/>
        <v>1.0000847222222222</v>
      </c>
    </row>
    <row r="1048" spans="2:16">
      <c r="B1048" s="41"/>
      <c r="C1048" s="403">
        <f t="shared" si="118"/>
        <v>44846</v>
      </c>
      <c r="D1048" s="94" t="str">
        <f>VLOOKUP(MOD(C1048,7),'CALENDAR INFO'!$G$5:$H$11,2)</f>
        <v>WED</v>
      </c>
      <c r="E1048" s="165">
        <v>3.08</v>
      </c>
      <c r="F1048" s="336">
        <v>3.04</v>
      </c>
      <c r="G1048" s="411">
        <f t="shared" si="119"/>
        <v>-4.0000000000000036E-2</v>
      </c>
      <c r="K1048" s="126"/>
      <c r="L1048" s="403">
        <f t="shared" si="120"/>
        <v>44846</v>
      </c>
      <c r="M1048" s="94" t="str">
        <f t="shared" si="121"/>
        <v>WED</v>
      </c>
      <c r="O1048" s="383">
        <f t="shared" si="123"/>
        <v>1</v>
      </c>
      <c r="P1048" s="392">
        <f t="shared" si="122"/>
        <v>1.0000844444444446</v>
      </c>
    </row>
    <row r="1049" spans="2:16">
      <c r="B1049" s="41"/>
      <c r="C1049" s="403">
        <f t="shared" si="118"/>
        <v>44847</v>
      </c>
      <c r="D1049" s="94" t="str">
        <f>VLOOKUP(MOD(C1049,7),'CALENDAR INFO'!$G$5:$H$11,2)</f>
        <v>THU</v>
      </c>
      <c r="E1049" s="165">
        <v>3.08</v>
      </c>
      <c r="F1049" s="336">
        <v>3.04</v>
      </c>
      <c r="G1049" s="411">
        <f t="shared" si="119"/>
        <v>-4.0000000000000036E-2</v>
      </c>
      <c r="H1049" s="135"/>
      <c r="I1049" s="144"/>
      <c r="J1049" s="152"/>
      <c r="K1049" s="126"/>
      <c r="L1049" s="403">
        <f t="shared" si="120"/>
        <v>44847</v>
      </c>
      <c r="M1049" s="94" t="str">
        <f t="shared" si="121"/>
        <v>THU</v>
      </c>
      <c r="O1049" s="383">
        <f t="shared" si="123"/>
        <v>1</v>
      </c>
      <c r="P1049" s="392">
        <f t="shared" si="122"/>
        <v>1.0000844444444446</v>
      </c>
    </row>
    <row r="1050" spans="2:16">
      <c r="B1050" s="41"/>
      <c r="C1050" s="403">
        <f t="shared" si="118"/>
        <v>44848</v>
      </c>
      <c r="D1050" s="94" t="str">
        <f>VLOOKUP(MOD(C1050,7),'CALENDAR INFO'!$G$5:$H$11,2)</f>
        <v>FRI</v>
      </c>
      <c r="E1050" s="165">
        <v>3.08</v>
      </c>
      <c r="F1050" s="336">
        <v>3.04</v>
      </c>
      <c r="G1050" s="411">
        <f t="shared" si="119"/>
        <v>-4.0000000000000036E-2</v>
      </c>
      <c r="K1050" s="126"/>
      <c r="L1050" s="403">
        <f t="shared" si="120"/>
        <v>44848</v>
      </c>
      <c r="M1050" s="94" t="str">
        <f t="shared" si="121"/>
        <v>FRI</v>
      </c>
      <c r="O1050" s="383">
        <f t="shared" si="123"/>
        <v>3</v>
      </c>
      <c r="P1050" s="392">
        <f t="shared" si="122"/>
        <v>1.0002533333333334</v>
      </c>
    </row>
    <row r="1051" spans="2:16">
      <c r="B1051" s="41"/>
      <c r="C1051" s="403">
        <f t="shared" si="118"/>
        <v>44849</v>
      </c>
      <c r="D1051" s="94" t="str">
        <f>VLOOKUP(MOD(C1051,7),'CALENDAR INFO'!$G$5:$H$11,2)</f>
        <v>SAT</v>
      </c>
      <c r="E1051" s="165">
        <v>3.08</v>
      </c>
      <c r="F1051" s="336">
        <v>3.04</v>
      </c>
      <c r="G1051" s="411">
        <f t="shared" si="119"/>
        <v>-4.0000000000000036E-2</v>
      </c>
      <c r="H1051" s="135"/>
      <c r="I1051" s="144"/>
      <c r="J1051" s="152"/>
      <c r="K1051" s="126"/>
      <c r="L1051" s="403">
        <f t="shared" si="120"/>
        <v>44849</v>
      </c>
      <c r="M1051" s="94" t="str">
        <f t="shared" si="121"/>
        <v>SAT</v>
      </c>
      <c r="O1051" s="383">
        <f t="shared" si="123"/>
        <v>0</v>
      </c>
      <c r="P1051" s="392">
        <f t="shared" si="122"/>
        <v>1</v>
      </c>
    </row>
    <row r="1052" spans="2:16">
      <c r="B1052" s="41"/>
      <c r="C1052" s="403">
        <f t="shared" si="118"/>
        <v>44850</v>
      </c>
      <c r="D1052" s="94" t="str">
        <f>VLOOKUP(MOD(C1052,7),'CALENDAR INFO'!$G$5:$H$11,2)</f>
        <v>SUN</v>
      </c>
      <c r="E1052" s="165">
        <v>3.08</v>
      </c>
      <c r="F1052" s="336">
        <v>3.04</v>
      </c>
      <c r="G1052" s="411">
        <f t="shared" si="119"/>
        <v>-4.0000000000000036E-2</v>
      </c>
      <c r="K1052" s="126"/>
      <c r="L1052" s="403">
        <f t="shared" si="120"/>
        <v>44850</v>
      </c>
      <c r="M1052" s="94" t="str">
        <f t="shared" si="121"/>
        <v>SUN</v>
      </c>
      <c r="O1052" s="383">
        <f t="shared" si="123"/>
        <v>0</v>
      </c>
      <c r="P1052" s="392">
        <f t="shared" si="122"/>
        <v>1</v>
      </c>
    </row>
    <row r="1053" spans="2:16">
      <c r="B1053" s="41"/>
      <c r="C1053" s="403">
        <f t="shared" si="118"/>
        <v>44851</v>
      </c>
      <c r="D1053" s="94" t="str">
        <f>VLOOKUP(MOD(C1053,7),'CALENDAR INFO'!$G$5:$H$11,2)</f>
        <v>MON</v>
      </c>
      <c r="E1053" s="165">
        <v>3.08</v>
      </c>
      <c r="F1053" s="336">
        <v>3.05</v>
      </c>
      <c r="G1053" s="411">
        <f t="shared" si="119"/>
        <v>-3.0000000000000249E-2</v>
      </c>
      <c r="K1053" s="126"/>
      <c r="L1053" s="403">
        <f t="shared" si="120"/>
        <v>44851</v>
      </c>
      <c r="M1053" s="94" t="str">
        <f t="shared" si="121"/>
        <v>MON</v>
      </c>
      <c r="O1053" s="383">
        <f t="shared" si="123"/>
        <v>1</v>
      </c>
      <c r="P1053" s="392">
        <f t="shared" si="122"/>
        <v>1.0000847222222222</v>
      </c>
    </row>
    <row r="1054" spans="2:16">
      <c r="B1054" s="41"/>
      <c r="C1054" s="403">
        <f t="shared" si="118"/>
        <v>44852</v>
      </c>
      <c r="D1054" s="94" t="str">
        <f>VLOOKUP(MOD(C1054,7),'CALENDAR INFO'!$G$5:$H$11,2)</f>
        <v>TUE</v>
      </c>
      <c r="E1054" s="165">
        <v>3.08</v>
      </c>
      <c r="F1054" s="336">
        <v>3.04</v>
      </c>
      <c r="G1054" s="411">
        <f t="shared" si="119"/>
        <v>-4.0000000000000036E-2</v>
      </c>
      <c r="K1054" s="126"/>
      <c r="L1054" s="403">
        <f t="shared" si="120"/>
        <v>44852</v>
      </c>
      <c r="M1054" s="94" t="str">
        <f t="shared" si="121"/>
        <v>TUE</v>
      </c>
      <c r="O1054" s="383">
        <f t="shared" si="123"/>
        <v>1</v>
      </c>
      <c r="P1054" s="392">
        <f t="shared" si="122"/>
        <v>1.0000844444444446</v>
      </c>
    </row>
    <row r="1055" spans="2:16">
      <c r="B1055" s="41"/>
      <c r="C1055" s="403">
        <f t="shared" si="118"/>
        <v>44853</v>
      </c>
      <c r="D1055" s="94" t="str">
        <f>VLOOKUP(MOD(C1055,7),'CALENDAR INFO'!$G$5:$H$11,2)</f>
        <v>WED</v>
      </c>
      <c r="E1055" s="165">
        <v>3.08</v>
      </c>
      <c r="F1055" s="336">
        <v>3.04</v>
      </c>
      <c r="G1055" s="411">
        <f t="shared" si="119"/>
        <v>-4.0000000000000036E-2</v>
      </c>
      <c r="K1055" s="126" t="s">
        <v>19</v>
      </c>
      <c r="L1055" s="403">
        <f t="shared" si="120"/>
        <v>44853</v>
      </c>
      <c r="M1055" s="94" t="str">
        <f t="shared" si="121"/>
        <v>WED</v>
      </c>
      <c r="O1055" s="383">
        <f t="shared" si="123"/>
        <v>1</v>
      </c>
      <c r="P1055" s="392">
        <f t="shared" si="122"/>
        <v>1.0000844444444446</v>
      </c>
    </row>
    <row r="1056" spans="2:16">
      <c r="B1056" s="41"/>
      <c r="C1056" s="403">
        <f t="shared" si="118"/>
        <v>44854</v>
      </c>
      <c r="D1056" s="94" t="str">
        <f>VLOOKUP(MOD(C1056,7),'CALENDAR INFO'!$G$5:$H$11,2)</f>
        <v>THU</v>
      </c>
      <c r="E1056" s="165">
        <v>3.08</v>
      </c>
      <c r="F1056" s="336">
        <v>3.03</v>
      </c>
      <c r="G1056" s="411">
        <f t="shared" si="119"/>
        <v>-5.0000000000000266E-2</v>
      </c>
      <c r="K1056" s="129" t="s">
        <v>18</v>
      </c>
      <c r="L1056" s="403">
        <f t="shared" si="120"/>
        <v>44854</v>
      </c>
      <c r="M1056" s="94" t="str">
        <f t="shared" si="121"/>
        <v>THU</v>
      </c>
      <c r="O1056" s="383">
        <f t="shared" si="123"/>
        <v>1</v>
      </c>
      <c r="P1056" s="392">
        <f t="shared" si="122"/>
        <v>1.0000841666666667</v>
      </c>
    </row>
    <row r="1057" spans="1:18">
      <c r="B1057" s="41"/>
      <c r="C1057" s="403">
        <f t="shared" si="118"/>
        <v>44855</v>
      </c>
      <c r="D1057" s="94" t="str">
        <f>VLOOKUP(MOD(C1057,7),'CALENDAR INFO'!$G$5:$H$11,2)</f>
        <v>FRI</v>
      </c>
      <c r="E1057" s="165">
        <v>3.08</v>
      </c>
      <c r="F1057" s="336">
        <v>3.02</v>
      </c>
      <c r="G1057" s="411">
        <f t="shared" si="119"/>
        <v>-6.0000000000000053E-2</v>
      </c>
      <c r="K1057" s="129"/>
      <c r="L1057" s="403">
        <f t="shared" si="120"/>
        <v>44855</v>
      </c>
      <c r="M1057" s="94" t="str">
        <f t="shared" si="121"/>
        <v>FRI</v>
      </c>
      <c r="O1057" s="383">
        <f t="shared" si="123"/>
        <v>3</v>
      </c>
      <c r="P1057" s="392">
        <f t="shared" si="122"/>
        <v>1.0002516666666668</v>
      </c>
    </row>
    <row r="1058" spans="1:18">
      <c r="B1058" s="41"/>
      <c r="C1058" s="403">
        <f t="shared" si="118"/>
        <v>44856</v>
      </c>
      <c r="D1058" s="94" t="str">
        <f>VLOOKUP(MOD(C1058,7),'CALENDAR INFO'!$G$5:$H$11,2)</f>
        <v>SAT</v>
      </c>
      <c r="E1058" s="165">
        <v>3.08</v>
      </c>
      <c r="F1058" s="336">
        <v>3.02</v>
      </c>
      <c r="G1058" s="411">
        <f t="shared" si="119"/>
        <v>-6.0000000000000053E-2</v>
      </c>
      <c r="K1058" s="129"/>
      <c r="L1058" s="403">
        <f t="shared" si="120"/>
        <v>44856</v>
      </c>
      <c r="M1058" s="94" t="str">
        <f t="shared" si="121"/>
        <v>SAT</v>
      </c>
      <c r="O1058" s="383">
        <f t="shared" si="123"/>
        <v>0</v>
      </c>
      <c r="P1058" s="392">
        <f t="shared" si="122"/>
        <v>1</v>
      </c>
    </row>
    <row r="1059" spans="1:18">
      <c r="B1059" s="41"/>
      <c r="C1059" s="403">
        <f t="shared" si="118"/>
        <v>44857</v>
      </c>
      <c r="D1059" s="94" t="str">
        <f>VLOOKUP(MOD(C1059,7),'CALENDAR INFO'!$G$5:$H$11,2)</f>
        <v>SUN</v>
      </c>
      <c r="E1059" s="165">
        <v>3.08</v>
      </c>
      <c r="F1059" s="336">
        <v>3.02</v>
      </c>
      <c r="G1059" s="411">
        <f t="shared" si="119"/>
        <v>-6.0000000000000053E-2</v>
      </c>
      <c r="K1059" s="129"/>
      <c r="L1059" s="403">
        <f t="shared" si="120"/>
        <v>44857</v>
      </c>
      <c r="M1059" s="94" t="str">
        <f t="shared" si="121"/>
        <v>SUN</v>
      </c>
      <c r="O1059" s="383">
        <f t="shared" si="123"/>
        <v>0</v>
      </c>
      <c r="P1059" s="392">
        <f t="shared" si="122"/>
        <v>1</v>
      </c>
    </row>
    <row r="1060" spans="1:18">
      <c r="B1060" s="41"/>
      <c r="C1060" s="403">
        <f t="shared" si="118"/>
        <v>44858</v>
      </c>
      <c r="D1060" s="94" t="str">
        <f>VLOOKUP(MOD(C1060,7),'CALENDAR INFO'!$G$5:$H$11,2)</f>
        <v>MON</v>
      </c>
      <c r="E1060" s="165">
        <v>3.08</v>
      </c>
      <c r="F1060" s="336">
        <v>3.01</v>
      </c>
      <c r="G1060" s="411">
        <f t="shared" si="119"/>
        <v>-7.0000000000000284E-2</v>
      </c>
      <c r="K1060" s="129"/>
      <c r="L1060" s="403">
        <f t="shared" si="120"/>
        <v>44858</v>
      </c>
      <c r="M1060" s="94" t="str">
        <f t="shared" si="121"/>
        <v>MON</v>
      </c>
      <c r="O1060" s="383">
        <f t="shared" si="123"/>
        <v>1</v>
      </c>
      <c r="P1060" s="392">
        <f t="shared" si="122"/>
        <v>1.0000836111111111</v>
      </c>
    </row>
    <row r="1061" spans="1:18">
      <c r="B1061" s="41"/>
      <c r="C1061" s="403">
        <f t="shared" si="118"/>
        <v>44859</v>
      </c>
      <c r="D1061" s="94" t="str">
        <f>VLOOKUP(MOD(C1061,7),'CALENDAR INFO'!$G$5:$H$11,2)</f>
        <v>TUE</v>
      </c>
      <c r="E1061" s="165">
        <v>3.08</v>
      </c>
      <c r="F1061" s="336">
        <v>3.02</v>
      </c>
      <c r="G1061" s="411">
        <f t="shared" si="119"/>
        <v>-6.0000000000000053E-2</v>
      </c>
      <c r="K1061" s="129"/>
      <c r="L1061" s="403">
        <f t="shared" si="120"/>
        <v>44859</v>
      </c>
      <c r="M1061" s="94" t="str">
        <f t="shared" si="121"/>
        <v>TUE</v>
      </c>
      <c r="O1061" s="383">
        <f t="shared" si="123"/>
        <v>1</v>
      </c>
      <c r="P1061" s="392">
        <f t="shared" si="122"/>
        <v>1.000083888888889</v>
      </c>
    </row>
    <row r="1062" spans="1:18">
      <c r="B1062" s="41"/>
      <c r="C1062" s="403">
        <f t="shared" si="118"/>
        <v>44860</v>
      </c>
      <c r="D1062" s="94" t="str">
        <f>VLOOKUP(MOD(C1062,7),'CALENDAR INFO'!$G$5:$H$11,2)</f>
        <v>WED</v>
      </c>
      <c r="E1062" s="165">
        <v>3.08</v>
      </c>
      <c r="F1062" s="336">
        <v>3.03</v>
      </c>
      <c r="G1062" s="411">
        <f t="shared" si="119"/>
        <v>-5.0000000000000266E-2</v>
      </c>
      <c r="K1062" s="129"/>
      <c r="L1062" s="403">
        <f t="shared" si="120"/>
        <v>44860</v>
      </c>
      <c r="M1062" s="94" t="str">
        <f t="shared" si="121"/>
        <v>WED</v>
      </c>
      <c r="O1062" s="383">
        <f t="shared" si="123"/>
        <v>1</v>
      </c>
      <c r="P1062" s="392">
        <f t="shared" si="122"/>
        <v>1.0000841666666667</v>
      </c>
    </row>
    <row r="1063" spans="1:18">
      <c r="B1063" s="41"/>
      <c r="C1063" s="403">
        <f t="shared" si="118"/>
        <v>44861</v>
      </c>
      <c r="D1063" s="94" t="str">
        <f>VLOOKUP(MOD(C1063,7),'CALENDAR INFO'!$G$5:$H$11,2)</f>
        <v>THU</v>
      </c>
      <c r="E1063" s="165">
        <v>3.08</v>
      </c>
      <c r="F1063" s="336">
        <v>3.04</v>
      </c>
      <c r="G1063" s="411">
        <f t="shared" si="119"/>
        <v>-4.0000000000000036E-2</v>
      </c>
      <c r="I1063" s="137"/>
      <c r="K1063" s="129"/>
      <c r="L1063" s="403">
        <f t="shared" si="120"/>
        <v>44861</v>
      </c>
      <c r="M1063" s="94" t="str">
        <f t="shared" si="121"/>
        <v>THU</v>
      </c>
      <c r="O1063" s="383">
        <f t="shared" si="123"/>
        <v>1</v>
      </c>
      <c r="P1063" s="392">
        <f t="shared" si="122"/>
        <v>1.0000844444444446</v>
      </c>
      <c r="Q1063" s="21"/>
      <c r="R1063" s="221"/>
    </row>
    <row r="1064" spans="1:18">
      <c r="B1064" s="41"/>
      <c r="C1064" s="403">
        <f t="shared" si="118"/>
        <v>44862</v>
      </c>
      <c r="D1064" s="94" t="str">
        <f>VLOOKUP(MOD(C1064,7),'CALENDAR INFO'!$G$5:$H$11,2)</f>
        <v>FRI</v>
      </c>
      <c r="E1064" s="165">
        <v>3.08</v>
      </c>
      <c r="F1064" s="336">
        <v>3.05</v>
      </c>
      <c r="G1064" s="411">
        <f t="shared" si="119"/>
        <v>-3.0000000000000249E-2</v>
      </c>
      <c r="H1064" s="115"/>
      <c r="I1064" s="141"/>
      <c r="J1064" s="158"/>
      <c r="K1064" s="129"/>
      <c r="L1064" s="403">
        <f t="shared" si="120"/>
        <v>44862</v>
      </c>
      <c r="M1064" s="94" t="str">
        <f t="shared" si="121"/>
        <v>FRI</v>
      </c>
      <c r="O1064" s="383">
        <f t="shared" si="123"/>
        <v>3</v>
      </c>
      <c r="P1064" s="392">
        <f t="shared" si="122"/>
        <v>1.0002541666666667</v>
      </c>
      <c r="Q1064" s="21"/>
      <c r="R1064" s="222"/>
    </row>
    <row r="1065" spans="1:18">
      <c r="B1065" s="41"/>
      <c r="C1065" s="403">
        <f t="shared" si="118"/>
        <v>44863</v>
      </c>
      <c r="D1065" s="94" t="str">
        <f>VLOOKUP(MOD(C1065,7),'CALENDAR INFO'!$G$5:$H$11,2)</f>
        <v>SAT</v>
      </c>
      <c r="E1065" s="165">
        <v>3.08</v>
      </c>
      <c r="F1065" s="336">
        <v>3.05</v>
      </c>
      <c r="G1065" s="411">
        <f t="shared" si="119"/>
        <v>-3.0000000000000249E-2</v>
      </c>
      <c r="H1065" s="115"/>
      <c r="I1065" s="148"/>
      <c r="J1065" s="160"/>
      <c r="K1065" s="129"/>
      <c r="L1065" s="403">
        <f t="shared" si="120"/>
        <v>44863</v>
      </c>
      <c r="M1065" s="94" t="str">
        <f t="shared" si="121"/>
        <v>SAT</v>
      </c>
      <c r="O1065" s="383">
        <f t="shared" si="123"/>
        <v>0</v>
      </c>
      <c r="P1065" s="392">
        <f t="shared" si="122"/>
        <v>1</v>
      </c>
      <c r="Q1065" s="21"/>
      <c r="R1065" s="222"/>
    </row>
    <row r="1066" spans="1:18">
      <c r="B1066" s="41"/>
      <c r="C1066" s="403">
        <f t="shared" si="118"/>
        <v>44864</v>
      </c>
      <c r="D1066" s="94" t="str">
        <f>VLOOKUP(MOD(C1066,7),'CALENDAR INFO'!$G$5:$H$11,2)</f>
        <v>SUN</v>
      </c>
      <c r="E1066" s="165">
        <v>3.08</v>
      </c>
      <c r="F1066" s="336">
        <v>3.05</v>
      </c>
      <c r="G1066" s="411">
        <f t="shared" si="119"/>
        <v>-3.0000000000000249E-2</v>
      </c>
      <c r="H1066" s="115"/>
      <c r="I1066" s="141"/>
      <c r="J1066" s="158"/>
      <c r="K1066" s="129"/>
      <c r="L1066" s="403">
        <f t="shared" si="120"/>
        <v>44864</v>
      </c>
      <c r="M1066" s="94" t="str">
        <f t="shared" si="121"/>
        <v>SUN</v>
      </c>
      <c r="O1066" s="383">
        <f t="shared" si="123"/>
        <v>0</v>
      </c>
      <c r="P1066" s="392">
        <f t="shared" si="122"/>
        <v>1</v>
      </c>
    </row>
    <row r="1067" spans="1:18" ht="15.75" thickBot="1">
      <c r="A1067" s="81"/>
      <c r="B1067" s="178"/>
      <c r="C1067" s="404">
        <f t="shared" si="118"/>
        <v>44865</v>
      </c>
      <c r="D1067" s="103" t="str">
        <f>VLOOKUP(MOD(C1067,7),'CALENDAR INFO'!$G$5:$H$11,2)</f>
        <v>MON</v>
      </c>
      <c r="E1067" s="166">
        <v>3.08</v>
      </c>
      <c r="F1067" s="337">
        <v>3.05</v>
      </c>
      <c r="G1067" s="412">
        <f t="shared" si="119"/>
        <v>-3.0000000000000249E-2</v>
      </c>
      <c r="H1067" s="345"/>
      <c r="I1067" s="143"/>
      <c r="J1067" s="162"/>
      <c r="K1067" s="84"/>
      <c r="L1067" s="404">
        <f t="shared" si="120"/>
        <v>44865</v>
      </c>
      <c r="M1067" s="103" t="str">
        <f t="shared" si="121"/>
        <v>MON</v>
      </c>
      <c r="N1067" s="90"/>
      <c r="O1067" s="383">
        <f t="shared" si="123"/>
        <v>1</v>
      </c>
      <c r="P1067" s="388">
        <f t="shared" si="122"/>
        <v>1.0000847222222222</v>
      </c>
    </row>
    <row r="1068" spans="1:18">
      <c r="B1068" s="41"/>
      <c r="C1068" s="403">
        <f t="shared" si="118"/>
        <v>44866</v>
      </c>
      <c r="D1068" s="94" t="str">
        <f>VLOOKUP(MOD(C1068,7),'CALENDAR INFO'!$G$5:$H$11,2)</f>
        <v>TUE</v>
      </c>
      <c r="E1068" s="165">
        <v>3.08</v>
      </c>
      <c r="F1068" s="336">
        <v>3.05</v>
      </c>
      <c r="G1068" s="411">
        <f t="shared" si="119"/>
        <v>-3.0000000000000249E-2</v>
      </c>
      <c r="H1068" s="15" t="s">
        <v>149</v>
      </c>
      <c r="I1068" s="15">
        <f>ROW(I1068)</f>
        <v>1068</v>
      </c>
      <c r="J1068" s="138">
        <f>I1068</f>
        <v>1068</v>
      </c>
      <c r="K1068" s="129"/>
      <c r="L1068" s="403">
        <f t="shared" si="120"/>
        <v>44866</v>
      </c>
      <c r="M1068" s="94" t="str">
        <f t="shared" si="121"/>
        <v>TUE</v>
      </c>
      <c r="N1068" s="116" t="s">
        <v>20</v>
      </c>
      <c r="O1068" s="386">
        <f t="shared" si="123"/>
        <v>1</v>
      </c>
      <c r="P1068" s="390">
        <f t="shared" si="122"/>
        <v>1.0000847222222222</v>
      </c>
    </row>
    <row r="1069" spans="1:18">
      <c r="B1069" s="41"/>
      <c r="C1069" s="403">
        <f t="shared" si="118"/>
        <v>44867</v>
      </c>
      <c r="D1069" s="94" t="str">
        <f>VLOOKUP(MOD(C1069,7),'CALENDAR INFO'!$G$5:$H$11,2)</f>
        <v>WED</v>
      </c>
      <c r="E1069" s="165">
        <v>3.08</v>
      </c>
      <c r="F1069" s="336">
        <v>3.05</v>
      </c>
      <c r="G1069" s="411">
        <f t="shared" si="119"/>
        <v>-3.0000000000000249E-2</v>
      </c>
      <c r="H1069" s="376" t="s">
        <v>210</v>
      </c>
      <c r="I1069" s="15">
        <f>VLOOKUP(MONTH($C1068),'CALENDAR INFO'!$J$5:$K$16,2)</f>
        <v>30</v>
      </c>
      <c r="J1069" s="138">
        <f>I1069</f>
        <v>30</v>
      </c>
      <c r="K1069" s="129" t="s">
        <v>19</v>
      </c>
      <c r="L1069" s="403">
        <f t="shared" si="120"/>
        <v>44867</v>
      </c>
      <c r="M1069" s="94" t="str">
        <f t="shared" si="121"/>
        <v>WED</v>
      </c>
      <c r="N1069" s="116" t="s">
        <v>20</v>
      </c>
      <c r="O1069" s="383">
        <f t="shared" si="123"/>
        <v>1</v>
      </c>
      <c r="P1069" s="392">
        <f t="shared" si="122"/>
        <v>1.0000847222222222</v>
      </c>
    </row>
    <row r="1070" spans="1:18">
      <c r="B1070" s="41"/>
      <c r="C1070" s="403">
        <f t="shared" si="118"/>
        <v>44868</v>
      </c>
      <c r="D1070" s="94" t="str">
        <f>VLOOKUP(MOD(C1070,7),'CALENDAR INFO'!$G$5:$H$11,2)</f>
        <v>THU</v>
      </c>
      <c r="E1070" s="165">
        <v>3.83</v>
      </c>
      <c r="F1070" s="336">
        <v>3.8</v>
      </c>
      <c r="G1070" s="411">
        <f t="shared" si="119"/>
        <v>-3.0000000000000249E-2</v>
      </c>
      <c r="H1070" s="376" t="s">
        <v>211</v>
      </c>
      <c r="I1070" s="15">
        <f>I1069+I1068-1</f>
        <v>1097</v>
      </c>
      <c r="J1070" s="138">
        <f>I1070</f>
        <v>1097</v>
      </c>
      <c r="K1070" s="126" t="s">
        <v>18</v>
      </c>
      <c r="L1070" s="403">
        <f t="shared" si="120"/>
        <v>44868</v>
      </c>
      <c r="M1070" s="94" t="str">
        <f t="shared" si="121"/>
        <v>THU</v>
      </c>
      <c r="O1070" s="383">
        <f t="shared" si="123"/>
        <v>1</v>
      </c>
      <c r="P1070" s="392">
        <f t="shared" si="122"/>
        <v>1.0001055555555556</v>
      </c>
    </row>
    <row r="1071" spans="1:18">
      <c r="B1071" s="41"/>
      <c r="C1071" s="403">
        <f t="shared" si="118"/>
        <v>44869</v>
      </c>
      <c r="D1071" s="94" t="str">
        <f>VLOOKUP(MOD(C1071,7),'CALENDAR INFO'!$G$5:$H$11,2)</f>
        <v>FRI</v>
      </c>
      <c r="E1071" s="165">
        <v>3.83</v>
      </c>
      <c r="F1071" s="336">
        <v>3.8</v>
      </c>
      <c r="G1071" s="411">
        <f t="shared" si="119"/>
        <v>-3.0000000000000249E-2</v>
      </c>
      <c r="K1071" s="126"/>
      <c r="L1071" s="403">
        <f t="shared" si="120"/>
        <v>44869</v>
      </c>
      <c r="M1071" s="94" t="str">
        <f t="shared" si="121"/>
        <v>FRI</v>
      </c>
      <c r="O1071" s="383">
        <f t="shared" si="123"/>
        <v>3</v>
      </c>
      <c r="P1071" s="392">
        <f t="shared" si="122"/>
        <v>1.0003166666666667</v>
      </c>
    </row>
    <row r="1072" spans="1:18">
      <c r="B1072" s="41"/>
      <c r="C1072" s="403">
        <f t="shared" si="118"/>
        <v>44870</v>
      </c>
      <c r="D1072" s="94" t="str">
        <f>VLOOKUP(MOD(C1072,7),'CALENDAR INFO'!$G$5:$H$11,2)</f>
        <v>SAT</v>
      </c>
      <c r="E1072" s="165">
        <v>3.83</v>
      </c>
      <c r="F1072" s="336">
        <v>3.8</v>
      </c>
      <c r="G1072" s="411">
        <f t="shared" si="119"/>
        <v>-3.0000000000000249E-2</v>
      </c>
      <c r="H1072" s="15" t="s">
        <v>150</v>
      </c>
      <c r="I1072" s="137" t="str">
        <f>_xlfn.CONCAT(ADDRESS(I1068,5),":",ADDRESS(I1070,5))</f>
        <v>$E$1068:$E$1097</v>
      </c>
      <c r="J1072" s="150" t="str">
        <f>_xlfn.CONCAT(ADDRESS(J1068,6),":",ADDRESS(J1070,6))</f>
        <v>$F$1068:$F$1097</v>
      </c>
      <c r="K1072" s="126"/>
      <c r="L1072" s="403">
        <f t="shared" si="120"/>
        <v>44870</v>
      </c>
      <c r="M1072" s="94" t="str">
        <f t="shared" si="121"/>
        <v>SAT</v>
      </c>
      <c r="O1072" s="383">
        <f t="shared" si="123"/>
        <v>0</v>
      </c>
      <c r="P1072" s="392">
        <f t="shared" si="122"/>
        <v>1</v>
      </c>
    </row>
    <row r="1073" spans="2:16">
      <c r="B1073" s="41"/>
      <c r="C1073" s="403">
        <f t="shared" si="118"/>
        <v>44871</v>
      </c>
      <c r="D1073" s="94" t="str">
        <f>VLOOKUP(MOD(C1073,7),'CALENDAR INFO'!$G$5:$H$11,2)</f>
        <v>SUN</v>
      </c>
      <c r="E1073" s="165">
        <v>3.83</v>
      </c>
      <c r="F1073" s="336">
        <v>3.8</v>
      </c>
      <c r="G1073" s="411">
        <f t="shared" si="119"/>
        <v>-3.0000000000000249E-2</v>
      </c>
      <c r="K1073" s="126"/>
      <c r="L1073" s="403">
        <f t="shared" si="120"/>
        <v>44871</v>
      </c>
      <c r="M1073" s="94" t="str">
        <f t="shared" si="121"/>
        <v>SUN</v>
      </c>
      <c r="O1073" s="383">
        <f t="shared" si="123"/>
        <v>0</v>
      </c>
      <c r="P1073" s="392">
        <f t="shared" si="122"/>
        <v>1</v>
      </c>
    </row>
    <row r="1074" spans="2:16">
      <c r="B1074" s="41"/>
      <c r="C1074" s="403">
        <f t="shared" si="118"/>
        <v>44872</v>
      </c>
      <c r="D1074" s="94" t="str">
        <f>VLOOKUP(MOD(C1074,7),'CALENDAR INFO'!$G$5:$H$11,2)</f>
        <v>MON</v>
      </c>
      <c r="E1074" s="165">
        <v>3.83</v>
      </c>
      <c r="F1074" s="336">
        <v>3.78</v>
      </c>
      <c r="G1074" s="411">
        <f t="shared" si="119"/>
        <v>-5.0000000000000266E-2</v>
      </c>
      <c r="H1074" s="376" t="s">
        <v>221</v>
      </c>
      <c r="I1074" s="147">
        <f ca="1">AVERAGE(INDIRECT(I1072))</f>
        <v>3.7799999999999989</v>
      </c>
      <c r="J1074" s="326">
        <f ca="1">AVERAGE(INDIRECT(J1072))</f>
        <v>3.7456666666666663</v>
      </c>
      <c r="K1074" s="126"/>
      <c r="L1074" s="403">
        <f t="shared" si="120"/>
        <v>44872</v>
      </c>
      <c r="M1074" s="94" t="str">
        <f t="shared" si="121"/>
        <v>MON</v>
      </c>
      <c r="O1074" s="383">
        <f t="shared" si="123"/>
        <v>1</v>
      </c>
      <c r="P1074" s="392">
        <f t="shared" si="122"/>
        <v>1.000105</v>
      </c>
    </row>
    <row r="1075" spans="2:16">
      <c r="B1075" s="41"/>
      <c r="C1075" s="403">
        <f t="shared" si="118"/>
        <v>44873</v>
      </c>
      <c r="D1075" s="94" t="str">
        <f>VLOOKUP(MOD(C1075,7),'CALENDAR INFO'!$G$5:$H$11,2)</f>
        <v>TUE</v>
      </c>
      <c r="E1075" s="165">
        <v>3.83</v>
      </c>
      <c r="F1075" s="336">
        <v>3.78</v>
      </c>
      <c r="G1075" s="411">
        <f t="shared" si="119"/>
        <v>-5.0000000000000266E-2</v>
      </c>
      <c r="I1075" s="240"/>
      <c r="J1075" s="157"/>
      <c r="K1075" s="126"/>
      <c r="L1075" s="403">
        <f t="shared" si="120"/>
        <v>44873</v>
      </c>
      <c r="M1075" s="94" t="str">
        <f t="shared" si="121"/>
        <v>TUE</v>
      </c>
      <c r="O1075" s="383">
        <f t="shared" si="123"/>
        <v>1</v>
      </c>
      <c r="P1075" s="392">
        <f t="shared" si="122"/>
        <v>1.000105</v>
      </c>
    </row>
    <row r="1076" spans="2:16">
      <c r="B1076" s="41"/>
      <c r="C1076" s="403">
        <f t="shared" si="118"/>
        <v>44874</v>
      </c>
      <c r="D1076" s="94" t="str">
        <f>VLOOKUP(MOD(C1076,7),'CALENDAR INFO'!$G$5:$H$11,2)</f>
        <v>WED</v>
      </c>
      <c r="E1076" s="165">
        <v>3.83</v>
      </c>
      <c r="F1076" s="336">
        <v>3.78</v>
      </c>
      <c r="G1076" s="411">
        <f t="shared" si="119"/>
        <v>-5.0000000000000266E-2</v>
      </c>
      <c r="H1076" s="15" t="s">
        <v>222</v>
      </c>
      <c r="I1076" s="147">
        <f ca="1">100-I1074</f>
        <v>96.22</v>
      </c>
      <c r="J1076" s="326">
        <f ca="1">100-J1074</f>
        <v>96.254333333333335</v>
      </c>
      <c r="K1076" s="126"/>
      <c r="L1076" s="403">
        <f t="shared" si="120"/>
        <v>44874</v>
      </c>
      <c r="M1076" s="94" t="str">
        <f t="shared" si="121"/>
        <v>WED</v>
      </c>
      <c r="O1076" s="383">
        <f t="shared" si="123"/>
        <v>1</v>
      </c>
      <c r="P1076" s="392">
        <f t="shared" si="122"/>
        <v>1.000105</v>
      </c>
    </row>
    <row r="1077" spans="2:16">
      <c r="B1077" s="41"/>
      <c r="C1077" s="403">
        <f t="shared" ref="C1077:C1140" si="124">C1076+1</f>
        <v>44875</v>
      </c>
      <c r="D1077" s="94" t="str">
        <f>VLOOKUP(MOD(C1077,7),'CALENDAR INFO'!$G$5:$H$11,2)</f>
        <v>THU</v>
      </c>
      <c r="E1077" s="165">
        <v>3.83</v>
      </c>
      <c r="F1077" s="336">
        <v>3.78</v>
      </c>
      <c r="G1077" s="411">
        <f t="shared" si="119"/>
        <v>-5.0000000000000266E-2</v>
      </c>
      <c r="I1077" s="137"/>
      <c r="J1077" s="150"/>
      <c r="K1077" s="126"/>
      <c r="L1077" s="403">
        <f t="shared" si="120"/>
        <v>44875</v>
      </c>
      <c r="M1077" s="94" t="str">
        <f t="shared" si="121"/>
        <v>THU</v>
      </c>
      <c r="O1077" s="384">
        <v>4</v>
      </c>
      <c r="P1077" s="392">
        <f t="shared" si="122"/>
        <v>1.0004200000000001</v>
      </c>
    </row>
    <row r="1078" spans="2:16">
      <c r="B1078" s="41"/>
      <c r="C1078" s="403">
        <f t="shared" si="124"/>
        <v>44876</v>
      </c>
      <c r="D1078" s="94" t="str">
        <f>VLOOKUP(MOD(C1078,7),'CALENDAR INFO'!$G$5:$H$11,2)</f>
        <v>FRI</v>
      </c>
      <c r="E1078" s="165">
        <v>3.83</v>
      </c>
      <c r="F1078" s="336">
        <v>3.78</v>
      </c>
      <c r="G1078" s="411">
        <f t="shared" si="119"/>
        <v>-5.0000000000000266E-2</v>
      </c>
      <c r="K1078" s="126"/>
      <c r="L1078" s="403">
        <f t="shared" si="120"/>
        <v>44876</v>
      </c>
      <c r="M1078" s="94" t="str">
        <f t="shared" si="121"/>
        <v>FRI</v>
      </c>
      <c r="N1078" s="132" t="s">
        <v>108</v>
      </c>
      <c r="O1078" s="384">
        <v>0</v>
      </c>
      <c r="P1078" s="392">
        <f t="shared" si="122"/>
        <v>1</v>
      </c>
    </row>
    <row r="1079" spans="2:16">
      <c r="B1079" s="41"/>
      <c r="C1079" s="403">
        <f t="shared" si="124"/>
        <v>44877</v>
      </c>
      <c r="D1079" s="94" t="str">
        <f>VLOOKUP(MOD(C1079,7),'CALENDAR INFO'!$G$5:$H$11,2)</f>
        <v>SAT</v>
      </c>
      <c r="E1079" s="165">
        <v>3.83</v>
      </c>
      <c r="F1079" s="336">
        <v>3.78</v>
      </c>
      <c r="G1079" s="411">
        <f t="shared" si="119"/>
        <v>-5.0000000000000266E-2</v>
      </c>
      <c r="K1079" s="126"/>
      <c r="L1079" s="403">
        <f t="shared" si="120"/>
        <v>44877</v>
      </c>
      <c r="M1079" s="94" t="str">
        <f t="shared" si="121"/>
        <v>SAT</v>
      </c>
      <c r="O1079" s="383">
        <f t="shared" ref="O1079:O1089" si="125">IF(MOD(C1079,7)&lt;2,0,IF(MOD(C1079,7)=6,3,1))</f>
        <v>0</v>
      </c>
      <c r="P1079" s="392">
        <f t="shared" si="122"/>
        <v>1</v>
      </c>
    </row>
    <row r="1080" spans="2:16">
      <c r="B1080" s="41"/>
      <c r="C1080" s="403">
        <f t="shared" si="124"/>
        <v>44878</v>
      </c>
      <c r="D1080" s="94" t="str">
        <f>VLOOKUP(MOD(C1080,7),'CALENDAR INFO'!$G$5:$H$11,2)</f>
        <v>SUN</v>
      </c>
      <c r="E1080" s="165">
        <v>3.83</v>
      </c>
      <c r="F1080" s="336">
        <v>3.78</v>
      </c>
      <c r="G1080" s="411">
        <f t="shared" si="119"/>
        <v>-5.0000000000000266E-2</v>
      </c>
      <c r="K1080" s="126"/>
      <c r="L1080" s="403">
        <f t="shared" si="120"/>
        <v>44878</v>
      </c>
      <c r="M1080" s="94" t="str">
        <f t="shared" si="121"/>
        <v>SUN</v>
      </c>
      <c r="O1080" s="383">
        <f t="shared" si="125"/>
        <v>0</v>
      </c>
      <c r="P1080" s="392">
        <f t="shared" si="122"/>
        <v>1</v>
      </c>
    </row>
    <row r="1081" spans="2:16">
      <c r="B1081" s="41"/>
      <c r="C1081" s="403">
        <f t="shared" si="124"/>
        <v>44879</v>
      </c>
      <c r="D1081" s="94" t="str">
        <f>VLOOKUP(MOD(C1081,7),'CALENDAR INFO'!$G$5:$H$11,2)</f>
        <v>MON</v>
      </c>
      <c r="E1081" s="165">
        <v>3.83</v>
      </c>
      <c r="F1081" s="336">
        <v>3.79</v>
      </c>
      <c r="G1081" s="411">
        <f t="shared" si="119"/>
        <v>-4.0000000000000036E-2</v>
      </c>
      <c r="K1081" s="126"/>
      <c r="L1081" s="403">
        <f t="shared" si="120"/>
        <v>44879</v>
      </c>
      <c r="M1081" s="94" t="str">
        <f t="shared" si="121"/>
        <v>MON</v>
      </c>
      <c r="O1081" s="383">
        <f t="shared" si="125"/>
        <v>1</v>
      </c>
      <c r="P1081" s="392">
        <f t="shared" si="122"/>
        <v>1.0001052777777777</v>
      </c>
    </row>
    <row r="1082" spans="2:16">
      <c r="B1082" s="41"/>
      <c r="C1082" s="403">
        <f t="shared" si="124"/>
        <v>44880</v>
      </c>
      <c r="D1082" s="94" t="str">
        <f>VLOOKUP(MOD(C1082,7),'CALENDAR INFO'!$G$5:$H$11,2)</f>
        <v>TUE</v>
      </c>
      <c r="E1082" s="165">
        <v>3.83</v>
      </c>
      <c r="F1082" s="336">
        <v>3.8</v>
      </c>
      <c r="G1082" s="411">
        <f t="shared" si="119"/>
        <v>-3.0000000000000249E-2</v>
      </c>
      <c r="H1082" s="135"/>
      <c r="I1082" s="144"/>
      <c r="J1082" s="152"/>
      <c r="K1082" s="126"/>
      <c r="L1082" s="403">
        <f t="shared" si="120"/>
        <v>44880</v>
      </c>
      <c r="M1082" s="94" t="str">
        <f t="shared" si="121"/>
        <v>TUE</v>
      </c>
      <c r="O1082" s="383">
        <f t="shared" si="125"/>
        <v>1</v>
      </c>
      <c r="P1082" s="392">
        <f t="shared" si="122"/>
        <v>1.0001055555555556</v>
      </c>
    </row>
    <row r="1083" spans="2:16">
      <c r="B1083" s="41"/>
      <c r="C1083" s="403">
        <f t="shared" si="124"/>
        <v>44881</v>
      </c>
      <c r="D1083" s="94" t="str">
        <f>VLOOKUP(MOD(C1083,7),'CALENDAR INFO'!$G$5:$H$11,2)</f>
        <v>WED</v>
      </c>
      <c r="E1083" s="165">
        <v>3.83</v>
      </c>
      <c r="F1083" s="336">
        <v>3.81</v>
      </c>
      <c r="G1083" s="411">
        <f t="shared" si="119"/>
        <v>-2.0000000000000018E-2</v>
      </c>
      <c r="K1083" s="126" t="s">
        <v>19</v>
      </c>
      <c r="L1083" s="403">
        <f t="shared" si="120"/>
        <v>44881</v>
      </c>
      <c r="M1083" s="94" t="str">
        <f t="shared" si="121"/>
        <v>WED</v>
      </c>
      <c r="O1083" s="383">
        <f t="shared" si="125"/>
        <v>1</v>
      </c>
      <c r="P1083" s="392">
        <f t="shared" si="122"/>
        <v>1.0001058333333332</v>
      </c>
    </row>
    <row r="1084" spans="2:16">
      <c r="B1084" s="41"/>
      <c r="C1084" s="403">
        <f t="shared" si="124"/>
        <v>44882</v>
      </c>
      <c r="D1084" s="94" t="str">
        <f>VLOOKUP(MOD(C1084,7),'CALENDAR INFO'!$G$5:$H$11,2)</f>
        <v>THU</v>
      </c>
      <c r="E1084" s="165">
        <v>3.83</v>
      </c>
      <c r="F1084" s="336">
        <v>3.8</v>
      </c>
      <c r="G1084" s="411">
        <f t="shared" si="119"/>
        <v>-3.0000000000000249E-2</v>
      </c>
      <c r="K1084" s="129" t="s">
        <v>18</v>
      </c>
      <c r="L1084" s="403">
        <f t="shared" si="120"/>
        <v>44882</v>
      </c>
      <c r="M1084" s="94" t="str">
        <f t="shared" si="121"/>
        <v>THU</v>
      </c>
      <c r="O1084" s="383">
        <f t="shared" si="125"/>
        <v>1</v>
      </c>
      <c r="P1084" s="392">
        <f t="shared" si="122"/>
        <v>1.0001055555555556</v>
      </c>
    </row>
    <row r="1085" spans="2:16">
      <c r="B1085" s="41"/>
      <c r="C1085" s="403">
        <f t="shared" si="124"/>
        <v>44883</v>
      </c>
      <c r="D1085" s="94" t="str">
        <f>VLOOKUP(MOD(C1085,7),'CALENDAR INFO'!$G$5:$H$11,2)</f>
        <v>FRI</v>
      </c>
      <c r="E1085" s="165">
        <v>3.83</v>
      </c>
      <c r="F1085" s="336">
        <v>3.8</v>
      </c>
      <c r="G1085" s="411">
        <f t="shared" si="119"/>
        <v>-3.0000000000000249E-2</v>
      </c>
      <c r="K1085" s="129"/>
      <c r="L1085" s="403">
        <f t="shared" si="120"/>
        <v>44883</v>
      </c>
      <c r="M1085" s="94" t="str">
        <f t="shared" si="121"/>
        <v>FRI</v>
      </c>
      <c r="O1085" s="383">
        <f t="shared" si="125"/>
        <v>3</v>
      </c>
      <c r="P1085" s="392">
        <f t="shared" si="122"/>
        <v>1.0003166666666667</v>
      </c>
    </row>
    <row r="1086" spans="2:16">
      <c r="B1086" s="41"/>
      <c r="C1086" s="403">
        <f t="shared" si="124"/>
        <v>44884</v>
      </c>
      <c r="D1086" s="94" t="str">
        <f>VLOOKUP(MOD(C1086,7),'CALENDAR INFO'!$G$5:$H$11,2)</f>
        <v>SAT</v>
      </c>
      <c r="E1086" s="165">
        <v>3.83</v>
      </c>
      <c r="F1086" s="336">
        <v>3.8</v>
      </c>
      <c r="G1086" s="411">
        <f t="shared" si="119"/>
        <v>-3.0000000000000249E-2</v>
      </c>
      <c r="K1086" s="129"/>
      <c r="L1086" s="403">
        <f t="shared" si="120"/>
        <v>44884</v>
      </c>
      <c r="M1086" s="94" t="str">
        <f t="shared" si="121"/>
        <v>SAT</v>
      </c>
      <c r="O1086" s="383">
        <f t="shared" si="125"/>
        <v>0</v>
      </c>
      <c r="P1086" s="392">
        <f t="shared" si="122"/>
        <v>1</v>
      </c>
    </row>
    <row r="1087" spans="2:16">
      <c r="B1087" s="41"/>
      <c r="C1087" s="403">
        <f t="shared" si="124"/>
        <v>44885</v>
      </c>
      <c r="D1087" s="94" t="str">
        <f>VLOOKUP(MOD(C1087,7),'CALENDAR INFO'!$G$5:$H$11,2)</f>
        <v>SUN</v>
      </c>
      <c r="E1087" s="165">
        <v>3.83</v>
      </c>
      <c r="F1087" s="336">
        <v>3.8</v>
      </c>
      <c r="G1087" s="411">
        <f t="shared" si="119"/>
        <v>-3.0000000000000249E-2</v>
      </c>
      <c r="K1087" s="129"/>
      <c r="L1087" s="403">
        <f t="shared" si="120"/>
        <v>44885</v>
      </c>
      <c r="M1087" s="94" t="str">
        <f t="shared" si="121"/>
        <v>SUN</v>
      </c>
      <c r="O1087" s="383">
        <f t="shared" si="125"/>
        <v>0</v>
      </c>
      <c r="P1087" s="392">
        <f t="shared" si="122"/>
        <v>1</v>
      </c>
    </row>
    <row r="1088" spans="2:16">
      <c r="B1088" s="41"/>
      <c r="C1088" s="403">
        <f t="shared" si="124"/>
        <v>44886</v>
      </c>
      <c r="D1088" s="94" t="str">
        <f>VLOOKUP(MOD(C1088,7),'CALENDAR INFO'!$G$5:$H$11,2)</f>
        <v>MON</v>
      </c>
      <c r="E1088" s="165">
        <v>3.83</v>
      </c>
      <c r="F1088" s="336">
        <v>3.8</v>
      </c>
      <c r="G1088" s="411">
        <f t="shared" si="119"/>
        <v>-3.0000000000000249E-2</v>
      </c>
      <c r="K1088" s="129"/>
      <c r="L1088" s="403">
        <f t="shared" si="120"/>
        <v>44886</v>
      </c>
      <c r="M1088" s="94" t="str">
        <f t="shared" si="121"/>
        <v>MON</v>
      </c>
      <c r="O1088" s="383">
        <f t="shared" si="125"/>
        <v>1</v>
      </c>
      <c r="P1088" s="392">
        <f t="shared" si="122"/>
        <v>1.0001055555555556</v>
      </c>
    </row>
    <row r="1089" spans="1:18">
      <c r="B1089" s="41"/>
      <c r="C1089" s="403">
        <f t="shared" si="124"/>
        <v>44887</v>
      </c>
      <c r="D1089" s="94" t="str">
        <f>VLOOKUP(MOD(C1089,7),'CALENDAR INFO'!$G$5:$H$11,2)</f>
        <v>TUE</v>
      </c>
      <c r="E1089" s="165">
        <v>3.83</v>
      </c>
      <c r="F1089" s="336">
        <v>3.8</v>
      </c>
      <c r="G1089" s="411">
        <f t="shared" si="119"/>
        <v>-3.0000000000000249E-2</v>
      </c>
      <c r="K1089" s="129"/>
      <c r="L1089" s="403">
        <f t="shared" si="120"/>
        <v>44887</v>
      </c>
      <c r="M1089" s="94" t="str">
        <f t="shared" si="121"/>
        <v>TUE</v>
      </c>
      <c r="O1089" s="383">
        <f t="shared" si="125"/>
        <v>1</v>
      </c>
      <c r="P1089" s="392">
        <f t="shared" si="122"/>
        <v>1.0001055555555556</v>
      </c>
    </row>
    <row r="1090" spans="1:18">
      <c r="B1090" s="41"/>
      <c r="C1090" s="403">
        <f t="shared" si="124"/>
        <v>44888</v>
      </c>
      <c r="D1090" s="94" t="str">
        <f>VLOOKUP(MOD(C1090,7),'CALENDAR INFO'!$G$5:$H$11,2)</f>
        <v>WED</v>
      </c>
      <c r="E1090" s="165">
        <v>3.83</v>
      </c>
      <c r="F1090" s="336">
        <v>3.79</v>
      </c>
      <c r="G1090" s="411">
        <f t="shared" si="119"/>
        <v>-4.0000000000000036E-2</v>
      </c>
      <c r="K1090" s="129"/>
      <c r="L1090" s="403">
        <f t="shared" si="120"/>
        <v>44888</v>
      </c>
      <c r="M1090" s="94" t="str">
        <f t="shared" si="121"/>
        <v>WED</v>
      </c>
      <c r="O1090" s="384">
        <v>2</v>
      </c>
      <c r="P1090" s="392">
        <f t="shared" si="122"/>
        <v>1.0002105555555556</v>
      </c>
    </row>
    <row r="1091" spans="1:18">
      <c r="B1091" s="41"/>
      <c r="C1091" s="403">
        <f t="shared" si="124"/>
        <v>44889</v>
      </c>
      <c r="D1091" s="94" t="str">
        <f>VLOOKUP(MOD(C1091,7),'CALENDAR INFO'!$G$5:$H$11,2)</f>
        <v>THU</v>
      </c>
      <c r="E1091" s="165">
        <v>3.83</v>
      </c>
      <c r="F1091" s="336">
        <v>3.79</v>
      </c>
      <c r="G1091" s="411">
        <f t="shared" ref="G1091:G1154" si="126">F1091-E1091</f>
        <v>-4.0000000000000036E-2</v>
      </c>
      <c r="K1091" s="129"/>
      <c r="L1091" s="403">
        <f t="shared" ref="L1091:L1154" si="127">C1091</f>
        <v>44889</v>
      </c>
      <c r="M1091" s="94" t="str">
        <f t="shared" ref="M1091:M1154" si="128">D1091</f>
        <v>THU</v>
      </c>
      <c r="N1091" s="132" t="s">
        <v>60</v>
      </c>
      <c r="O1091" s="384">
        <v>0</v>
      </c>
      <c r="P1091" s="392">
        <f t="shared" si="122"/>
        <v>1</v>
      </c>
    </row>
    <row r="1092" spans="1:18">
      <c r="B1092" s="41"/>
      <c r="C1092" s="403">
        <f t="shared" si="124"/>
        <v>44890</v>
      </c>
      <c r="D1092" s="94" t="str">
        <f>VLOOKUP(MOD(C1092,7),'CALENDAR INFO'!$G$5:$H$11,2)</f>
        <v>FRI</v>
      </c>
      <c r="E1092" s="165">
        <v>3.83</v>
      </c>
      <c r="F1092" s="336">
        <v>3.8</v>
      </c>
      <c r="G1092" s="411">
        <f t="shared" si="126"/>
        <v>-3.0000000000000249E-2</v>
      </c>
      <c r="K1092" s="129"/>
      <c r="L1092" s="403">
        <f t="shared" si="127"/>
        <v>44890</v>
      </c>
      <c r="M1092" s="94" t="str">
        <f t="shared" si="128"/>
        <v>FRI</v>
      </c>
      <c r="O1092" s="383">
        <f t="shared" ref="O1092:O1119" si="129">IF(MOD(C1092,7)&lt;2,0,IF(MOD(C1092,7)=6,3,1))</f>
        <v>3</v>
      </c>
      <c r="P1092" s="392">
        <f t="shared" si="122"/>
        <v>1.0003166666666667</v>
      </c>
    </row>
    <row r="1093" spans="1:18">
      <c r="B1093" s="41"/>
      <c r="C1093" s="403">
        <f t="shared" si="124"/>
        <v>44891</v>
      </c>
      <c r="D1093" s="94" t="str">
        <f>VLOOKUP(MOD(C1093,7),'CALENDAR INFO'!$G$5:$H$11,2)</f>
        <v>SAT</v>
      </c>
      <c r="E1093" s="165">
        <v>3.83</v>
      </c>
      <c r="F1093" s="336">
        <v>3.8</v>
      </c>
      <c r="G1093" s="411">
        <f t="shared" si="126"/>
        <v>-3.0000000000000249E-2</v>
      </c>
      <c r="K1093" s="129"/>
      <c r="L1093" s="403">
        <f t="shared" si="127"/>
        <v>44891</v>
      </c>
      <c r="M1093" s="94" t="str">
        <f t="shared" si="128"/>
        <v>SAT</v>
      </c>
      <c r="O1093" s="383">
        <f t="shared" si="129"/>
        <v>0</v>
      </c>
      <c r="P1093" s="392">
        <f t="shared" si="122"/>
        <v>1</v>
      </c>
      <c r="Q1093" s="21"/>
      <c r="R1093" s="221"/>
    </row>
    <row r="1094" spans="1:18">
      <c r="B1094" s="41"/>
      <c r="C1094" s="403">
        <f t="shared" si="124"/>
        <v>44892</v>
      </c>
      <c r="D1094" s="94" t="str">
        <f>VLOOKUP(MOD(C1094,7),'CALENDAR INFO'!$G$5:$H$11,2)</f>
        <v>SUN</v>
      </c>
      <c r="E1094" s="165">
        <v>3.83</v>
      </c>
      <c r="F1094" s="336">
        <v>3.8</v>
      </c>
      <c r="G1094" s="411">
        <f t="shared" si="126"/>
        <v>-3.0000000000000249E-2</v>
      </c>
      <c r="I1094" s="137"/>
      <c r="K1094" s="129"/>
      <c r="L1094" s="403">
        <f t="shared" si="127"/>
        <v>44892</v>
      </c>
      <c r="M1094" s="94" t="str">
        <f t="shared" si="128"/>
        <v>SUN</v>
      </c>
      <c r="O1094" s="383">
        <f t="shared" si="129"/>
        <v>0</v>
      </c>
      <c r="P1094" s="392">
        <f t="shared" si="122"/>
        <v>1</v>
      </c>
      <c r="Q1094" s="21"/>
      <c r="R1094" s="222"/>
    </row>
    <row r="1095" spans="1:18">
      <c r="B1095" s="41"/>
      <c r="C1095" s="403">
        <f t="shared" si="124"/>
        <v>44893</v>
      </c>
      <c r="D1095" s="94" t="str">
        <f>VLOOKUP(MOD(C1095,7),'CALENDAR INFO'!$G$5:$H$11,2)</f>
        <v>MON</v>
      </c>
      <c r="E1095" s="165">
        <v>3.83</v>
      </c>
      <c r="F1095" s="336">
        <v>3.8</v>
      </c>
      <c r="G1095" s="411">
        <f t="shared" si="126"/>
        <v>-3.0000000000000249E-2</v>
      </c>
      <c r="H1095" s="115"/>
      <c r="I1095" s="148"/>
      <c r="J1095" s="160"/>
      <c r="K1095" s="129"/>
      <c r="L1095" s="403">
        <f t="shared" si="127"/>
        <v>44893</v>
      </c>
      <c r="M1095" s="94" t="str">
        <f t="shared" si="128"/>
        <v>MON</v>
      </c>
      <c r="O1095" s="383">
        <f t="shared" si="129"/>
        <v>1</v>
      </c>
      <c r="P1095" s="392">
        <f t="shared" si="122"/>
        <v>1.0001055555555556</v>
      </c>
      <c r="Q1095" s="21"/>
      <c r="R1095" s="222"/>
    </row>
    <row r="1096" spans="1:18">
      <c r="B1096" s="41"/>
      <c r="C1096" s="403">
        <f t="shared" si="124"/>
        <v>44894</v>
      </c>
      <c r="D1096" s="94" t="str">
        <f>VLOOKUP(MOD(C1096,7),'CALENDAR INFO'!$G$5:$H$11,2)</f>
        <v>TUE</v>
      </c>
      <c r="E1096" s="165">
        <v>3.83</v>
      </c>
      <c r="F1096" s="336">
        <v>3.81</v>
      </c>
      <c r="G1096" s="411">
        <f t="shared" si="126"/>
        <v>-2.0000000000000018E-2</v>
      </c>
      <c r="H1096" s="115"/>
      <c r="I1096" s="141"/>
      <c r="J1096" s="158"/>
      <c r="K1096" s="129"/>
      <c r="L1096" s="403">
        <f t="shared" si="127"/>
        <v>44894</v>
      </c>
      <c r="M1096" s="94" t="str">
        <f t="shared" si="128"/>
        <v>TUE</v>
      </c>
      <c r="O1096" s="383">
        <f t="shared" si="129"/>
        <v>1</v>
      </c>
      <c r="P1096" s="392">
        <f t="shared" si="122"/>
        <v>1.0001058333333332</v>
      </c>
    </row>
    <row r="1097" spans="1:18" ht="15.75" thickBot="1">
      <c r="A1097" s="81"/>
      <c r="B1097" s="178"/>
      <c r="C1097" s="404">
        <f t="shared" si="124"/>
        <v>44895</v>
      </c>
      <c r="D1097" s="103" t="str">
        <f>VLOOKUP(MOD(C1097,7),'CALENDAR INFO'!$G$5:$H$11,2)</f>
        <v>WED</v>
      </c>
      <c r="E1097" s="166">
        <v>3.83</v>
      </c>
      <c r="F1097" s="337">
        <v>3.82</v>
      </c>
      <c r="G1097" s="412">
        <f t="shared" si="126"/>
        <v>-1.0000000000000231E-2</v>
      </c>
      <c r="H1097" s="345"/>
      <c r="I1097" s="143"/>
      <c r="J1097" s="162"/>
      <c r="K1097" s="84" t="s">
        <v>19</v>
      </c>
      <c r="L1097" s="404">
        <f t="shared" si="127"/>
        <v>44895</v>
      </c>
      <c r="M1097" s="103" t="str">
        <f t="shared" si="128"/>
        <v>WED</v>
      </c>
      <c r="N1097" s="90"/>
      <c r="O1097" s="383">
        <f t="shared" si="129"/>
        <v>1</v>
      </c>
      <c r="P1097" s="388">
        <f t="shared" si="122"/>
        <v>1.0001061111111111</v>
      </c>
    </row>
    <row r="1098" spans="1:18">
      <c r="B1098" s="41"/>
      <c r="C1098" s="403">
        <f t="shared" si="124"/>
        <v>44896</v>
      </c>
      <c r="D1098" s="94" t="str">
        <f>VLOOKUP(MOD(C1098,7),'CALENDAR INFO'!$G$5:$H$11,2)</f>
        <v>THU</v>
      </c>
      <c r="E1098" s="165">
        <v>3.83</v>
      </c>
      <c r="F1098" s="336">
        <v>3.82</v>
      </c>
      <c r="G1098" s="411">
        <f t="shared" si="126"/>
        <v>-1.0000000000000231E-2</v>
      </c>
      <c r="H1098" s="15" t="s">
        <v>149</v>
      </c>
      <c r="I1098" s="15">
        <f>ROW(I1098)</f>
        <v>1098</v>
      </c>
      <c r="J1098" s="138">
        <f>I1098</f>
        <v>1098</v>
      </c>
      <c r="K1098" s="126" t="s">
        <v>18</v>
      </c>
      <c r="L1098" s="403">
        <f t="shared" si="127"/>
        <v>44896</v>
      </c>
      <c r="M1098" s="94" t="str">
        <f t="shared" si="128"/>
        <v>THU</v>
      </c>
      <c r="O1098" s="386">
        <f t="shared" si="129"/>
        <v>1</v>
      </c>
      <c r="P1098" s="390">
        <f t="shared" si="122"/>
        <v>1.0001061111111111</v>
      </c>
    </row>
    <row r="1099" spans="1:18">
      <c r="B1099" s="41"/>
      <c r="C1099" s="403">
        <f t="shared" si="124"/>
        <v>44897</v>
      </c>
      <c r="D1099" s="94" t="str">
        <f>VLOOKUP(MOD(C1099,7),'CALENDAR INFO'!$G$5:$H$11,2)</f>
        <v>FRI</v>
      </c>
      <c r="E1099" s="165">
        <v>3.83</v>
      </c>
      <c r="F1099" s="336">
        <v>3.81</v>
      </c>
      <c r="G1099" s="411">
        <f t="shared" si="126"/>
        <v>-2.0000000000000018E-2</v>
      </c>
      <c r="H1099" s="376" t="s">
        <v>210</v>
      </c>
      <c r="I1099" s="15">
        <f>VLOOKUP(MONTH($C1098),'CALENDAR INFO'!$J$5:$K$16,2)</f>
        <v>31</v>
      </c>
      <c r="J1099" s="138">
        <f>I1099</f>
        <v>31</v>
      </c>
      <c r="K1099" s="126"/>
      <c r="L1099" s="403">
        <f t="shared" si="127"/>
        <v>44897</v>
      </c>
      <c r="M1099" s="94" t="str">
        <f t="shared" si="128"/>
        <v>FRI</v>
      </c>
      <c r="O1099" s="383">
        <f t="shared" si="129"/>
        <v>3</v>
      </c>
      <c r="P1099" s="392">
        <f t="shared" si="122"/>
        <v>1.0003175</v>
      </c>
    </row>
    <row r="1100" spans="1:18">
      <c r="B1100" s="41"/>
      <c r="C1100" s="403">
        <f t="shared" si="124"/>
        <v>44898</v>
      </c>
      <c r="D1100" s="94" t="str">
        <f>VLOOKUP(MOD(C1100,7),'CALENDAR INFO'!$G$5:$H$11,2)</f>
        <v>SAT</v>
      </c>
      <c r="E1100" s="165">
        <v>3.83</v>
      </c>
      <c r="F1100" s="336">
        <v>3.81</v>
      </c>
      <c r="G1100" s="411">
        <f t="shared" si="126"/>
        <v>-2.0000000000000018E-2</v>
      </c>
      <c r="H1100" s="376" t="s">
        <v>211</v>
      </c>
      <c r="I1100" s="15">
        <f>I1099+I1098-1</f>
        <v>1128</v>
      </c>
      <c r="J1100" s="138">
        <f>I1100</f>
        <v>1128</v>
      </c>
      <c r="K1100" s="126"/>
      <c r="L1100" s="403">
        <f t="shared" si="127"/>
        <v>44898</v>
      </c>
      <c r="M1100" s="94" t="str">
        <f t="shared" si="128"/>
        <v>SAT</v>
      </c>
      <c r="O1100" s="383">
        <f t="shared" si="129"/>
        <v>0</v>
      </c>
      <c r="P1100" s="392">
        <f t="shared" si="122"/>
        <v>1</v>
      </c>
    </row>
    <row r="1101" spans="1:18">
      <c r="B1101" s="41"/>
      <c r="C1101" s="403">
        <f t="shared" si="124"/>
        <v>44899</v>
      </c>
      <c r="D1101" s="94" t="str">
        <f>VLOOKUP(MOD(C1101,7),'CALENDAR INFO'!$G$5:$H$11,2)</f>
        <v>SUN</v>
      </c>
      <c r="E1101" s="165">
        <v>3.83</v>
      </c>
      <c r="F1101" s="336">
        <v>3.81</v>
      </c>
      <c r="G1101" s="411">
        <f t="shared" si="126"/>
        <v>-2.0000000000000018E-2</v>
      </c>
      <c r="K1101" s="126"/>
      <c r="L1101" s="403">
        <f t="shared" si="127"/>
        <v>44899</v>
      </c>
      <c r="M1101" s="94" t="str">
        <f t="shared" si="128"/>
        <v>SUN</v>
      </c>
      <c r="O1101" s="383">
        <f t="shared" si="129"/>
        <v>0</v>
      </c>
      <c r="P1101" s="392">
        <f t="shared" si="122"/>
        <v>1</v>
      </c>
    </row>
    <row r="1102" spans="1:18">
      <c r="B1102" s="41"/>
      <c r="C1102" s="403">
        <f t="shared" si="124"/>
        <v>44900</v>
      </c>
      <c r="D1102" s="94" t="str">
        <f>VLOOKUP(MOD(C1102,7),'CALENDAR INFO'!$G$5:$H$11,2)</f>
        <v>MON</v>
      </c>
      <c r="E1102" s="165">
        <v>3.83</v>
      </c>
      <c r="F1102" s="336">
        <v>3.81</v>
      </c>
      <c r="G1102" s="411">
        <f t="shared" si="126"/>
        <v>-2.0000000000000018E-2</v>
      </c>
      <c r="H1102" s="15" t="s">
        <v>150</v>
      </c>
      <c r="I1102" s="137" t="str">
        <f>_xlfn.CONCAT(ADDRESS(I1098,5),":",ADDRESS(I1100,5))</f>
        <v>$E$1098:$E$1128</v>
      </c>
      <c r="J1102" s="150" t="str">
        <f>_xlfn.CONCAT(ADDRESS(J1098,6),":",ADDRESS(J1100,6))</f>
        <v>$F$1098:$F$1128</v>
      </c>
      <c r="K1102" s="126"/>
      <c r="L1102" s="403">
        <f t="shared" si="127"/>
        <v>44900</v>
      </c>
      <c r="M1102" s="94" t="str">
        <f t="shared" si="128"/>
        <v>MON</v>
      </c>
      <c r="O1102" s="383">
        <f t="shared" si="129"/>
        <v>1</v>
      </c>
      <c r="P1102" s="392">
        <f t="shared" si="122"/>
        <v>1.0001058333333332</v>
      </c>
    </row>
    <row r="1103" spans="1:18">
      <c r="B1103" s="41"/>
      <c r="C1103" s="403">
        <f t="shared" si="124"/>
        <v>44901</v>
      </c>
      <c r="D1103" s="94" t="str">
        <f>VLOOKUP(MOD(C1103,7),'CALENDAR INFO'!$G$5:$H$11,2)</f>
        <v>TUE</v>
      </c>
      <c r="E1103" s="165">
        <v>3.83</v>
      </c>
      <c r="F1103" s="336">
        <v>3.8</v>
      </c>
      <c r="G1103" s="411">
        <f t="shared" si="126"/>
        <v>-3.0000000000000249E-2</v>
      </c>
      <c r="K1103" s="126"/>
      <c r="L1103" s="403">
        <f t="shared" si="127"/>
        <v>44901</v>
      </c>
      <c r="M1103" s="94" t="str">
        <f t="shared" si="128"/>
        <v>TUE</v>
      </c>
      <c r="O1103" s="383">
        <f t="shared" si="129"/>
        <v>1</v>
      </c>
      <c r="P1103" s="392">
        <f t="shared" si="122"/>
        <v>1.0001055555555556</v>
      </c>
    </row>
    <row r="1104" spans="1:18">
      <c r="B1104" s="41"/>
      <c r="C1104" s="403">
        <f t="shared" si="124"/>
        <v>44902</v>
      </c>
      <c r="D1104" s="94" t="str">
        <f>VLOOKUP(MOD(C1104,7),'CALENDAR INFO'!$G$5:$H$11,2)</f>
        <v>WED</v>
      </c>
      <c r="E1104" s="165">
        <v>3.83</v>
      </c>
      <c r="F1104" s="336">
        <v>3.8</v>
      </c>
      <c r="G1104" s="411">
        <f t="shared" si="126"/>
        <v>-3.0000000000000249E-2</v>
      </c>
      <c r="H1104" s="376" t="s">
        <v>221</v>
      </c>
      <c r="I1104" s="147">
        <f ca="1">AVERAGE(INDIRECT(I1102))</f>
        <v>4.1041935483870953</v>
      </c>
      <c r="J1104" s="326">
        <f ca="1">AVERAGE(INDIRECT(J1102))</f>
        <v>4.0787096774193534</v>
      </c>
      <c r="K1104" s="126"/>
      <c r="L1104" s="403">
        <f t="shared" si="127"/>
        <v>44902</v>
      </c>
      <c r="M1104" s="94" t="str">
        <f t="shared" si="128"/>
        <v>WED</v>
      </c>
      <c r="O1104" s="383">
        <f t="shared" si="129"/>
        <v>1</v>
      </c>
      <c r="P1104" s="392">
        <f t="shared" si="122"/>
        <v>1.0001055555555556</v>
      </c>
    </row>
    <row r="1105" spans="2:18">
      <c r="B1105" s="41"/>
      <c r="C1105" s="403">
        <f t="shared" si="124"/>
        <v>44903</v>
      </c>
      <c r="D1105" s="94" t="str">
        <f>VLOOKUP(MOD(C1105,7),'CALENDAR INFO'!$G$5:$H$11,2)</f>
        <v>THU</v>
      </c>
      <c r="E1105" s="165">
        <v>3.83</v>
      </c>
      <c r="F1105" s="336">
        <v>3.8</v>
      </c>
      <c r="G1105" s="411">
        <f t="shared" si="126"/>
        <v>-3.0000000000000249E-2</v>
      </c>
      <c r="I1105" s="240"/>
      <c r="J1105" s="157"/>
      <c r="K1105" s="126"/>
      <c r="L1105" s="403">
        <f t="shared" si="127"/>
        <v>44903</v>
      </c>
      <c r="M1105" s="94" t="str">
        <f t="shared" si="128"/>
        <v>THU</v>
      </c>
      <c r="O1105" s="383">
        <f t="shared" si="129"/>
        <v>1</v>
      </c>
      <c r="P1105" s="392">
        <f t="shared" si="122"/>
        <v>1.0001055555555556</v>
      </c>
    </row>
    <row r="1106" spans="2:18">
      <c r="B1106" s="41"/>
      <c r="C1106" s="403">
        <f t="shared" si="124"/>
        <v>44904</v>
      </c>
      <c r="D1106" s="94" t="str">
        <f>VLOOKUP(MOD(C1106,7),'CALENDAR INFO'!$G$5:$H$11,2)</f>
        <v>FRI</v>
      </c>
      <c r="E1106" s="165">
        <v>3.83</v>
      </c>
      <c r="F1106" s="336">
        <v>3.8</v>
      </c>
      <c r="G1106" s="411">
        <f t="shared" si="126"/>
        <v>-3.0000000000000249E-2</v>
      </c>
      <c r="H1106" s="15" t="s">
        <v>222</v>
      </c>
      <c r="I1106" s="147">
        <f ca="1">100-I1104</f>
        <v>95.895806451612899</v>
      </c>
      <c r="J1106" s="326">
        <f ca="1">100-J1104</f>
        <v>95.921290322580646</v>
      </c>
      <c r="K1106" s="126"/>
      <c r="L1106" s="403">
        <f t="shared" si="127"/>
        <v>44904</v>
      </c>
      <c r="M1106" s="94" t="str">
        <f t="shared" si="128"/>
        <v>FRI</v>
      </c>
      <c r="O1106" s="383">
        <f t="shared" si="129"/>
        <v>3</v>
      </c>
      <c r="P1106" s="392">
        <f t="shared" si="122"/>
        <v>1.0003166666666667</v>
      </c>
    </row>
    <row r="1107" spans="2:18">
      <c r="B1107" s="41"/>
      <c r="C1107" s="403">
        <f t="shared" si="124"/>
        <v>44905</v>
      </c>
      <c r="D1107" s="94" t="str">
        <f>VLOOKUP(MOD(C1107,7),'CALENDAR INFO'!$G$5:$H$11,2)</f>
        <v>SAT</v>
      </c>
      <c r="E1107" s="165">
        <v>3.83</v>
      </c>
      <c r="F1107" s="336">
        <v>3.8</v>
      </c>
      <c r="G1107" s="411">
        <f t="shared" si="126"/>
        <v>-3.0000000000000249E-2</v>
      </c>
      <c r="I1107" s="137"/>
      <c r="J1107" s="150"/>
      <c r="K1107" s="126"/>
      <c r="L1107" s="403">
        <f t="shared" si="127"/>
        <v>44905</v>
      </c>
      <c r="M1107" s="94" t="str">
        <f t="shared" si="128"/>
        <v>SAT</v>
      </c>
      <c r="O1107" s="383">
        <f t="shared" si="129"/>
        <v>0</v>
      </c>
      <c r="P1107" s="392">
        <f t="shared" ref="P1107:P1170" si="130">1+(O1107/360)*(MAX(F1107,B1107)/100)</f>
        <v>1</v>
      </c>
    </row>
    <row r="1108" spans="2:18">
      <c r="B1108" s="41"/>
      <c r="C1108" s="403">
        <f t="shared" si="124"/>
        <v>44906</v>
      </c>
      <c r="D1108" s="94" t="str">
        <f>VLOOKUP(MOD(C1108,7),'CALENDAR INFO'!$G$5:$H$11,2)</f>
        <v>SUN</v>
      </c>
      <c r="E1108" s="165">
        <v>3.83</v>
      </c>
      <c r="F1108" s="336">
        <v>3.8</v>
      </c>
      <c r="G1108" s="411">
        <f t="shared" si="126"/>
        <v>-3.0000000000000249E-2</v>
      </c>
      <c r="K1108" s="126"/>
      <c r="L1108" s="403">
        <f t="shared" si="127"/>
        <v>44906</v>
      </c>
      <c r="M1108" s="94" t="str">
        <f t="shared" si="128"/>
        <v>SUN</v>
      </c>
      <c r="O1108" s="383">
        <f t="shared" si="129"/>
        <v>0</v>
      </c>
      <c r="P1108" s="392">
        <f t="shared" si="130"/>
        <v>1</v>
      </c>
    </row>
    <row r="1109" spans="2:18">
      <c r="B1109" s="41"/>
      <c r="C1109" s="403">
        <f t="shared" si="124"/>
        <v>44907</v>
      </c>
      <c r="D1109" s="94" t="str">
        <f>VLOOKUP(MOD(C1109,7),'CALENDAR INFO'!$G$5:$H$11,2)</f>
        <v>MON</v>
      </c>
      <c r="E1109" s="165">
        <v>3.83</v>
      </c>
      <c r="F1109" s="336">
        <v>3.8</v>
      </c>
      <c r="G1109" s="411">
        <f t="shared" si="126"/>
        <v>-3.0000000000000249E-2</v>
      </c>
      <c r="K1109" s="126"/>
      <c r="L1109" s="403">
        <f t="shared" si="127"/>
        <v>44907</v>
      </c>
      <c r="M1109" s="94" t="str">
        <f t="shared" si="128"/>
        <v>MON</v>
      </c>
      <c r="O1109" s="383">
        <f t="shared" si="129"/>
        <v>1</v>
      </c>
      <c r="P1109" s="392">
        <f t="shared" si="130"/>
        <v>1.0001055555555556</v>
      </c>
    </row>
    <row r="1110" spans="2:18">
      <c r="B1110" s="41"/>
      <c r="C1110" s="403">
        <f t="shared" si="124"/>
        <v>44908</v>
      </c>
      <c r="D1110" s="94" t="str">
        <f>VLOOKUP(MOD(C1110,7),'CALENDAR INFO'!$G$5:$H$11,2)</f>
        <v>TUE</v>
      </c>
      <c r="E1110" s="165">
        <v>3.83</v>
      </c>
      <c r="F1110" s="336">
        <v>3.8</v>
      </c>
      <c r="G1110" s="411">
        <f t="shared" si="126"/>
        <v>-3.0000000000000249E-2</v>
      </c>
      <c r="K1110" s="126"/>
      <c r="L1110" s="403">
        <f t="shared" si="127"/>
        <v>44908</v>
      </c>
      <c r="M1110" s="94" t="str">
        <f t="shared" si="128"/>
        <v>TUE</v>
      </c>
      <c r="N1110" s="116" t="s">
        <v>20</v>
      </c>
      <c r="O1110" s="383">
        <f t="shared" si="129"/>
        <v>1</v>
      </c>
      <c r="P1110" s="392">
        <f t="shared" si="130"/>
        <v>1.0001055555555556</v>
      </c>
    </row>
    <row r="1111" spans="2:18">
      <c r="B1111" s="41"/>
      <c r="C1111" s="403">
        <f t="shared" si="124"/>
        <v>44909</v>
      </c>
      <c r="D1111" s="94" t="str">
        <f>VLOOKUP(MOD(C1111,7),'CALENDAR INFO'!$G$5:$H$11,2)</f>
        <v>WED</v>
      </c>
      <c r="E1111" s="165">
        <v>3.83</v>
      </c>
      <c r="F1111" s="336">
        <v>3.8</v>
      </c>
      <c r="G1111" s="411">
        <f t="shared" si="126"/>
        <v>-3.0000000000000249E-2</v>
      </c>
      <c r="K1111" s="126" t="s">
        <v>19</v>
      </c>
      <c r="L1111" s="403">
        <f t="shared" si="127"/>
        <v>44909</v>
      </c>
      <c r="M1111" s="94" t="str">
        <f t="shared" si="128"/>
        <v>WED</v>
      </c>
      <c r="N1111" s="116" t="s">
        <v>20</v>
      </c>
      <c r="O1111" s="383">
        <f t="shared" si="129"/>
        <v>1</v>
      </c>
      <c r="P1111" s="392">
        <f t="shared" si="130"/>
        <v>1.0001055555555556</v>
      </c>
    </row>
    <row r="1112" spans="2:18">
      <c r="B1112" s="41"/>
      <c r="C1112" s="403">
        <f t="shared" si="124"/>
        <v>44910</v>
      </c>
      <c r="D1112" s="94" t="str">
        <f>VLOOKUP(MOD(C1112,7),'CALENDAR INFO'!$G$5:$H$11,2)</f>
        <v>THU</v>
      </c>
      <c r="E1112" s="165">
        <v>4.33</v>
      </c>
      <c r="F1112" s="336">
        <v>4.32</v>
      </c>
      <c r="G1112" s="411">
        <f t="shared" si="126"/>
        <v>-9.9999999999997868E-3</v>
      </c>
      <c r="H1112" s="135"/>
      <c r="I1112" s="144"/>
      <c r="J1112" s="152"/>
      <c r="K1112" s="129" t="s">
        <v>18</v>
      </c>
      <c r="L1112" s="403">
        <f t="shared" si="127"/>
        <v>44910</v>
      </c>
      <c r="M1112" s="94" t="str">
        <f t="shared" si="128"/>
        <v>THU</v>
      </c>
      <c r="O1112" s="383">
        <f t="shared" si="129"/>
        <v>1</v>
      </c>
      <c r="P1112" s="392">
        <f t="shared" si="130"/>
        <v>1.0001199999999999</v>
      </c>
    </row>
    <row r="1113" spans="2:18">
      <c r="B1113" s="41"/>
      <c r="C1113" s="403">
        <f t="shared" si="124"/>
        <v>44911</v>
      </c>
      <c r="D1113" s="94" t="str">
        <f>VLOOKUP(MOD(C1113,7),'CALENDAR INFO'!$G$5:$H$11,2)</f>
        <v>FRI</v>
      </c>
      <c r="E1113" s="165">
        <v>4.33</v>
      </c>
      <c r="F1113" s="336">
        <v>4.32</v>
      </c>
      <c r="G1113" s="411">
        <f t="shared" si="126"/>
        <v>-9.9999999999997868E-3</v>
      </c>
      <c r="K1113" s="129"/>
      <c r="L1113" s="403">
        <f t="shared" si="127"/>
        <v>44911</v>
      </c>
      <c r="M1113" s="94" t="str">
        <f t="shared" si="128"/>
        <v>FRI</v>
      </c>
      <c r="O1113" s="383">
        <f t="shared" si="129"/>
        <v>3</v>
      </c>
      <c r="P1113" s="392">
        <f t="shared" si="130"/>
        <v>1.0003599999999999</v>
      </c>
    </row>
    <row r="1114" spans="2:18">
      <c r="B1114" s="41"/>
      <c r="C1114" s="403">
        <f t="shared" si="124"/>
        <v>44912</v>
      </c>
      <c r="D1114" s="94" t="str">
        <f>VLOOKUP(MOD(C1114,7),'CALENDAR INFO'!$G$5:$H$11,2)</f>
        <v>SAT</v>
      </c>
      <c r="E1114" s="165">
        <v>4.33</v>
      </c>
      <c r="F1114" s="336">
        <v>4.32</v>
      </c>
      <c r="G1114" s="411">
        <f t="shared" si="126"/>
        <v>-9.9999999999997868E-3</v>
      </c>
      <c r="K1114" s="129"/>
      <c r="L1114" s="403">
        <f t="shared" si="127"/>
        <v>44912</v>
      </c>
      <c r="M1114" s="94" t="str">
        <f t="shared" si="128"/>
        <v>SAT</v>
      </c>
      <c r="O1114" s="383">
        <f t="shared" si="129"/>
        <v>0</v>
      </c>
      <c r="P1114" s="392">
        <f t="shared" si="130"/>
        <v>1</v>
      </c>
      <c r="Q1114" s="21"/>
      <c r="R1114" s="221"/>
    </row>
    <row r="1115" spans="2:18">
      <c r="B1115" s="41"/>
      <c r="C1115" s="403">
        <f t="shared" si="124"/>
        <v>44913</v>
      </c>
      <c r="D1115" s="94" t="str">
        <f>VLOOKUP(MOD(C1115,7),'CALENDAR INFO'!$G$5:$H$11,2)</f>
        <v>SUN</v>
      </c>
      <c r="E1115" s="165">
        <v>4.33</v>
      </c>
      <c r="F1115" s="336">
        <v>4.32</v>
      </c>
      <c r="G1115" s="411">
        <f t="shared" si="126"/>
        <v>-9.9999999999997868E-3</v>
      </c>
      <c r="K1115" s="129"/>
      <c r="L1115" s="403">
        <f t="shared" si="127"/>
        <v>44913</v>
      </c>
      <c r="M1115" s="94" t="str">
        <f t="shared" si="128"/>
        <v>SUN</v>
      </c>
      <c r="O1115" s="383">
        <f t="shared" si="129"/>
        <v>0</v>
      </c>
      <c r="P1115" s="392">
        <f t="shared" si="130"/>
        <v>1</v>
      </c>
      <c r="Q1115" s="21"/>
      <c r="R1115" s="222"/>
    </row>
    <row r="1116" spans="2:18">
      <c r="B1116" s="41"/>
      <c r="C1116" s="403">
        <f t="shared" si="124"/>
        <v>44914</v>
      </c>
      <c r="D1116" s="94" t="str">
        <f>VLOOKUP(MOD(C1116,7),'CALENDAR INFO'!$G$5:$H$11,2)</f>
        <v>MON</v>
      </c>
      <c r="E1116" s="165">
        <v>4.33</v>
      </c>
      <c r="F1116" s="336">
        <v>4.3</v>
      </c>
      <c r="G1116" s="411">
        <f t="shared" si="126"/>
        <v>-3.0000000000000249E-2</v>
      </c>
      <c r="K1116" s="129"/>
      <c r="L1116" s="403">
        <f t="shared" si="127"/>
        <v>44914</v>
      </c>
      <c r="M1116" s="94" t="str">
        <f t="shared" si="128"/>
        <v>MON</v>
      </c>
      <c r="O1116" s="383">
        <f t="shared" si="129"/>
        <v>1</v>
      </c>
      <c r="P1116" s="392">
        <f t="shared" si="130"/>
        <v>1.0001194444444443</v>
      </c>
    </row>
    <row r="1117" spans="2:18">
      <c r="B1117" s="41"/>
      <c r="C1117" s="403">
        <f t="shared" si="124"/>
        <v>44915</v>
      </c>
      <c r="D1117" s="94" t="str">
        <f>VLOOKUP(MOD(C1117,7),'CALENDAR INFO'!$G$5:$H$11,2)</f>
        <v>TUE</v>
      </c>
      <c r="E1117" s="165">
        <v>4.33</v>
      </c>
      <c r="F1117" s="336">
        <v>4.3</v>
      </c>
      <c r="G1117" s="411">
        <f t="shared" si="126"/>
        <v>-3.0000000000000249E-2</v>
      </c>
      <c r="K1117" s="129"/>
      <c r="L1117" s="403">
        <f t="shared" si="127"/>
        <v>44915</v>
      </c>
      <c r="M1117" s="94" t="str">
        <f t="shared" si="128"/>
        <v>TUE</v>
      </c>
      <c r="O1117" s="383">
        <f t="shared" si="129"/>
        <v>1</v>
      </c>
      <c r="P1117" s="392">
        <f t="shared" si="130"/>
        <v>1.0001194444444443</v>
      </c>
    </row>
    <row r="1118" spans="2:18">
      <c r="B1118" s="41"/>
      <c r="C1118" s="403">
        <f t="shared" si="124"/>
        <v>44916</v>
      </c>
      <c r="D1118" s="94" t="str">
        <f>VLOOKUP(MOD(C1118,7),'CALENDAR INFO'!$G$5:$H$11,2)</f>
        <v>WED</v>
      </c>
      <c r="E1118" s="165">
        <v>4.33</v>
      </c>
      <c r="F1118" s="336">
        <v>4.3</v>
      </c>
      <c r="G1118" s="411">
        <f t="shared" si="126"/>
        <v>-3.0000000000000249E-2</v>
      </c>
      <c r="K1118" s="129"/>
      <c r="L1118" s="403">
        <f t="shared" si="127"/>
        <v>44916</v>
      </c>
      <c r="M1118" s="94" t="str">
        <f t="shared" si="128"/>
        <v>WED</v>
      </c>
      <c r="O1118" s="383">
        <f t="shared" si="129"/>
        <v>1</v>
      </c>
      <c r="P1118" s="392">
        <f t="shared" si="130"/>
        <v>1.0001194444444443</v>
      </c>
    </row>
    <row r="1119" spans="2:18">
      <c r="B1119" s="41"/>
      <c r="C1119" s="403">
        <f t="shared" si="124"/>
        <v>44917</v>
      </c>
      <c r="D1119" s="94" t="str">
        <f>VLOOKUP(MOD(C1119,7),'CALENDAR INFO'!$G$5:$H$11,2)</f>
        <v>THU</v>
      </c>
      <c r="E1119" s="165">
        <v>4.33</v>
      </c>
      <c r="F1119" s="336">
        <v>4.3</v>
      </c>
      <c r="G1119" s="411">
        <f t="shared" si="126"/>
        <v>-3.0000000000000249E-2</v>
      </c>
      <c r="K1119" s="129"/>
      <c r="L1119" s="403">
        <f t="shared" si="127"/>
        <v>44917</v>
      </c>
      <c r="M1119" s="94" t="str">
        <f t="shared" si="128"/>
        <v>THU</v>
      </c>
      <c r="O1119" s="383">
        <f t="shared" si="129"/>
        <v>1</v>
      </c>
      <c r="P1119" s="392">
        <f t="shared" si="130"/>
        <v>1.0001194444444443</v>
      </c>
    </row>
    <row r="1120" spans="2:18">
      <c r="B1120" s="41"/>
      <c r="C1120" s="403">
        <f t="shared" si="124"/>
        <v>44918</v>
      </c>
      <c r="D1120" s="94" t="str">
        <f>VLOOKUP(MOD(C1120,7),'CALENDAR INFO'!$G$5:$H$11,2)</f>
        <v>FRI</v>
      </c>
      <c r="E1120" s="165">
        <v>4.33</v>
      </c>
      <c r="F1120" s="336">
        <v>4.3</v>
      </c>
      <c r="G1120" s="411">
        <f t="shared" si="126"/>
        <v>-3.0000000000000249E-2</v>
      </c>
      <c r="K1120" s="129"/>
      <c r="L1120" s="403">
        <f t="shared" si="127"/>
        <v>44918</v>
      </c>
      <c r="M1120" s="94" t="str">
        <f t="shared" si="128"/>
        <v>FRI</v>
      </c>
      <c r="O1120" s="384">
        <v>4</v>
      </c>
      <c r="P1120" s="392">
        <f t="shared" si="130"/>
        <v>1.0004777777777778</v>
      </c>
    </row>
    <row r="1121" spans="1:18">
      <c r="B1121" s="41"/>
      <c r="C1121" s="403">
        <f t="shared" si="124"/>
        <v>44919</v>
      </c>
      <c r="D1121" s="94" t="str">
        <f>VLOOKUP(MOD(C1121,7),'CALENDAR INFO'!$G$5:$H$11,2)</f>
        <v>SAT</v>
      </c>
      <c r="E1121" s="165">
        <v>4.33</v>
      </c>
      <c r="F1121" s="336">
        <v>4.3</v>
      </c>
      <c r="G1121" s="411">
        <f t="shared" si="126"/>
        <v>-3.0000000000000249E-2</v>
      </c>
      <c r="K1121" s="129"/>
      <c r="L1121" s="403">
        <f t="shared" si="127"/>
        <v>44919</v>
      </c>
      <c r="M1121" s="94" t="str">
        <f t="shared" si="128"/>
        <v>SAT</v>
      </c>
      <c r="O1121" s="383">
        <f>IF(MOD(C1121,7)&lt;2,0,IF(MOD(C1121,7)=6,3,1))</f>
        <v>0</v>
      </c>
      <c r="P1121" s="392">
        <f t="shared" si="130"/>
        <v>1</v>
      </c>
    </row>
    <row r="1122" spans="1:18">
      <c r="B1122" s="41"/>
      <c r="C1122" s="403">
        <f t="shared" si="124"/>
        <v>44920</v>
      </c>
      <c r="D1122" s="94" t="str">
        <f>VLOOKUP(MOD(C1122,7),'CALENDAR INFO'!$G$5:$H$11,2)</f>
        <v>SUN</v>
      </c>
      <c r="E1122" s="165">
        <v>4.33</v>
      </c>
      <c r="F1122" s="336">
        <v>4.3</v>
      </c>
      <c r="G1122" s="411">
        <f t="shared" si="126"/>
        <v>-3.0000000000000249E-2</v>
      </c>
      <c r="K1122" s="129"/>
      <c r="L1122" s="403">
        <f t="shared" si="127"/>
        <v>44920</v>
      </c>
      <c r="M1122" s="94" t="str">
        <f t="shared" si="128"/>
        <v>SUN</v>
      </c>
      <c r="O1122" s="383">
        <f>IF(MOD(C1122,7)&lt;2,0,IF(MOD(C1122,7)=6,3,1))</f>
        <v>0</v>
      </c>
      <c r="P1122" s="392">
        <f t="shared" si="130"/>
        <v>1</v>
      </c>
    </row>
    <row r="1123" spans="1:18">
      <c r="B1123" s="41"/>
      <c r="C1123" s="403">
        <f t="shared" si="124"/>
        <v>44921</v>
      </c>
      <c r="D1123" s="94" t="str">
        <f>VLOOKUP(MOD(C1123,7),'CALENDAR INFO'!$G$5:$H$11,2)</f>
        <v>MON</v>
      </c>
      <c r="E1123" s="165">
        <v>4.33</v>
      </c>
      <c r="F1123" s="336">
        <v>4.3</v>
      </c>
      <c r="G1123" s="411">
        <f t="shared" si="126"/>
        <v>-3.0000000000000249E-2</v>
      </c>
      <c r="K1123" s="129"/>
      <c r="L1123" s="403">
        <f t="shared" si="127"/>
        <v>44921</v>
      </c>
      <c r="M1123" s="94" t="str">
        <f t="shared" si="128"/>
        <v>MON</v>
      </c>
      <c r="N1123" s="132" t="s">
        <v>110</v>
      </c>
      <c r="O1123" s="384">
        <v>0</v>
      </c>
      <c r="P1123" s="392">
        <f t="shared" si="130"/>
        <v>1</v>
      </c>
    </row>
    <row r="1124" spans="1:18">
      <c r="B1124" s="41"/>
      <c r="C1124" s="403">
        <f t="shared" si="124"/>
        <v>44922</v>
      </c>
      <c r="D1124" s="94" t="str">
        <f>VLOOKUP(MOD(C1124,7),'CALENDAR INFO'!$G$5:$H$11,2)</f>
        <v>TUE</v>
      </c>
      <c r="E1124" s="165">
        <v>4.33</v>
      </c>
      <c r="F1124" s="336">
        <v>4.3</v>
      </c>
      <c r="G1124" s="411">
        <f t="shared" si="126"/>
        <v>-3.0000000000000249E-2</v>
      </c>
      <c r="I1124" s="137"/>
      <c r="K1124" s="129"/>
      <c r="L1124" s="403">
        <f t="shared" si="127"/>
        <v>44922</v>
      </c>
      <c r="M1124" s="94" t="str">
        <f t="shared" si="128"/>
        <v>TUE</v>
      </c>
      <c r="O1124" s="383">
        <f>IF(MOD(C1124,7)&lt;2,0,IF(MOD(C1124,7)=6,3,1))</f>
        <v>1</v>
      </c>
      <c r="P1124" s="392">
        <f t="shared" si="130"/>
        <v>1.0001194444444443</v>
      </c>
      <c r="Q1124" s="21"/>
      <c r="R1124" s="221"/>
    </row>
    <row r="1125" spans="1:18">
      <c r="B1125" s="41"/>
      <c r="C1125" s="403">
        <f t="shared" si="124"/>
        <v>44923</v>
      </c>
      <c r="D1125" s="94" t="str">
        <f>VLOOKUP(MOD(C1125,7),'CALENDAR INFO'!$G$5:$H$11,2)</f>
        <v>WED</v>
      </c>
      <c r="E1125" s="165">
        <v>4.33</v>
      </c>
      <c r="F1125" s="336">
        <v>4.3</v>
      </c>
      <c r="G1125" s="411">
        <f t="shared" si="126"/>
        <v>-3.0000000000000249E-2</v>
      </c>
      <c r="H1125" s="115"/>
      <c r="I1125" s="141"/>
      <c r="J1125" s="158"/>
      <c r="K1125" s="129" t="s">
        <v>19</v>
      </c>
      <c r="L1125" s="403">
        <f t="shared" si="127"/>
        <v>44923</v>
      </c>
      <c r="M1125" s="94" t="str">
        <f t="shared" si="128"/>
        <v>WED</v>
      </c>
      <c r="O1125" s="383">
        <f>IF(MOD(C1125,7)&lt;2,0,IF(MOD(C1125,7)=6,3,1))</f>
        <v>1</v>
      </c>
      <c r="P1125" s="392">
        <f t="shared" si="130"/>
        <v>1.0001194444444443</v>
      </c>
      <c r="Q1125" s="21"/>
      <c r="R1125" s="222"/>
    </row>
    <row r="1126" spans="1:18">
      <c r="B1126" s="41"/>
      <c r="C1126" s="403">
        <f t="shared" si="124"/>
        <v>44924</v>
      </c>
      <c r="D1126" s="94" t="str">
        <f>VLOOKUP(MOD(C1126,7),'CALENDAR INFO'!$G$5:$H$11,2)</f>
        <v>THU</v>
      </c>
      <c r="E1126" s="165">
        <v>4.33</v>
      </c>
      <c r="F1126" s="336">
        <v>4.3</v>
      </c>
      <c r="G1126" s="411">
        <f t="shared" si="126"/>
        <v>-3.0000000000000249E-2</v>
      </c>
      <c r="H1126" s="115"/>
      <c r="I1126" s="148"/>
      <c r="J1126" s="160"/>
      <c r="K1126" s="126" t="s">
        <v>18</v>
      </c>
      <c r="L1126" s="403">
        <f t="shared" si="127"/>
        <v>44924</v>
      </c>
      <c r="M1126" s="94" t="str">
        <f t="shared" si="128"/>
        <v>THU</v>
      </c>
      <c r="O1126" s="383">
        <f>IF(MOD(C1126,7)&lt;2,0,IF(MOD(C1126,7)=6,3,1))</f>
        <v>1</v>
      </c>
      <c r="P1126" s="392">
        <f t="shared" si="130"/>
        <v>1.0001194444444443</v>
      </c>
      <c r="Q1126" s="21"/>
      <c r="R1126" s="222"/>
    </row>
    <row r="1127" spans="1:18">
      <c r="B1127" s="41"/>
      <c r="C1127" s="403">
        <f t="shared" si="124"/>
        <v>44925</v>
      </c>
      <c r="D1127" s="94" t="str">
        <f>VLOOKUP(MOD(C1127,7),'CALENDAR INFO'!$G$5:$H$11,2)</f>
        <v>FRI</v>
      </c>
      <c r="E1127" s="165">
        <v>4.33</v>
      </c>
      <c r="F1127" s="336">
        <v>4.3</v>
      </c>
      <c r="G1127" s="411">
        <f t="shared" si="126"/>
        <v>-3.0000000000000249E-2</v>
      </c>
      <c r="H1127" s="115"/>
      <c r="I1127" s="141"/>
      <c r="J1127" s="158"/>
      <c r="K1127" s="126"/>
      <c r="L1127" s="403">
        <f t="shared" si="127"/>
        <v>44925</v>
      </c>
      <c r="M1127" s="94" t="str">
        <f t="shared" si="128"/>
        <v>FRI</v>
      </c>
      <c r="O1127" s="384">
        <v>4</v>
      </c>
      <c r="P1127" s="392">
        <f t="shared" si="130"/>
        <v>1.0004777777777778</v>
      </c>
    </row>
    <row r="1128" spans="1:18" ht="15.75" thickBot="1">
      <c r="A1128" s="81"/>
      <c r="B1128" s="178"/>
      <c r="C1128" s="404">
        <f t="shared" si="124"/>
        <v>44926</v>
      </c>
      <c r="D1128" s="103" t="str">
        <f>VLOOKUP(MOD(C1128,7),'CALENDAR INFO'!$G$5:$H$11,2)</f>
        <v>SAT</v>
      </c>
      <c r="E1128" s="166">
        <v>4.33</v>
      </c>
      <c r="F1128" s="337">
        <v>4.3</v>
      </c>
      <c r="G1128" s="412">
        <f t="shared" si="126"/>
        <v>-3.0000000000000249E-2</v>
      </c>
      <c r="H1128" s="345"/>
      <c r="I1128" s="143"/>
      <c r="J1128" s="162"/>
      <c r="K1128" s="77"/>
      <c r="L1128" s="404">
        <f t="shared" si="127"/>
        <v>44926</v>
      </c>
      <c r="M1128" s="103" t="str">
        <f t="shared" si="128"/>
        <v>SAT</v>
      </c>
      <c r="N1128" s="90"/>
      <c r="O1128" s="383">
        <f>IF(MOD(C1128,7)&lt;2,0,IF(MOD(C1128,7)=6,3,1))</f>
        <v>0</v>
      </c>
      <c r="P1128" s="388">
        <f t="shared" si="130"/>
        <v>1</v>
      </c>
    </row>
    <row r="1129" spans="1:18">
      <c r="B1129" s="41"/>
      <c r="C1129" s="406">
        <f t="shared" si="124"/>
        <v>44927</v>
      </c>
      <c r="D1129" s="86" t="str">
        <f>VLOOKUP(MOD(C1129,7),'CALENDAR INFO'!$G$5:$H$11,2)</f>
        <v>SUN</v>
      </c>
      <c r="E1129" s="165">
        <v>4.33</v>
      </c>
      <c r="F1129" s="336">
        <v>4.3</v>
      </c>
      <c r="G1129" s="411">
        <f t="shared" si="126"/>
        <v>-3.0000000000000249E-2</v>
      </c>
      <c r="H1129" s="15" t="s">
        <v>149</v>
      </c>
      <c r="I1129" s="15">
        <f>ROW(I1129)</f>
        <v>1129</v>
      </c>
      <c r="J1129" s="138">
        <f>I1129</f>
        <v>1129</v>
      </c>
      <c r="K1129" s="88"/>
      <c r="L1129" s="406">
        <f t="shared" si="127"/>
        <v>44927</v>
      </c>
      <c r="M1129" s="86" t="str">
        <f t="shared" si="128"/>
        <v>SUN</v>
      </c>
      <c r="N1129" s="89"/>
      <c r="O1129" s="386">
        <f>IF(MOD(C1129,7)&lt;2,0,IF(MOD(C1129,7)=6,3,1))</f>
        <v>0</v>
      </c>
      <c r="P1129" s="390">
        <f t="shared" si="130"/>
        <v>1</v>
      </c>
    </row>
    <row r="1130" spans="1:18">
      <c r="B1130" s="41"/>
      <c r="C1130" s="403">
        <f t="shared" si="124"/>
        <v>44928</v>
      </c>
      <c r="D1130" s="56" t="str">
        <f>VLOOKUP(MOD(C1130,7),'CALENDAR INFO'!$G$5:$H$11,2)</f>
        <v>MON</v>
      </c>
      <c r="E1130" s="165">
        <v>4.33</v>
      </c>
      <c r="F1130" s="336">
        <v>4.3</v>
      </c>
      <c r="G1130" s="411">
        <f t="shared" si="126"/>
        <v>-3.0000000000000249E-2</v>
      </c>
      <c r="H1130" s="376" t="s">
        <v>210</v>
      </c>
      <c r="I1130" s="15">
        <f>VLOOKUP(MONTH($C1129),'CALENDAR INFO'!$J$5:$K$16,2)</f>
        <v>31</v>
      </c>
      <c r="J1130" s="138">
        <f>I1130</f>
        <v>31</v>
      </c>
      <c r="K1130" s="126"/>
      <c r="L1130" s="403">
        <f t="shared" si="127"/>
        <v>44928</v>
      </c>
      <c r="M1130" s="56" t="str">
        <f t="shared" si="128"/>
        <v>MON</v>
      </c>
      <c r="N1130" s="132" t="s">
        <v>156</v>
      </c>
      <c r="O1130" s="384">
        <v>0</v>
      </c>
      <c r="P1130" s="392">
        <f t="shared" si="130"/>
        <v>1</v>
      </c>
    </row>
    <row r="1131" spans="1:18">
      <c r="B1131" s="41"/>
      <c r="C1131" s="403">
        <f t="shared" si="124"/>
        <v>44929</v>
      </c>
      <c r="D1131" s="56" t="str">
        <f>VLOOKUP(MOD(C1131,7),'CALENDAR INFO'!$G$5:$H$11,2)</f>
        <v>TUE</v>
      </c>
      <c r="E1131" s="165">
        <v>4.33</v>
      </c>
      <c r="F1131" s="336">
        <v>4.3099999999999996</v>
      </c>
      <c r="G1131" s="411">
        <f t="shared" si="126"/>
        <v>-2.0000000000000462E-2</v>
      </c>
      <c r="H1131" s="376" t="s">
        <v>211</v>
      </c>
      <c r="I1131" s="15">
        <f>I1130+I1129-1</f>
        <v>1159</v>
      </c>
      <c r="J1131" s="138">
        <f>I1131</f>
        <v>1159</v>
      </c>
      <c r="K1131" s="126"/>
      <c r="L1131" s="403">
        <f t="shared" si="127"/>
        <v>44929</v>
      </c>
      <c r="M1131" s="56" t="str">
        <f t="shared" si="128"/>
        <v>TUE</v>
      </c>
      <c r="O1131" s="391">
        <f t="shared" ref="O1131:O1140" si="131">IF(MOD(C1131,7)&lt;2,0,IF(MOD(C1131,7)=6,3,1))</f>
        <v>1</v>
      </c>
      <c r="P1131" s="392">
        <f t="shared" si="130"/>
        <v>1.0001197222222222</v>
      </c>
    </row>
    <row r="1132" spans="1:18">
      <c r="B1132" s="41"/>
      <c r="C1132" s="403">
        <f t="shared" si="124"/>
        <v>44930</v>
      </c>
      <c r="D1132" s="56" t="str">
        <f>VLOOKUP(MOD(C1132,7),'CALENDAR INFO'!$G$5:$H$11,2)</f>
        <v>WED</v>
      </c>
      <c r="E1132" s="165">
        <v>4.33</v>
      </c>
      <c r="F1132" s="336">
        <v>4.3</v>
      </c>
      <c r="G1132" s="411">
        <f t="shared" si="126"/>
        <v>-3.0000000000000249E-2</v>
      </c>
      <c r="K1132" s="126"/>
      <c r="L1132" s="403">
        <f t="shared" si="127"/>
        <v>44930</v>
      </c>
      <c r="M1132" s="56" t="str">
        <f t="shared" si="128"/>
        <v>WED</v>
      </c>
      <c r="O1132" s="391">
        <f t="shared" si="131"/>
        <v>1</v>
      </c>
      <c r="P1132" s="392">
        <f t="shared" si="130"/>
        <v>1.0001194444444443</v>
      </c>
    </row>
    <row r="1133" spans="1:18">
      <c r="B1133" s="41"/>
      <c r="C1133" s="403">
        <f t="shared" si="124"/>
        <v>44931</v>
      </c>
      <c r="D1133" s="56" t="str">
        <f>VLOOKUP(MOD(C1133,7),'CALENDAR INFO'!$G$5:$H$11,2)</f>
        <v>THU</v>
      </c>
      <c r="E1133" s="165">
        <v>4.33</v>
      </c>
      <c r="F1133" s="336">
        <v>4.3099999999999996</v>
      </c>
      <c r="G1133" s="411">
        <f t="shared" si="126"/>
        <v>-2.0000000000000462E-2</v>
      </c>
      <c r="H1133" s="15" t="s">
        <v>150</v>
      </c>
      <c r="I1133" s="137" t="str">
        <f>_xlfn.CONCAT(ADDRESS(I1129,5),":",ADDRESS(I1131,5))</f>
        <v>$E$1129:$E$1159</v>
      </c>
      <c r="J1133" s="150" t="str">
        <f>_xlfn.CONCAT(ADDRESS(J1129,6),":",ADDRESS(J1131,6))</f>
        <v>$F$1129:$F$1159</v>
      </c>
      <c r="K1133" s="126"/>
      <c r="L1133" s="403">
        <f t="shared" si="127"/>
        <v>44931</v>
      </c>
      <c r="M1133" s="56" t="str">
        <f t="shared" si="128"/>
        <v>THU</v>
      </c>
      <c r="O1133" s="391">
        <f t="shared" si="131"/>
        <v>1</v>
      </c>
      <c r="P1133" s="392">
        <f t="shared" si="130"/>
        <v>1.0001197222222222</v>
      </c>
    </row>
    <row r="1134" spans="1:18">
      <c r="B1134" s="41"/>
      <c r="C1134" s="403">
        <f t="shared" si="124"/>
        <v>44932</v>
      </c>
      <c r="D1134" s="56" t="str">
        <f>VLOOKUP(MOD(C1134,7),'CALENDAR INFO'!$G$5:$H$11,2)</f>
        <v>FRI</v>
      </c>
      <c r="E1134" s="165">
        <v>4.33</v>
      </c>
      <c r="F1134" s="336">
        <v>4.3099999999999996</v>
      </c>
      <c r="G1134" s="411">
        <f t="shared" si="126"/>
        <v>-2.0000000000000462E-2</v>
      </c>
      <c r="K1134" s="126"/>
      <c r="L1134" s="403">
        <f t="shared" si="127"/>
        <v>44932</v>
      </c>
      <c r="M1134" s="56" t="str">
        <f t="shared" si="128"/>
        <v>FRI</v>
      </c>
      <c r="O1134" s="391">
        <f t="shared" si="131"/>
        <v>3</v>
      </c>
      <c r="P1134" s="392">
        <f t="shared" si="130"/>
        <v>1.0003591666666667</v>
      </c>
    </row>
    <row r="1135" spans="1:18">
      <c r="B1135" s="41"/>
      <c r="C1135" s="403">
        <f t="shared" si="124"/>
        <v>44933</v>
      </c>
      <c r="D1135" s="56" t="str">
        <f>VLOOKUP(MOD(C1135,7),'CALENDAR INFO'!$G$5:$H$11,2)</f>
        <v>SAT</v>
      </c>
      <c r="E1135" s="165">
        <v>4.33</v>
      </c>
      <c r="F1135" s="336">
        <v>4.3099999999999996</v>
      </c>
      <c r="G1135" s="411">
        <f t="shared" si="126"/>
        <v>-2.0000000000000462E-2</v>
      </c>
      <c r="H1135" s="376" t="s">
        <v>221</v>
      </c>
      <c r="I1135" s="147">
        <f ca="1">AVERAGE(INDIRECT(I1133))</f>
        <v>4.33</v>
      </c>
      <c r="J1135" s="326">
        <f ca="1">AVERAGE(INDIRECT(J1133))</f>
        <v>4.3035483870967735</v>
      </c>
      <c r="K1135" s="126"/>
      <c r="L1135" s="403">
        <f t="shared" si="127"/>
        <v>44933</v>
      </c>
      <c r="M1135" s="56" t="str">
        <f t="shared" si="128"/>
        <v>SAT</v>
      </c>
      <c r="O1135" s="391">
        <f t="shared" si="131"/>
        <v>0</v>
      </c>
      <c r="P1135" s="392">
        <f t="shared" si="130"/>
        <v>1</v>
      </c>
    </row>
    <row r="1136" spans="1:18">
      <c r="B1136" s="41"/>
      <c r="C1136" s="403">
        <f t="shared" si="124"/>
        <v>44934</v>
      </c>
      <c r="D1136" s="56" t="str">
        <f>VLOOKUP(MOD(C1136,7),'CALENDAR INFO'!$G$5:$H$11,2)</f>
        <v>SUN</v>
      </c>
      <c r="E1136" s="165">
        <v>4.33</v>
      </c>
      <c r="F1136" s="336">
        <v>4.3099999999999996</v>
      </c>
      <c r="G1136" s="411">
        <f t="shared" si="126"/>
        <v>-2.0000000000000462E-2</v>
      </c>
      <c r="I1136" s="240"/>
      <c r="J1136" s="157"/>
      <c r="K1136" s="126"/>
      <c r="L1136" s="403">
        <f t="shared" si="127"/>
        <v>44934</v>
      </c>
      <c r="M1136" s="56" t="str">
        <f t="shared" si="128"/>
        <v>SUN</v>
      </c>
      <c r="O1136" s="391">
        <f t="shared" si="131"/>
        <v>0</v>
      </c>
      <c r="P1136" s="392">
        <f t="shared" si="130"/>
        <v>1</v>
      </c>
    </row>
    <row r="1137" spans="2:16">
      <c r="B1137" s="41"/>
      <c r="C1137" s="403">
        <f t="shared" si="124"/>
        <v>44935</v>
      </c>
      <c r="D1137" s="56" t="str">
        <f>VLOOKUP(MOD(C1137,7),'CALENDAR INFO'!$G$5:$H$11,2)</f>
        <v>MON</v>
      </c>
      <c r="E1137" s="165">
        <v>4.33</v>
      </c>
      <c r="F1137" s="336">
        <v>4.3099999999999996</v>
      </c>
      <c r="G1137" s="411">
        <f t="shared" si="126"/>
        <v>-2.0000000000000462E-2</v>
      </c>
      <c r="H1137" s="15" t="s">
        <v>222</v>
      </c>
      <c r="I1137" s="147">
        <f ca="1">100-I1135</f>
        <v>95.67</v>
      </c>
      <c r="J1137" s="326">
        <f ca="1">100-J1135</f>
        <v>95.696451612903232</v>
      </c>
      <c r="K1137" s="126"/>
      <c r="L1137" s="403">
        <f t="shared" si="127"/>
        <v>44935</v>
      </c>
      <c r="M1137" s="56" t="str">
        <f t="shared" si="128"/>
        <v>MON</v>
      </c>
      <c r="O1137" s="391">
        <f t="shared" si="131"/>
        <v>1</v>
      </c>
      <c r="P1137" s="392">
        <f t="shared" si="130"/>
        <v>1.0001197222222222</v>
      </c>
    </row>
    <row r="1138" spans="2:16">
      <c r="B1138" s="41"/>
      <c r="C1138" s="403">
        <f t="shared" si="124"/>
        <v>44936</v>
      </c>
      <c r="D1138" s="56" t="str">
        <f>VLOOKUP(MOD(C1138,7),'CALENDAR INFO'!$G$5:$H$11,2)</f>
        <v>TUE</v>
      </c>
      <c r="E1138" s="165">
        <v>4.33</v>
      </c>
      <c r="F1138" s="336">
        <v>4.3099999999999996</v>
      </c>
      <c r="G1138" s="411">
        <f t="shared" si="126"/>
        <v>-2.0000000000000462E-2</v>
      </c>
      <c r="I1138" s="137"/>
      <c r="J1138" s="150"/>
      <c r="K1138" s="126"/>
      <c r="L1138" s="403">
        <f t="shared" si="127"/>
        <v>44936</v>
      </c>
      <c r="M1138" s="56" t="str">
        <f t="shared" si="128"/>
        <v>TUE</v>
      </c>
      <c r="O1138" s="391">
        <f t="shared" si="131"/>
        <v>1</v>
      </c>
      <c r="P1138" s="392">
        <f t="shared" si="130"/>
        <v>1.0001197222222222</v>
      </c>
    </row>
    <row r="1139" spans="2:16">
      <c r="B1139" s="41"/>
      <c r="C1139" s="403">
        <f t="shared" si="124"/>
        <v>44937</v>
      </c>
      <c r="D1139" s="56" t="str">
        <f>VLOOKUP(MOD(C1139,7),'CALENDAR INFO'!$G$5:$H$11,2)</f>
        <v>WED</v>
      </c>
      <c r="E1139" s="165">
        <v>4.33</v>
      </c>
      <c r="F1139" s="336">
        <v>4.3</v>
      </c>
      <c r="G1139" s="411">
        <f t="shared" si="126"/>
        <v>-3.0000000000000249E-2</v>
      </c>
      <c r="H1139" s="136"/>
      <c r="I1139" s="139"/>
      <c r="J1139" s="151"/>
      <c r="K1139" s="126" t="s">
        <v>19</v>
      </c>
      <c r="L1139" s="403">
        <f t="shared" si="127"/>
        <v>44937</v>
      </c>
      <c r="M1139" s="56" t="str">
        <f t="shared" si="128"/>
        <v>WED</v>
      </c>
      <c r="O1139" s="391">
        <f t="shared" si="131"/>
        <v>1</v>
      </c>
      <c r="P1139" s="392">
        <f t="shared" si="130"/>
        <v>1.0001194444444443</v>
      </c>
    </row>
    <row r="1140" spans="2:16">
      <c r="B1140" s="41"/>
      <c r="C1140" s="403">
        <f t="shared" si="124"/>
        <v>44938</v>
      </c>
      <c r="D1140" s="56" t="str">
        <f>VLOOKUP(MOD(C1140,7),'CALENDAR INFO'!$G$5:$H$11,2)</f>
        <v>THU</v>
      </c>
      <c r="E1140" s="165">
        <v>4.33</v>
      </c>
      <c r="F1140" s="336">
        <v>4.3</v>
      </c>
      <c r="G1140" s="411">
        <f t="shared" si="126"/>
        <v>-3.0000000000000249E-2</v>
      </c>
      <c r="H1140" s="136"/>
      <c r="I1140" s="139"/>
      <c r="J1140" s="151"/>
      <c r="K1140" s="129" t="s">
        <v>18</v>
      </c>
      <c r="L1140" s="403">
        <f t="shared" si="127"/>
        <v>44938</v>
      </c>
      <c r="M1140" s="56" t="str">
        <f t="shared" si="128"/>
        <v>THU</v>
      </c>
      <c r="O1140" s="391">
        <f t="shared" si="131"/>
        <v>1</v>
      </c>
      <c r="P1140" s="392">
        <f t="shared" si="130"/>
        <v>1.0001194444444443</v>
      </c>
    </row>
    <row r="1141" spans="2:16">
      <c r="B1141" s="41"/>
      <c r="C1141" s="403">
        <f t="shared" ref="C1141:C1204" si="132">C1140+1</f>
        <v>44939</v>
      </c>
      <c r="D1141" s="56" t="str">
        <f>VLOOKUP(MOD(C1141,7),'CALENDAR INFO'!$G$5:$H$11,2)</f>
        <v>FRI</v>
      </c>
      <c r="E1141" s="165">
        <v>4.33</v>
      </c>
      <c r="F1141" s="336">
        <v>4.3</v>
      </c>
      <c r="G1141" s="411">
        <f t="shared" si="126"/>
        <v>-3.0000000000000249E-2</v>
      </c>
      <c r="H1141" s="136"/>
      <c r="I1141" s="139"/>
      <c r="J1141" s="151"/>
      <c r="K1141" s="129"/>
      <c r="L1141" s="403">
        <f t="shared" si="127"/>
        <v>44939</v>
      </c>
      <c r="M1141" s="56" t="str">
        <f t="shared" si="128"/>
        <v>FRI</v>
      </c>
      <c r="O1141" s="384">
        <v>4</v>
      </c>
      <c r="P1141" s="392">
        <f t="shared" si="130"/>
        <v>1.0004777777777778</v>
      </c>
    </row>
    <row r="1142" spans="2:16">
      <c r="B1142" s="41"/>
      <c r="C1142" s="403">
        <f t="shared" si="132"/>
        <v>44940</v>
      </c>
      <c r="D1142" s="56" t="str">
        <f>VLOOKUP(MOD(C1142,7),'CALENDAR INFO'!$G$5:$H$11,2)</f>
        <v>SAT</v>
      </c>
      <c r="E1142" s="165">
        <v>4.33</v>
      </c>
      <c r="F1142" s="336">
        <v>4.3</v>
      </c>
      <c r="G1142" s="411">
        <f t="shared" si="126"/>
        <v>-3.0000000000000249E-2</v>
      </c>
      <c r="K1142" s="129"/>
      <c r="L1142" s="403">
        <f t="shared" si="127"/>
        <v>44940</v>
      </c>
      <c r="M1142" s="56" t="str">
        <f t="shared" si="128"/>
        <v>SAT</v>
      </c>
      <c r="O1142" s="391">
        <f>IF(MOD(C1142,7)&lt;2,0,IF(MOD(C1142,7)=6,3,1))</f>
        <v>0</v>
      </c>
      <c r="P1142" s="392">
        <f t="shared" si="130"/>
        <v>1</v>
      </c>
    </row>
    <row r="1143" spans="2:16">
      <c r="B1143" s="41"/>
      <c r="C1143" s="403">
        <f t="shared" si="132"/>
        <v>44941</v>
      </c>
      <c r="D1143" s="56" t="str">
        <f>VLOOKUP(MOD(C1143,7),'CALENDAR INFO'!$G$5:$H$11,2)</f>
        <v>SUN</v>
      </c>
      <c r="E1143" s="165">
        <v>4.33</v>
      </c>
      <c r="F1143" s="336">
        <v>4.3</v>
      </c>
      <c r="G1143" s="411">
        <f t="shared" si="126"/>
        <v>-3.0000000000000249E-2</v>
      </c>
      <c r="H1143" s="135"/>
      <c r="I1143" s="144"/>
      <c r="J1143" s="152"/>
      <c r="K1143" s="129"/>
      <c r="L1143" s="403">
        <f t="shared" si="127"/>
        <v>44941</v>
      </c>
      <c r="M1143" s="56" t="str">
        <f t="shared" si="128"/>
        <v>SUN</v>
      </c>
      <c r="O1143" s="391">
        <f>IF(MOD(C1143,7)&lt;2,0,IF(MOD(C1143,7)=6,3,1))</f>
        <v>0</v>
      </c>
      <c r="P1143" s="392">
        <f t="shared" si="130"/>
        <v>1</v>
      </c>
    </row>
    <row r="1144" spans="2:16">
      <c r="B1144" s="41"/>
      <c r="C1144" s="403">
        <f t="shared" si="132"/>
        <v>44942</v>
      </c>
      <c r="D1144" s="56" t="str">
        <f>VLOOKUP(MOD(C1144,7),'CALENDAR INFO'!$G$5:$H$11,2)</f>
        <v>MON</v>
      </c>
      <c r="E1144" s="165">
        <v>4.33</v>
      </c>
      <c r="F1144" s="336">
        <v>4.3</v>
      </c>
      <c r="G1144" s="411">
        <f t="shared" si="126"/>
        <v>-3.0000000000000249E-2</v>
      </c>
      <c r="K1144" s="129"/>
      <c r="L1144" s="403">
        <f t="shared" si="127"/>
        <v>44942</v>
      </c>
      <c r="M1144" s="56" t="str">
        <f t="shared" si="128"/>
        <v>MON</v>
      </c>
      <c r="N1144" s="132" t="s">
        <v>102</v>
      </c>
      <c r="O1144" s="384">
        <v>0</v>
      </c>
      <c r="P1144" s="392">
        <f t="shared" si="130"/>
        <v>1</v>
      </c>
    </row>
    <row r="1145" spans="2:16">
      <c r="B1145" s="41"/>
      <c r="C1145" s="403">
        <f t="shared" si="132"/>
        <v>44943</v>
      </c>
      <c r="D1145" s="56" t="str">
        <f>VLOOKUP(MOD(C1145,7),'CALENDAR INFO'!$G$5:$H$11,2)</f>
        <v>TUE</v>
      </c>
      <c r="E1145" s="165">
        <v>4.33</v>
      </c>
      <c r="F1145" s="336">
        <v>4.3099999999999996</v>
      </c>
      <c r="G1145" s="411">
        <f t="shared" si="126"/>
        <v>-2.0000000000000462E-2</v>
      </c>
      <c r="K1145" s="129"/>
      <c r="L1145" s="403">
        <f t="shared" si="127"/>
        <v>44943</v>
      </c>
      <c r="M1145" s="56" t="str">
        <f t="shared" si="128"/>
        <v>TUE</v>
      </c>
      <c r="O1145" s="391">
        <f t="shared" ref="O1145:O1175" si="133">IF(MOD(C1145,7)&lt;2,0,IF(MOD(C1145,7)=6,3,1))</f>
        <v>1</v>
      </c>
      <c r="P1145" s="392">
        <f t="shared" si="130"/>
        <v>1.0001197222222222</v>
      </c>
    </row>
    <row r="1146" spans="2:16">
      <c r="B1146" s="41"/>
      <c r="C1146" s="403">
        <f t="shared" si="132"/>
        <v>44944</v>
      </c>
      <c r="D1146" s="56" t="str">
        <f>VLOOKUP(MOD(C1146,7),'CALENDAR INFO'!$G$5:$H$11,2)</f>
        <v>WED</v>
      </c>
      <c r="E1146" s="165">
        <v>4.33</v>
      </c>
      <c r="F1146" s="336">
        <v>4.3</v>
      </c>
      <c r="G1146" s="411">
        <f t="shared" si="126"/>
        <v>-3.0000000000000249E-2</v>
      </c>
      <c r="K1146" s="129"/>
      <c r="L1146" s="403">
        <f t="shared" si="127"/>
        <v>44944</v>
      </c>
      <c r="M1146" s="56" t="str">
        <f t="shared" si="128"/>
        <v>WED</v>
      </c>
      <c r="O1146" s="391">
        <f t="shared" si="133"/>
        <v>1</v>
      </c>
      <c r="P1146" s="392">
        <f t="shared" si="130"/>
        <v>1.0001194444444443</v>
      </c>
    </row>
    <row r="1147" spans="2:16">
      <c r="B1147" s="41"/>
      <c r="C1147" s="403">
        <f t="shared" si="132"/>
        <v>44945</v>
      </c>
      <c r="D1147" s="56" t="str">
        <f>VLOOKUP(MOD(C1147,7),'CALENDAR INFO'!$G$5:$H$11,2)</f>
        <v>THU</v>
      </c>
      <c r="E1147" s="165">
        <v>4.33</v>
      </c>
      <c r="F1147" s="336">
        <v>4.3099999999999996</v>
      </c>
      <c r="G1147" s="411">
        <f t="shared" si="126"/>
        <v>-2.0000000000000462E-2</v>
      </c>
      <c r="K1147" s="129"/>
      <c r="L1147" s="403">
        <f t="shared" si="127"/>
        <v>44945</v>
      </c>
      <c r="M1147" s="56" t="str">
        <f t="shared" si="128"/>
        <v>THU</v>
      </c>
      <c r="O1147" s="391">
        <f t="shared" si="133"/>
        <v>1</v>
      </c>
      <c r="P1147" s="392">
        <f t="shared" si="130"/>
        <v>1.0001197222222222</v>
      </c>
    </row>
    <row r="1148" spans="2:16">
      <c r="B1148" s="41"/>
      <c r="C1148" s="403">
        <f t="shared" si="132"/>
        <v>44946</v>
      </c>
      <c r="D1148" s="56" t="str">
        <f>VLOOKUP(MOD(C1148,7),'CALENDAR INFO'!$G$5:$H$11,2)</f>
        <v>FRI</v>
      </c>
      <c r="E1148" s="165">
        <v>4.33</v>
      </c>
      <c r="F1148" s="336">
        <v>4.3</v>
      </c>
      <c r="G1148" s="411">
        <f t="shared" si="126"/>
        <v>-3.0000000000000249E-2</v>
      </c>
      <c r="K1148" s="129"/>
      <c r="L1148" s="403">
        <f t="shared" si="127"/>
        <v>44946</v>
      </c>
      <c r="M1148" s="56" t="str">
        <f t="shared" si="128"/>
        <v>FRI</v>
      </c>
      <c r="O1148" s="391">
        <f t="shared" si="133"/>
        <v>3</v>
      </c>
      <c r="P1148" s="392">
        <f t="shared" si="130"/>
        <v>1.0003583333333332</v>
      </c>
    </row>
    <row r="1149" spans="2:16">
      <c r="B1149" s="41"/>
      <c r="C1149" s="403">
        <f t="shared" si="132"/>
        <v>44947</v>
      </c>
      <c r="D1149" s="56" t="str">
        <f>VLOOKUP(MOD(C1149,7),'CALENDAR INFO'!$G$5:$H$11,2)</f>
        <v>SAT</v>
      </c>
      <c r="E1149" s="165">
        <v>4.33</v>
      </c>
      <c r="F1149" s="336">
        <v>4.3</v>
      </c>
      <c r="G1149" s="411">
        <f t="shared" si="126"/>
        <v>-3.0000000000000249E-2</v>
      </c>
      <c r="K1149" s="129"/>
      <c r="L1149" s="403">
        <f t="shared" si="127"/>
        <v>44947</v>
      </c>
      <c r="M1149" s="56" t="str">
        <f t="shared" si="128"/>
        <v>SAT</v>
      </c>
      <c r="O1149" s="391">
        <f t="shared" si="133"/>
        <v>0</v>
      </c>
      <c r="P1149" s="392">
        <f t="shared" si="130"/>
        <v>1</v>
      </c>
    </row>
    <row r="1150" spans="2:16">
      <c r="B1150" s="41"/>
      <c r="C1150" s="403">
        <f t="shared" si="132"/>
        <v>44948</v>
      </c>
      <c r="D1150" s="56" t="str">
        <f>VLOOKUP(MOD(C1150,7),'CALENDAR INFO'!$G$5:$H$11,2)</f>
        <v>SUN</v>
      </c>
      <c r="E1150" s="165">
        <v>4.33</v>
      </c>
      <c r="F1150" s="336">
        <v>4.3</v>
      </c>
      <c r="G1150" s="411">
        <f t="shared" si="126"/>
        <v>-3.0000000000000249E-2</v>
      </c>
      <c r="K1150" s="129"/>
      <c r="L1150" s="403">
        <f t="shared" si="127"/>
        <v>44948</v>
      </c>
      <c r="M1150" s="56" t="str">
        <f t="shared" si="128"/>
        <v>SUN</v>
      </c>
      <c r="O1150" s="391">
        <f t="shared" si="133"/>
        <v>0</v>
      </c>
      <c r="P1150" s="392">
        <f t="shared" si="130"/>
        <v>1</v>
      </c>
    </row>
    <row r="1151" spans="2:16">
      <c r="B1151" s="41"/>
      <c r="C1151" s="403">
        <f t="shared" si="132"/>
        <v>44949</v>
      </c>
      <c r="D1151" s="56" t="str">
        <f>VLOOKUP(MOD(C1151,7),'CALENDAR INFO'!$G$5:$H$11,2)</f>
        <v>MON</v>
      </c>
      <c r="E1151" s="165">
        <v>4.33</v>
      </c>
      <c r="F1151" s="336">
        <v>4.3</v>
      </c>
      <c r="G1151" s="411">
        <f t="shared" si="126"/>
        <v>-3.0000000000000249E-2</v>
      </c>
      <c r="K1151" s="129"/>
      <c r="L1151" s="403">
        <f t="shared" si="127"/>
        <v>44949</v>
      </c>
      <c r="M1151" s="56" t="str">
        <f t="shared" si="128"/>
        <v>MON</v>
      </c>
      <c r="O1151" s="391">
        <f t="shared" si="133"/>
        <v>1</v>
      </c>
      <c r="P1151" s="392">
        <f t="shared" si="130"/>
        <v>1.0001194444444443</v>
      </c>
    </row>
    <row r="1152" spans="2:16">
      <c r="B1152" s="41"/>
      <c r="C1152" s="403">
        <f t="shared" si="132"/>
        <v>44950</v>
      </c>
      <c r="D1152" s="56" t="str">
        <f>VLOOKUP(MOD(C1152,7),'CALENDAR INFO'!$G$5:$H$11,2)</f>
        <v>TUE</v>
      </c>
      <c r="E1152" s="165">
        <v>4.33</v>
      </c>
      <c r="F1152" s="336">
        <v>4.3</v>
      </c>
      <c r="G1152" s="411">
        <f t="shared" si="126"/>
        <v>-3.0000000000000249E-2</v>
      </c>
      <c r="K1152" s="129"/>
      <c r="L1152" s="403">
        <f t="shared" si="127"/>
        <v>44950</v>
      </c>
      <c r="M1152" s="56" t="str">
        <f t="shared" si="128"/>
        <v>TUE</v>
      </c>
      <c r="O1152" s="391">
        <f t="shared" si="133"/>
        <v>1</v>
      </c>
      <c r="P1152" s="392">
        <f t="shared" si="130"/>
        <v>1.0001194444444443</v>
      </c>
    </row>
    <row r="1153" spans="1:18">
      <c r="B1153" s="41"/>
      <c r="C1153" s="403">
        <f t="shared" si="132"/>
        <v>44951</v>
      </c>
      <c r="D1153" s="56" t="str">
        <f>VLOOKUP(MOD(C1153,7),'CALENDAR INFO'!$G$5:$H$11,2)</f>
        <v>WED</v>
      </c>
      <c r="E1153" s="165">
        <v>4.33</v>
      </c>
      <c r="F1153" s="336">
        <v>4.3099999999999996</v>
      </c>
      <c r="G1153" s="411">
        <f t="shared" si="126"/>
        <v>-2.0000000000000462E-2</v>
      </c>
      <c r="K1153" s="129" t="s">
        <v>19</v>
      </c>
      <c r="L1153" s="403">
        <f t="shared" si="127"/>
        <v>44951</v>
      </c>
      <c r="M1153" s="56" t="str">
        <f t="shared" si="128"/>
        <v>WED</v>
      </c>
      <c r="O1153" s="391">
        <f t="shared" si="133"/>
        <v>1</v>
      </c>
      <c r="P1153" s="392">
        <f t="shared" si="130"/>
        <v>1.0001197222222222</v>
      </c>
    </row>
    <row r="1154" spans="1:18">
      <c r="B1154" s="41"/>
      <c r="C1154" s="403">
        <f t="shared" si="132"/>
        <v>44952</v>
      </c>
      <c r="D1154" s="56" t="str">
        <f>VLOOKUP(MOD(C1154,7),'CALENDAR INFO'!$G$5:$H$11,2)</f>
        <v>THU</v>
      </c>
      <c r="E1154" s="165">
        <v>4.33</v>
      </c>
      <c r="F1154" s="336">
        <v>4.3</v>
      </c>
      <c r="G1154" s="411">
        <f t="shared" si="126"/>
        <v>-3.0000000000000249E-2</v>
      </c>
      <c r="K1154" s="126" t="s">
        <v>18</v>
      </c>
      <c r="L1154" s="403">
        <f t="shared" si="127"/>
        <v>44952</v>
      </c>
      <c r="M1154" s="56" t="str">
        <f t="shared" si="128"/>
        <v>THU</v>
      </c>
      <c r="O1154" s="391">
        <f t="shared" si="133"/>
        <v>1</v>
      </c>
      <c r="P1154" s="392">
        <f t="shared" si="130"/>
        <v>1.0001194444444443</v>
      </c>
    </row>
    <row r="1155" spans="1:18">
      <c r="B1155" s="41"/>
      <c r="C1155" s="403">
        <f t="shared" si="132"/>
        <v>44953</v>
      </c>
      <c r="D1155" s="56" t="str">
        <f>VLOOKUP(MOD(C1155,7),'CALENDAR INFO'!$G$5:$H$11,2)</f>
        <v>FRI</v>
      </c>
      <c r="E1155" s="165">
        <v>4.33</v>
      </c>
      <c r="F1155" s="336">
        <v>4.3</v>
      </c>
      <c r="G1155" s="411">
        <f t="shared" ref="G1155:G1218" si="134">F1155-E1155</f>
        <v>-3.0000000000000249E-2</v>
      </c>
      <c r="I1155" s="137"/>
      <c r="K1155" s="126"/>
      <c r="L1155" s="403">
        <f t="shared" ref="L1155:L1218" si="135">C1155</f>
        <v>44953</v>
      </c>
      <c r="M1155" s="56" t="str">
        <f t="shared" ref="M1155:M1218" si="136">D1155</f>
        <v>FRI</v>
      </c>
      <c r="O1155" s="391">
        <f t="shared" si="133"/>
        <v>3</v>
      </c>
      <c r="P1155" s="392">
        <f t="shared" si="130"/>
        <v>1.0003583333333332</v>
      </c>
      <c r="Q1155" s="21"/>
      <c r="R1155" s="221"/>
    </row>
    <row r="1156" spans="1:18">
      <c r="B1156" s="41"/>
      <c r="C1156" s="403">
        <f t="shared" si="132"/>
        <v>44954</v>
      </c>
      <c r="D1156" s="56" t="str">
        <f>VLOOKUP(MOD(C1156,7),'CALENDAR INFO'!$G$5:$H$11,2)</f>
        <v>SAT</v>
      </c>
      <c r="E1156" s="165">
        <v>4.33</v>
      </c>
      <c r="F1156" s="336">
        <v>4.3</v>
      </c>
      <c r="G1156" s="411">
        <f t="shared" si="134"/>
        <v>-3.0000000000000249E-2</v>
      </c>
      <c r="H1156" s="115"/>
      <c r="I1156" s="141"/>
      <c r="J1156" s="158"/>
      <c r="K1156" s="126"/>
      <c r="L1156" s="403">
        <f t="shared" si="135"/>
        <v>44954</v>
      </c>
      <c r="M1156" s="56" t="str">
        <f t="shared" si="136"/>
        <v>SAT</v>
      </c>
      <c r="O1156" s="391">
        <f t="shared" si="133"/>
        <v>0</v>
      </c>
      <c r="P1156" s="392">
        <f t="shared" si="130"/>
        <v>1</v>
      </c>
      <c r="Q1156" s="21"/>
      <c r="R1156" s="222"/>
    </row>
    <row r="1157" spans="1:18">
      <c r="B1157" s="41"/>
      <c r="C1157" s="403">
        <f t="shared" si="132"/>
        <v>44955</v>
      </c>
      <c r="D1157" s="56" t="str">
        <f>VLOOKUP(MOD(C1157,7),'CALENDAR INFO'!$G$5:$H$11,2)</f>
        <v>SUN</v>
      </c>
      <c r="E1157" s="165">
        <v>4.33</v>
      </c>
      <c r="F1157" s="336">
        <v>4.3</v>
      </c>
      <c r="G1157" s="411">
        <f t="shared" si="134"/>
        <v>-3.0000000000000249E-2</v>
      </c>
      <c r="H1157" s="115"/>
      <c r="I1157" s="148"/>
      <c r="J1157" s="160"/>
      <c r="K1157" s="126"/>
      <c r="L1157" s="403">
        <f t="shared" si="135"/>
        <v>44955</v>
      </c>
      <c r="M1157" s="56" t="str">
        <f t="shared" si="136"/>
        <v>SUN</v>
      </c>
      <c r="O1157" s="391">
        <f t="shared" si="133"/>
        <v>0</v>
      </c>
      <c r="P1157" s="392">
        <f t="shared" si="130"/>
        <v>1</v>
      </c>
      <c r="Q1157" s="21"/>
      <c r="R1157" s="222"/>
    </row>
    <row r="1158" spans="1:18">
      <c r="B1158" s="41"/>
      <c r="C1158" s="403">
        <f t="shared" si="132"/>
        <v>44956</v>
      </c>
      <c r="D1158" s="56" t="str">
        <f>VLOOKUP(MOD(C1158,7),'CALENDAR INFO'!$G$5:$H$11,2)</f>
        <v>MON</v>
      </c>
      <c r="E1158" s="165">
        <v>4.33</v>
      </c>
      <c r="F1158" s="336">
        <v>4.3</v>
      </c>
      <c r="G1158" s="411">
        <f t="shared" si="134"/>
        <v>-3.0000000000000249E-2</v>
      </c>
      <c r="H1158" s="115"/>
      <c r="I1158" s="141"/>
      <c r="J1158" s="158"/>
      <c r="K1158" s="126"/>
      <c r="L1158" s="403">
        <f t="shared" si="135"/>
        <v>44956</v>
      </c>
      <c r="M1158" s="56" t="str">
        <f t="shared" si="136"/>
        <v>MON</v>
      </c>
      <c r="O1158" s="391">
        <f t="shared" si="133"/>
        <v>1</v>
      </c>
      <c r="P1158" s="392">
        <f t="shared" si="130"/>
        <v>1.0001194444444443</v>
      </c>
    </row>
    <row r="1159" spans="1:18" ht="15.75" thickBot="1">
      <c r="A1159" s="81"/>
      <c r="B1159" s="178"/>
      <c r="C1159" s="404">
        <f t="shared" si="132"/>
        <v>44957</v>
      </c>
      <c r="D1159" s="64" t="str">
        <f>VLOOKUP(MOD(C1159,7),'CALENDAR INFO'!$G$5:$H$11,2)</f>
        <v>TUE</v>
      </c>
      <c r="E1159" s="166">
        <v>4.33</v>
      </c>
      <c r="F1159" s="337">
        <v>4.3099999999999996</v>
      </c>
      <c r="G1159" s="412">
        <f t="shared" si="134"/>
        <v>-2.0000000000000462E-2</v>
      </c>
      <c r="H1159" s="345"/>
      <c r="I1159" s="149"/>
      <c r="J1159" s="161"/>
      <c r="K1159" s="77"/>
      <c r="L1159" s="404">
        <f t="shared" si="135"/>
        <v>44957</v>
      </c>
      <c r="M1159" s="64" t="str">
        <f t="shared" si="136"/>
        <v>TUE</v>
      </c>
      <c r="N1159" s="192" t="s">
        <v>20</v>
      </c>
      <c r="O1159" s="383">
        <f t="shared" si="133"/>
        <v>1</v>
      </c>
      <c r="P1159" s="388">
        <f t="shared" si="130"/>
        <v>1.0001197222222222</v>
      </c>
    </row>
    <row r="1160" spans="1:18">
      <c r="B1160" s="41"/>
      <c r="C1160" s="403">
        <f t="shared" si="132"/>
        <v>44958</v>
      </c>
      <c r="D1160" s="56" t="str">
        <f>VLOOKUP(MOD(C1160,7),'CALENDAR INFO'!$G$5:$H$11,2)</f>
        <v>WED</v>
      </c>
      <c r="E1160" s="165">
        <v>4.33</v>
      </c>
      <c r="F1160" s="336">
        <v>4.3099999999999996</v>
      </c>
      <c r="G1160" s="411">
        <f t="shared" si="134"/>
        <v>-2.0000000000000462E-2</v>
      </c>
      <c r="H1160" s="15" t="s">
        <v>149</v>
      </c>
      <c r="I1160" s="15">
        <f>ROW(I1160)</f>
        <v>1160</v>
      </c>
      <c r="J1160" s="138">
        <f>I1160</f>
        <v>1160</v>
      </c>
      <c r="K1160" s="126"/>
      <c r="L1160" s="403">
        <f t="shared" si="135"/>
        <v>44958</v>
      </c>
      <c r="M1160" s="56" t="str">
        <f t="shared" si="136"/>
        <v>WED</v>
      </c>
      <c r="N1160" s="191" t="s">
        <v>20</v>
      </c>
      <c r="O1160" s="386">
        <f t="shared" si="133"/>
        <v>1</v>
      </c>
      <c r="P1160" s="390">
        <f t="shared" si="130"/>
        <v>1.0001197222222222</v>
      </c>
    </row>
    <row r="1161" spans="1:18">
      <c r="B1161" s="41"/>
      <c r="C1161" s="403">
        <f t="shared" si="132"/>
        <v>44959</v>
      </c>
      <c r="D1161" s="56" t="str">
        <f>VLOOKUP(MOD(C1161,7),'CALENDAR INFO'!$G$5:$H$11,2)</f>
        <v>THU</v>
      </c>
      <c r="E1161" s="165">
        <v>4.58</v>
      </c>
      <c r="F1161" s="336">
        <v>4.5599999999999996</v>
      </c>
      <c r="G1161" s="411">
        <f t="shared" si="134"/>
        <v>-2.0000000000000462E-2</v>
      </c>
      <c r="H1161" s="376" t="s">
        <v>210</v>
      </c>
      <c r="I1161" s="15">
        <f>VLOOKUP(MONTH($C1160),'CALENDAR INFO'!$J$5:$K$16,2)</f>
        <v>28</v>
      </c>
      <c r="J1161" s="138">
        <f>I1161</f>
        <v>28</v>
      </c>
      <c r="K1161" s="126"/>
      <c r="L1161" s="403">
        <f t="shared" si="135"/>
        <v>44959</v>
      </c>
      <c r="M1161" s="56" t="str">
        <f t="shared" si="136"/>
        <v>THU</v>
      </c>
      <c r="O1161" s="391">
        <f t="shared" si="133"/>
        <v>1</v>
      </c>
      <c r="P1161" s="392">
        <f t="shared" si="130"/>
        <v>1.0001266666666666</v>
      </c>
    </row>
    <row r="1162" spans="1:18">
      <c r="B1162" s="41"/>
      <c r="C1162" s="403">
        <f t="shared" si="132"/>
        <v>44960</v>
      </c>
      <c r="D1162" s="56" t="str">
        <f>VLOOKUP(MOD(C1162,7),'CALENDAR INFO'!$G$5:$H$11,2)</f>
        <v>FRI</v>
      </c>
      <c r="E1162" s="165">
        <v>4.58</v>
      </c>
      <c r="F1162" s="336">
        <v>4.55</v>
      </c>
      <c r="G1162" s="411">
        <f t="shared" si="134"/>
        <v>-3.0000000000000249E-2</v>
      </c>
      <c r="H1162" s="376" t="s">
        <v>211</v>
      </c>
      <c r="I1162" s="15">
        <f>I1161+I1160-1</f>
        <v>1187</v>
      </c>
      <c r="J1162" s="138">
        <f>I1162</f>
        <v>1187</v>
      </c>
      <c r="K1162" s="126"/>
      <c r="L1162" s="403">
        <f t="shared" si="135"/>
        <v>44960</v>
      </c>
      <c r="M1162" s="56" t="str">
        <f t="shared" si="136"/>
        <v>FRI</v>
      </c>
      <c r="O1162" s="391">
        <f t="shared" si="133"/>
        <v>3</v>
      </c>
      <c r="P1162" s="392">
        <f t="shared" si="130"/>
        <v>1.0003791666666666</v>
      </c>
    </row>
    <row r="1163" spans="1:18">
      <c r="B1163" s="41"/>
      <c r="C1163" s="403">
        <f t="shared" si="132"/>
        <v>44961</v>
      </c>
      <c r="D1163" s="56" t="str">
        <f>VLOOKUP(MOD(C1163,7),'CALENDAR INFO'!$G$5:$H$11,2)</f>
        <v>SAT</v>
      </c>
      <c r="E1163" s="165">
        <v>4.58</v>
      </c>
      <c r="F1163" s="336">
        <v>4.55</v>
      </c>
      <c r="G1163" s="411">
        <f t="shared" si="134"/>
        <v>-3.0000000000000249E-2</v>
      </c>
      <c r="K1163" s="126"/>
      <c r="L1163" s="403">
        <f t="shared" si="135"/>
        <v>44961</v>
      </c>
      <c r="M1163" s="56" t="str">
        <f t="shared" si="136"/>
        <v>SAT</v>
      </c>
      <c r="O1163" s="391">
        <f t="shared" si="133"/>
        <v>0</v>
      </c>
      <c r="P1163" s="392">
        <f t="shared" si="130"/>
        <v>1</v>
      </c>
    </row>
    <row r="1164" spans="1:18">
      <c r="B1164" s="41"/>
      <c r="C1164" s="403">
        <f t="shared" si="132"/>
        <v>44962</v>
      </c>
      <c r="D1164" s="56" t="str">
        <f>VLOOKUP(MOD(C1164,7),'CALENDAR INFO'!$G$5:$H$11,2)</f>
        <v>SUN</v>
      </c>
      <c r="E1164" s="165">
        <v>4.58</v>
      </c>
      <c r="F1164" s="336">
        <v>4.55</v>
      </c>
      <c r="G1164" s="411">
        <f t="shared" si="134"/>
        <v>-3.0000000000000249E-2</v>
      </c>
      <c r="H1164" s="15" t="s">
        <v>150</v>
      </c>
      <c r="I1164" s="137" t="str">
        <f>_xlfn.CONCAT(ADDRESS(I1160,5),":",ADDRESS(I1162,5))</f>
        <v>$E$1160:$E$1187</v>
      </c>
      <c r="J1164" s="150" t="str">
        <f>_xlfn.CONCAT(ADDRESS(J1160,6),":",ADDRESS(J1162,6))</f>
        <v>$F$1160:$F$1187</v>
      </c>
      <c r="K1164" s="126"/>
      <c r="L1164" s="403">
        <f t="shared" si="135"/>
        <v>44962</v>
      </c>
      <c r="M1164" s="56" t="str">
        <f t="shared" si="136"/>
        <v>SUN</v>
      </c>
      <c r="O1164" s="391">
        <f t="shared" si="133"/>
        <v>0</v>
      </c>
      <c r="P1164" s="392">
        <f t="shared" si="130"/>
        <v>1</v>
      </c>
    </row>
    <row r="1165" spans="1:18">
      <c r="B1165" s="41"/>
      <c r="C1165" s="403">
        <f t="shared" si="132"/>
        <v>44963</v>
      </c>
      <c r="D1165" s="56" t="str">
        <f>VLOOKUP(MOD(C1165,7),'CALENDAR INFO'!$G$5:$H$11,2)</f>
        <v>MON</v>
      </c>
      <c r="E1165" s="165">
        <v>4.58</v>
      </c>
      <c r="F1165" s="336">
        <v>4.55</v>
      </c>
      <c r="G1165" s="411">
        <f t="shared" si="134"/>
        <v>-3.0000000000000249E-2</v>
      </c>
      <c r="K1165" s="126"/>
      <c r="L1165" s="403">
        <f t="shared" si="135"/>
        <v>44963</v>
      </c>
      <c r="M1165" s="56" t="str">
        <f t="shared" si="136"/>
        <v>MON</v>
      </c>
      <c r="O1165" s="391">
        <f t="shared" si="133"/>
        <v>1</v>
      </c>
      <c r="P1165" s="392">
        <f t="shared" si="130"/>
        <v>1.0001263888888889</v>
      </c>
    </row>
    <row r="1166" spans="1:18">
      <c r="B1166" s="41"/>
      <c r="C1166" s="403">
        <f t="shared" si="132"/>
        <v>44964</v>
      </c>
      <c r="D1166" s="56" t="str">
        <f>VLOOKUP(MOD(C1166,7),'CALENDAR INFO'!$G$5:$H$11,2)</f>
        <v>TUE</v>
      </c>
      <c r="E1166" s="165">
        <v>4.58</v>
      </c>
      <c r="F1166" s="336">
        <v>4.55</v>
      </c>
      <c r="G1166" s="411">
        <f t="shared" si="134"/>
        <v>-3.0000000000000249E-2</v>
      </c>
      <c r="H1166" s="376" t="s">
        <v>221</v>
      </c>
      <c r="I1166" s="147">
        <f ca="1">AVERAGE(INDIRECT(I1164))</f>
        <v>4.5699999999999985</v>
      </c>
      <c r="J1166" s="326">
        <f ca="1">AVERAGE(INDIRECT(J1164))</f>
        <v>4.5417857142857123</v>
      </c>
      <c r="K1166" s="126"/>
      <c r="L1166" s="403">
        <f t="shared" si="135"/>
        <v>44964</v>
      </c>
      <c r="M1166" s="56" t="str">
        <f t="shared" si="136"/>
        <v>TUE</v>
      </c>
      <c r="O1166" s="391">
        <f t="shared" si="133"/>
        <v>1</v>
      </c>
      <c r="P1166" s="392">
        <f t="shared" si="130"/>
        <v>1.0001263888888889</v>
      </c>
    </row>
    <row r="1167" spans="1:18">
      <c r="B1167" s="41"/>
      <c r="C1167" s="403">
        <f t="shared" si="132"/>
        <v>44965</v>
      </c>
      <c r="D1167" s="56" t="str">
        <f>VLOOKUP(MOD(C1167,7),'CALENDAR INFO'!$G$5:$H$11,2)</f>
        <v>WED</v>
      </c>
      <c r="E1167" s="165">
        <v>4.58</v>
      </c>
      <c r="F1167" s="336">
        <v>4.55</v>
      </c>
      <c r="G1167" s="411">
        <f t="shared" si="134"/>
        <v>-3.0000000000000249E-2</v>
      </c>
      <c r="I1167" s="240"/>
      <c r="J1167" s="157"/>
      <c r="K1167" s="126" t="s">
        <v>19</v>
      </c>
      <c r="L1167" s="403">
        <f t="shared" si="135"/>
        <v>44965</v>
      </c>
      <c r="M1167" s="56" t="str">
        <f t="shared" si="136"/>
        <v>WED</v>
      </c>
      <c r="O1167" s="391">
        <f t="shared" si="133"/>
        <v>1</v>
      </c>
      <c r="P1167" s="392">
        <f t="shared" si="130"/>
        <v>1.0001263888888889</v>
      </c>
    </row>
    <row r="1168" spans="1:18">
      <c r="B1168" s="41"/>
      <c r="C1168" s="403">
        <f t="shared" si="132"/>
        <v>44966</v>
      </c>
      <c r="D1168" s="56" t="str">
        <f>VLOOKUP(MOD(C1168,7),'CALENDAR INFO'!$G$5:$H$11,2)</f>
        <v>THU</v>
      </c>
      <c r="E1168" s="165">
        <v>4.57</v>
      </c>
      <c r="F1168" s="336">
        <v>4.55</v>
      </c>
      <c r="G1168" s="411">
        <f t="shared" si="134"/>
        <v>-2.0000000000000462E-2</v>
      </c>
      <c r="H1168" s="15" t="s">
        <v>222</v>
      </c>
      <c r="I1168" s="147">
        <f ca="1">100-I1166</f>
        <v>95.43</v>
      </c>
      <c r="J1168" s="326">
        <f ca="1">100-J1166</f>
        <v>95.458214285714291</v>
      </c>
      <c r="K1168" s="129" t="s">
        <v>18</v>
      </c>
      <c r="L1168" s="403">
        <f t="shared" si="135"/>
        <v>44966</v>
      </c>
      <c r="M1168" s="56" t="str">
        <f t="shared" si="136"/>
        <v>THU</v>
      </c>
      <c r="O1168" s="391">
        <f t="shared" si="133"/>
        <v>1</v>
      </c>
      <c r="P1168" s="392">
        <f t="shared" si="130"/>
        <v>1.0001263888888889</v>
      </c>
    </row>
    <row r="1169" spans="2:24">
      <c r="B1169" s="41"/>
      <c r="C1169" s="403">
        <f t="shared" si="132"/>
        <v>44967</v>
      </c>
      <c r="D1169" s="56" t="str">
        <f>VLOOKUP(MOD(C1169,7),'CALENDAR INFO'!$G$5:$H$11,2)</f>
        <v>FRI</v>
      </c>
      <c r="E1169" s="165">
        <v>4.58</v>
      </c>
      <c r="F1169" s="336">
        <v>4.55</v>
      </c>
      <c r="G1169" s="411">
        <f t="shared" si="134"/>
        <v>-3.0000000000000249E-2</v>
      </c>
      <c r="I1169" s="137"/>
      <c r="J1169" s="150"/>
      <c r="K1169" s="129"/>
      <c r="L1169" s="403">
        <f t="shared" si="135"/>
        <v>44967</v>
      </c>
      <c r="M1169" s="56" t="str">
        <f t="shared" si="136"/>
        <v>FRI</v>
      </c>
      <c r="O1169" s="391">
        <f t="shared" si="133"/>
        <v>3</v>
      </c>
      <c r="P1169" s="392">
        <f t="shared" si="130"/>
        <v>1.0003791666666666</v>
      </c>
    </row>
    <row r="1170" spans="2:24">
      <c r="B1170" s="41"/>
      <c r="C1170" s="403">
        <f t="shared" si="132"/>
        <v>44968</v>
      </c>
      <c r="D1170" s="56" t="str">
        <f>VLOOKUP(MOD(C1170,7),'CALENDAR INFO'!$G$5:$H$11,2)</f>
        <v>SAT</v>
      </c>
      <c r="E1170" s="165">
        <v>4.58</v>
      </c>
      <c r="F1170" s="336">
        <v>4.55</v>
      </c>
      <c r="G1170" s="411">
        <f t="shared" si="134"/>
        <v>-3.0000000000000249E-2</v>
      </c>
      <c r="H1170" s="136"/>
      <c r="I1170" s="139"/>
      <c r="J1170" s="151"/>
      <c r="K1170" s="129"/>
      <c r="L1170" s="403">
        <f t="shared" si="135"/>
        <v>44968</v>
      </c>
      <c r="M1170" s="56" t="str">
        <f t="shared" si="136"/>
        <v>SAT</v>
      </c>
      <c r="O1170" s="391">
        <f t="shared" si="133"/>
        <v>0</v>
      </c>
      <c r="P1170" s="392">
        <f t="shared" si="130"/>
        <v>1</v>
      </c>
    </row>
    <row r="1171" spans="2:24">
      <c r="B1171" s="41"/>
      <c r="C1171" s="403">
        <f t="shared" si="132"/>
        <v>44969</v>
      </c>
      <c r="D1171" s="56" t="str">
        <f>VLOOKUP(MOD(C1171,7),'CALENDAR INFO'!$G$5:$H$11,2)</f>
        <v>SUN</v>
      </c>
      <c r="E1171" s="165">
        <v>4.58</v>
      </c>
      <c r="F1171" s="336">
        <v>4.55</v>
      </c>
      <c r="G1171" s="411">
        <f t="shared" si="134"/>
        <v>-3.0000000000000249E-2</v>
      </c>
      <c r="I1171" s="137"/>
      <c r="J1171" s="150"/>
      <c r="K1171" s="129"/>
      <c r="L1171" s="403">
        <f t="shared" si="135"/>
        <v>44969</v>
      </c>
      <c r="M1171" s="56" t="str">
        <f t="shared" si="136"/>
        <v>SUN</v>
      </c>
      <c r="O1171" s="391">
        <f t="shared" si="133"/>
        <v>0</v>
      </c>
      <c r="P1171" s="392">
        <f t="shared" ref="P1171:P1234" si="137">1+(O1171/360)*(MAX(F1171,B1171)/100)</f>
        <v>1</v>
      </c>
    </row>
    <row r="1172" spans="2:24">
      <c r="B1172" s="41"/>
      <c r="C1172" s="403">
        <f t="shared" si="132"/>
        <v>44970</v>
      </c>
      <c r="D1172" s="56" t="str">
        <f>VLOOKUP(MOD(C1172,7),'CALENDAR INFO'!$G$5:$H$11,2)</f>
        <v>MON</v>
      </c>
      <c r="E1172" s="165">
        <v>4.58</v>
      </c>
      <c r="F1172" s="336">
        <v>4.55</v>
      </c>
      <c r="G1172" s="411">
        <f t="shared" si="134"/>
        <v>-3.0000000000000249E-2</v>
      </c>
      <c r="H1172" s="136"/>
      <c r="I1172" s="139"/>
      <c r="J1172" s="151"/>
      <c r="K1172" s="129"/>
      <c r="L1172" s="403">
        <f t="shared" si="135"/>
        <v>44970</v>
      </c>
      <c r="M1172" s="56" t="str">
        <f t="shared" si="136"/>
        <v>MON</v>
      </c>
      <c r="O1172" s="391">
        <f t="shared" si="133"/>
        <v>1</v>
      </c>
      <c r="P1172" s="392">
        <f t="shared" si="137"/>
        <v>1.0001263888888889</v>
      </c>
    </row>
    <row r="1173" spans="2:24">
      <c r="B1173" s="41"/>
      <c r="C1173" s="403">
        <f t="shared" si="132"/>
        <v>44971</v>
      </c>
      <c r="D1173" s="56" t="str">
        <f>VLOOKUP(MOD(C1173,7),'CALENDAR INFO'!$G$5:$H$11,2)</f>
        <v>TUE</v>
      </c>
      <c r="E1173" s="165">
        <v>4.58</v>
      </c>
      <c r="F1173" s="336">
        <v>4.55</v>
      </c>
      <c r="G1173" s="411">
        <f t="shared" si="134"/>
        <v>-3.0000000000000249E-2</v>
      </c>
      <c r="K1173" s="129"/>
      <c r="L1173" s="403">
        <f t="shared" si="135"/>
        <v>44971</v>
      </c>
      <c r="M1173" s="56" t="str">
        <f t="shared" si="136"/>
        <v>TUE</v>
      </c>
      <c r="O1173" s="391">
        <f t="shared" si="133"/>
        <v>1</v>
      </c>
      <c r="P1173" s="392">
        <f t="shared" si="137"/>
        <v>1.0001263888888889</v>
      </c>
      <c r="X1173" s="101"/>
    </row>
    <row r="1174" spans="2:24">
      <c r="B1174" s="41"/>
      <c r="C1174" s="403">
        <f t="shared" si="132"/>
        <v>44972</v>
      </c>
      <c r="D1174" s="56" t="str">
        <f>VLOOKUP(MOD(C1174,7),'CALENDAR INFO'!$G$5:$H$11,2)</f>
        <v>WED</v>
      </c>
      <c r="E1174" s="165">
        <v>4.58</v>
      </c>
      <c r="F1174" s="336">
        <v>4.55</v>
      </c>
      <c r="G1174" s="411">
        <f t="shared" si="134"/>
        <v>-3.0000000000000249E-2</v>
      </c>
      <c r="H1174" s="135"/>
      <c r="I1174" s="144"/>
      <c r="J1174" s="152"/>
      <c r="K1174" s="129"/>
      <c r="L1174" s="403">
        <f t="shared" si="135"/>
        <v>44972</v>
      </c>
      <c r="M1174" s="56" t="str">
        <f t="shared" si="136"/>
        <v>WED</v>
      </c>
      <c r="O1174" s="391">
        <f t="shared" si="133"/>
        <v>1</v>
      </c>
      <c r="P1174" s="392">
        <f t="shared" si="137"/>
        <v>1.0001263888888889</v>
      </c>
      <c r="X1174" s="101"/>
    </row>
    <row r="1175" spans="2:24">
      <c r="B1175" s="41"/>
      <c r="C1175" s="403">
        <f t="shared" si="132"/>
        <v>44973</v>
      </c>
      <c r="D1175" s="56" t="str">
        <f>VLOOKUP(MOD(C1175,7),'CALENDAR INFO'!$G$5:$H$11,2)</f>
        <v>THU</v>
      </c>
      <c r="E1175" s="165">
        <v>4.58</v>
      </c>
      <c r="F1175" s="336">
        <v>4.55</v>
      </c>
      <c r="G1175" s="411">
        <f t="shared" si="134"/>
        <v>-3.0000000000000249E-2</v>
      </c>
      <c r="K1175" s="129"/>
      <c r="L1175" s="403">
        <f t="shared" si="135"/>
        <v>44973</v>
      </c>
      <c r="M1175" s="56" t="str">
        <f t="shared" si="136"/>
        <v>THU</v>
      </c>
      <c r="O1175" s="391">
        <f t="shared" si="133"/>
        <v>1</v>
      </c>
      <c r="P1175" s="392">
        <f t="shared" si="137"/>
        <v>1.0001263888888889</v>
      </c>
      <c r="X1175" s="101"/>
    </row>
    <row r="1176" spans="2:24">
      <c r="B1176" s="41"/>
      <c r="C1176" s="403">
        <f t="shared" si="132"/>
        <v>44974</v>
      </c>
      <c r="D1176" s="56" t="str">
        <f>VLOOKUP(MOD(C1176,7),'CALENDAR INFO'!$G$5:$H$11,2)</f>
        <v>FRI</v>
      </c>
      <c r="E1176" s="165">
        <v>4.58</v>
      </c>
      <c r="F1176" s="336">
        <v>4.55</v>
      </c>
      <c r="G1176" s="411">
        <f t="shared" si="134"/>
        <v>-3.0000000000000249E-2</v>
      </c>
      <c r="K1176" s="129"/>
      <c r="L1176" s="403">
        <f t="shared" si="135"/>
        <v>44974</v>
      </c>
      <c r="M1176" s="56" t="str">
        <f t="shared" si="136"/>
        <v>FRI</v>
      </c>
      <c r="O1176" s="384">
        <v>4</v>
      </c>
      <c r="P1176" s="392">
        <f t="shared" si="137"/>
        <v>1.0005055555555555</v>
      </c>
      <c r="X1176" s="101"/>
    </row>
    <row r="1177" spans="2:24">
      <c r="B1177" s="41"/>
      <c r="C1177" s="403">
        <f t="shared" si="132"/>
        <v>44975</v>
      </c>
      <c r="D1177" s="56" t="str">
        <f>VLOOKUP(MOD(C1177,7),'CALENDAR INFO'!$G$5:$H$11,2)</f>
        <v>SAT</v>
      </c>
      <c r="E1177" s="165">
        <v>4.58</v>
      </c>
      <c r="F1177" s="336">
        <v>4.55</v>
      </c>
      <c r="G1177" s="411">
        <f t="shared" si="134"/>
        <v>-3.0000000000000249E-2</v>
      </c>
      <c r="K1177" s="129"/>
      <c r="L1177" s="403">
        <f t="shared" si="135"/>
        <v>44975</v>
      </c>
      <c r="M1177" s="56" t="str">
        <f t="shared" si="136"/>
        <v>SAT</v>
      </c>
      <c r="O1177" s="391">
        <f>IF(MOD(C1177,7)&lt;2,0,IF(MOD(C1177,7)=6,3,1))</f>
        <v>0</v>
      </c>
      <c r="P1177" s="392">
        <f t="shared" si="137"/>
        <v>1</v>
      </c>
      <c r="X1177" s="101"/>
    </row>
    <row r="1178" spans="2:24">
      <c r="B1178" s="41"/>
      <c r="C1178" s="403">
        <f t="shared" si="132"/>
        <v>44976</v>
      </c>
      <c r="D1178" s="56" t="str">
        <f>VLOOKUP(MOD(C1178,7),'CALENDAR INFO'!$G$5:$H$11,2)</f>
        <v>SUN</v>
      </c>
      <c r="E1178" s="165">
        <v>4.58</v>
      </c>
      <c r="F1178" s="336">
        <v>4.55</v>
      </c>
      <c r="G1178" s="411">
        <f t="shared" si="134"/>
        <v>-3.0000000000000249E-2</v>
      </c>
      <c r="K1178" s="129"/>
      <c r="L1178" s="403">
        <f t="shared" si="135"/>
        <v>44976</v>
      </c>
      <c r="M1178" s="56" t="str">
        <f t="shared" si="136"/>
        <v>SUN</v>
      </c>
      <c r="O1178" s="391">
        <f>IF(MOD(C1178,7)&lt;2,0,IF(MOD(C1178,7)=6,3,1))</f>
        <v>0</v>
      </c>
      <c r="P1178" s="392">
        <f t="shared" si="137"/>
        <v>1</v>
      </c>
      <c r="X1178" s="101"/>
    </row>
    <row r="1179" spans="2:24">
      <c r="B1179" s="41"/>
      <c r="C1179" s="403">
        <f t="shared" si="132"/>
        <v>44977</v>
      </c>
      <c r="D1179" s="56" t="str">
        <f>VLOOKUP(MOD(C1179,7),'CALENDAR INFO'!$G$5:$H$11,2)</f>
        <v>MON</v>
      </c>
      <c r="E1179" s="165">
        <v>4.58</v>
      </c>
      <c r="F1179" s="336">
        <v>4.55</v>
      </c>
      <c r="G1179" s="411">
        <f t="shared" si="134"/>
        <v>-3.0000000000000249E-2</v>
      </c>
      <c r="K1179" s="129"/>
      <c r="L1179" s="403">
        <f t="shared" si="135"/>
        <v>44977</v>
      </c>
      <c r="M1179" s="56" t="str">
        <f t="shared" si="136"/>
        <v>MON</v>
      </c>
      <c r="N1179" s="132" t="s">
        <v>39</v>
      </c>
      <c r="O1179" s="384">
        <v>0</v>
      </c>
      <c r="P1179" s="392">
        <f t="shared" si="137"/>
        <v>1</v>
      </c>
      <c r="X1179" s="101"/>
    </row>
    <row r="1180" spans="2:24">
      <c r="B1180" s="41"/>
      <c r="C1180" s="403">
        <f t="shared" si="132"/>
        <v>44978</v>
      </c>
      <c r="D1180" s="56" t="str">
        <f>VLOOKUP(MOD(C1180,7),'CALENDAR INFO'!$G$5:$H$11,2)</f>
        <v>TUE</v>
      </c>
      <c r="E1180" s="165">
        <v>4.58</v>
      </c>
      <c r="F1180" s="336">
        <v>4.55</v>
      </c>
      <c r="G1180" s="411">
        <f t="shared" si="134"/>
        <v>-3.0000000000000249E-2</v>
      </c>
      <c r="K1180" s="129"/>
      <c r="L1180" s="403">
        <f t="shared" si="135"/>
        <v>44978</v>
      </c>
      <c r="M1180" s="56" t="str">
        <f t="shared" si="136"/>
        <v>TUE</v>
      </c>
      <c r="O1180" s="391">
        <f t="shared" ref="O1180:O1211" si="138">IF(MOD(C1180,7)&lt;2,0,IF(MOD(C1180,7)=6,3,1))</f>
        <v>1</v>
      </c>
      <c r="P1180" s="392">
        <f t="shared" si="137"/>
        <v>1.0001263888888889</v>
      </c>
      <c r="X1180" s="101"/>
    </row>
    <row r="1181" spans="2:24">
      <c r="B1181" s="41"/>
      <c r="C1181" s="403">
        <f t="shared" si="132"/>
        <v>44979</v>
      </c>
      <c r="D1181" s="56" t="str">
        <f>VLOOKUP(MOD(C1181,7),'CALENDAR INFO'!$G$5:$H$11,2)</f>
        <v>WED</v>
      </c>
      <c r="E1181" s="165">
        <v>4.58</v>
      </c>
      <c r="F1181" s="336">
        <v>4.55</v>
      </c>
      <c r="G1181" s="411">
        <f t="shared" si="134"/>
        <v>-3.0000000000000249E-2</v>
      </c>
      <c r="K1181" s="129" t="s">
        <v>19</v>
      </c>
      <c r="L1181" s="403">
        <f t="shared" si="135"/>
        <v>44979</v>
      </c>
      <c r="M1181" s="56" t="str">
        <f t="shared" si="136"/>
        <v>WED</v>
      </c>
      <c r="O1181" s="391">
        <f t="shared" si="138"/>
        <v>1</v>
      </c>
      <c r="P1181" s="392">
        <f t="shared" si="137"/>
        <v>1.0001263888888889</v>
      </c>
      <c r="X1181" s="101"/>
    </row>
    <row r="1182" spans="2:24">
      <c r="B1182" s="41"/>
      <c r="C1182" s="403">
        <f t="shared" si="132"/>
        <v>44980</v>
      </c>
      <c r="D1182" s="56" t="str">
        <f>VLOOKUP(MOD(C1182,7),'CALENDAR INFO'!$G$5:$H$11,2)</f>
        <v>THU</v>
      </c>
      <c r="E1182" s="165">
        <v>4.58</v>
      </c>
      <c r="F1182" s="336">
        <v>4.55</v>
      </c>
      <c r="G1182" s="411">
        <f t="shared" si="134"/>
        <v>-3.0000000000000249E-2</v>
      </c>
      <c r="K1182" s="126" t="s">
        <v>18</v>
      </c>
      <c r="L1182" s="403">
        <f t="shared" si="135"/>
        <v>44980</v>
      </c>
      <c r="M1182" s="56" t="str">
        <f t="shared" si="136"/>
        <v>THU</v>
      </c>
      <c r="O1182" s="391">
        <f t="shared" si="138"/>
        <v>1</v>
      </c>
      <c r="P1182" s="392">
        <f t="shared" si="137"/>
        <v>1.0001263888888889</v>
      </c>
      <c r="X1182" s="101"/>
    </row>
    <row r="1183" spans="2:24">
      <c r="B1183" s="41"/>
      <c r="C1183" s="403">
        <f t="shared" si="132"/>
        <v>44981</v>
      </c>
      <c r="D1183" s="56" t="str">
        <f>VLOOKUP(MOD(C1183,7),'CALENDAR INFO'!$G$5:$H$11,2)</f>
        <v>FRI</v>
      </c>
      <c r="E1183" s="165">
        <v>4.58</v>
      </c>
      <c r="F1183" s="336">
        <v>4.55</v>
      </c>
      <c r="G1183" s="411">
        <f t="shared" si="134"/>
        <v>-3.0000000000000249E-2</v>
      </c>
      <c r="K1183" s="126"/>
      <c r="L1183" s="403">
        <f t="shared" si="135"/>
        <v>44981</v>
      </c>
      <c r="M1183" s="56" t="str">
        <f t="shared" si="136"/>
        <v>FRI</v>
      </c>
      <c r="O1183" s="391">
        <f t="shared" si="138"/>
        <v>3</v>
      </c>
      <c r="P1183" s="392">
        <f t="shared" si="137"/>
        <v>1.0003791666666666</v>
      </c>
      <c r="Q1183" s="21"/>
      <c r="R1183" s="221"/>
      <c r="X1183" s="101"/>
    </row>
    <row r="1184" spans="2:24">
      <c r="B1184" s="41"/>
      <c r="C1184" s="403">
        <f t="shared" si="132"/>
        <v>44982</v>
      </c>
      <c r="D1184" s="56" t="str">
        <f>VLOOKUP(MOD(C1184,7),'CALENDAR INFO'!$G$5:$H$11,2)</f>
        <v>SAT</v>
      </c>
      <c r="E1184" s="165">
        <v>4.58</v>
      </c>
      <c r="F1184" s="336">
        <v>4.55</v>
      </c>
      <c r="G1184" s="411">
        <f t="shared" si="134"/>
        <v>-3.0000000000000249E-2</v>
      </c>
      <c r="K1184" s="126"/>
      <c r="L1184" s="403">
        <f t="shared" si="135"/>
        <v>44982</v>
      </c>
      <c r="M1184" s="56" t="str">
        <f t="shared" si="136"/>
        <v>SAT</v>
      </c>
      <c r="O1184" s="391">
        <f t="shared" si="138"/>
        <v>0</v>
      </c>
      <c r="P1184" s="392">
        <f t="shared" si="137"/>
        <v>1</v>
      </c>
      <c r="Q1184" s="21"/>
      <c r="R1184" s="222"/>
      <c r="X1184" s="101"/>
    </row>
    <row r="1185" spans="1:30">
      <c r="B1185" s="41"/>
      <c r="C1185" s="403">
        <f t="shared" si="132"/>
        <v>44983</v>
      </c>
      <c r="D1185" s="56" t="str">
        <f>VLOOKUP(MOD(C1185,7),'CALENDAR INFO'!$G$5:$H$11,2)</f>
        <v>SUN</v>
      </c>
      <c r="E1185" s="165">
        <v>4.58</v>
      </c>
      <c r="F1185" s="336">
        <v>4.55</v>
      </c>
      <c r="G1185" s="411">
        <f t="shared" si="134"/>
        <v>-3.0000000000000249E-2</v>
      </c>
      <c r="K1185" s="126"/>
      <c r="L1185" s="403">
        <f t="shared" si="135"/>
        <v>44983</v>
      </c>
      <c r="M1185" s="56" t="str">
        <f t="shared" si="136"/>
        <v>SUN</v>
      </c>
      <c r="O1185" s="391">
        <f t="shared" si="138"/>
        <v>0</v>
      </c>
      <c r="P1185" s="392">
        <f t="shared" si="137"/>
        <v>1</v>
      </c>
      <c r="Q1185" s="21"/>
      <c r="R1185" s="222"/>
      <c r="X1185" s="101"/>
      <c r="AD1185" s="102"/>
    </row>
    <row r="1186" spans="1:30">
      <c r="B1186" s="41"/>
      <c r="C1186" s="403">
        <f t="shared" si="132"/>
        <v>44984</v>
      </c>
      <c r="D1186" s="56" t="str">
        <f>VLOOKUP(MOD(C1186,7),'CALENDAR INFO'!$G$5:$H$11,2)</f>
        <v>MON</v>
      </c>
      <c r="E1186" s="165">
        <v>4.57</v>
      </c>
      <c r="F1186" s="336">
        <v>4.55</v>
      </c>
      <c r="G1186" s="411">
        <f t="shared" si="134"/>
        <v>-2.0000000000000462E-2</v>
      </c>
      <c r="I1186" s="137"/>
      <c r="K1186" s="126"/>
      <c r="L1186" s="403">
        <f t="shared" si="135"/>
        <v>44984</v>
      </c>
      <c r="M1186" s="56" t="str">
        <f t="shared" si="136"/>
        <v>MON</v>
      </c>
      <c r="O1186" s="391">
        <f t="shared" si="138"/>
        <v>1</v>
      </c>
      <c r="P1186" s="392">
        <f t="shared" si="137"/>
        <v>1.0001263888888889</v>
      </c>
    </row>
    <row r="1187" spans="1:30" ht="15.75" thickBot="1">
      <c r="A1187" s="81"/>
      <c r="B1187" s="178"/>
      <c r="C1187" s="404">
        <f t="shared" si="132"/>
        <v>44985</v>
      </c>
      <c r="D1187" s="64" t="str">
        <f>VLOOKUP(MOD(C1187,7),'CALENDAR INFO'!$G$5:$H$11,2)</f>
        <v>TUE</v>
      </c>
      <c r="E1187" s="166">
        <v>4.57</v>
      </c>
      <c r="F1187" s="337">
        <v>4.55</v>
      </c>
      <c r="G1187" s="412">
        <f t="shared" si="134"/>
        <v>-2.0000000000000462E-2</v>
      </c>
      <c r="H1187" s="345"/>
      <c r="I1187" s="149"/>
      <c r="J1187" s="161"/>
      <c r="K1187" s="77"/>
      <c r="L1187" s="404">
        <f t="shared" si="135"/>
        <v>44985</v>
      </c>
      <c r="M1187" s="64" t="str">
        <f t="shared" si="136"/>
        <v>TUE</v>
      </c>
      <c r="N1187" s="90"/>
      <c r="O1187" s="383">
        <f t="shared" si="138"/>
        <v>1</v>
      </c>
      <c r="P1187" s="388">
        <f t="shared" si="137"/>
        <v>1.0001263888888889</v>
      </c>
    </row>
    <row r="1188" spans="1:30">
      <c r="B1188" s="41"/>
      <c r="C1188" s="403">
        <f t="shared" si="132"/>
        <v>44986</v>
      </c>
      <c r="D1188" s="56" t="str">
        <f>VLOOKUP(MOD(C1188,7),'CALENDAR INFO'!$G$5:$H$11,2)</f>
        <v>WED</v>
      </c>
      <c r="E1188" s="165">
        <v>4.58</v>
      </c>
      <c r="F1188" s="336">
        <v>4.55</v>
      </c>
      <c r="G1188" s="411">
        <f t="shared" si="134"/>
        <v>-3.0000000000000249E-2</v>
      </c>
      <c r="H1188" s="15" t="s">
        <v>149</v>
      </c>
      <c r="I1188" s="15">
        <f>ROW(I1188)</f>
        <v>1188</v>
      </c>
      <c r="J1188" s="138">
        <f>I1188</f>
        <v>1188</v>
      </c>
      <c r="K1188" s="126"/>
      <c r="L1188" s="403">
        <f t="shared" si="135"/>
        <v>44986</v>
      </c>
      <c r="M1188" s="56" t="str">
        <f t="shared" si="136"/>
        <v>WED</v>
      </c>
      <c r="O1188" s="386">
        <f t="shared" si="138"/>
        <v>1</v>
      </c>
      <c r="P1188" s="390">
        <f t="shared" si="137"/>
        <v>1.0001263888888889</v>
      </c>
    </row>
    <row r="1189" spans="1:30">
      <c r="B1189" s="41"/>
      <c r="C1189" s="403">
        <f t="shared" si="132"/>
        <v>44987</v>
      </c>
      <c r="D1189" s="56" t="str">
        <f>VLOOKUP(MOD(C1189,7),'CALENDAR INFO'!$G$5:$H$11,2)</f>
        <v>THU</v>
      </c>
      <c r="E1189" s="165">
        <v>4.57</v>
      </c>
      <c r="F1189" s="336">
        <v>4.55</v>
      </c>
      <c r="G1189" s="411">
        <f t="shared" si="134"/>
        <v>-2.0000000000000462E-2</v>
      </c>
      <c r="H1189" s="376" t="s">
        <v>210</v>
      </c>
      <c r="I1189" s="15">
        <f>VLOOKUP(MONTH($C1188),'CALENDAR INFO'!$J$5:$K$16,2)</f>
        <v>31</v>
      </c>
      <c r="J1189" s="138">
        <f>I1189</f>
        <v>31</v>
      </c>
      <c r="K1189" s="126"/>
      <c r="L1189" s="403">
        <f t="shared" si="135"/>
        <v>44987</v>
      </c>
      <c r="M1189" s="56" t="str">
        <f t="shared" si="136"/>
        <v>THU</v>
      </c>
      <c r="O1189" s="391">
        <f t="shared" si="138"/>
        <v>1</v>
      </c>
      <c r="P1189" s="392">
        <f t="shared" si="137"/>
        <v>1.0001263888888889</v>
      </c>
    </row>
    <row r="1190" spans="1:30">
      <c r="B1190" s="41"/>
      <c r="C1190" s="403">
        <f t="shared" si="132"/>
        <v>44988</v>
      </c>
      <c r="D1190" s="56" t="str">
        <f>VLOOKUP(MOD(C1190,7),'CALENDAR INFO'!$G$5:$H$11,2)</f>
        <v>FRI</v>
      </c>
      <c r="E1190" s="165">
        <v>4.57</v>
      </c>
      <c r="F1190" s="336">
        <v>4.55</v>
      </c>
      <c r="G1190" s="411">
        <f t="shared" si="134"/>
        <v>-2.0000000000000462E-2</v>
      </c>
      <c r="H1190" s="376" t="s">
        <v>211</v>
      </c>
      <c r="I1190" s="15">
        <f>I1189+I1188-1</f>
        <v>1218</v>
      </c>
      <c r="J1190" s="138">
        <f>I1190</f>
        <v>1218</v>
      </c>
      <c r="K1190" s="126"/>
      <c r="L1190" s="403">
        <f t="shared" si="135"/>
        <v>44988</v>
      </c>
      <c r="M1190" s="56" t="str">
        <f t="shared" si="136"/>
        <v>FRI</v>
      </c>
      <c r="O1190" s="391">
        <f t="shared" si="138"/>
        <v>3</v>
      </c>
      <c r="P1190" s="392">
        <f t="shared" si="137"/>
        <v>1.0003791666666666</v>
      </c>
    </row>
    <row r="1191" spans="1:30">
      <c r="B1191" s="41"/>
      <c r="C1191" s="403">
        <f t="shared" si="132"/>
        <v>44989</v>
      </c>
      <c r="D1191" s="56" t="str">
        <f>VLOOKUP(MOD(C1191,7),'CALENDAR INFO'!$G$5:$H$11,2)</f>
        <v>SAT</v>
      </c>
      <c r="E1191" s="165">
        <v>4.57</v>
      </c>
      <c r="F1191" s="336">
        <v>4.55</v>
      </c>
      <c r="G1191" s="411">
        <f t="shared" si="134"/>
        <v>-2.0000000000000462E-2</v>
      </c>
      <c r="K1191" s="126"/>
      <c r="L1191" s="403">
        <f t="shared" si="135"/>
        <v>44989</v>
      </c>
      <c r="M1191" s="56" t="str">
        <f t="shared" si="136"/>
        <v>SAT</v>
      </c>
      <c r="O1191" s="391">
        <f t="shared" si="138"/>
        <v>0</v>
      </c>
      <c r="P1191" s="392">
        <f t="shared" si="137"/>
        <v>1</v>
      </c>
    </row>
    <row r="1192" spans="1:30">
      <c r="B1192" s="41"/>
      <c r="C1192" s="403">
        <f t="shared" si="132"/>
        <v>44990</v>
      </c>
      <c r="D1192" s="56" t="str">
        <f>VLOOKUP(MOD(C1192,7),'CALENDAR INFO'!$G$5:$H$11,2)</f>
        <v>SUN</v>
      </c>
      <c r="E1192" s="165">
        <v>4.57</v>
      </c>
      <c r="F1192" s="336">
        <v>4.55</v>
      </c>
      <c r="G1192" s="411">
        <f t="shared" si="134"/>
        <v>-2.0000000000000462E-2</v>
      </c>
      <c r="H1192" s="15" t="s">
        <v>150</v>
      </c>
      <c r="I1192" s="137" t="str">
        <f>_xlfn.CONCAT(ADDRESS(I1188,5),":",ADDRESS(I1190,5))</f>
        <v>$E$1188:$E$1218</v>
      </c>
      <c r="J1192" s="150" t="str">
        <f>_xlfn.CONCAT(ADDRESS(J1188,6),":",ADDRESS(J1190,6))</f>
        <v>$F$1188:$F$1218</v>
      </c>
      <c r="K1192" s="126"/>
      <c r="L1192" s="403">
        <f t="shared" si="135"/>
        <v>44990</v>
      </c>
      <c r="M1192" s="56" t="str">
        <f t="shared" si="136"/>
        <v>SUN</v>
      </c>
      <c r="O1192" s="391">
        <f t="shared" si="138"/>
        <v>0</v>
      </c>
      <c r="P1192" s="392">
        <f t="shared" si="137"/>
        <v>1</v>
      </c>
    </row>
    <row r="1193" spans="1:30">
      <c r="B1193" s="41"/>
      <c r="C1193" s="403">
        <f t="shared" si="132"/>
        <v>44991</v>
      </c>
      <c r="D1193" s="56" t="str">
        <f>VLOOKUP(MOD(C1193,7),'CALENDAR INFO'!$G$5:$H$11,2)</f>
        <v>MON</v>
      </c>
      <c r="E1193" s="165">
        <v>4.57</v>
      </c>
      <c r="F1193" s="336">
        <v>4.55</v>
      </c>
      <c r="G1193" s="411">
        <f t="shared" si="134"/>
        <v>-2.0000000000000462E-2</v>
      </c>
      <c r="K1193" s="126"/>
      <c r="L1193" s="403">
        <f t="shared" si="135"/>
        <v>44991</v>
      </c>
      <c r="M1193" s="56" t="str">
        <f t="shared" si="136"/>
        <v>MON</v>
      </c>
      <c r="O1193" s="391">
        <f t="shared" si="138"/>
        <v>1</v>
      </c>
      <c r="P1193" s="392">
        <f t="shared" si="137"/>
        <v>1.0001263888888889</v>
      </c>
    </row>
    <row r="1194" spans="1:30">
      <c r="B1194" s="41"/>
      <c r="C1194" s="403">
        <f t="shared" si="132"/>
        <v>44992</v>
      </c>
      <c r="D1194" s="56" t="str">
        <f>VLOOKUP(MOD(C1194,7),'CALENDAR INFO'!$G$5:$H$11,2)</f>
        <v>TUE</v>
      </c>
      <c r="E1194" s="165">
        <v>4.57</v>
      </c>
      <c r="F1194" s="336">
        <v>4.55</v>
      </c>
      <c r="G1194" s="411">
        <f t="shared" si="134"/>
        <v>-2.0000000000000462E-2</v>
      </c>
      <c r="H1194" s="376" t="s">
        <v>221</v>
      </c>
      <c r="I1194" s="147">
        <f ca="1">AVERAGE(INDIRECT(I1192))</f>
        <v>4.6490322580645174</v>
      </c>
      <c r="J1194" s="326">
        <f ca="1">AVERAGE(INDIRECT(J1192))</f>
        <v>4.629677419354838</v>
      </c>
      <c r="K1194" s="126"/>
      <c r="L1194" s="403">
        <f t="shared" si="135"/>
        <v>44992</v>
      </c>
      <c r="M1194" s="56" t="str">
        <f t="shared" si="136"/>
        <v>TUE</v>
      </c>
      <c r="O1194" s="391">
        <f t="shared" si="138"/>
        <v>1</v>
      </c>
      <c r="P1194" s="392">
        <f t="shared" si="137"/>
        <v>1.0001263888888889</v>
      </c>
    </row>
    <row r="1195" spans="1:30">
      <c r="B1195" s="41"/>
      <c r="C1195" s="403">
        <f t="shared" si="132"/>
        <v>44993</v>
      </c>
      <c r="D1195" s="56" t="str">
        <f>VLOOKUP(MOD(C1195,7),'CALENDAR INFO'!$G$5:$H$11,2)</f>
        <v>WED</v>
      </c>
      <c r="E1195" s="165">
        <v>4.57</v>
      </c>
      <c r="F1195" s="336">
        <v>4.55</v>
      </c>
      <c r="G1195" s="411">
        <f t="shared" si="134"/>
        <v>-2.0000000000000462E-2</v>
      </c>
      <c r="I1195" s="240"/>
      <c r="J1195" s="157"/>
      <c r="K1195" s="126" t="s">
        <v>19</v>
      </c>
      <c r="L1195" s="403">
        <f t="shared" si="135"/>
        <v>44993</v>
      </c>
      <c r="M1195" s="56" t="str">
        <f t="shared" si="136"/>
        <v>WED</v>
      </c>
      <c r="O1195" s="391">
        <f t="shared" si="138"/>
        <v>1</v>
      </c>
      <c r="P1195" s="392">
        <f t="shared" si="137"/>
        <v>1.0001263888888889</v>
      </c>
    </row>
    <row r="1196" spans="1:30">
      <c r="B1196" s="41"/>
      <c r="C1196" s="403">
        <f t="shared" si="132"/>
        <v>44994</v>
      </c>
      <c r="D1196" s="56" t="str">
        <f>VLOOKUP(MOD(C1196,7),'CALENDAR INFO'!$G$5:$H$11,2)</f>
        <v>THU</v>
      </c>
      <c r="E1196" s="165">
        <v>4.57</v>
      </c>
      <c r="F1196" s="336">
        <v>4.55</v>
      </c>
      <c r="G1196" s="411">
        <f t="shared" si="134"/>
        <v>-2.0000000000000462E-2</v>
      </c>
      <c r="H1196" s="15" t="s">
        <v>222</v>
      </c>
      <c r="I1196" s="147">
        <f ca="1">100-I1194</f>
        <v>95.350967741935477</v>
      </c>
      <c r="J1196" s="326">
        <f ca="1">100-J1194</f>
        <v>95.370322580645166</v>
      </c>
      <c r="K1196" s="129" t="s">
        <v>18</v>
      </c>
      <c r="L1196" s="403">
        <f t="shared" si="135"/>
        <v>44994</v>
      </c>
      <c r="M1196" s="56" t="str">
        <f t="shared" si="136"/>
        <v>THU</v>
      </c>
      <c r="O1196" s="391">
        <f t="shared" si="138"/>
        <v>1</v>
      </c>
      <c r="P1196" s="392">
        <f t="shared" si="137"/>
        <v>1.0001263888888889</v>
      </c>
    </row>
    <row r="1197" spans="1:30">
      <c r="B1197" s="41"/>
      <c r="C1197" s="403">
        <f t="shared" si="132"/>
        <v>44995</v>
      </c>
      <c r="D1197" s="56" t="str">
        <f>VLOOKUP(MOD(C1197,7),'CALENDAR INFO'!$G$5:$H$11,2)</f>
        <v>FRI</v>
      </c>
      <c r="E1197" s="165">
        <v>4.57</v>
      </c>
      <c r="F1197" s="336">
        <v>4.55</v>
      </c>
      <c r="G1197" s="411">
        <f t="shared" si="134"/>
        <v>-2.0000000000000462E-2</v>
      </c>
      <c r="I1197" s="137"/>
      <c r="J1197" s="150"/>
      <c r="K1197" s="129"/>
      <c r="L1197" s="403">
        <f t="shared" si="135"/>
        <v>44995</v>
      </c>
      <c r="M1197" s="56" t="str">
        <f t="shared" si="136"/>
        <v>FRI</v>
      </c>
      <c r="O1197" s="391">
        <f t="shared" si="138"/>
        <v>3</v>
      </c>
      <c r="P1197" s="392">
        <f t="shared" si="137"/>
        <v>1.0003791666666666</v>
      </c>
    </row>
    <row r="1198" spans="1:30">
      <c r="B1198" s="41"/>
      <c r="C1198" s="403">
        <f t="shared" si="132"/>
        <v>44996</v>
      </c>
      <c r="D1198" s="56" t="str">
        <f>VLOOKUP(MOD(C1198,7),'CALENDAR INFO'!$G$5:$H$11,2)</f>
        <v>SAT</v>
      </c>
      <c r="E1198" s="165">
        <v>4.57</v>
      </c>
      <c r="F1198" s="336">
        <v>4.55</v>
      </c>
      <c r="G1198" s="411">
        <f t="shared" si="134"/>
        <v>-2.0000000000000462E-2</v>
      </c>
      <c r="H1198" s="136"/>
      <c r="I1198" s="139"/>
      <c r="J1198" s="151"/>
      <c r="K1198" s="129"/>
      <c r="L1198" s="403">
        <f t="shared" si="135"/>
        <v>44996</v>
      </c>
      <c r="M1198" s="56" t="str">
        <f t="shared" si="136"/>
        <v>SAT</v>
      </c>
      <c r="O1198" s="391">
        <f t="shared" si="138"/>
        <v>0</v>
      </c>
      <c r="P1198" s="392">
        <f t="shared" si="137"/>
        <v>1</v>
      </c>
    </row>
    <row r="1199" spans="1:30">
      <c r="B1199" s="41"/>
      <c r="C1199" s="403">
        <f t="shared" si="132"/>
        <v>44997</v>
      </c>
      <c r="D1199" s="56" t="str">
        <f>VLOOKUP(MOD(C1199,7),'CALENDAR INFO'!$G$5:$H$11,2)</f>
        <v>SUN</v>
      </c>
      <c r="E1199" s="165">
        <v>4.57</v>
      </c>
      <c r="F1199" s="336">
        <v>4.55</v>
      </c>
      <c r="G1199" s="411">
        <f t="shared" si="134"/>
        <v>-2.0000000000000462E-2</v>
      </c>
      <c r="H1199" s="136"/>
      <c r="I1199" s="139"/>
      <c r="J1199" s="151"/>
      <c r="K1199" s="129"/>
      <c r="L1199" s="403">
        <f t="shared" si="135"/>
        <v>44997</v>
      </c>
      <c r="M1199" s="56" t="str">
        <f t="shared" si="136"/>
        <v>SUN</v>
      </c>
      <c r="O1199" s="391">
        <f t="shared" si="138"/>
        <v>0</v>
      </c>
      <c r="P1199" s="392">
        <f t="shared" si="137"/>
        <v>1</v>
      </c>
    </row>
    <row r="1200" spans="1:30">
      <c r="B1200" s="41"/>
      <c r="C1200" s="403">
        <f t="shared" si="132"/>
        <v>44998</v>
      </c>
      <c r="D1200" s="56" t="str">
        <f>VLOOKUP(MOD(C1200,7),'CALENDAR INFO'!$G$5:$H$11,2)</f>
        <v>MON</v>
      </c>
      <c r="E1200" s="165">
        <v>4.58</v>
      </c>
      <c r="F1200" s="336">
        <v>4.55</v>
      </c>
      <c r="G1200" s="411">
        <f t="shared" si="134"/>
        <v>-3.0000000000000249E-2</v>
      </c>
      <c r="H1200" s="136"/>
      <c r="I1200" s="139"/>
      <c r="J1200" s="151"/>
      <c r="K1200" s="129"/>
      <c r="L1200" s="403">
        <f t="shared" si="135"/>
        <v>44998</v>
      </c>
      <c r="M1200" s="56" t="str">
        <f t="shared" si="136"/>
        <v>MON</v>
      </c>
      <c r="O1200" s="391">
        <f t="shared" si="138"/>
        <v>1</v>
      </c>
      <c r="P1200" s="392">
        <f t="shared" si="137"/>
        <v>1.0001263888888889</v>
      </c>
      <c r="Q1200" s="21"/>
      <c r="R1200" s="221"/>
    </row>
    <row r="1201" spans="2:18">
      <c r="B1201" s="41"/>
      <c r="C1201" s="403">
        <f t="shared" si="132"/>
        <v>44999</v>
      </c>
      <c r="D1201" s="56" t="str">
        <f>VLOOKUP(MOD(C1201,7),'CALENDAR INFO'!$G$5:$H$11,2)</f>
        <v>TUE</v>
      </c>
      <c r="E1201" s="165">
        <v>4.58</v>
      </c>
      <c r="F1201" s="336">
        <v>4.55</v>
      </c>
      <c r="G1201" s="411">
        <f t="shared" si="134"/>
        <v>-3.0000000000000249E-2</v>
      </c>
      <c r="K1201" s="129"/>
      <c r="L1201" s="403">
        <f t="shared" si="135"/>
        <v>44999</v>
      </c>
      <c r="M1201" s="56" t="str">
        <f t="shared" si="136"/>
        <v>TUE</v>
      </c>
      <c r="O1201" s="391">
        <f t="shared" si="138"/>
        <v>1</v>
      </c>
      <c r="P1201" s="392">
        <f t="shared" si="137"/>
        <v>1.0001263888888889</v>
      </c>
      <c r="Q1201" s="21"/>
      <c r="R1201" s="223"/>
    </row>
    <row r="1202" spans="2:18">
      <c r="B1202" s="41"/>
      <c r="C1202" s="403">
        <f t="shared" si="132"/>
        <v>45000</v>
      </c>
      <c r="D1202" s="56" t="str">
        <f>VLOOKUP(MOD(C1202,7),'CALENDAR INFO'!$G$5:$H$11,2)</f>
        <v>WED</v>
      </c>
      <c r="E1202" s="165">
        <v>4.58</v>
      </c>
      <c r="F1202" s="336">
        <v>4.58</v>
      </c>
      <c r="G1202" s="411">
        <f t="shared" si="134"/>
        <v>0</v>
      </c>
      <c r="H1202" s="135"/>
      <c r="I1202" s="144"/>
      <c r="J1202" s="152"/>
      <c r="K1202" s="129"/>
      <c r="L1202" s="403">
        <f t="shared" si="135"/>
        <v>45000</v>
      </c>
      <c r="M1202" s="56" t="str">
        <f t="shared" si="136"/>
        <v>WED</v>
      </c>
      <c r="O1202" s="391">
        <f t="shared" si="138"/>
        <v>1</v>
      </c>
      <c r="P1202" s="392">
        <f t="shared" si="137"/>
        <v>1.0001272222222222</v>
      </c>
    </row>
    <row r="1203" spans="2:18">
      <c r="B1203" s="41"/>
      <c r="C1203" s="403">
        <f t="shared" si="132"/>
        <v>45001</v>
      </c>
      <c r="D1203" s="56" t="str">
        <f>VLOOKUP(MOD(C1203,7),'CALENDAR INFO'!$G$5:$H$11,2)</f>
        <v>THU</v>
      </c>
      <c r="E1203" s="165">
        <v>4.58</v>
      </c>
      <c r="F1203" s="336">
        <v>4.57</v>
      </c>
      <c r="G1203" s="411">
        <f t="shared" si="134"/>
        <v>-9.9999999999997868E-3</v>
      </c>
      <c r="K1203" s="129"/>
      <c r="L1203" s="403">
        <f t="shared" si="135"/>
        <v>45001</v>
      </c>
      <c r="M1203" s="56" t="str">
        <f t="shared" si="136"/>
        <v>THU</v>
      </c>
      <c r="O1203" s="391">
        <f t="shared" si="138"/>
        <v>1</v>
      </c>
      <c r="P1203" s="392">
        <f t="shared" si="137"/>
        <v>1.0001269444444445</v>
      </c>
    </row>
    <row r="1204" spans="2:18">
      <c r="B1204" s="41"/>
      <c r="C1204" s="403">
        <f t="shared" si="132"/>
        <v>45002</v>
      </c>
      <c r="D1204" s="56" t="str">
        <f>VLOOKUP(MOD(C1204,7),'CALENDAR INFO'!$G$5:$H$11,2)</f>
        <v>FRI</v>
      </c>
      <c r="E1204" s="165">
        <v>4.58</v>
      </c>
      <c r="F1204" s="336">
        <v>4.55</v>
      </c>
      <c r="G1204" s="411">
        <f t="shared" si="134"/>
        <v>-3.0000000000000249E-2</v>
      </c>
      <c r="K1204" s="129"/>
      <c r="L1204" s="403">
        <f t="shared" si="135"/>
        <v>45002</v>
      </c>
      <c r="M1204" s="56" t="str">
        <f t="shared" si="136"/>
        <v>FRI</v>
      </c>
      <c r="O1204" s="391">
        <f t="shared" si="138"/>
        <v>3</v>
      </c>
      <c r="P1204" s="392">
        <f t="shared" si="137"/>
        <v>1.0003791666666666</v>
      </c>
    </row>
    <row r="1205" spans="2:18">
      <c r="B1205" s="41"/>
      <c r="C1205" s="403">
        <f t="shared" ref="C1205:C1268" si="139">C1204+1</f>
        <v>45003</v>
      </c>
      <c r="D1205" s="56" t="str">
        <f>VLOOKUP(MOD(C1205,7),'CALENDAR INFO'!$G$5:$H$11,2)</f>
        <v>SAT</v>
      </c>
      <c r="E1205" s="165">
        <v>4.58</v>
      </c>
      <c r="F1205" s="336">
        <v>4.55</v>
      </c>
      <c r="G1205" s="411">
        <f t="shared" si="134"/>
        <v>-3.0000000000000249E-2</v>
      </c>
      <c r="K1205" s="129"/>
      <c r="L1205" s="403">
        <f t="shared" si="135"/>
        <v>45003</v>
      </c>
      <c r="M1205" s="56" t="str">
        <f t="shared" si="136"/>
        <v>SAT</v>
      </c>
      <c r="O1205" s="391">
        <f t="shared" si="138"/>
        <v>0</v>
      </c>
      <c r="P1205" s="392">
        <f t="shared" si="137"/>
        <v>1</v>
      </c>
    </row>
    <row r="1206" spans="2:18">
      <c r="B1206" s="41"/>
      <c r="C1206" s="403">
        <f t="shared" si="139"/>
        <v>45004</v>
      </c>
      <c r="D1206" s="56" t="str">
        <f>VLOOKUP(MOD(C1206,7),'CALENDAR INFO'!$G$5:$H$11,2)</f>
        <v>SUN</v>
      </c>
      <c r="E1206" s="165">
        <v>4.58</v>
      </c>
      <c r="F1206" s="336">
        <v>4.55</v>
      </c>
      <c r="G1206" s="411">
        <f t="shared" si="134"/>
        <v>-3.0000000000000249E-2</v>
      </c>
      <c r="K1206" s="129"/>
      <c r="L1206" s="403">
        <f t="shared" si="135"/>
        <v>45004</v>
      </c>
      <c r="M1206" s="56" t="str">
        <f t="shared" si="136"/>
        <v>SUN</v>
      </c>
      <c r="O1206" s="391">
        <f t="shared" si="138"/>
        <v>0</v>
      </c>
      <c r="P1206" s="392">
        <f t="shared" si="137"/>
        <v>1</v>
      </c>
    </row>
    <row r="1207" spans="2:18">
      <c r="B1207" s="41"/>
      <c r="C1207" s="403">
        <f t="shared" si="139"/>
        <v>45005</v>
      </c>
      <c r="D1207" s="56" t="str">
        <f>VLOOKUP(MOD(C1207,7),'CALENDAR INFO'!$G$5:$H$11,2)</f>
        <v>MON</v>
      </c>
      <c r="E1207" s="165">
        <v>4.58</v>
      </c>
      <c r="F1207" s="336">
        <v>4.55</v>
      </c>
      <c r="G1207" s="411">
        <f t="shared" si="134"/>
        <v>-3.0000000000000249E-2</v>
      </c>
      <c r="K1207" s="129"/>
      <c r="L1207" s="403">
        <f t="shared" si="135"/>
        <v>45005</v>
      </c>
      <c r="M1207" s="56" t="str">
        <f t="shared" si="136"/>
        <v>MON</v>
      </c>
      <c r="O1207" s="391">
        <f t="shared" si="138"/>
        <v>1</v>
      </c>
      <c r="P1207" s="392">
        <f t="shared" si="137"/>
        <v>1.0001263888888889</v>
      </c>
    </row>
    <row r="1208" spans="2:18">
      <c r="B1208" s="41"/>
      <c r="C1208" s="403">
        <f t="shared" si="139"/>
        <v>45006</v>
      </c>
      <c r="D1208" s="56" t="str">
        <f>VLOOKUP(MOD(C1208,7),'CALENDAR INFO'!$G$5:$H$11,2)</f>
        <v>TUE</v>
      </c>
      <c r="E1208" s="165">
        <v>4.58</v>
      </c>
      <c r="F1208" s="336">
        <v>4.55</v>
      </c>
      <c r="G1208" s="411">
        <f t="shared" si="134"/>
        <v>-3.0000000000000249E-2</v>
      </c>
      <c r="K1208" s="129"/>
      <c r="L1208" s="403">
        <f t="shared" si="135"/>
        <v>45006</v>
      </c>
      <c r="M1208" s="56" t="str">
        <f t="shared" si="136"/>
        <v>TUE</v>
      </c>
      <c r="N1208" s="116" t="s">
        <v>20</v>
      </c>
      <c r="O1208" s="391">
        <f t="shared" si="138"/>
        <v>1</v>
      </c>
      <c r="P1208" s="392">
        <f t="shared" si="137"/>
        <v>1.0001263888888889</v>
      </c>
    </row>
    <row r="1209" spans="2:18">
      <c r="B1209" s="41"/>
      <c r="C1209" s="403">
        <f t="shared" si="139"/>
        <v>45007</v>
      </c>
      <c r="D1209" s="56" t="str">
        <f>VLOOKUP(MOD(C1209,7),'CALENDAR INFO'!$G$5:$H$11,2)</f>
        <v>WED</v>
      </c>
      <c r="E1209" s="165">
        <v>4.58</v>
      </c>
      <c r="F1209" s="336">
        <v>4.55</v>
      </c>
      <c r="G1209" s="411">
        <f t="shared" si="134"/>
        <v>-3.0000000000000249E-2</v>
      </c>
      <c r="K1209" s="129" t="s">
        <v>19</v>
      </c>
      <c r="L1209" s="403">
        <f t="shared" si="135"/>
        <v>45007</v>
      </c>
      <c r="M1209" s="56" t="str">
        <f t="shared" si="136"/>
        <v>WED</v>
      </c>
      <c r="N1209" s="116" t="s">
        <v>20</v>
      </c>
      <c r="O1209" s="391">
        <f t="shared" si="138"/>
        <v>1</v>
      </c>
      <c r="P1209" s="392">
        <f t="shared" si="137"/>
        <v>1.0001263888888889</v>
      </c>
    </row>
    <row r="1210" spans="2:18">
      <c r="B1210" s="41"/>
      <c r="C1210" s="403">
        <f t="shared" si="139"/>
        <v>45008</v>
      </c>
      <c r="D1210" s="56" t="str">
        <f>VLOOKUP(MOD(C1210,7),'CALENDAR INFO'!$G$5:$H$11,2)</f>
        <v>THU</v>
      </c>
      <c r="E1210" s="165">
        <v>4.83</v>
      </c>
      <c r="F1210" s="336">
        <v>4.8</v>
      </c>
      <c r="G1210" s="411">
        <f t="shared" si="134"/>
        <v>-3.0000000000000249E-2</v>
      </c>
      <c r="K1210" s="126" t="s">
        <v>18</v>
      </c>
      <c r="L1210" s="403">
        <f t="shared" si="135"/>
        <v>45008</v>
      </c>
      <c r="M1210" s="56" t="str">
        <f t="shared" si="136"/>
        <v>THU</v>
      </c>
      <c r="O1210" s="391">
        <f t="shared" si="138"/>
        <v>1</v>
      </c>
      <c r="P1210" s="392">
        <f t="shared" si="137"/>
        <v>1.0001333333333333</v>
      </c>
    </row>
    <row r="1211" spans="2:18">
      <c r="B1211" s="41"/>
      <c r="C1211" s="403">
        <f t="shared" si="139"/>
        <v>45009</v>
      </c>
      <c r="D1211" s="56" t="str">
        <f>VLOOKUP(MOD(C1211,7),'CALENDAR INFO'!$G$5:$H$11,2)</f>
        <v>FRI</v>
      </c>
      <c r="E1211" s="165">
        <v>4.83</v>
      </c>
      <c r="F1211" s="336">
        <v>4.8</v>
      </c>
      <c r="G1211" s="411">
        <f t="shared" si="134"/>
        <v>-3.0000000000000249E-2</v>
      </c>
      <c r="K1211" s="126"/>
      <c r="L1211" s="403">
        <f t="shared" si="135"/>
        <v>45009</v>
      </c>
      <c r="M1211" s="56" t="str">
        <f t="shared" si="136"/>
        <v>FRI</v>
      </c>
      <c r="O1211" s="391">
        <f t="shared" si="138"/>
        <v>3</v>
      </c>
      <c r="P1211" s="392">
        <f t="shared" si="137"/>
        <v>1.0004</v>
      </c>
    </row>
    <row r="1212" spans="2:18">
      <c r="B1212" s="41"/>
      <c r="C1212" s="403">
        <f t="shared" si="139"/>
        <v>45010</v>
      </c>
      <c r="D1212" s="56" t="str">
        <f>VLOOKUP(MOD(C1212,7),'CALENDAR INFO'!$G$5:$H$11,2)</f>
        <v>SAT</v>
      </c>
      <c r="E1212" s="165">
        <v>4.83</v>
      </c>
      <c r="F1212" s="336">
        <v>4.8</v>
      </c>
      <c r="G1212" s="411">
        <f t="shared" si="134"/>
        <v>-3.0000000000000249E-2</v>
      </c>
      <c r="K1212" s="126"/>
      <c r="L1212" s="403">
        <f t="shared" si="135"/>
        <v>45010</v>
      </c>
      <c r="M1212" s="56" t="str">
        <f t="shared" si="136"/>
        <v>SAT</v>
      </c>
      <c r="O1212" s="391">
        <f t="shared" ref="O1212:O1243" si="140">IF(MOD(C1212,7)&lt;2,0,IF(MOD(C1212,7)=6,3,1))</f>
        <v>0</v>
      </c>
      <c r="P1212" s="392">
        <f t="shared" si="137"/>
        <v>1</v>
      </c>
    </row>
    <row r="1213" spans="2:18">
      <c r="B1213" s="41"/>
      <c r="C1213" s="403">
        <f t="shared" si="139"/>
        <v>45011</v>
      </c>
      <c r="D1213" s="56" t="str">
        <f>VLOOKUP(MOD(C1213,7),'CALENDAR INFO'!$G$5:$H$11,2)</f>
        <v>SUN</v>
      </c>
      <c r="E1213" s="165">
        <v>4.83</v>
      </c>
      <c r="F1213" s="336">
        <v>4.8</v>
      </c>
      <c r="G1213" s="411">
        <f t="shared" si="134"/>
        <v>-3.0000000000000249E-2</v>
      </c>
      <c r="K1213" s="126"/>
      <c r="L1213" s="403">
        <f t="shared" si="135"/>
        <v>45011</v>
      </c>
      <c r="M1213" s="56" t="str">
        <f t="shared" si="136"/>
        <v>SUN</v>
      </c>
      <c r="O1213" s="391">
        <f t="shared" si="140"/>
        <v>0</v>
      </c>
      <c r="P1213" s="392">
        <f t="shared" si="137"/>
        <v>1</v>
      </c>
    </row>
    <row r="1214" spans="2:18">
      <c r="B1214" s="41"/>
      <c r="C1214" s="403">
        <f t="shared" si="139"/>
        <v>45012</v>
      </c>
      <c r="D1214" s="56" t="str">
        <f>VLOOKUP(MOD(C1214,7),'CALENDAR INFO'!$G$5:$H$11,2)</f>
        <v>MON</v>
      </c>
      <c r="E1214" s="165">
        <v>4.83</v>
      </c>
      <c r="F1214" s="336">
        <v>4.8099999999999996</v>
      </c>
      <c r="G1214" s="411">
        <f t="shared" si="134"/>
        <v>-2.0000000000000462E-2</v>
      </c>
      <c r="I1214" s="137"/>
      <c r="K1214" s="126"/>
      <c r="L1214" s="403">
        <f t="shared" si="135"/>
        <v>45012</v>
      </c>
      <c r="M1214" s="56" t="str">
        <f t="shared" si="136"/>
        <v>MON</v>
      </c>
      <c r="O1214" s="391">
        <f t="shared" si="140"/>
        <v>1</v>
      </c>
      <c r="P1214" s="392">
        <f t="shared" si="137"/>
        <v>1.0001336111111112</v>
      </c>
      <c r="Q1214" s="21"/>
      <c r="R1214" s="221"/>
    </row>
    <row r="1215" spans="2:18">
      <c r="B1215" s="41"/>
      <c r="C1215" s="403">
        <f t="shared" si="139"/>
        <v>45013</v>
      </c>
      <c r="D1215" s="56" t="str">
        <f>VLOOKUP(MOD(C1215,7),'CALENDAR INFO'!$G$5:$H$11,2)</f>
        <v>TUE</v>
      </c>
      <c r="E1215" s="165">
        <v>4.83</v>
      </c>
      <c r="F1215" s="336">
        <v>4.84</v>
      </c>
      <c r="G1215" s="411">
        <f t="shared" si="134"/>
        <v>9.9999999999997868E-3</v>
      </c>
      <c r="H1215" s="115"/>
      <c r="I1215" s="141"/>
      <c r="J1215" s="158"/>
      <c r="K1215" s="126"/>
      <c r="L1215" s="403">
        <f t="shared" si="135"/>
        <v>45013</v>
      </c>
      <c r="M1215" s="56" t="str">
        <f t="shared" si="136"/>
        <v>TUE</v>
      </c>
      <c r="O1215" s="391">
        <f t="shared" si="140"/>
        <v>1</v>
      </c>
      <c r="P1215" s="392">
        <f t="shared" si="137"/>
        <v>1.0001344444444444</v>
      </c>
      <c r="Q1215" s="21"/>
      <c r="R1215" s="222"/>
    </row>
    <row r="1216" spans="2:18">
      <c r="B1216" s="41"/>
      <c r="C1216" s="403">
        <f t="shared" si="139"/>
        <v>45014</v>
      </c>
      <c r="D1216" s="56" t="str">
        <f>VLOOKUP(MOD(C1216,7),'CALENDAR INFO'!$G$5:$H$11,2)</f>
        <v>WED</v>
      </c>
      <c r="E1216" s="165">
        <v>4.83</v>
      </c>
      <c r="F1216" s="336">
        <v>4.83</v>
      </c>
      <c r="G1216" s="411">
        <f t="shared" si="134"/>
        <v>0</v>
      </c>
      <c r="H1216" s="115"/>
      <c r="I1216" s="148"/>
      <c r="J1216" s="160"/>
      <c r="K1216" s="126"/>
      <c r="L1216" s="403">
        <f t="shared" si="135"/>
        <v>45014</v>
      </c>
      <c r="M1216" s="56" t="str">
        <f t="shared" si="136"/>
        <v>WED</v>
      </c>
      <c r="O1216" s="391">
        <f t="shared" si="140"/>
        <v>1</v>
      </c>
      <c r="P1216" s="392">
        <f t="shared" si="137"/>
        <v>1.0001341666666668</v>
      </c>
      <c r="Q1216" s="21"/>
      <c r="R1216" s="222"/>
    </row>
    <row r="1217" spans="1:16">
      <c r="B1217" s="41"/>
      <c r="C1217" s="403">
        <f t="shared" si="139"/>
        <v>45015</v>
      </c>
      <c r="D1217" s="56" t="str">
        <f>VLOOKUP(MOD(C1217,7),'CALENDAR INFO'!$G$5:$H$11,2)</f>
        <v>THU</v>
      </c>
      <c r="E1217" s="165">
        <v>4.83</v>
      </c>
      <c r="F1217" s="336">
        <v>4.82</v>
      </c>
      <c r="G1217" s="411">
        <f t="shared" si="134"/>
        <v>-9.9999999999997868E-3</v>
      </c>
      <c r="H1217" s="115"/>
      <c r="I1217" s="141"/>
      <c r="J1217" s="158"/>
      <c r="K1217" s="126"/>
      <c r="L1217" s="403">
        <f t="shared" si="135"/>
        <v>45015</v>
      </c>
      <c r="M1217" s="56" t="str">
        <f t="shared" si="136"/>
        <v>THU</v>
      </c>
      <c r="O1217" s="391">
        <f t="shared" si="140"/>
        <v>1</v>
      </c>
      <c r="P1217" s="392">
        <f t="shared" si="137"/>
        <v>1.0001338888888889</v>
      </c>
    </row>
    <row r="1218" spans="1:16" ht="15.75" thickBot="1">
      <c r="A1218" s="81"/>
      <c r="B1218" s="178"/>
      <c r="C1218" s="404">
        <f t="shared" si="139"/>
        <v>45016</v>
      </c>
      <c r="D1218" s="64" t="str">
        <f>VLOOKUP(MOD(C1218,7),'CALENDAR INFO'!$G$5:$H$11,2)</f>
        <v>FRI</v>
      </c>
      <c r="E1218" s="166">
        <v>4.83</v>
      </c>
      <c r="F1218" s="337">
        <v>4.87</v>
      </c>
      <c r="G1218" s="412">
        <f t="shared" si="134"/>
        <v>4.0000000000000036E-2</v>
      </c>
      <c r="H1218" s="345"/>
      <c r="I1218" s="143"/>
      <c r="J1218" s="162"/>
      <c r="K1218" s="190"/>
      <c r="L1218" s="404">
        <f t="shared" si="135"/>
        <v>45016</v>
      </c>
      <c r="M1218" s="64" t="str">
        <f t="shared" si="136"/>
        <v>FRI</v>
      </c>
      <c r="N1218" s="90"/>
      <c r="O1218" s="383">
        <f t="shared" si="140"/>
        <v>3</v>
      </c>
      <c r="P1218" s="388">
        <f t="shared" si="137"/>
        <v>1.0004058333333334</v>
      </c>
    </row>
    <row r="1219" spans="1:16">
      <c r="B1219" s="41"/>
      <c r="C1219" s="403">
        <f t="shared" si="139"/>
        <v>45017</v>
      </c>
      <c r="D1219" s="56" t="str">
        <f>VLOOKUP(MOD(C1219,7),'CALENDAR INFO'!$G$5:$H$11,2)</f>
        <v>SAT</v>
      </c>
      <c r="E1219" s="165">
        <v>4.83</v>
      </c>
      <c r="F1219" s="336">
        <v>4.87</v>
      </c>
      <c r="G1219" s="411">
        <f t="shared" ref="G1219:G1282" si="141">F1219-E1219</f>
        <v>4.0000000000000036E-2</v>
      </c>
      <c r="H1219" s="15" t="s">
        <v>149</v>
      </c>
      <c r="I1219" s="15">
        <f>ROW(I1219)</f>
        <v>1219</v>
      </c>
      <c r="J1219" s="138">
        <f>I1219</f>
        <v>1219</v>
      </c>
      <c r="K1219" s="126"/>
      <c r="L1219" s="403">
        <f t="shared" ref="L1219:L1282" si="142">C1219</f>
        <v>45017</v>
      </c>
      <c r="M1219" s="56" t="str">
        <f t="shared" ref="M1219:M1282" si="143">D1219</f>
        <v>SAT</v>
      </c>
      <c r="O1219" s="386">
        <f t="shared" si="140"/>
        <v>0</v>
      </c>
      <c r="P1219" s="390">
        <f t="shared" si="137"/>
        <v>1</v>
      </c>
    </row>
    <row r="1220" spans="1:16">
      <c r="B1220" s="41"/>
      <c r="C1220" s="403">
        <f t="shared" si="139"/>
        <v>45018</v>
      </c>
      <c r="D1220" s="56" t="str">
        <f>VLOOKUP(MOD(C1220,7),'CALENDAR INFO'!$G$5:$H$11,2)</f>
        <v>SUN</v>
      </c>
      <c r="E1220" s="165">
        <v>4.83</v>
      </c>
      <c r="F1220" s="336">
        <v>4.87</v>
      </c>
      <c r="G1220" s="411">
        <f t="shared" si="141"/>
        <v>4.0000000000000036E-2</v>
      </c>
      <c r="H1220" s="376" t="s">
        <v>210</v>
      </c>
      <c r="I1220" s="15">
        <f>VLOOKUP(MONTH($C1219),'CALENDAR INFO'!$J$5:$K$16,2)</f>
        <v>30</v>
      </c>
      <c r="J1220" s="138">
        <f>I1220</f>
        <v>30</v>
      </c>
      <c r="K1220" s="126"/>
      <c r="L1220" s="403">
        <f t="shared" si="142"/>
        <v>45018</v>
      </c>
      <c r="M1220" s="56" t="str">
        <f t="shared" si="143"/>
        <v>SUN</v>
      </c>
      <c r="O1220" s="253">
        <f t="shared" si="140"/>
        <v>0</v>
      </c>
      <c r="P1220" s="392">
        <f t="shared" si="137"/>
        <v>1</v>
      </c>
    </row>
    <row r="1221" spans="1:16">
      <c r="B1221" s="41"/>
      <c r="C1221" s="403">
        <f t="shared" si="139"/>
        <v>45019</v>
      </c>
      <c r="D1221" s="56" t="str">
        <f>VLOOKUP(MOD(C1221,7),'CALENDAR INFO'!$G$5:$H$11,2)</f>
        <v>MON</v>
      </c>
      <c r="E1221" s="165">
        <v>4.83</v>
      </c>
      <c r="F1221" s="336">
        <v>4.84</v>
      </c>
      <c r="G1221" s="411">
        <f t="shared" si="141"/>
        <v>9.9999999999997868E-3</v>
      </c>
      <c r="H1221" s="376" t="s">
        <v>211</v>
      </c>
      <c r="I1221" s="15">
        <f>I1220+I1219-1</f>
        <v>1248</v>
      </c>
      <c r="J1221" s="138">
        <f>I1221</f>
        <v>1248</v>
      </c>
      <c r="K1221" s="126"/>
      <c r="L1221" s="403">
        <f t="shared" si="142"/>
        <v>45019</v>
      </c>
      <c r="M1221" s="56" t="str">
        <f t="shared" si="143"/>
        <v>MON</v>
      </c>
      <c r="O1221" s="253">
        <f t="shared" si="140"/>
        <v>1</v>
      </c>
      <c r="P1221" s="392">
        <f t="shared" si="137"/>
        <v>1.0001344444444444</v>
      </c>
    </row>
    <row r="1222" spans="1:16">
      <c r="B1222" s="41"/>
      <c r="C1222" s="403">
        <f t="shared" si="139"/>
        <v>45020</v>
      </c>
      <c r="D1222" s="56" t="str">
        <f>VLOOKUP(MOD(C1222,7),'CALENDAR INFO'!$G$5:$H$11,2)</f>
        <v>TUE</v>
      </c>
      <c r="E1222" s="165">
        <v>4.83</v>
      </c>
      <c r="F1222" s="336">
        <v>4.83</v>
      </c>
      <c r="G1222" s="411">
        <f t="shared" si="141"/>
        <v>0</v>
      </c>
      <c r="K1222" s="126"/>
      <c r="L1222" s="403">
        <f t="shared" si="142"/>
        <v>45020</v>
      </c>
      <c r="M1222" s="56" t="str">
        <f t="shared" si="143"/>
        <v>TUE</v>
      </c>
      <c r="O1222" s="253">
        <f t="shared" si="140"/>
        <v>1</v>
      </c>
      <c r="P1222" s="392">
        <f t="shared" si="137"/>
        <v>1.0001341666666668</v>
      </c>
    </row>
    <row r="1223" spans="1:16">
      <c r="B1223" s="41"/>
      <c r="C1223" s="403">
        <f t="shared" si="139"/>
        <v>45021</v>
      </c>
      <c r="D1223" s="56" t="str">
        <f>VLOOKUP(MOD(C1223,7),'CALENDAR INFO'!$G$5:$H$11,2)</f>
        <v>WED</v>
      </c>
      <c r="E1223" s="165">
        <v>4.83</v>
      </c>
      <c r="F1223" s="336">
        <v>4.8099999999999996</v>
      </c>
      <c r="G1223" s="411">
        <f t="shared" si="141"/>
        <v>-2.0000000000000462E-2</v>
      </c>
      <c r="H1223" s="15" t="s">
        <v>150</v>
      </c>
      <c r="I1223" s="137" t="str">
        <f>_xlfn.CONCAT(ADDRESS(I1219,5),":",ADDRESS(I1221,5))</f>
        <v>$E$1219:$E$1248</v>
      </c>
      <c r="J1223" s="150" t="str">
        <f>_xlfn.CONCAT(ADDRESS(J1219,6),":",ADDRESS(J1221,6))</f>
        <v>$F$1219:$F$1248</v>
      </c>
      <c r="K1223" s="126" t="s">
        <v>19</v>
      </c>
      <c r="L1223" s="403">
        <f t="shared" si="142"/>
        <v>45021</v>
      </c>
      <c r="M1223" s="56" t="str">
        <f t="shared" si="143"/>
        <v>WED</v>
      </c>
      <c r="O1223" s="253">
        <f t="shared" si="140"/>
        <v>1</v>
      </c>
      <c r="P1223" s="392">
        <f t="shared" si="137"/>
        <v>1.0001336111111112</v>
      </c>
    </row>
    <row r="1224" spans="1:16">
      <c r="B1224" s="41"/>
      <c r="C1224" s="403">
        <f t="shared" si="139"/>
        <v>45022</v>
      </c>
      <c r="D1224" s="56" t="str">
        <f>VLOOKUP(MOD(C1224,7),'CALENDAR INFO'!$G$5:$H$11,2)</f>
        <v>THU</v>
      </c>
      <c r="E1224" s="165">
        <v>4.83</v>
      </c>
      <c r="F1224" s="336">
        <v>4.8099999999999996</v>
      </c>
      <c r="G1224" s="411">
        <f t="shared" si="141"/>
        <v>-2.0000000000000462E-2</v>
      </c>
      <c r="K1224" s="129" t="s">
        <v>18</v>
      </c>
      <c r="L1224" s="403">
        <f t="shared" si="142"/>
        <v>45022</v>
      </c>
      <c r="M1224" s="56" t="str">
        <f t="shared" si="143"/>
        <v>THU</v>
      </c>
      <c r="O1224" s="253">
        <f t="shared" si="140"/>
        <v>1</v>
      </c>
      <c r="P1224" s="392">
        <f t="shared" si="137"/>
        <v>1.0001336111111112</v>
      </c>
    </row>
    <row r="1225" spans="1:16">
      <c r="B1225" s="41"/>
      <c r="C1225" s="403">
        <f t="shared" si="139"/>
        <v>45023</v>
      </c>
      <c r="D1225" s="56" t="str">
        <f>VLOOKUP(MOD(C1225,7),'CALENDAR INFO'!$G$5:$H$11,2)</f>
        <v>FRI</v>
      </c>
      <c r="E1225" s="165">
        <v>4.83</v>
      </c>
      <c r="F1225" s="336">
        <v>4.8099999999999996</v>
      </c>
      <c r="G1225" s="411">
        <f t="shared" si="141"/>
        <v>-2.0000000000000462E-2</v>
      </c>
      <c r="H1225" s="376" t="s">
        <v>221</v>
      </c>
      <c r="I1225" s="147">
        <f ca="1">AVERAGE(INDIRECT(I1223))</f>
        <v>4.83</v>
      </c>
      <c r="J1225" s="326">
        <f ca="1">AVERAGE(INDIRECT(J1223))</f>
        <v>4.8103333333333325</v>
      </c>
      <c r="K1225" s="129"/>
      <c r="L1225" s="403">
        <f t="shared" si="142"/>
        <v>45023</v>
      </c>
      <c r="M1225" s="56" t="str">
        <f t="shared" si="143"/>
        <v>FRI</v>
      </c>
      <c r="O1225" s="253">
        <f t="shared" si="140"/>
        <v>3</v>
      </c>
      <c r="P1225" s="392">
        <f t="shared" si="137"/>
        <v>1.0004008333333334</v>
      </c>
    </row>
    <row r="1226" spans="1:16">
      <c r="B1226" s="41"/>
      <c r="C1226" s="403">
        <f t="shared" si="139"/>
        <v>45024</v>
      </c>
      <c r="D1226" s="56" t="str">
        <f>VLOOKUP(MOD(C1226,7),'CALENDAR INFO'!$G$5:$H$11,2)</f>
        <v>SAT</v>
      </c>
      <c r="E1226" s="165">
        <v>4.83</v>
      </c>
      <c r="F1226" s="336">
        <v>4.8099999999999996</v>
      </c>
      <c r="G1226" s="411">
        <f t="shared" si="141"/>
        <v>-2.0000000000000462E-2</v>
      </c>
      <c r="I1226" s="240"/>
      <c r="J1226" s="157"/>
      <c r="K1226" s="129"/>
      <c r="L1226" s="403">
        <f t="shared" si="142"/>
        <v>45024</v>
      </c>
      <c r="M1226" s="56" t="str">
        <f t="shared" si="143"/>
        <v>SAT</v>
      </c>
      <c r="O1226" s="253">
        <f t="shared" si="140"/>
        <v>0</v>
      </c>
      <c r="P1226" s="392">
        <f t="shared" si="137"/>
        <v>1</v>
      </c>
    </row>
    <row r="1227" spans="1:16">
      <c r="B1227" s="41"/>
      <c r="C1227" s="403">
        <f t="shared" si="139"/>
        <v>45025</v>
      </c>
      <c r="D1227" s="56" t="str">
        <f>VLOOKUP(MOD(C1227,7),'CALENDAR INFO'!$G$5:$H$11,2)</f>
        <v>SUN</v>
      </c>
      <c r="E1227" s="165">
        <v>4.83</v>
      </c>
      <c r="F1227" s="336">
        <v>4.8099999999999996</v>
      </c>
      <c r="G1227" s="411">
        <f t="shared" si="141"/>
        <v>-2.0000000000000462E-2</v>
      </c>
      <c r="H1227" s="15" t="s">
        <v>222</v>
      </c>
      <c r="I1227" s="147">
        <f ca="1">100-I1225</f>
        <v>95.17</v>
      </c>
      <c r="J1227" s="326">
        <f ca="1">100-J1225</f>
        <v>95.189666666666668</v>
      </c>
      <c r="K1227" s="129"/>
      <c r="L1227" s="403">
        <f t="shared" si="142"/>
        <v>45025</v>
      </c>
      <c r="M1227" s="56" t="str">
        <f t="shared" si="143"/>
        <v>SUN</v>
      </c>
      <c r="O1227" s="253">
        <f t="shared" si="140"/>
        <v>0</v>
      </c>
      <c r="P1227" s="392">
        <f t="shared" si="137"/>
        <v>1</v>
      </c>
    </row>
    <row r="1228" spans="1:16">
      <c r="B1228" s="41"/>
      <c r="C1228" s="403">
        <f t="shared" si="139"/>
        <v>45026</v>
      </c>
      <c r="D1228" s="56" t="str">
        <f>VLOOKUP(MOD(C1228,7),'CALENDAR INFO'!$G$5:$H$11,2)</f>
        <v>MON</v>
      </c>
      <c r="E1228" s="165">
        <v>4.83</v>
      </c>
      <c r="F1228" s="336">
        <v>4.8099999999999996</v>
      </c>
      <c r="G1228" s="411">
        <f t="shared" si="141"/>
        <v>-2.0000000000000462E-2</v>
      </c>
      <c r="I1228" s="137"/>
      <c r="J1228" s="150"/>
      <c r="K1228" s="129"/>
      <c r="L1228" s="403">
        <f t="shared" si="142"/>
        <v>45026</v>
      </c>
      <c r="M1228" s="56" t="str">
        <f t="shared" si="143"/>
        <v>MON</v>
      </c>
      <c r="O1228" s="253">
        <f t="shared" si="140"/>
        <v>1</v>
      </c>
      <c r="P1228" s="392">
        <f t="shared" si="137"/>
        <v>1.0001336111111112</v>
      </c>
    </row>
    <row r="1229" spans="1:16">
      <c r="B1229" s="41"/>
      <c r="C1229" s="403">
        <f t="shared" si="139"/>
        <v>45027</v>
      </c>
      <c r="D1229" s="56" t="str">
        <f>VLOOKUP(MOD(C1229,7),'CALENDAR INFO'!$G$5:$H$11,2)</f>
        <v>TUE</v>
      </c>
      <c r="E1229" s="165">
        <v>4.83</v>
      </c>
      <c r="F1229" s="336">
        <v>4.8</v>
      </c>
      <c r="G1229" s="411">
        <f t="shared" si="141"/>
        <v>-3.0000000000000249E-2</v>
      </c>
      <c r="H1229" s="136"/>
      <c r="I1229" s="139"/>
      <c r="J1229" s="151"/>
      <c r="K1229" s="129"/>
      <c r="L1229" s="403">
        <f t="shared" si="142"/>
        <v>45027</v>
      </c>
      <c r="M1229" s="56" t="str">
        <f t="shared" si="143"/>
        <v>TUE</v>
      </c>
      <c r="O1229" s="253">
        <f t="shared" si="140"/>
        <v>1</v>
      </c>
      <c r="P1229" s="392">
        <f t="shared" si="137"/>
        <v>1.0001333333333333</v>
      </c>
    </row>
    <row r="1230" spans="1:16">
      <c r="B1230" s="41"/>
      <c r="C1230" s="403">
        <f t="shared" si="139"/>
        <v>45028</v>
      </c>
      <c r="D1230" s="56" t="str">
        <f>VLOOKUP(MOD(C1230,7),'CALENDAR INFO'!$G$5:$H$11,2)</f>
        <v>WED</v>
      </c>
      <c r="E1230" s="165">
        <v>4.83</v>
      </c>
      <c r="F1230" s="336">
        <v>4.8</v>
      </c>
      <c r="G1230" s="411">
        <f t="shared" si="141"/>
        <v>-3.0000000000000249E-2</v>
      </c>
      <c r="K1230" s="129"/>
      <c r="L1230" s="403">
        <f t="shared" si="142"/>
        <v>45028</v>
      </c>
      <c r="M1230" s="56" t="str">
        <f t="shared" si="143"/>
        <v>WED</v>
      </c>
      <c r="O1230" s="253">
        <f t="shared" si="140"/>
        <v>1</v>
      </c>
      <c r="P1230" s="392">
        <f t="shared" si="137"/>
        <v>1.0001333333333333</v>
      </c>
    </row>
    <row r="1231" spans="1:16">
      <c r="B1231" s="41"/>
      <c r="C1231" s="403">
        <f t="shared" si="139"/>
        <v>45029</v>
      </c>
      <c r="D1231" s="56" t="str">
        <f>VLOOKUP(MOD(C1231,7),'CALENDAR INFO'!$G$5:$H$11,2)</f>
        <v>THU</v>
      </c>
      <c r="E1231" s="165">
        <v>4.83</v>
      </c>
      <c r="F1231" s="336">
        <v>4.8</v>
      </c>
      <c r="G1231" s="411">
        <f t="shared" si="141"/>
        <v>-3.0000000000000249E-2</v>
      </c>
      <c r="H1231" s="136"/>
      <c r="I1231" s="139"/>
      <c r="J1231" s="151"/>
      <c r="K1231" s="129"/>
      <c r="L1231" s="403">
        <f t="shared" si="142"/>
        <v>45029</v>
      </c>
      <c r="M1231" s="56" t="str">
        <f t="shared" si="143"/>
        <v>THU</v>
      </c>
      <c r="O1231" s="253">
        <f t="shared" si="140"/>
        <v>1</v>
      </c>
      <c r="P1231" s="392">
        <f t="shared" si="137"/>
        <v>1.0001333333333333</v>
      </c>
    </row>
    <row r="1232" spans="1:16">
      <c r="B1232" s="41"/>
      <c r="C1232" s="403">
        <f t="shared" si="139"/>
        <v>45030</v>
      </c>
      <c r="D1232" s="56" t="str">
        <f>VLOOKUP(MOD(C1232,7),'CALENDAR INFO'!$G$5:$H$11,2)</f>
        <v>FRI</v>
      </c>
      <c r="E1232" s="165">
        <v>4.83</v>
      </c>
      <c r="F1232" s="336">
        <v>4.8</v>
      </c>
      <c r="G1232" s="411">
        <f t="shared" si="141"/>
        <v>-3.0000000000000249E-2</v>
      </c>
      <c r="K1232" s="129"/>
      <c r="L1232" s="403">
        <f t="shared" si="142"/>
        <v>45030</v>
      </c>
      <c r="M1232" s="56" t="str">
        <f t="shared" si="143"/>
        <v>FRI</v>
      </c>
      <c r="O1232" s="253">
        <f t="shared" si="140"/>
        <v>3</v>
      </c>
      <c r="P1232" s="392">
        <f t="shared" si="137"/>
        <v>1.0004</v>
      </c>
    </row>
    <row r="1233" spans="1:18">
      <c r="B1233" s="41"/>
      <c r="C1233" s="403">
        <f t="shared" si="139"/>
        <v>45031</v>
      </c>
      <c r="D1233" s="56" t="str">
        <f>VLOOKUP(MOD(C1233,7),'CALENDAR INFO'!$G$5:$H$11,2)</f>
        <v>SAT</v>
      </c>
      <c r="E1233" s="165">
        <v>4.83</v>
      </c>
      <c r="F1233" s="336">
        <v>4.8</v>
      </c>
      <c r="G1233" s="411">
        <f t="shared" si="141"/>
        <v>-3.0000000000000249E-2</v>
      </c>
      <c r="H1233" s="135"/>
      <c r="I1233" s="144"/>
      <c r="J1233" s="152"/>
      <c r="K1233" s="129"/>
      <c r="L1233" s="403">
        <f t="shared" si="142"/>
        <v>45031</v>
      </c>
      <c r="M1233" s="56" t="str">
        <f t="shared" si="143"/>
        <v>SAT</v>
      </c>
      <c r="O1233" s="253">
        <f t="shared" si="140"/>
        <v>0</v>
      </c>
      <c r="P1233" s="392">
        <f t="shared" si="137"/>
        <v>1</v>
      </c>
    </row>
    <row r="1234" spans="1:18">
      <c r="B1234" s="41"/>
      <c r="C1234" s="403">
        <f t="shared" si="139"/>
        <v>45032</v>
      </c>
      <c r="D1234" s="56" t="str">
        <f>VLOOKUP(MOD(C1234,7),'CALENDAR INFO'!$G$5:$H$11,2)</f>
        <v>SUN</v>
      </c>
      <c r="E1234" s="165">
        <v>4.83</v>
      </c>
      <c r="F1234" s="336">
        <v>4.8</v>
      </c>
      <c r="G1234" s="411">
        <f t="shared" si="141"/>
        <v>-3.0000000000000249E-2</v>
      </c>
      <c r="K1234" s="129"/>
      <c r="L1234" s="403">
        <f t="shared" si="142"/>
        <v>45032</v>
      </c>
      <c r="M1234" s="56" t="str">
        <f t="shared" si="143"/>
        <v>SUN</v>
      </c>
      <c r="O1234" s="253">
        <f t="shared" si="140"/>
        <v>0</v>
      </c>
      <c r="P1234" s="392">
        <f t="shared" si="137"/>
        <v>1</v>
      </c>
    </row>
    <row r="1235" spans="1:18">
      <c r="B1235" s="41"/>
      <c r="C1235" s="403">
        <f t="shared" si="139"/>
        <v>45033</v>
      </c>
      <c r="D1235" s="56" t="str">
        <f>VLOOKUP(MOD(C1235,7),'CALENDAR INFO'!$G$5:$H$11,2)</f>
        <v>MON</v>
      </c>
      <c r="E1235" s="165">
        <v>4.83</v>
      </c>
      <c r="F1235" s="336">
        <v>4.8</v>
      </c>
      <c r="G1235" s="411">
        <f t="shared" si="141"/>
        <v>-3.0000000000000249E-2</v>
      </c>
      <c r="K1235" s="129"/>
      <c r="L1235" s="403">
        <f t="shared" si="142"/>
        <v>45033</v>
      </c>
      <c r="M1235" s="56" t="str">
        <f t="shared" si="143"/>
        <v>MON</v>
      </c>
      <c r="O1235" s="253">
        <f t="shared" si="140"/>
        <v>1</v>
      </c>
      <c r="P1235" s="392">
        <f t="shared" ref="P1235:P1298" si="144">1+(O1235/360)*(MAX(F1235,B1235)/100)</f>
        <v>1.0001333333333333</v>
      </c>
    </row>
    <row r="1236" spans="1:18">
      <c r="B1236" s="41"/>
      <c r="C1236" s="403">
        <f t="shared" si="139"/>
        <v>45034</v>
      </c>
      <c r="D1236" s="56" t="str">
        <f>VLOOKUP(MOD(C1236,7),'CALENDAR INFO'!$G$5:$H$11,2)</f>
        <v>TUE</v>
      </c>
      <c r="E1236" s="165">
        <v>4.83</v>
      </c>
      <c r="F1236" s="336">
        <v>4.8</v>
      </c>
      <c r="G1236" s="411">
        <f t="shared" si="141"/>
        <v>-3.0000000000000249E-2</v>
      </c>
      <c r="K1236" s="129"/>
      <c r="L1236" s="403">
        <f t="shared" si="142"/>
        <v>45034</v>
      </c>
      <c r="M1236" s="56" t="str">
        <f t="shared" si="143"/>
        <v>TUE</v>
      </c>
      <c r="O1236" s="253">
        <f t="shared" si="140"/>
        <v>1</v>
      </c>
      <c r="P1236" s="392">
        <f t="shared" si="144"/>
        <v>1.0001333333333333</v>
      </c>
    </row>
    <row r="1237" spans="1:18">
      <c r="B1237" s="41"/>
      <c r="C1237" s="403">
        <f t="shared" si="139"/>
        <v>45035</v>
      </c>
      <c r="D1237" s="56" t="str">
        <f>VLOOKUP(MOD(C1237,7),'CALENDAR INFO'!$G$5:$H$11,2)</f>
        <v>WED</v>
      </c>
      <c r="E1237" s="165">
        <v>4.83</v>
      </c>
      <c r="F1237" s="336">
        <v>4.8</v>
      </c>
      <c r="G1237" s="411">
        <f t="shared" si="141"/>
        <v>-3.0000000000000249E-2</v>
      </c>
      <c r="K1237" s="129" t="s">
        <v>19</v>
      </c>
      <c r="L1237" s="403">
        <f t="shared" si="142"/>
        <v>45035</v>
      </c>
      <c r="M1237" s="56" t="str">
        <f t="shared" si="143"/>
        <v>WED</v>
      </c>
      <c r="O1237" s="253">
        <f t="shared" si="140"/>
        <v>1</v>
      </c>
      <c r="P1237" s="392">
        <f t="shared" si="144"/>
        <v>1.0001333333333333</v>
      </c>
    </row>
    <row r="1238" spans="1:18">
      <c r="B1238" s="41"/>
      <c r="C1238" s="403">
        <f t="shared" si="139"/>
        <v>45036</v>
      </c>
      <c r="D1238" s="56" t="str">
        <f>VLOOKUP(MOD(C1238,7),'CALENDAR INFO'!$G$5:$H$11,2)</f>
        <v>THU</v>
      </c>
      <c r="E1238" s="165">
        <v>4.83</v>
      </c>
      <c r="F1238" s="336">
        <v>4.8</v>
      </c>
      <c r="G1238" s="411">
        <f t="shared" si="141"/>
        <v>-3.0000000000000249E-2</v>
      </c>
      <c r="K1238" s="126" t="s">
        <v>18</v>
      </c>
      <c r="L1238" s="403">
        <f t="shared" si="142"/>
        <v>45036</v>
      </c>
      <c r="M1238" s="56" t="str">
        <f t="shared" si="143"/>
        <v>THU</v>
      </c>
      <c r="O1238" s="253">
        <f t="shared" si="140"/>
        <v>1</v>
      </c>
      <c r="P1238" s="392">
        <f t="shared" si="144"/>
        <v>1.0001333333333333</v>
      </c>
    </row>
    <row r="1239" spans="1:18">
      <c r="B1239" s="41"/>
      <c r="C1239" s="403">
        <f t="shared" si="139"/>
        <v>45037</v>
      </c>
      <c r="D1239" s="56" t="str">
        <f>VLOOKUP(MOD(C1239,7),'CALENDAR INFO'!$G$5:$H$11,2)</f>
        <v>FRI</v>
      </c>
      <c r="E1239" s="165">
        <v>4.83</v>
      </c>
      <c r="F1239" s="336">
        <v>4.8</v>
      </c>
      <c r="G1239" s="411">
        <f t="shared" si="141"/>
        <v>-3.0000000000000249E-2</v>
      </c>
      <c r="K1239" s="126"/>
      <c r="L1239" s="403">
        <f t="shared" si="142"/>
        <v>45037</v>
      </c>
      <c r="M1239" s="56" t="str">
        <f t="shared" si="143"/>
        <v>FRI</v>
      </c>
      <c r="O1239" s="253">
        <f t="shared" si="140"/>
        <v>3</v>
      </c>
      <c r="P1239" s="392">
        <f t="shared" si="144"/>
        <v>1.0004</v>
      </c>
    </row>
    <row r="1240" spans="1:18">
      <c r="B1240" s="41"/>
      <c r="C1240" s="403">
        <f t="shared" si="139"/>
        <v>45038</v>
      </c>
      <c r="D1240" s="56" t="str">
        <f>VLOOKUP(MOD(C1240,7),'CALENDAR INFO'!$G$5:$H$11,2)</f>
        <v>SAT</v>
      </c>
      <c r="E1240" s="165">
        <v>4.83</v>
      </c>
      <c r="F1240" s="336">
        <v>4.8</v>
      </c>
      <c r="G1240" s="411">
        <f t="shared" si="141"/>
        <v>-3.0000000000000249E-2</v>
      </c>
      <c r="K1240" s="126"/>
      <c r="L1240" s="403">
        <f t="shared" si="142"/>
        <v>45038</v>
      </c>
      <c r="M1240" s="56" t="str">
        <f t="shared" si="143"/>
        <v>SAT</v>
      </c>
      <c r="O1240" s="253">
        <f t="shared" si="140"/>
        <v>0</v>
      </c>
      <c r="P1240" s="392">
        <f t="shared" si="144"/>
        <v>1</v>
      </c>
    </row>
    <row r="1241" spans="1:18">
      <c r="B1241" s="41"/>
      <c r="C1241" s="403">
        <f t="shared" si="139"/>
        <v>45039</v>
      </c>
      <c r="D1241" s="56" t="str">
        <f>VLOOKUP(MOD(C1241,7),'CALENDAR INFO'!$G$5:$H$11,2)</f>
        <v>SUN</v>
      </c>
      <c r="E1241" s="165">
        <v>4.83</v>
      </c>
      <c r="F1241" s="336">
        <v>4.8</v>
      </c>
      <c r="G1241" s="411">
        <f t="shared" si="141"/>
        <v>-3.0000000000000249E-2</v>
      </c>
      <c r="K1241" s="126"/>
      <c r="L1241" s="403">
        <f t="shared" si="142"/>
        <v>45039</v>
      </c>
      <c r="M1241" s="56" t="str">
        <f t="shared" si="143"/>
        <v>SUN</v>
      </c>
      <c r="O1241" s="253">
        <f t="shared" si="140"/>
        <v>0</v>
      </c>
      <c r="P1241" s="392">
        <f t="shared" si="144"/>
        <v>1</v>
      </c>
    </row>
    <row r="1242" spans="1:18">
      <c r="B1242" s="41"/>
      <c r="C1242" s="403">
        <f t="shared" si="139"/>
        <v>45040</v>
      </c>
      <c r="D1242" s="56" t="str">
        <f>VLOOKUP(MOD(C1242,7),'CALENDAR INFO'!$G$5:$H$11,2)</f>
        <v>MON</v>
      </c>
      <c r="E1242" s="165">
        <v>4.83</v>
      </c>
      <c r="F1242" s="336">
        <v>4.8</v>
      </c>
      <c r="G1242" s="411">
        <f t="shared" si="141"/>
        <v>-3.0000000000000249E-2</v>
      </c>
      <c r="K1242" s="126"/>
      <c r="L1242" s="403">
        <f t="shared" si="142"/>
        <v>45040</v>
      </c>
      <c r="M1242" s="56" t="str">
        <f t="shared" si="143"/>
        <v>MON</v>
      </c>
      <c r="O1242" s="253">
        <f t="shared" si="140"/>
        <v>1</v>
      </c>
      <c r="P1242" s="392">
        <f t="shared" si="144"/>
        <v>1.0001333333333333</v>
      </c>
    </row>
    <row r="1243" spans="1:18">
      <c r="B1243" s="41"/>
      <c r="C1243" s="403">
        <f t="shared" si="139"/>
        <v>45041</v>
      </c>
      <c r="D1243" s="56" t="str">
        <f>VLOOKUP(MOD(C1243,7),'CALENDAR INFO'!$G$5:$H$11,2)</f>
        <v>TUE</v>
      </c>
      <c r="E1243" s="165">
        <v>4.83</v>
      </c>
      <c r="F1243" s="336">
        <v>4.8</v>
      </c>
      <c r="G1243" s="411">
        <f t="shared" si="141"/>
        <v>-3.0000000000000249E-2</v>
      </c>
      <c r="K1243" s="126"/>
      <c r="L1243" s="403">
        <f t="shared" si="142"/>
        <v>45041</v>
      </c>
      <c r="M1243" s="56" t="str">
        <f t="shared" si="143"/>
        <v>TUE</v>
      </c>
      <c r="O1243" s="253">
        <f t="shared" si="140"/>
        <v>1</v>
      </c>
      <c r="P1243" s="392">
        <f t="shared" si="144"/>
        <v>1.0001333333333333</v>
      </c>
    </row>
    <row r="1244" spans="1:18">
      <c r="B1244" s="41"/>
      <c r="C1244" s="403">
        <f t="shared" si="139"/>
        <v>45042</v>
      </c>
      <c r="D1244" s="56" t="str">
        <f>VLOOKUP(MOD(C1244,7),'CALENDAR INFO'!$G$5:$H$11,2)</f>
        <v>WED</v>
      </c>
      <c r="E1244" s="165">
        <v>4.83</v>
      </c>
      <c r="F1244" s="336">
        <v>4.8</v>
      </c>
      <c r="G1244" s="411">
        <f t="shared" si="141"/>
        <v>-3.0000000000000249E-2</v>
      </c>
      <c r="K1244" s="126"/>
      <c r="L1244" s="403">
        <f t="shared" si="142"/>
        <v>45042</v>
      </c>
      <c r="M1244" s="56" t="str">
        <f t="shared" si="143"/>
        <v>WED</v>
      </c>
      <c r="O1244" s="253">
        <f t="shared" ref="O1244:O1273" si="145">IF(MOD(C1244,7)&lt;2,0,IF(MOD(C1244,7)=6,3,1))</f>
        <v>1</v>
      </c>
      <c r="P1244" s="392">
        <f t="shared" si="144"/>
        <v>1.0001333333333333</v>
      </c>
      <c r="Q1244" s="21"/>
      <c r="R1244" s="221"/>
    </row>
    <row r="1245" spans="1:18">
      <c r="B1245" s="41"/>
      <c r="C1245" s="403">
        <f t="shared" si="139"/>
        <v>45043</v>
      </c>
      <c r="D1245" s="56" t="str">
        <f>VLOOKUP(MOD(C1245,7),'CALENDAR INFO'!$G$5:$H$11,2)</f>
        <v>THU</v>
      </c>
      <c r="E1245" s="165">
        <v>4.83</v>
      </c>
      <c r="F1245" s="336">
        <v>4.8099999999999996</v>
      </c>
      <c r="G1245" s="411">
        <f t="shared" si="141"/>
        <v>-2.0000000000000462E-2</v>
      </c>
      <c r="I1245" s="137"/>
      <c r="K1245" s="126"/>
      <c r="L1245" s="403">
        <f t="shared" si="142"/>
        <v>45043</v>
      </c>
      <c r="M1245" s="56" t="str">
        <f t="shared" si="143"/>
        <v>THU</v>
      </c>
      <c r="O1245" s="253">
        <f t="shared" si="145"/>
        <v>1</v>
      </c>
      <c r="P1245" s="392">
        <f t="shared" si="144"/>
        <v>1.0001336111111112</v>
      </c>
      <c r="Q1245" s="21"/>
      <c r="R1245" s="222"/>
    </row>
    <row r="1246" spans="1:18">
      <c r="B1246" s="41"/>
      <c r="C1246" s="403">
        <f t="shared" si="139"/>
        <v>45044</v>
      </c>
      <c r="D1246" s="56" t="str">
        <f>VLOOKUP(MOD(C1246,7),'CALENDAR INFO'!$G$5:$H$11,2)</f>
        <v>FRI</v>
      </c>
      <c r="E1246" s="165">
        <v>4.83</v>
      </c>
      <c r="F1246" s="336">
        <v>4.8099999999999996</v>
      </c>
      <c r="G1246" s="411">
        <f t="shared" si="141"/>
        <v>-2.0000000000000462E-2</v>
      </c>
      <c r="H1246" s="115"/>
      <c r="I1246" s="148"/>
      <c r="J1246" s="160"/>
      <c r="K1246" s="126"/>
      <c r="L1246" s="403">
        <f t="shared" si="142"/>
        <v>45044</v>
      </c>
      <c r="M1246" s="56" t="str">
        <f t="shared" si="143"/>
        <v>FRI</v>
      </c>
      <c r="O1246" s="253">
        <f t="shared" si="145"/>
        <v>3</v>
      </c>
      <c r="P1246" s="392">
        <f t="shared" si="144"/>
        <v>1.0004008333333334</v>
      </c>
      <c r="Q1246" s="21"/>
      <c r="R1246" s="222"/>
    </row>
    <row r="1247" spans="1:18">
      <c r="B1247" s="41"/>
      <c r="C1247" s="403">
        <f t="shared" si="139"/>
        <v>45045</v>
      </c>
      <c r="D1247" s="56" t="str">
        <f>VLOOKUP(MOD(C1247,7),'CALENDAR INFO'!$G$5:$H$11,2)</f>
        <v>SAT</v>
      </c>
      <c r="E1247" s="165">
        <v>4.83</v>
      </c>
      <c r="F1247" s="336">
        <v>4.8099999999999996</v>
      </c>
      <c r="G1247" s="411">
        <f t="shared" si="141"/>
        <v>-2.0000000000000462E-2</v>
      </c>
      <c r="H1247" s="115"/>
      <c r="I1247" s="141"/>
      <c r="J1247" s="158"/>
      <c r="K1247" s="126"/>
      <c r="L1247" s="403">
        <f t="shared" si="142"/>
        <v>45045</v>
      </c>
      <c r="M1247" s="56" t="str">
        <f t="shared" si="143"/>
        <v>SAT</v>
      </c>
      <c r="O1247" s="253">
        <f t="shared" si="145"/>
        <v>0</v>
      </c>
      <c r="P1247" s="392">
        <f t="shared" si="144"/>
        <v>1</v>
      </c>
    </row>
    <row r="1248" spans="1:18" ht="15.75" thickBot="1">
      <c r="A1248" s="81"/>
      <c r="B1248" s="178"/>
      <c r="C1248" s="404">
        <f t="shared" si="139"/>
        <v>45046</v>
      </c>
      <c r="D1248" s="64" t="str">
        <f>VLOOKUP(MOD(C1248,7),'CALENDAR INFO'!$G$5:$H$11,2)</f>
        <v>SUN</v>
      </c>
      <c r="E1248" s="166">
        <v>4.83</v>
      </c>
      <c r="F1248" s="337">
        <v>4.8099999999999996</v>
      </c>
      <c r="G1248" s="412">
        <f t="shared" si="141"/>
        <v>-2.0000000000000462E-2</v>
      </c>
      <c r="H1248" s="345"/>
      <c r="I1248" s="143"/>
      <c r="J1248" s="162"/>
      <c r="K1248" s="190"/>
      <c r="L1248" s="404">
        <f t="shared" si="142"/>
        <v>45046</v>
      </c>
      <c r="M1248" s="64" t="str">
        <f t="shared" si="143"/>
        <v>SUN</v>
      </c>
      <c r="N1248" s="90"/>
      <c r="O1248" s="383">
        <f t="shared" si="145"/>
        <v>0</v>
      </c>
      <c r="P1248" s="388">
        <f t="shared" si="144"/>
        <v>1</v>
      </c>
    </row>
    <row r="1249" spans="1:16">
      <c r="A1249" s="83"/>
      <c r="B1249" s="179"/>
      <c r="C1249" s="406">
        <f t="shared" si="139"/>
        <v>45047</v>
      </c>
      <c r="D1249" s="86" t="str">
        <f>VLOOKUP(MOD(C1249,7),'CALENDAR INFO'!$G$5:$H$11,2)</f>
        <v>MON</v>
      </c>
      <c r="E1249" s="168">
        <v>4.83</v>
      </c>
      <c r="F1249" s="340">
        <v>4.8099999999999996</v>
      </c>
      <c r="G1249" s="414">
        <f t="shared" si="141"/>
        <v>-2.0000000000000462E-2</v>
      </c>
      <c r="H1249" s="15" t="s">
        <v>149</v>
      </c>
      <c r="I1249" s="15">
        <f>ROW(I1249)</f>
        <v>1249</v>
      </c>
      <c r="J1249" s="138">
        <f>I1249</f>
        <v>1249</v>
      </c>
      <c r="K1249" s="126"/>
      <c r="L1249" s="406">
        <f t="shared" si="142"/>
        <v>45047</v>
      </c>
      <c r="M1249" s="86" t="str">
        <f t="shared" si="143"/>
        <v>MON</v>
      </c>
      <c r="N1249" s="89"/>
      <c r="O1249" s="386">
        <f t="shared" si="145"/>
        <v>1</v>
      </c>
      <c r="P1249" s="390">
        <f t="shared" si="144"/>
        <v>1.0001336111111112</v>
      </c>
    </row>
    <row r="1250" spans="1:16">
      <c r="B1250" s="41"/>
      <c r="C1250" s="403">
        <f t="shared" si="139"/>
        <v>45048</v>
      </c>
      <c r="D1250" s="56" t="str">
        <f>VLOOKUP(MOD(C1250,7),'CALENDAR INFO'!$G$5:$H$11,2)</f>
        <v>TUE</v>
      </c>
      <c r="E1250" s="165">
        <v>4.83</v>
      </c>
      <c r="F1250" s="336">
        <v>4.8099999999999996</v>
      </c>
      <c r="G1250" s="411">
        <f t="shared" si="141"/>
        <v>-2.0000000000000462E-2</v>
      </c>
      <c r="H1250" s="376" t="s">
        <v>210</v>
      </c>
      <c r="I1250" s="15">
        <f>VLOOKUP(MONTH($C1249),'CALENDAR INFO'!$J$5:$K$16,2)</f>
        <v>31</v>
      </c>
      <c r="J1250" s="138">
        <f>I1250</f>
        <v>31</v>
      </c>
      <c r="K1250" s="126"/>
      <c r="L1250" s="403">
        <f t="shared" si="142"/>
        <v>45048</v>
      </c>
      <c r="M1250" s="56" t="str">
        <f t="shared" si="143"/>
        <v>TUE</v>
      </c>
      <c r="N1250" s="116" t="s">
        <v>20</v>
      </c>
      <c r="O1250" s="253">
        <f t="shared" si="145"/>
        <v>1</v>
      </c>
      <c r="P1250" s="392">
        <f t="shared" si="144"/>
        <v>1.0001336111111112</v>
      </c>
    </row>
    <row r="1251" spans="1:16">
      <c r="B1251" s="41"/>
      <c r="C1251" s="403">
        <f t="shared" si="139"/>
        <v>45049</v>
      </c>
      <c r="D1251" s="56" t="str">
        <f>VLOOKUP(MOD(C1251,7),'CALENDAR INFO'!$G$5:$H$11,2)</f>
        <v>WED</v>
      </c>
      <c r="E1251" s="165">
        <v>4.83</v>
      </c>
      <c r="F1251" s="336">
        <v>4.8099999999999996</v>
      </c>
      <c r="G1251" s="411">
        <f t="shared" si="141"/>
        <v>-2.0000000000000462E-2</v>
      </c>
      <c r="H1251" s="376" t="s">
        <v>211</v>
      </c>
      <c r="I1251" s="15">
        <f>I1250+I1249-1</f>
        <v>1279</v>
      </c>
      <c r="J1251" s="138">
        <f>I1251</f>
        <v>1279</v>
      </c>
      <c r="K1251" s="126" t="s">
        <v>19</v>
      </c>
      <c r="L1251" s="403">
        <f t="shared" si="142"/>
        <v>45049</v>
      </c>
      <c r="M1251" s="56" t="str">
        <f t="shared" si="143"/>
        <v>WED</v>
      </c>
      <c r="N1251" s="116" t="s">
        <v>20</v>
      </c>
      <c r="O1251" s="253">
        <f t="shared" si="145"/>
        <v>1</v>
      </c>
      <c r="P1251" s="392">
        <f t="shared" si="144"/>
        <v>1.0001336111111112</v>
      </c>
    </row>
    <row r="1252" spans="1:16">
      <c r="B1252" s="41"/>
      <c r="C1252" s="403">
        <f t="shared" si="139"/>
        <v>45050</v>
      </c>
      <c r="D1252" s="56" t="str">
        <f>VLOOKUP(MOD(C1252,7),'CALENDAR INFO'!$G$5:$H$11,2)</f>
        <v>THU</v>
      </c>
      <c r="E1252" s="165">
        <v>5.08</v>
      </c>
      <c r="F1252" s="336">
        <v>5.0599999999999996</v>
      </c>
      <c r="G1252" s="411">
        <f t="shared" si="141"/>
        <v>-2.0000000000000462E-2</v>
      </c>
      <c r="K1252" s="129" t="s">
        <v>18</v>
      </c>
      <c r="L1252" s="403">
        <f t="shared" si="142"/>
        <v>45050</v>
      </c>
      <c r="M1252" s="56" t="str">
        <f t="shared" si="143"/>
        <v>THU</v>
      </c>
      <c r="O1252" s="253">
        <f t="shared" si="145"/>
        <v>1</v>
      </c>
      <c r="P1252" s="392">
        <f t="shared" si="144"/>
        <v>1.0001405555555556</v>
      </c>
    </row>
    <row r="1253" spans="1:16">
      <c r="B1253" s="41"/>
      <c r="C1253" s="403">
        <f t="shared" si="139"/>
        <v>45051</v>
      </c>
      <c r="D1253" s="56" t="str">
        <f>VLOOKUP(MOD(C1253,7),'CALENDAR INFO'!$G$5:$H$11,2)</f>
        <v>FRI</v>
      </c>
      <c r="E1253" s="165">
        <v>5.08</v>
      </c>
      <c r="F1253" s="336">
        <v>5.0599999999999996</v>
      </c>
      <c r="G1253" s="411">
        <f t="shared" si="141"/>
        <v>-2.0000000000000462E-2</v>
      </c>
      <c r="H1253" s="15" t="s">
        <v>150</v>
      </c>
      <c r="I1253" s="137" t="str">
        <f>_xlfn.CONCAT(ADDRESS(I1249,5),":",ADDRESS(I1251,5))</f>
        <v>$E$1249:$E$1279</v>
      </c>
      <c r="J1253" s="150" t="str">
        <f>_xlfn.CONCAT(ADDRESS(J1249,6),":",ADDRESS(J1251,6))</f>
        <v>$F$1249:$F$1279</v>
      </c>
      <c r="K1253" s="129"/>
      <c r="L1253" s="403">
        <f t="shared" si="142"/>
        <v>45051</v>
      </c>
      <c r="M1253" s="56" t="str">
        <f t="shared" si="143"/>
        <v>FRI</v>
      </c>
      <c r="O1253" s="253">
        <f t="shared" si="145"/>
        <v>3</v>
      </c>
      <c r="P1253" s="392">
        <f t="shared" si="144"/>
        <v>1.0004216666666668</v>
      </c>
    </row>
    <row r="1254" spans="1:16">
      <c r="B1254" s="41"/>
      <c r="C1254" s="403">
        <f t="shared" si="139"/>
        <v>45052</v>
      </c>
      <c r="D1254" s="56" t="str">
        <f>VLOOKUP(MOD(C1254,7),'CALENDAR INFO'!$G$5:$H$11,2)</f>
        <v>SAT</v>
      </c>
      <c r="E1254" s="165">
        <v>5.08</v>
      </c>
      <c r="F1254" s="336">
        <v>5.0599999999999996</v>
      </c>
      <c r="G1254" s="411">
        <f t="shared" si="141"/>
        <v>-2.0000000000000462E-2</v>
      </c>
      <c r="K1254" s="129"/>
      <c r="L1254" s="403">
        <f t="shared" si="142"/>
        <v>45052</v>
      </c>
      <c r="M1254" s="56" t="str">
        <f t="shared" si="143"/>
        <v>SAT</v>
      </c>
      <c r="O1254" s="253">
        <f t="shared" si="145"/>
        <v>0</v>
      </c>
      <c r="P1254" s="392">
        <f t="shared" si="144"/>
        <v>1</v>
      </c>
    </row>
    <row r="1255" spans="1:16">
      <c r="B1255" s="41"/>
      <c r="C1255" s="403">
        <f t="shared" si="139"/>
        <v>45053</v>
      </c>
      <c r="D1255" s="56" t="str">
        <f>VLOOKUP(MOD(C1255,7),'CALENDAR INFO'!$G$5:$H$11,2)</f>
        <v>SUN</v>
      </c>
      <c r="E1255" s="165">
        <v>5.08</v>
      </c>
      <c r="F1255" s="336">
        <v>5.0599999999999996</v>
      </c>
      <c r="G1255" s="411">
        <f t="shared" si="141"/>
        <v>-2.0000000000000462E-2</v>
      </c>
      <c r="H1255" s="376" t="s">
        <v>221</v>
      </c>
      <c r="I1255" s="147">
        <f ca="1">AVERAGE(INDIRECT(I1253))</f>
        <v>5.0558064516129049</v>
      </c>
      <c r="J1255" s="326">
        <f ca="1">AVERAGE(INDIRECT(J1253))</f>
        <v>5.032258064516129</v>
      </c>
      <c r="K1255" s="129"/>
      <c r="L1255" s="403">
        <f t="shared" si="142"/>
        <v>45053</v>
      </c>
      <c r="M1255" s="56" t="str">
        <f t="shared" si="143"/>
        <v>SUN</v>
      </c>
      <c r="O1255" s="253">
        <f t="shared" si="145"/>
        <v>0</v>
      </c>
      <c r="P1255" s="392">
        <f t="shared" si="144"/>
        <v>1</v>
      </c>
    </row>
    <row r="1256" spans="1:16">
      <c r="B1256" s="41"/>
      <c r="C1256" s="403">
        <f t="shared" si="139"/>
        <v>45054</v>
      </c>
      <c r="D1256" s="56" t="str">
        <f>VLOOKUP(MOD(C1256,7),'CALENDAR INFO'!$G$5:$H$11,2)</f>
        <v>MON</v>
      </c>
      <c r="E1256" s="165">
        <v>5.08</v>
      </c>
      <c r="F1256" s="336">
        <v>5.0599999999999996</v>
      </c>
      <c r="G1256" s="411">
        <f t="shared" si="141"/>
        <v>-2.0000000000000462E-2</v>
      </c>
      <c r="I1256" s="240"/>
      <c r="J1256" s="157"/>
      <c r="K1256" s="129"/>
      <c r="L1256" s="403">
        <f t="shared" si="142"/>
        <v>45054</v>
      </c>
      <c r="M1256" s="56" t="str">
        <f t="shared" si="143"/>
        <v>MON</v>
      </c>
      <c r="O1256" s="253">
        <f t="shared" si="145"/>
        <v>1</v>
      </c>
      <c r="P1256" s="392">
        <f t="shared" si="144"/>
        <v>1.0001405555555556</v>
      </c>
    </row>
    <row r="1257" spans="1:16">
      <c r="B1257" s="41"/>
      <c r="C1257" s="403">
        <f t="shared" si="139"/>
        <v>45055</v>
      </c>
      <c r="D1257" s="56" t="str">
        <f>VLOOKUP(MOD(C1257,7),'CALENDAR INFO'!$G$5:$H$11,2)</f>
        <v>TUE</v>
      </c>
      <c r="E1257" s="165">
        <v>5.08</v>
      </c>
      <c r="F1257" s="336">
        <v>5.0599999999999996</v>
      </c>
      <c r="G1257" s="411">
        <f t="shared" si="141"/>
        <v>-2.0000000000000462E-2</v>
      </c>
      <c r="H1257" s="15" t="s">
        <v>222</v>
      </c>
      <c r="I1257" s="147">
        <f ca="1">100-I1255</f>
        <v>94.944193548387091</v>
      </c>
      <c r="J1257" s="326">
        <f ca="1">100-J1255</f>
        <v>94.967741935483872</v>
      </c>
      <c r="K1257" s="129"/>
      <c r="L1257" s="403">
        <f t="shared" si="142"/>
        <v>45055</v>
      </c>
      <c r="M1257" s="56" t="str">
        <f t="shared" si="143"/>
        <v>TUE</v>
      </c>
      <c r="O1257" s="253">
        <f t="shared" si="145"/>
        <v>1</v>
      </c>
      <c r="P1257" s="392">
        <f t="shared" si="144"/>
        <v>1.0001405555555556</v>
      </c>
    </row>
    <row r="1258" spans="1:16">
      <c r="B1258" s="41"/>
      <c r="C1258" s="403">
        <f t="shared" si="139"/>
        <v>45056</v>
      </c>
      <c r="D1258" s="56" t="str">
        <f>VLOOKUP(MOD(C1258,7),'CALENDAR INFO'!$G$5:$H$11,2)</f>
        <v>WED</v>
      </c>
      <c r="E1258" s="165">
        <v>5.08</v>
      </c>
      <c r="F1258" s="336">
        <v>5.0599999999999996</v>
      </c>
      <c r="G1258" s="411">
        <f t="shared" si="141"/>
        <v>-2.0000000000000462E-2</v>
      </c>
      <c r="I1258" s="137"/>
      <c r="J1258" s="150"/>
      <c r="K1258" s="129"/>
      <c r="L1258" s="403">
        <f t="shared" si="142"/>
        <v>45056</v>
      </c>
      <c r="M1258" s="56" t="str">
        <f t="shared" si="143"/>
        <v>WED</v>
      </c>
      <c r="O1258" s="253">
        <f t="shared" si="145"/>
        <v>1</v>
      </c>
      <c r="P1258" s="392">
        <f t="shared" si="144"/>
        <v>1.0001405555555556</v>
      </c>
    </row>
    <row r="1259" spans="1:16">
      <c r="B1259" s="41"/>
      <c r="C1259" s="403">
        <f t="shared" si="139"/>
        <v>45057</v>
      </c>
      <c r="D1259" s="56" t="str">
        <f>VLOOKUP(MOD(C1259,7),'CALENDAR INFO'!$G$5:$H$11,2)</f>
        <v>THU</v>
      </c>
      <c r="E1259" s="165">
        <v>5.08</v>
      </c>
      <c r="F1259" s="336">
        <v>5.05</v>
      </c>
      <c r="G1259" s="411">
        <f t="shared" si="141"/>
        <v>-3.0000000000000249E-2</v>
      </c>
      <c r="H1259" s="136"/>
      <c r="I1259" s="139"/>
      <c r="J1259" s="151"/>
      <c r="K1259" s="129"/>
      <c r="L1259" s="403">
        <f t="shared" si="142"/>
        <v>45057</v>
      </c>
      <c r="M1259" s="56" t="str">
        <f t="shared" si="143"/>
        <v>THU</v>
      </c>
      <c r="O1259" s="253">
        <f t="shared" si="145"/>
        <v>1</v>
      </c>
      <c r="P1259" s="392">
        <f t="shared" si="144"/>
        <v>1.0001402777777777</v>
      </c>
    </row>
    <row r="1260" spans="1:16">
      <c r="B1260" s="41"/>
      <c r="C1260" s="403">
        <f t="shared" si="139"/>
        <v>45058</v>
      </c>
      <c r="D1260" s="56" t="str">
        <f>VLOOKUP(MOD(C1260,7),'CALENDAR INFO'!$G$5:$H$11,2)</f>
        <v>FRI</v>
      </c>
      <c r="E1260" s="165">
        <v>5.08</v>
      </c>
      <c r="F1260" s="336">
        <v>5.05</v>
      </c>
      <c r="G1260" s="411">
        <f t="shared" si="141"/>
        <v>-3.0000000000000249E-2</v>
      </c>
      <c r="H1260" s="136"/>
      <c r="I1260" s="139"/>
      <c r="J1260" s="151"/>
      <c r="K1260" s="129"/>
      <c r="L1260" s="403">
        <f t="shared" si="142"/>
        <v>45058</v>
      </c>
      <c r="M1260" s="56" t="str">
        <f t="shared" si="143"/>
        <v>FRI</v>
      </c>
      <c r="O1260" s="253">
        <f t="shared" si="145"/>
        <v>3</v>
      </c>
      <c r="P1260" s="392">
        <f t="shared" si="144"/>
        <v>1.0004208333333333</v>
      </c>
    </row>
    <row r="1261" spans="1:16">
      <c r="B1261" s="41"/>
      <c r="C1261" s="403">
        <f t="shared" si="139"/>
        <v>45059</v>
      </c>
      <c r="D1261" s="56" t="str">
        <f>VLOOKUP(MOD(C1261,7),'CALENDAR INFO'!$G$5:$H$11,2)</f>
        <v>SAT</v>
      </c>
      <c r="E1261" s="165">
        <v>5.08</v>
      </c>
      <c r="F1261" s="336">
        <v>5.05</v>
      </c>
      <c r="G1261" s="411">
        <f t="shared" si="141"/>
        <v>-3.0000000000000249E-2</v>
      </c>
      <c r="H1261" s="136"/>
      <c r="I1261" s="139"/>
      <c r="J1261" s="151"/>
      <c r="K1261" s="129"/>
      <c r="L1261" s="403">
        <f t="shared" si="142"/>
        <v>45059</v>
      </c>
      <c r="M1261" s="56" t="str">
        <f t="shared" si="143"/>
        <v>SAT</v>
      </c>
      <c r="O1261" s="253">
        <f t="shared" si="145"/>
        <v>0</v>
      </c>
      <c r="P1261" s="392">
        <f t="shared" si="144"/>
        <v>1</v>
      </c>
    </row>
    <row r="1262" spans="1:16">
      <c r="B1262" s="41"/>
      <c r="C1262" s="403">
        <f t="shared" si="139"/>
        <v>45060</v>
      </c>
      <c r="D1262" s="56" t="str">
        <f>VLOOKUP(MOD(C1262,7),'CALENDAR INFO'!$G$5:$H$11,2)</f>
        <v>SUN</v>
      </c>
      <c r="E1262" s="165">
        <v>5.08</v>
      </c>
      <c r="F1262" s="336">
        <v>5.05</v>
      </c>
      <c r="G1262" s="411">
        <f t="shared" si="141"/>
        <v>-3.0000000000000249E-2</v>
      </c>
      <c r="K1262" s="129"/>
      <c r="L1262" s="403">
        <f t="shared" si="142"/>
        <v>45060</v>
      </c>
      <c r="M1262" s="56" t="str">
        <f t="shared" si="143"/>
        <v>SUN</v>
      </c>
      <c r="O1262" s="253">
        <f t="shared" si="145"/>
        <v>0</v>
      </c>
      <c r="P1262" s="392">
        <f t="shared" si="144"/>
        <v>1</v>
      </c>
    </row>
    <row r="1263" spans="1:16">
      <c r="B1263" s="41"/>
      <c r="C1263" s="403">
        <f t="shared" si="139"/>
        <v>45061</v>
      </c>
      <c r="D1263" s="56" t="str">
        <f>VLOOKUP(MOD(C1263,7),'CALENDAR INFO'!$G$5:$H$11,2)</f>
        <v>MON</v>
      </c>
      <c r="E1263" s="165">
        <v>5.08</v>
      </c>
      <c r="F1263" s="336">
        <v>5.0599999999999996</v>
      </c>
      <c r="G1263" s="411">
        <f t="shared" si="141"/>
        <v>-2.0000000000000462E-2</v>
      </c>
      <c r="H1263" s="135"/>
      <c r="I1263" s="144"/>
      <c r="J1263" s="152"/>
      <c r="K1263" s="129"/>
      <c r="L1263" s="403">
        <f t="shared" si="142"/>
        <v>45061</v>
      </c>
      <c r="M1263" s="56" t="str">
        <f t="shared" si="143"/>
        <v>MON</v>
      </c>
      <c r="O1263" s="253">
        <f t="shared" si="145"/>
        <v>1</v>
      </c>
      <c r="P1263" s="392">
        <f t="shared" si="144"/>
        <v>1.0001405555555556</v>
      </c>
    </row>
    <row r="1264" spans="1:16">
      <c r="B1264" s="41"/>
      <c r="C1264" s="403">
        <f t="shared" si="139"/>
        <v>45062</v>
      </c>
      <c r="D1264" s="56" t="str">
        <f>VLOOKUP(MOD(C1264,7),'CALENDAR INFO'!$G$5:$H$11,2)</f>
        <v>TUE</v>
      </c>
      <c r="E1264" s="165">
        <v>5.08</v>
      </c>
      <c r="F1264" s="336">
        <v>5.05</v>
      </c>
      <c r="G1264" s="411">
        <f t="shared" si="141"/>
        <v>-3.0000000000000249E-2</v>
      </c>
      <c r="K1264" s="129"/>
      <c r="L1264" s="403">
        <f t="shared" si="142"/>
        <v>45062</v>
      </c>
      <c r="M1264" s="56" t="str">
        <f t="shared" si="143"/>
        <v>TUE</v>
      </c>
      <c r="O1264" s="253">
        <f t="shared" si="145"/>
        <v>1</v>
      </c>
      <c r="P1264" s="392">
        <f t="shared" si="144"/>
        <v>1.0001402777777777</v>
      </c>
    </row>
    <row r="1265" spans="1:18">
      <c r="B1265" s="41"/>
      <c r="C1265" s="403">
        <f t="shared" si="139"/>
        <v>45063</v>
      </c>
      <c r="D1265" s="56" t="str">
        <f>VLOOKUP(MOD(C1265,7),'CALENDAR INFO'!$G$5:$H$11,2)</f>
        <v>WED</v>
      </c>
      <c r="E1265" s="165">
        <v>5.08</v>
      </c>
      <c r="F1265" s="336">
        <v>5.05</v>
      </c>
      <c r="G1265" s="411">
        <f t="shared" si="141"/>
        <v>-3.0000000000000249E-2</v>
      </c>
      <c r="K1265" s="129" t="s">
        <v>19</v>
      </c>
      <c r="L1265" s="403">
        <f t="shared" si="142"/>
        <v>45063</v>
      </c>
      <c r="M1265" s="56" t="str">
        <f t="shared" si="143"/>
        <v>WED</v>
      </c>
      <c r="O1265" s="253">
        <f t="shared" si="145"/>
        <v>1</v>
      </c>
      <c r="P1265" s="392">
        <f t="shared" si="144"/>
        <v>1.0001402777777777</v>
      </c>
    </row>
    <row r="1266" spans="1:18">
      <c r="B1266" s="41"/>
      <c r="C1266" s="403">
        <f t="shared" si="139"/>
        <v>45064</v>
      </c>
      <c r="D1266" s="56" t="str">
        <f>VLOOKUP(MOD(C1266,7),'CALENDAR INFO'!$G$5:$H$11,2)</f>
        <v>THU</v>
      </c>
      <c r="E1266" s="165">
        <v>5.08</v>
      </c>
      <c r="F1266" s="336">
        <v>5.05</v>
      </c>
      <c r="G1266" s="411">
        <f t="shared" si="141"/>
        <v>-3.0000000000000249E-2</v>
      </c>
      <c r="K1266" s="126" t="s">
        <v>18</v>
      </c>
      <c r="L1266" s="403">
        <f t="shared" si="142"/>
        <v>45064</v>
      </c>
      <c r="M1266" s="56" t="str">
        <f t="shared" si="143"/>
        <v>THU</v>
      </c>
      <c r="O1266" s="253">
        <f t="shared" si="145"/>
        <v>1</v>
      </c>
      <c r="P1266" s="392">
        <f t="shared" si="144"/>
        <v>1.0001402777777777</v>
      </c>
    </row>
    <row r="1267" spans="1:18">
      <c r="B1267" s="41"/>
      <c r="C1267" s="403">
        <f t="shared" si="139"/>
        <v>45065</v>
      </c>
      <c r="D1267" s="56" t="str">
        <f>VLOOKUP(MOD(C1267,7),'CALENDAR INFO'!$G$5:$H$11,2)</f>
        <v>FRI</v>
      </c>
      <c r="E1267" s="165">
        <v>5.08</v>
      </c>
      <c r="F1267" s="336">
        <v>5.05</v>
      </c>
      <c r="G1267" s="411">
        <f t="shared" si="141"/>
        <v>-3.0000000000000249E-2</v>
      </c>
      <c r="K1267" s="126"/>
      <c r="L1267" s="403">
        <f t="shared" si="142"/>
        <v>45065</v>
      </c>
      <c r="M1267" s="56" t="str">
        <f t="shared" si="143"/>
        <v>FRI</v>
      </c>
      <c r="O1267" s="253">
        <f t="shared" si="145"/>
        <v>3</v>
      </c>
      <c r="P1267" s="392">
        <f t="shared" si="144"/>
        <v>1.0004208333333333</v>
      </c>
    </row>
    <row r="1268" spans="1:18">
      <c r="B1268" s="41"/>
      <c r="C1268" s="403">
        <f t="shared" si="139"/>
        <v>45066</v>
      </c>
      <c r="D1268" s="56" t="str">
        <f>VLOOKUP(MOD(C1268,7),'CALENDAR INFO'!$G$5:$H$11,2)</f>
        <v>SAT</v>
      </c>
      <c r="E1268" s="165">
        <v>5.08</v>
      </c>
      <c r="F1268" s="336">
        <v>5.05</v>
      </c>
      <c r="G1268" s="411">
        <f t="shared" si="141"/>
        <v>-3.0000000000000249E-2</v>
      </c>
      <c r="K1268" s="126"/>
      <c r="L1268" s="403">
        <f t="shared" si="142"/>
        <v>45066</v>
      </c>
      <c r="M1268" s="56" t="str">
        <f t="shared" si="143"/>
        <v>SAT</v>
      </c>
      <c r="O1268" s="253">
        <f t="shared" si="145"/>
        <v>0</v>
      </c>
      <c r="P1268" s="392">
        <f t="shared" si="144"/>
        <v>1</v>
      </c>
    </row>
    <row r="1269" spans="1:18">
      <c r="B1269" s="41"/>
      <c r="C1269" s="403">
        <f t="shared" ref="C1269:C1332" si="146">C1268+1</f>
        <v>45067</v>
      </c>
      <c r="D1269" s="56" t="str">
        <f>VLOOKUP(MOD(C1269,7),'CALENDAR INFO'!$G$5:$H$11,2)</f>
        <v>SUN</v>
      </c>
      <c r="E1269" s="165">
        <v>5.08</v>
      </c>
      <c r="F1269" s="336">
        <v>5.05</v>
      </c>
      <c r="G1269" s="411">
        <f t="shared" si="141"/>
        <v>-3.0000000000000249E-2</v>
      </c>
      <c r="K1269" s="126"/>
      <c r="L1269" s="403">
        <f t="shared" si="142"/>
        <v>45067</v>
      </c>
      <c r="M1269" s="56" t="str">
        <f t="shared" si="143"/>
        <v>SUN</v>
      </c>
      <c r="O1269" s="253">
        <f t="shared" si="145"/>
        <v>0</v>
      </c>
      <c r="P1269" s="392">
        <f t="shared" si="144"/>
        <v>1</v>
      </c>
    </row>
    <row r="1270" spans="1:18">
      <c r="B1270" s="41"/>
      <c r="C1270" s="403">
        <f t="shared" si="146"/>
        <v>45068</v>
      </c>
      <c r="D1270" s="56" t="str">
        <f>VLOOKUP(MOD(C1270,7),'CALENDAR INFO'!$G$5:$H$11,2)</f>
        <v>MON</v>
      </c>
      <c r="E1270" s="165">
        <v>5.08</v>
      </c>
      <c r="F1270" s="336">
        <v>5.05</v>
      </c>
      <c r="G1270" s="411">
        <f t="shared" si="141"/>
        <v>-3.0000000000000249E-2</v>
      </c>
      <c r="K1270" s="126"/>
      <c r="L1270" s="403">
        <f t="shared" si="142"/>
        <v>45068</v>
      </c>
      <c r="M1270" s="56" t="str">
        <f t="shared" si="143"/>
        <v>MON</v>
      </c>
      <c r="O1270" s="253">
        <f t="shared" si="145"/>
        <v>1</v>
      </c>
      <c r="P1270" s="392">
        <f t="shared" si="144"/>
        <v>1.0001402777777777</v>
      </c>
    </row>
    <row r="1271" spans="1:18">
      <c r="B1271" s="41"/>
      <c r="C1271" s="403">
        <f t="shared" si="146"/>
        <v>45069</v>
      </c>
      <c r="D1271" s="56" t="str">
        <f>VLOOKUP(MOD(C1271,7),'CALENDAR INFO'!$G$5:$H$11,2)</f>
        <v>TUE</v>
      </c>
      <c r="E1271" s="165">
        <v>5.08</v>
      </c>
      <c r="F1271" s="336">
        <v>5.05</v>
      </c>
      <c r="G1271" s="411">
        <f t="shared" si="141"/>
        <v>-3.0000000000000249E-2</v>
      </c>
      <c r="K1271" s="126"/>
      <c r="L1271" s="403">
        <f t="shared" si="142"/>
        <v>45069</v>
      </c>
      <c r="M1271" s="56" t="str">
        <f t="shared" si="143"/>
        <v>TUE</v>
      </c>
      <c r="O1271" s="253">
        <f t="shared" si="145"/>
        <v>1</v>
      </c>
      <c r="P1271" s="392">
        <f t="shared" si="144"/>
        <v>1.0001402777777777</v>
      </c>
    </row>
    <row r="1272" spans="1:18">
      <c r="B1272" s="41"/>
      <c r="C1272" s="403">
        <f t="shared" si="146"/>
        <v>45070</v>
      </c>
      <c r="D1272" s="56" t="str">
        <f>VLOOKUP(MOD(C1272,7),'CALENDAR INFO'!$G$5:$H$11,2)</f>
        <v>WED</v>
      </c>
      <c r="E1272" s="165">
        <v>5.08</v>
      </c>
      <c r="F1272" s="336">
        <v>5.05</v>
      </c>
      <c r="G1272" s="411">
        <f t="shared" si="141"/>
        <v>-3.0000000000000249E-2</v>
      </c>
      <c r="K1272" s="126"/>
      <c r="L1272" s="403">
        <f t="shared" si="142"/>
        <v>45070</v>
      </c>
      <c r="M1272" s="56" t="str">
        <f t="shared" si="143"/>
        <v>WED</v>
      </c>
      <c r="O1272" s="253">
        <f t="shared" si="145"/>
        <v>1</v>
      </c>
      <c r="P1272" s="392">
        <f t="shared" si="144"/>
        <v>1.0001402777777777</v>
      </c>
    </row>
    <row r="1273" spans="1:18">
      <c r="B1273" s="41"/>
      <c r="C1273" s="403">
        <f t="shared" si="146"/>
        <v>45071</v>
      </c>
      <c r="D1273" s="56" t="str">
        <f>VLOOKUP(MOD(C1273,7),'CALENDAR INFO'!$G$5:$H$11,2)</f>
        <v>THU</v>
      </c>
      <c r="E1273" s="165">
        <v>5.08</v>
      </c>
      <c r="F1273" s="336">
        <v>5.0599999999999996</v>
      </c>
      <c r="G1273" s="411">
        <f t="shared" si="141"/>
        <v>-2.0000000000000462E-2</v>
      </c>
      <c r="K1273" s="126"/>
      <c r="L1273" s="403">
        <f t="shared" si="142"/>
        <v>45071</v>
      </c>
      <c r="M1273" s="56" t="str">
        <f t="shared" si="143"/>
        <v>THU</v>
      </c>
      <c r="O1273" s="253">
        <f t="shared" si="145"/>
        <v>1</v>
      </c>
      <c r="P1273" s="392">
        <f t="shared" si="144"/>
        <v>1.0001405555555556</v>
      </c>
    </row>
    <row r="1274" spans="1:18">
      <c r="B1274" s="41"/>
      <c r="C1274" s="403">
        <f t="shared" si="146"/>
        <v>45072</v>
      </c>
      <c r="D1274" s="56" t="str">
        <f>VLOOKUP(MOD(C1274,7),'CALENDAR INFO'!$G$5:$H$11,2)</f>
        <v>FRI</v>
      </c>
      <c r="E1274" s="165">
        <v>5.08</v>
      </c>
      <c r="F1274" s="336">
        <v>5.0599999999999996</v>
      </c>
      <c r="G1274" s="411">
        <f t="shared" si="141"/>
        <v>-2.0000000000000462E-2</v>
      </c>
      <c r="K1274" s="126"/>
      <c r="L1274" s="403">
        <f t="shared" si="142"/>
        <v>45072</v>
      </c>
      <c r="M1274" s="56" t="str">
        <f t="shared" si="143"/>
        <v>FRI</v>
      </c>
      <c r="O1274" s="384">
        <v>4</v>
      </c>
      <c r="P1274" s="392">
        <f t="shared" si="144"/>
        <v>1.0005622222222221</v>
      </c>
    </row>
    <row r="1275" spans="1:18">
      <c r="B1275" s="41"/>
      <c r="C1275" s="403">
        <f t="shared" si="146"/>
        <v>45073</v>
      </c>
      <c r="D1275" s="56" t="str">
        <f>VLOOKUP(MOD(C1275,7),'CALENDAR INFO'!$G$5:$H$11,2)</f>
        <v>SAT</v>
      </c>
      <c r="E1275" s="165">
        <v>5.08</v>
      </c>
      <c r="F1275" s="336">
        <v>5.0599999999999996</v>
      </c>
      <c r="G1275" s="411">
        <f t="shared" si="141"/>
        <v>-2.0000000000000462E-2</v>
      </c>
      <c r="I1275" s="137"/>
      <c r="K1275" s="126"/>
      <c r="L1275" s="403">
        <f t="shared" si="142"/>
        <v>45073</v>
      </c>
      <c r="M1275" s="56" t="str">
        <f t="shared" si="143"/>
        <v>SAT</v>
      </c>
      <c r="O1275" s="253">
        <f>IF(MOD(C1275,7)&lt;2,0,IF(MOD(C1275,7)=6,3,1))</f>
        <v>0</v>
      </c>
      <c r="P1275" s="392">
        <f t="shared" si="144"/>
        <v>1</v>
      </c>
      <c r="Q1275" s="21"/>
      <c r="R1275" s="221"/>
    </row>
    <row r="1276" spans="1:18">
      <c r="B1276" s="41"/>
      <c r="C1276" s="403">
        <f t="shared" si="146"/>
        <v>45074</v>
      </c>
      <c r="D1276" s="56" t="str">
        <f>VLOOKUP(MOD(C1276,7),'CALENDAR INFO'!$G$5:$H$11,2)</f>
        <v>SUN</v>
      </c>
      <c r="E1276" s="165">
        <v>5.08</v>
      </c>
      <c r="F1276" s="336">
        <v>5.0599999999999996</v>
      </c>
      <c r="G1276" s="411">
        <f t="shared" si="141"/>
        <v>-2.0000000000000462E-2</v>
      </c>
      <c r="H1276" s="115"/>
      <c r="I1276" s="141"/>
      <c r="J1276" s="158"/>
      <c r="K1276" s="126"/>
      <c r="L1276" s="403">
        <f t="shared" si="142"/>
        <v>45074</v>
      </c>
      <c r="M1276" s="56" t="str">
        <f t="shared" si="143"/>
        <v>SUN</v>
      </c>
      <c r="O1276" s="253">
        <f>IF(MOD(C1276,7)&lt;2,0,IF(MOD(C1276,7)=6,3,1))</f>
        <v>0</v>
      </c>
      <c r="P1276" s="392">
        <f t="shared" si="144"/>
        <v>1</v>
      </c>
      <c r="Q1276" s="21"/>
      <c r="R1276" s="222"/>
    </row>
    <row r="1277" spans="1:18">
      <c r="B1277" s="41"/>
      <c r="C1277" s="403">
        <f t="shared" si="146"/>
        <v>45075</v>
      </c>
      <c r="D1277" s="56" t="str">
        <f>VLOOKUP(MOD(C1277,7),'CALENDAR INFO'!$G$5:$H$11,2)</f>
        <v>MON</v>
      </c>
      <c r="E1277" s="165">
        <v>5.08</v>
      </c>
      <c r="F1277" s="336">
        <v>5.0599999999999996</v>
      </c>
      <c r="G1277" s="411">
        <f t="shared" si="141"/>
        <v>-2.0000000000000462E-2</v>
      </c>
      <c r="H1277" s="115"/>
      <c r="I1277" s="148"/>
      <c r="J1277" s="160"/>
      <c r="K1277" s="126"/>
      <c r="L1277" s="403">
        <f t="shared" si="142"/>
        <v>45075</v>
      </c>
      <c r="M1277" s="56" t="str">
        <f t="shared" si="143"/>
        <v>MON</v>
      </c>
      <c r="N1277" s="132" t="s">
        <v>40</v>
      </c>
      <c r="O1277" s="384">
        <v>0</v>
      </c>
      <c r="P1277" s="392">
        <f t="shared" si="144"/>
        <v>1</v>
      </c>
      <c r="Q1277" s="21"/>
      <c r="R1277" s="222"/>
    </row>
    <row r="1278" spans="1:18">
      <c r="B1278" s="41"/>
      <c r="C1278" s="403">
        <f t="shared" si="146"/>
        <v>45076</v>
      </c>
      <c r="D1278" s="56" t="str">
        <f>VLOOKUP(MOD(C1278,7),'CALENDAR INFO'!$G$5:$H$11,2)</f>
        <v>TUE</v>
      </c>
      <c r="E1278" s="165">
        <v>5.08</v>
      </c>
      <c r="F1278" s="336">
        <v>5.0599999999999996</v>
      </c>
      <c r="G1278" s="411">
        <f t="shared" si="141"/>
        <v>-2.0000000000000462E-2</v>
      </c>
      <c r="H1278" s="115"/>
      <c r="I1278" s="141"/>
      <c r="J1278" s="158"/>
      <c r="K1278" s="126"/>
      <c r="L1278" s="403">
        <f t="shared" si="142"/>
        <v>45076</v>
      </c>
      <c r="M1278" s="56" t="str">
        <f t="shared" si="143"/>
        <v>TUE</v>
      </c>
      <c r="O1278" s="253">
        <f t="shared" ref="O1278:O1294" si="147">IF(MOD(C1278,7)&lt;2,0,IF(MOD(C1278,7)=6,3,1))</f>
        <v>1</v>
      </c>
      <c r="P1278" s="392">
        <f t="shared" si="144"/>
        <v>1.0001405555555556</v>
      </c>
    </row>
    <row r="1279" spans="1:18" ht="15.75" thickBot="1">
      <c r="A1279" s="81"/>
      <c r="B1279" s="178"/>
      <c r="C1279" s="404">
        <f t="shared" si="146"/>
        <v>45077</v>
      </c>
      <c r="D1279" s="64" t="str">
        <f>VLOOKUP(MOD(C1279,7),'CALENDAR INFO'!$G$5:$H$11,2)</f>
        <v>WED</v>
      </c>
      <c r="E1279" s="166">
        <v>5.08</v>
      </c>
      <c r="F1279" s="337">
        <v>5.08</v>
      </c>
      <c r="G1279" s="412">
        <f t="shared" si="141"/>
        <v>0</v>
      </c>
      <c r="H1279" s="345"/>
      <c r="I1279" s="143"/>
      <c r="J1279" s="162"/>
      <c r="K1279" s="190" t="s">
        <v>19</v>
      </c>
      <c r="L1279" s="404">
        <f t="shared" si="142"/>
        <v>45077</v>
      </c>
      <c r="M1279" s="64" t="str">
        <f t="shared" si="143"/>
        <v>WED</v>
      </c>
      <c r="N1279" s="90"/>
      <c r="O1279" s="383">
        <f t="shared" si="147"/>
        <v>1</v>
      </c>
      <c r="P1279" s="388">
        <f t="shared" si="144"/>
        <v>1.0001411111111111</v>
      </c>
    </row>
    <row r="1280" spans="1:18">
      <c r="A1280" s="83"/>
      <c r="B1280" s="179"/>
      <c r="C1280" s="406">
        <f t="shared" si="146"/>
        <v>45078</v>
      </c>
      <c r="D1280" s="86" t="str">
        <f>VLOOKUP(MOD(C1280,7),'CALENDAR INFO'!$G$5:$H$11,2)</f>
        <v>THU</v>
      </c>
      <c r="E1280" s="168">
        <v>5.08</v>
      </c>
      <c r="F1280" s="340">
        <v>5.08</v>
      </c>
      <c r="G1280" s="414">
        <f t="shared" si="141"/>
        <v>0</v>
      </c>
      <c r="H1280" s="15" t="s">
        <v>149</v>
      </c>
      <c r="I1280" s="15">
        <f>ROW(I1280)</f>
        <v>1280</v>
      </c>
      <c r="J1280" s="138">
        <f>I1280</f>
        <v>1280</v>
      </c>
      <c r="K1280" s="129" t="s">
        <v>18</v>
      </c>
      <c r="L1280" s="406">
        <f t="shared" si="142"/>
        <v>45078</v>
      </c>
      <c r="M1280" s="86" t="str">
        <f t="shared" si="143"/>
        <v>THU</v>
      </c>
      <c r="N1280" s="89"/>
      <c r="O1280" s="386">
        <f t="shared" si="147"/>
        <v>1</v>
      </c>
      <c r="P1280" s="390">
        <f t="shared" si="144"/>
        <v>1.0001411111111111</v>
      </c>
    </row>
    <row r="1281" spans="2:18">
      <c r="B1281" s="41"/>
      <c r="C1281" s="403">
        <f t="shared" si="146"/>
        <v>45079</v>
      </c>
      <c r="D1281" s="56" t="str">
        <f>VLOOKUP(MOD(C1281,7),'CALENDAR INFO'!$G$5:$H$11,2)</f>
        <v>FRI</v>
      </c>
      <c r="E1281" s="165">
        <v>5.08</v>
      </c>
      <c r="F1281" s="336">
        <v>5.07</v>
      </c>
      <c r="G1281" s="411">
        <f t="shared" si="141"/>
        <v>-9.9999999999997868E-3</v>
      </c>
      <c r="H1281" s="376" t="s">
        <v>210</v>
      </c>
      <c r="I1281" s="15">
        <f>VLOOKUP(MONTH($C1280),'CALENDAR INFO'!$J$5:$K$16,2)</f>
        <v>30</v>
      </c>
      <c r="J1281" s="138">
        <f>I1281</f>
        <v>30</v>
      </c>
      <c r="K1281" s="129"/>
      <c r="L1281" s="403">
        <f t="shared" si="142"/>
        <v>45079</v>
      </c>
      <c r="M1281" s="56" t="str">
        <f t="shared" si="143"/>
        <v>FRI</v>
      </c>
      <c r="O1281" s="253">
        <f t="shared" si="147"/>
        <v>3</v>
      </c>
      <c r="P1281" s="392">
        <f t="shared" si="144"/>
        <v>1.0004225</v>
      </c>
    </row>
    <row r="1282" spans="2:18">
      <c r="B1282" s="41"/>
      <c r="C1282" s="403">
        <f t="shared" si="146"/>
        <v>45080</v>
      </c>
      <c r="D1282" s="56" t="str">
        <f>VLOOKUP(MOD(C1282,7),'CALENDAR INFO'!$G$5:$H$11,2)</f>
        <v>SAT</v>
      </c>
      <c r="E1282" s="165">
        <v>5.08</v>
      </c>
      <c r="F1282" s="336">
        <v>5.07</v>
      </c>
      <c r="G1282" s="411">
        <f t="shared" si="141"/>
        <v>-9.9999999999997868E-3</v>
      </c>
      <c r="H1282" s="376" t="s">
        <v>211</v>
      </c>
      <c r="I1282" s="15">
        <f>I1281+I1280-1</f>
        <v>1309</v>
      </c>
      <c r="J1282" s="138">
        <f>I1282</f>
        <v>1309</v>
      </c>
      <c r="K1282" s="129"/>
      <c r="L1282" s="403">
        <f t="shared" si="142"/>
        <v>45080</v>
      </c>
      <c r="M1282" s="56" t="str">
        <f t="shared" si="143"/>
        <v>SAT</v>
      </c>
      <c r="O1282" s="253">
        <f t="shared" si="147"/>
        <v>0</v>
      </c>
      <c r="P1282" s="392">
        <f t="shared" si="144"/>
        <v>1</v>
      </c>
    </row>
    <row r="1283" spans="2:18">
      <c r="B1283" s="41"/>
      <c r="C1283" s="403">
        <f t="shared" si="146"/>
        <v>45081</v>
      </c>
      <c r="D1283" s="56" t="str">
        <f>VLOOKUP(MOD(C1283,7),'CALENDAR INFO'!$G$5:$H$11,2)</f>
        <v>SUN</v>
      </c>
      <c r="E1283" s="165">
        <v>5.08</v>
      </c>
      <c r="F1283" s="336">
        <v>5.07</v>
      </c>
      <c r="G1283" s="411">
        <f t="shared" ref="G1283:G1346" si="148">F1283-E1283</f>
        <v>-9.9999999999997868E-3</v>
      </c>
      <c r="K1283" s="129"/>
      <c r="L1283" s="403">
        <f t="shared" ref="L1283:L1346" si="149">C1283</f>
        <v>45081</v>
      </c>
      <c r="M1283" s="56" t="str">
        <f t="shared" ref="M1283:M1346" si="150">D1283</f>
        <v>SUN</v>
      </c>
      <c r="O1283" s="253">
        <f t="shared" si="147"/>
        <v>0</v>
      </c>
      <c r="P1283" s="392">
        <f t="shared" si="144"/>
        <v>1</v>
      </c>
    </row>
    <row r="1284" spans="2:18">
      <c r="B1284" s="41"/>
      <c r="C1284" s="403">
        <f t="shared" si="146"/>
        <v>45082</v>
      </c>
      <c r="D1284" s="56" t="str">
        <f>VLOOKUP(MOD(C1284,7),'CALENDAR INFO'!$G$5:$H$11,2)</f>
        <v>MON</v>
      </c>
      <c r="E1284" s="165">
        <v>5.08</v>
      </c>
      <c r="F1284" s="336">
        <v>5.0599999999999996</v>
      </c>
      <c r="G1284" s="411">
        <f t="shared" si="148"/>
        <v>-2.0000000000000462E-2</v>
      </c>
      <c r="H1284" s="15" t="s">
        <v>150</v>
      </c>
      <c r="I1284" s="137" t="str">
        <f>_xlfn.CONCAT(ADDRESS(I1280,5),":",ADDRESS(I1282,5))</f>
        <v>$E$1280:$E$1309</v>
      </c>
      <c r="J1284" s="150" t="str">
        <f>_xlfn.CONCAT(ADDRESS(J1280,6),":",ADDRESS(J1282,6))</f>
        <v>$F$1280:$F$1309</v>
      </c>
      <c r="K1284" s="129"/>
      <c r="L1284" s="403">
        <f t="shared" si="149"/>
        <v>45082</v>
      </c>
      <c r="M1284" s="56" t="str">
        <f t="shared" si="150"/>
        <v>MON</v>
      </c>
      <c r="O1284" s="253">
        <f t="shared" si="147"/>
        <v>1</v>
      </c>
      <c r="P1284" s="392">
        <f t="shared" si="144"/>
        <v>1.0001405555555556</v>
      </c>
    </row>
    <row r="1285" spans="2:18">
      <c r="B1285" s="41"/>
      <c r="C1285" s="403">
        <f t="shared" si="146"/>
        <v>45083</v>
      </c>
      <c r="D1285" s="56" t="str">
        <f>VLOOKUP(MOD(C1285,7),'CALENDAR INFO'!$G$5:$H$11,2)</f>
        <v>TUE</v>
      </c>
      <c r="E1285" s="165">
        <v>5.08</v>
      </c>
      <c r="F1285" s="336">
        <v>5.05</v>
      </c>
      <c r="G1285" s="411">
        <f t="shared" si="148"/>
        <v>-3.0000000000000249E-2</v>
      </c>
      <c r="K1285" s="129"/>
      <c r="L1285" s="403">
        <f t="shared" si="149"/>
        <v>45083</v>
      </c>
      <c r="M1285" s="56" t="str">
        <f t="shared" si="150"/>
        <v>TUE</v>
      </c>
      <c r="O1285" s="253">
        <f t="shared" si="147"/>
        <v>1</v>
      </c>
      <c r="P1285" s="392">
        <f t="shared" si="144"/>
        <v>1.0001402777777777</v>
      </c>
    </row>
    <row r="1286" spans="2:18">
      <c r="B1286" s="41"/>
      <c r="C1286" s="403">
        <f t="shared" si="146"/>
        <v>45084</v>
      </c>
      <c r="D1286" s="56" t="str">
        <f>VLOOKUP(MOD(C1286,7),'CALENDAR INFO'!$G$5:$H$11,2)</f>
        <v>WED</v>
      </c>
      <c r="E1286" s="165">
        <v>5.08</v>
      </c>
      <c r="F1286" s="336">
        <v>5.05</v>
      </c>
      <c r="G1286" s="411">
        <f t="shared" si="148"/>
        <v>-3.0000000000000249E-2</v>
      </c>
      <c r="H1286" s="376" t="s">
        <v>221</v>
      </c>
      <c r="I1286" s="147">
        <f ca="1">AVERAGE(INDIRECT(I1284))</f>
        <v>5.0763333333333316</v>
      </c>
      <c r="J1286" s="326">
        <f ca="1">AVERAGE(INDIRECT(J1284))</f>
        <v>5.0556666666666663</v>
      </c>
      <c r="K1286" s="129"/>
      <c r="L1286" s="403">
        <f t="shared" si="149"/>
        <v>45084</v>
      </c>
      <c r="M1286" s="56" t="str">
        <f t="shared" si="150"/>
        <v>WED</v>
      </c>
      <c r="O1286" s="253">
        <f t="shared" si="147"/>
        <v>1</v>
      </c>
      <c r="P1286" s="392">
        <f t="shared" si="144"/>
        <v>1.0001402777777777</v>
      </c>
    </row>
    <row r="1287" spans="2:18">
      <c r="B1287" s="41"/>
      <c r="C1287" s="403">
        <f t="shared" si="146"/>
        <v>45085</v>
      </c>
      <c r="D1287" s="56" t="str">
        <f>VLOOKUP(MOD(C1287,7),'CALENDAR INFO'!$G$5:$H$11,2)</f>
        <v>THU</v>
      </c>
      <c r="E1287" s="165">
        <v>5.08</v>
      </c>
      <c r="F1287" s="336">
        <v>5.05</v>
      </c>
      <c r="G1287" s="411">
        <f t="shared" si="148"/>
        <v>-3.0000000000000249E-2</v>
      </c>
      <c r="I1287" s="240"/>
      <c r="J1287" s="157"/>
      <c r="K1287" s="129"/>
      <c r="L1287" s="403">
        <f t="shared" si="149"/>
        <v>45085</v>
      </c>
      <c r="M1287" s="56" t="str">
        <f t="shared" si="150"/>
        <v>THU</v>
      </c>
      <c r="O1287" s="253">
        <f t="shared" si="147"/>
        <v>1</v>
      </c>
      <c r="P1287" s="392">
        <f t="shared" si="144"/>
        <v>1.0001402777777777</v>
      </c>
    </row>
    <row r="1288" spans="2:18">
      <c r="B1288" s="41"/>
      <c r="C1288" s="403">
        <f t="shared" si="146"/>
        <v>45086</v>
      </c>
      <c r="D1288" s="56" t="str">
        <f>VLOOKUP(MOD(C1288,7),'CALENDAR INFO'!$G$5:$H$11,2)</f>
        <v>FRI</v>
      </c>
      <c r="E1288" s="165">
        <v>5.08</v>
      </c>
      <c r="F1288" s="336">
        <v>5.05</v>
      </c>
      <c r="G1288" s="411">
        <f t="shared" si="148"/>
        <v>-3.0000000000000249E-2</v>
      </c>
      <c r="H1288" s="15" t="s">
        <v>222</v>
      </c>
      <c r="I1288" s="147">
        <f ca="1">100-I1286</f>
        <v>94.923666666666662</v>
      </c>
      <c r="J1288" s="326">
        <f ca="1">100-J1286</f>
        <v>94.944333333333333</v>
      </c>
      <c r="K1288" s="129"/>
      <c r="L1288" s="403">
        <f t="shared" si="149"/>
        <v>45086</v>
      </c>
      <c r="M1288" s="56" t="str">
        <f t="shared" si="150"/>
        <v>FRI</v>
      </c>
      <c r="O1288" s="253">
        <f t="shared" si="147"/>
        <v>3</v>
      </c>
      <c r="P1288" s="392">
        <f t="shared" si="144"/>
        <v>1.0004208333333333</v>
      </c>
    </row>
    <row r="1289" spans="2:18">
      <c r="B1289" s="41"/>
      <c r="C1289" s="403">
        <f t="shared" si="146"/>
        <v>45087</v>
      </c>
      <c r="D1289" s="56" t="str">
        <f>VLOOKUP(MOD(C1289,7),'CALENDAR INFO'!$G$5:$H$11,2)</f>
        <v>SAT</v>
      </c>
      <c r="E1289" s="165">
        <v>5.08</v>
      </c>
      <c r="F1289" s="336">
        <v>5.05</v>
      </c>
      <c r="G1289" s="411">
        <f t="shared" si="148"/>
        <v>-3.0000000000000249E-2</v>
      </c>
      <c r="I1289" s="137"/>
      <c r="J1289" s="150"/>
      <c r="K1289" s="129"/>
      <c r="L1289" s="403">
        <f t="shared" si="149"/>
        <v>45087</v>
      </c>
      <c r="M1289" s="56" t="str">
        <f t="shared" si="150"/>
        <v>SAT</v>
      </c>
      <c r="O1289" s="253">
        <f t="shared" si="147"/>
        <v>0</v>
      </c>
      <c r="P1289" s="392">
        <f t="shared" si="144"/>
        <v>1</v>
      </c>
    </row>
    <row r="1290" spans="2:18">
      <c r="B1290" s="41"/>
      <c r="C1290" s="403">
        <f t="shared" si="146"/>
        <v>45088</v>
      </c>
      <c r="D1290" s="56" t="str">
        <f>VLOOKUP(MOD(C1290,7),'CALENDAR INFO'!$G$5:$H$11,2)</f>
        <v>SUN</v>
      </c>
      <c r="E1290" s="165">
        <v>5.08</v>
      </c>
      <c r="F1290" s="336">
        <v>5.05</v>
      </c>
      <c r="G1290" s="411">
        <f t="shared" si="148"/>
        <v>-3.0000000000000249E-2</v>
      </c>
      <c r="H1290" s="135"/>
      <c r="I1290" s="144"/>
      <c r="J1290" s="152"/>
      <c r="K1290" s="129"/>
      <c r="L1290" s="403">
        <f t="shared" si="149"/>
        <v>45088</v>
      </c>
      <c r="M1290" s="56" t="str">
        <f t="shared" si="150"/>
        <v>SUN</v>
      </c>
      <c r="O1290" s="253">
        <f t="shared" si="147"/>
        <v>0</v>
      </c>
      <c r="P1290" s="392">
        <f t="shared" si="144"/>
        <v>1</v>
      </c>
    </row>
    <row r="1291" spans="2:18">
      <c r="B1291" s="41"/>
      <c r="C1291" s="403">
        <f t="shared" si="146"/>
        <v>45089</v>
      </c>
      <c r="D1291" s="56" t="str">
        <f>VLOOKUP(MOD(C1291,7),'CALENDAR INFO'!$G$5:$H$11,2)</f>
        <v>MON</v>
      </c>
      <c r="E1291" s="165">
        <v>5.08</v>
      </c>
      <c r="F1291" s="336">
        <v>5.05</v>
      </c>
      <c r="G1291" s="411">
        <f t="shared" si="148"/>
        <v>-3.0000000000000249E-2</v>
      </c>
      <c r="K1291" s="129"/>
      <c r="L1291" s="403">
        <f t="shared" si="149"/>
        <v>45089</v>
      </c>
      <c r="M1291" s="56" t="str">
        <f t="shared" si="150"/>
        <v>MON</v>
      </c>
      <c r="O1291" s="253">
        <f t="shared" si="147"/>
        <v>1</v>
      </c>
      <c r="P1291" s="392">
        <f t="shared" si="144"/>
        <v>1.0001402777777777</v>
      </c>
      <c r="Q1291" s="21"/>
      <c r="R1291" s="221"/>
    </row>
    <row r="1292" spans="2:18">
      <c r="B1292" s="41"/>
      <c r="C1292" s="403">
        <f t="shared" si="146"/>
        <v>45090</v>
      </c>
      <c r="D1292" s="56" t="str">
        <f>VLOOKUP(MOD(C1292,7),'CALENDAR INFO'!$G$5:$H$11,2)</f>
        <v>TUE</v>
      </c>
      <c r="E1292" s="165">
        <v>5.08</v>
      </c>
      <c r="F1292" s="336">
        <v>5.05</v>
      </c>
      <c r="G1292" s="411">
        <f t="shared" si="148"/>
        <v>-3.0000000000000249E-2</v>
      </c>
      <c r="H1292" s="135"/>
      <c r="I1292" s="144"/>
      <c r="J1292" s="152"/>
      <c r="K1292" s="129"/>
      <c r="L1292" s="403">
        <f t="shared" si="149"/>
        <v>45090</v>
      </c>
      <c r="M1292" s="56" t="str">
        <f t="shared" si="150"/>
        <v>TUE</v>
      </c>
      <c r="N1292" s="116" t="s">
        <v>20</v>
      </c>
      <c r="O1292" s="253">
        <f t="shared" si="147"/>
        <v>1</v>
      </c>
      <c r="P1292" s="392">
        <f t="shared" si="144"/>
        <v>1.0001402777777777</v>
      </c>
      <c r="Q1292" s="21"/>
      <c r="R1292" s="222"/>
    </row>
    <row r="1293" spans="2:18">
      <c r="B1293" s="41"/>
      <c r="C1293" s="403">
        <f t="shared" si="146"/>
        <v>45091</v>
      </c>
      <c r="D1293" s="56" t="str">
        <f>VLOOKUP(MOD(C1293,7),'CALENDAR INFO'!$G$5:$H$11,2)</f>
        <v>WED</v>
      </c>
      <c r="E1293" s="165">
        <v>5.08</v>
      </c>
      <c r="F1293" s="336">
        <v>5.05</v>
      </c>
      <c r="G1293" s="411">
        <f t="shared" si="148"/>
        <v>-3.0000000000000249E-2</v>
      </c>
      <c r="K1293" s="129" t="s">
        <v>19</v>
      </c>
      <c r="L1293" s="403">
        <f t="shared" si="149"/>
        <v>45091</v>
      </c>
      <c r="M1293" s="56" t="str">
        <f t="shared" si="150"/>
        <v>WED</v>
      </c>
      <c r="N1293" s="116" t="s">
        <v>20</v>
      </c>
      <c r="O1293" s="253">
        <f t="shared" si="147"/>
        <v>1</v>
      </c>
      <c r="P1293" s="392">
        <f t="shared" si="144"/>
        <v>1.0001402777777777</v>
      </c>
      <c r="Q1293" s="40"/>
      <c r="R1293" s="99"/>
    </row>
    <row r="1294" spans="2:18">
      <c r="B1294" s="41"/>
      <c r="C1294" s="403">
        <f t="shared" si="146"/>
        <v>45092</v>
      </c>
      <c r="D1294" s="56" t="str">
        <f>VLOOKUP(MOD(C1294,7),'CALENDAR INFO'!$G$5:$H$11,2)</f>
        <v>THU</v>
      </c>
      <c r="E1294" s="165">
        <v>5.07</v>
      </c>
      <c r="F1294" s="336">
        <v>5.0599999999999996</v>
      </c>
      <c r="G1294" s="411">
        <f t="shared" si="148"/>
        <v>-1.0000000000000675E-2</v>
      </c>
      <c r="H1294" s="135"/>
      <c r="I1294" s="144"/>
      <c r="J1294" s="152"/>
      <c r="K1294" s="126" t="s">
        <v>18</v>
      </c>
      <c r="L1294" s="403">
        <f t="shared" si="149"/>
        <v>45092</v>
      </c>
      <c r="M1294" s="56" t="str">
        <f t="shared" si="150"/>
        <v>THU</v>
      </c>
      <c r="O1294" s="253">
        <f t="shared" si="147"/>
        <v>1</v>
      </c>
      <c r="P1294" s="392">
        <f t="shared" si="144"/>
        <v>1.0001405555555556</v>
      </c>
    </row>
    <row r="1295" spans="2:18">
      <c r="B1295" s="41"/>
      <c r="C1295" s="403">
        <f t="shared" si="146"/>
        <v>45093</v>
      </c>
      <c r="D1295" s="56" t="str">
        <f>VLOOKUP(MOD(C1295,7),'CALENDAR INFO'!$G$5:$H$11,2)</f>
        <v>FRI</v>
      </c>
      <c r="E1295" s="169">
        <v>5.08</v>
      </c>
      <c r="F1295" s="341">
        <v>5.05</v>
      </c>
      <c r="G1295" s="411">
        <f t="shared" si="148"/>
        <v>-3.0000000000000249E-2</v>
      </c>
      <c r="K1295" s="126"/>
      <c r="L1295" s="403">
        <f t="shared" si="149"/>
        <v>45093</v>
      </c>
      <c r="M1295" s="56" t="str">
        <f t="shared" si="150"/>
        <v>FRI</v>
      </c>
      <c r="O1295" s="384">
        <v>4</v>
      </c>
      <c r="P1295" s="392">
        <f t="shared" si="144"/>
        <v>1.000561111111111</v>
      </c>
    </row>
    <row r="1296" spans="2:18">
      <c r="B1296" s="41"/>
      <c r="C1296" s="403">
        <f t="shared" si="146"/>
        <v>45094</v>
      </c>
      <c r="D1296" s="56" t="str">
        <f>VLOOKUP(MOD(C1296,7),'CALENDAR INFO'!$G$5:$H$11,2)</f>
        <v>SAT</v>
      </c>
      <c r="E1296" s="169">
        <v>5.08</v>
      </c>
      <c r="F1296" s="341">
        <v>5.05</v>
      </c>
      <c r="G1296" s="411">
        <f t="shared" si="148"/>
        <v>-3.0000000000000249E-2</v>
      </c>
      <c r="K1296" s="126"/>
      <c r="L1296" s="403">
        <f t="shared" si="149"/>
        <v>45094</v>
      </c>
      <c r="M1296" s="56" t="str">
        <f t="shared" si="150"/>
        <v>SAT</v>
      </c>
      <c r="O1296" s="253">
        <f>IF(MOD(C1296,7)&lt;2,0,IF(MOD(C1296,7)=6,3,1))</f>
        <v>0</v>
      </c>
      <c r="P1296" s="392">
        <f t="shared" si="144"/>
        <v>1</v>
      </c>
    </row>
    <row r="1297" spans="1:18">
      <c r="B1297" s="41"/>
      <c r="C1297" s="403">
        <f t="shared" si="146"/>
        <v>45095</v>
      </c>
      <c r="D1297" s="56" t="str">
        <f>VLOOKUP(MOD(C1297,7),'CALENDAR INFO'!$G$5:$H$11,2)</f>
        <v>SUN</v>
      </c>
      <c r="E1297" s="165">
        <v>5.08</v>
      </c>
      <c r="F1297" s="336">
        <v>5.05</v>
      </c>
      <c r="G1297" s="411">
        <f t="shared" si="148"/>
        <v>-3.0000000000000249E-2</v>
      </c>
      <c r="K1297" s="126"/>
      <c r="L1297" s="403">
        <f t="shared" si="149"/>
        <v>45095</v>
      </c>
      <c r="M1297" s="56" t="str">
        <f t="shared" si="150"/>
        <v>SUN</v>
      </c>
      <c r="O1297" s="253">
        <f>IF(MOD(C1297,7)&lt;2,0,IF(MOD(C1297,7)=6,3,1))</f>
        <v>0</v>
      </c>
      <c r="P1297" s="392">
        <f t="shared" si="144"/>
        <v>1</v>
      </c>
    </row>
    <row r="1298" spans="1:18">
      <c r="B1298" s="41"/>
      <c r="C1298" s="403">
        <f t="shared" si="146"/>
        <v>45096</v>
      </c>
      <c r="D1298" s="56" t="str">
        <f>VLOOKUP(MOD(C1298,7),'CALENDAR INFO'!$G$5:$H$11,2)</f>
        <v>MON</v>
      </c>
      <c r="E1298" s="165">
        <v>5.08</v>
      </c>
      <c r="F1298" s="336">
        <v>5.05</v>
      </c>
      <c r="G1298" s="411">
        <f t="shared" si="148"/>
        <v>-3.0000000000000249E-2</v>
      </c>
      <c r="K1298" s="126"/>
      <c r="L1298" s="403">
        <f t="shared" si="149"/>
        <v>45096</v>
      </c>
      <c r="M1298" s="56" t="str">
        <f t="shared" si="150"/>
        <v>MON</v>
      </c>
      <c r="N1298" s="132" t="s">
        <v>126</v>
      </c>
      <c r="O1298" s="384">
        <v>0</v>
      </c>
      <c r="P1298" s="392">
        <f t="shared" si="144"/>
        <v>1</v>
      </c>
    </row>
    <row r="1299" spans="1:18">
      <c r="B1299" s="41"/>
      <c r="C1299" s="403">
        <f t="shared" si="146"/>
        <v>45097</v>
      </c>
      <c r="D1299" s="56" t="str">
        <f>VLOOKUP(MOD(C1299,7),'CALENDAR INFO'!$G$5:$H$11,2)</f>
        <v>TUE</v>
      </c>
      <c r="E1299" s="165">
        <v>5.07</v>
      </c>
      <c r="F1299" s="336">
        <v>5.05</v>
      </c>
      <c r="G1299" s="411">
        <f t="shared" si="148"/>
        <v>-2.0000000000000462E-2</v>
      </c>
      <c r="K1299" s="126"/>
      <c r="L1299" s="403">
        <f t="shared" si="149"/>
        <v>45097</v>
      </c>
      <c r="M1299" s="56" t="str">
        <f t="shared" si="150"/>
        <v>TUE</v>
      </c>
      <c r="O1299" s="253">
        <f t="shared" ref="O1299:O1311" si="151">IF(MOD(C1299,7)&lt;2,0,IF(MOD(C1299,7)=6,3,1))</f>
        <v>1</v>
      </c>
      <c r="P1299" s="392">
        <f t="shared" ref="P1299:P1362" si="152">1+(O1299/360)*(MAX(F1299,B1299)/100)</f>
        <v>1.0001402777777777</v>
      </c>
    </row>
    <row r="1300" spans="1:18">
      <c r="B1300" s="41"/>
      <c r="C1300" s="403">
        <f t="shared" si="146"/>
        <v>45098</v>
      </c>
      <c r="D1300" s="56" t="str">
        <f>VLOOKUP(MOD(C1300,7),'CALENDAR INFO'!$G$5:$H$11,2)</f>
        <v>WED</v>
      </c>
      <c r="E1300" s="165">
        <v>5.07</v>
      </c>
      <c r="F1300" s="336">
        <v>5.05</v>
      </c>
      <c r="G1300" s="411">
        <f t="shared" si="148"/>
        <v>-2.0000000000000462E-2</v>
      </c>
      <c r="K1300" s="126"/>
      <c r="L1300" s="403">
        <f t="shared" si="149"/>
        <v>45098</v>
      </c>
      <c r="M1300" s="56" t="str">
        <f t="shared" si="150"/>
        <v>WED</v>
      </c>
      <c r="O1300" s="253">
        <f t="shared" si="151"/>
        <v>1</v>
      </c>
      <c r="P1300" s="392">
        <f t="shared" si="152"/>
        <v>1.0001402777777777</v>
      </c>
    </row>
    <row r="1301" spans="1:18">
      <c r="B1301" s="41"/>
      <c r="C1301" s="403">
        <f t="shared" si="146"/>
        <v>45099</v>
      </c>
      <c r="D1301" s="56" t="str">
        <f>VLOOKUP(MOD(C1301,7),'CALENDAR INFO'!$G$5:$H$11,2)</f>
        <v>THU</v>
      </c>
      <c r="E1301" s="165">
        <v>5.07</v>
      </c>
      <c r="F1301" s="336">
        <v>5.05</v>
      </c>
      <c r="G1301" s="411">
        <f t="shared" si="148"/>
        <v>-2.0000000000000462E-2</v>
      </c>
      <c r="K1301" s="126"/>
      <c r="L1301" s="403">
        <f t="shared" si="149"/>
        <v>45099</v>
      </c>
      <c r="M1301" s="56" t="str">
        <f t="shared" si="150"/>
        <v>THU</v>
      </c>
      <c r="O1301" s="253">
        <f t="shared" si="151"/>
        <v>1</v>
      </c>
      <c r="P1301" s="392">
        <f t="shared" si="152"/>
        <v>1.0001402777777777</v>
      </c>
    </row>
    <row r="1302" spans="1:18">
      <c r="B1302" s="41"/>
      <c r="C1302" s="403">
        <f t="shared" si="146"/>
        <v>45100</v>
      </c>
      <c r="D1302" s="56" t="str">
        <f>VLOOKUP(MOD(C1302,7),'CALENDAR INFO'!$G$5:$H$11,2)</f>
        <v>FRI</v>
      </c>
      <c r="E1302" s="165">
        <v>5.07</v>
      </c>
      <c r="F1302" s="336">
        <v>5.05</v>
      </c>
      <c r="G1302" s="411">
        <f t="shared" si="148"/>
        <v>-2.0000000000000462E-2</v>
      </c>
      <c r="K1302" s="126"/>
      <c r="L1302" s="403">
        <f t="shared" si="149"/>
        <v>45100</v>
      </c>
      <c r="M1302" s="56" t="str">
        <f t="shared" si="150"/>
        <v>FRI</v>
      </c>
      <c r="O1302" s="253">
        <f t="shared" si="151"/>
        <v>3</v>
      </c>
      <c r="P1302" s="392">
        <f t="shared" si="152"/>
        <v>1.0004208333333333</v>
      </c>
    </row>
    <row r="1303" spans="1:18">
      <c r="B1303" s="41"/>
      <c r="C1303" s="403">
        <f t="shared" si="146"/>
        <v>45101</v>
      </c>
      <c r="D1303" s="56" t="str">
        <f>VLOOKUP(MOD(C1303,7),'CALENDAR INFO'!$G$5:$H$11,2)</f>
        <v>SAT</v>
      </c>
      <c r="E1303" s="165">
        <v>5.07</v>
      </c>
      <c r="F1303" s="336">
        <v>5.05</v>
      </c>
      <c r="G1303" s="411">
        <f t="shared" si="148"/>
        <v>-2.0000000000000462E-2</v>
      </c>
      <c r="K1303" s="126"/>
      <c r="L1303" s="403">
        <f t="shared" si="149"/>
        <v>45101</v>
      </c>
      <c r="M1303" s="56" t="str">
        <f t="shared" si="150"/>
        <v>SAT</v>
      </c>
      <c r="O1303" s="253">
        <f t="shared" si="151"/>
        <v>0</v>
      </c>
      <c r="P1303" s="392">
        <f t="shared" si="152"/>
        <v>1</v>
      </c>
    </row>
    <row r="1304" spans="1:18">
      <c r="B1304" s="41"/>
      <c r="C1304" s="403">
        <f t="shared" si="146"/>
        <v>45102</v>
      </c>
      <c r="D1304" s="56" t="str">
        <f>VLOOKUP(MOD(C1304,7),'CALENDAR INFO'!$G$5:$H$11,2)</f>
        <v>SUN</v>
      </c>
      <c r="E1304" s="165">
        <v>5.07</v>
      </c>
      <c r="F1304" s="336">
        <v>5.05</v>
      </c>
      <c r="G1304" s="411">
        <f t="shared" si="148"/>
        <v>-2.0000000000000462E-2</v>
      </c>
      <c r="K1304" s="126"/>
      <c r="L1304" s="403">
        <f t="shared" si="149"/>
        <v>45102</v>
      </c>
      <c r="M1304" s="56" t="str">
        <f t="shared" si="150"/>
        <v>SUN</v>
      </c>
      <c r="O1304" s="253">
        <f t="shared" si="151"/>
        <v>0</v>
      </c>
      <c r="P1304" s="392">
        <f t="shared" si="152"/>
        <v>1</v>
      </c>
    </row>
    <row r="1305" spans="1:18">
      <c r="B1305" s="41"/>
      <c r="C1305" s="403">
        <f t="shared" si="146"/>
        <v>45103</v>
      </c>
      <c r="D1305" s="56" t="str">
        <f>VLOOKUP(MOD(C1305,7),'CALENDAR INFO'!$G$5:$H$11,2)</f>
        <v>MON</v>
      </c>
      <c r="E1305" s="165">
        <v>5.07</v>
      </c>
      <c r="F1305" s="336">
        <v>5.05</v>
      </c>
      <c r="G1305" s="411">
        <f t="shared" si="148"/>
        <v>-2.0000000000000462E-2</v>
      </c>
      <c r="K1305" s="126"/>
      <c r="L1305" s="403">
        <f t="shared" si="149"/>
        <v>45103</v>
      </c>
      <c r="M1305" s="56" t="str">
        <f t="shared" si="150"/>
        <v>MON</v>
      </c>
      <c r="O1305" s="253">
        <f t="shared" si="151"/>
        <v>1</v>
      </c>
      <c r="P1305" s="392">
        <f t="shared" si="152"/>
        <v>1.0001402777777777</v>
      </c>
      <c r="Q1305" s="21"/>
      <c r="R1305" s="221"/>
    </row>
    <row r="1306" spans="1:18">
      <c r="B1306" s="41"/>
      <c r="C1306" s="403">
        <f t="shared" si="146"/>
        <v>45104</v>
      </c>
      <c r="D1306" s="56" t="str">
        <f>VLOOKUP(MOD(C1306,7),'CALENDAR INFO'!$G$5:$H$11,2)</f>
        <v>TUE</v>
      </c>
      <c r="E1306" s="165">
        <v>5.07</v>
      </c>
      <c r="F1306" s="336">
        <v>5.05</v>
      </c>
      <c r="G1306" s="411">
        <f t="shared" si="148"/>
        <v>-2.0000000000000462E-2</v>
      </c>
      <c r="I1306" s="137"/>
      <c r="K1306" s="126"/>
      <c r="L1306" s="403">
        <f t="shared" si="149"/>
        <v>45104</v>
      </c>
      <c r="M1306" s="56" t="str">
        <f t="shared" si="150"/>
        <v>TUE</v>
      </c>
      <c r="O1306" s="253">
        <f t="shared" si="151"/>
        <v>1</v>
      </c>
      <c r="P1306" s="392">
        <f t="shared" si="152"/>
        <v>1.0001402777777777</v>
      </c>
      <c r="Q1306" s="21"/>
      <c r="R1306" s="222"/>
    </row>
    <row r="1307" spans="1:18">
      <c r="B1307" s="41"/>
      <c r="C1307" s="403">
        <f t="shared" si="146"/>
        <v>45105</v>
      </c>
      <c r="D1307" s="56" t="str">
        <f>VLOOKUP(MOD(C1307,7),'CALENDAR INFO'!$G$5:$H$11,2)</f>
        <v>WED</v>
      </c>
      <c r="E1307" s="165">
        <v>5.07</v>
      </c>
      <c r="F1307" s="336">
        <v>5.0599999999999996</v>
      </c>
      <c r="G1307" s="411">
        <f t="shared" si="148"/>
        <v>-1.0000000000000675E-2</v>
      </c>
      <c r="H1307" s="115"/>
      <c r="I1307" s="148"/>
      <c r="J1307" s="160"/>
      <c r="K1307" s="126" t="s">
        <v>19</v>
      </c>
      <c r="L1307" s="403">
        <f t="shared" si="149"/>
        <v>45105</v>
      </c>
      <c r="M1307" s="56" t="str">
        <f t="shared" si="150"/>
        <v>WED</v>
      </c>
      <c r="O1307" s="253">
        <f t="shared" si="151"/>
        <v>1</v>
      </c>
      <c r="P1307" s="392">
        <f t="shared" si="152"/>
        <v>1.0001405555555556</v>
      </c>
      <c r="Q1307" s="21"/>
      <c r="R1307" s="222"/>
    </row>
    <row r="1308" spans="1:18">
      <c r="B1308" s="41"/>
      <c r="C1308" s="403">
        <f t="shared" si="146"/>
        <v>45106</v>
      </c>
      <c r="D1308" s="56" t="str">
        <f>VLOOKUP(MOD(C1308,7),'CALENDAR INFO'!$G$5:$H$11,2)</f>
        <v>THU</v>
      </c>
      <c r="E1308" s="165">
        <v>5.07</v>
      </c>
      <c r="F1308" s="336">
        <v>5.0599999999999996</v>
      </c>
      <c r="G1308" s="411">
        <f t="shared" si="148"/>
        <v>-1.0000000000000675E-2</v>
      </c>
      <c r="H1308" s="115"/>
      <c r="I1308" s="141"/>
      <c r="J1308" s="158"/>
      <c r="K1308" s="129" t="s">
        <v>18</v>
      </c>
      <c r="L1308" s="403">
        <f t="shared" si="149"/>
        <v>45106</v>
      </c>
      <c r="M1308" s="56" t="str">
        <f t="shared" si="150"/>
        <v>THU</v>
      </c>
      <c r="O1308" s="253">
        <f t="shared" si="151"/>
        <v>1</v>
      </c>
      <c r="P1308" s="392">
        <f t="shared" si="152"/>
        <v>1.0001405555555556</v>
      </c>
    </row>
    <row r="1309" spans="1:18" ht="15.75" thickBot="1">
      <c r="A1309" s="81"/>
      <c r="B1309" s="178"/>
      <c r="C1309" s="404">
        <f t="shared" si="146"/>
        <v>45107</v>
      </c>
      <c r="D1309" s="64" t="str">
        <f>VLOOKUP(MOD(C1309,7),'CALENDAR INFO'!$G$5:$H$11,2)</f>
        <v>FRI</v>
      </c>
      <c r="E1309" s="166">
        <v>5.08</v>
      </c>
      <c r="F1309" s="337">
        <v>5.09</v>
      </c>
      <c r="G1309" s="412">
        <f t="shared" si="148"/>
        <v>9.9999999999997868E-3</v>
      </c>
      <c r="H1309" s="345"/>
      <c r="I1309" s="143"/>
      <c r="J1309" s="162"/>
      <c r="K1309" s="189"/>
      <c r="L1309" s="404">
        <f t="shared" si="149"/>
        <v>45107</v>
      </c>
      <c r="M1309" s="64" t="str">
        <f t="shared" si="150"/>
        <v>FRI</v>
      </c>
      <c r="N1309" s="90"/>
      <c r="O1309" s="383">
        <f t="shared" si="151"/>
        <v>3</v>
      </c>
      <c r="P1309" s="388">
        <f t="shared" si="152"/>
        <v>1.0004241666666667</v>
      </c>
    </row>
    <row r="1310" spans="1:18">
      <c r="A1310" s="83"/>
      <c r="B1310" s="179"/>
      <c r="C1310" s="406">
        <f t="shared" si="146"/>
        <v>45108</v>
      </c>
      <c r="D1310" s="86" t="str">
        <f>VLOOKUP(MOD(C1310,7),'CALENDAR INFO'!$G$5:$H$11,2)</f>
        <v>SAT</v>
      </c>
      <c r="E1310" s="165">
        <v>5.08</v>
      </c>
      <c r="F1310" s="336">
        <v>5.09</v>
      </c>
      <c r="G1310" s="411">
        <f t="shared" si="148"/>
        <v>9.9999999999997868E-3</v>
      </c>
      <c r="H1310" s="15" t="s">
        <v>149</v>
      </c>
      <c r="I1310" s="15">
        <f>ROW(I1310)</f>
        <v>1310</v>
      </c>
      <c r="J1310" s="138">
        <f>I1310</f>
        <v>1310</v>
      </c>
      <c r="K1310" s="129"/>
      <c r="L1310" s="406">
        <f t="shared" si="149"/>
        <v>45108</v>
      </c>
      <c r="M1310" s="86" t="str">
        <f t="shared" si="150"/>
        <v>SAT</v>
      </c>
      <c r="N1310" s="89"/>
      <c r="O1310" s="386">
        <f t="shared" si="151"/>
        <v>0</v>
      </c>
      <c r="P1310" s="390">
        <f t="shared" si="152"/>
        <v>1</v>
      </c>
    </row>
    <row r="1311" spans="1:18">
      <c r="B1311" s="41"/>
      <c r="C1311" s="403">
        <f t="shared" si="146"/>
        <v>45109</v>
      </c>
      <c r="D1311" s="56" t="str">
        <f>VLOOKUP(MOD(C1311,7),'CALENDAR INFO'!$G$5:$H$11,2)</f>
        <v>SUN</v>
      </c>
      <c r="E1311" s="165">
        <v>5.08</v>
      </c>
      <c r="F1311" s="336">
        <v>5.09</v>
      </c>
      <c r="G1311" s="411">
        <f t="shared" si="148"/>
        <v>9.9999999999997868E-3</v>
      </c>
      <c r="H1311" s="376" t="s">
        <v>210</v>
      </c>
      <c r="I1311" s="15">
        <f>VLOOKUP(MONTH($C1310),'CALENDAR INFO'!$J$5:$K$16,2)</f>
        <v>31</v>
      </c>
      <c r="J1311" s="138">
        <f>I1311</f>
        <v>31</v>
      </c>
      <c r="K1311" s="129"/>
      <c r="L1311" s="403">
        <f t="shared" si="149"/>
        <v>45109</v>
      </c>
      <c r="M1311" s="56" t="str">
        <f t="shared" si="150"/>
        <v>SUN</v>
      </c>
      <c r="O1311" s="253">
        <f t="shared" si="151"/>
        <v>0</v>
      </c>
      <c r="P1311" s="392">
        <f t="shared" si="152"/>
        <v>1</v>
      </c>
    </row>
    <row r="1312" spans="1:18">
      <c r="B1312" s="41"/>
      <c r="C1312" s="403">
        <f t="shared" si="146"/>
        <v>45110</v>
      </c>
      <c r="D1312" s="56" t="str">
        <f>VLOOKUP(MOD(C1312,7),'CALENDAR INFO'!$G$5:$H$11,2)</f>
        <v>MON</v>
      </c>
      <c r="E1312" s="165">
        <v>5.08</v>
      </c>
      <c r="F1312" s="336">
        <v>5.0599999999999996</v>
      </c>
      <c r="G1312" s="411">
        <f t="shared" si="148"/>
        <v>-2.0000000000000462E-2</v>
      </c>
      <c r="H1312" s="376" t="s">
        <v>211</v>
      </c>
      <c r="I1312" s="15">
        <f>I1311+I1310-1</f>
        <v>1340</v>
      </c>
      <c r="J1312" s="138">
        <f>I1312</f>
        <v>1340</v>
      </c>
      <c r="K1312" s="129"/>
      <c r="L1312" s="403">
        <f t="shared" si="149"/>
        <v>45110</v>
      </c>
      <c r="M1312" s="56" t="str">
        <f t="shared" si="150"/>
        <v>MON</v>
      </c>
      <c r="O1312" s="384">
        <v>2</v>
      </c>
      <c r="P1312" s="392">
        <f t="shared" si="152"/>
        <v>1.0002811111111112</v>
      </c>
    </row>
    <row r="1313" spans="2:16">
      <c r="B1313" s="41"/>
      <c r="C1313" s="403">
        <f t="shared" si="146"/>
        <v>45111</v>
      </c>
      <c r="D1313" s="56" t="str">
        <f>VLOOKUP(MOD(C1313,7),'CALENDAR INFO'!$G$5:$H$11,2)</f>
        <v>TUE</v>
      </c>
      <c r="E1313" s="165">
        <v>5.08</v>
      </c>
      <c r="F1313" s="336">
        <v>5.0599999999999996</v>
      </c>
      <c r="G1313" s="411">
        <f t="shared" si="148"/>
        <v>-2.0000000000000462E-2</v>
      </c>
      <c r="K1313" s="129"/>
      <c r="L1313" s="403">
        <f t="shared" si="149"/>
        <v>45111</v>
      </c>
      <c r="M1313" s="56" t="str">
        <f t="shared" si="150"/>
        <v>TUE</v>
      </c>
      <c r="N1313" s="132" t="s">
        <v>49</v>
      </c>
      <c r="O1313" s="384">
        <v>0</v>
      </c>
      <c r="P1313" s="392">
        <f t="shared" si="152"/>
        <v>1</v>
      </c>
    </row>
    <row r="1314" spans="2:16">
      <c r="B1314" s="41"/>
      <c r="C1314" s="403">
        <f t="shared" si="146"/>
        <v>45112</v>
      </c>
      <c r="D1314" s="56" t="str">
        <f>VLOOKUP(MOD(C1314,7),'CALENDAR INFO'!$G$5:$H$11,2)</f>
        <v>WED</v>
      </c>
      <c r="E1314" s="165">
        <v>5.08</v>
      </c>
      <c r="F1314" s="336">
        <v>5.0599999999999996</v>
      </c>
      <c r="G1314" s="411">
        <f t="shared" si="148"/>
        <v>-2.0000000000000462E-2</v>
      </c>
      <c r="H1314" s="15" t="s">
        <v>150</v>
      </c>
      <c r="I1314" s="137" t="str">
        <f>_xlfn.CONCAT(ADDRESS(I1310,5),":",ADDRESS(I1312,5))</f>
        <v>$E$1310:$E$1340</v>
      </c>
      <c r="J1314" s="150" t="str">
        <f>_xlfn.CONCAT(ADDRESS(J1310,6),":",ADDRESS(J1312,6))</f>
        <v>$F$1310:$F$1340</v>
      </c>
      <c r="K1314" s="129"/>
      <c r="L1314" s="403">
        <f t="shared" si="149"/>
        <v>45112</v>
      </c>
      <c r="M1314" s="56" t="str">
        <f t="shared" si="150"/>
        <v>WED</v>
      </c>
      <c r="N1314" s="134"/>
      <c r="O1314" s="253">
        <f t="shared" ref="O1314:O1345" si="153">IF(MOD(C1314,7)&lt;2,0,IF(MOD(C1314,7)=6,3,1))</f>
        <v>1</v>
      </c>
      <c r="P1314" s="392">
        <f t="shared" si="152"/>
        <v>1.0001405555555556</v>
      </c>
    </row>
    <row r="1315" spans="2:16">
      <c r="B1315" s="41"/>
      <c r="C1315" s="403">
        <f t="shared" si="146"/>
        <v>45113</v>
      </c>
      <c r="D1315" s="56" t="str">
        <f>VLOOKUP(MOD(C1315,7),'CALENDAR INFO'!$G$5:$H$11,2)</f>
        <v>THU</v>
      </c>
      <c r="E1315" s="165">
        <v>5.08</v>
      </c>
      <c r="F1315" s="336">
        <v>5.0599999999999996</v>
      </c>
      <c r="G1315" s="411">
        <f t="shared" si="148"/>
        <v>-2.0000000000000462E-2</v>
      </c>
      <c r="K1315" s="129"/>
      <c r="L1315" s="403">
        <f t="shared" si="149"/>
        <v>45113</v>
      </c>
      <c r="M1315" s="56" t="str">
        <f t="shared" si="150"/>
        <v>THU</v>
      </c>
      <c r="O1315" s="253">
        <f t="shared" si="153"/>
        <v>1</v>
      </c>
      <c r="P1315" s="392">
        <f t="shared" si="152"/>
        <v>1.0001405555555556</v>
      </c>
    </row>
    <row r="1316" spans="2:16">
      <c r="B1316" s="41"/>
      <c r="C1316" s="403">
        <f t="shared" si="146"/>
        <v>45114</v>
      </c>
      <c r="D1316" s="56" t="str">
        <f>VLOOKUP(MOD(C1316,7),'CALENDAR INFO'!$G$5:$H$11,2)</f>
        <v>FRI</v>
      </c>
      <c r="E1316" s="165">
        <v>5.08</v>
      </c>
      <c r="F1316" s="336">
        <v>5.0599999999999996</v>
      </c>
      <c r="G1316" s="411">
        <f t="shared" si="148"/>
        <v>-2.0000000000000462E-2</v>
      </c>
      <c r="H1316" s="376" t="s">
        <v>221</v>
      </c>
      <c r="I1316" s="147">
        <f ca="1">AVERAGE(INDIRECT(I1314))</f>
        <v>5.120000000000001</v>
      </c>
      <c r="J1316" s="326">
        <f ca="1">AVERAGE(INDIRECT(J1314))</f>
        <v>5.0983870967741938</v>
      </c>
      <c r="K1316" s="129"/>
      <c r="L1316" s="403">
        <f t="shared" si="149"/>
        <v>45114</v>
      </c>
      <c r="M1316" s="56" t="str">
        <f t="shared" si="150"/>
        <v>FRI</v>
      </c>
      <c r="O1316" s="253">
        <f t="shared" si="153"/>
        <v>3</v>
      </c>
      <c r="P1316" s="392">
        <f t="shared" si="152"/>
        <v>1.0004216666666668</v>
      </c>
    </row>
    <row r="1317" spans="2:16">
      <c r="B1317" s="41"/>
      <c r="C1317" s="403">
        <f t="shared" si="146"/>
        <v>45115</v>
      </c>
      <c r="D1317" s="56" t="str">
        <f>VLOOKUP(MOD(C1317,7),'CALENDAR INFO'!$G$5:$H$11,2)</f>
        <v>SAT</v>
      </c>
      <c r="E1317" s="165">
        <v>5.08</v>
      </c>
      <c r="F1317" s="336">
        <v>5.0599999999999996</v>
      </c>
      <c r="G1317" s="411">
        <f t="shared" si="148"/>
        <v>-2.0000000000000462E-2</v>
      </c>
      <c r="I1317" s="240"/>
      <c r="J1317" s="157"/>
      <c r="K1317" s="129"/>
      <c r="L1317" s="403">
        <f t="shared" si="149"/>
        <v>45115</v>
      </c>
      <c r="M1317" s="56" t="str">
        <f t="shared" si="150"/>
        <v>SAT</v>
      </c>
      <c r="O1317" s="253">
        <f t="shared" si="153"/>
        <v>0</v>
      </c>
      <c r="P1317" s="392">
        <f t="shared" si="152"/>
        <v>1</v>
      </c>
    </row>
    <row r="1318" spans="2:16">
      <c r="B1318" s="41"/>
      <c r="C1318" s="403">
        <f t="shared" si="146"/>
        <v>45116</v>
      </c>
      <c r="D1318" s="56" t="str">
        <f>VLOOKUP(MOD(C1318,7),'CALENDAR INFO'!$G$5:$H$11,2)</f>
        <v>SUN</v>
      </c>
      <c r="E1318" s="165">
        <v>5.08</v>
      </c>
      <c r="F1318" s="336">
        <v>5.0599999999999996</v>
      </c>
      <c r="G1318" s="411">
        <f t="shared" si="148"/>
        <v>-2.0000000000000462E-2</v>
      </c>
      <c r="H1318" s="15" t="s">
        <v>222</v>
      </c>
      <c r="I1318" s="147">
        <f ca="1">100-I1316</f>
        <v>94.88</v>
      </c>
      <c r="J1318" s="326">
        <f ca="1">100-J1316</f>
        <v>94.901612903225811</v>
      </c>
      <c r="K1318" s="129"/>
      <c r="L1318" s="403">
        <f t="shared" si="149"/>
        <v>45116</v>
      </c>
      <c r="M1318" s="56" t="str">
        <f t="shared" si="150"/>
        <v>SUN</v>
      </c>
      <c r="O1318" s="253">
        <f t="shared" si="153"/>
        <v>0</v>
      </c>
      <c r="P1318" s="392">
        <f t="shared" si="152"/>
        <v>1</v>
      </c>
    </row>
    <row r="1319" spans="2:16">
      <c r="B1319" s="41"/>
      <c r="C1319" s="403">
        <f t="shared" si="146"/>
        <v>45117</v>
      </c>
      <c r="D1319" s="56" t="str">
        <f>VLOOKUP(MOD(C1319,7),'CALENDAR INFO'!$G$5:$H$11,2)</f>
        <v>MON</v>
      </c>
      <c r="E1319" s="165">
        <v>5.07</v>
      </c>
      <c r="F1319" s="336">
        <v>5.0599999999999996</v>
      </c>
      <c r="G1319" s="411">
        <f t="shared" si="148"/>
        <v>-1.0000000000000675E-2</v>
      </c>
      <c r="I1319" s="137"/>
      <c r="J1319" s="150"/>
      <c r="K1319" s="129"/>
      <c r="L1319" s="403">
        <f t="shared" si="149"/>
        <v>45117</v>
      </c>
      <c r="M1319" s="56" t="str">
        <f t="shared" si="150"/>
        <v>MON</v>
      </c>
      <c r="O1319" s="253">
        <f t="shared" si="153"/>
        <v>1</v>
      </c>
      <c r="P1319" s="392">
        <f t="shared" si="152"/>
        <v>1.0001405555555556</v>
      </c>
    </row>
    <row r="1320" spans="2:16">
      <c r="B1320" s="41"/>
      <c r="C1320" s="403">
        <f t="shared" si="146"/>
        <v>45118</v>
      </c>
      <c r="D1320" s="56" t="str">
        <f>VLOOKUP(MOD(C1320,7),'CALENDAR INFO'!$G$5:$H$11,2)</f>
        <v>TUE</v>
      </c>
      <c r="E1320" s="165">
        <v>5.08</v>
      </c>
      <c r="F1320" s="336">
        <v>5.0599999999999996</v>
      </c>
      <c r="G1320" s="411">
        <f t="shared" si="148"/>
        <v>-2.0000000000000462E-2</v>
      </c>
      <c r="H1320" s="136"/>
      <c r="I1320" s="139"/>
      <c r="J1320" s="151"/>
      <c r="K1320" s="129"/>
      <c r="L1320" s="403">
        <f t="shared" si="149"/>
        <v>45118</v>
      </c>
      <c r="M1320" s="56" t="str">
        <f t="shared" si="150"/>
        <v>TUE</v>
      </c>
      <c r="O1320" s="253">
        <f t="shared" si="153"/>
        <v>1</v>
      </c>
      <c r="P1320" s="392">
        <f t="shared" si="152"/>
        <v>1.0001405555555556</v>
      </c>
    </row>
    <row r="1321" spans="2:16">
      <c r="B1321" s="41"/>
      <c r="C1321" s="403">
        <f t="shared" si="146"/>
        <v>45119</v>
      </c>
      <c r="D1321" s="56" t="str">
        <f>VLOOKUP(MOD(C1321,7),'CALENDAR INFO'!$G$5:$H$11,2)</f>
        <v>WED</v>
      </c>
      <c r="E1321" s="165">
        <v>5.08</v>
      </c>
      <c r="F1321" s="336">
        <v>5.05</v>
      </c>
      <c r="G1321" s="411">
        <f t="shared" si="148"/>
        <v>-3.0000000000000249E-2</v>
      </c>
      <c r="H1321" s="136"/>
      <c r="I1321" s="139"/>
      <c r="J1321" s="151"/>
      <c r="K1321" s="129" t="s">
        <v>19</v>
      </c>
      <c r="L1321" s="403">
        <f t="shared" si="149"/>
        <v>45119</v>
      </c>
      <c r="M1321" s="56" t="str">
        <f t="shared" si="150"/>
        <v>WED</v>
      </c>
      <c r="O1321" s="253">
        <f t="shared" si="153"/>
        <v>1</v>
      </c>
      <c r="P1321" s="392">
        <f t="shared" si="152"/>
        <v>1.0001402777777777</v>
      </c>
    </row>
    <row r="1322" spans="2:16">
      <c r="B1322" s="41"/>
      <c r="C1322" s="403">
        <f t="shared" si="146"/>
        <v>45120</v>
      </c>
      <c r="D1322" s="56" t="str">
        <f>VLOOKUP(MOD(C1322,7),'CALENDAR INFO'!$G$5:$H$11,2)</f>
        <v>THU</v>
      </c>
      <c r="E1322" s="165">
        <v>5.08</v>
      </c>
      <c r="F1322" s="336">
        <v>5.0599999999999996</v>
      </c>
      <c r="G1322" s="411">
        <f t="shared" si="148"/>
        <v>-2.0000000000000462E-2</v>
      </c>
      <c r="H1322" s="136"/>
      <c r="I1322" s="139"/>
      <c r="J1322" s="151"/>
      <c r="K1322" s="126" t="s">
        <v>18</v>
      </c>
      <c r="L1322" s="403">
        <f t="shared" si="149"/>
        <v>45120</v>
      </c>
      <c r="M1322" s="56" t="str">
        <f t="shared" si="150"/>
        <v>THU</v>
      </c>
      <c r="O1322" s="253">
        <f t="shared" si="153"/>
        <v>1</v>
      </c>
      <c r="P1322" s="392">
        <f t="shared" si="152"/>
        <v>1.0001405555555556</v>
      </c>
    </row>
    <row r="1323" spans="2:16">
      <c r="B1323" s="41"/>
      <c r="C1323" s="403">
        <f t="shared" si="146"/>
        <v>45121</v>
      </c>
      <c r="D1323" s="56" t="str">
        <f>VLOOKUP(MOD(C1323,7),'CALENDAR INFO'!$G$5:$H$11,2)</f>
        <v>FRI</v>
      </c>
      <c r="E1323" s="165">
        <v>5.08</v>
      </c>
      <c r="F1323" s="336">
        <v>5.05</v>
      </c>
      <c r="G1323" s="411">
        <f t="shared" si="148"/>
        <v>-3.0000000000000249E-2</v>
      </c>
      <c r="K1323" s="126"/>
      <c r="L1323" s="403">
        <f t="shared" si="149"/>
        <v>45121</v>
      </c>
      <c r="M1323" s="56" t="str">
        <f t="shared" si="150"/>
        <v>FRI</v>
      </c>
      <c r="O1323" s="253">
        <f t="shared" si="153"/>
        <v>3</v>
      </c>
      <c r="P1323" s="392">
        <f t="shared" si="152"/>
        <v>1.0004208333333333</v>
      </c>
    </row>
    <row r="1324" spans="2:16">
      <c r="B1324" s="41"/>
      <c r="C1324" s="403">
        <f t="shared" si="146"/>
        <v>45122</v>
      </c>
      <c r="D1324" s="56" t="str">
        <f>VLOOKUP(MOD(C1324,7),'CALENDAR INFO'!$G$5:$H$11,2)</f>
        <v>SAT</v>
      </c>
      <c r="E1324" s="165">
        <v>5.08</v>
      </c>
      <c r="F1324" s="336">
        <v>5.05</v>
      </c>
      <c r="G1324" s="411">
        <f t="shared" si="148"/>
        <v>-3.0000000000000249E-2</v>
      </c>
      <c r="H1324" s="135"/>
      <c r="I1324" s="144"/>
      <c r="J1324" s="152"/>
      <c r="K1324" s="126"/>
      <c r="L1324" s="403">
        <f t="shared" si="149"/>
        <v>45122</v>
      </c>
      <c r="M1324" s="56" t="str">
        <f t="shared" si="150"/>
        <v>SAT</v>
      </c>
      <c r="O1324" s="253">
        <f t="shared" si="153"/>
        <v>0</v>
      </c>
      <c r="P1324" s="392">
        <f t="shared" si="152"/>
        <v>1</v>
      </c>
    </row>
    <row r="1325" spans="2:16">
      <c r="B1325" s="41"/>
      <c r="C1325" s="403">
        <f t="shared" si="146"/>
        <v>45123</v>
      </c>
      <c r="D1325" s="56" t="str">
        <f>VLOOKUP(MOD(C1325,7),'CALENDAR INFO'!$G$5:$H$11,2)</f>
        <v>SUN</v>
      </c>
      <c r="E1325" s="165">
        <v>5.08</v>
      </c>
      <c r="F1325" s="336">
        <v>5.05</v>
      </c>
      <c r="G1325" s="411">
        <f t="shared" si="148"/>
        <v>-3.0000000000000249E-2</v>
      </c>
      <c r="K1325" s="126"/>
      <c r="L1325" s="403">
        <f t="shared" si="149"/>
        <v>45123</v>
      </c>
      <c r="M1325" s="56" t="str">
        <f t="shared" si="150"/>
        <v>SUN</v>
      </c>
      <c r="O1325" s="253">
        <f t="shared" si="153"/>
        <v>0</v>
      </c>
      <c r="P1325" s="392">
        <f t="shared" si="152"/>
        <v>1</v>
      </c>
    </row>
    <row r="1326" spans="2:16">
      <c r="B1326" s="41"/>
      <c r="C1326" s="403">
        <f t="shared" si="146"/>
        <v>45124</v>
      </c>
      <c r="D1326" s="56" t="str">
        <f>VLOOKUP(MOD(C1326,7),'CALENDAR INFO'!$G$5:$H$11,2)</f>
        <v>MON</v>
      </c>
      <c r="E1326" s="165">
        <v>5.08</v>
      </c>
      <c r="F1326" s="336">
        <v>5.0599999999999996</v>
      </c>
      <c r="G1326" s="411">
        <f t="shared" si="148"/>
        <v>-2.0000000000000462E-2</v>
      </c>
      <c r="K1326" s="126"/>
      <c r="L1326" s="403">
        <f t="shared" si="149"/>
        <v>45124</v>
      </c>
      <c r="M1326" s="56" t="str">
        <f t="shared" si="150"/>
        <v>MON</v>
      </c>
      <c r="O1326" s="253">
        <f t="shared" si="153"/>
        <v>1</v>
      </c>
      <c r="P1326" s="392">
        <f t="shared" si="152"/>
        <v>1.0001405555555556</v>
      </c>
    </row>
    <row r="1327" spans="2:16">
      <c r="B1327" s="41"/>
      <c r="C1327" s="403">
        <f t="shared" si="146"/>
        <v>45125</v>
      </c>
      <c r="D1327" s="56" t="str">
        <f>VLOOKUP(MOD(C1327,7),'CALENDAR INFO'!$G$5:$H$11,2)</f>
        <v>TUE</v>
      </c>
      <c r="E1327" s="165">
        <v>5.08</v>
      </c>
      <c r="F1327" s="336">
        <v>5.0599999999999996</v>
      </c>
      <c r="G1327" s="411">
        <f t="shared" si="148"/>
        <v>-2.0000000000000462E-2</v>
      </c>
      <c r="K1327" s="126"/>
      <c r="L1327" s="403">
        <f t="shared" si="149"/>
        <v>45125</v>
      </c>
      <c r="M1327" s="56" t="str">
        <f t="shared" si="150"/>
        <v>TUE</v>
      </c>
      <c r="O1327" s="253">
        <f t="shared" si="153"/>
        <v>1</v>
      </c>
      <c r="P1327" s="392">
        <f t="shared" si="152"/>
        <v>1.0001405555555556</v>
      </c>
    </row>
    <row r="1328" spans="2:16">
      <c r="B1328" s="41"/>
      <c r="C1328" s="403">
        <f t="shared" si="146"/>
        <v>45126</v>
      </c>
      <c r="D1328" s="56" t="str">
        <f>VLOOKUP(MOD(C1328,7),'CALENDAR INFO'!$G$5:$H$11,2)</f>
        <v>WED</v>
      </c>
      <c r="E1328" s="165">
        <v>5.08</v>
      </c>
      <c r="F1328" s="336">
        <v>5.05</v>
      </c>
      <c r="G1328" s="411">
        <f t="shared" si="148"/>
        <v>-3.0000000000000249E-2</v>
      </c>
      <c r="K1328" s="126"/>
      <c r="L1328" s="403">
        <f t="shared" si="149"/>
        <v>45126</v>
      </c>
      <c r="M1328" s="56" t="str">
        <f t="shared" si="150"/>
        <v>WED</v>
      </c>
      <c r="O1328" s="253">
        <f t="shared" si="153"/>
        <v>1</v>
      </c>
      <c r="P1328" s="392">
        <f t="shared" si="152"/>
        <v>1.0001402777777777</v>
      </c>
    </row>
    <row r="1329" spans="1:18">
      <c r="B1329" s="41"/>
      <c r="C1329" s="403">
        <f t="shared" si="146"/>
        <v>45127</v>
      </c>
      <c r="D1329" s="56" t="str">
        <f>VLOOKUP(MOD(C1329,7),'CALENDAR INFO'!$G$5:$H$11,2)</f>
        <v>THU</v>
      </c>
      <c r="E1329" s="165">
        <v>5.08</v>
      </c>
      <c r="F1329" s="336">
        <v>5.0599999999999996</v>
      </c>
      <c r="G1329" s="411">
        <f t="shared" si="148"/>
        <v>-2.0000000000000462E-2</v>
      </c>
      <c r="K1329" s="126"/>
      <c r="L1329" s="403">
        <f t="shared" si="149"/>
        <v>45127</v>
      </c>
      <c r="M1329" s="56" t="str">
        <f t="shared" si="150"/>
        <v>THU</v>
      </c>
      <c r="O1329" s="253">
        <f t="shared" si="153"/>
        <v>1</v>
      </c>
      <c r="P1329" s="392">
        <f t="shared" si="152"/>
        <v>1.0001405555555556</v>
      </c>
    </row>
    <row r="1330" spans="1:18">
      <c r="B1330" s="41"/>
      <c r="C1330" s="403">
        <f t="shared" si="146"/>
        <v>45128</v>
      </c>
      <c r="D1330" s="56" t="str">
        <f>VLOOKUP(MOD(C1330,7),'CALENDAR INFO'!$G$5:$H$11,2)</f>
        <v>FRI</v>
      </c>
      <c r="E1330" s="165">
        <v>5.08</v>
      </c>
      <c r="F1330" s="336">
        <v>5.05</v>
      </c>
      <c r="G1330" s="411">
        <f t="shared" si="148"/>
        <v>-3.0000000000000249E-2</v>
      </c>
      <c r="K1330" s="126"/>
      <c r="L1330" s="403">
        <f t="shared" si="149"/>
        <v>45128</v>
      </c>
      <c r="M1330" s="56" t="str">
        <f t="shared" si="150"/>
        <v>FRI</v>
      </c>
      <c r="O1330" s="253">
        <f t="shared" si="153"/>
        <v>3</v>
      </c>
      <c r="P1330" s="392">
        <f t="shared" si="152"/>
        <v>1.0004208333333333</v>
      </c>
    </row>
    <row r="1331" spans="1:18">
      <c r="B1331" s="41"/>
      <c r="C1331" s="403">
        <f t="shared" si="146"/>
        <v>45129</v>
      </c>
      <c r="D1331" s="56" t="str">
        <f>VLOOKUP(MOD(C1331,7),'CALENDAR INFO'!$G$5:$H$11,2)</f>
        <v>SAT</v>
      </c>
      <c r="E1331" s="165">
        <v>5.08</v>
      </c>
      <c r="F1331" s="336">
        <v>5.05</v>
      </c>
      <c r="G1331" s="411">
        <f t="shared" si="148"/>
        <v>-3.0000000000000249E-2</v>
      </c>
      <c r="K1331" s="126"/>
      <c r="L1331" s="403">
        <f t="shared" si="149"/>
        <v>45129</v>
      </c>
      <c r="M1331" s="56" t="str">
        <f t="shared" si="150"/>
        <v>SAT</v>
      </c>
      <c r="O1331" s="253">
        <f t="shared" si="153"/>
        <v>0</v>
      </c>
      <c r="P1331" s="392">
        <f t="shared" si="152"/>
        <v>1</v>
      </c>
    </row>
    <row r="1332" spans="1:18">
      <c r="B1332" s="41"/>
      <c r="C1332" s="403">
        <f t="shared" si="146"/>
        <v>45130</v>
      </c>
      <c r="D1332" s="56" t="str">
        <f>VLOOKUP(MOD(C1332,7),'CALENDAR INFO'!$G$5:$H$11,2)</f>
        <v>SUN</v>
      </c>
      <c r="E1332" s="165">
        <v>5.08</v>
      </c>
      <c r="F1332" s="336">
        <v>5.05</v>
      </c>
      <c r="G1332" s="411">
        <f t="shared" si="148"/>
        <v>-3.0000000000000249E-2</v>
      </c>
      <c r="K1332" s="126"/>
      <c r="L1332" s="403">
        <f t="shared" si="149"/>
        <v>45130</v>
      </c>
      <c r="M1332" s="56" t="str">
        <f t="shared" si="150"/>
        <v>SUN</v>
      </c>
      <c r="O1332" s="253">
        <f t="shared" si="153"/>
        <v>0</v>
      </c>
      <c r="P1332" s="392">
        <f t="shared" si="152"/>
        <v>1</v>
      </c>
    </row>
    <row r="1333" spans="1:18">
      <c r="B1333" s="41"/>
      <c r="C1333" s="403">
        <f t="shared" ref="C1333:C1396" si="154">C1332+1</f>
        <v>45131</v>
      </c>
      <c r="D1333" s="56" t="str">
        <f>VLOOKUP(MOD(C1333,7),'CALENDAR INFO'!$G$5:$H$11,2)</f>
        <v>MON</v>
      </c>
      <c r="E1333" s="165">
        <v>5.08</v>
      </c>
      <c r="F1333" s="336">
        <v>5.05</v>
      </c>
      <c r="G1333" s="411">
        <f t="shared" si="148"/>
        <v>-3.0000000000000249E-2</v>
      </c>
      <c r="K1333" s="126"/>
      <c r="L1333" s="403">
        <f t="shared" si="149"/>
        <v>45131</v>
      </c>
      <c r="M1333" s="56" t="str">
        <f t="shared" si="150"/>
        <v>MON</v>
      </c>
      <c r="O1333" s="253">
        <f t="shared" si="153"/>
        <v>1</v>
      </c>
      <c r="P1333" s="392">
        <f t="shared" si="152"/>
        <v>1.0001402777777777</v>
      </c>
    </row>
    <row r="1334" spans="1:18">
      <c r="B1334" s="41"/>
      <c r="C1334" s="403">
        <f t="shared" si="154"/>
        <v>45132</v>
      </c>
      <c r="D1334" s="56" t="str">
        <f>VLOOKUP(MOD(C1334,7),'CALENDAR INFO'!$G$5:$H$11,2)</f>
        <v>TUE</v>
      </c>
      <c r="E1334" s="165">
        <v>5.08</v>
      </c>
      <c r="F1334" s="336">
        <v>5.0599999999999996</v>
      </c>
      <c r="G1334" s="411">
        <f t="shared" si="148"/>
        <v>-2.0000000000000462E-2</v>
      </c>
      <c r="K1334" s="126"/>
      <c r="L1334" s="403">
        <f t="shared" si="149"/>
        <v>45132</v>
      </c>
      <c r="M1334" s="56" t="str">
        <f t="shared" si="150"/>
        <v>TUE</v>
      </c>
      <c r="N1334" s="116" t="s">
        <v>20</v>
      </c>
      <c r="O1334" s="253">
        <f t="shared" si="153"/>
        <v>1</v>
      </c>
      <c r="P1334" s="392">
        <f t="shared" si="152"/>
        <v>1.0001405555555556</v>
      </c>
    </row>
    <row r="1335" spans="1:18">
      <c r="B1335" s="41"/>
      <c r="C1335" s="403">
        <f t="shared" si="154"/>
        <v>45133</v>
      </c>
      <c r="D1335" s="56" t="str">
        <f>VLOOKUP(MOD(C1335,7),'CALENDAR INFO'!$G$5:$H$11,2)</f>
        <v>WED</v>
      </c>
      <c r="E1335" s="165">
        <v>5.08</v>
      </c>
      <c r="F1335" s="336">
        <v>5.0599999999999996</v>
      </c>
      <c r="G1335" s="411">
        <f t="shared" si="148"/>
        <v>-2.0000000000000462E-2</v>
      </c>
      <c r="K1335" s="126" t="s">
        <v>19</v>
      </c>
      <c r="L1335" s="403">
        <f t="shared" si="149"/>
        <v>45133</v>
      </c>
      <c r="M1335" s="56" t="str">
        <f t="shared" si="150"/>
        <v>WED</v>
      </c>
      <c r="N1335" s="116" t="s">
        <v>20</v>
      </c>
      <c r="O1335" s="253">
        <f t="shared" si="153"/>
        <v>1</v>
      </c>
      <c r="P1335" s="392">
        <f t="shared" si="152"/>
        <v>1.0001405555555556</v>
      </c>
    </row>
    <row r="1336" spans="1:18">
      <c r="B1336" s="41"/>
      <c r="C1336" s="403">
        <f t="shared" si="154"/>
        <v>45134</v>
      </c>
      <c r="D1336" s="56" t="str">
        <f>VLOOKUP(MOD(C1336,7),'CALENDAR INFO'!$G$5:$H$11,2)</f>
        <v>THU</v>
      </c>
      <c r="E1336" s="165">
        <v>5.33</v>
      </c>
      <c r="F1336" s="336">
        <v>5.31</v>
      </c>
      <c r="G1336" s="411">
        <f t="shared" si="148"/>
        <v>-2.0000000000000462E-2</v>
      </c>
      <c r="I1336" s="137"/>
      <c r="K1336" s="129" t="s">
        <v>18</v>
      </c>
      <c r="L1336" s="403">
        <f t="shared" si="149"/>
        <v>45134</v>
      </c>
      <c r="M1336" s="56" t="str">
        <f t="shared" si="150"/>
        <v>THU</v>
      </c>
      <c r="O1336" s="253">
        <f t="shared" si="153"/>
        <v>1</v>
      </c>
      <c r="P1336" s="392">
        <f t="shared" si="152"/>
        <v>1.0001475</v>
      </c>
      <c r="Q1336" s="21"/>
      <c r="R1336" s="221"/>
    </row>
    <row r="1337" spans="1:18">
      <c r="B1337" s="41"/>
      <c r="C1337" s="403">
        <f t="shared" si="154"/>
        <v>45135</v>
      </c>
      <c r="D1337" s="56" t="str">
        <f>VLOOKUP(MOD(C1337,7),'CALENDAR INFO'!$G$5:$H$11,2)</f>
        <v>FRI</v>
      </c>
      <c r="E1337" s="165">
        <v>5.33</v>
      </c>
      <c r="F1337" s="336">
        <v>5.3</v>
      </c>
      <c r="G1337" s="411">
        <f t="shared" si="148"/>
        <v>-3.0000000000000249E-2</v>
      </c>
      <c r="H1337" s="115"/>
      <c r="I1337" s="141"/>
      <c r="J1337" s="158"/>
      <c r="K1337" s="129"/>
      <c r="L1337" s="403">
        <f t="shared" si="149"/>
        <v>45135</v>
      </c>
      <c r="M1337" s="56" t="str">
        <f t="shared" si="150"/>
        <v>FRI</v>
      </c>
      <c r="O1337" s="253">
        <f t="shared" si="153"/>
        <v>3</v>
      </c>
      <c r="P1337" s="392">
        <f t="shared" si="152"/>
        <v>1.0004416666666667</v>
      </c>
      <c r="Q1337" s="21"/>
      <c r="R1337" s="222"/>
    </row>
    <row r="1338" spans="1:18">
      <c r="B1338" s="41"/>
      <c r="C1338" s="403">
        <f t="shared" si="154"/>
        <v>45136</v>
      </c>
      <c r="D1338" s="56" t="str">
        <f>VLOOKUP(MOD(C1338,7),'CALENDAR INFO'!$G$5:$H$11,2)</f>
        <v>SAT</v>
      </c>
      <c r="E1338" s="165">
        <v>5.33</v>
      </c>
      <c r="F1338" s="336">
        <v>5.3</v>
      </c>
      <c r="G1338" s="411">
        <f t="shared" si="148"/>
        <v>-3.0000000000000249E-2</v>
      </c>
      <c r="H1338" s="115"/>
      <c r="I1338" s="148"/>
      <c r="J1338" s="160"/>
      <c r="K1338" s="129"/>
      <c r="L1338" s="403">
        <f t="shared" si="149"/>
        <v>45136</v>
      </c>
      <c r="M1338" s="56" t="str">
        <f t="shared" si="150"/>
        <v>SAT</v>
      </c>
      <c r="O1338" s="253">
        <f t="shared" si="153"/>
        <v>0</v>
      </c>
      <c r="P1338" s="392">
        <f t="shared" si="152"/>
        <v>1</v>
      </c>
      <c r="Q1338" s="21"/>
      <c r="R1338" s="222"/>
    </row>
    <row r="1339" spans="1:18">
      <c r="B1339" s="41"/>
      <c r="C1339" s="403">
        <f t="shared" si="154"/>
        <v>45137</v>
      </c>
      <c r="D1339" s="56" t="str">
        <f>VLOOKUP(MOD(C1339,7),'CALENDAR INFO'!$G$5:$H$11,2)</f>
        <v>SUN</v>
      </c>
      <c r="E1339" s="165">
        <v>5.33</v>
      </c>
      <c r="F1339" s="336">
        <v>5.3</v>
      </c>
      <c r="G1339" s="411">
        <f t="shared" si="148"/>
        <v>-3.0000000000000249E-2</v>
      </c>
      <c r="H1339" s="115"/>
      <c r="I1339" s="141"/>
      <c r="J1339" s="158"/>
      <c r="K1339" s="129"/>
      <c r="L1339" s="403">
        <f t="shared" si="149"/>
        <v>45137</v>
      </c>
      <c r="M1339" s="56" t="str">
        <f t="shared" si="150"/>
        <v>SUN</v>
      </c>
      <c r="O1339" s="253">
        <f t="shared" si="153"/>
        <v>0</v>
      </c>
      <c r="P1339" s="392">
        <f t="shared" si="152"/>
        <v>1</v>
      </c>
    </row>
    <row r="1340" spans="1:18" ht="15.75" thickBot="1">
      <c r="A1340" s="81"/>
      <c r="B1340" s="178"/>
      <c r="C1340" s="404">
        <f t="shared" si="154"/>
        <v>45138</v>
      </c>
      <c r="D1340" s="64" t="str">
        <f>VLOOKUP(MOD(C1340,7),'CALENDAR INFO'!$G$5:$H$11,2)</f>
        <v>MON</v>
      </c>
      <c r="E1340" s="166">
        <v>5.33</v>
      </c>
      <c r="F1340" s="337">
        <v>5.31</v>
      </c>
      <c r="G1340" s="412">
        <f t="shared" si="148"/>
        <v>-2.0000000000000462E-2</v>
      </c>
      <c r="H1340" s="345"/>
      <c r="I1340" s="143"/>
      <c r="J1340" s="162"/>
      <c r="K1340" s="189"/>
      <c r="L1340" s="404">
        <f t="shared" si="149"/>
        <v>45138</v>
      </c>
      <c r="M1340" s="64" t="str">
        <f t="shared" si="150"/>
        <v>MON</v>
      </c>
      <c r="N1340" s="90"/>
      <c r="O1340" s="383">
        <f t="shared" si="153"/>
        <v>1</v>
      </c>
      <c r="P1340" s="388">
        <f t="shared" si="152"/>
        <v>1.0001475</v>
      </c>
    </row>
    <row r="1341" spans="1:18">
      <c r="A1341" s="83"/>
      <c r="B1341" s="179"/>
      <c r="C1341" s="406">
        <f t="shared" si="154"/>
        <v>45139</v>
      </c>
      <c r="D1341" s="86" t="str">
        <f>VLOOKUP(MOD(C1341,7),'CALENDAR INFO'!$G$5:$H$11,2)</f>
        <v>TUE</v>
      </c>
      <c r="E1341" s="168">
        <v>5.33</v>
      </c>
      <c r="F1341" s="340">
        <v>5.31</v>
      </c>
      <c r="G1341" s="414">
        <f t="shared" si="148"/>
        <v>-2.0000000000000462E-2</v>
      </c>
      <c r="H1341" s="15" t="s">
        <v>149</v>
      </c>
      <c r="I1341" s="15">
        <f>ROW(I1341)</f>
        <v>1341</v>
      </c>
      <c r="J1341" s="138">
        <f>I1341</f>
        <v>1341</v>
      </c>
      <c r="K1341" s="129"/>
      <c r="L1341" s="406">
        <f t="shared" si="149"/>
        <v>45139</v>
      </c>
      <c r="M1341" s="86" t="str">
        <f t="shared" si="150"/>
        <v>TUE</v>
      </c>
      <c r="N1341" s="89"/>
      <c r="O1341" s="386">
        <f t="shared" si="153"/>
        <v>1</v>
      </c>
      <c r="P1341" s="390">
        <f t="shared" si="152"/>
        <v>1.0001475</v>
      </c>
    </row>
    <row r="1342" spans="1:18">
      <c r="B1342" s="41"/>
      <c r="C1342" s="403">
        <f t="shared" si="154"/>
        <v>45140</v>
      </c>
      <c r="D1342" s="56" t="str">
        <f>VLOOKUP(MOD(C1342,7),'CALENDAR INFO'!$G$5:$H$11,2)</f>
        <v>WED</v>
      </c>
      <c r="E1342" s="165">
        <v>5.33</v>
      </c>
      <c r="F1342" s="336">
        <v>5.3</v>
      </c>
      <c r="G1342" s="411">
        <f t="shared" si="148"/>
        <v>-3.0000000000000249E-2</v>
      </c>
      <c r="H1342" s="376" t="s">
        <v>210</v>
      </c>
      <c r="I1342" s="15">
        <f>VLOOKUP(MONTH($C1341),'CALENDAR INFO'!$J$5:$K$16,2)</f>
        <v>31</v>
      </c>
      <c r="J1342" s="138">
        <f>I1342</f>
        <v>31</v>
      </c>
      <c r="K1342" s="129"/>
      <c r="L1342" s="403">
        <f t="shared" si="149"/>
        <v>45140</v>
      </c>
      <c r="M1342" s="56" t="str">
        <f t="shared" si="150"/>
        <v>WED</v>
      </c>
      <c r="O1342" s="253">
        <f t="shared" si="153"/>
        <v>1</v>
      </c>
      <c r="P1342" s="392">
        <f t="shared" si="152"/>
        <v>1.0001472222222223</v>
      </c>
    </row>
    <row r="1343" spans="1:18">
      <c r="B1343" s="41"/>
      <c r="C1343" s="403">
        <f t="shared" si="154"/>
        <v>45141</v>
      </c>
      <c r="D1343" s="56" t="str">
        <f>VLOOKUP(MOD(C1343,7),'CALENDAR INFO'!$G$5:$H$11,2)</f>
        <v>THU</v>
      </c>
      <c r="E1343" s="165">
        <v>5.33</v>
      </c>
      <c r="F1343" s="336">
        <v>5.3</v>
      </c>
      <c r="G1343" s="411">
        <f t="shared" si="148"/>
        <v>-3.0000000000000249E-2</v>
      </c>
      <c r="H1343" s="376" t="s">
        <v>211</v>
      </c>
      <c r="I1343" s="15">
        <f>I1342+I1341-1</f>
        <v>1371</v>
      </c>
      <c r="J1343" s="138">
        <f>I1343</f>
        <v>1371</v>
      </c>
      <c r="K1343" s="129"/>
      <c r="L1343" s="403">
        <f t="shared" si="149"/>
        <v>45141</v>
      </c>
      <c r="M1343" s="56" t="str">
        <f t="shared" si="150"/>
        <v>THU</v>
      </c>
      <c r="O1343" s="253">
        <f t="shared" si="153"/>
        <v>1</v>
      </c>
      <c r="P1343" s="392">
        <f t="shared" si="152"/>
        <v>1.0001472222222223</v>
      </c>
    </row>
    <row r="1344" spans="1:18">
      <c r="B1344" s="41"/>
      <c r="C1344" s="403">
        <f t="shared" si="154"/>
        <v>45142</v>
      </c>
      <c r="D1344" s="56" t="str">
        <f>VLOOKUP(MOD(C1344,7),'CALENDAR INFO'!$G$5:$H$11,2)</f>
        <v>FRI</v>
      </c>
      <c r="E1344" s="165">
        <v>5.33</v>
      </c>
      <c r="F1344" s="336">
        <v>5.3</v>
      </c>
      <c r="G1344" s="411">
        <f t="shared" si="148"/>
        <v>-3.0000000000000249E-2</v>
      </c>
      <c r="K1344" s="129"/>
      <c r="L1344" s="403">
        <f t="shared" si="149"/>
        <v>45142</v>
      </c>
      <c r="M1344" s="56" t="str">
        <f t="shared" si="150"/>
        <v>FRI</v>
      </c>
      <c r="O1344" s="253">
        <f t="shared" si="153"/>
        <v>3</v>
      </c>
      <c r="P1344" s="392">
        <f t="shared" si="152"/>
        <v>1.0004416666666667</v>
      </c>
    </row>
    <row r="1345" spans="2:18">
      <c r="B1345" s="41"/>
      <c r="C1345" s="403">
        <f t="shared" si="154"/>
        <v>45143</v>
      </c>
      <c r="D1345" s="56" t="str">
        <f>VLOOKUP(MOD(C1345,7),'CALENDAR INFO'!$G$5:$H$11,2)</f>
        <v>SAT</v>
      </c>
      <c r="E1345" s="165">
        <v>5.33</v>
      </c>
      <c r="F1345" s="336">
        <v>5.3</v>
      </c>
      <c r="G1345" s="411">
        <f t="shared" si="148"/>
        <v>-3.0000000000000249E-2</v>
      </c>
      <c r="H1345" s="15" t="s">
        <v>150</v>
      </c>
      <c r="I1345" s="137" t="str">
        <f>_xlfn.CONCAT(ADDRESS(I1341,5),":",ADDRESS(I1343,5))</f>
        <v>$E$1341:$E$1371</v>
      </c>
      <c r="J1345" s="150" t="str">
        <f>_xlfn.CONCAT(ADDRESS(J1341,6),":",ADDRESS(J1343,6))</f>
        <v>$F$1341:$F$1371</v>
      </c>
      <c r="K1345" s="129"/>
      <c r="L1345" s="403">
        <f t="shared" si="149"/>
        <v>45143</v>
      </c>
      <c r="M1345" s="56" t="str">
        <f t="shared" si="150"/>
        <v>SAT</v>
      </c>
      <c r="O1345" s="253">
        <f t="shared" si="153"/>
        <v>0</v>
      </c>
      <c r="P1345" s="392">
        <f t="shared" si="152"/>
        <v>1</v>
      </c>
    </row>
    <row r="1346" spans="2:18">
      <c r="B1346" s="41"/>
      <c r="C1346" s="403">
        <f t="shared" si="154"/>
        <v>45144</v>
      </c>
      <c r="D1346" s="56" t="str">
        <f>VLOOKUP(MOD(C1346,7),'CALENDAR INFO'!$G$5:$H$11,2)</f>
        <v>SUN</v>
      </c>
      <c r="E1346" s="165">
        <v>5.33</v>
      </c>
      <c r="F1346" s="336">
        <v>5.3</v>
      </c>
      <c r="G1346" s="411">
        <f t="shared" si="148"/>
        <v>-3.0000000000000249E-2</v>
      </c>
      <c r="K1346" s="129"/>
      <c r="L1346" s="403">
        <f t="shared" si="149"/>
        <v>45144</v>
      </c>
      <c r="M1346" s="56" t="str">
        <f t="shared" si="150"/>
        <v>SUN</v>
      </c>
      <c r="O1346" s="253">
        <f t="shared" ref="O1346:O1371" si="155">IF(MOD(C1346,7)&lt;2,0,IF(MOD(C1346,7)=6,3,1))</f>
        <v>0</v>
      </c>
      <c r="P1346" s="392">
        <f t="shared" si="152"/>
        <v>1</v>
      </c>
      <c r="R1346" s="92"/>
    </row>
    <row r="1347" spans="2:18">
      <c r="B1347" s="41"/>
      <c r="C1347" s="403">
        <f t="shared" si="154"/>
        <v>45145</v>
      </c>
      <c r="D1347" s="56" t="str">
        <f>VLOOKUP(MOD(C1347,7),'CALENDAR INFO'!$G$5:$H$11,2)</f>
        <v>MON</v>
      </c>
      <c r="E1347" s="165">
        <v>5.33</v>
      </c>
      <c r="F1347" s="336">
        <v>5.3</v>
      </c>
      <c r="G1347" s="411">
        <f t="shared" ref="G1347:G1410" si="156">F1347-E1347</f>
        <v>-3.0000000000000249E-2</v>
      </c>
      <c r="H1347" s="376" t="s">
        <v>221</v>
      </c>
      <c r="I1347" s="147">
        <f ca="1">AVERAGE(INDIRECT(I1345))</f>
        <v>5.3300000000000018</v>
      </c>
      <c r="J1347" s="326">
        <f ca="1">AVERAGE(INDIRECT(J1345))</f>
        <v>5.3006451612903236</v>
      </c>
      <c r="K1347" s="129"/>
      <c r="L1347" s="403">
        <f t="shared" ref="L1347:L1410" si="157">C1347</f>
        <v>45145</v>
      </c>
      <c r="M1347" s="56" t="str">
        <f t="shared" ref="M1347:M1410" si="158">D1347</f>
        <v>MON</v>
      </c>
      <c r="O1347" s="253">
        <f t="shared" si="155"/>
        <v>1</v>
      </c>
      <c r="P1347" s="392">
        <f t="shared" si="152"/>
        <v>1.0001472222222223</v>
      </c>
      <c r="R1347" s="92"/>
    </row>
    <row r="1348" spans="2:18">
      <c r="B1348" s="41"/>
      <c r="C1348" s="403">
        <f t="shared" si="154"/>
        <v>45146</v>
      </c>
      <c r="D1348" s="56" t="str">
        <f>VLOOKUP(MOD(C1348,7),'CALENDAR INFO'!$G$5:$H$11,2)</f>
        <v>TUE</v>
      </c>
      <c r="E1348" s="165">
        <v>5.33</v>
      </c>
      <c r="F1348" s="336">
        <v>5.3</v>
      </c>
      <c r="G1348" s="411">
        <f t="shared" si="156"/>
        <v>-3.0000000000000249E-2</v>
      </c>
      <c r="I1348" s="240"/>
      <c r="J1348" s="157"/>
      <c r="K1348" s="129"/>
      <c r="L1348" s="403">
        <f t="shared" si="157"/>
        <v>45146</v>
      </c>
      <c r="M1348" s="56" t="str">
        <f t="shared" si="158"/>
        <v>TUE</v>
      </c>
      <c r="O1348" s="253">
        <f t="shared" si="155"/>
        <v>1</v>
      </c>
      <c r="P1348" s="392">
        <f t="shared" si="152"/>
        <v>1.0001472222222223</v>
      </c>
    </row>
    <row r="1349" spans="2:18">
      <c r="B1349" s="41"/>
      <c r="C1349" s="403">
        <f t="shared" si="154"/>
        <v>45147</v>
      </c>
      <c r="D1349" s="56" t="str">
        <f>VLOOKUP(MOD(C1349,7),'CALENDAR INFO'!$G$5:$H$11,2)</f>
        <v>WED</v>
      </c>
      <c r="E1349" s="165">
        <v>5.33</v>
      </c>
      <c r="F1349" s="336">
        <v>5.3</v>
      </c>
      <c r="G1349" s="411">
        <f t="shared" si="156"/>
        <v>-3.0000000000000249E-2</v>
      </c>
      <c r="H1349" s="15" t="s">
        <v>222</v>
      </c>
      <c r="I1349" s="147">
        <f ca="1">100-I1347</f>
        <v>94.67</v>
      </c>
      <c r="J1349" s="326">
        <f ca="1">100-J1347</f>
        <v>94.699354838709681</v>
      </c>
      <c r="K1349" s="129" t="s">
        <v>19</v>
      </c>
      <c r="L1349" s="403">
        <f t="shared" si="157"/>
        <v>45147</v>
      </c>
      <c r="M1349" s="56" t="str">
        <f t="shared" si="158"/>
        <v>WED</v>
      </c>
      <c r="O1349" s="253">
        <f t="shared" si="155"/>
        <v>1</v>
      </c>
      <c r="P1349" s="392">
        <f t="shared" si="152"/>
        <v>1.0001472222222223</v>
      </c>
    </row>
    <row r="1350" spans="2:18">
      <c r="B1350" s="41"/>
      <c r="C1350" s="403">
        <f t="shared" si="154"/>
        <v>45148</v>
      </c>
      <c r="D1350" s="56" t="str">
        <f>VLOOKUP(MOD(C1350,7),'CALENDAR INFO'!$G$5:$H$11,2)</f>
        <v>THU</v>
      </c>
      <c r="E1350" s="165">
        <v>5.33</v>
      </c>
      <c r="F1350" s="336">
        <v>5.3</v>
      </c>
      <c r="G1350" s="411">
        <f t="shared" si="156"/>
        <v>-3.0000000000000249E-2</v>
      </c>
      <c r="I1350" s="137"/>
      <c r="J1350" s="150"/>
      <c r="K1350" s="126" t="s">
        <v>18</v>
      </c>
      <c r="L1350" s="403">
        <f t="shared" si="157"/>
        <v>45148</v>
      </c>
      <c r="M1350" s="56" t="str">
        <f t="shared" si="158"/>
        <v>THU</v>
      </c>
      <c r="O1350" s="253">
        <f t="shared" si="155"/>
        <v>1</v>
      </c>
      <c r="P1350" s="392">
        <f t="shared" si="152"/>
        <v>1.0001472222222223</v>
      </c>
    </row>
    <row r="1351" spans="2:18">
      <c r="B1351" s="41"/>
      <c r="C1351" s="403">
        <f t="shared" si="154"/>
        <v>45149</v>
      </c>
      <c r="D1351" s="56" t="str">
        <f>VLOOKUP(MOD(C1351,7),'CALENDAR INFO'!$G$5:$H$11,2)</f>
        <v>FRI</v>
      </c>
      <c r="E1351" s="165">
        <v>5.33</v>
      </c>
      <c r="F1351" s="336">
        <v>5.3</v>
      </c>
      <c r="G1351" s="411">
        <f t="shared" si="156"/>
        <v>-3.0000000000000249E-2</v>
      </c>
      <c r="K1351" s="126"/>
      <c r="L1351" s="403">
        <f t="shared" si="157"/>
        <v>45149</v>
      </c>
      <c r="M1351" s="56" t="str">
        <f t="shared" si="158"/>
        <v>FRI</v>
      </c>
      <c r="O1351" s="253">
        <f t="shared" si="155"/>
        <v>3</v>
      </c>
      <c r="P1351" s="392">
        <f t="shared" si="152"/>
        <v>1.0004416666666667</v>
      </c>
    </row>
    <row r="1352" spans="2:18">
      <c r="B1352" s="41"/>
      <c r="C1352" s="403">
        <f t="shared" si="154"/>
        <v>45150</v>
      </c>
      <c r="D1352" s="56" t="str">
        <f>VLOOKUP(MOD(C1352,7),'CALENDAR INFO'!$G$5:$H$11,2)</f>
        <v>SAT</v>
      </c>
      <c r="E1352" s="165">
        <v>5.33</v>
      </c>
      <c r="F1352" s="336">
        <v>5.3</v>
      </c>
      <c r="G1352" s="411">
        <f t="shared" si="156"/>
        <v>-3.0000000000000249E-2</v>
      </c>
      <c r="K1352" s="126"/>
      <c r="L1352" s="403">
        <f t="shared" si="157"/>
        <v>45150</v>
      </c>
      <c r="M1352" s="56" t="str">
        <f t="shared" si="158"/>
        <v>SAT</v>
      </c>
      <c r="O1352" s="253">
        <f t="shared" si="155"/>
        <v>0</v>
      </c>
      <c r="P1352" s="392">
        <f t="shared" si="152"/>
        <v>1</v>
      </c>
    </row>
    <row r="1353" spans="2:18">
      <c r="B1353" s="41"/>
      <c r="C1353" s="403">
        <f t="shared" si="154"/>
        <v>45151</v>
      </c>
      <c r="D1353" s="56" t="str">
        <f>VLOOKUP(MOD(C1353,7),'CALENDAR INFO'!$G$5:$H$11,2)</f>
        <v>SUN</v>
      </c>
      <c r="E1353" s="165">
        <v>5.33</v>
      </c>
      <c r="F1353" s="336">
        <v>5.3</v>
      </c>
      <c r="G1353" s="411">
        <f t="shared" si="156"/>
        <v>-3.0000000000000249E-2</v>
      </c>
      <c r="K1353" s="126"/>
      <c r="L1353" s="403">
        <f t="shared" si="157"/>
        <v>45151</v>
      </c>
      <c r="M1353" s="56" t="str">
        <f t="shared" si="158"/>
        <v>SUN</v>
      </c>
      <c r="O1353" s="253">
        <f t="shared" si="155"/>
        <v>0</v>
      </c>
      <c r="P1353" s="392">
        <f t="shared" si="152"/>
        <v>1</v>
      </c>
    </row>
    <row r="1354" spans="2:18">
      <c r="B1354" s="41"/>
      <c r="C1354" s="403">
        <f t="shared" si="154"/>
        <v>45152</v>
      </c>
      <c r="D1354" s="56" t="str">
        <f>VLOOKUP(MOD(C1354,7),'CALENDAR INFO'!$G$5:$H$11,2)</f>
        <v>MON</v>
      </c>
      <c r="E1354" s="165">
        <v>5.33</v>
      </c>
      <c r="F1354" s="336">
        <v>5.3</v>
      </c>
      <c r="G1354" s="411">
        <f t="shared" si="156"/>
        <v>-3.0000000000000249E-2</v>
      </c>
      <c r="K1354" s="126"/>
      <c r="L1354" s="403">
        <f t="shared" si="157"/>
        <v>45152</v>
      </c>
      <c r="M1354" s="56" t="str">
        <f t="shared" si="158"/>
        <v>MON</v>
      </c>
      <c r="O1354" s="253">
        <f t="shared" si="155"/>
        <v>1</v>
      </c>
      <c r="P1354" s="392">
        <f t="shared" si="152"/>
        <v>1.0001472222222223</v>
      </c>
    </row>
    <row r="1355" spans="2:18">
      <c r="B1355" s="41"/>
      <c r="C1355" s="403">
        <f t="shared" si="154"/>
        <v>45153</v>
      </c>
      <c r="D1355" s="56" t="str">
        <f>VLOOKUP(MOD(C1355,7),'CALENDAR INFO'!$G$5:$H$11,2)</f>
        <v>TUE</v>
      </c>
      <c r="E1355" s="165">
        <v>5.33</v>
      </c>
      <c r="F1355" s="336">
        <v>5.3</v>
      </c>
      <c r="G1355" s="411">
        <f t="shared" si="156"/>
        <v>-3.0000000000000249E-2</v>
      </c>
      <c r="H1355" s="135"/>
      <c r="I1355" s="144"/>
      <c r="J1355" s="152"/>
      <c r="K1355" s="126"/>
      <c r="L1355" s="403">
        <f t="shared" si="157"/>
        <v>45153</v>
      </c>
      <c r="M1355" s="56" t="str">
        <f t="shared" si="158"/>
        <v>TUE</v>
      </c>
      <c r="O1355" s="253">
        <f t="shared" si="155"/>
        <v>1</v>
      </c>
      <c r="P1355" s="392">
        <f t="shared" si="152"/>
        <v>1.0001472222222223</v>
      </c>
    </row>
    <row r="1356" spans="2:18">
      <c r="B1356" s="41"/>
      <c r="C1356" s="403">
        <f t="shared" si="154"/>
        <v>45154</v>
      </c>
      <c r="D1356" s="56" t="str">
        <f>VLOOKUP(MOD(C1356,7),'CALENDAR INFO'!$G$5:$H$11,2)</f>
        <v>WED</v>
      </c>
      <c r="E1356" s="165">
        <v>5.33</v>
      </c>
      <c r="F1356" s="336">
        <v>5.3</v>
      </c>
      <c r="G1356" s="411">
        <f t="shared" si="156"/>
        <v>-3.0000000000000249E-2</v>
      </c>
      <c r="K1356" s="126"/>
      <c r="L1356" s="403">
        <f t="shared" si="157"/>
        <v>45154</v>
      </c>
      <c r="M1356" s="56" t="str">
        <f t="shared" si="158"/>
        <v>WED</v>
      </c>
      <c r="O1356" s="253">
        <f t="shared" si="155"/>
        <v>1</v>
      </c>
      <c r="P1356" s="392">
        <f t="shared" si="152"/>
        <v>1.0001472222222223</v>
      </c>
    </row>
    <row r="1357" spans="2:18">
      <c r="B1357" s="41"/>
      <c r="C1357" s="403">
        <f t="shared" si="154"/>
        <v>45155</v>
      </c>
      <c r="D1357" s="56" t="str">
        <f>VLOOKUP(MOD(C1357,7),'CALENDAR INFO'!$G$5:$H$11,2)</f>
        <v>THU</v>
      </c>
      <c r="E1357" s="165">
        <v>5.33</v>
      </c>
      <c r="F1357" s="336">
        <v>5.3</v>
      </c>
      <c r="G1357" s="411">
        <f t="shared" si="156"/>
        <v>-3.0000000000000249E-2</v>
      </c>
      <c r="K1357" s="126"/>
      <c r="L1357" s="403">
        <f t="shared" si="157"/>
        <v>45155</v>
      </c>
      <c r="M1357" s="56" t="str">
        <f t="shared" si="158"/>
        <v>THU</v>
      </c>
      <c r="O1357" s="253">
        <f t="shared" si="155"/>
        <v>1</v>
      </c>
      <c r="P1357" s="392">
        <f t="shared" si="152"/>
        <v>1.0001472222222223</v>
      </c>
    </row>
    <row r="1358" spans="2:18">
      <c r="B1358" s="41"/>
      <c r="C1358" s="403">
        <f t="shared" si="154"/>
        <v>45156</v>
      </c>
      <c r="D1358" s="56" t="str">
        <f>VLOOKUP(MOD(C1358,7),'CALENDAR INFO'!$G$5:$H$11,2)</f>
        <v>FRI</v>
      </c>
      <c r="E1358" s="165">
        <v>5.33</v>
      </c>
      <c r="F1358" s="336">
        <v>5.3</v>
      </c>
      <c r="G1358" s="411">
        <f t="shared" si="156"/>
        <v>-3.0000000000000249E-2</v>
      </c>
      <c r="K1358" s="126"/>
      <c r="L1358" s="403">
        <f t="shared" si="157"/>
        <v>45156</v>
      </c>
      <c r="M1358" s="56" t="str">
        <f t="shared" si="158"/>
        <v>FRI</v>
      </c>
      <c r="O1358" s="253">
        <f t="shared" si="155"/>
        <v>3</v>
      </c>
      <c r="P1358" s="392">
        <f t="shared" si="152"/>
        <v>1.0004416666666667</v>
      </c>
    </row>
    <row r="1359" spans="2:18">
      <c r="B1359" s="41"/>
      <c r="C1359" s="403">
        <f t="shared" si="154"/>
        <v>45157</v>
      </c>
      <c r="D1359" s="56" t="str">
        <f>VLOOKUP(MOD(C1359,7),'CALENDAR INFO'!$G$5:$H$11,2)</f>
        <v>SAT</v>
      </c>
      <c r="E1359" s="165">
        <v>5.33</v>
      </c>
      <c r="F1359" s="336">
        <v>5.3</v>
      </c>
      <c r="G1359" s="411">
        <f t="shared" si="156"/>
        <v>-3.0000000000000249E-2</v>
      </c>
      <c r="K1359" s="126"/>
      <c r="L1359" s="403">
        <f t="shared" si="157"/>
        <v>45157</v>
      </c>
      <c r="M1359" s="56" t="str">
        <f t="shared" si="158"/>
        <v>SAT</v>
      </c>
      <c r="O1359" s="253">
        <f t="shared" si="155"/>
        <v>0</v>
      </c>
      <c r="P1359" s="392">
        <f t="shared" si="152"/>
        <v>1</v>
      </c>
    </row>
    <row r="1360" spans="2:18">
      <c r="B1360" s="41"/>
      <c r="C1360" s="403">
        <f t="shared" si="154"/>
        <v>45158</v>
      </c>
      <c r="D1360" s="56" t="str">
        <f>VLOOKUP(MOD(C1360,7),'CALENDAR INFO'!$G$5:$H$11,2)</f>
        <v>SUN</v>
      </c>
      <c r="E1360" s="165">
        <v>5.33</v>
      </c>
      <c r="F1360" s="336">
        <v>5.3</v>
      </c>
      <c r="G1360" s="411">
        <f t="shared" si="156"/>
        <v>-3.0000000000000249E-2</v>
      </c>
      <c r="K1360" s="126"/>
      <c r="L1360" s="403">
        <f t="shared" si="157"/>
        <v>45158</v>
      </c>
      <c r="M1360" s="56" t="str">
        <f t="shared" si="158"/>
        <v>SUN</v>
      </c>
      <c r="O1360" s="253">
        <f t="shared" si="155"/>
        <v>0</v>
      </c>
      <c r="P1360" s="392">
        <f t="shared" si="152"/>
        <v>1</v>
      </c>
    </row>
    <row r="1361" spans="1:18">
      <c r="B1361" s="41"/>
      <c r="C1361" s="403">
        <f t="shared" si="154"/>
        <v>45159</v>
      </c>
      <c r="D1361" s="56" t="str">
        <f>VLOOKUP(MOD(C1361,7),'CALENDAR INFO'!$G$5:$H$11,2)</f>
        <v>MON</v>
      </c>
      <c r="E1361" s="165">
        <v>5.33</v>
      </c>
      <c r="F1361" s="336">
        <v>5.3</v>
      </c>
      <c r="G1361" s="411">
        <f t="shared" si="156"/>
        <v>-3.0000000000000249E-2</v>
      </c>
      <c r="K1361" s="126"/>
      <c r="L1361" s="403">
        <f t="shared" si="157"/>
        <v>45159</v>
      </c>
      <c r="M1361" s="56" t="str">
        <f t="shared" si="158"/>
        <v>MON</v>
      </c>
      <c r="O1361" s="253">
        <f t="shared" si="155"/>
        <v>1</v>
      </c>
      <c r="P1361" s="392">
        <f t="shared" si="152"/>
        <v>1.0001472222222223</v>
      </c>
    </row>
    <row r="1362" spans="1:18">
      <c r="B1362" s="41"/>
      <c r="C1362" s="403">
        <f t="shared" si="154"/>
        <v>45160</v>
      </c>
      <c r="D1362" s="56" t="str">
        <f>VLOOKUP(MOD(C1362,7),'CALENDAR INFO'!$G$5:$H$11,2)</f>
        <v>TUE</v>
      </c>
      <c r="E1362" s="165">
        <v>5.33</v>
      </c>
      <c r="F1362" s="336">
        <v>5.3</v>
      </c>
      <c r="G1362" s="411">
        <f t="shared" si="156"/>
        <v>-3.0000000000000249E-2</v>
      </c>
      <c r="K1362" s="126"/>
      <c r="L1362" s="403">
        <f t="shared" si="157"/>
        <v>45160</v>
      </c>
      <c r="M1362" s="56" t="str">
        <f t="shared" si="158"/>
        <v>TUE</v>
      </c>
      <c r="O1362" s="253">
        <f t="shared" si="155"/>
        <v>1</v>
      </c>
      <c r="P1362" s="392">
        <f t="shared" si="152"/>
        <v>1.0001472222222223</v>
      </c>
    </row>
    <row r="1363" spans="1:18">
      <c r="B1363" s="41"/>
      <c r="C1363" s="403">
        <f t="shared" si="154"/>
        <v>45161</v>
      </c>
      <c r="D1363" s="56" t="str">
        <f>VLOOKUP(MOD(C1363,7),'CALENDAR INFO'!$G$5:$H$11,2)</f>
        <v>WED</v>
      </c>
      <c r="E1363" s="165">
        <v>5.33</v>
      </c>
      <c r="F1363" s="336">
        <v>5.3</v>
      </c>
      <c r="G1363" s="411">
        <f t="shared" si="156"/>
        <v>-3.0000000000000249E-2</v>
      </c>
      <c r="K1363" s="126" t="s">
        <v>19</v>
      </c>
      <c r="L1363" s="403">
        <f t="shared" si="157"/>
        <v>45161</v>
      </c>
      <c r="M1363" s="56" t="str">
        <f t="shared" si="158"/>
        <v>WED</v>
      </c>
      <c r="O1363" s="253">
        <f t="shared" si="155"/>
        <v>1</v>
      </c>
      <c r="P1363" s="392">
        <f t="shared" ref="P1363:P1426" si="159">1+(O1363/360)*(MAX(F1363,B1363)/100)</f>
        <v>1.0001472222222223</v>
      </c>
    </row>
    <row r="1364" spans="1:18">
      <c r="B1364" s="41"/>
      <c r="C1364" s="403">
        <f t="shared" si="154"/>
        <v>45162</v>
      </c>
      <c r="D1364" s="56" t="str">
        <f>VLOOKUP(MOD(C1364,7),'CALENDAR INFO'!$G$5:$H$11,2)</f>
        <v>THU</v>
      </c>
      <c r="E1364" s="165">
        <v>5.33</v>
      </c>
      <c r="F1364" s="336">
        <v>5.3</v>
      </c>
      <c r="G1364" s="411">
        <f t="shared" si="156"/>
        <v>-3.0000000000000249E-2</v>
      </c>
      <c r="K1364" s="129" t="s">
        <v>18</v>
      </c>
      <c r="L1364" s="403">
        <f t="shared" si="157"/>
        <v>45162</v>
      </c>
      <c r="M1364" s="56" t="str">
        <f t="shared" si="158"/>
        <v>THU</v>
      </c>
      <c r="O1364" s="253">
        <f t="shared" si="155"/>
        <v>1</v>
      </c>
      <c r="P1364" s="392">
        <f t="shared" si="159"/>
        <v>1.0001472222222223</v>
      </c>
    </row>
    <row r="1365" spans="1:18">
      <c r="B1365" s="41"/>
      <c r="C1365" s="403">
        <f t="shared" si="154"/>
        <v>45163</v>
      </c>
      <c r="D1365" s="56" t="str">
        <f>VLOOKUP(MOD(C1365,7),'CALENDAR INFO'!$G$5:$H$11,2)</f>
        <v>FRI</v>
      </c>
      <c r="E1365" s="165">
        <v>5.33</v>
      </c>
      <c r="F1365" s="336">
        <v>5.3</v>
      </c>
      <c r="G1365" s="411">
        <f t="shared" si="156"/>
        <v>-3.0000000000000249E-2</v>
      </c>
      <c r="K1365" s="129"/>
      <c r="L1365" s="403">
        <f t="shared" si="157"/>
        <v>45163</v>
      </c>
      <c r="M1365" s="56" t="str">
        <f t="shared" si="158"/>
        <v>FRI</v>
      </c>
      <c r="O1365" s="253">
        <f t="shared" si="155"/>
        <v>3</v>
      </c>
      <c r="P1365" s="392">
        <f t="shared" si="159"/>
        <v>1.0004416666666667</v>
      </c>
    </row>
    <row r="1366" spans="1:18">
      <c r="B1366" s="41"/>
      <c r="C1366" s="403">
        <f t="shared" si="154"/>
        <v>45164</v>
      </c>
      <c r="D1366" s="56" t="str">
        <f>VLOOKUP(MOD(C1366,7),'CALENDAR INFO'!$G$5:$H$11,2)</f>
        <v>SAT</v>
      </c>
      <c r="E1366" s="165">
        <v>5.33</v>
      </c>
      <c r="F1366" s="336">
        <v>5.3</v>
      </c>
      <c r="G1366" s="411">
        <f t="shared" si="156"/>
        <v>-3.0000000000000249E-2</v>
      </c>
      <c r="K1366" s="129"/>
      <c r="L1366" s="403">
        <f t="shared" si="157"/>
        <v>45164</v>
      </c>
      <c r="M1366" s="56" t="str">
        <f t="shared" si="158"/>
        <v>SAT</v>
      </c>
      <c r="O1366" s="253">
        <f t="shared" si="155"/>
        <v>0</v>
      </c>
      <c r="P1366" s="392">
        <f t="shared" si="159"/>
        <v>1</v>
      </c>
    </row>
    <row r="1367" spans="1:18">
      <c r="B1367" s="41"/>
      <c r="C1367" s="403">
        <f t="shared" si="154"/>
        <v>45165</v>
      </c>
      <c r="D1367" s="56" t="str">
        <f>VLOOKUP(MOD(C1367,7),'CALENDAR INFO'!$G$5:$H$11,2)</f>
        <v>SUN</v>
      </c>
      <c r="E1367" s="165">
        <v>5.33</v>
      </c>
      <c r="F1367" s="336">
        <v>5.3</v>
      </c>
      <c r="G1367" s="411">
        <f t="shared" si="156"/>
        <v>-3.0000000000000249E-2</v>
      </c>
      <c r="I1367" s="137"/>
      <c r="K1367" s="129"/>
      <c r="L1367" s="403">
        <f t="shared" si="157"/>
        <v>45165</v>
      </c>
      <c r="M1367" s="56" t="str">
        <f t="shared" si="158"/>
        <v>SUN</v>
      </c>
      <c r="O1367" s="253">
        <f t="shared" si="155"/>
        <v>0</v>
      </c>
      <c r="P1367" s="392">
        <f t="shared" si="159"/>
        <v>1</v>
      </c>
      <c r="Q1367" s="21"/>
      <c r="R1367" s="221"/>
    </row>
    <row r="1368" spans="1:18">
      <c r="B1368" s="41"/>
      <c r="C1368" s="403">
        <f t="shared" si="154"/>
        <v>45166</v>
      </c>
      <c r="D1368" s="56" t="str">
        <f>VLOOKUP(MOD(C1368,7),'CALENDAR INFO'!$G$5:$H$11,2)</f>
        <v>MON</v>
      </c>
      <c r="E1368" s="165">
        <v>5.33</v>
      </c>
      <c r="F1368" s="336">
        <v>5.3</v>
      </c>
      <c r="G1368" s="411">
        <f t="shared" si="156"/>
        <v>-3.0000000000000249E-2</v>
      </c>
      <c r="H1368" s="115"/>
      <c r="I1368" s="141"/>
      <c r="J1368" s="158"/>
      <c r="K1368" s="129"/>
      <c r="L1368" s="403">
        <f t="shared" si="157"/>
        <v>45166</v>
      </c>
      <c r="M1368" s="56" t="str">
        <f t="shared" si="158"/>
        <v>MON</v>
      </c>
      <c r="O1368" s="253">
        <f t="shared" si="155"/>
        <v>1</v>
      </c>
      <c r="P1368" s="392">
        <f t="shared" si="159"/>
        <v>1.0001472222222223</v>
      </c>
      <c r="Q1368" s="21"/>
      <c r="R1368" s="222"/>
    </row>
    <row r="1369" spans="1:18">
      <c r="B1369" s="41"/>
      <c r="C1369" s="403">
        <f t="shared" si="154"/>
        <v>45167</v>
      </c>
      <c r="D1369" s="56" t="str">
        <f>VLOOKUP(MOD(C1369,7),'CALENDAR INFO'!$G$5:$H$11,2)</f>
        <v>TUE</v>
      </c>
      <c r="E1369" s="165">
        <v>5.33</v>
      </c>
      <c r="F1369" s="336">
        <v>5.3</v>
      </c>
      <c r="G1369" s="411">
        <f t="shared" si="156"/>
        <v>-3.0000000000000249E-2</v>
      </c>
      <c r="H1369" s="115"/>
      <c r="I1369" s="148"/>
      <c r="J1369" s="160"/>
      <c r="K1369" s="129"/>
      <c r="L1369" s="403">
        <f t="shared" si="157"/>
        <v>45167</v>
      </c>
      <c r="M1369" s="56" t="str">
        <f t="shared" si="158"/>
        <v>TUE</v>
      </c>
      <c r="O1369" s="253">
        <f t="shared" si="155"/>
        <v>1</v>
      </c>
      <c r="P1369" s="392">
        <f t="shared" si="159"/>
        <v>1.0001472222222223</v>
      </c>
      <c r="Q1369" s="21"/>
      <c r="R1369" s="222"/>
    </row>
    <row r="1370" spans="1:18">
      <c r="B1370" s="41"/>
      <c r="C1370" s="403">
        <f t="shared" si="154"/>
        <v>45168</v>
      </c>
      <c r="D1370" s="56" t="str">
        <f>VLOOKUP(MOD(C1370,7),'CALENDAR INFO'!$G$5:$H$11,2)</f>
        <v>WED</v>
      </c>
      <c r="E1370" s="165">
        <v>5.33</v>
      </c>
      <c r="F1370" s="336">
        <v>5.3</v>
      </c>
      <c r="G1370" s="411">
        <f t="shared" si="156"/>
        <v>-3.0000000000000249E-2</v>
      </c>
      <c r="H1370" s="115"/>
      <c r="I1370" s="141"/>
      <c r="J1370" s="158"/>
      <c r="K1370" s="129"/>
      <c r="L1370" s="403">
        <f t="shared" si="157"/>
        <v>45168</v>
      </c>
      <c r="M1370" s="56" t="str">
        <f t="shared" si="158"/>
        <v>WED</v>
      </c>
      <c r="O1370" s="253">
        <f t="shared" si="155"/>
        <v>1</v>
      </c>
      <c r="P1370" s="392">
        <f t="shared" si="159"/>
        <v>1.0001472222222223</v>
      </c>
    </row>
    <row r="1371" spans="1:18" ht="15.75" thickBot="1">
      <c r="A1371" s="81"/>
      <c r="B1371" s="178"/>
      <c r="C1371" s="404">
        <f t="shared" si="154"/>
        <v>45169</v>
      </c>
      <c r="D1371" s="64" t="str">
        <f>VLOOKUP(MOD(C1371,7),'CALENDAR INFO'!$G$5:$H$11,2)</f>
        <v>THU</v>
      </c>
      <c r="E1371" s="166">
        <v>5.33</v>
      </c>
      <c r="F1371" s="337">
        <v>5.31</v>
      </c>
      <c r="G1371" s="412">
        <f t="shared" si="156"/>
        <v>-2.0000000000000462E-2</v>
      </c>
      <c r="H1371" s="345"/>
      <c r="I1371" s="143"/>
      <c r="J1371" s="162"/>
      <c r="K1371" s="189"/>
      <c r="L1371" s="404">
        <f t="shared" si="157"/>
        <v>45169</v>
      </c>
      <c r="M1371" s="64" t="str">
        <f t="shared" si="158"/>
        <v>THU</v>
      </c>
      <c r="N1371" s="90"/>
      <c r="O1371" s="383">
        <f t="shared" si="155"/>
        <v>1</v>
      </c>
      <c r="P1371" s="388">
        <f t="shared" si="159"/>
        <v>1.0001475</v>
      </c>
    </row>
    <row r="1372" spans="1:18">
      <c r="A1372" s="83"/>
      <c r="B1372" s="179"/>
      <c r="C1372" s="406">
        <f t="shared" si="154"/>
        <v>45170</v>
      </c>
      <c r="D1372" s="86" t="str">
        <f>VLOOKUP(MOD(C1372,7),'CALENDAR INFO'!$G$5:$H$11,2)</f>
        <v>FRI</v>
      </c>
      <c r="E1372" s="168">
        <v>5.33</v>
      </c>
      <c r="F1372" s="340">
        <v>5.31</v>
      </c>
      <c r="G1372" s="414">
        <f t="shared" si="156"/>
        <v>-2.0000000000000462E-2</v>
      </c>
      <c r="H1372" s="15" t="s">
        <v>149</v>
      </c>
      <c r="I1372" s="15">
        <f>ROW(I1372)</f>
        <v>1372</v>
      </c>
      <c r="J1372" s="138">
        <f>I1372</f>
        <v>1372</v>
      </c>
      <c r="K1372" s="129"/>
      <c r="L1372" s="406">
        <f t="shared" si="157"/>
        <v>45170</v>
      </c>
      <c r="M1372" s="86" t="str">
        <f t="shared" si="158"/>
        <v>FRI</v>
      </c>
      <c r="N1372" s="89"/>
      <c r="O1372" s="389">
        <v>4</v>
      </c>
      <c r="P1372" s="390">
        <f t="shared" si="159"/>
        <v>1.0005900000000001</v>
      </c>
    </row>
    <row r="1373" spans="1:18">
      <c r="B1373" s="41"/>
      <c r="C1373" s="403">
        <f t="shared" si="154"/>
        <v>45171</v>
      </c>
      <c r="D1373" s="56" t="str">
        <f>VLOOKUP(MOD(C1373,7),'CALENDAR INFO'!$G$5:$H$11,2)</f>
        <v>SAT</v>
      </c>
      <c r="E1373" s="165">
        <v>5.33</v>
      </c>
      <c r="F1373" s="336">
        <v>5.31</v>
      </c>
      <c r="G1373" s="411">
        <f t="shared" si="156"/>
        <v>-2.0000000000000462E-2</v>
      </c>
      <c r="H1373" s="376" t="s">
        <v>210</v>
      </c>
      <c r="I1373" s="15">
        <f>VLOOKUP(MONTH($C1372),'CALENDAR INFO'!$J$5:$K$16,2)</f>
        <v>30</v>
      </c>
      <c r="J1373" s="138">
        <f>I1373</f>
        <v>30</v>
      </c>
      <c r="K1373" s="129"/>
      <c r="L1373" s="403">
        <f t="shared" si="157"/>
        <v>45171</v>
      </c>
      <c r="M1373" s="56" t="str">
        <f t="shared" si="158"/>
        <v>SAT</v>
      </c>
      <c r="O1373" s="253">
        <f>IF(MOD(C1373,7)&lt;2,0,IF(MOD(C1373,7)=6,3,1))</f>
        <v>0</v>
      </c>
      <c r="P1373" s="392">
        <f t="shared" si="159"/>
        <v>1</v>
      </c>
    </row>
    <row r="1374" spans="1:18">
      <c r="B1374" s="41"/>
      <c r="C1374" s="403">
        <f t="shared" si="154"/>
        <v>45172</v>
      </c>
      <c r="D1374" s="56" t="str">
        <f>VLOOKUP(MOD(C1374,7),'CALENDAR INFO'!$G$5:$H$11,2)</f>
        <v>SUN</v>
      </c>
      <c r="E1374" s="165">
        <v>5.33</v>
      </c>
      <c r="F1374" s="336">
        <v>5.31</v>
      </c>
      <c r="G1374" s="411">
        <f t="shared" si="156"/>
        <v>-2.0000000000000462E-2</v>
      </c>
      <c r="H1374" s="376" t="s">
        <v>211</v>
      </c>
      <c r="I1374" s="15">
        <f>I1373+I1372-1</f>
        <v>1401</v>
      </c>
      <c r="J1374" s="138">
        <f>I1374</f>
        <v>1401</v>
      </c>
      <c r="K1374" s="129"/>
      <c r="L1374" s="403">
        <f t="shared" si="157"/>
        <v>45172</v>
      </c>
      <c r="M1374" s="56" t="str">
        <f t="shared" si="158"/>
        <v>SUN</v>
      </c>
      <c r="O1374" s="253">
        <f>IF(MOD(C1374,7)&lt;2,0,IF(MOD(C1374,7)=6,3,1))</f>
        <v>0</v>
      </c>
      <c r="P1374" s="392">
        <f t="shared" si="159"/>
        <v>1</v>
      </c>
    </row>
    <row r="1375" spans="1:18">
      <c r="B1375" s="41"/>
      <c r="C1375" s="403">
        <f t="shared" si="154"/>
        <v>45173</v>
      </c>
      <c r="D1375" s="56" t="str">
        <f>VLOOKUP(MOD(C1375,7),'CALENDAR INFO'!$G$5:$H$11,2)</f>
        <v>MON</v>
      </c>
      <c r="E1375" s="165">
        <v>5.33</v>
      </c>
      <c r="F1375" s="336">
        <v>5.31</v>
      </c>
      <c r="G1375" s="411">
        <f t="shared" si="156"/>
        <v>-2.0000000000000462E-2</v>
      </c>
      <c r="K1375" s="129"/>
      <c r="L1375" s="403">
        <f t="shared" si="157"/>
        <v>45173</v>
      </c>
      <c r="M1375" s="56" t="str">
        <f t="shared" si="158"/>
        <v>MON</v>
      </c>
      <c r="N1375" s="132" t="s">
        <v>111</v>
      </c>
      <c r="O1375" s="384">
        <v>0</v>
      </c>
      <c r="P1375" s="392">
        <f t="shared" si="159"/>
        <v>1</v>
      </c>
    </row>
    <row r="1376" spans="1:18">
      <c r="B1376" s="41"/>
      <c r="C1376" s="403">
        <f t="shared" si="154"/>
        <v>45174</v>
      </c>
      <c r="D1376" s="56" t="str">
        <f>VLOOKUP(MOD(C1376,7),'CALENDAR INFO'!$G$5:$H$11,2)</f>
        <v>TUE</v>
      </c>
      <c r="E1376" s="165">
        <v>5.33</v>
      </c>
      <c r="F1376" s="336">
        <v>5.31</v>
      </c>
      <c r="G1376" s="411">
        <f t="shared" si="156"/>
        <v>-2.0000000000000462E-2</v>
      </c>
      <c r="H1376" s="15" t="s">
        <v>150</v>
      </c>
      <c r="I1376" s="137" t="str">
        <f>_xlfn.CONCAT(ADDRESS(I1372,5),":",ADDRESS(I1374,5))</f>
        <v>$E$1372:$E$1401</v>
      </c>
      <c r="J1376" s="150" t="str">
        <f>_xlfn.CONCAT(ADDRESS(J1372,6),":",ADDRESS(J1374,6))</f>
        <v>$F$1372:$F$1401</v>
      </c>
      <c r="K1376" s="129"/>
      <c r="L1376" s="403">
        <f t="shared" si="157"/>
        <v>45174</v>
      </c>
      <c r="M1376" s="56" t="str">
        <f t="shared" si="158"/>
        <v>TUE</v>
      </c>
      <c r="O1376" s="253">
        <f t="shared" ref="O1376:O1406" si="160">IF(MOD(C1376,7)&lt;2,0,IF(MOD(C1376,7)=6,3,1))</f>
        <v>1</v>
      </c>
      <c r="P1376" s="392">
        <f t="shared" si="159"/>
        <v>1.0001475</v>
      </c>
    </row>
    <row r="1377" spans="2:18">
      <c r="B1377" s="41"/>
      <c r="C1377" s="403">
        <f t="shared" si="154"/>
        <v>45175</v>
      </c>
      <c r="D1377" s="56" t="str">
        <f>VLOOKUP(MOD(C1377,7),'CALENDAR INFO'!$G$5:$H$11,2)</f>
        <v>WED</v>
      </c>
      <c r="E1377" s="165">
        <v>5.33</v>
      </c>
      <c r="F1377" s="336">
        <v>5.3</v>
      </c>
      <c r="G1377" s="411">
        <f t="shared" si="156"/>
        <v>-3.0000000000000249E-2</v>
      </c>
      <c r="K1377" s="129" t="s">
        <v>19</v>
      </c>
      <c r="L1377" s="403">
        <f t="shared" si="157"/>
        <v>45175</v>
      </c>
      <c r="M1377" s="56" t="str">
        <f t="shared" si="158"/>
        <v>WED</v>
      </c>
      <c r="N1377" s="134"/>
      <c r="O1377" s="253">
        <f t="shared" si="160"/>
        <v>1</v>
      </c>
      <c r="P1377" s="392">
        <f t="shared" si="159"/>
        <v>1.0001472222222223</v>
      </c>
    </row>
    <row r="1378" spans="2:18">
      <c r="B1378" s="41"/>
      <c r="C1378" s="403">
        <f t="shared" si="154"/>
        <v>45176</v>
      </c>
      <c r="D1378" s="56" t="str">
        <f>VLOOKUP(MOD(C1378,7),'CALENDAR INFO'!$G$5:$H$11,2)</f>
        <v>THU</v>
      </c>
      <c r="E1378" s="165">
        <v>5.33</v>
      </c>
      <c r="F1378" s="336">
        <v>5.31</v>
      </c>
      <c r="G1378" s="411">
        <f t="shared" si="156"/>
        <v>-2.0000000000000462E-2</v>
      </c>
      <c r="H1378" s="376" t="s">
        <v>221</v>
      </c>
      <c r="I1378" s="147">
        <f ca="1">AVERAGE(INDIRECT(I1376))</f>
        <v>5.330000000000001</v>
      </c>
      <c r="J1378" s="326">
        <f ca="1">AVERAGE(INDIRECT(J1376))</f>
        <v>5.3059999999999992</v>
      </c>
      <c r="K1378" s="126" t="s">
        <v>18</v>
      </c>
      <c r="L1378" s="403">
        <f t="shared" si="157"/>
        <v>45176</v>
      </c>
      <c r="M1378" s="56" t="str">
        <f t="shared" si="158"/>
        <v>THU</v>
      </c>
      <c r="O1378" s="253">
        <f t="shared" si="160"/>
        <v>1</v>
      </c>
      <c r="P1378" s="392">
        <f t="shared" si="159"/>
        <v>1.0001475</v>
      </c>
    </row>
    <row r="1379" spans="2:18">
      <c r="B1379" s="41"/>
      <c r="C1379" s="403">
        <f t="shared" si="154"/>
        <v>45177</v>
      </c>
      <c r="D1379" s="56" t="str">
        <f>VLOOKUP(MOD(C1379,7),'CALENDAR INFO'!$G$5:$H$11,2)</f>
        <v>FRI</v>
      </c>
      <c r="E1379" s="165">
        <v>5.33</v>
      </c>
      <c r="F1379" s="336">
        <v>5.3</v>
      </c>
      <c r="G1379" s="411">
        <f t="shared" si="156"/>
        <v>-3.0000000000000249E-2</v>
      </c>
      <c r="I1379" s="240"/>
      <c r="J1379" s="157"/>
      <c r="K1379" s="126"/>
      <c r="L1379" s="403">
        <f t="shared" si="157"/>
        <v>45177</v>
      </c>
      <c r="M1379" s="56" t="str">
        <f t="shared" si="158"/>
        <v>FRI</v>
      </c>
      <c r="O1379" s="253">
        <f t="shared" si="160"/>
        <v>3</v>
      </c>
      <c r="P1379" s="392">
        <f t="shared" si="159"/>
        <v>1.0004416666666667</v>
      </c>
    </row>
    <row r="1380" spans="2:18">
      <c r="B1380" s="41"/>
      <c r="C1380" s="403">
        <f t="shared" si="154"/>
        <v>45178</v>
      </c>
      <c r="D1380" s="56" t="str">
        <f>VLOOKUP(MOD(C1380,7),'CALENDAR INFO'!$G$5:$H$11,2)</f>
        <v>SAT</v>
      </c>
      <c r="E1380" s="165">
        <v>5.33</v>
      </c>
      <c r="F1380" s="336">
        <v>5.3</v>
      </c>
      <c r="G1380" s="411">
        <f t="shared" si="156"/>
        <v>-3.0000000000000249E-2</v>
      </c>
      <c r="H1380" s="15" t="s">
        <v>222</v>
      </c>
      <c r="I1380" s="147">
        <f ca="1">100-I1378</f>
        <v>94.67</v>
      </c>
      <c r="J1380" s="326">
        <f ca="1">100-J1378</f>
        <v>94.694000000000003</v>
      </c>
      <c r="K1380" s="126"/>
      <c r="L1380" s="403">
        <f t="shared" si="157"/>
        <v>45178</v>
      </c>
      <c r="M1380" s="56" t="str">
        <f t="shared" si="158"/>
        <v>SAT</v>
      </c>
      <c r="O1380" s="253">
        <f t="shared" si="160"/>
        <v>0</v>
      </c>
      <c r="P1380" s="392">
        <f t="shared" si="159"/>
        <v>1</v>
      </c>
    </row>
    <row r="1381" spans="2:18">
      <c r="B1381" s="41"/>
      <c r="C1381" s="403">
        <f t="shared" si="154"/>
        <v>45179</v>
      </c>
      <c r="D1381" s="56" t="str">
        <f>VLOOKUP(MOD(C1381,7),'CALENDAR INFO'!$G$5:$H$11,2)</f>
        <v>SUN</v>
      </c>
      <c r="E1381" s="165">
        <v>5.33</v>
      </c>
      <c r="F1381" s="336">
        <v>5.3</v>
      </c>
      <c r="G1381" s="411">
        <f t="shared" si="156"/>
        <v>-3.0000000000000249E-2</v>
      </c>
      <c r="I1381" s="137"/>
      <c r="J1381" s="150"/>
      <c r="K1381" s="126"/>
      <c r="L1381" s="403">
        <f t="shared" si="157"/>
        <v>45179</v>
      </c>
      <c r="M1381" s="56" t="str">
        <f t="shared" si="158"/>
        <v>SUN</v>
      </c>
      <c r="O1381" s="253">
        <f t="shared" si="160"/>
        <v>0</v>
      </c>
      <c r="P1381" s="392">
        <f t="shared" si="159"/>
        <v>1</v>
      </c>
    </row>
    <row r="1382" spans="2:18">
      <c r="B1382" s="41"/>
      <c r="C1382" s="403">
        <f t="shared" si="154"/>
        <v>45180</v>
      </c>
      <c r="D1382" s="56" t="str">
        <f>VLOOKUP(MOD(C1382,7),'CALENDAR INFO'!$G$5:$H$11,2)</f>
        <v>MON</v>
      </c>
      <c r="E1382" s="165">
        <v>5.33</v>
      </c>
      <c r="F1382" s="336">
        <v>5.3</v>
      </c>
      <c r="G1382" s="411">
        <f t="shared" si="156"/>
        <v>-3.0000000000000249E-2</v>
      </c>
      <c r="K1382" s="126"/>
      <c r="L1382" s="403">
        <f t="shared" si="157"/>
        <v>45180</v>
      </c>
      <c r="M1382" s="56" t="str">
        <f t="shared" si="158"/>
        <v>MON</v>
      </c>
      <c r="O1382" s="253">
        <f t="shared" si="160"/>
        <v>1</v>
      </c>
      <c r="P1382" s="392">
        <f t="shared" si="159"/>
        <v>1.0001472222222223</v>
      </c>
      <c r="Q1382" s="21"/>
      <c r="R1382" s="221"/>
    </row>
    <row r="1383" spans="2:18">
      <c r="B1383" s="41"/>
      <c r="C1383" s="403">
        <f t="shared" si="154"/>
        <v>45181</v>
      </c>
      <c r="D1383" s="56" t="str">
        <f>VLOOKUP(MOD(C1383,7),'CALENDAR INFO'!$G$5:$H$11,2)</f>
        <v>TUE</v>
      </c>
      <c r="E1383" s="165">
        <v>5.33</v>
      </c>
      <c r="F1383" s="336">
        <v>5.3</v>
      </c>
      <c r="G1383" s="411">
        <f t="shared" si="156"/>
        <v>-3.0000000000000249E-2</v>
      </c>
      <c r="K1383" s="126"/>
      <c r="L1383" s="403">
        <f t="shared" si="157"/>
        <v>45181</v>
      </c>
      <c r="M1383" s="56" t="str">
        <f t="shared" si="158"/>
        <v>TUE</v>
      </c>
      <c r="O1383" s="253">
        <f t="shared" si="160"/>
        <v>1</v>
      </c>
      <c r="P1383" s="392">
        <f t="shared" si="159"/>
        <v>1.0001472222222223</v>
      </c>
      <c r="Q1383" s="21"/>
      <c r="R1383" s="222"/>
    </row>
    <row r="1384" spans="2:18">
      <c r="B1384" s="41"/>
      <c r="C1384" s="403">
        <f t="shared" si="154"/>
        <v>45182</v>
      </c>
      <c r="D1384" s="56" t="str">
        <f>VLOOKUP(MOD(C1384,7),'CALENDAR INFO'!$G$5:$H$11,2)</f>
        <v>WED</v>
      </c>
      <c r="E1384" s="165">
        <v>5.33</v>
      </c>
      <c r="F1384" s="336">
        <v>5.3</v>
      </c>
      <c r="G1384" s="411">
        <f t="shared" si="156"/>
        <v>-3.0000000000000249E-2</v>
      </c>
      <c r="K1384" s="126"/>
      <c r="L1384" s="403">
        <f t="shared" si="157"/>
        <v>45182</v>
      </c>
      <c r="M1384" s="56" t="str">
        <f t="shared" si="158"/>
        <v>WED</v>
      </c>
      <c r="O1384" s="253">
        <f t="shared" si="160"/>
        <v>1</v>
      </c>
      <c r="P1384" s="392">
        <f t="shared" si="159"/>
        <v>1.0001472222222223</v>
      </c>
    </row>
    <row r="1385" spans="2:18">
      <c r="B1385" s="41"/>
      <c r="C1385" s="403">
        <f t="shared" si="154"/>
        <v>45183</v>
      </c>
      <c r="D1385" s="56" t="str">
        <f>VLOOKUP(MOD(C1385,7),'CALENDAR INFO'!$G$5:$H$11,2)</f>
        <v>THU</v>
      </c>
      <c r="E1385" s="165">
        <v>5.33</v>
      </c>
      <c r="F1385" s="336">
        <v>5.3</v>
      </c>
      <c r="G1385" s="411">
        <f t="shared" si="156"/>
        <v>-3.0000000000000249E-2</v>
      </c>
      <c r="K1385" s="126"/>
      <c r="L1385" s="403">
        <f t="shared" si="157"/>
        <v>45183</v>
      </c>
      <c r="M1385" s="56" t="str">
        <f t="shared" si="158"/>
        <v>THU</v>
      </c>
      <c r="O1385" s="253">
        <f t="shared" si="160"/>
        <v>1</v>
      </c>
      <c r="P1385" s="392">
        <f t="shared" si="159"/>
        <v>1.0001472222222223</v>
      </c>
    </row>
    <row r="1386" spans="2:18">
      <c r="B1386" s="41"/>
      <c r="C1386" s="403">
        <f t="shared" si="154"/>
        <v>45184</v>
      </c>
      <c r="D1386" s="56" t="str">
        <f>VLOOKUP(MOD(C1386,7),'CALENDAR INFO'!$G$5:$H$11,2)</f>
        <v>FRI</v>
      </c>
      <c r="E1386" s="165">
        <v>5.33</v>
      </c>
      <c r="F1386" s="336">
        <v>5.31</v>
      </c>
      <c r="G1386" s="411">
        <f t="shared" si="156"/>
        <v>-2.0000000000000462E-2</v>
      </c>
      <c r="H1386" s="135"/>
      <c r="I1386" s="144"/>
      <c r="J1386" s="152"/>
      <c r="K1386" s="126"/>
      <c r="L1386" s="403">
        <f t="shared" si="157"/>
        <v>45184</v>
      </c>
      <c r="M1386" s="56" t="str">
        <f t="shared" si="158"/>
        <v>FRI</v>
      </c>
      <c r="O1386" s="253">
        <f t="shared" si="160"/>
        <v>3</v>
      </c>
      <c r="P1386" s="392">
        <f t="shared" si="159"/>
        <v>1.0004424999999999</v>
      </c>
    </row>
    <row r="1387" spans="2:18">
      <c r="B1387" s="41"/>
      <c r="C1387" s="403">
        <f t="shared" si="154"/>
        <v>45185</v>
      </c>
      <c r="D1387" s="56" t="str">
        <f>VLOOKUP(MOD(C1387,7),'CALENDAR INFO'!$G$5:$H$11,2)</f>
        <v>SAT</v>
      </c>
      <c r="E1387" s="165">
        <v>5.33</v>
      </c>
      <c r="F1387" s="336">
        <v>5.31</v>
      </c>
      <c r="G1387" s="411">
        <f t="shared" si="156"/>
        <v>-2.0000000000000462E-2</v>
      </c>
      <c r="K1387" s="126"/>
      <c r="L1387" s="403">
        <f t="shared" si="157"/>
        <v>45185</v>
      </c>
      <c r="M1387" s="56" t="str">
        <f t="shared" si="158"/>
        <v>SAT</v>
      </c>
      <c r="O1387" s="253">
        <f t="shared" si="160"/>
        <v>0</v>
      </c>
      <c r="P1387" s="392">
        <f t="shared" si="159"/>
        <v>1</v>
      </c>
    </row>
    <row r="1388" spans="2:18">
      <c r="B1388" s="41"/>
      <c r="C1388" s="403">
        <f t="shared" si="154"/>
        <v>45186</v>
      </c>
      <c r="D1388" s="56" t="str">
        <f>VLOOKUP(MOD(C1388,7),'CALENDAR INFO'!$G$5:$H$11,2)</f>
        <v>SUN</v>
      </c>
      <c r="E1388" s="165">
        <v>5.33</v>
      </c>
      <c r="F1388" s="336">
        <v>5.31</v>
      </c>
      <c r="G1388" s="411">
        <f t="shared" si="156"/>
        <v>-2.0000000000000462E-2</v>
      </c>
      <c r="K1388" s="126"/>
      <c r="L1388" s="403">
        <f t="shared" si="157"/>
        <v>45186</v>
      </c>
      <c r="M1388" s="56" t="str">
        <f t="shared" si="158"/>
        <v>SUN</v>
      </c>
      <c r="O1388" s="253">
        <f t="shared" si="160"/>
        <v>0</v>
      </c>
      <c r="P1388" s="392">
        <f t="shared" si="159"/>
        <v>1</v>
      </c>
    </row>
    <row r="1389" spans="2:18">
      <c r="B1389" s="41"/>
      <c r="C1389" s="403">
        <f t="shared" si="154"/>
        <v>45187</v>
      </c>
      <c r="D1389" s="56" t="str">
        <f>VLOOKUP(MOD(C1389,7),'CALENDAR INFO'!$G$5:$H$11,2)</f>
        <v>MON</v>
      </c>
      <c r="E1389" s="165">
        <v>5.33</v>
      </c>
      <c r="F1389" s="336">
        <v>5.31</v>
      </c>
      <c r="G1389" s="411">
        <f t="shared" si="156"/>
        <v>-2.0000000000000462E-2</v>
      </c>
      <c r="K1389" s="126"/>
      <c r="L1389" s="403">
        <f t="shared" si="157"/>
        <v>45187</v>
      </c>
      <c r="M1389" s="56" t="str">
        <f t="shared" si="158"/>
        <v>MON</v>
      </c>
      <c r="O1389" s="253">
        <f t="shared" si="160"/>
        <v>1</v>
      </c>
      <c r="P1389" s="392">
        <f t="shared" si="159"/>
        <v>1.0001475</v>
      </c>
    </row>
    <row r="1390" spans="2:18">
      <c r="B1390" s="41"/>
      <c r="C1390" s="403">
        <f t="shared" si="154"/>
        <v>45188</v>
      </c>
      <c r="D1390" s="56" t="str">
        <f>VLOOKUP(MOD(C1390,7),'CALENDAR INFO'!$G$5:$H$11,2)</f>
        <v>TUE</v>
      </c>
      <c r="E1390" s="165">
        <v>5.33</v>
      </c>
      <c r="F1390" s="336">
        <v>5.31</v>
      </c>
      <c r="G1390" s="411">
        <f t="shared" si="156"/>
        <v>-2.0000000000000462E-2</v>
      </c>
      <c r="K1390" s="126"/>
      <c r="L1390" s="403">
        <f t="shared" si="157"/>
        <v>45188</v>
      </c>
      <c r="M1390" s="56" t="str">
        <f t="shared" si="158"/>
        <v>TUE</v>
      </c>
      <c r="N1390" s="116" t="s">
        <v>20</v>
      </c>
      <c r="O1390" s="253">
        <f t="shared" si="160"/>
        <v>1</v>
      </c>
      <c r="P1390" s="392">
        <f t="shared" si="159"/>
        <v>1.0001475</v>
      </c>
    </row>
    <row r="1391" spans="2:18">
      <c r="B1391" s="41"/>
      <c r="C1391" s="403">
        <f t="shared" si="154"/>
        <v>45189</v>
      </c>
      <c r="D1391" s="56" t="str">
        <f>VLOOKUP(MOD(C1391,7),'CALENDAR INFO'!$G$5:$H$11,2)</f>
        <v>WED</v>
      </c>
      <c r="E1391" s="165">
        <v>5.33</v>
      </c>
      <c r="F1391" s="336">
        <v>5.3</v>
      </c>
      <c r="G1391" s="411">
        <f t="shared" si="156"/>
        <v>-3.0000000000000249E-2</v>
      </c>
      <c r="K1391" s="126" t="s">
        <v>19</v>
      </c>
      <c r="L1391" s="403">
        <f t="shared" si="157"/>
        <v>45189</v>
      </c>
      <c r="M1391" s="56" t="str">
        <f t="shared" si="158"/>
        <v>WED</v>
      </c>
      <c r="N1391" s="116" t="s">
        <v>20</v>
      </c>
      <c r="O1391" s="253">
        <f t="shared" si="160"/>
        <v>1</v>
      </c>
      <c r="P1391" s="392">
        <f t="shared" si="159"/>
        <v>1.0001472222222223</v>
      </c>
    </row>
    <row r="1392" spans="2:18">
      <c r="B1392" s="41"/>
      <c r="C1392" s="403">
        <f t="shared" si="154"/>
        <v>45190</v>
      </c>
      <c r="D1392" s="56" t="str">
        <f>VLOOKUP(MOD(C1392,7),'CALENDAR INFO'!$G$5:$H$11,2)</f>
        <v>THU</v>
      </c>
      <c r="E1392" s="165">
        <v>5.33</v>
      </c>
      <c r="F1392" s="336">
        <v>5.3</v>
      </c>
      <c r="G1392" s="411">
        <f t="shared" si="156"/>
        <v>-3.0000000000000249E-2</v>
      </c>
      <c r="K1392" s="129" t="s">
        <v>18</v>
      </c>
      <c r="L1392" s="403">
        <f t="shared" si="157"/>
        <v>45190</v>
      </c>
      <c r="M1392" s="56" t="str">
        <f t="shared" si="158"/>
        <v>THU</v>
      </c>
      <c r="O1392" s="253">
        <f t="shared" si="160"/>
        <v>1</v>
      </c>
      <c r="P1392" s="392">
        <f t="shared" si="159"/>
        <v>1.0001472222222223</v>
      </c>
    </row>
    <row r="1393" spans="1:18">
      <c r="B1393" s="41"/>
      <c r="C1393" s="403">
        <f t="shared" si="154"/>
        <v>45191</v>
      </c>
      <c r="D1393" s="56" t="str">
        <f>VLOOKUP(MOD(C1393,7),'CALENDAR INFO'!$G$5:$H$11,2)</f>
        <v>FRI</v>
      </c>
      <c r="E1393" s="165">
        <v>5.33</v>
      </c>
      <c r="F1393" s="336">
        <v>5.3</v>
      </c>
      <c r="G1393" s="411">
        <f t="shared" si="156"/>
        <v>-3.0000000000000249E-2</v>
      </c>
      <c r="K1393" s="129"/>
      <c r="L1393" s="403">
        <f t="shared" si="157"/>
        <v>45191</v>
      </c>
      <c r="M1393" s="56" t="str">
        <f t="shared" si="158"/>
        <v>FRI</v>
      </c>
      <c r="O1393" s="253">
        <f t="shared" si="160"/>
        <v>3</v>
      </c>
      <c r="P1393" s="392">
        <f t="shared" si="159"/>
        <v>1.0004416666666667</v>
      </c>
    </row>
    <row r="1394" spans="1:18">
      <c r="B1394" s="41"/>
      <c r="C1394" s="403">
        <f t="shared" si="154"/>
        <v>45192</v>
      </c>
      <c r="D1394" s="56" t="str">
        <f>VLOOKUP(MOD(C1394,7),'CALENDAR INFO'!$G$5:$H$11,2)</f>
        <v>SAT</v>
      </c>
      <c r="E1394" s="165">
        <v>5.33</v>
      </c>
      <c r="F1394" s="336">
        <v>5.3</v>
      </c>
      <c r="G1394" s="411">
        <f t="shared" si="156"/>
        <v>-3.0000000000000249E-2</v>
      </c>
      <c r="K1394" s="129"/>
      <c r="L1394" s="403">
        <f t="shared" si="157"/>
        <v>45192</v>
      </c>
      <c r="M1394" s="56" t="str">
        <f t="shared" si="158"/>
        <v>SAT</v>
      </c>
      <c r="O1394" s="253">
        <f t="shared" si="160"/>
        <v>0</v>
      </c>
      <c r="P1394" s="392">
        <f t="shared" si="159"/>
        <v>1</v>
      </c>
    </row>
    <row r="1395" spans="1:18">
      <c r="B1395" s="41"/>
      <c r="C1395" s="403">
        <f t="shared" si="154"/>
        <v>45193</v>
      </c>
      <c r="D1395" s="56" t="str">
        <f>VLOOKUP(MOD(C1395,7),'CALENDAR INFO'!$G$5:$H$11,2)</f>
        <v>SUN</v>
      </c>
      <c r="E1395" s="165">
        <v>5.33</v>
      </c>
      <c r="F1395" s="336">
        <v>5.3</v>
      </c>
      <c r="G1395" s="411">
        <f t="shared" si="156"/>
        <v>-3.0000000000000249E-2</v>
      </c>
      <c r="K1395" s="129"/>
      <c r="L1395" s="403">
        <f t="shared" si="157"/>
        <v>45193</v>
      </c>
      <c r="M1395" s="56" t="str">
        <f t="shared" si="158"/>
        <v>SUN</v>
      </c>
      <c r="O1395" s="253">
        <f t="shared" si="160"/>
        <v>0</v>
      </c>
      <c r="P1395" s="392">
        <f t="shared" si="159"/>
        <v>1</v>
      </c>
    </row>
    <row r="1396" spans="1:18">
      <c r="B1396" s="41"/>
      <c r="C1396" s="403">
        <f t="shared" si="154"/>
        <v>45194</v>
      </c>
      <c r="D1396" s="56" t="str">
        <f>VLOOKUP(MOD(C1396,7),'CALENDAR INFO'!$G$5:$H$11,2)</f>
        <v>MON</v>
      </c>
      <c r="E1396" s="165">
        <v>5.33</v>
      </c>
      <c r="F1396" s="336">
        <v>5.31</v>
      </c>
      <c r="G1396" s="411">
        <f t="shared" si="156"/>
        <v>-2.0000000000000462E-2</v>
      </c>
      <c r="K1396" s="129"/>
      <c r="L1396" s="403">
        <f t="shared" si="157"/>
        <v>45194</v>
      </c>
      <c r="M1396" s="56" t="str">
        <f t="shared" si="158"/>
        <v>MON</v>
      </c>
      <c r="O1396" s="253">
        <f t="shared" si="160"/>
        <v>1</v>
      </c>
      <c r="P1396" s="392">
        <f t="shared" si="159"/>
        <v>1.0001475</v>
      </c>
    </row>
    <row r="1397" spans="1:18">
      <c r="B1397" s="41"/>
      <c r="C1397" s="403">
        <f t="shared" ref="C1397:C1460" si="161">C1396+1</f>
        <v>45195</v>
      </c>
      <c r="D1397" s="56" t="str">
        <f>VLOOKUP(MOD(C1397,7),'CALENDAR INFO'!$G$5:$H$11,2)</f>
        <v>TUE</v>
      </c>
      <c r="E1397" s="165">
        <v>5.33</v>
      </c>
      <c r="F1397" s="336">
        <v>5.31</v>
      </c>
      <c r="G1397" s="411">
        <f t="shared" si="156"/>
        <v>-2.0000000000000462E-2</v>
      </c>
      <c r="K1397" s="129"/>
      <c r="L1397" s="403">
        <f t="shared" si="157"/>
        <v>45195</v>
      </c>
      <c r="M1397" s="56" t="str">
        <f t="shared" si="158"/>
        <v>TUE</v>
      </c>
      <c r="O1397" s="253">
        <f t="shared" si="160"/>
        <v>1</v>
      </c>
      <c r="P1397" s="392">
        <f t="shared" si="159"/>
        <v>1.0001475</v>
      </c>
      <c r="Q1397" s="21"/>
      <c r="R1397" s="221"/>
    </row>
    <row r="1398" spans="1:18">
      <c r="B1398" s="41"/>
      <c r="C1398" s="403">
        <f t="shared" si="161"/>
        <v>45196</v>
      </c>
      <c r="D1398" s="56" t="str">
        <f>VLOOKUP(MOD(C1398,7),'CALENDAR INFO'!$G$5:$H$11,2)</f>
        <v>WED</v>
      </c>
      <c r="E1398" s="165">
        <v>5.33</v>
      </c>
      <c r="F1398" s="336">
        <v>5.32</v>
      </c>
      <c r="G1398" s="411">
        <f t="shared" si="156"/>
        <v>-9.9999999999997868E-3</v>
      </c>
      <c r="I1398" s="137"/>
      <c r="K1398" s="129"/>
      <c r="L1398" s="403">
        <f t="shared" si="157"/>
        <v>45196</v>
      </c>
      <c r="M1398" s="56" t="str">
        <f t="shared" si="158"/>
        <v>WED</v>
      </c>
      <c r="O1398" s="253">
        <f t="shared" si="160"/>
        <v>1</v>
      </c>
      <c r="P1398" s="392">
        <f t="shared" si="159"/>
        <v>1.0001477777777779</v>
      </c>
      <c r="Q1398" s="21"/>
      <c r="R1398" s="222"/>
    </row>
    <row r="1399" spans="1:18">
      <c r="B1399" s="41"/>
      <c r="C1399" s="403">
        <f t="shared" si="161"/>
        <v>45197</v>
      </c>
      <c r="D1399" s="56" t="str">
        <f>VLOOKUP(MOD(C1399,7),'CALENDAR INFO'!$G$5:$H$11,2)</f>
        <v>THU</v>
      </c>
      <c r="E1399" s="165">
        <v>5.33</v>
      </c>
      <c r="F1399" s="336">
        <v>5.31</v>
      </c>
      <c r="G1399" s="411">
        <f t="shared" si="156"/>
        <v>-2.0000000000000462E-2</v>
      </c>
      <c r="H1399" s="115"/>
      <c r="I1399" s="148"/>
      <c r="J1399" s="160"/>
      <c r="K1399" s="129"/>
      <c r="L1399" s="403">
        <f t="shared" si="157"/>
        <v>45197</v>
      </c>
      <c r="M1399" s="56" t="str">
        <f t="shared" si="158"/>
        <v>THU</v>
      </c>
      <c r="O1399" s="253">
        <f t="shared" si="160"/>
        <v>1</v>
      </c>
      <c r="P1399" s="392">
        <f t="shared" si="159"/>
        <v>1.0001475</v>
      </c>
      <c r="Q1399" s="21"/>
      <c r="R1399" s="222"/>
    </row>
    <row r="1400" spans="1:18">
      <c r="B1400" s="41"/>
      <c r="C1400" s="403">
        <f t="shared" si="161"/>
        <v>45198</v>
      </c>
      <c r="D1400" s="56" t="str">
        <f>VLOOKUP(MOD(C1400,7),'CALENDAR INFO'!$G$5:$H$11,2)</f>
        <v>FRI</v>
      </c>
      <c r="E1400" s="165">
        <v>5.33</v>
      </c>
      <c r="F1400" s="336">
        <v>5.31</v>
      </c>
      <c r="G1400" s="411">
        <f t="shared" si="156"/>
        <v>-2.0000000000000462E-2</v>
      </c>
      <c r="H1400" s="115"/>
      <c r="I1400" s="141"/>
      <c r="J1400" s="158"/>
      <c r="K1400" s="129"/>
      <c r="L1400" s="403">
        <f t="shared" si="157"/>
        <v>45198</v>
      </c>
      <c r="M1400" s="56" t="str">
        <f t="shared" si="158"/>
        <v>FRI</v>
      </c>
      <c r="O1400" s="253">
        <f t="shared" si="160"/>
        <v>3</v>
      </c>
      <c r="P1400" s="392">
        <f t="shared" si="159"/>
        <v>1.0004424999999999</v>
      </c>
    </row>
    <row r="1401" spans="1:18" ht="15.75" thickBot="1">
      <c r="A1401" s="81"/>
      <c r="B1401" s="178"/>
      <c r="C1401" s="404">
        <f t="shared" si="161"/>
        <v>45199</v>
      </c>
      <c r="D1401" s="64" t="str">
        <f>VLOOKUP(MOD(C1401,7),'CALENDAR INFO'!$G$5:$H$11,2)</f>
        <v>SAT</v>
      </c>
      <c r="E1401" s="166">
        <v>5.33</v>
      </c>
      <c r="F1401" s="337">
        <v>5.31</v>
      </c>
      <c r="G1401" s="412">
        <f t="shared" si="156"/>
        <v>-2.0000000000000462E-2</v>
      </c>
      <c r="H1401" s="345"/>
      <c r="I1401" s="143"/>
      <c r="J1401" s="162"/>
      <c r="K1401" s="189"/>
      <c r="L1401" s="404">
        <f t="shared" si="157"/>
        <v>45199</v>
      </c>
      <c r="M1401" s="64" t="str">
        <f t="shared" si="158"/>
        <v>SAT</v>
      </c>
      <c r="N1401" s="90"/>
      <c r="O1401" s="383">
        <f t="shared" si="160"/>
        <v>0</v>
      </c>
      <c r="P1401" s="388">
        <f t="shared" si="159"/>
        <v>1</v>
      </c>
    </row>
    <row r="1402" spans="1:18">
      <c r="A1402" s="83"/>
      <c r="B1402" s="179"/>
      <c r="C1402" s="406">
        <f t="shared" si="161"/>
        <v>45200</v>
      </c>
      <c r="D1402" s="86" t="str">
        <f>VLOOKUP(MOD(C1402,7),'CALENDAR INFO'!$G$5:$H$11,2)</f>
        <v>SUN</v>
      </c>
      <c r="E1402" s="165">
        <v>5.33</v>
      </c>
      <c r="F1402" s="341">
        <v>5.31</v>
      </c>
      <c r="G1402" s="411">
        <f t="shared" si="156"/>
        <v>-2.0000000000000462E-2</v>
      </c>
      <c r="H1402" s="15" t="s">
        <v>149</v>
      </c>
      <c r="I1402" s="15">
        <f>ROW(I1402)</f>
        <v>1402</v>
      </c>
      <c r="J1402" s="138">
        <f>I1402</f>
        <v>1402</v>
      </c>
      <c r="K1402" s="129"/>
      <c r="L1402" s="406">
        <f t="shared" si="157"/>
        <v>45200</v>
      </c>
      <c r="M1402" s="86" t="str">
        <f t="shared" si="158"/>
        <v>SUN</v>
      </c>
      <c r="N1402" s="89"/>
      <c r="O1402" s="386">
        <f t="shared" si="160"/>
        <v>0</v>
      </c>
      <c r="P1402" s="390">
        <f t="shared" si="159"/>
        <v>1</v>
      </c>
    </row>
    <row r="1403" spans="1:18">
      <c r="B1403" s="41"/>
      <c r="C1403" s="403">
        <f t="shared" si="161"/>
        <v>45201</v>
      </c>
      <c r="D1403" s="56" t="str">
        <f>VLOOKUP(MOD(C1403,7),'CALENDAR INFO'!$G$5:$H$11,2)</f>
        <v>MON</v>
      </c>
      <c r="E1403" s="165">
        <v>5.33</v>
      </c>
      <c r="F1403" s="336">
        <v>5.32</v>
      </c>
      <c r="G1403" s="411">
        <f t="shared" si="156"/>
        <v>-9.9999999999997868E-3</v>
      </c>
      <c r="H1403" s="376" t="s">
        <v>210</v>
      </c>
      <c r="I1403" s="15">
        <f>VLOOKUP(MONTH($C1402),'CALENDAR INFO'!$J$5:$K$16,2)</f>
        <v>31</v>
      </c>
      <c r="J1403" s="138">
        <f>I1403</f>
        <v>31</v>
      </c>
      <c r="K1403" s="129"/>
      <c r="L1403" s="403">
        <f t="shared" si="157"/>
        <v>45201</v>
      </c>
      <c r="M1403" s="56" t="str">
        <f t="shared" si="158"/>
        <v>MON</v>
      </c>
      <c r="O1403" s="253">
        <f t="shared" si="160"/>
        <v>1</v>
      </c>
      <c r="P1403" s="392">
        <f t="shared" si="159"/>
        <v>1.0001477777777779</v>
      </c>
    </row>
    <row r="1404" spans="1:18">
      <c r="B1404" s="41"/>
      <c r="C1404" s="403">
        <f t="shared" si="161"/>
        <v>45202</v>
      </c>
      <c r="D1404" s="56" t="str">
        <f>VLOOKUP(MOD(C1404,7),'CALENDAR INFO'!$G$5:$H$11,2)</f>
        <v>TUE</v>
      </c>
      <c r="E1404" s="165">
        <v>5.33</v>
      </c>
      <c r="F1404" s="336">
        <v>5.33</v>
      </c>
      <c r="G1404" s="411">
        <f t="shared" si="156"/>
        <v>0</v>
      </c>
      <c r="H1404" s="376" t="s">
        <v>211</v>
      </c>
      <c r="I1404" s="15">
        <f>I1403+I1402-1</f>
        <v>1432</v>
      </c>
      <c r="J1404" s="138">
        <f>I1404</f>
        <v>1432</v>
      </c>
      <c r="K1404" s="129"/>
      <c r="L1404" s="403">
        <f t="shared" si="157"/>
        <v>45202</v>
      </c>
      <c r="M1404" s="56" t="str">
        <f t="shared" si="158"/>
        <v>TUE</v>
      </c>
      <c r="O1404" s="253">
        <f t="shared" si="160"/>
        <v>1</v>
      </c>
      <c r="P1404" s="392">
        <f t="shared" si="159"/>
        <v>1.0001480555555555</v>
      </c>
    </row>
    <row r="1405" spans="1:18">
      <c r="B1405" s="41"/>
      <c r="C1405" s="403">
        <f t="shared" si="161"/>
        <v>45203</v>
      </c>
      <c r="D1405" s="56" t="str">
        <f>VLOOKUP(MOD(C1405,7),'CALENDAR INFO'!$G$5:$H$11,2)</f>
        <v>WED</v>
      </c>
      <c r="E1405" s="165">
        <v>5.33</v>
      </c>
      <c r="F1405" s="336">
        <v>5.32</v>
      </c>
      <c r="G1405" s="411">
        <f t="shared" si="156"/>
        <v>-9.9999999999997868E-3</v>
      </c>
      <c r="K1405" s="129" t="s">
        <v>19</v>
      </c>
      <c r="L1405" s="403">
        <f t="shared" si="157"/>
        <v>45203</v>
      </c>
      <c r="M1405" s="56" t="str">
        <f t="shared" si="158"/>
        <v>WED</v>
      </c>
      <c r="O1405" s="253">
        <f t="shared" si="160"/>
        <v>1</v>
      </c>
      <c r="P1405" s="392">
        <f t="shared" si="159"/>
        <v>1.0001477777777779</v>
      </c>
    </row>
    <row r="1406" spans="1:18">
      <c r="B1406" s="41"/>
      <c r="C1406" s="403">
        <f t="shared" si="161"/>
        <v>45204</v>
      </c>
      <c r="D1406" s="56" t="str">
        <f>VLOOKUP(MOD(C1406,7),'CALENDAR INFO'!$G$5:$H$11,2)</f>
        <v>THU</v>
      </c>
      <c r="E1406" s="165">
        <v>5.33</v>
      </c>
      <c r="F1406" s="336">
        <v>5.32</v>
      </c>
      <c r="G1406" s="411">
        <f t="shared" si="156"/>
        <v>-9.9999999999997868E-3</v>
      </c>
      <c r="H1406" s="15" t="s">
        <v>150</v>
      </c>
      <c r="I1406" s="137" t="str">
        <f>_xlfn.CONCAT(ADDRESS(I1402,5),":",ADDRESS(I1404,5))</f>
        <v>$E$1402:$E$1432</v>
      </c>
      <c r="J1406" s="150" t="str">
        <f>_xlfn.CONCAT(ADDRESS(J1402,6),":",ADDRESS(J1404,6))</f>
        <v>$F$1402:$F$1432</v>
      </c>
      <c r="K1406" s="126" t="s">
        <v>18</v>
      </c>
      <c r="L1406" s="403">
        <f t="shared" si="157"/>
        <v>45204</v>
      </c>
      <c r="M1406" s="56" t="str">
        <f t="shared" si="158"/>
        <v>THU</v>
      </c>
      <c r="O1406" s="253">
        <f t="shared" si="160"/>
        <v>1</v>
      </c>
      <c r="P1406" s="392">
        <f t="shared" si="159"/>
        <v>1.0001477777777779</v>
      </c>
    </row>
    <row r="1407" spans="1:18">
      <c r="B1407" s="41"/>
      <c r="C1407" s="403">
        <f t="shared" si="161"/>
        <v>45205</v>
      </c>
      <c r="D1407" s="56" t="str">
        <f>VLOOKUP(MOD(C1407,7),'CALENDAR INFO'!$G$5:$H$11,2)</f>
        <v>FRI</v>
      </c>
      <c r="E1407" s="165">
        <v>5.33</v>
      </c>
      <c r="F1407" s="336">
        <v>5.31</v>
      </c>
      <c r="G1407" s="411">
        <f t="shared" si="156"/>
        <v>-2.0000000000000462E-2</v>
      </c>
      <c r="K1407" s="126"/>
      <c r="L1407" s="403">
        <f t="shared" si="157"/>
        <v>45205</v>
      </c>
      <c r="M1407" s="56" t="str">
        <f t="shared" si="158"/>
        <v>FRI</v>
      </c>
      <c r="O1407" s="384">
        <v>4</v>
      </c>
      <c r="P1407" s="392">
        <f t="shared" si="159"/>
        <v>1.0005900000000001</v>
      </c>
    </row>
    <row r="1408" spans="1:18">
      <c r="B1408" s="41"/>
      <c r="C1408" s="403">
        <f t="shared" si="161"/>
        <v>45206</v>
      </c>
      <c r="D1408" s="56" t="str">
        <f>VLOOKUP(MOD(C1408,7),'CALENDAR INFO'!$G$5:$H$11,2)</f>
        <v>SAT</v>
      </c>
      <c r="E1408" s="165">
        <v>5.33</v>
      </c>
      <c r="F1408" s="336">
        <v>5.31</v>
      </c>
      <c r="G1408" s="411">
        <f t="shared" si="156"/>
        <v>-2.0000000000000462E-2</v>
      </c>
      <c r="H1408" s="376" t="s">
        <v>221</v>
      </c>
      <c r="I1408" s="147">
        <f ca="1">AVERAGE(INDIRECT(I1406))</f>
        <v>5.3300000000000018</v>
      </c>
      <c r="J1408" s="326">
        <f ca="1">AVERAGE(INDIRECT(J1406))</f>
        <v>5.3103225806451615</v>
      </c>
      <c r="K1408" s="126"/>
      <c r="L1408" s="403">
        <f t="shared" si="157"/>
        <v>45206</v>
      </c>
      <c r="M1408" s="56" t="str">
        <f t="shared" si="158"/>
        <v>SAT</v>
      </c>
      <c r="O1408" s="253">
        <f>IF(MOD(C1408,7)&lt;2,0,IF(MOD(C1408,7)=6,3,1))</f>
        <v>0</v>
      </c>
      <c r="P1408" s="392">
        <f t="shared" si="159"/>
        <v>1</v>
      </c>
    </row>
    <row r="1409" spans="2:16">
      <c r="B1409" s="41"/>
      <c r="C1409" s="403">
        <f t="shared" si="161"/>
        <v>45207</v>
      </c>
      <c r="D1409" s="56" t="str">
        <f>VLOOKUP(MOD(C1409,7),'CALENDAR INFO'!$G$5:$H$11,2)</f>
        <v>SUN</v>
      </c>
      <c r="E1409" s="165">
        <v>5.33</v>
      </c>
      <c r="F1409" s="336">
        <v>5.31</v>
      </c>
      <c r="G1409" s="411">
        <f t="shared" si="156"/>
        <v>-2.0000000000000462E-2</v>
      </c>
      <c r="I1409" s="240"/>
      <c r="J1409" s="157"/>
      <c r="K1409" s="126"/>
      <c r="L1409" s="403">
        <f t="shared" si="157"/>
        <v>45207</v>
      </c>
      <c r="M1409" s="56" t="str">
        <f t="shared" si="158"/>
        <v>SUN</v>
      </c>
      <c r="O1409" s="253">
        <f>IF(MOD(C1409,7)&lt;2,0,IF(MOD(C1409,7)=6,3,1))</f>
        <v>0</v>
      </c>
      <c r="P1409" s="392">
        <f t="shared" si="159"/>
        <v>1</v>
      </c>
    </row>
    <row r="1410" spans="2:16">
      <c r="B1410" s="41"/>
      <c r="C1410" s="403">
        <f t="shared" si="161"/>
        <v>45208</v>
      </c>
      <c r="D1410" s="56" t="str">
        <f>VLOOKUP(MOD(C1410,7),'CALENDAR INFO'!$G$5:$H$11,2)</f>
        <v>MON</v>
      </c>
      <c r="E1410" s="165">
        <v>5.33</v>
      </c>
      <c r="F1410" s="336">
        <v>5.31</v>
      </c>
      <c r="G1410" s="411">
        <f t="shared" si="156"/>
        <v>-2.0000000000000462E-2</v>
      </c>
      <c r="H1410" s="15" t="s">
        <v>222</v>
      </c>
      <c r="I1410" s="147">
        <f ca="1">100-I1408</f>
        <v>94.67</v>
      </c>
      <c r="J1410" s="326">
        <f ca="1">100-J1408</f>
        <v>94.689677419354837</v>
      </c>
      <c r="K1410" s="126"/>
      <c r="L1410" s="403">
        <f t="shared" si="157"/>
        <v>45208</v>
      </c>
      <c r="M1410" s="56" t="str">
        <f t="shared" si="158"/>
        <v>MON</v>
      </c>
      <c r="N1410" s="132" t="s">
        <v>107</v>
      </c>
      <c r="O1410" s="384">
        <v>0</v>
      </c>
      <c r="P1410" s="392">
        <f t="shared" si="159"/>
        <v>1</v>
      </c>
    </row>
    <row r="1411" spans="2:16">
      <c r="B1411" s="41"/>
      <c r="C1411" s="403">
        <f t="shared" si="161"/>
        <v>45209</v>
      </c>
      <c r="D1411" s="56" t="str">
        <f>VLOOKUP(MOD(C1411,7),'CALENDAR INFO'!$G$5:$H$11,2)</f>
        <v>TUE</v>
      </c>
      <c r="E1411" s="165">
        <v>5.33</v>
      </c>
      <c r="F1411" s="336">
        <v>5.31</v>
      </c>
      <c r="G1411" s="411">
        <f t="shared" ref="G1411:G1474" si="162">F1411-E1411</f>
        <v>-2.0000000000000462E-2</v>
      </c>
      <c r="I1411" s="137"/>
      <c r="J1411" s="150"/>
      <c r="K1411" s="126"/>
      <c r="L1411" s="403">
        <f t="shared" ref="L1411:L1474" si="163">C1411</f>
        <v>45209</v>
      </c>
      <c r="M1411" s="56" t="str">
        <f t="shared" ref="M1411:M1474" si="164">D1411</f>
        <v>TUE</v>
      </c>
      <c r="O1411" s="253">
        <f t="shared" ref="O1411:O1453" si="165">IF(MOD(C1411,7)&lt;2,0,IF(MOD(C1411,7)=6,3,1))</f>
        <v>1</v>
      </c>
      <c r="P1411" s="392">
        <f t="shared" si="159"/>
        <v>1.0001475</v>
      </c>
    </row>
    <row r="1412" spans="2:16">
      <c r="B1412" s="41"/>
      <c r="C1412" s="403">
        <f t="shared" si="161"/>
        <v>45210</v>
      </c>
      <c r="D1412" s="56" t="str">
        <f>VLOOKUP(MOD(C1412,7),'CALENDAR INFO'!$G$5:$H$11,2)</f>
        <v>WED</v>
      </c>
      <c r="E1412" s="165">
        <v>5.33</v>
      </c>
      <c r="F1412" s="336">
        <v>5.31</v>
      </c>
      <c r="G1412" s="411">
        <f t="shared" si="162"/>
        <v>-2.0000000000000462E-2</v>
      </c>
      <c r="H1412" s="135"/>
      <c r="I1412" s="144"/>
      <c r="J1412" s="152"/>
      <c r="K1412" s="126"/>
      <c r="L1412" s="403">
        <f t="shared" si="163"/>
        <v>45210</v>
      </c>
      <c r="M1412" s="56" t="str">
        <f t="shared" si="164"/>
        <v>WED</v>
      </c>
      <c r="O1412" s="253">
        <f t="shared" si="165"/>
        <v>1</v>
      </c>
      <c r="P1412" s="392">
        <f t="shared" si="159"/>
        <v>1.0001475</v>
      </c>
    </row>
    <row r="1413" spans="2:16">
      <c r="B1413" s="41"/>
      <c r="C1413" s="403">
        <f t="shared" si="161"/>
        <v>45211</v>
      </c>
      <c r="D1413" s="56" t="str">
        <f>VLOOKUP(MOD(C1413,7),'CALENDAR INFO'!$G$5:$H$11,2)</f>
        <v>THU</v>
      </c>
      <c r="E1413" s="165">
        <v>5.33</v>
      </c>
      <c r="F1413" s="336">
        <v>5.31</v>
      </c>
      <c r="G1413" s="411">
        <f t="shared" si="162"/>
        <v>-2.0000000000000462E-2</v>
      </c>
      <c r="H1413" s="135"/>
      <c r="I1413" s="144"/>
      <c r="J1413" s="152"/>
      <c r="K1413" s="126"/>
      <c r="L1413" s="403">
        <f t="shared" si="163"/>
        <v>45211</v>
      </c>
      <c r="M1413" s="56" t="str">
        <f t="shared" si="164"/>
        <v>THU</v>
      </c>
      <c r="O1413" s="253">
        <f t="shared" si="165"/>
        <v>1</v>
      </c>
      <c r="P1413" s="392">
        <f t="shared" si="159"/>
        <v>1.0001475</v>
      </c>
    </row>
    <row r="1414" spans="2:16">
      <c r="B1414" s="41"/>
      <c r="C1414" s="403">
        <f t="shared" si="161"/>
        <v>45212</v>
      </c>
      <c r="D1414" s="56" t="str">
        <f>VLOOKUP(MOD(C1414,7),'CALENDAR INFO'!$G$5:$H$11,2)</f>
        <v>FRI</v>
      </c>
      <c r="E1414" s="165">
        <v>5.33</v>
      </c>
      <c r="F1414" s="336">
        <v>5.31</v>
      </c>
      <c r="G1414" s="411">
        <f t="shared" si="162"/>
        <v>-2.0000000000000462E-2</v>
      </c>
      <c r="H1414" s="135"/>
      <c r="I1414" s="144"/>
      <c r="J1414" s="152"/>
      <c r="K1414" s="126"/>
      <c r="L1414" s="403">
        <f t="shared" si="163"/>
        <v>45212</v>
      </c>
      <c r="M1414" s="56" t="str">
        <f t="shared" si="164"/>
        <v>FRI</v>
      </c>
      <c r="O1414" s="253">
        <f t="shared" si="165"/>
        <v>3</v>
      </c>
      <c r="P1414" s="392">
        <f t="shared" si="159"/>
        <v>1.0004424999999999</v>
      </c>
    </row>
    <row r="1415" spans="2:16">
      <c r="B1415" s="41"/>
      <c r="C1415" s="403">
        <f t="shared" si="161"/>
        <v>45213</v>
      </c>
      <c r="D1415" s="56" t="str">
        <f>VLOOKUP(MOD(C1415,7),'CALENDAR INFO'!$G$5:$H$11,2)</f>
        <v>SAT</v>
      </c>
      <c r="E1415" s="165">
        <v>5.33</v>
      </c>
      <c r="F1415" s="336">
        <v>5.31</v>
      </c>
      <c r="G1415" s="411">
        <f t="shared" si="162"/>
        <v>-2.0000000000000462E-2</v>
      </c>
      <c r="H1415" s="135"/>
      <c r="I1415" s="144"/>
      <c r="J1415" s="152"/>
      <c r="K1415" s="126"/>
      <c r="L1415" s="403">
        <f t="shared" si="163"/>
        <v>45213</v>
      </c>
      <c r="M1415" s="56" t="str">
        <f t="shared" si="164"/>
        <v>SAT</v>
      </c>
      <c r="O1415" s="253">
        <f t="shared" si="165"/>
        <v>0</v>
      </c>
      <c r="P1415" s="392">
        <f t="shared" si="159"/>
        <v>1</v>
      </c>
    </row>
    <row r="1416" spans="2:16">
      <c r="B1416" s="41"/>
      <c r="C1416" s="403">
        <f t="shared" si="161"/>
        <v>45214</v>
      </c>
      <c r="D1416" s="56" t="str">
        <f>VLOOKUP(MOD(C1416,7),'CALENDAR INFO'!$G$5:$H$11,2)</f>
        <v>SUN</v>
      </c>
      <c r="E1416" s="165">
        <v>5.33</v>
      </c>
      <c r="F1416" s="336">
        <v>5.31</v>
      </c>
      <c r="G1416" s="411">
        <f t="shared" si="162"/>
        <v>-2.0000000000000462E-2</v>
      </c>
      <c r="H1416" s="135"/>
      <c r="I1416" s="144"/>
      <c r="J1416" s="152"/>
      <c r="K1416" s="126"/>
      <c r="L1416" s="403">
        <f t="shared" si="163"/>
        <v>45214</v>
      </c>
      <c r="M1416" s="56" t="str">
        <f t="shared" si="164"/>
        <v>SUN</v>
      </c>
      <c r="O1416" s="253">
        <f t="shared" si="165"/>
        <v>0</v>
      </c>
      <c r="P1416" s="392">
        <f t="shared" si="159"/>
        <v>1</v>
      </c>
    </row>
    <row r="1417" spans="2:16">
      <c r="B1417" s="41"/>
      <c r="C1417" s="403">
        <f t="shared" si="161"/>
        <v>45215</v>
      </c>
      <c r="D1417" s="56" t="str">
        <f>VLOOKUP(MOD(C1417,7),'CALENDAR INFO'!$G$5:$H$11,2)</f>
        <v>MON</v>
      </c>
      <c r="E1417" s="165">
        <v>5.33</v>
      </c>
      <c r="F1417" s="336">
        <v>5.31</v>
      </c>
      <c r="G1417" s="411">
        <f t="shared" si="162"/>
        <v>-2.0000000000000462E-2</v>
      </c>
      <c r="K1417" s="126"/>
      <c r="L1417" s="403">
        <f t="shared" si="163"/>
        <v>45215</v>
      </c>
      <c r="M1417" s="56" t="str">
        <f t="shared" si="164"/>
        <v>MON</v>
      </c>
      <c r="O1417" s="253">
        <f t="shared" si="165"/>
        <v>1</v>
      </c>
      <c r="P1417" s="392">
        <f t="shared" si="159"/>
        <v>1.0001475</v>
      </c>
    </row>
    <row r="1418" spans="2:16">
      <c r="B1418" s="41"/>
      <c r="C1418" s="403">
        <f t="shared" si="161"/>
        <v>45216</v>
      </c>
      <c r="D1418" s="56" t="str">
        <f>VLOOKUP(MOD(C1418,7),'CALENDAR INFO'!$G$5:$H$11,2)</f>
        <v>TUE</v>
      </c>
      <c r="E1418" s="165">
        <v>5.33</v>
      </c>
      <c r="F1418" s="336">
        <v>5.31</v>
      </c>
      <c r="G1418" s="411">
        <f t="shared" si="162"/>
        <v>-2.0000000000000462E-2</v>
      </c>
      <c r="K1418" s="126"/>
      <c r="L1418" s="403">
        <f t="shared" si="163"/>
        <v>45216</v>
      </c>
      <c r="M1418" s="56" t="str">
        <f t="shared" si="164"/>
        <v>TUE</v>
      </c>
      <c r="O1418" s="253">
        <f t="shared" si="165"/>
        <v>1</v>
      </c>
      <c r="P1418" s="392">
        <f t="shared" si="159"/>
        <v>1.0001475</v>
      </c>
    </row>
    <row r="1419" spans="2:16">
      <c r="B1419" s="41"/>
      <c r="C1419" s="403">
        <f t="shared" si="161"/>
        <v>45217</v>
      </c>
      <c r="D1419" s="56" t="str">
        <f>VLOOKUP(MOD(C1419,7),'CALENDAR INFO'!$G$5:$H$11,2)</f>
        <v>WED</v>
      </c>
      <c r="E1419" s="165">
        <v>5.33</v>
      </c>
      <c r="F1419" s="336">
        <v>5.3</v>
      </c>
      <c r="G1419" s="411">
        <f t="shared" si="162"/>
        <v>-3.0000000000000249E-2</v>
      </c>
      <c r="K1419" s="126" t="s">
        <v>19</v>
      </c>
      <c r="L1419" s="403">
        <f t="shared" si="163"/>
        <v>45217</v>
      </c>
      <c r="M1419" s="56" t="str">
        <f t="shared" si="164"/>
        <v>WED</v>
      </c>
      <c r="O1419" s="253">
        <f t="shared" si="165"/>
        <v>1</v>
      </c>
      <c r="P1419" s="392">
        <f t="shared" si="159"/>
        <v>1.0001472222222223</v>
      </c>
    </row>
    <row r="1420" spans="2:16">
      <c r="B1420" s="41"/>
      <c r="C1420" s="403">
        <f t="shared" si="161"/>
        <v>45218</v>
      </c>
      <c r="D1420" s="56" t="str">
        <f>VLOOKUP(MOD(C1420,7),'CALENDAR INFO'!$G$5:$H$11,2)</f>
        <v>THU</v>
      </c>
      <c r="E1420" s="165">
        <v>5.33</v>
      </c>
      <c r="F1420" s="336">
        <v>5.3</v>
      </c>
      <c r="G1420" s="411">
        <f t="shared" si="162"/>
        <v>-3.0000000000000249E-2</v>
      </c>
      <c r="K1420" s="129" t="s">
        <v>18</v>
      </c>
      <c r="L1420" s="403">
        <f t="shared" si="163"/>
        <v>45218</v>
      </c>
      <c r="M1420" s="56" t="str">
        <f t="shared" si="164"/>
        <v>THU</v>
      </c>
      <c r="O1420" s="253">
        <f t="shared" si="165"/>
        <v>1</v>
      </c>
      <c r="P1420" s="392">
        <f t="shared" si="159"/>
        <v>1.0001472222222223</v>
      </c>
    </row>
    <row r="1421" spans="2:16">
      <c r="B1421" s="41"/>
      <c r="C1421" s="403">
        <f t="shared" si="161"/>
        <v>45219</v>
      </c>
      <c r="D1421" s="56" t="str">
        <f>VLOOKUP(MOD(C1421,7),'CALENDAR INFO'!$G$5:$H$11,2)</f>
        <v>FRI</v>
      </c>
      <c r="E1421" s="165">
        <v>5.33</v>
      </c>
      <c r="F1421" s="336">
        <v>5.3</v>
      </c>
      <c r="G1421" s="411">
        <f t="shared" si="162"/>
        <v>-3.0000000000000249E-2</v>
      </c>
      <c r="K1421" s="129"/>
      <c r="L1421" s="403">
        <f t="shared" si="163"/>
        <v>45219</v>
      </c>
      <c r="M1421" s="56" t="str">
        <f t="shared" si="164"/>
        <v>FRI</v>
      </c>
      <c r="O1421" s="253">
        <f t="shared" si="165"/>
        <v>3</v>
      </c>
      <c r="P1421" s="392">
        <f t="shared" si="159"/>
        <v>1.0004416666666667</v>
      </c>
    </row>
    <row r="1422" spans="2:16">
      <c r="B1422" s="41"/>
      <c r="C1422" s="403">
        <f t="shared" si="161"/>
        <v>45220</v>
      </c>
      <c r="D1422" s="56" t="str">
        <f>VLOOKUP(MOD(C1422,7),'CALENDAR INFO'!$G$5:$H$11,2)</f>
        <v>SAT</v>
      </c>
      <c r="E1422" s="165">
        <v>5.33</v>
      </c>
      <c r="F1422" s="336">
        <v>5.3</v>
      </c>
      <c r="G1422" s="411">
        <f t="shared" si="162"/>
        <v>-3.0000000000000249E-2</v>
      </c>
      <c r="K1422" s="129"/>
      <c r="L1422" s="403">
        <f t="shared" si="163"/>
        <v>45220</v>
      </c>
      <c r="M1422" s="56" t="str">
        <f t="shared" si="164"/>
        <v>SAT</v>
      </c>
      <c r="O1422" s="253">
        <f t="shared" si="165"/>
        <v>0</v>
      </c>
      <c r="P1422" s="392">
        <f t="shared" si="159"/>
        <v>1</v>
      </c>
    </row>
    <row r="1423" spans="2:16">
      <c r="B1423" s="41"/>
      <c r="C1423" s="403">
        <f t="shared" si="161"/>
        <v>45221</v>
      </c>
      <c r="D1423" s="56" t="str">
        <f>VLOOKUP(MOD(C1423,7),'CALENDAR INFO'!$G$5:$H$11,2)</f>
        <v>SUN</v>
      </c>
      <c r="E1423" s="165">
        <v>5.33</v>
      </c>
      <c r="F1423" s="336">
        <v>5.3</v>
      </c>
      <c r="G1423" s="411">
        <f t="shared" si="162"/>
        <v>-3.0000000000000249E-2</v>
      </c>
      <c r="K1423" s="129"/>
      <c r="L1423" s="403">
        <f t="shared" si="163"/>
        <v>45221</v>
      </c>
      <c r="M1423" s="56" t="str">
        <f t="shared" si="164"/>
        <v>SUN</v>
      </c>
      <c r="O1423" s="253">
        <f t="shared" si="165"/>
        <v>0</v>
      </c>
      <c r="P1423" s="392">
        <f t="shared" si="159"/>
        <v>1</v>
      </c>
    </row>
    <row r="1424" spans="2:16">
      <c r="B1424" s="41"/>
      <c r="C1424" s="403">
        <f t="shared" si="161"/>
        <v>45222</v>
      </c>
      <c r="D1424" s="56" t="str">
        <f>VLOOKUP(MOD(C1424,7),'CALENDAR INFO'!$G$5:$H$11,2)</f>
        <v>MON</v>
      </c>
      <c r="E1424" s="165">
        <v>5.33</v>
      </c>
      <c r="F1424" s="336">
        <v>5.3</v>
      </c>
      <c r="G1424" s="411">
        <f t="shared" si="162"/>
        <v>-3.0000000000000249E-2</v>
      </c>
      <c r="K1424" s="129"/>
      <c r="L1424" s="403">
        <f t="shared" si="163"/>
        <v>45222</v>
      </c>
      <c r="M1424" s="56" t="str">
        <f t="shared" si="164"/>
        <v>MON</v>
      </c>
      <c r="O1424" s="253">
        <f t="shared" si="165"/>
        <v>1</v>
      </c>
      <c r="P1424" s="392">
        <f t="shared" si="159"/>
        <v>1.0001472222222223</v>
      </c>
    </row>
    <row r="1425" spans="1:30">
      <c r="B1425" s="41"/>
      <c r="C1425" s="403">
        <f t="shared" si="161"/>
        <v>45223</v>
      </c>
      <c r="D1425" s="56" t="str">
        <f>VLOOKUP(MOD(C1425,7),'CALENDAR INFO'!$G$5:$H$11,2)</f>
        <v>TUE</v>
      </c>
      <c r="E1425" s="165">
        <v>5.33</v>
      </c>
      <c r="F1425" s="336">
        <v>5.3</v>
      </c>
      <c r="G1425" s="411">
        <f t="shared" si="162"/>
        <v>-3.0000000000000249E-2</v>
      </c>
      <c r="K1425" s="129"/>
      <c r="L1425" s="403">
        <f t="shared" si="163"/>
        <v>45223</v>
      </c>
      <c r="M1425" s="56" t="str">
        <f t="shared" si="164"/>
        <v>TUE</v>
      </c>
      <c r="O1425" s="253">
        <f t="shared" si="165"/>
        <v>1</v>
      </c>
      <c r="P1425" s="392">
        <f t="shared" si="159"/>
        <v>1.0001472222222223</v>
      </c>
    </row>
    <row r="1426" spans="1:30">
      <c r="B1426" s="41"/>
      <c r="C1426" s="403">
        <f t="shared" si="161"/>
        <v>45224</v>
      </c>
      <c r="D1426" s="56" t="str">
        <f>VLOOKUP(MOD(C1426,7),'CALENDAR INFO'!$G$5:$H$11,2)</f>
        <v>WED</v>
      </c>
      <c r="E1426" s="165">
        <v>5.33</v>
      </c>
      <c r="F1426" s="336">
        <v>5.3</v>
      </c>
      <c r="G1426" s="411">
        <f t="shared" si="162"/>
        <v>-3.0000000000000249E-2</v>
      </c>
      <c r="K1426" s="129"/>
      <c r="L1426" s="403">
        <f t="shared" si="163"/>
        <v>45224</v>
      </c>
      <c r="M1426" s="56" t="str">
        <f t="shared" si="164"/>
        <v>WED</v>
      </c>
      <c r="O1426" s="253">
        <f t="shared" si="165"/>
        <v>1</v>
      </c>
      <c r="P1426" s="392">
        <f t="shared" si="159"/>
        <v>1.0001472222222223</v>
      </c>
    </row>
    <row r="1427" spans="1:30">
      <c r="B1427" s="41"/>
      <c r="C1427" s="403">
        <f t="shared" si="161"/>
        <v>45225</v>
      </c>
      <c r="D1427" s="56" t="str">
        <f>VLOOKUP(MOD(C1427,7),'CALENDAR INFO'!$G$5:$H$11,2)</f>
        <v>THU</v>
      </c>
      <c r="E1427" s="165">
        <v>5.33</v>
      </c>
      <c r="F1427" s="336">
        <v>5.31</v>
      </c>
      <c r="G1427" s="411">
        <f t="shared" si="162"/>
        <v>-2.0000000000000462E-2</v>
      </c>
      <c r="K1427" s="129"/>
      <c r="L1427" s="403">
        <f t="shared" si="163"/>
        <v>45225</v>
      </c>
      <c r="M1427" s="56" t="str">
        <f t="shared" si="164"/>
        <v>THU</v>
      </c>
      <c r="O1427" s="253">
        <f t="shared" si="165"/>
        <v>1</v>
      </c>
      <c r="P1427" s="392">
        <f t="shared" ref="P1427:P1490" si="166">1+(O1427/360)*(MAX(F1427,B1427)/100)</f>
        <v>1.0001475</v>
      </c>
    </row>
    <row r="1428" spans="1:30">
      <c r="B1428" s="41"/>
      <c r="C1428" s="403">
        <f t="shared" si="161"/>
        <v>45226</v>
      </c>
      <c r="D1428" s="56" t="str">
        <f>VLOOKUP(MOD(C1428,7),'CALENDAR INFO'!$G$5:$H$11,2)</f>
        <v>FRI</v>
      </c>
      <c r="E1428" s="165">
        <v>5.33</v>
      </c>
      <c r="F1428" s="336">
        <v>5.31</v>
      </c>
      <c r="G1428" s="411">
        <f t="shared" si="162"/>
        <v>-2.0000000000000462E-2</v>
      </c>
      <c r="I1428" s="137"/>
      <c r="K1428" s="129"/>
      <c r="L1428" s="403">
        <f t="shared" si="163"/>
        <v>45226</v>
      </c>
      <c r="M1428" s="56" t="str">
        <f t="shared" si="164"/>
        <v>FRI</v>
      </c>
      <c r="O1428" s="253">
        <f t="shared" si="165"/>
        <v>3</v>
      </c>
      <c r="P1428" s="392">
        <f t="shared" si="166"/>
        <v>1.0004424999999999</v>
      </c>
      <c r="R1428" s="221"/>
    </row>
    <row r="1429" spans="1:30">
      <c r="B1429" s="41"/>
      <c r="C1429" s="403">
        <f t="shared" si="161"/>
        <v>45227</v>
      </c>
      <c r="D1429" s="56" t="str">
        <f>VLOOKUP(MOD(C1429,7),'CALENDAR INFO'!$G$5:$H$11,2)</f>
        <v>SAT</v>
      </c>
      <c r="E1429" s="165">
        <v>5.33</v>
      </c>
      <c r="F1429" s="336">
        <v>5.31</v>
      </c>
      <c r="G1429" s="411">
        <f t="shared" si="162"/>
        <v>-2.0000000000000462E-2</v>
      </c>
      <c r="H1429" s="115"/>
      <c r="I1429" s="141"/>
      <c r="J1429" s="158"/>
      <c r="K1429" s="129"/>
      <c r="L1429" s="403">
        <f t="shared" si="163"/>
        <v>45227</v>
      </c>
      <c r="M1429" s="56" t="str">
        <f t="shared" si="164"/>
        <v>SAT</v>
      </c>
      <c r="O1429" s="253">
        <f t="shared" si="165"/>
        <v>0</v>
      </c>
      <c r="P1429" s="392">
        <f t="shared" si="166"/>
        <v>1</v>
      </c>
      <c r="R1429" s="222"/>
    </row>
    <row r="1430" spans="1:30">
      <c r="B1430" s="41"/>
      <c r="C1430" s="403">
        <f t="shared" si="161"/>
        <v>45228</v>
      </c>
      <c r="D1430" s="56" t="str">
        <f>VLOOKUP(MOD(C1430,7),'CALENDAR INFO'!$G$5:$H$11,2)</f>
        <v>SUN</v>
      </c>
      <c r="E1430" s="165">
        <v>5.33</v>
      </c>
      <c r="F1430" s="336">
        <v>5.31</v>
      </c>
      <c r="G1430" s="411">
        <f t="shared" si="162"/>
        <v>-2.0000000000000462E-2</v>
      </c>
      <c r="H1430" s="115"/>
      <c r="I1430" s="148"/>
      <c r="J1430" s="160"/>
      <c r="K1430" s="129"/>
      <c r="L1430" s="403">
        <f t="shared" si="163"/>
        <v>45228</v>
      </c>
      <c r="M1430" s="56" t="str">
        <f t="shared" si="164"/>
        <v>SUN</v>
      </c>
      <c r="O1430" s="253">
        <f t="shared" si="165"/>
        <v>0</v>
      </c>
      <c r="P1430" s="392">
        <f t="shared" si="166"/>
        <v>1</v>
      </c>
      <c r="R1430" s="222"/>
    </row>
    <row r="1431" spans="1:30">
      <c r="B1431" s="41"/>
      <c r="C1431" s="403">
        <f t="shared" si="161"/>
        <v>45229</v>
      </c>
      <c r="D1431" s="56" t="str">
        <f>VLOOKUP(MOD(C1431,7),'CALENDAR INFO'!$G$5:$H$11,2)</f>
        <v>MON</v>
      </c>
      <c r="E1431" s="165">
        <v>5.33</v>
      </c>
      <c r="F1431" s="336">
        <v>5.31</v>
      </c>
      <c r="G1431" s="411">
        <f t="shared" si="162"/>
        <v>-2.0000000000000462E-2</v>
      </c>
      <c r="H1431" s="115"/>
      <c r="I1431" s="141"/>
      <c r="J1431" s="158"/>
      <c r="K1431" s="129"/>
      <c r="L1431" s="403">
        <f t="shared" si="163"/>
        <v>45229</v>
      </c>
      <c r="M1431" s="56" t="str">
        <f t="shared" si="164"/>
        <v>MON</v>
      </c>
      <c r="O1431" s="253">
        <f t="shared" si="165"/>
        <v>1</v>
      </c>
      <c r="P1431" s="392">
        <f t="shared" si="166"/>
        <v>1.0001475</v>
      </c>
    </row>
    <row r="1432" spans="1:30" ht="15.75" thickBot="1">
      <c r="A1432" s="81"/>
      <c r="B1432" s="178"/>
      <c r="C1432" s="404">
        <f t="shared" si="161"/>
        <v>45230</v>
      </c>
      <c r="D1432" s="64" t="str">
        <f>VLOOKUP(MOD(C1432,7),'CALENDAR INFO'!$G$5:$H$11,2)</f>
        <v>TUE</v>
      </c>
      <c r="E1432" s="166">
        <v>5.33</v>
      </c>
      <c r="F1432" s="337">
        <v>5.35</v>
      </c>
      <c r="G1432" s="412">
        <f t="shared" si="162"/>
        <v>1.9999999999999574E-2</v>
      </c>
      <c r="H1432" s="345"/>
      <c r="I1432" s="143"/>
      <c r="J1432" s="162"/>
      <c r="K1432" s="189"/>
      <c r="L1432" s="404">
        <f t="shared" si="163"/>
        <v>45230</v>
      </c>
      <c r="M1432" s="64" t="str">
        <f t="shared" si="164"/>
        <v>TUE</v>
      </c>
      <c r="N1432" s="121" t="s">
        <v>20</v>
      </c>
      <c r="O1432" s="383">
        <f t="shared" si="165"/>
        <v>1</v>
      </c>
      <c r="P1432" s="388">
        <f t="shared" si="166"/>
        <v>1.0001486111111111</v>
      </c>
    </row>
    <row r="1433" spans="1:30">
      <c r="A1433" s="231"/>
      <c r="B1433" s="232"/>
      <c r="C1433" s="406">
        <f t="shared" si="161"/>
        <v>45231</v>
      </c>
      <c r="D1433" s="86" t="str">
        <f>VLOOKUP(MOD(C1433,7),'CALENDAR INFO'!$G$5:$H$11,2)</f>
        <v>WED</v>
      </c>
      <c r="E1433" s="168">
        <v>5.33</v>
      </c>
      <c r="F1433" s="340">
        <v>5.32</v>
      </c>
      <c r="G1433" s="414">
        <f t="shared" si="162"/>
        <v>-9.9999999999997868E-3</v>
      </c>
      <c r="H1433" s="15" t="s">
        <v>149</v>
      </c>
      <c r="I1433" s="15">
        <f>ROW(I1433)</f>
        <v>1433</v>
      </c>
      <c r="J1433" s="138">
        <f>I1433</f>
        <v>1433</v>
      </c>
      <c r="K1433" s="129" t="s">
        <v>19</v>
      </c>
      <c r="L1433" s="406">
        <f t="shared" si="163"/>
        <v>45231</v>
      </c>
      <c r="M1433" s="86" t="str">
        <f t="shared" si="164"/>
        <v>WED</v>
      </c>
      <c r="N1433" s="122" t="s">
        <v>20</v>
      </c>
      <c r="O1433" s="386">
        <f t="shared" si="165"/>
        <v>1</v>
      </c>
      <c r="P1433" s="390">
        <f t="shared" si="166"/>
        <v>1.0001477777777779</v>
      </c>
    </row>
    <row r="1434" spans="1:30">
      <c r="B1434" s="41"/>
      <c r="C1434" s="403">
        <f t="shared" si="161"/>
        <v>45232</v>
      </c>
      <c r="D1434" s="56" t="str">
        <f>VLOOKUP(MOD(C1434,7),'CALENDAR INFO'!$G$5:$H$11,2)</f>
        <v>THU</v>
      </c>
      <c r="E1434" s="165">
        <v>5.33</v>
      </c>
      <c r="F1434" s="336">
        <v>5.33</v>
      </c>
      <c r="G1434" s="411">
        <f t="shared" si="162"/>
        <v>0</v>
      </c>
      <c r="H1434" s="376" t="s">
        <v>210</v>
      </c>
      <c r="I1434" s="15">
        <f>VLOOKUP(MONTH($C1433),'CALENDAR INFO'!$J$5:$K$16,2)</f>
        <v>30</v>
      </c>
      <c r="J1434" s="138">
        <f>I1434</f>
        <v>30</v>
      </c>
      <c r="K1434" s="126" t="s">
        <v>18</v>
      </c>
      <c r="L1434" s="403">
        <f t="shared" si="163"/>
        <v>45232</v>
      </c>
      <c r="M1434" s="56" t="str">
        <f t="shared" si="164"/>
        <v>THU</v>
      </c>
      <c r="O1434" s="253">
        <f t="shared" si="165"/>
        <v>1</v>
      </c>
      <c r="P1434" s="392">
        <f t="shared" si="166"/>
        <v>1.0001480555555555</v>
      </c>
    </row>
    <row r="1435" spans="1:30">
      <c r="B1435" s="41"/>
      <c r="C1435" s="403">
        <f t="shared" si="161"/>
        <v>45233</v>
      </c>
      <c r="D1435" s="56" t="str">
        <f>VLOOKUP(MOD(C1435,7),'CALENDAR INFO'!$G$5:$H$11,2)</f>
        <v>FRI</v>
      </c>
      <c r="E1435" s="169">
        <v>5.33</v>
      </c>
      <c r="F1435" s="336">
        <v>5.32</v>
      </c>
      <c r="G1435" s="411">
        <f t="shared" si="162"/>
        <v>-9.9999999999997868E-3</v>
      </c>
      <c r="H1435" s="376" t="s">
        <v>211</v>
      </c>
      <c r="I1435" s="15">
        <f>I1434+I1433-1</f>
        <v>1462</v>
      </c>
      <c r="J1435" s="138">
        <f>I1435</f>
        <v>1462</v>
      </c>
      <c r="K1435" s="126"/>
      <c r="L1435" s="403">
        <f t="shared" si="163"/>
        <v>45233</v>
      </c>
      <c r="M1435" s="56" t="str">
        <f t="shared" si="164"/>
        <v>FRI</v>
      </c>
      <c r="O1435" s="253">
        <f t="shared" si="165"/>
        <v>3</v>
      </c>
      <c r="P1435" s="392">
        <f t="shared" si="166"/>
        <v>1.0004433333333334</v>
      </c>
    </row>
    <row r="1436" spans="1:30">
      <c r="B1436" s="41"/>
      <c r="C1436" s="403">
        <f t="shared" si="161"/>
        <v>45234</v>
      </c>
      <c r="D1436" s="56" t="str">
        <f>VLOOKUP(MOD(C1436,7),'CALENDAR INFO'!$G$5:$H$11,2)</f>
        <v>SAT</v>
      </c>
      <c r="E1436" s="165">
        <v>5.33</v>
      </c>
      <c r="F1436" s="336">
        <v>5.32</v>
      </c>
      <c r="G1436" s="411">
        <f t="shared" si="162"/>
        <v>-9.9999999999997868E-3</v>
      </c>
      <c r="K1436" s="126"/>
      <c r="L1436" s="403">
        <f t="shared" si="163"/>
        <v>45234</v>
      </c>
      <c r="M1436" s="56" t="str">
        <f t="shared" si="164"/>
        <v>SAT</v>
      </c>
      <c r="O1436" s="253">
        <f t="shared" si="165"/>
        <v>0</v>
      </c>
      <c r="P1436" s="392">
        <f t="shared" si="166"/>
        <v>1</v>
      </c>
    </row>
    <row r="1437" spans="1:30">
      <c r="B1437" s="41"/>
      <c r="C1437" s="403">
        <f t="shared" si="161"/>
        <v>45235</v>
      </c>
      <c r="D1437" s="56" t="str">
        <f>VLOOKUP(MOD(C1437,7),'CALENDAR INFO'!$G$5:$H$11,2)</f>
        <v>SUN</v>
      </c>
      <c r="E1437" s="165">
        <v>5.33</v>
      </c>
      <c r="F1437" s="336">
        <v>5.32</v>
      </c>
      <c r="G1437" s="411">
        <f t="shared" si="162"/>
        <v>-9.9999999999997868E-3</v>
      </c>
      <c r="H1437" s="15" t="s">
        <v>150</v>
      </c>
      <c r="I1437" s="137" t="str">
        <f>_xlfn.CONCAT(ADDRESS(I1433,5),":",ADDRESS(I1435,5))</f>
        <v>$E$1433:$E$1462</v>
      </c>
      <c r="J1437" s="150" t="str">
        <f>_xlfn.CONCAT(ADDRESS(J1433,6),":",ADDRESS(J1435,6))</f>
        <v>$F$1433:$F$1462</v>
      </c>
      <c r="K1437" s="126"/>
      <c r="L1437" s="403">
        <f t="shared" si="163"/>
        <v>45235</v>
      </c>
      <c r="M1437" s="56" t="str">
        <f t="shared" si="164"/>
        <v>SUN</v>
      </c>
      <c r="O1437" s="253">
        <f t="shared" si="165"/>
        <v>0</v>
      </c>
      <c r="P1437" s="392">
        <f t="shared" si="166"/>
        <v>1</v>
      </c>
    </row>
    <row r="1438" spans="1:30">
      <c r="B1438" s="41"/>
      <c r="C1438" s="403">
        <f t="shared" si="161"/>
        <v>45236</v>
      </c>
      <c r="D1438" s="56" t="str">
        <f>VLOOKUP(MOD(C1438,7),'CALENDAR INFO'!$G$5:$H$11,2)</f>
        <v>MON</v>
      </c>
      <c r="E1438" s="165">
        <v>5.33</v>
      </c>
      <c r="F1438" s="336">
        <v>5.32</v>
      </c>
      <c r="G1438" s="411">
        <f t="shared" si="162"/>
        <v>-9.9999999999997868E-3</v>
      </c>
      <c r="K1438" s="126"/>
      <c r="L1438" s="403">
        <f t="shared" si="163"/>
        <v>45236</v>
      </c>
      <c r="M1438" s="56" t="str">
        <f t="shared" si="164"/>
        <v>MON</v>
      </c>
      <c r="O1438" s="253">
        <f t="shared" si="165"/>
        <v>1</v>
      </c>
      <c r="P1438" s="392">
        <f t="shared" si="166"/>
        <v>1.0001477777777779</v>
      </c>
    </row>
    <row r="1439" spans="1:30">
      <c r="B1439" s="41"/>
      <c r="C1439" s="403">
        <f t="shared" si="161"/>
        <v>45237</v>
      </c>
      <c r="D1439" s="56" t="str">
        <f>VLOOKUP(MOD(C1439,7),'CALENDAR INFO'!$G$5:$H$11,2)</f>
        <v>TUE</v>
      </c>
      <c r="E1439" s="165">
        <v>5.33</v>
      </c>
      <c r="F1439" s="336">
        <v>5.32</v>
      </c>
      <c r="G1439" s="411">
        <f t="shared" si="162"/>
        <v>-9.9999999999997868E-3</v>
      </c>
      <c r="H1439" s="376" t="s">
        <v>221</v>
      </c>
      <c r="I1439" s="147">
        <f ca="1">AVERAGE(INDIRECT(I1437))</f>
        <v>5.330000000000001</v>
      </c>
      <c r="J1439" s="326">
        <f ca="1">AVERAGE(INDIRECT(J1437))</f>
        <v>5.3189999999999991</v>
      </c>
      <c r="K1439" s="126"/>
      <c r="L1439" s="403">
        <f t="shared" si="163"/>
        <v>45237</v>
      </c>
      <c r="M1439" s="56" t="str">
        <f t="shared" si="164"/>
        <v>TUE</v>
      </c>
      <c r="O1439" s="253">
        <f t="shared" si="165"/>
        <v>1</v>
      </c>
      <c r="P1439" s="392">
        <f t="shared" si="166"/>
        <v>1.0001477777777779</v>
      </c>
      <c r="AB1439" s="17">
        <v>6</v>
      </c>
    </row>
    <row r="1440" spans="1:30">
      <c r="B1440" s="41"/>
      <c r="C1440" s="403">
        <f t="shared" si="161"/>
        <v>45238</v>
      </c>
      <c r="D1440" s="56" t="str">
        <f>VLOOKUP(MOD(C1440,7),'CALENDAR INFO'!$G$5:$H$11,2)</f>
        <v>WED</v>
      </c>
      <c r="E1440" s="165">
        <v>5.33</v>
      </c>
      <c r="F1440" s="336">
        <v>5.32</v>
      </c>
      <c r="G1440" s="411">
        <f t="shared" si="162"/>
        <v>-9.9999999999997868E-3</v>
      </c>
      <c r="I1440" s="240"/>
      <c r="J1440" s="157"/>
      <c r="K1440" s="126"/>
      <c r="L1440" s="403">
        <f t="shared" si="163"/>
        <v>45238</v>
      </c>
      <c r="M1440" s="56" t="str">
        <f t="shared" si="164"/>
        <v>WED</v>
      </c>
      <c r="O1440" s="253">
        <f t="shared" si="165"/>
        <v>1</v>
      </c>
      <c r="P1440" s="392">
        <f t="shared" si="166"/>
        <v>1.0001477777777779</v>
      </c>
      <c r="AB1440" s="17">
        <f>AB1439</f>
        <v>6</v>
      </c>
      <c r="AD1440" s="17">
        <f>COUNT(AB1439:AB1441)</f>
        <v>3</v>
      </c>
    </row>
    <row r="1441" spans="2:28">
      <c r="B1441" s="41"/>
      <c r="C1441" s="403">
        <f t="shared" si="161"/>
        <v>45239</v>
      </c>
      <c r="D1441" s="56" t="str">
        <f>VLOOKUP(MOD(C1441,7),'CALENDAR INFO'!$G$5:$H$11,2)</f>
        <v>THU</v>
      </c>
      <c r="E1441" s="165">
        <v>5.33</v>
      </c>
      <c r="F1441" s="336">
        <v>5.32</v>
      </c>
      <c r="G1441" s="411">
        <f t="shared" si="162"/>
        <v>-9.9999999999997868E-3</v>
      </c>
      <c r="H1441" s="15" t="s">
        <v>222</v>
      </c>
      <c r="I1441" s="147">
        <f ca="1">100-I1439</f>
        <v>94.67</v>
      </c>
      <c r="J1441" s="326">
        <f ca="1">100-J1439</f>
        <v>94.680999999999997</v>
      </c>
      <c r="K1441" s="126"/>
      <c r="L1441" s="403">
        <f t="shared" si="163"/>
        <v>45239</v>
      </c>
      <c r="M1441" s="56" t="str">
        <f t="shared" si="164"/>
        <v>THU</v>
      </c>
      <c r="O1441" s="253">
        <f t="shared" si="165"/>
        <v>1</v>
      </c>
      <c r="P1441" s="392">
        <f t="shared" si="166"/>
        <v>1.0001477777777779</v>
      </c>
      <c r="AB1441" s="17">
        <v>4</v>
      </c>
    </row>
    <row r="1442" spans="2:28">
      <c r="B1442" s="41"/>
      <c r="C1442" s="403">
        <f t="shared" si="161"/>
        <v>45240</v>
      </c>
      <c r="D1442" s="56" t="str">
        <f>VLOOKUP(MOD(C1442,7),'CALENDAR INFO'!$G$5:$H$11,2)</f>
        <v>FRI</v>
      </c>
      <c r="E1442" s="165">
        <v>5.33</v>
      </c>
      <c r="F1442" s="336">
        <v>5.32</v>
      </c>
      <c r="G1442" s="411">
        <f t="shared" si="162"/>
        <v>-9.9999999999997868E-3</v>
      </c>
      <c r="I1442" s="137"/>
      <c r="J1442" s="150"/>
      <c r="K1442" s="126"/>
      <c r="L1442" s="403">
        <f t="shared" si="163"/>
        <v>45240</v>
      </c>
      <c r="M1442" s="56" t="str">
        <f t="shared" si="164"/>
        <v>FRI</v>
      </c>
      <c r="O1442" s="253">
        <f t="shared" si="165"/>
        <v>3</v>
      </c>
      <c r="P1442" s="392">
        <f t="shared" si="166"/>
        <v>1.0004433333333334</v>
      </c>
    </row>
    <row r="1443" spans="2:28">
      <c r="B1443" s="41"/>
      <c r="C1443" s="403">
        <f t="shared" si="161"/>
        <v>45241</v>
      </c>
      <c r="D1443" s="56" t="str">
        <f>VLOOKUP(MOD(C1443,7),'CALENDAR INFO'!$G$5:$H$11,2)</f>
        <v>SAT</v>
      </c>
      <c r="E1443" s="165">
        <v>5.33</v>
      </c>
      <c r="F1443" s="336">
        <v>5.32</v>
      </c>
      <c r="G1443" s="411">
        <f t="shared" si="162"/>
        <v>-9.9999999999997868E-3</v>
      </c>
      <c r="H1443" s="136"/>
      <c r="I1443" s="139"/>
      <c r="J1443" s="151"/>
      <c r="K1443" s="126"/>
      <c r="L1443" s="403">
        <f t="shared" si="163"/>
        <v>45241</v>
      </c>
      <c r="M1443" s="56" t="str">
        <f t="shared" si="164"/>
        <v>SAT</v>
      </c>
      <c r="O1443" s="253">
        <f t="shared" si="165"/>
        <v>0</v>
      </c>
      <c r="P1443" s="392">
        <f t="shared" si="166"/>
        <v>1</v>
      </c>
    </row>
    <row r="1444" spans="2:28">
      <c r="B1444" s="41"/>
      <c r="C1444" s="403">
        <f t="shared" si="161"/>
        <v>45242</v>
      </c>
      <c r="D1444" s="56" t="str">
        <f>VLOOKUP(MOD(C1444,7),'CALENDAR INFO'!$G$5:$H$11,2)</f>
        <v>SUN</v>
      </c>
      <c r="E1444" s="165">
        <v>5.33</v>
      </c>
      <c r="F1444" s="336">
        <v>5.32</v>
      </c>
      <c r="G1444" s="411">
        <f t="shared" si="162"/>
        <v>-9.9999999999997868E-3</v>
      </c>
      <c r="H1444" s="136"/>
      <c r="I1444" s="139"/>
      <c r="J1444" s="151"/>
      <c r="K1444" s="126"/>
      <c r="L1444" s="403">
        <f t="shared" si="163"/>
        <v>45242</v>
      </c>
      <c r="M1444" s="56" t="str">
        <f t="shared" si="164"/>
        <v>SUN</v>
      </c>
      <c r="O1444" s="253">
        <f t="shared" si="165"/>
        <v>0</v>
      </c>
      <c r="P1444" s="392">
        <f t="shared" si="166"/>
        <v>1</v>
      </c>
    </row>
    <row r="1445" spans="2:28">
      <c r="B1445" s="41"/>
      <c r="C1445" s="403">
        <f t="shared" si="161"/>
        <v>45243</v>
      </c>
      <c r="D1445" s="56" t="str">
        <f>VLOOKUP(MOD(C1445,7),'CALENDAR INFO'!$G$5:$H$11,2)</f>
        <v>MON</v>
      </c>
      <c r="E1445" s="165">
        <v>5.33</v>
      </c>
      <c r="F1445" s="336">
        <v>5.32</v>
      </c>
      <c r="G1445" s="411">
        <f t="shared" si="162"/>
        <v>-9.9999999999997868E-3</v>
      </c>
      <c r="H1445" s="136"/>
      <c r="I1445" s="139"/>
      <c r="J1445" s="151"/>
      <c r="K1445" s="126"/>
      <c r="L1445" s="403">
        <f t="shared" si="163"/>
        <v>45243</v>
      </c>
      <c r="M1445" s="56" t="str">
        <f t="shared" si="164"/>
        <v>MON</v>
      </c>
      <c r="O1445" s="253">
        <f t="shared" si="165"/>
        <v>1</v>
      </c>
      <c r="P1445" s="392">
        <f t="shared" si="166"/>
        <v>1.0001477777777779</v>
      </c>
    </row>
    <row r="1446" spans="2:28">
      <c r="B1446" s="41"/>
      <c r="C1446" s="403">
        <f t="shared" si="161"/>
        <v>45244</v>
      </c>
      <c r="D1446" s="56" t="str">
        <f>VLOOKUP(MOD(C1446,7),'CALENDAR INFO'!$G$5:$H$11,2)</f>
        <v>TUE</v>
      </c>
      <c r="E1446" s="165">
        <v>5.33</v>
      </c>
      <c r="F1446" s="336">
        <v>5.32</v>
      </c>
      <c r="G1446" s="411">
        <f t="shared" si="162"/>
        <v>-9.9999999999997868E-3</v>
      </c>
      <c r="K1446" s="126"/>
      <c r="L1446" s="403">
        <f t="shared" si="163"/>
        <v>45244</v>
      </c>
      <c r="M1446" s="56" t="str">
        <f t="shared" si="164"/>
        <v>TUE</v>
      </c>
      <c r="O1446" s="253">
        <f t="shared" si="165"/>
        <v>1</v>
      </c>
      <c r="P1446" s="392">
        <f t="shared" si="166"/>
        <v>1.0001477777777779</v>
      </c>
      <c r="R1446" s="16"/>
    </row>
    <row r="1447" spans="2:28">
      <c r="B1447" s="41"/>
      <c r="C1447" s="403">
        <f t="shared" si="161"/>
        <v>45245</v>
      </c>
      <c r="D1447" s="56" t="str">
        <f>VLOOKUP(MOD(C1447,7),'CALENDAR INFO'!$G$5:$H$11,2)</f>
        <v>WED</v>
      </c>
      <c r="E1447" s="165">
        <v>5.33</v>
      </c>
      <c r="F1447" s="336">
        <v>5.32</v>
      </c>
      <c r="G1447" s="411">
        <f t="shared" si="162"/>
        <v>-9.9999999999997868E-3</v>
      </c>
      <c r="H1447" s="135"/>
      <c r="I1447" s="144"/>
      <c r="J1447" s="152"/>
      <c r="K1447" s="126" t="s">
        <v>19</v>
      </c>
      <c r="L1447" s="403">
        <f t="shared" si="163"/>
        <v>45245</v>
      </c>
      <c r="M1447" s="56" t="str">
        <f t="shared" si="164"/>
        <v>WED</v>
      </c>
      <c r="O1447" s="253">
        <f t="shared" si="165"/>
        <v>1</v>
      </c>
      <c r="P1447" s="392">
        <f t="shared" si="166"/>
        <v>1.0001477777777779</v>
      </c>
    </row>
    <row r="1448" spans="2:28">
      <c r="B1448" s="41"/>
      <c r="C1448" s="403">
        <f t="shared" si="161"/>
        <v>45246</v>
      </c>
      <c r="D1448" s="56" t="str">
        <f>VLOOKUP(MOD(C1448,7),'CALENDAR INFO'!$G$5:$H$11,2)</f>
        <v>THU</v>
      </c>
      <c r="E1448" s="165">
        <v>5.33</v>
      </c>
      <c r="F1448" s="336">
        <v>5.32</v>
      </c>
      <c r="G1448" s="411">
        <f t="shared" si="162"/>
        <v>-9.9999999999997868E-3</v>
      </c>
      <c r="K1448" s="129" t="s">
        <v>18</v>
      </c>
      <c r="L1448" s="403">
        <f t="shared" si="163"/>
        <v>45246</v>
      </c>
      <c r="M1448" s="56" t="str">
        <f t="shared" si="164"/>
        <v>THU</v>
      </c>
      <c r="O1448" s="253">
        <f t="shared" si="165"/>
        <v>1</v>
      </c>
      <c r="P1448" s="392">
        <f t="shared" si="166"/>
        <v>1.0001477777777779</v>
      </c>
    </row>
    <row r="1449" spans="2:28">
      <c r="B1449" s="41"/>
      <c r="C1449" s="403">
        <f t="shared" si="161"/>
        <v>45247</v>
      </c>
      <c r="D1449" s="56" t="str">
        <f>VLOOKUP(MOD(C1449,7),'CALENDAR INFO'!$G$5:$H$11,2)</f>
        <v>FRI</v>
      </c>
      <c r="E1449" s="165">
        <v>5.33</v>
      </c>
      <c r="F1449" s="336">
        <v>5.32</v>
      </c>
      <c r="G1449" s="411">
        <f t="shared" si="162"/>
        <v>-9.9999999999997868E-3</v>
      </c>
      <c r="K1449" s="129"/>
      <c r="L1449" s="403">
        <f t="shared" si="163"/>
        <v>45247</v>
      </c>
      <c r="M1449" s="56" t="str">
        <f t="shared" si="164"/>
        <v>FRI</v>
      </c>
      <c r="O1449" s="253">
        <f t="shared" si="165"/>
        <v>3</v>
      </c>
      <c r="P1449" s="392">
        <f t="shared" si="166"/>
        <v>1.0004433333333334</v>
      </c>
    </row>
    <row r="1450" spans="2:28">
      <c r="B1450" s="41"/>
      <c r="C1450" s="403">
        <f t="shared" si="161"/>
        <v>45248</v>
      </c>
      <c r="D1450" s="56" t="str">
        <f>VLOOKUP(MOD(C1450,7),'CALENDAR INFO'!$G$5:$H$11,2)</f>
        <v>SAT</v>
      </c>
      <c r="E1450" s="165">
        <v>5.33</v>
      </c>
      <c r="F1450" s="336">
        <v>5.32</v>
      </c>
      <c r="G1450" s="411">
        <f t="shared" si="162"/>
        <v>-9.9999999999997868E-3</v>
      </c>
      <c r="K1450" s="129"/>
      <c r="L1450" s="403">
        <f t="shared" si="163"/>
        <v>45248</v>
      </c>
      <c r="M1450" s="56" t="str">
        <f t="shared" si="164"/>
        <v>SAT</v>
      </c>
      <c r="O1450" s="253">
        <f t="shared" si="165"/>
        <v>0</v>
      </c>
      <c r="P1450" s="392">
        <f t="shared" si="166"/>
        <v>1</v>
      </c>
    </row>
    <row r="1451" spans="2:28">
      <c r="B1451" s="41"/>
      <c r="C1451" s="403">
        <f t="shared" si="161"/>
        <v>45249</v>
      </c>
      <c r="D1451" s="56" t="str">
        <f>VLOOKUP(MOD(C1451,7),'CALENDAR INFO'!$G$5:$H$11,2)</f>
        <v>SUN</v>
      </c>
      <c r="E1451" s="165">
        <v>5.33</v>
      </c>
      <c r="F1451" s="336">
        <v>5.32</v>
      </c>
      <c r="G1451" s="411">
        <f t="shared" si="162"/>
        <v>-9.9999999999997868E-3</v>
      </c>
      <c r="K1451" s="129"/>
      <c r="L1451" s="403">
        <f t="shared" si="163"/>
        <v>45249</v>
      </c>
      <c r="M1451" s="56" t="str">
        <f t="shared" si="164"/>
        <v>SUN</v>
      </c>
      <c r="O1451" s="253">
        <f t="shared" si="165"/>
        <v>0</v>
      </c>
      <c r="P1451" s="392">
        <f t="shared" si="166"/>
        <v>1</v>
      </c>
      <c r="Q1451" s="21"/>
    </row>
    <row r="1452" spans="2:28">
      <c r="B1452" s="41"/>
      <c r="C1452" s="403">
        <f t="shared" si="161"/>
        <v>45250</v>
      </c>
      <c r="D1452" s="56" t="str">
        <f>VLOOKUP(MOD(C1452,7),'CALENDAR INFO'!$G$5:$H$11,2)</f>
        <v>MON</v>
      </c>
      <c r="E1452" s="165">
        <v>5.33</v>
      </c>
      <c r="F1452" s="336">
        <v>5.31</v>
      </c>
      <c r="G1452" s="411">
        <f t="shared" si="162"/>
        <v>-2.0000000000000462E-2</v>
      </c>
      <c r="K1452" s="129"/>
      <c r="L1452" s="403">
        <f t="shared" si="163"/>
        <v>45250</v>
      </c>
      <c r="M1452" s="56" t="str">
        <f t="shared" si="164"/>
        <v>MON</v>
      </c>
      <c r="O1452" s="253">
        <f t="shared" si="165"/>
        <v>1</v>
      </c>
      <c r="P1452" s="392">
        <f t="shared" si="166"/>
        <v>1.0001475</v>
      </c>
      <c r="Q1452" s="21"/>
    </row>
    <row r="1453" spans="2:28">
      <c r="B1453" s="41"/>
      <c r="C1453" s="403">
        <f t="shared" si="161"/>
        <v>45251</v>
      </c>
      <c r="D1453" s="56" t="str">
        <f>VLOOKUP(MOD(C1453,7),'CALENDAR INFO'!$G$5:$H$11,2)</f>
        <v>TUE</v>
      </c>
      <c r="E1453" s="165">
        <v>5.33</v>
      </c>
      <c r="F1453" s="336">
        <v>5.31</v>
      </c>
      <c r="G1453" s="411">
        <f t="shared" si="162"/>
        <v>-2.0000000000000462E-2</v>
      </c>
      <c r="K1453" s="129"/>
      <c r="L1453" s="403">
        <f t="shared" si="163"/>
        <v>45251</v>
      </c>
      <c r="M1453" s="56" t="str">
        <f t="shared" si="164"/>
        <v>TUE</v>
      </c>
      <c r="O1453" s="253">
        <f t="shared" si="165"/>
        <v>1</v>
      </c>
      <c r="P1453" s="392">
        <f t="shared" si="166"/>
        <v>1.0001475</v>
      </c>
    </row>
    <row r="1454" spans="2:28">
      <c r="B1454" s="41"/>
      <c r="C1454" s="403">
        <f t="shared" si="161"/>
        <v>45252</v>
      </c>
      <c r="D1454" s="56" t="str">
        <f>VLOOKUP(MOD(C1454,7),'CALENDAR INFO'!$G$5:$H$11,2)</f>
        <v>WED</v>
      </c>
      <c r="E1454" s="165">
        <v>5.33</v>
      </c>
      <c r="F1454" s="336">
        <v>5.31</v>
      </c>
      <c r="G1454" s="411">
        <f t="shared" si="162"/>
        <v>-2.0000000000000462E-2</v>
      </c>
      <c r="K1454" s="129"/>
      <c r="L1454" s="403">
        <f t="shared" si="163"/>
        <v>45252</v>
      </c>
      <c r="M1454" s="56" t="str">
        <f t="shared" si="164"/>
        <v>WED</v>
      </c>
      <c r="O1454" s="384">
        <v>2</v>
      </c>
      <c r="P1454" s="392">
        <f t="shared" si="166"/>
        <v>1.0002949999999999</v>
      </c>
    </row>
    <row r="1455" spans="2:28">
      <c r="B1455" s="41"/>
      <c r="C1455" s="403">
        <f t="shared" si="161"/>
        <v>45253</v>
      </c>
      <c r="D1455" s="56" t="str">
        <f>VLOOKUP(MOD(C1455,7),'CALENDAR INFO'!$G$5:$H$11,2)</f>
        <v>THU</v>
      </c>
      <c r="E1455" s="165">
        <v>5.33</v>
      </c>
      <c r="F1455" s="336">
        <v>5.31</v>
      </c>
      <c r="G1455" s="411">
        <f t="shared" si="162"/>
        <v>-2.0000000000000462E-2</v>
      </c>
      <c r="K1455" s="129"/>
      <c r="L1455" s="403">
        <f t="shared" si="163"/>
        <v>45253</v>
      </c>
      <c r="M1455" s="56" t="str">
        <f t="shared" si="164"/>
        <v>THU</v>
      </c>
      <c r="N1455" s="132" t="s">
        <v>60</v>
      </c>
      <c r="O1455" s="384">
        <v>0</v>
      </c>
      <c r="P1455" s="392">
        <f t="shared" si="166"/>
        <v>1</v>
      </c>
    </row>
    <row r="1456" spans="2:28">
      <c r="B1456" s="41"/>
      <c r="C1456" s="403">
        <f t="shared" si="161"/>
        <v>45254</v>
      </c>
      <c r="D1456" s="56" t="str">
        <f>VLOOKUP(MOD(C1456,7),'CALENDAR INFO'!$G$5:$H$11,2)</f>
        <v>FRI</v>
      </c>
      <c r="E1456" s="165">
        <v>5.33</v>
      </c>
      <c r="F1456" s="336">
        <v>5.32</v>
      </c>
      <c r="G1456" s="411">
        <f t="shared" si="162"/>
        <v>-9.9999999999997868E-3</v>
      </c>
      <c r="K1456" s="129"/>
      <c r="L1456" s="403">
        <f t="shared" si="163"/>
        <v>45254</v>
      </c>
      <c r="M1456" s="56" t="str">
        <f t="shared" si="164"/>
        <v>FRI</v>
      </c>
      <c r="O1456" s="253">
        <f t="shared" ref="O1456:O1483" si="167">IF(MOD(C1456,7)&lt;2,0,IF(MOD(C1456,7)=6,3,1))</f>
        <v>3</v>
      </c>
      <c r="P1456" s="392">
        <f t="shared" si="166"/>
        <v>1.0004433333333334</v>
      </c>
    </row>
    <row r="1457" spans="1:18">
      <c r="B1457" s="41"/>
      <c r="C1457" s="403">
        <f t="shared" si="161"/>
        <v>45255</v>
      </c>
      <c r="D1457" s="56" t="str">
        <f>VLOOKUP(MOD(C1457,7),'CALENDAR INFO'!$G$5:$H$11,2)</f>
        <v>SAT</v>
      </c>
      <c r="E1457" s="165">
        <v>5.33</v>
      </c>
      <c r="F1457" s="336">
        <v>5.32</v>
      </c>
      <c r="G1457" s="411">
        <f t="shared" si="162"/>
        <v>-9.9999999999997868E-3</v>
      </c>
      <c r="K1457" s="129"/>
      <c r="L1457" s="403">
        <f t="shared" si="163"/>
        <v>45255</v>
      </c>
      <c r="M1457" s="56" t="str">
        <f t="shared" si="164"/>
        <v>SAT</v>
      </c>
      <c r="O1457" s="253">
        <f t="shared" si="167"/>
        <v>0</v>
      </c>
      <c r="P1457" s="392">
        <f t="shared" si="166"/>
        <v>1</v>
      </c>
    </row>
    <row r="1458" spans="1:18">
      <c r="B1458" s="41"/>
      <c r="C1458" s="403">
        <f t="shared" si="161"/>
        <v>45256</v>
      </c>
      <c r="D1458" s="56" t="str">
        <f>VLOOKUP(MOD(C1458,7),'CALENDAR INFO'!$G$5:$H$11,2)</f>
        <v>SUN</v>
      </c>
      <c r="E1458" s="165">
        <v>5.33</v>
      </c>
      <c r="F1458" s="336">
        <v>5.32</v>
      </c>
      <c r="G1458" s="411">
        <f t="shared" si="162"/>
        <v>-9.9999999999997868E-3</v>
      </c>
      <c r="K1458" s="129"/>
      <c r="L1458" s="403">
        <f t="shared" si="163"/>
        <v>45256</v>
      </c>
      <c r="M1458" s="56" t="str">
        <f t="shared" si="164"/>
        <v>SUN</v>
      </c>
      <c r="O1458" s="253">
        <f t="shared" si="167"/>
        <v>0</v>
      </c>
      <c r="P1458" s="392">
        <f t="shared" si="166"/>
        <v>1</v>
      </c>
      <c r="R1458" s="221"/>
    </row>
    <row r="1459" spans="1:18">
      <c r="B1459" s="41"/>
      <c r="C1459" s="403">
        <f t="shared" si="161"/>
        <v>45257</v>
      </c>
      <c r="D1459" s="56" t="str">
        <f>VLOOKUP(MOD(C1459,7),'CALENDAR INFO'!$G$5:$H$11,2)</f>
        <v>MON</v>
      </c>
      <c r="E1459" s="165">
        <v>5.33</v>
      </c>
      <c r="F1459" s="336">
        <v>5.32</v>
      </c>
      <c r="G1459" s="411">
        <f t="shared" si="162"/>
        <v>-9.9999999999997868E-3</v>
      </c>
      <c r="I1459" s="137"/>
      <c r="K1459" s="129"/>
      <c r="L1459" s="403">
        <f t="shared" si="163"/>
        <v>45257</v>
      </c>
      <c r="M1459" s="56" t="str">
        <f t="shared" si="164"/>
        <v>MON</v>
      </c>
      <c r="O1459" s="253">
        <f t="shared" si="167"/>
        <v>1</v>
      </c>
      <c r="P1459" s="392">
        <f t="shared" si="166"/>
        <v>1.0001477777777779</v>
      </c>
      <c r="R1459" s="222"/>
    </row>
    <row r="1460" spans="1:18">
      <c r="B1460" s="41"/>
      <c r="C1460" s="403">
        <f t="shared" si="161"/>
        <v>45258</v>
      </c>
      <c r="D1460" s="56" t="str">
        <f>VLOOKUP(MOD(C1460,7),'CALENDAR INFO'!$G$5:$H$11,2)</f>
        <v>TUE</v>
      </c>
      <c r="E1460" s="165">
        <v>5.33</v>
      </c>
      <c r="F1460" s="336">
        <v>5.32</v>
      </c>
      <c r="G1460" s="411">
        <f t="shared" si="162"/>
        <v>-9.9999999999997868E-3</v>
      </c>
      <c r="I1460" s="260"/>
      <c r="J1460" s="261"/>
      <c r="K1460" s="129"/>
      <c r="L1460" s="403">
        <f t="shared" si="163"/>
        <v>45258</v>
      </c>
      <c r="M1460" s="56" t="str">
        <f t="shared" si="164"/>
        <v>TUE</v>
      </c>
      <c r="O1460" s="253">
        <f t="shared" si="167"/>
        <v>1</v>
      </c>
      <c r="P1460" s="392">
        <f t="shared" si="166"/>
        <v>1.0001477777777779</v>
      </c>
      <c r="R1460" s="222"/>
    </row>
    <row r="1461" spans="1:18">
      <c r="B1461" s="41"/>
      <c r="C1461" s="403">
        <f t="shared" ref="C1461:C1524" si="168">C1460+1</f>
        <v>45259</v>
      </c>
      <c r="D1461" s="56" t="str">
        <f>VLOOKUP(MOD(C1461,7),'CALENDAR INFO'!$G$5:$H$11,2)</f>
        <v>WED</v>
      </c>
      <c r="E1461" s="165">
        <v>5.33</v>
      </c>
      <c r="F1461" s="336">
        <v>5.31</v>
      </c>
      <c r="G1461" s="411">
        <f t="shared" si="162"/>
        <v>-2.0000000000000462E-2</v>
      </c>
      <c r="I1461" s="260"/>
      <c r="J1461" s="261"/>
      <c r="K1461" s="129" t="s">
        <v>19</v>
      </c>
      <c r="L1461" s="403">
        <f t="shared" si="163"/>
        <v>45259</v>
      </c>
      <c r="M1461" s="56" t="str">
        <f t="shared" si="164"/>
        <v>WED</v>
      </c>
      <c r="O1461" s="253">
        <f t="shared" si="167"/>
        <v>1</v>
      </c>
      <c r="P1461" s="392">
        <f t="shared" si="166"/>
        <v>1.0001475</v>
      </c>
    </row>
    <row r="1462" spans="1:18" ht="15.75" thickBot="1">
      <c r="A1462" s="81"/>
      <c r="B1462" s="178"/>
      <c r="C1462" s="404">
        <f t="shared" si="168"/>
        <v>45260</v>
      </c>
      <c r="D1462" s="64" t="str">
        <f>VLOOKUP(MOD(C1462,7),'CALENDAR INFO'!$G$5:$H$11,2)</f>
        <v>THU</v>
      </c>
      <c r="E1462" s="166">
        <v>5.33</v>
      </c>
      <c r="F1462" s="337">
        <v>5.33</v>
      </c>
      <c r="G1462" s="412">
        <f t="shared" si="162"/>
        <v>0</v>
      </c>
      <c r="H1462" s="345"/>
      <c r="I1462" s="262"/>
      <c r="J1462" s="263"/>
      <c r="K1462" s="77" t="s">
        <v>18</v>
      </c>
      <c r="L1462" s="404">
        <f t="shared" si="163"/>
        <v>45260</v>
      </c>
      <c r="M1462" s="64" t="str">
        <f t="shared" si="164"/>
        <v>THU</v>
      </c>
      <c r="N1462" s="90"/>
      <c r="O1462" s="383">
        <f t="shared" si="167"/>
        <v>1</v>
      </c>
      <c r="P1462" s="388">
        <f t="shared" si="166"/>
        <v>1.0001480555555555</v>
      </c>
    </row>
    <row r="1463" spans="1:18">
      <c r="A1463" s="231"/>
      <c r="B1463" s="232"/>
      <c r="C1463" s="406">
        <f t="shared" si="168"/>
        <v>45261</v>
      </c>
      <c r="D1463" s="86" t="str">
        <f>VLOOKUP(MOD(C1463,7),'CALENDAR INFO'!$G$5:$H$11,2)</f>
        <v>FRI</v>
      </c>
      <c r="E1463" s="168">
        <v>5.33</v>
      </c>
      <c r="F1463" s="340">
        <v>5.39</v>
      </c>
      <c r="G1463" s="414">
        <f t="shared" si="162"/>
        <v>5.9999999999999609E-2</v>
      </c>
      <c r="H1463" s="15" t="s">
        <v>149</v>
      </c>
      <c r="I1463" s="15">
        <f>ROW(I1463)</f>
        <v>1463</v>
      </c>
      <c r="J1463" s="138">
        <f>I1463</f>
        <v>1463</v>
      </c>
      <c r="K1463" s="126"/>
      <c r="L1463" s="406">
        <f t="shared" si="163"/>
        <v>45261</v>
      </c>
      <c r="M1463" s="86" t="str">
        <f t="shared" si="164"/>
        <v>FRI</v>
      </c>
      <c r="N1463" s="89"/>
      <c r="O1463" s="386">
        <f t="shared" si="167"/>
        <v>3</v>
      </c>
      <c r="P1463" s="390">
        <f t="shared" si="166"/>
        <v>1.0004491666666666</v>
      </c>
    </row>
    <row r="1464" spans="1:18">
      <c r="A1464" s="238"/>
      <c r="B1464" s="239"/>
      <c r="C1464" s="403">
        <f t="shared" si="168"/>
        <v>45262</v>
      </c>
      <c r="D1464" s="56" t="str">
        <f>VLOOKUP(MOD(C1464,7),'CALENDAR INFO'!$G$5:$H$11,2)</f>
        <v>SAT</v>
      </c>
      <c r="E1464" s="165">
        <v>5.33</v>
      </c>
      <c r="F1464" s="336">
        <v>5.39</v>
      </c>
      <c r="G1464" s="411">
        <f t="shared" si="162"/>
        <v>5.9999999999999609E-2</v>
      </c>
      <c r="H1464" s="376" t="s">
        <v>210</v>
      </c>
      <c r="I1464" s="15">
        <f>VLOOKUP(MONTH($C1463),'CALENDAR INFO'!$J$5:$K$16,2)</f>
        <v>31</v>
      </c>
      <c r="J1464" s="138">
        <f>I1464</f>
        <v>31</v>
      </c>
      <c r="K1464" s="126"/>
      <c r="L1464" s="403">
        <f t="shared" si="163"/>
        <v>45262</v>
      </c>
      <c r="M1464" s="56" t="str">
        <f t="shared" si="164"/>
        <v>SAT</v>
      </c>
      <c r="O1464" s="253">
        <f t="shared" si="167"/>
        <v>0</v>
      </c>
      <c r="P1464" s="392">
        <f t="shared" si="166"/>
        <v>1</v>
      </c>
    </row>
    <row r="1465" spans="1:18">
      <c r="A1465" s="238"/>
      <c r="B1465" s="239"/>
      <c r="C1465" s="403">
        <f t="shared" si="168"/>
        <v>45263</v>
      </c>
      <c r="D1465" s="56" t="str">
        <f>VLOOKUP(MOD(C1465,7),'CALENDAR INFO'!$G$5:$H$11,2)</f>
        <v>SUN</v>
      </c>
      <c r="E1465" s="165">
        <v>5.33</v>
      </c>
      <c r="F1465" s="336">
        <v>5.39</v>
      </c>
      <c r="G1465" s="411">
        <f t="shared" si="162"/>
        <v>5.9999999999999609E-2</v>
      </c>
      <c r="H1465" s="376" t="s">
        <v>211</v>
      </c>
      <c r="I1465" s="15">
        <f>I1464+I1463-1</f>
        <v>1493</v>
      </c>
      <c r="J1465" s="138">
        <f>I1465</f>
        <v>1493</v>
      </c>
      <c r="K1465" s="126"/>
      <c r="L1465" s="403">
        <f t="shared" si="163"/>
        <v>45263</v>
      </c>
      <c r="M1465" s="56" t="str">
        <f t="shared" si="164"/>
        <v>SUN</v>
      </c>
      <c r="O1465" s="253">
        <f t="shared" si="167"/>
        <v>0</v>
      </c>
      <c r="P1465" s="392">
        <f t="shared" si="166"/>
        <v>1</v>
      </c>
    </row>
    <row r="1466" spans="1:18">
      <c r="A1466" s="238"/>
      <c r="B1466" s="239"/>
      <c r="C1466" s="403">
        <f t="shared" si="168"/>
        <v>45264</v>
      </c>
      <c r="D1466" s="56" t="str">
        <f>VLOOKUP(MOD(C1466,7),'CALENDAR INFO'!$G$5:$H$11,2)</f>
        <v>MON</v>
      </c>
      <c r="E1466" s="165">
        <v>5.33</v>
      </c>
      <c r="F1466" s="336">
        <v>5.37</v>
      </c>
      <c r="G1466" s="411">
        <f t="shared" si="162"/>
        <v>4.0000000000000036E-2</v>
      </c>
      <c r="K1466" s="126"/>
      <c r="L1466" s="403">
        <f t="shared" si="163"/>
        <v>45264</v>
      </c>
      <c r="M1466" s="56" t="str">
        <f t="shared" si="164"/>
        <v>MON</v>
      </c>
      <c r="O1466" s="253">
        <f t="shared" si="167"/>
        <v>1</v>
      </c>
      <c r="P1466" s="392">
        <f t="shared" si="166"/>
        <v>1.0001491666666666</v>
      </c>
    </row>
    <row r="1467" spans="1:18">
      <c r="A1467" s="238"/>
      <c r="B1467" s="239"/>
      <c r="C1467" s="403">
        <f t="shared" si="168"/>
        <v>45265</v>
      </c>
      <c r="D1467" s="56" t="str">
        <f>VLOOKUP(MOD(C1467,7),'CALENDAR INFO'!$G$5:$H$11,2)</f>
        <v>TUE</v>
      </c>
      <c r="E1467" s="165">
        <v>5.33</v>
      </c>
      <c r="F1467" s="336">
        <v>5.33</v>
      </c>
      <c r="G1467" s="411">
        <f t="shared" si="162"/>
        <v>0</v>
      </c>
      <c r="H1467" s="15" t="s">
        <v>150</v>
      </c>
      <c r="I1467" s="137" t="str">
        <f>_xlfn.CONCAT(ADDRESS(I1463,5),":",ADDRESS(I1465,5))</f>
        <v>$E$1463:$E$1493</v>
      </c>
      <c r="J1467" s="150" t="str">
        <f>_xlfn.CONCAT(ADDRESS(J1463,6),":",ADDRESS(J1465,6))</f>
        <v>$F$1463:$F$1493</v>
      </c>
      <c r="K1467" s="126"/>
      <c r="L1467" s="403">
        <f t="shared" si="163"/>
        <v>45265</v>
      </c>
      <c r="M1467" s="56" t="str">
        <f t="shared" si="164"/>
        <v>TUE</v>
      </c>
      <c r="O1467" s="253">
        <f t="shared" si="167"/>
        <v>1</v>
      </c>
      <c r="P1467" s="392">
        <f t="shared" si="166"/>
        <v>1.0001480555555555</v>
      </c>
    </row>
    <row r="1468" spans="1:18">
      <c r="A1468" s="238"/>
      <c r="B1468" s="239"/>
      <c r="C1468" s="403">
        <f t="shared" si="168"/>
        <v>45266</v>
      </c>
      <c r="D1468" s="56" t="str">
        <f>VLOOKUP(MOD(C1468,7),'CALENDAR INFO'!$G$5:$H$11,2)</f>
        <v>WED</v>
      </c>
      <c r="E1468" s="165">
        <v>5.33</v>
      </c>
      <c r="F1468" s="336">
        <v>5.32</v>
      </c>
      <c r="G1468" s="411">
        <f t="shared" si="162"/>
        <v>-9.9999999999997868E-3</v>
      </c>
      <c r="K1468" s="126"/>
      <c r="L1468" s="403">
        <f t="shared" si="163"/>
        <v>45266</v>
      </c>
      <c r="M1468" s="56" t="str">
        <f t="shared" si="164"/>
        <v>WED</v>
      </c>
      <c r="O1468" s="253">
        <f t="shared" si="167"/>
        <v>1</v>
      </c>
      <c r="P1468" s="392">
        <f t="shared" si="166"/>
        <v>1.0001477777777779</v>
      </c>
    </row>
    <row r="1469" spans="1:18">
      <c r="A1469" s="238"/>
      <c r="B1469" s="239"/>
      <c r="C1469" s="403">
        <f t="shared" si="168"/>
        <v>45267</v>
      </c>
      <c r="D1469" s="56" t="str">
        <f>VLOOKUP(MOD(C1469,7),'CALENDAR INFO'!$G$5:$H$11,2)</f>
        <v>THU</v>
      </c>
      <c r="E1469" s="165">
        <v>5.33</v>
      </c>
      <c r="F1469" s="336">
        <v>5.32</v>
      </c>
      <c r="G1469" s="411">
        <f t="shared" si="162"/>
        <v>-9.9999999999997868E-3</v>
      </c>
      <c r="H1469" s="376" t="s">
        <v>221</v>
      </c>
      <c r="I1469" s="147">
        <f ca="1">AVERAGE(INDIRECT(I1467))</f>
        <v>5.3300000000000018</v>
      </c>
      <c r="J1469" s="326">
        <f ca="1">AVERAGE(INDIRECT(J1467))</f>
        <v>5.3383870967741913</v>
      </c>
      <c r="K1469" s="126"/>
      <c r="L1469" s="403">
        <f t="shared" si="163"/>
        <v>45267</v>
      </c>
      <c r="M1469" s="56" t="str">
        <f t="shared" si="164"/>
        <v>THU</v>
      </c>
      <c r="O1469" s="253">
        <f t="shared" si="167"/>
        <v>1</v>
      </c>
      <c r="P1469" s="392">
        <f t="shared" si="166"/>
        <v>1.0001477777777779</v>
      </c>
    </row>
    <row r="1470" spans="1:18">
      <c r="A1470" s="238"/>
      <c r="B1470" s="239"/>
      <c r="C1470" s="403">
        <f t="shared" si="168"/>
        <v>45268</v>
      </c>
      <c r="D1470" s="56" t="str">
        <f>VLOOKUP(MOD(C1470,7),'CALENDAR INFO'!$G$5:$H$11,2)</f>
        <v>FRI</v>
      </c>
      <c r="E1470" s="165">
        <v>5.33</v>
      </c>
      <c r="F1470" s="336">
        <v>5.32</v>
      </c>
      <c r="G1470" s="411">
        <f t="shared" si="162"/>
        <v>-9.9999999999997868E-3</v>
      </c>
      <c r="I1470" s="240"/>
      <c r="J1470" s="157"/>
      <c r="K1470" s="126"/>
      <c r="L1470" s="403">
        <f t="shared" si="163"/>
        <v>45268</v>
      </c>
      <c r="M1470" s="56" t="str">
        <f t="shared" si="164"/>
        <v>FRI</v>
      </c>
      <c r="O1470" s="253">
        <f t="shared" si="167"/>
        <v>3</v>
      </c>
      <c r="P1470" s="392">
        <f t="shared" si="166"/>
        <v>1.0004433333333334</v>
      </c>
    </row>
    <row r="1471" spans="1:18">
      <c r="A1471" s="238"/>
      <c r="B1471" s="239"/>
      <c r="C1471" s="403">
        <f t="shared" si="168"/>
        <v>45269</v>
      </c>
      <c r="D1471" s="56" t="str">
        <f>VLOOKUP(MOD(C1471,7),'CALENDAR INFO'!$G$5:$H$11,2)</f>
        <v>SAT</v>
      </c>
      <c r="E1471" s="165">
        <v>5.33</v>
      </c>
      <c r="F1471" s="336">
        <v>5.32</v>
      </c>
      <c r="G1471" s="411">
        <f t="shared" si="162"/>
        <v>-9.9999999999997868E-3</v>
      </c>
      <c r="H1471" s="15" t="s">
        <v>222</v>
      </c>
      <c r="I1471" s="147">
        <f ca="1">100-I1469</f>
        <v>94.67</v>
      </c>
      <c r="J1471" s="326">
        <f ca="1">100-J1469</f>
        <v>94.661612903225802</v>
      </c>
      <c r="K1471" s="126"/>
      <c r="L1471" s="403">
        <f t="shared" si="163"/>
        <v>45269</v>
      </c>
      <c r="M1471" s="56" t="str">
        <f t="shared" si="164"/>
        <v>SAT</v>
      </c>
      <c r="O1471" s="253">
        <f t="shared" si="167"/>
        <v>0</v>
      </c>
      <c r="P1471" s="392">
        <f t="shared" si="166"/>
        <v>1</v>
      </c>
    </row>
    <row r="1472" spans="1:18">
      <c r="A1472" s="238"/>
      <c r="B1472" s="239"/>
      <c r="C1472" s="403">
        <f t="shared" si="168"/>
        <v>45270</v>
      </c>
      <c r="D1472" s="56" t="str">
        <f>VLOOKUP(MOD(C1472,7),'CALENDAR INFO'!$G$5:$H$11,2)</f>
        <v>SUN</v>
      </c>
      <c r="E1472" s="165">
        <v>5.33</v>
      </c>
      <c r="F1472" s="336">
        <v>5.32</v>
      </c>
      <c r="G1472" s="411">
        <f t="shared" si="162"/>
        <v>-9.9999999999997868E-3</v>
      </c>
      <c r="I1472" s="137"/>
      <c r="J1472" s="150"/>
      <c r="K1472" s="126"/>
      <c r="L1472" s="403">
        <f t="shared" si="163"/>
        <v>45270</v>
      </c>
      <c r="M1472" s="56" t="str">
        <f t="shared" si="164"/>
        <v>SUN</v>
      </c>
      <c r="O1472" s="253">
        <f t="shared" si="167"/>
        <v>0</v>
      </c>
      <c r="P1472" s="392">
        <f t="shared" si="166"/>
        <v>1</v>
      </c>
    </row>
    <row r="1473" spans="1:18">
      <c r="A1473" s="238"/>
      <c r="B1473" s="239"/>
      <c r="C1473" s="403">
        <f t="shared" si="168"/>
        <v>45271</v>
      </c>
      <c r="D1473" s="56" t="str">
        <f>VLOOKUP(MOD(C1473,7),'CALENDAR INFO'!$G$5:$H$11,2)</f>
        <v>MON</v>
      </c>
      <c r="E1473" s="165">
        <v>5.33</v>
      </c>
      <c r="F1473" s="336">
        <v>5.32</v>
      </c>
      <c r="G1473" s="411">
        <f t="shared" si="162"/>
        <v>-9.9999999999997868E-3</v>
      </c>
      <c r="K1473" s="126"/>
      <c r="L1473" s="403">
        <f t="shared" si="163"/>
        <v>45271</v>
      </c>
      <c r="M1473" s="56" t="str">
        <f t="shared" si="164"/>
        <v>MON</v>
      </c>
      <c r="O1473" s="253">
        <f t="shared" si="167"/>
        <v>1</v>
      </c>
      <c r="P1473" s="392">
        <f t="shared" si="166"/>
        <v>1.0001477777777779</v>
      </c>
      <c r="Q1473" s="21"/>
      <c r="R1473" s="221"/>
    </row>
    <row r="1474" spans="1:18">
      <c r="A1474" s="238"/>
      <c r="B1474" s="239"/>
      <c r="C1474" s="403">
        <f t="shared" si="168"/>
        <v>45272</v>
      </c>
      <c r="D1474" s="56" t="str">
        <f>VLOOKUP(MOD(C1474,7),'CALENDAR INFO'!$G$5:$H$11,2)</f>
        <v>TUE</v>
      </c>
      <c r="E1474" s="165">
        <v>5.33</v>
      </c>
      <c r="F1474" s="336">
        <v>5.31</v>
      </c>
      <c r="G1474" s="411">
        <f t="shared" si="162"/>
        <v>-2.0000000000000462E-2</v>
      </c>
      <c r="K1474" s="126"/>
      <c r="L1474" s="403">
        <f t="shared" si="163"/>
        <v>45272</v>
      </c>
      <c r="M1474" s="56" t="str">
        <f t="shared" si="164"/>
        <v>TUE</v>
      </c>
      <c r="N1474" s="116" t="s">
        <v>20</v>
      </c>
      <c r="O1474" s="253">
        <f t="shared" si="167"/>
        <v>1</v>
      </c>
      <c r="P1474" s="392">
        <f t="shared" si="166"/>
        <v>1.0001475</v>
      </c>
      <c r="Q1474" s="21"/>
      <c r="R1474" s="222"/>
    </row>
    <row r="1475" spans="1:18">
      <c r="A1475" s="238"/>
      <c r="B1475" s="239"/>
      <c r="C1475" s="403">
        <f t="shared" si="168"/>
        <v>45273</v>
      </c>
      <c r="D1475" s="56" t="str">
        <f>VLOOKUP(MOD(C1475,7),'CALENDAR INFO'!$G$5:$H$11,2)</f>
        <v>WED</v>
      </c>
      <c r="E1475" s="165">
        <v>5.33</v>
      </c>
      <c r="F1475" s="336">
        <v>5.31</v>
      </c>
      <c r="G1475" s="411">
        <f t="shared" ref="G1475:G1538" si="169">F1475-E1475</f>
        <v>-2.0000000000000462E-2</v>
      </c>
      <c r="K1475" s="126" t="s">
        <v>19</v>
      </c>
      <c r="L1475" s="403">
        <f t="shared" ref="L1475:L1538" si="170">C1475</f>
        <v>45273</v>
      </c>
      <c r="M1475" s="56" t="str">
        <f t="shared" ref="M1475:M1538" si="171">D1475</f>
        <v>WED</v>
      </c>
      <c r="N1475" s="116" t="s">
        <v>20</v>
      </c>
      <c r="O1475" s="253">
        <f t="shared" si="167"/>
        <v>1</v>
      </c>
      <c r="P1475" s="392">
        <f t="shared" si="166"/>
        <v>1.0001475</v>
      </c>
    </row>
    <row r="1476" spans="1:18">
      <c r="B1476" s="41"/>
      <c r="C1476" s="403">
        <f t="shared" si="168"/>
        <v>45274</v>
      </c>
      <c r="D1476" s="56" t="str">
        <f>VLOOKUP(MOD(C1476,7),'CALENDAR INFO'!$G$5:$H$11,2)</f>
        <v>THU</v>
      </c>
      <c r="E1476" s="165">
        <v>5.33</v>
      </c>
      <c r="F1476" s="336">
        <v>5.31</v>
      </c>
      <c r="G1476" s="411">
        <f t="shared" si="169"/>
        <v>-2.0000000000000462E-2</v>
      </c>
      <c r="K1476" s="129" t="s">
        <v>18</v>
      </c>
      <c r="L1476" s="403">
        <f t="shared" si="170"/>
        <v>45274</v>
      </c>
      <c r="M1476" s="56" t="str">
        <f t="shared" si="171"/>
        <v>THU</v>
      </c>
      <c r="O1476" s="253">
        <f t="shared" si="167"/>
        <v>1</v>
      </c>
      <c r="P1476" s="392">
        <f t="shared" si="166"/>
        <v>1.0001475</v>
      </c>
    </row>
    <row r="1477" spans="1:18">
      <c r="B1477" s="41"/>
      <c r="C1477" s="403">
        <f t="shared" si="168"/>
        <v>45275</v>
      </c>
      <c r="D1477" s="56" t="str">
        <f>VLOOKUP(MOD(C1477,7),'CALENDAR INFO'!$G$5:$H$11,2)</f>
        <v>FRI</v>
      </c>
      <c r="E1477" s="165">
        <v>5.33</v>
      </c>
      <c r="F1477" s="336">
        <v>5.32</v>
      </c>
      <c r="G1477" s="411">
        <f t="shared" si="169"/>
        <v>-9.9999999999997868E-3</v>
      </c>
      <c r="H1477" s="135"/>
      <c r="I1477" s="144"/>
      <c r="J1477" s="152"/>
      <c r="K1477" s="129"/>
      <c r="L1477" s="403">
        <f t="shared" si="170"/>
        <v>45275</v>
      </c>
      <c r="M1477" s="56" t="str">
        <f t="shared" si="171"/>
        <v>FRI</v>
      </c>
      <c r="O1477" s="253">
        <f t="shared" si="167"/>
        <v>3</v>
      </c>
      <c r="P1477" s="392">
        <f t="shared" si="166"/>
        <v>1.0004433333333334</v>
      </c>
    </row>
    <row r="1478" spans="1:18">
      <c r="B1478" s="41"/>
      <c r="C1478" s="403">
        <f t="shared" si="168"/>
        <v>45276</v>
      </c>
      <c r="D1478" s="56" t="str">
        <f>VLOOKUP(MOD(C1478,7),'CALENDAR INFO'!$G$5:$H$11,2)</f>
        <v>SAT</v>
      </c>
      <c r="E1478" s="165">
        <v>5.33</v>
      </c>
      <c r="F1478" s="336">
        <v>5.32</v>
      </c>
      <c r="G1478" s="411">
        <f t="shared" si="169"/>
        <v>-9.9999999999997868E-3</v>
      </c>
      <c r="K1478" s="129"/>
      <c r="L1478" s="403">
        <f t="shared" si="170"/>
        <v>45276</v>
      </c>
      <c r="M1478" s="56" t="str">
        <f t="shared" si="171"/>
        <v>SAT</v>
      </c>
      <c r="O1478" s="253">
        <f t="shared" si="167"/>
        <v>0</v>
      </c>
      <c r="P1478" s="392">
        <f t="shared" si="166"/>
        <v>1</v>
      </c>
    </row>
    <row r="1479" spans="1:18">
      <c r="B1479" s="41"/>
      <c r="C1479" s="403">
        <f t="shared" si="168"/>
        <v>45277</v>
      </c>
      <c r="D1479" s="56" t="str">
        <f>VLOOKUP(MOD(C1479,7),'CALENDAR INFO'!$G$5:$H$11,2)</f>
        <v>SUN</v>
      </c>
      <c r="E1479" s="165">
        <v>5.33</v>
      </c>
      <c r="F1479" s="336">
        <v>5.32</v>
      </c>
      <c r="G1479" s="411">
        <f t="shared" si="169"/>
        <v>-9.9999999999997868E-3</v>
      </c>
      <c r="K1479" s="129"/>
      <c r="L1479" s="403">
        <f t="shared" si="170"/>
        <v>45277</v>
      </c>
      <c r="M1479" s="56" t="str">
        <f t="shared" si="171"/>
        <v>SUN</v>
      </c>
      <c r="O1479" s="253">
        <f t="shared" si="167"/>
        <v>0</v>
      </c>
      <c r="P1479" s="392">
        <f t="shared" si="166"/>
        <v>1</v>
      </c>
    </row>
    <row r="1480" spans="1:18">
      <c r="B1480" s="41"/>
      <c r="C1480" s="403">
        <f t="shared" si="168"/>
        <v>45278</v>
      </c>
      <c r="D1480" s="56" t="str">
        <f>VLOOKUP(MOD(C1480,7),'CALENDAR INFO'!$G$5:$H$11,2)</f>
        <v>MON</v>
      </c>
      <c r="E1480" s="165">
        <v>5.33</v>
      </c>
      <c r="F1480" s="336">
        <v>5.32</v>
      </c>
      <c r="G1480" s="411">
        <f t="shared" si="169"/>
        <v>-9.9999999999997868E-3</v>
      </c>
      <c r="K1480" s="129"/>
      <c r="L1480" s="403">
        <f t="shared" si="170"/>
        <v>45278</v>
      </c>
      <c r="M1480" s="56" t="str">
        <f t="shared" si="171"/>
        <v>MON</v>
      </c>
      <c r="O1480" s="253">
        <f t="shared" si="167"/>
        <v>1</v>
      </c>
      <c r="P1480" s="392">
        <f t="shared" si="166"/>
        <v>1.0001477777777779</v>
      </c>
    </row>
    <row r="1481" spans="1:18">
      <c r="B1481" s="41"/>
      <c r="C1481" s="403">
        <f t="shared" si="168"/>
        <v>45279</v>
      </c>
      <c r="D1481" s="56" t="str">
        <f>VLOOKUP(MOD(C1481,7),'CALENDAR INFO'!$G$5:$H$11,2)</f>
        <v>TUE</v>
      </c>
      <c r="E1481" s="165">
        <v>5.33</v>
      </c>
      <c r="F1481" s="336">
        <v>5.31</v>
      </c>
      <c r="G1481" s="411">
        <f t="shared" si="169"/>
        <v>-2.0000000000000462E-2</v>
      </c>
      <c r="K1481" s="129"/>
      <c r="L1481" s="403">
        <f t="shared" si="170"/>
        <v>45279</v>
      </c>
      <c r="M1481" s="56" t="str">
        <f t="shared" si="171"/>
        <v>TUE</v>
      </c>
      <c r="O1481" s="253">
        <f t="shared" si="167"/>
        <v>1</v>
      </c>
      <c r="P1481" s="392">
        <f t="shared" si="166"/>
        <v>1.0001475</v>
      </c>
    </row>
    <row r="1482" spans="1:18">
      <c r="B1482" s="41"/>
      <c r="C1482" s="403">
        <f t="shared" si="168"/>
        <v>45280</v>
      </c>
      <c r="D1482" s="56" t="str">
        <f>VLOOKUP(MOD(C1482,7),'CALENDAR INFO'!$G$5:$H$11,2)</f>
        <v>WED</v>
      </c>
      <c r="E1482" s="165">
        <v>5.33</v>
      </c>
      <c r="F1482" s="336">
        <v>5.31</v>
      </c>
      <c r="G1482" s="411">
        <f t="shared" si="169"/>
        <v>-2.0000000000000462E-2</v>
      </c>
      <c r="K1482" s="129"/>
      <c r="L1482" s="403">
        <f t="shared" si="170"/>
        <v>45280</v>
      </c>
      <c r="M1482" s="56" t="str">
        <f t="shared" si="171"/>
        <v>WED</v>
      </c>
      <c r="O1482" s="253">
        <f t="shared" si="167"/>
        <v>1</v>
      </c>
      <c r="P1482" s="392">
        <f t="shared" si="166"/>
        <v>1.0001475</v>
      </c>
    </row>
    <row r="1483" spans="1:18">
      <c r="B1483" s="41"/>
      <c r="C1483" s="403">
        <f t="shared" si="168"/>
        <v>45281</v>
      </c>
      <c r="D1483" s="56" t="str">
        <f>VLOOKUP(MOD(C1483,7),'CALENDAR INFO'!$G$5:$H$11,2)</f>
        <v>THU</v>
      </c>
      <c r="E1483" s="165">
        <v>5.33</v>
      </c>
      <c r="F1483" s="336">
        <v>5.31</v>
      </c>
      <c r="G1483" s="411">
        <f t="shared" si="169"/>
        <v>-2.0000000000000462E-2</v>
      </c>
      <c r="K1483" s="129"/>
      <c r="L1483" s="403">
        <f t="shared" si="170"/>
        <v>45281</v>
      </c>
      <c r="M1483" s="56" t="str">
        <f t="shared" si="171"/>
        <v>THU</v>
      </c>
      <c r="O1483" s="253">
        <f t="shared" si="167"/>
        <v>1</v>
      </c>
      <c r="P1483" s="392">
        <f t="shared" si="166"/>
        <v>1.0001475</v>
      </c>
    </row>
    <row r="1484" spans="1:18">
      <c r="B1484" s="41"/>
      <c r="C1484" s="403">
        <f t="shared" si="168"/>
        <v>45282</v>
      </c>
      <c r="D1484" s="56" t="str">
        <f>VLOOKUP(MOD(C1484,7),'CALENDAR INFO'!$G$5:$H$11,2)</f>
        <v>FRI</v>
      </c>
      <c r="E1484" s="165">
        <v>5.33</v>
      </c>
      <c r="F1484" s="336">
        <v>5.32</v>
      </c>
      <c r="G1484" s="411">
        <f t="shared" si="169"/>
        <v>-9.9999999999997868E-3</v>
      </c>
      <c r="K1484" s="129"/>
      <c r="L1484" s="403">
        <f t="shared" si="170"/>
        <v>45282</v>
      </c>
      <c r="M1484" s="56" t="str">
        <f t="shared" si="171"/>
        <v>FRI</v>
      </c>
      <c r="O1484" s="384">
        <v>4</v>
      </c>
      <c r="P1484" s="392">
        <f t="shared" si="166"/>
        <v>1.0005911111111112</v>
      </c>
    </row>
    <row r="1485" spans="1:18">
      <c r="B1485" s="41"/>
      <c r="C1485" s="403">
        <f t="shared" si="168"/>
        <v>45283</v>
      </c>
      <c r="D1485" s="56" t="str">
        <f>VLOOKUP(MOD(C1485,7),'CALENDAR INFO'!$G$5:$H$11,2)</f>
        <v>SAT</v>
      </c>
      <c r="E1485" s="165">
        <v>5.33</v>
      </c>
      <c r="F1485" s="336">
        <v>5.32</v>
      </c>
      <c r="G1485" s="411">
        <f t="shared" si="169"/>
        <v>-9.9999999999997868E-3</v>
      </c>
      <c r="K1485" s="129"/>
      <c r="L1485" s="403">
        <f t="shared" si="170"/>
        <v>45283</v>
      </c>
      <c r="M1485" s="56" t="str">
        <f t="shared" si="171"/>
        <v>SAT</v>
      </c>
      <c r="O1485" s="253">
        <f>IF(MOD(C1485,7)&lt;2,0,IF(MOD(C1485,7)=6,3,1))</f>
        <v>0</v>
      </c>
      <c r="P1485" s="392">
        <f t="shared" si="166"/>
        <v>1</v>
      </c>
    </row>
    <row r="1486" spans="1:18">
      <c r="B1486" s="41"/>
      <c r="C1486" s="403">
        <f t="shared" si="168"/>
        <v>45284</v>
      </c>
      <c r="D1486" s="56" t="str">
        <f>VLOOKUP(MOD(C1486,7),'CALENDAR INFO'!$G$5:$H$11,2)</f>
        <v>SUN</v>
      </c>
      <c r="E1486" s="165">
        <v>5.33</v>
      </c>
      <c r="F1486" s="336">
        <v>5.32</v>
      </c>
      <c r="G1486" s="411">
        <f t="shared" si="169"/>
        <v>-9.9999999999997868E-3</v>
      </c>
      <c r="K1486" s="129"/>
      <c r="L1486" s="403">
        <f t="shared" si="170"/>
        <v>45284</v>
      </c>
      <c r="M1486" s="56" t="str">
        <f t="shared" si="171"/>
        <v>SUN</v>
      </c>
      <c r="O1486" s="253">
        <f>IF(MOD(C1486,7)&lt;2,0,IF(MOD(C1486,7)=6,3,1))</f>
        <v>0</v>
      </c>
      <c r="P1486" s="392">
        <f t="shared" si="166"/>
        <v>1</v>
      </c>
    </row>
    <row r="1487" spans="1:18">
      <c r="B1487" s="41"/>
      <c r="C1487" s="403">
        <f t="shared" si="168"/>
        <v>45285</v>
      </c>
      <c r="D1487" s="56" t="str">
        <f>VLOOKUP(MOD(C1487,7),'CALENDAR INFO'!$G$5:$H$11,2)</f>
        <v>MON</v>
      </c>
      <c r="E1487" s="165">
        <v>5.33</v>
      </c>
      <c r="F1487" s="336">
        <v>5.32</v>
      </c>
      <c r="G1487" s="411">
        <f t="shared" si="169"/>
        <v>-9.9999999999997868E-3</v>
      </c>
      <c r="K1487" s="129"/>
      <c r="L1487" s="403">
        <f t="shared" si="170"/>
        <v>45285</v>
      </c>
      <c r="M1487" s="56" t="str">
        <f t="shared" si="171"/>
        <v>MON</v>
      </c>
      <c r="N1487" s="132" t="s">
        <v>110</v>
      </c>
      <c r="O1487" s="384">
        <v>0</v>
      </c>
      <c r="P1487" s="392">
        <f t="shared" si="166"/>
        <v>1</v>
      </c>
    </row>
    <row r="1488" spans="1:18">
      <c r="B1488" s="41"/>
      <c r="C1488" s="403">
        <f t="shared" si="168"/>
        <v>45286</v>
      </c>
      <c r="D1488" s="56" t="str">
        <f>VLOOKUP(MOD(C1488,7),'CALENDAR INFO'!$G$5:$H$11,2)</f>
        <v>TUE</v>
      </c>
      <c r="E1488" s="165">
        <v>5.33</v>
      </c>
      <c r="F1488" s="336">
        <v>5.35</v>
      </c>
      <c r="G1488" s="411">
        <f t="shared" si="169"/>
        <v>1.9999999999999574E-2</v>
      </c>
      <c r="K1488" s="129"/>
      <c r="L1488" s="403">
        <f t="shared" si="170"/>
        <v>45286</v>
      </c>
      <c r="M1488" s="56" t="str">
        <f t="shared" si="171"/>
        <v>TUE</v>
      </c>
      <c r="O1488" s="253">
        <f>IF(MOD(C1488,7)&lt;2,0,IF(MOD(C1488,7)=6,3,1))</f>
        <v>1</v>
      </c>
      <c r="P1488" s="392">
        <f t="shared" si="166"/>
        <v>1.0001486111111111</v>
      </c>
    </row>
    <row r="1489" spans="1:18">
      <c r="B1489" s="41"/>
      <c r="C1489" s="403">
        <f t="shared" si="168"/>
        <v>45287</v>
      </c>
      <c r="D1489" s="56" t="str">
        <f>VLOOKUP(MOD(C1489,7),'CALENDAR INFO'!$G$5:$H$11,2)</f>
        <v>WED</v>
      </c>
      <c r="E1489" s="165">
        <v>5.33</v>
      </c>
      <c r="F1489" s="336">
        <v>5.39</v>
      </c>
      <c r="G1489" s="411">
        <f t="shared" si="169"/>
        <v>5.9999999999999609E-2</v>
      </c>
      <c r="I1489" s="137"/>
      <c r="K1489" s="129" t="s">
        <v>19</v>
      </c>
      <c r="L1489" s="403">
        <f t="shared" si="170"/>
        <v>45287</v>
      </c>
      <c r="M1489" s="56" t="str">
        <f t="shared" si="171"/>
        <v>WED</v>
      </c>
      <c r="O1489" s="253">
        <f>IF(MOD(C1489,7)&lt;2,0,IF(MOD(C1489,7)=6,3,1))</f>
        <v>1</v>
      </c>
      <c r="P1489" s="392">
        <f t="shared" si="166"/>
        <v>1.0001497222222222</v>
      </c>
      <c r="R1489" s="221"/>
    </row>
    <row r="1490" spans="1:18">
      <c r="B1490" s="41"/>
      <c r="C1490" s="403">
        <f t="shared" si="168"/>
        <v>45288</v>
      </c>
      <c r="D1490" s="56" t="str">
        <f>VLOOKUP(MOD(C1490,7),'CALENDAR INFO'!$G$5:$H$11,2)</f>
        <v>THU</v>
      </c>
      <c r="E1490" s="165">
        <v>5.33</v>
      </c>
      <c r="F1490" s="336">
        <v>5.4</v>
      </c>
      <c r="G1490" s="411">
        <f t="shared" si="169"/>
        <v>7.0000000000000284E-2</v>
      </c>
      <c r="I1490" s="260"/>
      <c r="J1490" s="261"/>
      <c r="K1490" s="126" t="s">
        <v>18</v>
      </c>
      <c r="L1490" s="403">
        <f t="shared" si="170"/>
        <v>45288</v>
      </c>
      <c r="M1490" s="56" t="str">
        <f t="shared" si="171"/>
        <v>THU</v>
      </c>
      <c r="O1490" s="253">
        <f>IF(MOD(C1490,7)&lt;2,0,IF(MOD(C1490,7)=6,3,1))</f>
        <v>1</v>
      </c>
      <c r="P1490" s="392">
        <f t="shared" si="166"/>
        <v>1.0001500000000001</v>
      </c>
      <c r="R1490" s="222"/>
    </row>
    <row r="1491" spans="1:18">
      <c r="B1491" s="41"/>
      <c r="C1491" s="403">
        <f t="shared" si="168"/>
        <v>45289</v>
      </c>
      <c r="D1491" s="56" t="str">
        <f>VLOOKUP(MOD(C1491,7),'CALENDAR INFO'!$G$5:$H$11,2)</f>
        <v>FRI</v>
      </c>
      <c r="E1491" s="165">
        <v>5.33</v>
      </c>
      <c r="F1491" s="336">
        <v>5.38</v>
      </c>
      <c r="G1491" s="411">
        <f t="shared" si="169"/>
        <v>4.9999999999999822E-2</v>
      </c>
      <c r="I1491" s="260"/>
      <c r="J1491" s="261"/>
      <c r="K1491" s="126"/>
      <c r="L1491" s="403">
        <f t="shared" si="170"/>
        <v>45289</v>
      </c>
      <c r="M1491" s="56" t="str">
        <f t="shared" si="171"/>
        <v>FRI</v>
      </c>
      <c r="O1491" s="384">
        <v>4</v>
      </c>
      <c r="P1491" s="392">
        <f t="shared" ref="P1491:P1554" si="172">1+(O1491/360)*(MAX(F1491,B1491)/100)</f>
        <v>1.0005977777777777</v>
      </c>
      <c r="R1491" s="222"/>
    </row>
    <row r="1492" spans="1:18">
      <c r="B1492" s="41"/>
      <c r="C1492" s="403">
        <f t="shared" si="168"/>
        <v>45290</v>
      </c>
      <c r="D1492" s="56" t="str">
        <f>VLOOKUP(MOD(C1492,7),'CALENDAR INFO'!$G$5:$H$11,2)</f>
        <v>SAT</v>
      </c>
      <c r="E1492" s="165">
        <v>5.33</v>
      </c>
      <c r="F1492" s="336">
        <v>5.38</v>
      </c>
      <c r="G1492" s="411">
        <f t="shared" si="169"/>
        <v>4.9999999999999822E-2</v>
      </c>
      <c r="H1492" s="115"/>
      <c r="I1492" s="142"/>
      <c r="J1492" s="151"/>
      <c r="K1492" s="126"/>
      <c r="L1492" s="403">
        <f t="shared" si="170"/>
        <v>45290</v>
      </c>
      <c r="M1492" s="56" t="str">
        <f t="shared" si="171"/>
        <v>SAT</v>
      </c>
      <c r="O1492" s="253">
        <f>IF(MOD(C1492,7)&lt;2,0,IF(MOD(C1492,7)=6,3,1))</f>
        <v>0</v>
      </c>
      <c r="P1492" s="392">
        <f t="shared" si="172"/>
        <v>1</v>
      </c>
    </row>
    <row r="1493" spans="1:18" ht="15.75" thickBot="1">
      <c r="A1493" s="81"/>
      <c r="B1493" s="178"/>
      <c r="C1493" s="404">
        <f t="shared" si="168"/>
        <v>45291</v>
      </c>
      <c r="D1493" s="64" t="str">
        <f>VLOOKUP(MOD(C1493,7),'CALENDAR INFO'!$G$5:$H$11,2)</f>
        <v>SUN</v>
      </c>
      <c r="E1493" s="166">
        <v>5.33</v>
      </c>
      <c r="F1493" s="337">
        <v>5.38</v>
      </c>
      <c r="G1493" s="412">
        <f t="shared" si="169"/>
        <v>4.9999999999999822E-2</v>
      </c>
      <c r="H1493" s="345"/>
      <c r="I1493" s="143"/>
      <c r="J1493" s="162"/>
      <c r="K1493" s="77"/>
      <c r="L1493" s="404">
        <f t="shared" si="170"/>
        <v>45291</v>
      </c>
      <c r="M1493" s="64" t="str">
        <f t="shared" si="171"/>
        <v>SUN</v>
      </c>
      <c r="N1493" s="90"/>
      <c r="O1493" s="383">
        <f>IF(MOD(C1493,7)&lt;2,0,IF(MOD(C1493,7)=6,3,1))</f>
        <v>0</v>
      </c>
      <c r="P1493" s="388">
        <f t="shared" si="172"/>
        <v>1</v>
      </c>
    </row>
    <row r="1494" spans="1:18">
      <c r="A1494" s="238"/>
      <c r="B1494" s="239"/>
      <c r="C1494" s="406">
        <f t="shared" si="168"/>
        <v>45292</v>
      </c>
      <c r="D1494" s="86" t="str">
        <f>VLOOKUP(MOD(C1494,7),'CALENDAR INFO'!$G$5:$H$11,2)</f>
        <v>MON</v>
      </c>
      <c r="E1494" s="165">
        <v>5.33</v>
      </c>
      <c r="F1494" s="336">
        <v>5.38</v>
      </c>
      <c r="G1494" s="411">
        <f t="shared" si="169"/>
        <v>4.9999999999999822E-2</v>
      </c>
      <c r="H1494" s="15" t="s">
        <v>149</v>
      </c>
      <c r="I1494" s="15">
        <f>ROW(I1494)</f>
        <v>1494</v>
      </c>
      <c r="J1494" s="138">
        <f>I1494</f>
        <v>1494</v>
      </c>
      <c r="K1494" s="88"/>
      <c r="L1494" s="406">
        <f t="shared" si="170"/>
        <v>45292</v>
      </c>
      <c r="M1494" s="86" t="str">
        <f t="shared" si="171"/>
        <v>MON</v>
      </c>
      <c r="N1494" s="89" t="s">
        <v>114</v>
      </c>
      <c r="O1494" s="386">
        <v>0</v>
      </c>
      <c r="P1494" s="390">
        <f t="shared" si="172"/>
        <v>1</v>
      </c>
    </row>
    <row r="1495" spans="1:18">
      <c r="B1495" s="41"/>
      <c r="C1495" s="403">
        <f t="shared" si="168"/>
        <v>45293</v>
      </c>
      <c r="D1495" s="56" t="str">
        <f>VLOOKUP(MOD(C1495,7),'CALENDAR INFO'!$G$5:$H$11,2)</f>
        <v>TUE</v>
      </c>
      <c r="E1495" s="165">
        <v>5.33</v>
      </c>
      <c r="F1495" s="336">
        <v>5.4</v>
      </c>
      <c r="G1495" s="411">
        <f t="shared" si="169"/>
        <v>7.0000000000000284E-2</v>
      </c>
      <c r="H1495" s="376" t="s">
        <v>210</v>
      </c>
      <c r="I1495" s="15">
        <f>VLOOKUP(MONTH($C1494),'CALENDAR INFO'!$J$5:$K$16,2)</f>
        <v>31</v>
      </c>
      <c r="J1495" s="138">
        <f>I1495</f>
        <v>31</v>
      </c>
      <c r="K1495" s="126"/>
      <c r="L1495" s="403">
        <f t="shared" si="170"/>
        <v>45293</v>
      </c>
      <c r="M1495" s="56" t="str">
        <f t="shared" si="171"/>
        <v>TUE</v>
      </c>
      <c r="O1495" s="391">
        <f t="shared" ref="O1495:O1504" si="173">IF(MOD(C1495,7)&lt;2,0,IF(MOD(C1495,7)=6,3,1))</f>
        <v>1</v>
      </c>
      <c r="P1495" s="392">
        <f t="shared" si="172"/>
        <v>1.0001500000000001</v>
      </c>
    </row>
    <row r="1496" spans="1:18">
      <c r="B1496" s="41"/>
      <c r="C1496" s="403">
        <f t="shared" si="168"/>
        <v>45294</v>
      </c>
      <c r="D1496" s="56" t="str">
        <f>VLOOKUP(MOD(C1496,7),'CALENDAR INFO'!$G$5:$H$11,2)</f>
        <v>WED</v>
      </c>
      <c r="E1496" s="165">
        <v>5.33</v>
      </c>
      <c r="F1496" s="336">
        <v>5.39</v>
      </c>
      <c r="G1496" s="411">
        <f t="shared" si="169"/>
        <v>5.9999999999999609E-2</v>
      </c>
      <c r="H1496" s="376" t="s">
        <v>211</v>
      </c>
      <c r="I1496" s="15">
        <f>I1495+I1494-1</f>
        <v>1524</v>
      </c>
      <c r="J1496" s="138">
        <f>I1496</f>
        <v>1524</v>
      </c>
      <c r="K1496" s="126"/>
      <c r="L1496" s="403">
        <f t="shared" si="170"/>
        <v>45294</v>
      </c>
      <c r="M1496" s="56" t="str">
        <f t="shared" si="171"/>
        <v>WED</v>
      </c>
      <c r="O1496" s="391">
        <f t="shared" si="173"/>
        <v>1</v>
      </c>
      <c r="P1496" s="392">
        <f t="shared" si="172"/>
        <v>1.0001497222222222</v>
      </c>
    </row>
    <row r="1497" spans="1:18">
      <c r="B1497" s="41"/>
      <c r="C1497" s="403">
        <f t="shared" si="168"/>
        <v>45295</v>
      </c>
      <c r="D1497" s="56" t="str">
        <f>VLOOKUP(MOD(C1497,7),'CALENDAR INFO'!$G$5:$H$11,2)</f>
        <v>THU</v>
      </c>
      <c r="E1497" s="165">
        <v>5.33</v>
      </c>
      <c r="F1497" s="336">
        <v>5.32</v>
      </c>
      <c r="G1497" s="411">
        <f t="shared" si="169"/>
        <v>-9.9999999999997868E-3</v>
      </c>
      <c r="K1497" s="126"/>
      <c r="L1497" s="403">
        <f t="shared" si="170"/>
        <v>45295</v>
      </c>
      <c r="M1497" s="56" t="str">
        <f t="shared" si="171"/>
        <v>THU</v>
      </c>
      <c r="O1497" s="391">
        <f t="shared" si="173"/>
        <v>1</v>
      </c>
      <c r="P1497" s="392">
        <f t="shared" si="172"/>
        <v>1.0001477777777779</v>
      </c>
    </row>
    <row r="1498" spans="1:18">
      <c r="B1498" s="41"/>
      <c r="C1498" s="403">
        <f t="shared" si="168"/>
        <v>45296</v>
      </c>
      <c r="D1498" s="56" t="str">
        <f>VLOOKUP(MOD(C1498,7),'CALENDAR INFO'!$G$5:$H$11,2)</f>
        <v>FRI</v>
      </c>
      <c r="E1498" s="165">
        <v>5.33</v>
      </c>
      <c r="F1498" s="336">
        <v>5.31</v>
      </c>
      <c r="G1498" s="411">
        <f t="shared" si="169"/>
        <v>-2.0000000000000462E-2</v>
      </c>
      <c r="H1498" s="15" t="s">
        <v>150</v>
      </c>
      <c r="I1498" s="137" t="str">
        <f>_xlfn.CONCAT(ADDRESS(I1494,5),":",ADDRESS(I1496,5))</f>
        <v>$E$1494:$E$1524</v>
      </c>
      <c r="J1498" s="150" t="str">
        <f>_xlfn.CONCAT(ADDRESS(J1494,6),":",ADDRESS(J1496,6))</f>
        <v>$F$1494:$F$1524</v>
      </c>
      <c r="K1498" s="126"/>
      <c r="L1498" s="403">
        <f t="shared" si="170"/>
        <v>45296</v>
      </c>
      <c r="M1498" s="56" t="str">
        <f t="shared" si="171"/>
        <v>FRI</v>
      </c>
      <c r="O1498" s="391">
        <f t="shared" si="173"/>
        <v>3</v>
      </c>
      <c r="P1498" s="392">
        <f t="shared" si="172"/>
        <v>1.0004424999999999</v>
      </c>
    </row>
    <row r="1499" spans="1:18">
      <c r="B1499" s="41"/>
      <c r="C1499" s="403">
        <f t="shared" si="168"/>
        <v>45297</v>
      </c>
      <c r="D1499" s="56" t="str">
        <f>VLOOKUP(MOD(C1499,7),'CALENDAR INFO'!$G$5:$H$11,2)</f>
        <v>SAT</v>
      </c>
      <c r="E1499" s="165">
        <v>5.33</v>
      </c>
      <c r="F1499" s="336">
        <v>5.31</v>
      </c>
      <c r="G1499" s="411">
        <f t="shared" si="169"/>
        <v>-2.0000000000000462E-2</v>
      </c>
      <c r="K1499" s="126"/>
      <c r="L1499" s="403">
        <f t="shared" si="170"/>
        <v>45297</v>
      </c>
      <c r="M1499" s="56" t="str">
        <f t="shared" si="171"/>
        <v>SAT</v>
      </c>
      <c r="O1499" s="391">
        <f t="shared" si="173"/>
        <v>0</v>
      </c>
      <c r="P1499" s="392">
        <f t="shared" si="172"/>
        <v>1</v>
      </c>
    </row>
    <row r="1500" spans="1:18">
      <c r="B1500" s="41"/>
      <c r="C1500" s="403">
        <f t="shared" si="168"/>
        <v>45298</v>
      </c>
      <c r="D1500" s="56" t="str">
        <f>VLOOKUP(MOD(C1500,7),'CALENDAR INFO'!$G$5:$H$11,2)</f>
        <v>SUN</v>
      </c>
      <c r="E1500" s="165">
        <v>5.33</v>
      </c>
      <c r="F1500" s="336">
        <v>5.31</v>
      </c>
      <c r="G1500" s="411">
        <f t="shared" si="169"/>
        <v>-2.0000000000000462E-2</v>
      </c>
      <c r="H1500" s="376" t="s">
        <v>221</v>
      </c>
      <c r="I1500" s="147">
        <f ca="1">AVERAGE(INDIRECT(I1498))</f>
        <v>5.3300000000000018</v>
      </c>
      <c r="J1500" s="326">
        <f ca="1">AVERAGE(INDIRECT(J1498))</f>
        <v>5.3203225806451613</v>
      </c>
      <c r="K1500" s="126"/>
      <c r="L1500" s="403">
        <f t="shared" si="170"/>
        <v>45298</v>
      </c>
      <c r="M1500" s="56" t="str">
        <f t="shared" si="171"/>
        <v>SUN</v>
      </c>
      <c r="O1500" s="391">
        <f t="shared" si="173"/>
        <v>0</v>
      </c>
      <c r="P1500" s="392">
        <f t="shared" si="172"/>
        <v>1</v>
      </c>
    </row>
    <row r="1501" spans="1:18">
      <c r="B1501" s="41"/>
      <c r="C1501" s="403">
        <f t="shared" si="168"/>
        <v>45299</v>
      </c>
      <c r="D1501" s="56" t="str">
        <f>VLOOKUP(MOD(C1501,7),'CALENDAR INFO'!$G$5:$H$11,2)</f>
        <v>MON</v>
      </c>
      <c r="E1501" s="165">
        <v>5.33</v>
      </c>
      <c r="F1501" s="336">
        <v>5.31</v>
      </c>
      <c r="G1501" s="411">
        <f t="shared" si="169"/>
        <v>-2.0000000000000462E-2</v>
      </c>
      <c r="I1501" s="240"/>
      <c r="J1501" s="157"/>
      <c r="K1501" s="126"/>
      <c r="L1501" s="403">
        <f t="shared" si="170"/>
        <v>45299</v>
      </c>
      <c r="M1501" s="56" t="str">
        <f t="shared" si="171"/>
        <v>MON</v>
      </c>
      <c r="O1501" s="391">
        <f t="shared" si="173"/>
        <v>1</v>
      </c>
      <c r="P1501" s="392">
        <f t="shared" si="172"/>
        <v>1.0001475</v>
      </c>
    </row>
    <row r="1502" spans="1:18">
      <c r="B1502" s="41"/>
      <c r="C1502" s="403">
        <f t="shared" si="168"/>
        <v>45300</v>
      </c>
      <c r="D1502" s="56" t="str">
        <f>VLOOKUP(MOD(C1502,7),'CALENDAR INFO'!$G$5:$H$11,2)</f>
        <v>TUE</v>
      </c>
      <c r="E1502" s="165">
        <v>5.33</v>
      </c>
      <c r="F1502" s="336">
        <v>5.31</v>
      </c>
      <c r="G1502" s="411">
        <f t="shared" si="169"/>
        <v>-2.0000000000000462E-2</v>
      </c>
      <c r="H1502" s="15" t="s">
        <v>222</v>
      </c>
      <c r="I1502" s="147">
        <f ca="1">100-I1500</f>
        <v>94.67</v>
      </c>
      <c r="J1502" s="326">
        <f ca="1">100-J1500</f>
        <v>94.679677419354846</v>
      </c>
      <c r="K1502" s="126"/>
      <c r="L1502" s="403">
        <f t="shared" si="170"/>
        <v>45300</v>
      </c>
      <c r="M1502" s="56" t="str">
        <f t="shared" si="171"/>
        <v>TUE</v>
      </c>
      <c r="O1502" s="391">
        <f t="shared" si="173"/>
        <v>1</v>
      </c>
      <c r="P1502" s="392">
        <f t="shared" si="172"/>
        <v>1.0001475</v>
      </c>
    </row>
    <row r="1503" spans="1:18">
      <c r="B1503" s="41"/>
      <c r="C1503" s="403">
        <f t="shared" si="168"/>
        <v>45301</v>
      </c>
      <c r="D1503" s="56" t="str">
        <f>VLOOKUP(MOD(C1503,7),'CALENDAR INFO'!$G$5:$H$11,2)</f>
        <v>WED</v>
      </c>
      <c r="E1503" s="165">
        <v>5.33</v>
      </c>
      <c r="F1503" s="336">
        <v>5.31</v>
      </c>
      <c r="G1503" s="411">
        <f t="shared" si="169"/>
        <v>-2.0000000000000462E-2</v>
      </c>
      <c r="I1503" s="137"/>
      <c r="J1503" s="150"/>
      <c r="K1503" s="126" t="s">
        <v>19</v>
      </c>
      <c r="L1503" s="403">
        <f t="shared" si="170"/>
        <v>45301</v>
      </c>
      <c r="M1503" s="56" t="str">
        <f t="shared" si="171"/>
        <v>WED</v>
      </c>
      <c r="O1503" s="391">
        <f t="shared" si="173"/>
        <v>1</v>
      </c>
      <c r="P1503" s="392">
        <f t="shared" si="172"/>
        <v>1.0001475</v>
      </c>
    </row>
    <row r="1504" spans="1:18">
      <c r="B1504" s="41"/>
      <c r="C1504" s="403">
        <f t="shared" si="168"/>
        <v>45302</v>
      </c>
      <c r="D1504" s="56" t="str">
        <f>VLOOKUP(MOD(C1504,7),'CALENDAR INFO'!$G$5:$H$11,2)</f>
        <v>THU</v>
      </c>
      <c r="E1504" s="165">
        <v>5.33</v>
      </c>
      <c r="F1504" s="336">
        <v>5.31</v>
      </c>
      <c r="G1504" s="411">
        <f t="shared" si="169"/>
        <v>-2.0000000000000462E-2</v>
      </c>
      <c r="H1504" s="136"/>
      <c r="I1504" s="139"/>
      <c r="J1504" s="151"/>
      <c r="K1504" s="129" t="s">
        <v>18</v>
      </c>
      <c r="L1504" s="403">
        <f t="shared" si="170"/>
        <v>45302</v>
      </c>
      <c r="M1504" s="56" t="str">
        <f t="shared" si="171"/>
        <v>THU</v>
      </c>
      <c r="O1504" s="391">
        <f t="shared" si="173"/>
        <v>1</v>
      </c>
      <c r="P1504" s="392">
        <f t="shared" si="172"/>
        <v>1.0001475</v>
      </c>
    </row>
    <row r="1505" spans="2:18">
      <c r="B1505" s="41"/>
      <c r="C1505" s="403">
        <f t="shared" si="168"/>
        <v>45303</v>
      </c>
      <c r="D1505" s="56" t="str">
        <f>VLOOKUP(MOD(C1505,7),'CALENDAR INFO'!$G$5:$H$11,2)</f>
        <v>FRI</v>
      </c>
      <c r="E1505" s="165">
        <v>5.33</v>
      </c>
      <c r="F1505" s="336">
        <v>5.31</v>
      </c>
      <c r="G1505" s="411">
        <f t="shared" si="169"/>
        <v>-2.0000000000000462E-2</v>
      </c>
      <c r="K1505" s="129"/>
      <c r="L1505" s="403">
        <f t="shared" si="170"/>
        <v>45303</v>
      </c>
      <c r="M1505" s="56" t="str">
        <f t="shared" si="171"/>
        <v>FRI</v>
      </c>
      <c r="O1505" s="384">
        <v>4</v>
      </c>
      <c r="P1505" s="392">
        <f t="shared" si="172"/>
        <v>1.0005900000000001</v>
      </c>
    </row>
    <row r="1506" spans="2:18">
      <c r="B1506" s="41"/>
      <c r="C1506" s="403">
        <f t="shared" si="168"/>
        <v>45304</v>
      </c>
      <c r="D1506" s="56" t="str">
        <f>VLOOKUP(MOD(C1506,7),'CALENDAR INFO'!$G$5:$H$11,2)</f>
        <v>SAT</v>
      </c>
      <c r="E1506" s="165">
        <v>5.33</v>
      </c>
      <c r="F1506" s="336">
        <v>5.31</v>
      </c>
      <c r="G1506" s="411">
        <f t="shared" si="169"/>
        <v>-2.0000000000000462E-2</v>
      </c>
      <c r="H1506" s="136"/>
      <c r="I1506" s="139"/>
      <c r="J1506" s="151"/>
      <c r="K1506" s="129"/>
      <c r="L1506" s="403">
        <f t="shared" si="170"/>
        <v>45304</v>
      </c>
      <c r="M1506" s="56" t="str">
        <f t="shared" si="171"/>
        <v>SAT</v>
      </c>
      <c r="O1506" s="391">
        <f>IF(MOD(C1506,7)&lt;2,0,IF(MOD(C1506,7)=6,3,1))</f>
        <v>0</v>
      </c>
      <c r="P1506" s="392">
        <f t="shared" si="172"/>
        <v>1</v>
      </c>
    </row>
    <row r="1507" spans="2:18">
      <c r="B1507" s="41"/>
      <c r="C1507" s="403">
        <f t="shared" si="168"/>
        <v>45305</v>
      </c>
      <c r="D1507" s="56" t="str">
        <f>VLOOKUP(MOD(C1507,7),'CALENDAR INFO'!$G$5:$H$11,2)</f>
        <v>SUN</v>
      </c>
      <c r="E1507" s="165">
        <v>5.33</v>
      </c>
      <c r="F1507" s="336">
        <v>5.31</v>
      </c>
      <c r="G1507" s="411">
        <f t="shared" si="169"/>
        <v>-2.0000000000000462E-2</v>
      </c>
      <c r="K1507" s="129"/>
      <c r="L1507" s="403">
        <f t="shared" si="170"/>
        <v>45305</v>
      </c>
      <c r="M1507" s="56" t="str">
        <f t="shared" si="171"/>
        <v>SUN</v>
      </c>
      <c r="O1507" s="391">
        <f>IF(MOD(C1507,7)&lt;2,0,IF(MOD(C1507,7)=6,3,1))</f>
        <v>0</v>
      </c>
      <c r="P1507" s="392">
        <f t="shared" si="172"/>
        <v>1</v>
      </c>
    </row>
    <row r="1508" spans="2:18">
      <c r="B1508" s="41"/>
      <c r="C1508" s="403">
        <f t="shared" si="168"/>
        <v>45306</v>
      </c>
      <c r="D1508" s="56" t="str">
        <f>VLOOKUP(MOD(C1508,7),'CALENDAR INFO'!$G$5:$H$11,2)</f>
        <v>MON</v>
      </c>
      <c r="E1508" s="165">
        <v>5.33</v>
      </c>
      <c r="F1508" s="336">
        <v>5.31</v>
      </c>
      <c r="G1508" s="411">
        <f t="shared" si="169"/>
        <v>-2.0000000000000462E-2</v>
      </c>
      <c r="H1508" s="135"/>
      <c r="I1508" s="144"/>
      <c r="J1508" s="152"/>
      <c r="K1508" s="129"/>
      <c r="L1508" s="403">
        <f t="shared" si="170"/>
        <v>45306</v>
      </c>
      <c r="M1508" s="56" t="str">
        <f t="shared" si="171"/>
        <v>MON</v>
      </c>
      <c r="N1508" s="132" t="s">
        <v>102</v>
      </c>
      <c r="O1508" s="384">
        <v>0</v>
      </c>
      <c r="P1508" s="392">
        <f t="shared" si="172"/>
        <v>1</v>
      </c>
    </row>
    <row r="1509" spans="2:18">
      <c r="B1509" s="41"/>
      <c r="C1509" s="403">
        <f t="shared" si="168"/>
        <v>45307</v>
      </c>
      <c r="D1509" s="56" t="str">
        <f>VLOOKUP(MOD(C1509,7),'CALENDAR INFO'!$G$5:$H$11,2)</f>
        <v>TUE</v>
      </c>
      <c r="E1509" s="165">
        <v>5.33</v>
      </c>
      <c r="F1509" s="336">
        <v>5.32</v>
      </c>
      <c r="G1509" s="411">
        <f t="shared" si="169"/>
        <v>-9.9999999999997868E-3</v>
      </c>
      <c r="K1509" s="129"/>
      <c r="L1509" s="403">
        <f t="shared" si="170"/>
        <v>45307</v>
      </c>
      <c r="M1509" s="56" t="str">
        <f t="shared" si="171"/>
        <v>TUE</v>
      </c>
      <c r="O1509" s="391">
        <f t="shared" ref="O1509:O1539" si="174">IF(MOD(C1509,7)&lt;2,0,IF(MOD(C1509,7)=6,3,1))</f>
        <v>1</v>
      </c>
      <c r="P1509" s="392">
        <f t="shared" si="172"/>
        <v>1.0001477777777779</v>
      </c>
    </row>
    <row r="1510" spans="2:18">
      <c r="B1510" s="41"/>
      <c r="C1510" s="403">
        <f t="shared" si="168"/>
        <v>45308</v>
      </c>
      <c r="D1510" s="56" t="str">
        <f>VLOOKUP(MOD(C1510,7),'CALENDAR INFO'!$G$5:$H$11,2)</f>
        <v>WED</v>
      </c>
      <c r="E1510" s="165">
        <v>5.33</v>
      </c>
      <c r="F1510" s="336">
        <v>5.32</v>
      </c>
      <c r="G1510" s="411">
        <f t="shared" si="169"/>
        <v>-9.9999999999997868E-3</v>
      </c>
      <c r="K1510" s="129"/>
      <c r="L1510" s="403">
        <f t="shared" si="170"/>
        <v>45308</v>
      </c>
      <c r="M1510" s="56" t="str">
        <f t="shared" si="171"/>
        <v>WED</v>
      </c>
      <c r="O1510" s="391">
        <f t="shared" si="174"/>
        <v>1</v>
      </c>
      <c r="P1510" s="392">
        <f t="shared" si="172"/>
        <v>1.0001477777777779</v>
      </c>
    </row>
    <row r="1511" spans="2:18">
      <c r="B1511" s="41"/>
      <c r="C1511" s="403">
        <f t="shared" si="168"/>
        <v>45309</v>
      </c>
      <c r="D1511" s="56" t="str">
        <f>VLOOKUP(MOD(C1511,7),'CALENDAR INFO'!$G$5:$H$11,2)</f>
        <v>THU</v>
      </c>
      <c r="E1511" s="165">
        <v>5.33</v>
      </c>
      <c r="F1511" s="336">
        <v>5.31</v>
      </c>
      <c r="G1511" s="411">
        <f t="shared" si="169"/>
        <v>-2.0000000000000462E-2</v>
      </c>
      <c r="K1511" s="129"/>
      <c r="L1511" s="403">
        <f t="shared" si="170"/>
        <v>45309</v>
      </c>
      <c r="M1511" s="56" t="str">
        <f t="shared" si="171"/>
        <v>THU</v>
      </c>
      <c r="O1511" s="391">
        <f t="shared" si="174"/>
        <v>1</v>
      </c>
      <c r="P1511" s="392">
        <f t="shared" si="172"/>
        <v>1.0001475</v>
      </c>
    </row>
    <row r="1512" spans="2:18">
      <c r="B1512" s="41"/>
      <c r="C1512" s="403">
        <f t="shared" si="168"/>
        <v>45310</v>
      </c>
      <c r="D1512" s="56" t="str">
        <f>VLOOKUP(MOD(C1512,7),'CALENDAR INFO'!$G$5:$H$11,2)</f>
        <v>FRI</v>
      </c>
      <c r="E1512" s="165">
        <v>5.33</v>
      </c>
      <c r="F1512" s="336">
        <v>5.31</v>
      </c>
      <c r="G1512" s="411">
        <f t="shared" si="169"/>
        <v>-2.0000000000000462E-2</v>
      </c>
      <c r="K1512" s="129"/>
      <c r="L1512" s="403">
        <f t="shared" si="170"/>
        <v>45310</v>
      </c>
      <c r="M1512" s="56" t="str">
        <f t="shared" si="171"/>
        <v>FRI</v>
      </c>
      <c r="O1512" s="391">
        <f t="shared" si="174"/>
        <v>3</v>
      </c>
      <c r="P1512" s="392">
        <f t="shared" si="172"/>
        <v>1.0004424999999999</v>
      </c>
    </row>
    <row r="1513" spans="2:18">
      <c r="B1513" s="41"/>
      <c r="C1513" s="403">
        <f t="shared" si="168"/>
        <v>45311</v>
      </c>
      <c r="D1513" s="56" t="str">
        <f>VLOOKUP(MOD(C1513,7),'CALENDAR INFO'!$G$5:$H$11,2)</f>
        <v>SAT</v>
      </c>
      <c r="E1513" s="165">
        <v>5.33</v>
      </c>
      <c r="F1513" s="336">
        <v>5.31</v>
      </c>
      <c r="G1513" s="411">
        <f t="shared" si="169"/>
        <v>-2.0000000000000462E-2</v>
      </c>
      <c r="K1513" s="129"/>
      <c r="L1513" s="403">
        <f t="shared" si="170"/>
        <v>45311</v>
      </c>
      <c r="M1513" s="56" t="str">
        <f t="shared" si="171"/>
        <v>SAT</v>
      </c>
      <c r="O1513" s="391">
        <f t="shared" si="174"/>
        <v>0</v>
      </c>
      <c r="P1513" s="392">
        <f t="shared" si="172"/>
        <v>1</v>
      </c>
    </row>
    <row r="1514" spans="2:18">
      <c r="B1514" s="41"/>
      <c r="C1514" s="403">
        <f t="shared" si="168"/>
        <v>45312</v>
      </c>
      <c r="D1514" s="56" t="str">
        <f>VLOOKUP(MOD(C1514,7),'CALENDAR INFO'!$G$5:$H$11,2)</f>
        <v>SUN</v>
      </c>
      <c r="E1514" s="165">
        <v>5.33</v>
      </c>
      <c r="F1514" s="336">
        <v>5.31</v>
      </c>
      <c r="G1514" s="411">
        <f t="shared" si="169"/>
        <v>-2.0000000000000462E-2</v>
      </c>
      <c r="K1514" s="129"/>
      <c r="L1514" s="403">
        <f t="shared" si="170"/>
        <v>45312</v>
      </c>
      <c r="M1514" s="56" t="str">
        <f t="shared" si="171"/>
        <v>SUN</v>
      </c>
      <c r="O1514" s="391">
        <f t="shared" si="174"/>
        <v>0</v>
      </c>
      <c r="P1514" s="392">
        <f t="shared" si="172"/>
        <v>1</v>
      </c>
    </row>
    <row r="1515" spans="2:18">
      <c r="B1515" s="41"/>
      <c r="C1515" s="403">
        <f t="shared" si="168"/>
        <v>45313</v>
      </c>
      <c r="D1515" s="56" t="str">
        <f>VLOOKUP(MOD(C1515,7),'CALENDAR INFO'!$G$5:$H$11,2)</f>
        <v>MON</v>
      </c>
      <c r="E1515" s="165">
        <v>5.33</v>
      </c>
      <c r="F1515" s="336">
        <v>5.31</v>
      </c>
      <c r="G1515" s="411">
        <f t="shared" si="169"/>
        <v>-2.0000000000000462E-2</v>
      </c>
      <c r="K1515" s="129"/>
      <c r="L1515" s="403">
        <f t="shared" si="170"/>
        <v>45313</v>
      </c>
      <c r="M1515" s="56" t="str">
        <f t="shared" si="171"/>
        <v>MON</v>
      </c>
      <c r="O1515" s="391">
        <f t="shared" si="174"/>
        <v>1</v>
      </c>
      <c r="P1515" s="392">
        <f t="shared" si="172"/>
        <v>1.0001475</v>
      </c>
    </row>
    <row r="1516" spans="2:18">
      <c r="B1516" s="41"/>
      <c r="C1516" s="403">
        <f t="shared" si="168"/>
        <v>45314</v>
      </c>
      <c r="D1516" s="56" t="str">
        <f>VLOOKUP(MOD(C1516,7),'CALENDAR INFO'!$G$5:$H$11,2)</f>
        <v>TUE</v>
      </c>
      <c r="E1516" s="165">
        <v>5.33</v>
      </c>
      <c r="F1516" s="336">
        <v>5.31</v>
      </c>
      <c r="G1516" s="411">
        <f t="shared" si="169"/>
        <v>-2.0000000000000462E-2</v>
      </c>
      <c r="K1516" s="129"/>
      <c r="L1516" s="403">
        <f t="shared" si="170"/>
        <v>45314</v>
      </c>
      <c r="M1516" s="56" t="str">
        <f t="shared" si="171"/>
        <v>TUE</v>
      </c>
      <c r="O1516" s="391">
        <f t="shared" si="174"/>
        <v>1</v>
      </c>
      <c r="P1516" s="392">
        <f t="shared" si="172"/>
        <v>1.0001475</v>
      </c>
    </row>
    <row r="1517" spans="2:18">
      <c r="B1517" s="41"/>
      <c r="C1517" s="403">
        <f t="shared" si="168"/>
        <v>45315</v>
      </c>
      <c r="D1517" s="56" t="str">
        <f>VLOOKUP(MOD(C1517,7),'CALENDAR INFO'!$G$5:$H$11,2)</f>
        <v>WED</v>
      </c>
      <c r="E1517" s="165">
        <v>5.33</v>
      </c>
      <c r="F1517" s="336">
        <v>5.31</v>
      </c>
      <c r="G1517" s="411">
        <f t="shared" si="169"/>
        <v>-2.0000000000000462E-2</v>
      </c>
      <c r="K1517" s="129" t="s">
        <v>19</v>
      </c>
      <c r="L1517" s="403">
        <f t="shared" si="170"/>
        <v>45315</v>
      </c>
      <c r="M1517" s="56" t="str">
        <f t="shared" si="171"/>
        <v>WED</v>
      </c>
      <c r="O1517" s="391">
        <f t="shared" si="174"/>
        <v>1</v>
      </c>
      <c r="P1517" s="392">
        <f t="shared" si="172"/>
        <v>1.0001475</v>
      </c>
    </row>
    <row r="1518" spans="2:18">
      <c r="B1518" s="41"/>
      <c r="C1518" s="403">
        <f t="shared" si="168"/>
        <v>45316</v>
      </c>
      <c r="D1518" s="56" t="str">
        <f>VLOOKUP(MOD(C1518,7),'CALENDAR INFO'!$G$5:$H$11,2)</f>
        <v>THU</v>
      </c>
      <c r="E1518" s="165">
        <v>5.33</v>
      </c>
      <c r="F1518" s="336">
        <v>5.32</v>
      </c>
      <c r="G1518" s="411">
        <f t="shared" si="169"/>
        <v>-9.9999999999997868E-3</v>
      </c>
      <c r="K1518" s="126" t="s">
        <v>18</v>
      </c>
      <c r="L1518" s="403">
        <f t="shared" si="170"/>
        <v>45316</v>
      </c>
      <c r="M1518" s="56" t="str">
        <f t="shared" si="171"/>
        <v>THU</v>
      </c>
      <c r="O1518" s="391">
        <f t="shared" si="174"/>
        <v>1</v>
      </c>
      <c r="P1518" s="392">
        <f t="shared" si="172"/>
        <v>1.0001477777777779</v>
      </c>
    </row>
    <row r="1519" spans="2:18">
      <c r="B1519" s="41"/>
      <c r="C1519" s="403">
        <f t="shared" si="168"/>
        <v>45317</v>
      </c>
      <c r="D1519" s="56" t="str">
        <f>VLOOKUP(MOD(C1519,7),'CALENDAR INFO'!$G$5:$H$11,2)</f>
        <v>FRI</v>
      </c>
      <c r="E1519" s="165">
        <v>5.33</v>
      </c>
      <c r="F1519" s="336">
        <v>5.32</v>
      </c>
      <c r="G1519" s="411">
        <f t="shared" si="169"/>
        <v>-9.9999999999997868E-3</v>
      </c>
      <c r="K1519" s="126"/>
      <c r="L1519" s="403">
        <f t="shared" si="170"/>
        <v>45317</v>
      </c>
      <c r="M1519" s="56" t="str">
        <f t="shared" si="171"/>
        <v>FRI</v>
      </c>
      <c r="O1519" s="391">
        <f t="shared" si="174"/>
        <v>3</v>
      </c>
      <c r="P1519" s="392">
        <f t="shared" si="172"/>
        <v>1.0004433333333334</v>
      </c>
    </row>
    <row r="1520" spans="2:18">
      <c r="B1520" s="41"/>
      <c r="C1520" s="403">
        <f t="shared" si="168"/>
        <v>45318</v>
      </c>
      <c r="D1520" s="56" t="str">
        <f>VLOOKUP(MOD(C1520,7),'CALENDAR INFO'!$G$5:$H$11,2)</f>
        <v>SAT</v>
      </c>
      <c r="E1520" s="165">
        <v>5.33</v>
      </c>
      <c r="F1520" s="336">
        <v>5.32</v>
      </c>
      <c r="G1520" s="411">
        <f t="shared" si="169"/>
        <v>-9.9999999999997868E-3</v>
      </c>
      <c r="I1520" s="137"/>
      <c r="K1520" s="126"/>
      <c r="L1520" s="403">
        <f t="shared" si="170"/>
        <v>45318</v>
      </c>
      <c r="M1520" s="56" t="str">
        <f t="shared" si="171"/>
        <v>SAT</v>
      </c>
      <c r="O1520" s="391">
        <f t="shared" si="174"/>
        <v>0</v>
      </c>
      <c r="P1520" s="392">
        <f t="shared" si="172"/>
        <v>1</v>
      </c>
      <c r="R1520" s="221"/>
    </row>
    <row r="1521" spans="1:18">
      <c r="B1521" s="41"/>
      <c r="C1521" s="403">
        <f t="shared" si="168"/>
        <v>45319</v>
      </c>
      <c r="D1521" s="56" t="str">
        <f>VLOOKUP(MOD(C1521,7),'CALENDAR INFO'!$G$5:$H$11,2)</f>
        <v>SUN</v>
      </c>
      <c r="E1521" s="165">
        <v>5.33</v>
      </c>
      <c r="F1521" s="336">
        <v>5.32</v>
      </c>
      <c r="G1521" s="411">
        <f t="shared" si="169"/>
        <v>-9.9999999999997868E-3</v>
      </c>
      <c r="H1521" s="115"/>
      <c r="I1521" s="141"/>
      <c r="J1521" s="158"/>
      <c r="K1521" s="126"/>
      <c r="L1521" s="403">
        <f t="shared" si="170"/>
        <v>45319</v>
      </c>
      <c r="M1521" s="56" t="str">
        <f t="shared" si="171"/>
        <v>SUN</v>
      </c>
      <c r="O1521" s="391">
        <f t="shared" si="174"/>
        <v>0</v>
      </c>
      <c r="P1521" s="392">
        <f t="shared" si="172"/>
        <v>1</v>
      </c>
      <c r="R1521" s="222"/>
    </row>
    <row r="1522" spans="1:18">
      <c r="B1522" s="41"/>
      <c r="C1522" s="403">
        <f t="shared" si="168"/>
        <v>45320</v>
      </c>
      <c r="D1522" s="56" t="str">
        <f>VLOOKUP(MOD(C1522,7),'CALENDAR INFO'!$G$5:$H$11,2)</f>
        <v>MON</v>
      </c>
      <c r="E1522" s="165">
        <v>5.33</v>
      </c>
      <c r="F1522" s="336">
        <v>5.31</v>
      </c>
      <c r="G1522" s="411">
        <f t="shared" si="169"/>
        <v>-2.0000000000000462E-2</v>
      </c>
      <c r="H1522" s="115"/>
      <c r="I1522" s="148"/>
      <c r="J1522" s="160"/>
      <c r="K1522" s="126"/>
      <c r="L1522" s="403">
        <f t="shared" si="170"/>
        <v>45320</v>
      </c>
      <c r="M1522" s="56" t="str">
        <f t="shared" si="171"/>
        <v>MON</v>
      </c>
      <c r="O1522" s="391">
        <f t="shared" si="174"/>
        <v>1</v>
      </c>
      <c r="P1522" s="392">
        <f t="shared" si="172"/>
        <v>1.0001475</v>
      </c>
      <c r="R1522" s="222"/>
    </row>
    <row r="1523" spans="1:18">
      <c r="B1523" s="41"/>
      <c r="C1523" s="403">
        <f t="shared" si="168"/>
        <v>45321</v>
      </c>
      <c r="D1523" s="56" t="str">
        <f>VLOOKUP(MOD(C1523,7),'CALENDAR INFO'!$G$5:$H$11,2)</f>
        <v>TUE</v>
      </c>
      <c r="E1523" s="165">
        <v>5.33</v>
      </c>
      <c r="F1523" s="336">
        <v>5.31</v>
      </c>
      <c r="G1523" s="411">
        <f t="shared" si="169"/>
        <v>-2.0000000000000462E-2</v>
      </c>
      <c r="H1523" s="115"/>
      <c r="I1523" s="141"/>
      <c r="J1523" s="158"/>
      <c r="K1523" s="126"/>
      <c r="L1523" s="403">
        <f t="shared" si="170"/>
        <v>45321</v>
      </c>
      <c r="M1523" s="56" t="str">
        <f t="shared" si="171"/>
        <v>TUE</v>
      </c>
      <c r="N1523" s="191" t="s">
        <v>20</v>
      </c>
      <c r="O1523" s="391">
        <f t="shared" si="174"/>
        <v>1</v>
      </c>
      <c r="P1523" s="392">
        <f t="shared" si="172"/>
        <v>1.0001475</v>
      </c>
    </row>
    <row r="1524" spans="1:18" ht="15.75" thickBot="1">
      <c r="A1524" s="81"/>
      <c r="B1524" s="178"/>
      <c r="C1524" s="404">
        <f t="shared" si="168"/>
        <v>45322</v>
      </c>
      <c r="D1524" s="64" t="str">
        <f>VLOOKUP(MOD(C1524,7),'CALENDAR INFO'!$G$5:$H$11,2)</f>
        <v>WED</v>
      </c>
      <c r="E1524" s="166">
        <v>5.33</v>
      </c>
      <c r="F1524" s="337">
        <v>5.32</v>
      </c>
      <c r="G1524" s="412">
        <f t="shared" si="169"/>
        <v>-9.9999999999997868E-3</v>
      </c>
      <c r="H1524" s="345"/>
      <c r="I1524" s="149"/>
      <c r="J1524" s="161"/>
      <c r="K1524" s="77"/>
      <c r="L1524" s="404">
        <f t="shared" si="170"/>
        <v>45322</v>
      </c>
      <c r="M1524" s="64" t="str">
        <f t="shared" si="171"/>
        <v>WED</v>
      </c>
      <c r="N1524" s="192" t="s">
        <v>20</v>
      </c>
      <c r="O1524" s="383">
        <f t="shared" si="174"/>
        <v>1</v>
      </c>
      <c r="P1524" s="388">
        <f t="shared" si="172"/>
        <v>1.0001477777777779</v>
      </c>
    </row>
    <row r="1525" spans="1:18">
      <c r="A1525" s="238"/>
      <c r="B1525" s="239"/>
      <c r="C1525" s="403">
        <f t="shared" ref="C1525:C1588" si="175">C1524+1</f>
        <v>45323</v>
      </c>
      <c r="D1525" s="56" t="str">
        <f>VLOOKUP(MOD(C1525,7),'CALENDAR INFO'!$G$5:$H$11,2)</f>
        <v>THU</v>
      </c>
      <c r="E1525" s="165">
        <v>5.33</v>
      </c>
      <c r="F1525" s="336">
        <v>5.32</v>
      </c>
      <c r="G1525" s="411">
        <f t="shared" si="169"/>
        <v>-9.9999999999997868E-3</v>
      </c>
      <c r="H1525" s="15" t="s">
        <v>149</v>
      </c>
      <c r="I1525" s="15">
        <f>ROW(I1525)</f>
        <v>1525</v>
      </c>
      <c r="J1525" s="138">
        <f>I1525</f>
        <v>1525</v>
      </c>
      <c r="K1525" s="126"/>
      <c r="L1525" s="403">
        <f t="shared" si="170"/>
        <v>45323</v>
      </c>
      <c r="M1525" s="56" t="str">
        <f t="shared" si="171"/>
        <v>THU</v>
      </c>
      <c r="O1525" s="386">
        <f t="shared" si="174"/>
        <v>1</v>
      </c>
      <c r="P1525" s="390">
        <f t="shared" si="172"/>
        <v>1.0001477777777779</v>
      </c>
    </row>
    <row r="1526" spans="1:18">
      <c r="B1526" s="41"/>
      <c r="C1526" s="403">
        <f t="shared" si="175"/>
        <v>45324</v>
      </c>
      <c r="D1526" s="56" t="str">
        <f>VLOOKUP(MOD(C1526,7),'CALENDAR INFO'!$G$5:$H$11,2)</f>
        <v>FRI</v>
      </c>
      <c r="E1526" s="165">
        <v>5.33</v>
      </c>
      <c r="F1526" s="336">
        <v>5.32</v>
      </c>
      <c r="G1526" s="411">
        <f t="shared" si="169"/>
        <v>-9.9999999999997868E-3</v>
      </c>
      <c r="H1526" s="376" t="s">
        <v>210</v>
      </c>
      <c r="I1526" s="439">
        <f>VLOOKUP(MONTH($C1525),'CALENDAR INFO'!$J$5:$K$16,2)+1</f>
        <v>29</v>
      </c>
      <c r="J1526" s="138">
        <f>I1526</f>
        <v>29</v>
      </c>
      <c r="K1526" s="126"/>
      <c r="L1526" s="403">
        <f t="shared" si="170"/>
        <v>45324</v>
      </c>
      <c r="M1526" s="56" t="str">
        <f t="shared" si="171"/>
        <v>FRI</v>
      </c>
      <c r="O1526" s="391">
        <f t="shared" si="174"/>
        <v>3</v>
      </c>
      <c r="P1526" s="392">
        <f t="shared" si="172"/>
        <v>1.0004433333333334</v>
      </c>
    </row>
    <row r="1527" spans="1:18">
      <c r="B1527" s="41"/>
      <c r="C1527" s="403">
        <f t="shared" si="175"/>
        <v>45325</v>
      </c>
      <c r="D1527" s="56" t="str">
        <f>VLOOKUP(MOD(C1527,7),'CALENDAR INFO'!$G$5:$H$11,2)</f>
        <v>SAT</v>
      </c>
      <c r="E1527" s="165">
        <v>5.33</v>
      </c>
      <c r="F1527" s="336">
        <v>5.32</v>
      </c>
      <c r="G1527" s="411">
        <f t="shared" si="169"/>
        <v>-9.9999999999997868E-3</v>
      </c>
      <c r="H1527" s="376" t="s">
        <v>211</v>
      </c>
      <c r="I1527" s="15">
        <f>I1526+I1525-1</f>
        <v>1553</v>
      </c>
      <c r="J1527" s="138">
        <f>I1527</f>
        <v>1553</v>
      </c>
      <c r="K1527" s="126"/>
      <c r="L1527" s="403">
        <f t="shared" si="170"/>
        <v>45325</v>
      </c>
      <c r="M1527" s="56" t="str">
        <f t="shared" si="171"/>
        <v>SAT</v>
      </c>
      <c r="O1527" s="391">
        <f t="shared" si="174"/>
        <v>0</v>
      </c>
      <c r="P1527" s="392">
        <f t="shared" si="172"/>
        <v>1</v>
      </c>
    </row>
    <row r="1528" spans="1:18">
      <c r="B1528" s="41"/>
      <c r="C1528" s="403">
        <f t="shared" si="175"/>
        <v>45326</v>
      </c>
      <c r="D1528" s="56" t="str">
        <f>VLOOKUP(MOD(C1528,7),'CALENDAR INFO'!$G$5:$H$11,2)</f>
        <v>SUN</v>
      </c>
      <c r="E1528" s="165">
        <v>5.33</v>
      </c>
      <c r="F1528" s="336">
        <v>5.32</v>
      </c>
      <c r="G1528" s="411">
        <f t="shared" si="169"/>
        <v>-9.9999999999997868E-3</v>
      </c>
      <c r="K1528" s="126"/>
      <c r="L1528" s="403">
        <f t="shared" si="170"/>
        <v>45326</v>
      </c>
      <c r="M1528" s="56" t="str">
        <f t="shared" si="171"/>
        <v>SUN</v>
      </c>
      <c r="O1528" s="391">
        <f t="shared" si="174"/>
        <v>0</v>
      </c>
      <c r="P1528" s="392">
        <f t="shared" si="172"/>
        <v>1</v>
      </c>
    </row>
    <row r="1529" spans="1:18">
      <c r="B1529" s="41"/>
      <c r="C1529" s="403">
        <f t="shared" si="175"/>
        <v>45327</v>
      </c>
      <c r="D1529" s="56" t="str">
        <f>VLOOKUP(MOD(C1529,7),'CALENDAR INFO'!$G$5:$H$11,2)</f>
        <v>MON</v>
      </c>
      <c r="E1529" s="165">
        <v>5.33</v>
      </c>
      <c r="F1529" s="336">
        <v>5.31</v>
      </c>
      <c r="G1529" s="411">
        <f t="shared" si="169"/>
        <v>-2.0000000000000462E-2</v>
      </c>
      <c r="H1529" s="15" t="s">
        <v>150</v>
      </c>
      <c r="I1529" s="137" t="str">
        <f>_xlfn.CONCAT(ADDRESS(I1525,5),":",ADDRESS(I1527,5))</f>
        <v>$E$1525:$E$1553</v>
      </c>
      <c r="J1529" s="150" t="str">
        <f>_xlfn.CONCAT(ADDRESS(J1525,6),":",ADDRESS(J1527,6))</f>
        <v>$F$1525:$F$1553</v>
      </c>
      <c r="K1529" s="126"/>
      <c r="L1529" s="403">
        <f t="shared" si="170"/>
        <v>45327</v>
      </c>
      <c r="M1529" s="56" t="str">
        <f t="shared" si="171"/>
        <v>MON</v>
      </c>
      <c r="O1529" s="391">
        <f t="shared" si="174"/>
        <v>1</v>
      </c>
      <c r="P1529" s="392">
        <f t="shared" si="172"/>
        <v>1.0001475</v>
      </c>
    </row>
    <row r="1530" spans="1:18">
      <c r="B1530" s="41"/>
      <c r="C1530" s="403">
        <f t="shared" si="175"/>
        <v>45328</v>
      </c>
      <c r="D1530" s="56" t="str">
        <f>VLOOKUP(MOD(C1530,7),'CALENDAR INFO'!$G$5:$H$11,2)</f>
        <v>TUE</v>
      </c>
      <c r="E1530" s="165">
        <v>5.33</v>
      </c>
      <c r="F1530" s="336">
        <v>5.31</v>
      </c>
      <c r="G1530" s="411">
        <f t="shared" si="169"/>
        <v>-2.0000000000000462E-2</v>
      </c>
      <c r="K1530" s="126"/>
      <c r="L1530" s="403">
        <f t="shared" si="170"/>
        <v>45328</v>
      </c>
      <c r="M1530" s="56" t="str">
        <f t="shared" si="171"/>
        <v>TUE</v>
      </c>
      <c r="O1530" s="391">
        <f t="shared" si="174"/>
        <v>1</v>
      </c>
      <c r="P1530" s="392">
        <f t="shared" si="172"/>
        <v>1.0001475</v>
      </c>
    </row>
    <row r="1531" spans="1:18">
      <c r="B1531" s="41"/>
      <c r="C1531" s="403">
        <f t="shared" si="175"/>
        <v>45329</v>
      </c>
      <c r="D1531" s="56" t="str">
        <f>VLOOKUP(MOD(C1531,7),'CALENDAR INFO'!$G$5:$H$11,2)</f>
        <v>WED</v>
      </c>
      <c r="E1531" s="165">
        <v>5.33</v>
      </c>
      <c r="F1531" s="336">
        <v>5.31</v>
      </c>
      <c r="G1531" s="411">
        <f t="shared" si="169"/>
        <v>-2.0000000000000462E-2</v>
      </c>
      <c r="H1531" s="376" t="s">
        <v>221</v>
      </c>
      <c r="I1531" s="147">
        <f ca="1">AVERAGE(INDIRECT(I1529))</f>
        <v>5.330000000000001</v>
      </c>
      <c r="J1531" s="326">
        <f ca="1">AVERAGE(INDIRECT(J1529))</f>
        <v>5.3086206896551724</v>
      </c>
      <c r="K1531" s="126" t="s">
        <v>19</v>
      </c>
      <c r="L1531" s="403">
        <f t="shared" si="170"/>
        <v>45329</v>
      </c>
      <c r="M1531" s="56" t="str">
        <f t="shared" si="171"/>
        <v>WED</v>
      </c>
      <c r="O1531" s="391">
        <f t="shared" si="174"/>
        <v>1</v>
      </c>
      <c r="P1531" s="392">
        <f t="shared" si="172"/>
        <v>1.0001475</v>
      </c>
    </row>
    <row r="1532" spans="1:18">
      <c r="B1532" s="41"/>
      <c r="C1532" s="403">
        <f t="shared" si="175"/>
        <v>45330</v>
      </c>
      <c r="D1532" s="56" t="str">
        <f>VLOOKUP(MOD(C1532,7),'CALENDAR INFO'!$G$5:$H$11,2)</f>
        <v>THU</v>
      </c>
      <c r="E1532" s="165">
        <v>5.33</v>
      </c>
      <c r="F1532" s="336">
        <v>5.31</v>
      </c>
      <c r="G1532" s="411">
        <f t="shared" si="169"/>
        <v>-2.0000000000000462E-2</v>
      </c>
      <c r="I1532" s="240"/>
      <c r="J1532" s="157"/>
      <c r="K1532" s="129" t="s">
        <v>18</v>
      </c>
      <c r="L1532" s="403">
        <f t="shared" si="170"/>
        <v>45330</v>
      </c>
      <c r="M1532" s="56" t="str">
        <f t="shared" si="171"/>
        <v>THU</v>
      </c>
      <c r="O1532" s="391">
        <f t="shared" si="174"/>
        <v>1</v>
      </c>
      <c r="P1532" s="392">
        <f t="shared" si="172"/>
        <v>1.0001475</v>
      </c>
    </row>
    <row r="1533" spans="1:18">
      <c r="B1533" s="41"/>
      <c r="C1533" s="403">
        <f t="shared" si="175"/>
        <v>45331</v>
      </c>
      <c r="D1533" s="56" t="str">
        <f>VLOOKUP(MOD(C1533,7),'CALENDAR INFO'!$G$5:$H$11,2)</f>
        <v>FRI</v>
      </c>
      <c r="E1533" s="165">
        <v>5.33</v>
      </c>
      <c r="F1533" s="336">
        <v>5.31</v>
      </c>
      <c r="G1533" s="411">
        <f t="shared" si="169"/>
        <v>-2.0000000000000462E-2</v>
      </c>
      <c r="H1533" s="15" t="s">
        <v>222</v>
      </c>
      <c r="I1533" s="147">
        <f ca="1">100-I1531</f>
        <v>94.67</v>
      </c>
      <c r="J1533" s="326">
        <f ca="1">100-J1531</f>
        <v>94.691379310344828</v>
      </c>
      <c r="K1533" s="129"/>
      <c r="L1533" s="403">
        <f t="shared" si="170"/>
        <v>45331</v>
      </c>
      <c r="M1533" s="56" t="str">
        <f t="shared" si="171"/>
        <v>FRI</v>
      </c>
      <c r="O1533" s="391">
        <f t="shared" si="174"/>
        <v>3</v>
      </c>
      <c r="P1533" s="392">
        <f t="shared" si="172"/>
        <v>1.0004424999999999</v>
      </c>
    </row>
    <row r="1534" spans="1:18">
      <c r="B1534" s="41"/>
      <c r="C1534" s="403">
        <f t="shared" si="175"/>
        <v>45332</v>
      </c>
      <c r="D1534" s="56" t="str">
        <f>VLOOKUP(MOD(C1534,7),'CALENDAR INFO'!$G$5:$H$11,2)</f>
        <v>SAT</v>
      </c>
      <c r="E1534" s="165">
        <v>5.33</v>
      </c>
      <c r="F1534" s="336">
        <v>5.31</v>
      </c>
      <c r="G1534" s="411">
        <f t="shared" si="169"/>
        <v>-2.0000000000000462E-2</v>
      </c>
      <c r="I1534" s="137"/>
      <c r="J1534" s="150"/>
      <c r="K1534" s="129"/>
      <c r="L1534" s="403">
        <f t="shared" si="170"/>
        <v>45332</v>
      </c>
      <c r="M1534" s="56" t="str">
        <f t="shared" si="171"/>
        <v>SAT</v>
      </c>
      <c r="O1534" s="391">
        <f t="shared" si="174"/>
        <v>0</v>
      </c>
      <c r="P1534" s="392">
        <f t="shared" si="172"/>
        <v>1</v>
      </c>
    </row>
    <row r="1535" spans="1:18">
      <c r="B1535" s="41"/>
      <c r="C1535" s="403">
        <f t="shared" si="175"/>
        <v>45333</v>
      </c>
      <c r="D1535" s="56" t="str">
        <f>VLOOKUP(MOD(C1535,7),'CALENDAR INFO'!$G$5:$H$11,2)</f>
        <v>SUN</v>
      </c>
      <c r="E1535" s="165">
        <v>5.33</v>
      </c>
      <c r="F1535" s="336">
        <v>5.31</v>
      </c>
      <c r="G1535" s="411">
        <f t="shared" si="169"/>
        <v>-2.0000000000000462E-2</v>
      </c>
      <c r="I1535" s="137"/>
      <c r="J1535" s="150"/>
      <c r="K1535" s="129"/>
      <c r="L1535" s="403">
        <f t="shared" si="170"/>
        <v>45333</v>
      </c>
      <c r="M1535" s="56" t="str">
        <f t="shared" si="171"/>
        <v>SUN</v>
      </c>
      <c r="O1535" s="391">
        <f t="shared" si="174"/>
        <v>0</v>
      </c>
      <c r="P1535" s="392">
        <f t="shared" si="172"/>
        <v>1</v>
      </c>
    </row>
    <row r="1536" spans="1:18">
      <c r="B1536" s="41"/>
      <c r="C1536" s="403">
        <f t="shared" si="175"/>
        <v>45334</v>
      </c>
      <c r="D1536" s="56" t="str">
        <f>VLOOKUP(MOD(C1536,7),'CALENDAR INFO'!$G$5:$H$11,2)</f>
        <v>MON</v>
      </c>
      <c r="E1536" s="165">
        <v>5.33</v>
      </c>
      <c r="F1536" s="336">
        <v>5.31</v>
      </c>
      <c r="G1536" s="411">
        <f t="shared" si="169"/>
        <v>-2.0000000000000462E-2</v>
      </c>
      <c r="I1536" s="137"/>
      <c r="J1536" s="150"/>
      <c r="K1536" s="129"/>
      <c r="L1536" s="403">
        <f t="shared" si="170"/>
        <v>45334</v>
      </c>
      <c r="M1536" s="56" t="str">
        <f t="shared" si="171"/>
        <v>MON</v>
      </c>
      <c r="O1536" s="391">
        <f t="shared" si="174"/>
        <v>1</v>
      </c>
      <c r="P1536" s="392">
        <f t="shared" si="172"/>
        <v>1.0001475</v>
      </c>
    </row>
    <row r="1537" spans="2:30">
      <c r="B1537" s="41"/>
      <c r="C1537" s="403">
        <f t="shared" si="175"/>
        <v>45335</v>
      </c>
      <c r="D1537" s="56" t="str">
        <f>VLOOKUP(MOD(C1537,7),'CALENDAR INFO'!$G$5:$H$11,2)</f>
        <v>TUE</v>
      </c>
      <c r="E1537" s="165">
        <v>5.33</v>
      </c>
      <c r="F1537" s="336">
        <v>5.31</v>
      </c>
      <c r="G1537" s="411">
        <f t="shared" si="169"/>
        <v>-2.0000000000000462E-2</v>
      </c>
      <c r="H1537" s="136"/>
      <c r="I1537" s="139"/>
      <c r="J1537" s="151"/>
      <c r="K1537" s="129"/>
      <c r="L1537" s="403">
        <f t="shared" si="170"/>
        <v>45335</v>
      </c>
      <c r="M1537" s="56" t="str">
        <f t="shared" si="171"/>
        <v>TUE</v>
      </c>
      <c r="O1537" s="391">
        <f t="shared" si="174"/>
        <v>1</v>
      </c>
      <c r="P1537" s="392">
        <f t="shared" si="172"/>
        <v>1.0001475</v>
      </c>
    </row>
    <row r="1538" spans="2:30">
      <c r="B1538" s="41"/>
      <c r="C1538" s="403">
        <f t="shared" si="175"/>
        <v>45336</v>
      </c>
      <c r="D1538" s="56" t="str">
        <f>VLOOKUP(MOD(C1538,7),'CALENDAR INFO'!$G$5:$H$11,2)</f>
        <v>WED</v>
      </c>
      <c r="E1538" s="165">
        <v>5.33</v>
      </c>
      <c r="F1538" s="336">
        <v>5.3</v>
      </c>
      <c r="G1538" s="411">
        <f t="shared" si="169"/>
        <v>-3.0000000000000249E-2</v>
      </c>
      <c r="K1538" s="129"/>
      <c r="L1538" s="403">
        <f t="shared" si="170"/>
        <v>45336</v>
      </c>
      <c r="M1538" s="56" t="str">
        <f t="shared" si="171"/>
        <v>WED</v>
      </c>
      <c r="O1538" s="391">
        <f t="shared" si="174"/>
        <v>1</v>
      </c>
      <c r="P1538" s="392">
        <f t="shared" si="172"/>
        <v>1.0001472222222223</v>
      </c>
      <c r="X1538" s="101"/>
    </row>
    <row r="1539" spans="2:30">
      <c r="B1539" s="41"/>
      <c r="C1539" s="403">
        <f t="shared" si="175"/>
        <v>45337</v>
      </c>
      <c r="D1539" s="56" t="str">
        <f>VLOOKUP(MOD(C1539,7),'CALENDAR INFO'!$G$5:$H$11,2)</f>
        <v>THU</v>
      </c>
      <c r="E1539" s="165">
        <v>5.33</v>
      </c>
      <c r="F1539" s="336">
        <v>5.31</v>
      </c>
      <c r="G1539" s="411">
        <f t="shared" ref="G1539:G1602" si="176">F1539-E1539</f>
        <v>-2.0000000000000462E-2</v>
      </c>
      <c r="H1539" s="135"/>
      <c r="I1539" s="144"/>
      <c r="J1539" s="152"/>
      <c r="K1539" s="129"/>
      <c r="L1539" s="403">
        <f t="shared" ref="L1539:L1602" si="177">C1539</f>
        <v>45337</v>
      </c>
      <c r="M1539" s="56" t="str">
        <f t="shared" ref="M1539:M1602" si="178">D1539</f>
        <v>THU</v>
      </c>
      <c r="O1539" s="391">
        <f t="shared" si="174"/>
        <v>1</v>
      </c>
      <c r="P1539" s="392">
        <f t="shared" si="172"/>
        <v>1.0001475</v>
      </c>
      <c r="X1539" s="101"/>
    </row>
    <row r="1540" spans="2:30">
      <c r="B1540" s="41"/>
      <c r="C1540" s="403">
        <f t="shared" si="175"/>
        <v>45338</v>
      </c>
      <c r="D1540" s="56" t="str">
        <f>VLOOKUP(MOD(C1540,7),'CALENDAR INFO'!$G$5:$H$11,2)</f>
        <v>FRI</v>
      </c>
      <c r="E1540" s="165">
        <v>5.33</v>
      </c>
      <c r="F1540" s="336">
        <v>5.3</v>
      </c>
      <c r="G1540" s="411">
        <f t="shared" si="176"/>
        <v>-3.0000000000000249E-2</v>
      </c>
      <c r="K1540" s="129"/>
      <c r="L1540" s="403">
        <f t="shared" si="177"/>
        <v>45338</v>
      </c>
      <c r="M1540" s="56" t="str">
        <f t="shared" si="178"/>
        <v>FRI</v>
      </c>
      <c r="O1540" s="384">
        <v>4</v>
      </c>
      <c r="P1540" s="392">
        <f t="shared" si="172"/>
        <v>1.000588888888889</v>
      </c>
      <c r="X1540" s="101"/>
    </row>
    <row r="1541" spans="2:30">
      <c r="B1541" s="41"/>
      <c r="C1541" s="403">
        <f t="shared" si="175"/>
        <v>45339</v>
      </c>
      <c r="D1541" s="56" t="str">
        <f>VLOOKUP(MOD(C1541,7),'CALENDAR INFO'!$G$5:$H$11,2)</f>
        <v>SAT</v>
      </c>
      <c r="E1541" s="165">
        <v>5.33</v>
      </c>
      <c r="F1541" s="336">
        <v>5.3</v>
      </c>
      <c r="G1541" s="411">
        <f t="shared" si="176"/>
        <v>-3.0000000000000249E-2</v>
      </c>
      <c r="K1541" s="129"/>
      <c r="L1541" s="403">
        <f t="shared" si="177"/>
        <v>45339</v>
      </c>
      <c r="M1541" s="56" t="str">
        <f t="shared" si="178"/>
        <v>SAT</v>
      </c>
      <c r="O1541" s="391">
        <f>IF(MOD(C1541,7)&lt;2,0,IF(MOD(C1541,7)=6,3,1))</f>
        <v>0</v>
      </c>
      <c r="P1541" s="392">
        <f t="shared" si="172"/>
        <v>1</v>
      </c>
      <c r="X1541" s="101"/>
    </row>
    <row r="1542" spans="2:30">
      <c r="B1542" s="41"/>
      <c r="C1542" s="403">
        <f t="shared" si="175"/>
        <v>45340</v>
      </c>
      <c r="D1542" s="56" t="str">
        <f>VLOOKUP(MOD(C1542,7),'CALENDAR INFO'!$G$5:$H$11,2)</f>
        <v>SUN</v>
      </c>
      <c r="E1542" s="165">
        <v>5.33</v>
      </c>
      <c r="F1542" s="336">
        <v>5.3</v>
      </c>
      <c r="G1542" s="411">
        <f t="shared" si="176"/>
        <v>-3.0000000000000249E-2</v>
      </c>
      <c r="K1542" s="129"/>
      <c r="L1542" s="403">
        <f t="shared" si="177"/>
        <v>45340</v>
      </c>
      <c r="M1542" s="56" t="str">
        <f t="shared" si="178"/>
        <v>SUN</v>
      </c>
      <c r="O1542" s="391">
        <f>IF(MOD(C1542,7)&lt;2,0,IF(MOD(C1542,7)=6,3,1))</f>
        <v>0</v>
      </c>
      <c r="P1542" s="392">
        <f t="shared" si="172"/>
        <v>1</v>
      </c>
      <c r="X1542" s="101"/>
    </row>
    <row r="1543" spans="2:30">
      <c r="B1543" s="41"/>
      <c r="C1543" s="403">
        <f t="shared" si="175"/>
        <v>45341</v>
      </c>
      <c r="D1543" s="56" t="str">
        <f>VLOOKUP(MOD(C1543,7),'CALENDAR INFO'!$G$5:$H$11,2)</f>
        <v>MON</v>
      </c>
      <c r="E1543" s="165">
        <v>5.33</v>
      </c>
      <c r="F1543" s="336">
        <v>5.3</v>
      </c>
      <c r="G1543" s="411">
        <f t="shared" si="176"/>
        <v>-3.0000000000000249E-2</v>
      </c>
      <c r="K1543" s="129"/>
      <c r="L1543" s="403">
        <f t="shared" si="177"/>
        <v>45341</v>
      </c>
      <c r="M1543" s="56" t="str">
        <f t="shared" si="178"/>
        <v>MON</v>
      </c>
      <c r="N1543" s="132" t="s">
        <v>39</v>
      </c>
      <c r="O1543" s="384">
        <v>0</v>
      </c>
      <c r="P1543" s="392">
        <f t="shared" si="172"/>
        <v>1</v>
      </c>
      <c r="X1543" s="101"/>
    </row>
    <row r="1544" spans="2:30">
      <c r="B1544" s="41"/>
      <c r="C1544" s="403">
        <f t="shared" si="175"/>
        <v>45342</v>
      </c>
      <c r="D1544" s="56" t="str">
        <f>VLOOKUP(MOD(C1544,7),'CALENDAR INFO'!$G$5:$H$11,2)</f>
        <v>TUE</v>
      </c>
      <c r="E1544" s="165">
        <v>5.33</v>
      </c>
      <c r="F1544" s="336">
        <v>5.3</v>
      </c>
      <c r="G1544" s="411">
        <f t="shared" si="176"/>
        <v>-3.0000000000000249E-2</v>
      </c>
      <c r="K1544" s="129"/>
      <c r="L1544" s="403">
        <f t="shared" si="177"/>
        <v>45342</v>
      </c>
      <c r="M1544" s="56" t="str">
        <f t="shared" si="178"/>
        <v>TUE</v>
      </c>
      <c r="O1544" s="391">
        <f t="shared" ref="O1544:O1580" si="179">IF(MOD(C1544,7)&lt;2,0,IF(MOD(C1544,7)=6,3,1))</f>
        <v>1</v>
      </c>
      <c r="P1544" s="392">
        <f t="shared" si="172"/>
        <v>1.0001472222222223</v>
      </c>
      <c r="X1544" s="101"/>
    </row>
    <row r="1545" spans="2:30">
      <c r="B1545" s="41"/>
      <c r="C1545" s="403">
        <f t="shared" si="175"/>
        <v>45343</v>
      </c>
      <c r="D1545" s="56" t="str">
        <f>VLOOKUP(MOD(C1545,7),'CALENDAR INFO'!$G$5:$H$11,2)</f>
        <v>WED</v>
      </c>
      <c r="E1545" s="165">
        <v>5.33</v>
      </c>
      <c r="F1545" s="336">
        <v>5.3</v>
      </c>
      <c r="G1545" s="411">
        <f t="shared" si="176"/>
        <v>-3.0000000000000249E-2</v>
      </c>
      <c r="K1545" s="129" t="s">
        <v>19</v>
      </c>
      <c r="L1545" s="403">
        <f t="shared" si="177"/>
        <v>45343</v>
      </c>
      <c r="M1545" s="56" t="str">
        <f t="shared" si="178"/>
        <v>WED</v>
      </c>
      <c r="O1545" s="391">
        <f t="shared" si="179"/>
        <v>1</v>
      </c>
      <c r="P1545" s="392">
        <f t="shared" si="172"/>
        <v>1.0001472222222223</v>
      </c>
      <c r="X1545" s="101"/>
    </row>
    <row r="1546" spans="2:30">
      <c r="B1546" s="41"/>
      <c r="C1546" s="403">
        <f t="shared" si="175"/>
        <v>45344</v>
      </c>
      <c r="D1546" s="56" t="str">
        <f>VLOOKUP(MOD(C1546,7),'CALENDAR INFO'!$G$5:$H$11,2)</f>
        <v>THU</v>
      </c>
      <c r="E1546" s="165">
        <v>5.33</v>
      </c>
      <c r="F1546" s="336">
        <v>5.3</v>
      </c>
      <c r="G1546" s="411">
        <f t="shared" si="176"/>
        <v>-3.0000000000000249E-2</v>
      </c>
      <c r="K1546" s="126" t="s">
        <v>18</v>
      </c>
      <c r="L1546" s="403">
        <f t="shared" si="177"/>
        <v>45344</v>
      </c>
      <c r="M1546" s="56" t="str">
        <f t="shared" si="178"/>
        <v>THU</v>
      </c>
      <c r="O1546" s="391">
        <f t="shared" si="179"/>
        <v>1</v>
      </c>
      <c r="P1546" s="392">
        <f t="shared" si="172"/>
        <v>1.0001472222222223</v>
      </c>
      <c r="X1546" s="101"/>
    </row>
    <row r="1547" spans="2:30">
      <c r="B1547" s="41"/>
      <c r="C1547" s="403">
        <f t="shared" si="175"/>
        <v>45345</v>
      </c>
      <c r="D1547" s="56" t="str">
        <f>VLOOKUP(MOD(C1547,7),'CALENDAR INFO'!$G$5:$H$11,2)</f>
        <v>FRI</v>
      </c>
      <c r="E1547" s="165">
        <v>5.33</v>
      </c>
      <c r="F1547" s="336">
        <v>5.31</v>
      </c>
      <c r="G1547" s="411">
        <f t="shared" si="176"/>
        <v>-2.0000000000000462E-2</v>
      </c>
      <c r="K1547" s="126"/>
      <c r="L1547" s="403">
        <f t="shared" si="177"/>
        <v>45345</v>
      </c>
      <c r="M1547" s="56" t="str">
        <f t="shared" si="178"/>
        <v>FRI</v>
      </c>
      <c r="O1547" s="391">
        <f t="shared" si="179"/>
        <v>3</v>
      </c>
      <c r="P1547" s="392">
        <f t="shared" si="172"/>
        <v>1.0004424999999999</v>
      </c>
      <c r="X1547" s="101"/>
    </row>
    <row r="1548" spans="2:30">
      <c r="B1548" s="41"/>
      <c r="C1548" s="403">
        <f t="shared" si="175"/>
        <v>45346</v>
      </c>
      <c r="D1548" s="56" t="str">
        <f>VLOOKUP(MOD(C1548,7),'CALENDAR INFO'!$G$5:$H$11,2)</f>
        <v>SAT</v>
      </c>
      <c r="E1548" s="165">
        <v>5.33</v>
      </c>
      <c r="F1548" s="336">
        <v>5.31</v>
      </c>
      <c r="G1548" s="411">
        <f t="shared" si="176"/>
        <v>-2.0000000000000462E-2</v>
      </c>
      <c r="K1548" s="126"/>
      <c r="L1548" s="403">
        <f t="shared" si="177"/>
        <v>45346</v>
      </c>
      <c r="M1548" s="56" t="str">
        <f t="shared" si="178"/>
        <v>SAT</v>
      </c>
      <c r="O1548" s="391">
        <f t="shared" si="179"/>
        <v>0</v>
      </c>
      <c r="P1548" s="392">
        <f t="shared" si="172"/>
        <v>1</v>
      </c>
      <c r="R1548" s="221"/>
      <c r="X1548" s="101"/>
    </row>
    <row r="1549" spans="2:30">
      <c r="B1549" s="41"/>
      <c r="C1549" s="403">
        <f t="shared" si="175"/>
        <v>45347</v>
      </c>
      <c r="D1549" s="56" t="str">
        <f>VLOOKUP(MOD(C1549,7),'CALENDAR INFO'!$G$5:$H$11,2)</f>
        <v>SUN</v>
      </c>
      <c r="E1549" s="165">
        <v>5.33</v>
      </c>
      <c r="F1549" s="336">
        <v>5.31</v>
      </c>
      <c r="G1549" s="411">
        <f t="shared" si="176"/>
        <v>-2.0000000000000462E-2</v>
      </c>
      <c r="K1549" s="126"/>
      <c r="L1549" s="403">
        <f t="shared" si="177"/>
        <v>45347</v>
      </c>
      <c r="M1549" s="56" t="str">
        <f t="shared" si="178"/>
        <v>SUN</v>
      </c>
      <c r="O1549" s="391">
        <f t="shared" si="179"/>
        <v>0</v>
      </c>
      <c r="P1549" s="392">
        <f t="shared" si="172"/>
        <v>1</v>
      </c>
      <c r="R1549" s="222"/>
      <c r="X1549" s="101"/>
    </row>
    <row r="1550" spans="2:30">
      <c r="B1550" s="41"/>
      <c r="C1550" s="403">
        <f t="shared" si="175"/>
        <v>45348</v>
      </c>
      <c r="D1550" s="56" t="str">
        <f>VLOOKUP(MOD(C1550,7),'CALENDAR INFO'!$G$5:$H$11,2)</f>
        <v>MON</v>
      </c>
      <c r="E1550" s="165">
        <v>5.33</v>
      </c>
      <c r="F1550" s="336">
        <v>5.31</v>
      </c>
      <c r="G1550" s="411">
        <f t="shared" si="176"/>
        <v>-2.0000000000000462E-2</v>
      </c>
      <c r="K1550" s="126"/>
      <c r="L1550" s="403">
        <f t="shared" si="177"/>
        <v>45348</v>
      </c>
      <c r="M1550" s="56" t="str">
        <f t="shared" si="178"/>
        <v>MON</v>
      </c>
      <c r="O1550" s="391">
        <f t="shared" si="179"/>
        <v>1</v>
      </c>
      <c r="P1550" s="392">
        <f t="shared" si="172"/>
        <v>1.0001475</v>
      </c>
      <c r="R1550" s="222"/>
      <c r="X1550" s="101"/>
      <c r="AD1550" s="102"/>
    </row>
    <row r="1551" spans="2:30">
      <c r="B1551" s="41"/>
      <c r="C1551" s="403">
        <f t="shared" si="175"/>
        <v>45349</v>
      </c>
      <c r="D1551" s="56" t="str">
        <f>VLOOKUP(MOD(C1551,7),'CALENDAR INFO'!$G$5:$H$11,2)</f>
        <v>TUE</v>
      </c>
      <c r="E1551" s="165">
        <v>5.33</v>
      </c>
      <c r="F1551" s="336">
        <v>5.31</v>
      </c>
      <c r="G1551" s="411">
        <f t="shared" si="176"/>
        <v>-2.0000000000000462E-2</v>
      </c>
      <c r="I1551" s="137"/>
      <c r="K1551" s="126"/>
      <c r="L1551" s="403">
        <f t="shared" si="177"/>
        <v>45349</v>
      </c>
      <c r="M1551" s="56" t="str">
        <f t="shared" si="178"/>
        <v>TUE</v>
      </c>
      <c r="O1551" s="391">
        <f t="shared" si="179"/>
        <v>1</v>
      </c>
      <c r="P1551" s="392">
        <f t="shared" si="172"/>
        <v>1.0001475</v>
      </c>
    </row>
    <row r="1552" spans="2:30">
      <c r="B1552" s="41"/>
      <c r="C1552" s="403">
        <f t="shared" si="175"/>
        <v>45350</v>
      </c>
      <c r="D1552" s="56" t="str">
        <f>VLOOKUP(MOD(C1552,7),'CALENDAR INFO'!$G$5:$H$11,2)</f>
        <v>WED</v>
      </c>
      <c r="E1552" s="165">
        <v>5.33</v>
      </c>
      <c r="F1552" s="336">
        <v>5.31</v>
      </c>
      <c r="G1552" s="411">
        <f t="shared" si="176"/>
        <v>-2.0000000000000462E-2</v>
      </c>
      <c r="I1552" s="142"/>
      <c r="J1552" s="266"/>
      <c r="K1552" s="126"/>
      <c r="L1552" s="403">
        <f t="shared" si="177"/>
        <v>45350</v>
      </c>
      <c r="M1552" s="56" t="str">
        <f t="shared" si="178"/>
        <v>WED</v>
      </c>
      <c r="O1552" s="391">
        <f t="shared" si="179"/>
        <v>1</v>
      </c>
      <c r="P1552" s="392">
        <f t="shared" si="172"/>
        <v>1.0001475</v>
      </c>
    </row>
    <row r="1553" spans="1:18" ht="15.75" thickBot="1">
      <c r="A1553" s="81"/>
      <c r="B1553" s="178"/>
      <c r="C1553" s="404">
        <f t="shared" si="175"/>
        <v>45351</v>
      </c>
      <c r="D1553" s="64" t="str">
        <f>VLOOKUP(MOD(C1553,7),'CALENDAR INFO'!$G$5:$H$11,2)</f>
        <v>THU</v>
      </c>
      <c r="E1553" s="166">
        <v>5.33</v>
      </c>
      <c r="F1553" s="337">
        <v>5.31</v>
      </c>
      <c r="G1553" s="412">
        <f t="shared" si="176"/>
        <v>-2.0000000000000462E-2</v>
      </c>
      <c r="H1553" s="345"/>
      <c r="I1553" s="267"/>
      <c r="J1553" s="268"/>
      <c r="K1553" s="77"/>
      <c r="L1553" s="404">
        <f t="shared" si="177"/>
        <v>45351</v>
      </c>
      <c r="M1553" s="64" t="str">
        <f t="shared" si="178"/>
        <v>THU</v>
      </c>
      <c r="N1553" s="90"/>
      <c r="O1553" s="383">
        <f t="shared" si="179"/>
        <v>1</v>
      </c>
      <c r="P1553" s="388">
        <f t="shared" si="172"/>
        <v>1.0001475</v>
      </c>
    </row>
    <row r="1554" spans="1:18">
      <c r="A1554" s="238"/>
      <c r="B1554" s="239"/>
      <c r="C1554" s="403">
        <f t="shared" si="175"/>
        <v>45352</v>
      </c>
      <c r="D1554" s="56" t="str">
        <f>VLOOKUP(MOD(C1554,7),'CALENDAR INFO'!$G$5:$H$11,2)</f>
        <v>FRI</v>
      </c>
      <c r="E1554" s="165">
        <v>5.33</v>
      </c>
      <c r="F1554" s="336">
        <v>5.31</v>
      </c>
      <c r="G1554" s="411">
        <f t="shared" si="176"/>
        <v>-2.0000000000000462E-2</v>
      </c>
      <c r="H1554" s="15" t="s">
        <v>149</v>
      </c>
      <c r="I1554" s="15">
        <f>ROW(I1554)</f>
        <v>1554</v>
      </c>
      <c r="J1554" s="138">
        <f>I1554</f>
        <v>1554</v>
      </c>
      <c r="K1554" s="126"/>
      <c r="L1554" s="403">
        <f t="shared" si="177"/>
        <v>45352</v>
      </c>
      <c r="M1554" s="56" t="str">
        <f t="shared" si="178"/>
        <v>FRI</v>
      </c>
      <c r="O1554" s="386">
        <f t="shared" si="179"/>
        <v>3</v>
      </c>
      <c r="P1554" s="390">
        <f t="shared" si="172"/>
        <v>1.0004424999999999</v>
      </c>
    </row>
    <row r="1555" spans="1:18">
      <c r="A1555" s="238"/>
      <c r="B1555" s="239"/>
      <c r="C1555" s="403">
        <f t="shared" si="175"/>
        <v>45353</v>
      </c>
      <c r="D1555" s="56" t="str">
        <f>VLOOKUP(MOD(C1555,7),'CALENDAR INFO'!$G$5:$H$11,2)</f>
        <v>SAT</v>
      </c>
      <c r="E1555" s="165">
        <v>5.33</v>
      </c>
      <c r="F1555" s="336">
        <v>5.31</v>
      </c>
      <c r="G1555" s="411">
        <f t="shared" si="176"/>
        <v>-2.0000000000000462E-2</v>
      </c>
      <c r="H1555" s="376" t="s">
        <v>210</v>
      </c>
      <c r="I1555" s="15">
        <f>VLOOKUP(MONTH($C1554),'CALENDAR INFO'!$J$5:$K$16,2)</f>
        <v>31</v>
      </c>
      <c r="J1555" s="138">
        <f>I1555</f>
        <v>31</v>
      </c>
      <c r="K1555" s="126"/>
      <c r="L1555" s="403">
        <f t="shared" si="177"/>
        <v>45353</v>
      </c>
      <c r="M1555" s="56" t="str">
        <f t="shared" si="178"/>
        <v>SAT</v>
      </c>
      <c r="O1555" s="391">
        <f t="shared" si="179"/>
        <v>0</v>
      </c>
      <c r="P1555" s="392">
        <f t="shared" ref="P1555:P1618" si="180">1+(O1555/360)*(MAX(F1555,B1555)/100)</f>
        <v>1</v>
      </c>
    </row>
    <row r="1556" spans="1:18">
      <c r="A1556" s="238"/>
      <c r="B1556" s="239"/>
      <c r="C1556" s="403">
        <f t="shared" si="175"/>
        <v>45354</v>
      </c>
      <c r="D1556" s="56" t="str">
        <f>VLOOKUP(MOD(C1556,7),'CALENDAR INFO'!$G$5:$H$11,2)</f>
        <v>SUN</v>
      </c>
      <c r="E1556" s="165">
        <v>5.33</v>
      </c>
      <c r="F1556" s="336">
        <v>5.31</v>
      </c>
      <c r="G1556" s="411">
        <f t="shared" si="176"/>
        <v>-2.0000000000000462E-2</v>
      </c>
      <c r="H1556" s="376" t="s">
        <v>211</v>
      </c>
      <c r="I1556" s="15">
        <f>I1555+I1554-1</f>
        <v>1584</v>
      </c>
      <c r="J1556" s="138">
        <f>I1556</f>
        <v>1584</v>
      </c>
      <c r="K1556" s="126"/>
      <c r="L1556" s="403">
        <f t="shared" si="177"/>
        <v>45354</v>
      </c>
      <c r="M1556" s="56" t="str">
        <f t="shared" si="178"/>
        <v>SUN</v>
      </c>
      <c r="O1556" s="391">
        <f t="shared" si="179"/>
        <v>0</v>
      </c>
      <c r="P1556" s="392">
        <f t="shared" si="180"/>
        <v>1</v>
      </c>
    </row>
    <row r="1557" spans="1:18">
      <c r="A1557" s="238"/>
      <c r="B1557" s="239"/>
      <c r="C1557" s="403">
        <f t="shared" si="175"/>
        <v>45355</v>
      </c>
      <c r="D1557" s="56" t="str">
        <f>VLOOKUP(MOD(C1557,7),'CALENDAR INFO'!$G$5:$H$11,2)</f>
        <v>MON</v>
      </c>
      <c r="E1557" s="165">
        <v>5.33</v>
      </c>
      <c r="F1557" s="336">
        <v>5.31</v>
      </c>
      <c r="G1557" s="411">
        <f t="shared" si="176"/>
        <v>-2.0000000000000462E-2</v>
      </c>
      <c r="K1557" s="126"/>
      <c r="L1557" s="403">
        <f t="shared" si="177"/>
        <v>45355</v>
      </c>
      <c r="M1557" s="56" t="str">
        <f t="shared" si="178"/>
        <v>MON</v>
      </c>
      <c r="O1557" s="391">
        <f t="shared" si="179"/>
        <v>1</v>
      </c>
      <c r="P1557" s="392">
        <f t="shared" si="180"/>
        <v>1.0001475</v>
      </c>
    </row>
    <row r="1558" spans="1:18">
      <c r="A1558" s="238"/>
      <c r="B1558" s="239"/>
      <c r="C1558" s="403">
        <f t="shared" si="175"/>
        <v>45356</v>
      </c>
      <c r="D1558" s="56" t="str">
        <f>VLOOKUP(MOD(C1558,7),'CALENDAR INFO'!$G$5:$H$11,2)</f>
        <v>TUE</v>
      </c>
      <c r="E1558" s="165">
        <v>5.33</v>
      </c>
      <c r="F1558" s="336">
        <v>5.31</v>
      </c>
      <c r="G1558" s="411">
        <f t="shared" si="176"/>
        <v>-2.0000000000000462E-2</v>
      </c>
      <c r="H1558" s="15" t="s">
        <v>150</v>
      </c>
      <c r="I1558" s="137" t="str">
        <f>_xlfn.CONCAT(ADDRESS(I1554,5),":",ADDRESS(I1556,5))</f>
        <v>$E$1554:$E$1584</v>
      </c>
      <c r="J1558" s="150" t="str">
        <f>_xlfn.CONCAT(ADDRESS(J1554,6),":",ADDRESS(J1556,6))</f>
        <v>$F$1554:$F$1584</v>
      </c>
      <c r="K1558" s="126"/>
      <c r="L1558" s="403">
        <f t="shared" si="177"/>
        <v>45356</v>
      </c>
      <c r="M1558" s="56" t="str">
        <f t="shared" si="178"/>
        <v>TUE</v>
      </c>
      <c r="O1558" s="391">
        <f t="shared" si="179"/>
        <v>1</v>
      </c>
      <c r="P1558" s="392">
        <f t="shared" si="180"/>
        <v>1.0001475</v>
      </c>
    </row>
    <row r="1559" spans="1:18">
      <c r="A1559" s="238"/>
      <c r="B1559" s="239"/>
      <c r="C1559" s="403">
        <f t="shared" si="175"/>
        <v>45357</v>
      </c>
      <c r="D1559" s="56" t="str">
        <f>VLOOKUP(MOD(C1559,7),'CALENDAR INFO'!$G$5:$H$11,2)</f>
        <v>WED</v>
      </c>
      <c r="E1559" s="165">
        <v>5.33</v>
      </c>
      <c r="F1559" s="336">
        <v>5.31</v>
      </c>
      <c r="G1559" s="411">
        <f t="shared" si="176"/>
        <v>-2.0000000000000462E-2</v>
      </c>
      <c r="K1559" s="126" t="s">
        <v>19</v>
      </c>
      <c r="L1559" s="403">
        <f t="shared" si="177"/>
        <v>45357</v>
      </c>
      <c r="M1559" s="56" t="str">
        <f t="shared" si="178"/>
        <v>WED</v>
      </c>
      <c r="O1559" s="391">
        <f t="shared" si="179"/>
        <v>1</v>
      </c>
      <c r="P1559" s="392">
        <f t="shared" si="180"/>
        <v>1.0001475</v>
      </c>
    </row>
    <row r="1560" spans="1:18">
      <c r="A1560" s="238"/>
      <c r="B1560" s="239"/>
      <c r="C1560" s="403">
        <f t="shared" si="175"/>
        <v>45358</v>
      </c>
      <c r="D1560" s="56" t="str">
        <f>VLOOKUP(MOD(C1560,7),'CALENDAR INFO'!$G$5:$H$11,2)</f>
        <v>THU</v>
      </c>
      <c r="E1560" s="169">
        <v>5.33</v>
      </c>
      <c r="F1560" s="341">
        <v>5.31</v>
      </c>
      <c r="G1560" s="411">
        <f t="shared" si="176"/>
        <v>-2.0000000000000462E-2</v>
      </c>
      <c r="H1560" s="376" t="s">
        <v>221</v>
      </c>
      <c r="I1560" s="147">
        <f ca="1">AVERAGE(INDIRECT(I1558))</f>
        <v>5.3300000000000018</v>
      </c>
      <c r="J1560" s="326">
        <f ca="1">AVERAGE(INDIRECT(J1558))</f>
        <v>5.3148387096774208</v>
      </c>
      <c r="K1560" s="129" t="s">
        <v>18</v>
      </c>
      <c r="L1560" s="403">
        <f t="shared" si="177"/>
        <v>45358</v>
      </c>
      <c r="M1560" s="56" t="str">
        <f t="shared" si="178"/>
        <v>THU</v>
      </c>
      <c r="O1560" s="391">
        <f t="shared" si="179"/>
        <v>1</v>
      </c>
      <c r="P1560" s="392">
        <f t="shared" si="180"/>
        <v>1.0001475</v>
      </c>
    </row>
    <row r="1561" spans="1:18">
      <c r="A1561" s="238"/>
      <c r="B1561" s="239"/>
      <c r="C1561" s="403">
        <f t="shared" si="175"/>
        <v>45359</v>
      </c>
      <c r="D1561" s="56" t="str">
        <f>VLOOKUP(MOD(C1561,7),'CALENDAR INFO'!$G$5:$H$11,2)</f>
        <v>FRI</v>
      </c>
      <c r="E1561" s="169">
        <v>5.33</v>
      </c>
      <c r="F1561" s="341">
        <v>5.31</v>
      </c>
      <c r="G1561" s="411">
        <f t="shared" si="176"/>
        <v>-2.0000000000000462E-2</v>
      </c>
      <c r="I1561" s="240"/>
      <c r="J1561" s="157"/>
      <c r="K1561" s="129"/>
      <c r="L1561" s="403">
        <f t="shared" si="177"/>
        <v>45359</v>
      </c>
      <c r="M1561" s="56" t="str">
        <f t="shared" si="178"/>
        <v>FRI</v>
      </c>
      <c r="O1561" s="391">
        <f t="shared" si="179"/>
        <v>3</v>
      </c>
      <c r="P1561" s="392">
        <f t="shared" si="180"/>
        <v>1.0004424999999999</v>
      </c>
    </row>
    <row r="1562" spans="1:18">
      <c r="A1562" s="238"/>
      <c r="B1562" s="239"/>
      <c r="C1562" s="403">
        <f t="shared" si="175"/>
        <v>45360</v>
      </c>
      <c r="D1562" s="56" t="str">
        <f>VLOOKUP(MOD(C1562,7),'CALENDAR INFO'!$G$5:$H$11,2)</f>
        <v>SAT</v>
      </c>
      <c r="E1562" s="169">
        <v>5.33</v>
      </c>
      <c r="F1562" s="341">
        <v>5.31</v>
      </c>
      <c r="G1562" s="411">
        <f t="shared" si="176"/>
        <v>-2.0000000000000462E-2</v>
      </c>
      <c r="H1562" s="15" t="s">
        <v>222</v>
      </c>
      <c r="I1562" s="147">
        <f ca="1">100-I1560</f>
        <v>94.67</v>
      </c>
      <c r="J1562" s="326">
        <f ca="1">100-J1560</f>
        <v>94.685161290322583</v>
      </c>
      <c r="K1562" s="129"/>
      <c r="L1562" s="403">
        <f t="shared" si="177"/>
        <v>45360</v>
      </c>
      <c r="M1562" s="56" t="str">
        <f t="shared" si="178"/>
        <v>SAT</v>
      </c>
      <c r="O1562" s="391">
        <f t="shared" si="179"/>
        <v>0</v>
      </c>
      <c r="P1562" s="392">
        <f t="shared" si="180"/>
        <v>1</v>
      </c>
    </row>
    <row r="1563" spans="1:18">
      <c r="A1563" s="238"/>
      <c r="B1563" s="239"/>
      <c r="C1563" s="403">
        <f t="shared" si="175"/>
        <v>45361</v>
      </c>
      <c r="D1563" s="56" t="str">
        <f>VLOOKUP(MOD(C1563,7),'CALENDAR INFO'!$G$5:$H$11,2)</f>
        <v>SUN</v>
      </c>
      <c r="E1563" s="169">
        <v>5.33</v>
      </c>
      <c r="F1563" s="341">
        <v>5.31</v>
      </c>
      <c r="G1563" s="411">
        <f t="shared" si="176"/>
        <v>-2.0000000000000462E-2</v>
      </c>
      <c r="I1563" s="137"/>
      <c r="J1563" s="150"/>
      <c r="K1563" s="129"/>
      <c r="L1563" s="403">
        <f t="shared" si="177"/>
        <v>45361</v>
      </c>
      <c r="M1563" s="56" t="str">
        <f t="shared" si="178"/>
        <v>SUN</v>
      </c>
      <c r="O1563" s="391">
        <f t="shared" si="179"/>
        <v>0</v>
      </c>
      <c r="P1563" s="392">
        <f t="shared" si="180"/>
        <v>1</v>
      </c>
    </row>
    <row r="1564" spans="1:18">
      <c r="A1564" s="238"/>
      <c r="B1564" s="239"/>
      <c r="C1564" s="403">
        <f t="shared" si="175"/>
        <v>45362</v>
      </c>
      <c r="D1564" s="56" t="str">
        <f>VLOOKUP(MOD(C1564,7),'CALENDAR INFO'!$G$5:$H$11,2)</f>
        <v>MON</v>
      </c>
      <c r="E1564" s="169">
        <v>5.33</v>
      </c>
      <c r="F1564" s="341">
        <v>5.31</v>
      </c>
      <c r="G1564" s="411">
        <f t="shared" si="176"/>
        <v>-2.0000000000000462E-2</v>
      </c>
      <c r="I1564" s="137"/>
      <c r="J1564" s="150"/>
      <c r="K1564" s="129"/>
      <c r="L1564" s="403">
        <f t="shared" si="177"/>
        <v>45362</v>
      </c>
      <c r="M1564" s="56" t="str">
        <f t="shared" si="178"/>
        <v>MON</v>
      </c>
      <c r="O1564" s="391">
        <f t="shared" si="179"/>
        <v>1</v>
      </c>
      <c r="P1564" s="392">
        <f t="shared" si="180"/>
        <v>1.0001475</v>
      </c>
    </row>
    <row r="1565" spans="1:18">
      <c r="A1565" s="238"/>
      <c r="B1565" s="239"/>
      <c r="C1565" s="403">
        <f t="shared" si="175"/>
        <v>45363</v>
      </c>
      <c r="D1565" s="56" t="str">
        <f>VLOOKUP(MOD(C1565,7),'CALENDAR INFO'!$G$5:$H$11,2)</f>
        <v>TUE</v>
      </c>
      <c r="E1565" s="169">
        <v>5.33</v>
      </c>
      <c r="F1565" s="341">
        <v>5.31</v>
      </c>
      <c r="G1565" s="411">
        <f t="shared" si="176"/>
        <v>-2.0000000000000462E-2</v>
      </c>
      <c r="I1565" s="137"/>
      <c r="J1565" s="150"/>
      <c r="K1565" s="129"/>
      <c r="L1565" s="403">
        <f t="shared" si="177"/>
        <v>45363</v>
      </c>
      <c r="M1565" s="56" t="str">
        <f t="shared" si="178"/>
        <v>TUE</v>
      </c>
      <c r="O1565" s="391">
        <f t="shared" si="179"/>
        <v>1</v>
      </c>
      <c r="P1565" s="392">
        <f t="shared" si="180"/>
        <v>1.0001475</v>
      </c>
      <c r="R1565" s="221"/>
    </row>
    <row r="1566" spans="1:18">
      <c r="A1566" s="238"/>
      <c r="B1566" s="239"/>
      <c r="C1566" s="403">
        <f t="shared" si="175"/>
        <v>45364</v>
      </c>
      <c r="D1566" s="56" t="str">
        <f>VLOOKUP(MOD(C1566,7),'CALENDAR INFO'!$G$5:$H$11,2)</f>
        <v>WED</v>
      </c>
      <c r="E1566" s="169">
        <v>5.33</v>
      </c>
      <c r="F1566" s="341">
        <v>5.31</v>
      </c>
      <c r="G1566" s="411">
        <f t="shared" si="176"/>
        <v>-2.0000000000000462E-2</v>
      </c>
      <c r="I1566" s="137"/>
      <c r="J1566" s="150"/>
      <c r="K1566" s="129"/>
      <c r="L1566" s="403">
        <f t="shared" si="177"/>
        <v>45364</v>
      </c>
      <c r="M1566" s="56" t="str">
        <f t="shared" si="178"/>
        <v>WED</v>
      </c>
      <c r="O1566" s="391">
        <f t="shared" si="179"/>
        <v>1</v>
      </c>
      <c r="P1566" s="392">
        <f t="shared" si="180"/>
        <v>1.0001475</v>
      </c>
      <c r="R1566" s="223"/>
    </row>
    <row r="1567" spans="1:18">
      <c r="A1567" s="238"/>
      <c r="B1567" s="239"/>
      <c r="C1567" s="403">
        <f t="shared" si="175"/>
        <v>45365</v>
      </c>
      <c r="D1567" s="56" t="str">
        <f>VLOOKUP(MOD(C1567,7),'CALENDAR INFO'!$G$5:$H$11,2)</f>
        <v>THU</v>
      </c>
      <c r="E1567" s="169">
        <v>5.33</v>
      </c>
      <c r="F1567" s="341">
        <v>5.31</v>
      </c>
      <c r="G1567" s="411">
        <f t="shared" si="176"/>
        <v>-2.0000000000000462E-2</v>
      </c>
      <c r="K1567" s="129"/>
      <c r="L1567" s="403">
        <f t="shared" si="177"/>
        <v>45365</v>
      </c>
      <c r="M1567" s="56" t="str">
        <f t="shared" si="178"/>
        <v>THU</v>
      </c>
      <c r="O1567" s="391">
        <f t="shared" si="179"/>
        <v>1</v>
      </c>
      <c r="P1567" s="392">
        <f t="shared" si="180"/>
        <v>1.0001475</v>
      </c>
    </row>
    <row r="1568" spans="1:18">
      <c r="A1568" s="238"/>
      <c r="B1568" s="239"/>
      <c r="C1568" s="403">
        <f t="shared" si="175"/>
        <v>45366</v>
      </c>
      <c r="D1568" s="56" t="str">
        <f>VLOOKUP(MOD(C1568,7),'CALENDAR INFO'!$G$5:$H$11,2)</f>
        <v>FRI</v>
      </c>
      <c r="E1568" s="169">
        <v>5.33</v>
      </c>
      <c r="F1568" s="341">
        <v>5.31</v>
      </c>
      <c r="G1568" s="411">
        <f t="shared" si="176"/>
        <v>-2.0000000000000462E-2</v>
      </c>
      <c r="H1568" s="135"/>
      <c r="I1568" s="144"/>
      <c r="J1568" s="152"/>
      <c r="K1568" s="129"/>
      <c r="L1568" s="403">
        <f t="shared" si="177"/>
        <v>45366</v>
      </c>
      <c r="M1568" s="56" t="str">
        <f t="shared" si="178"/>
        <v>FRI</v>
      </c>
      <c r="O1568" s="391">
        <f t="shared" si="179"/>
        <v>3</v>
      </c>
      <c r="P1568" s="392">
        <f t="shared" si="180"/>
        <v>1.0004424999999999</v>
      </c>
    </row>
    <row r="1569" spans="1:18">
      <c r="A1569" s="238"/>
      <c r="B1569" s="239"/>
      <c r="C1569" s="403">
        <f t="shared" si="175"/>
        <v>45367</v>
      </c>
      <c r="D1569" s="56" t="str">
        <f>VLOOKUP(MOD(C1569,7),'CALENDAR INFO'!$G$5:$H$11,2)</f>
        <v>SAT</v>
      </c>
      <c r="E1569" s="169">
        <v>5.33</v>
      </c>
      <c r="F1569" s="341">
        <v>5.31</v>
      </c>
      <c r="G1569" s="411">
        <f t="shared" si="176"/>
        <v>-2.0000000000000462E-2</v>
      </c>
      <c r="K1569" s="129"/>
      <c r="L1569" s="403">
        <f t="shared" si="177"/>
        <v>45367</v>
      </c>
      <c r="M1569" s="56" t="str">
        <f t="shared" si="178"/>
        <v>SAT</v>
      </c>
      <c r="O1569" s="391">
        <f t="shared" si="179"/>
        <v>0</v>
      </c>
      <c r="P1569" s="392">
        <f t="shared" si="180"/>
        <v>1</v>
      </c>
    </row>
    <row r="1570" spans="1:18">
      <c r="A1570" s="238"/>
      <c r="B1570" s="239"/>
      <c r="C1570" s="403">
        <f t="shared" si="175"/>
        <v>45368</v>
      </c>
      <c r="D1570" s="56" t="str">
        <f>VLOOKUP(MOD(C1570,7),'CALENDAR INFO'!$G$5:$H$11,2)</f>
        <v>SUN</v>
      </c>
      <c r="E1570" s="169">
        <v>5.33</v>
      </c>
      <c r="F1570" s="341">
        <v>5.31</v>
      </c>
      <c r="G1570" s="411">
        <f t="shared" si="176"/>
        <v>-2.0000000000000462E-2</v>
      </c>
      <c r="K1570" s="129"/>
      <c r="L1570" s="403">
        <f t="shared" si="177"/>
        <v>45368</v>
      </c>
      <c r="M1570" s="56" t="str">
        <f t="shared" si="178"/>
        <v>SUN</v>
      </c>
      <c r="O1570" s="391">
        <f t="shared" si="179"/>
        <v>0</v>
      </c>
      <c r="P1570" s="392">
        <f t="shared" si="180"/>
        <v>1</v>
      </c>
    </row>
    <row r="1571" spans="1:18">
      <c r="A1571" s="238"/>
      <c r="B1571" s="239"/>
      <c r="C1571" s="403">
        <f t="shared" si="175"/>
        <v>45369</v>
      </c>
      <c r="D1571" s="56" t="str">
        <f>VLOOKUP(MOD(C1571,7),'CALENDAR INFO'!$G$5:$H$11,2)</f>
        <v>MON</v>
      </c>
      <c r="E1571" s="169">
        <v>5.33</v>
      </c>
      <c r="F1571" s="341">
        <v>5.31</v>
      </c>
      <c r="G1571" s="411">
        <f t="shared" si="176"/>
        <v>-2.0000000000000462E-2</v>
      </c>
      <c r="K1571" s="129"/>
      <c r="L1571" s="403">
        <f t="shared" si="177"/>
        <v>45369</v>
      </c>
      <c r="M1571" s="56" t="str">
        <f t="shared" si="178"/>
        <v>MON</v>
      </c>
      <c r="O1571" s="391">
        <f t="shared" si="179"/>
        <v>1</v>
      </c>
      <c r="P1571" s="392">
        <f t="shared" si="180"/>
        <v>1.0001475</v>
      </c>
    </row>
    <row r="1572" spans="1:18">
      <c r="A1572" s="238"/>
      <c r="B1572" s="239"/>
      <c r="C1572" s="403">
        <f t="shared" si="175"/>
        <v>45370</v>
      </c>
      <c r="D1572" s="56" t="str">
        <f>VLOOKUP(MOD(C1572,7),'CALENDAR INFO'!$G$5:$H$11,2)</f>
        <v>TUE</v>
      </c>
      <c r="E1572" s="169">
        <v>5.33</v>
      </c>
      <c r="F1572" s="341">
        <v>5.31</v>
      </c>
      <c r="G1572" s="411">
        <f t="shared" si="176"/>
        <v>-2.0000000000000462E-2</v>
      </c>
      <c r="K1572" s="129"/>
      <c r="L1572" s="403">
        <f t="shared" si="177"/>
        <v>45370</v>
      </c>
      <c r="M1572" s="56" t="str">
        <f t="shared" si="178"/>
        <v>TUE</v>
      </c>
      <c r="N1572" s="116" t="s">
        <v>20</v>
      </c>
      <c r="O1572" s="391">
        <f t="shared" si="179"/>
        <v>1</v>
      </c>
      <c r="P1572" s="392">
        <f t="shared" si="180"/>
        <v>1.0001475</v>
      </c>
    </row>
    <row r="1573" spans="1:18">
      <c r="A1573" s="238"/>
      <c r="B1573" s="239"/>
      <c r="C1573" s="403">
        <f t="shared" si="175"/>
        <v>45371</v>
      </c>
      <c r="D1573" s="56" t="str">
        <f>VLOOKUP(MOD(C1573,7),'CALENDAR INFO'!$G$5:$H$11,2)</f>
        <v>WED</v>
      </c>
      <c r="E1573" s="169">
        <v>5.33</v>
      </c>
      <c r="F1573" s="341">
        <v>5.31</v>
      </c>
      <c r="G1573" s="411">
        <f t="shared" si="176"/>
        <v>-2.0000000000000462E-2</v>
      </c>
      <c r="K1573" s="129" t="s">
        <v>19</v>
      </c>
      <c r="L1573" s="403">
        <f t="shared" si="177"/>
        <v>45371</v>
      </c>
      <c r="M1573" s="56" t="str">
        <f t="shared" si="178"/>
        <v>WED</v>
      </c>
      <c r="N1573" s="116" t="s">
        <v>20</v>
      </c>
      <c r="O1573" s="391">
        <f t="shared" si="179"/>
        <v>1</v>
      </c>
      <c r="P1573" s="392">
        <f t="shared" si="180"/>
        <v>1.0001475</v>
      </c>
    </row>
    <row r="1574" spans="1:18">
      <c r="B1574" s="41"/>
      <c r="C1574" s="403">
        <f t="shared" si="175"/>
        <v>45372</v>
      </c>
      <c r="D1574" s="56" t="str">
        <f>VLOOKUP(MOD(C1574,7),'CALENDAR INFO'!$G$5:$H$11,2)</f>
        <v>THU</v>
      </c>
      <c r="E1574" s="169">
        <v>5.33</v>
      </c>
      <c r="F1574" s="341">
        <v>5.31</v>
      </c>
      <c r="G1574" s="411">
        <f t="shared" si="176"/>
        <v>-2.0000000000000462E-2</v>
      </c>
      <c r="K1574" s="126" t="s">
        <v>18</v>
      </c>
      <c r="L1574" s="403">
        <f t="shared" si="177"/>
        <v>45372</v>
      </c>
      <c r="M1574" s="56" t="str">
        <f t="shared" si="178"/>
        <v>THU</v>
      </c>
      <c r="O1574" s="391">
        <f t="shared" si="179"/>
        <v>1</v>
      </c>
      <c r="P1574" s="392">
        <f t="shared" si="180"/>
        <v>1.0001475</v>
      </c>
    </row>
    <row r="1575" spans="1:18">
      <c r="B1575" s="41"/>
      <c r="C1575" s="403">
        <f t="shared" si="175"/>
        <v>45373</v>
      </c>
      <c r="D1575" s="56" t="str">
        <f>VLOOKUP(MOD(C1575,7),'CALENDAR INFO'!$G$5:$H$11,2)</f>
        <v>FRI</v>
      </c>
      <c r="E1575" s="169">
        <v>5.33</v>
      </c>
      <c r="F1575" s="341">
        <v>5.31</v>
      </c>
      <c r="G1575" s="411">
        <f t="shared" si="176"/>
        <v>-2.0000000000000462E-2</v>
      </c>
      <c r="K1575" s="126"/>
      <c r="L1575" s="403">
        <f t="shared" si="177"/>
        <v>45373</v>
      </c>
      <c r="M1575" s="56" t="str">
        <f t="shared" si="178"/>
        <v>FRI</v>
      </c>
      <c r="O1575" s="391">
        <f t="shared" si="179"/>
        <v>3</v>
      </c>
      <c r="P1575" s="392">
        <f t="shared" si="180"/>
        <v>1.0004424999999999</v>
      </c>
    </row>
    <row r="1576" spans="1:18">
      <c r="B1576" s="41"/>
      <c r="C1576" s="403">
        <f t="shared" si="175"/>
        <v>45374</v>
      </c>
      <c r="D1576" s="56" t="str">
        <f>VLOOKUP(MOD(C1576,7),'CALENDAR INFO'!$G$5:$H$11,2)</f>
        <v>SAT</v>
      </c>
      <c r="E1576" s="169">
        <v>5.33</v>
      </c>
      <c r="F1576" s="341">
        <v>5.31</v>
      </c>
      <c r="G1576" s="411">
        <f t="shared" si="176"/>
        <v>-2.0000000000000462E-2</v>
      </c>
      <c r="K1576" s="126"/>
      <c r="L1576" s="403">
        <f t="shared" si="177"/>
        <v>45374</v>
      </c>
      <c r="M1576" s="56" t="str">
        <f t="shared" si="178"/>
        <v>SAT</v>
      </c>
      <c r="O1576" s="391">
        <f t="shared" si="179"/>
        <v>0</v>
      </c>
      <c r="P1576" s="392">
        <f t="shared" si="180"/>
        <v>1</v>
      </c>
    </row>
    <row r="1577" spans="1:18">
      <c r="B1577" s="41"/>
      <c r="C1577" s="403">
        <f t="shared" si="175"/>
        <v>45375</v>
      </c>
      <c r="D1577" s="56" t="str">
        <f>VLOOKUP(MOD(C1577,7),'CALENDAR INFO'!$G$5:$H$11,2)</f>
        <v>SUN</v>
      </c>
      <c r="E1577" s="169">
        <v>5.33</v>
      </c>
      <c r="F1577" s="341">
        <v>5.31</v>
      </c>
      <c r="G1577" s="411">
        <f t="shared" si="176"/>
        <v>-2.0000000000000462E-2</v>
      </c>
      <c r="K1577" s="126"/>
      <c r="L1577" s="403">
        <f t="shared" si="177"/>
        <v>45375</v>
      </c>
      <c r="M1577" s="56" t="str">
        <f t="shared" si="178"/>
        <v>SUN</v>
      </c>
      <c r="O1577" s="391">
        <f t="shared" si="179"/>
        <v>0</v>
      </c>
      <c r="P1577" s="392">
        <f t="shared" si="180"/>
        <v>1</v>
      </c>
    </row>
    <row r="1578" spans="1:18">
      <c r="B1578" s="41"/>
      <c r="C1578" s="403">
        <f t="shared" si="175"/>
        <v>45376</v>
      </c>
      <c r="D1578" s="56" t="str">
        <f>VLOOKUP(MOD(C1578,7),'CALENDAR INFO'!$G$5:$H$11,2)</f>
        <v>MON</v>
      </c>
      <c r="E1578" s="169">
        <v>5.33</v>
      </c>
      <c r="F1578" s="341">
        <v>5.31</v>
      </c>
      <c r="G1578" s="411">
        <f t="shared" si="176"/>
        <v>-2.0000000000000462E-2</v>
      </c>
      <c r="K1578" s="126"/>
      <c r="L1578" s="403">
        <f t="shared" si="177"/>
        <v>45376</v>
      </c>
      <c r="M1578" s="56" t="str">
        <f t="shared" si="178"/>
        <v>MON</v>
      </c>
      <c r="O1578" s="391">
        <f t="shared" si="179"/>
        <v>1</v>
      </c>
      <c r="P1578" s="392">
        <f t="shared" si="180"/>
        <v>1.0001475</v>
      </c>
    </row>
    <row r="1579" spans="1:18">
      <c r="B1579" s="41"/>
      <c r="C1579" s="403">
        <f t="shared" si="175"/>
        <v>45377</v>
      </c>
      <c r="D1579" s="56" t="str">
        <f>VLOOKUP(MOD(C1579,7),'CALENDAR INFO'!$G$5:$H$11,2)</f>
        <v>TUE</v>
      </c>
      <c r="E1579" s="165">
        <v>5.33</v>
      </c>
      <c r="F1579" s="336">
        <v>5.32</v>
      </c>
      <c r="G1579" s="411">
        <f t="shared" si="176"/>
        <v>-9.9999999999997868E-3</v>
      </c>
      <c r="K1579" s="126"/>
      <c r="L1579" s="403">
        <f t="shared" si="177"/>
        <v>45377</v>
      </c>
      <c r="M1579" s="56" t="str">
        <f t="shared" si="178"/>
        <v>TUE</v>
      </c>
      <c r="O1579" s="391">
        <f t="shared" si="179"/>
        <v>1</v>
      </c>
      <c r="P1579" s="392">
        <f t="shared" si="180"/>
        <v>1.0001477777777779</v>
      </c>
      <c r="R1579" s="221"/>
    </row>
    <row r="1580" spans="1:18">
      <c r="B1580" s="41"/>
      <c r="C1580" s="403">
        <f t="shared" si="175"/>
        <v>45378</v>
      </c>
      <c r="D1580" s="56" t="str">
        <f>VLOOKUP(MOD(C1580,7),'CALENDAR INFO'!$G$5:$H$11,2)</f>
        <v>WED</v>
      </c>
      <c r="E1580" s="165">
        <v>5.33</v>
      </c>
      <c r="F1580" s="336">
        <v>5.33</v>
      </c>
      <c r="G1580" s="411">
        <f t="shared" si="176"/>
        <v>0</v>
      </c>
      <c r="I1580" s="137"/>
      <c r="K1580" s="126"/>
      <c r="L1580" s="403">
        <f t="shared" si="177"/>
        <v>45378</v>
      </c>
      <c r="M1580" s="56" t="str">
        <f t="shared" si="178"/>
        <v>WED</v>
      </c>
      <c r="O1580" s="391">
        <f t="shared" si="179"/>
        <v>1</v>
      </c>
      <c r="P1580" s="392">
        <f t="shared" si="180"/>
        <v>1.0001480555555555</v>
      </c>
      <c r="R1580" s="222"/>
    </row>
    <row r="1581" spans="1:18">
      <c r="B1581" s="41"/>
      <c r="C1581" s="403">
        <f t="shared" si="175"/>
        <v>45379</v>
      </c>
      <c r="D1581" s="56" t="str">
        <f>VLOOKUP(MOD(C1581,7),'CALENDAR INFO'!$G$5:$H$11,2)</f>
        <v>THU</v>
      </c>
      <c r="E1581" s="165">
        <v>5.33</v>
      </c>
      <c r="F1581" s="336">
        <v>5.34</v>
      </c>
      <c r="G1581" s="411">
        <f t="shared" si="176"/>
        <v>9.9999999999997868E-3</v>
      </c>
      <c r="H1581" s="115"/>
      <c r="I1581" s="141"/>
      <c r="J1581" s="158"/>
      <c r="K1581" s="126"/>
      <c r="L1581" s="403">
        <f t="shared" si="177"/>
        <v>45379</v>
      </c>
      <c r="M1581" s="56" t="str">
        <f t="shared" si="178"/>
        <v>THU</v>
      </c>
      <c r="O1581" s="391">
        <v>4</v>
      </c>
      <c r="P1581" s="392">
        <f t="shared" si="180"/>
        <v>1.0005933333333332</v>
      </c>
      <c r="R1581" s="222"/>
    </row>
    <row r="1582" spans="1:18">
      <c r="B1582" s="41"/>
      <c r="C1582" s="403">
        <f t="shared" si="175"/>
        <v>45380</v>
      </c>
      <c r="D1582" s="56" t="str">
        <f>VLOOKUP(MOD(C1582,7),'CALENDAR INFO'!$G$5:$H$11,2)</f>
        <v>FRI</v>
      </c>
      <c r="E1582" s="165">
        <v>5.33</v>
      </c>
      <c r="F1582" s="336">
        <v>5.34</v>
      </c>
      <c r="G1582" s="411">
        <f t="shared" si="176"/>
        <v>9.9999999999997868E-3</v>
      </c>
      <c r="I1582" s="145"/>
      <c r="J1582" s="266"/>
      <c r="K1582" s="126"/>
      <c r="L1582" s="403">
        <f t="shared" si="177"/>
        <v>45380</v>
      </c>
      <c r="M1582" s="56" t="str">
        <f t="shared" si="178"/>
        <v>FRI</v>
      </c>
      <c r="N1582" s="132" t="s">
        <v>44</v>
      </c>
      <c r="O1582" s="391">
        <v>0</v>
      </c>
      <c r="P1582" s="392">
        <f t="shared" si="180"/>
        <v>1</v>
      </c>
    </row>
    <row r="1583" spans="1:18">
      <c r="B1583" s="41"/>
      <c r="C1583" s="403">
        <f t="shared" si="175"/>
        <v>45381</v>
      </c>
      <c r="D1583" s="56" t="str">
        <f>VLOOKUP(MOD(C1583,7),'CALENDAR INFO'!$G$5:$H$11,2)</f>
        <v>SAT</v>
      </c>
      <c r="E1583" s="165">
        <v>5.33</v>
      </c>
      <c r="F1583" s="336">
        <v>5.34</v>
      </c>
      <c r="G1583" s="411">
        <f t="shared" si="176"/>
        <v>9.9999999999997868E-3</v>
      </c>
      <c r="I1583" s="142"/>
      <c r="J1583" s="266"/>
      <c r="K1583" s="126"/>
      <c r="L1583" s="403">
        <f t="shared" si="177"/>
        <v>45381</v>
      </c>
      <c r="M1583" s="56" t="str">
        <f t="shared" si="178"/>
        <v>SAT</v>
      </c>
      <c r="O1583" s="391">
        <f t="shared" ref="O1583:O1614" si="181">IF(MOD(C1583,7)&lt;2,0,IF(MOD(C1583,7)=6,3,1))</f>
        <v>0</v>
      </c>
      <c r="P1583" s="392">
        <f t="shared" si="180"/>
        <v>1</v>
      </c>
    </row>
    <row r="1584" spans="1:18" ht="15.75" thickBot="1">
      <c r="A1584" s="81"/>
      <c r="B1584" s="178"/>
      <c r="C1584" s="404">
        <f t="shared" si="175"/>
        <v>45382</v>
      </c>
      <c r="D1584" s="64" t="str">
        <f>VLOOKUP(MOD(C1584,7),'CALENDAR INFO'!$G$5:$H$11,2)</f>
        <v>SUN</v>
      </c>
      <c r="E1584" s="166">
        <v>5.33</v>
      </c>
      <c r="F1584" s="337">
        <v>5.34</v>
      </c>
      <c r="G1584" s="411">
        <f t="shared" si="176"/>
        <v>9.9999999999997868E-3</v>
      </c>
      <c r="H1584" s="345"/>
      <c r="I1584" s="267"/>
      <c r="J1584" s="268"/>
      <c r="K1584" s="77"/>
      <c r="L1584" s="404">
        <f t="shared" si="177"/>
        <v>45382</v>
      </c>
      <c r="M1584" s="64" t="str">
        <f t="shared" si="178"/>
        <v>SUN</v>
      </c>
      <c r="N1584" s="90"/>
      <c r="O1584" s="383">
        <f t="shared" si="181"/>
        <v>0</v>
      </c>
      <c r="P1584" s="388">
        <f t="shared" si="180"/>
        <v>1</v>
      </c>
    </row>
    <row r="1585" spans="1:16">
      <c r="A1585" s="238"/>
      <c r="B1585" s="239"/>
      <c r="C1585" s="403">
        <f t="shared" si="175"/>
        <v>45383</v>
      </c>
      <c r="D1585" s="56" t="str">
        <f>VLOOKUP(MOD(C1585,7),'CALENDAR INFO'!$G$5:$H$11,2)</f>
        <v>MON</v>
      </c>
      <c r="E1585" s="165">
        <v>5.33</v>
      </c>
      <c r="F1585" s="336">
        <v>5.35</v>
      </c>
      <c r="G1585" s="411">
        <f t="shared" si="176"/>
        <v>1.9999999999999574E-2</v>
      </c>
      <c r="H1585" s="15" t="s">
        <v>149</v>
      </c>
      <c r="I1585" s="15">
        <f>ROW(I1585)</f>
        <v>1585</v>
      </c>
      <c r="J1585" s="138">
        <f>I1585</f>
        <v>1585</v>
      </c>
      <c r="K1585" s="126"/>
      <c r="L1585" s="403">
        <f t="shared" si="177"/>
        <v>45383</v>
      </c>
      <c r="M1585" s="56" t="str">
        <f t="shared" si="178"/>
        <v>MON</v>
      </c>
      <c r="O1585" s="386">
        <f t="shared" si="181"/>
        <v>1</v>
      </c>
      <c r="P1585" s="390">
        <f t="shared" si="180"/>
        <v>1.0001486111111111</v>
      </c>
    </row>
    <row r="1586" spans="1:16">
      <c r="B1586" s="41"/>
      <c r="C1586" s="403">
        <f t="shared" si="175"/>
        <v>45384</v>
      </c>
      <c r="D1586" s="56" t="str">
        <f>VLOOKUP(MOD(C1586,7),'CALENDAR INFO'!$G$5:$H$11,2)</f>
        <v>TUE</v>
      </c>
      <c r="E1586" s="165">
        <v>5.33</v>
      </c>
      <c r="F1586" s="336">
        <v>5.34</v>
      </c>
      <c r="G1586" s="411">
        <f t="shared" si="176"/>
        <v>9.9999999999997868E-3</v>
      </c>
      <c r="H1586" s="376" t="s">
        <v>210</v>
      </c>
      <c r="I1586" s="15">
        <f>VLOOKUP(MONTH($C1585),'CALENDAR INFO'!$J$5:$K$16,2)</f>
        <v>30</v>
      </c>
      <c r="J1586" s="138">
        <f>I1586</f>
        <v>30</v>
      </c>
      <c r="K1586" s="126"/>
      <c r="L1586" s="403">
        <f t="shared" si="177"/>
        <v>45384</v>
      </c>
      <c r="M1586" s="56" t="str">
        <f t="shared" si="178"/>
        <v>TUE</v>
      </c>
      <c r="O1586" s="253">
        <f t="shared" si="181"/>
        <v>1</v>
      </c>
      <c r="P1586" s="392">
        <f t="shared" si="180"/>
        <v>1.0001483333333334</v>
      </c>
    </row>
    <row r="1587" spans="1:16">
      <c r="B1587" s="41"/>
      <c r="C1587" s="403">
        <f t="shared" si="175"/>
        <v>45385</v>
      </c>
      <c r="D1587" s="56" t="str">
        <f>VLOOKUP(MOD(C1587,7),'CALENDAR INFO'!$G$5:$H$11,2)</f>
        <v>WED</v>
      </c>
      <c r="E1587" s="165">
        <v>5.33</v>
      </c>
      <c r="F1587" s="336">
        <v>5.32</v>
      </c>
      <c r="G1587" s="411">
        <f t="shared" si="176"/>
        <v>-9.9999999999997868E-3</v>
      </c>
      <c r="H1587" s="376" t="s">
        <v>211</v>
      </c>
      <c r="I1587" s="15">
        <f>I1586+I1585-1</f>
        <v>1614</v>
      </c>
      <c r="J1587" s="138">
        <f>I1587</f>
        <v>1614</v>
      </c>
      <c r="K1587" s="126" t="s">
        <v>19</v>
      </c>
      <c r="L1587" s="403">
        <f t="shared" si="177"/>
        <v>45385</v>
      </c>
      <c r="M1587" s="56" t="str">
        <f t="shared" si="178"/>
        <v>WED</v>
      </c>
      <c r="O1587" s="253">
        <f t="shared" si="181"/>
        <v>1</v>
      </c>
      <c r="P1587" s="392">
        <f t="shared" si="180"/>
        <v>1.0001477777777779</v>
      </c>
    </row>
    <row r="1588" spans="1:16">
      <c r="B1588" s="41"/>
      <c r="C1588" s="403">
        <f t="shared" si="175"/>
        <v>45386</v>
      </c>
      <c r="D1588" s="56" t="str">
        <f>VLOOKUP(MOD(C1588,7),'CALENDAR INFO'!$G$5:$H$11,2)</f>
        <v>THU</v>
      </c>
      <c r="E1588" s="165">
        <v>5.33</v>
      </c>
      <c r="F1588" s="336">
        <v>5.32</v>
      </c>
      <c r="G1588" s="411">
        <f t="shared" si="176"/>
        <v>-9.9999999999997868E-3</v>
      </c>
      <c r="K1588" s="129" t="s">
        <v>18</v>
      </c>
      <c r="L1588" s="403">
        <f t="shared" si="177"/>
        <v>45386</v>
      </c>
      <c r="M1588" s="56" t="str">
        <f t="shared" si="178"/>
        <v>THU</v>
      </c>
      <c r="O1588" s="253">
        <f t="shared" si="181"/>
        <v>1</v>
      </c>
      <c r="P1588" s="392">
        <f t="shared" si="180"/>
        <v>1.0001477777777779</v>
      </c>
    </row>
    <row r="1589" spans="1:16">
      <c r="B1589" s="41"/>
      <c r="C1589" s="403">
        <f t="shared" ref="C1589:C1652" si="182">C1588+1</f>
        <v>45387</v>
      </c>
      <c r="D1589" s="56" t="str">
        <f>VLOOKUP(MOD(C1589,7),'CALENDAR INFO'!$G$5:$H$11,2)</f>
        <v>FRI</v>
      </c>
      <c r="E1589" s="165">
        <v>5.33</v>
      </c>
      <c r="F1589" s="336">
        <v>5.32</v>
      </c>
      <c r="G1589" s="411">
        <f t="shared" si="176"/>
        <v>-9.9999999999997868E-3</v>
      </c>
      <c r="H1589" s="15" t="s">
        <v>150</v>
      </c>
      <c r="I1589" s="137" t="str">
        <f>_xlfn.CONCAT(ADDRESS(I1585,5),":",ADDRESS(I1587,5))</f>
        <v>$E$1585:$E$1614</v>
      </c>
      <c r="J1589" s="150" t="str">
        <f>_xlfn.CONCAT(ADDRESS(J1585,6),":",ADDRESS(J1587,6))</f>
        <v>$F$1585:$F$1614</v>
      </c>
      <c r="K1589" s="129"/>
      <c r="L1589" s="403">
        <f t="shared" si="177"/>
        <v>45387</v>
      </c>
      <c r="M1589" s="56" t="str">
        <f t="shared" si="178"/>
        <v>FRI</v>
      </c>
      <c r="O1589" s="253">
        <f t="shared" si="181"/>
        <v>3</v>
      </c>
      <c r="P1589" s="392">
        <f t="shared" si="180"/>
        <v>1.0004433333333334</v>
      </c>
    </row>
    <row r="1590" spans="1:16">
      <c r="B1590" s="41"/>
      <c r="C1590" s="403">
        <f t="shared" si="182"/>
        <v>45388</v>
      </c>
      <c r="D1590" s="56" t="str">
        <f>VLOOKUP(MOD(C1590,7),'CALENDAR INFO'!$G$5:$H$11,2)</f>
        <v>SAT</v>
      </c>
      <c r="E1590" s="165">
        <v>5.33</v>
      </c>
      <c r="F1590" s="336">
        <v>5.32</v>
      </c>
      <c r="G1590" s="411">
        <f t="shared" si="176"/>
        <v>-9.9999999999997868E-3</v>
      </c>
      <c r="K1590" s="129"/>
      <c r="L1590" s="403">
        <f t="shared" si="177"/>
        <v>45388</v>
      </c>
      <c r="M1590" s="56" t="str">
        <f t="shared" si="178"/>
        <v>SAT</v>
      </c>
      <c r="O1590" s="253">
        <f t="shared" si="181"/>
        <v>0</v>
      </c>
      <c r="P1590" s="392">
        <f t="shared" si="180"/>
        <v>1</v>
      </c>
    </row>
    <row r="1591" spans="1:16">
      <c r="B1591" s="41"/>
      <c r="C1591" s="403">
        <f t="shared" si="182"/>
        <v>45389</v>
      </c>
      <c r="D1591" s="56" t="str">
        <f>VLOOKUP(MOD(C1591,7),'CALENDAR INFO'!$G$5:$H$11,2)</f>
        <v>SUN</v>
      </c>
      <c r="E1591" s="165">
        <v>5.33</v>
      </c>
      <c r="F1591" s="336">
        <v>5.32</v>
      </c>
      <c r="G1591" s="411">
        <f t="shared" si="176"/>
        <v>-9.9999999999997868E-3</v>
      </c>
      <c r="H1591" s="376" t="s">
        <v>221</v>
      </c>
      <c r="I1591" s="147">
        <f ca="1">AVERAGE(INDIRECT(I1589))</f>
        <v>5.330000000000001</v>
      </c>
      <c r="J1591" s="326">
        <f ca="1">AVERAGE(INDIRECT(J1589))</f>
        <v>5.3163333333333327</v>
      </c>
      <c r="K1591" s="129"/>
      <c r="L1591" s="403">
        <f t="shared" si="177"/>
        <v>45389</v>
      </c>
      <c r="M1591" s="56" t="str">
        <f t="shared" si="178"/>
        <v>SUN</v>
      </c>
      <c r="O1591" s="253">
        <f t="shared" si="181"/>
        <v>0</v>
      </c>
      <c r="P1591" s="392">
        <f t="shared" si="180"/>
        <v>1</v>
      </c>
    </row>
    <row r="1592" spans="1:16">
      <c r="B1592" s="41"/>
      <c r="C1592" s="403">
        <f t="shared" si="182"/>
        <v>45390</v>
      </c>
      <c r="D1592" s="56" t="str">
        <f>VLOOKUP(MOD(C1592,7),'CALENDAR INFO'!$G$5:$H$11,2)</f>
        <v>MON</v>
      </c>
      <c r="E1592" s="165">
        <v>5.33</v>
      </c>
      <c r="F1592" s="336">
        <v>5.31</v>
      </c>
      <c r="G1592" s="411">
        <f t="shared" si="176"/>
        <v>-2.0000000000000462E-2</v>
      </c>
      <c r="I1592" s="240"/>
      <c r="J1592" s="157"/>
      <c r="K1592" s="129"/>
      <c r="L1592" s="403">
        <f t="shared" si="177"/>
        <v>45390</v>
      </c>
      <c r="M1592" s="56" t="str">
        <f t="shared" si="178"/>
        <v>MON</v>
      </c>
      <c r="O1592" s="253">
        <f t="shared" si="181"/>
        <v>1</v>
      </c>
      <c r="P1592" s="392">
        <f t="shared" si="180"/>
        <v>1.0001475</v>
      </c>
    </row>
    <row r="1593" spans="1:16">
      <c r="B1593" s="41"/>
      <c r="C1593" s="403">
        <f t="shared" si="182"/>
        <v>45391</v>
      </c>
      <c r="D1593" s="56" t="str">
        <f>VLOOKUP(MOD(C1593,7),'CALENDAR INFO'!$G$5:$H$11,2)</f>
        <v>TUE</v>
      </c>
      <c r="E1593" s="165">
        <v>5.33</v>
      </c>
      <c r="F1593" s="336">
        <v>5.31</v>
      </c>
      <c r="G1593" s="411">
        <f t="shared" si="176"/>
        <v>-2.0000000000000462E-2</v>
      </c>
      <c r="H1593" s="15" t="s">
        <v>222</v>
      </c>
      <c r="I1593" s="147">
        <f ca="1">100-I1591</f>
        <v>94.67</v>
      </c>
      <c r="J1593" s="326">
        <f ca="1">100-J1591</f>
        <v>94.683666666666667</v>
      </c>
      <c r="K1593" s="129"/>
      <c r="L1593" s="403">
        <f t="shared" si="177"/>
        <v>45391</v>
      </c>
      <c r="M1593" s="56" t="str">
        <f t="shared" si="178"/>
        <v>TUE</v>
      </c>
      <c r="O1593" s="253">
        <f t="shared" si="181"/>
        <v>1</v>
      </c>
      <c r="P1593" s="392">
        <f t="shared" si="180"/>
        <v>1.0001475</v>
      </c>
    </row>
    <row r="1594" spans="1:16">
      <c r="B1594" s="41"/>
      <c r="C1594" s="403">
        <f t="shared" si="182"/>
        <v>45392</v>
      </c>
      <c r="D1594" s="56" t="str">
        <f>VLOOKUP(MOD(C1594,7),'CALENDAR INFO'!$G$5:$H$11,2)</f>
        <v>WED</v>
      </c>
      <c r="E1594" s="165">
        <v>5.33</v>
      </c>
      <c r="F1594" s="336">
        <v>5.31</v>
      </c>
      <c r="G1594" s="411">
        <f t="shared" si="176"/>
        <v>-2.0000000000000462E-2</v>
      </c>
      <c r="I1594" s="137"/>
      <c r="J1594" s="150"/>
      <c r="K1594" s="129"/>
      <c r="L1594" s="403">
        <f t="shared" si="177"/>
        <v>45392</v>
      </c>
      <c r="M1594" s="56" t="str">
        <f t="shared" si="178"/>
        <v>WED</v>
      </c>
      <c r="O1594" s="253">
        <f t="shared" si="181"/>
        <v>1</v>
      </c>
      <c r="P1594" s="392">
        <f t="shared" si="180"/>
        <v>1.0001475</v>
      </c>
    </row>
    <row r="1595" spans="1:16">
      <c r="B1595" s="41"/>
      <c r="C1595" s="403">
        <f t="shared" si="182"/>
        <v>45393</v>
      </c>
      <c r="D1595" s="56" t="str">
        <f>VLOOKUP(MOD(C1595,7),'CALENDAR INFO'!$G$5:$H$11,2)</f>
        <v>THU</v>
      </c>
      <c r="E1595" s="165">
        <v>5.33</v>
      </c>
      <c r="F1595" s="336">
        <v>5.31</v>
      </c>
      <c r="G1595" s="411">
        <f t="shared" si="176"/>
        <v>-2.0000000000000462E-2</v>
      </c>
      <c r="H1595" s="136"/>
      <c r="I1595" s="139"/>
      <c r="J1595" s="151"/>
      <c r="K1595" s="129"/>
      <c r="L1595" s="403">
        <f t="shared" si="177"/>
        <v>45393</v>
      </c>
      <c r="M1595" s="56" t="str">
        <f t="shared" si="178"/>
        <v>THU</v>
      </c>
      <c r="O1595" s="253">
        <f t="shared" si="181"/>
        <v>1</v>
      </c>
      <c r="P1595" s="392">
        <f t="shared" si="180"/>
        <v>1.0001475</v>
      </c>
    </row>
    <row r="1596" spans="1:16">
      <c r="B1596" s="41"/>
      <c r="C1596" s="403">
        <f t="shared" si="182"/>
        <v>45394</v>
      </c>
      <c r="D1596" s="56" t="str">
        <f>VLOOKUP(MOD(C1596,7),'CALENDAR INFO'!$G$5:$H$11,2)</f>
        <v>FRI</v>
      </c>
      <c r="E1596" s="165">
        <v>5.33</v>
      </c>
      <c r="F1596" s="336">
        <v>5.31</v>
      </c>
      <c r="G1596" s="411">
        <f t="shared" si="176"/>
        <v>-2.0000000000000462E-2</v>
      </c>
      <c r="H1596" s="136"/>
      <c r="I1596" s="139"/>
      <c r="J1596" s="151"/>
      <c r="K1596" s="129"/>
      <c r="L1596" s="403">
        <f t="shared" si="177"/>
        <v>45394</v>
      </c>
      <c r="M1596" s="56" t="str">
        <f t="shared" si="178"/>
        <v>FRI</v>
      </c>
      <c r="O1596" s="253">
        <f t="shared" si="181"/>
        <v>3</v>
      </c>
      <c r="P1596" s="392">
        <f t="shared" si="180"/>
        <v>1.0004424999999999</v>
      </c>
    </row>
    <row r="1597" spans="1:16">
      <c r="B1597" s="41"/>
      <c r="C1597" s="403">
        <f t="shared" si="182"/>
        <v>45395</v>
      </c>
      <c r="D1597" s="56" t="str">
        <f>VLOOKUP(MOD(C1597,7),'CALENDAR INFO'!$G$5:$H$11,2)</f>
        <v>SAT</v>
      </c>
      <c r="E1597" s="165">
        <v>5.33</v>
      </c>
      <c r="F1597" s="336">
        <v>5.31</v>
      </c>
      <c r="G1597" s="411">
        <f t="shared" si="176"/>
        <v>-2.0000000000000462E-2</v>
      </c>
      <c r="H1597" s="136"/>
      <c r="I1597" s="139"/>
      <c r="J1597" s="151"/>
      <c r="K1597" s="129"/>
      <c r="L1597" s="403">
        <f t="shared" si="177"/>
        <v>45395</v>
      </c>
      <c r="M1597" s="56" t="str">
        <f t="shared" si="178"/>
        <v>SAT</v>
      </c>
      <c r="O1597" s="253">
        <f t="shared" si="181"/>
        <v>0</v>
      </c>
      <c r="P1597" s="392">
        <f t="shared" si="180"/>
        <v>1</v>
      </c>
    </row>
    <row r="1598" spans="1:16">
      <c r="B1598" s="41"/>
      <c r="C1598" s="403">
        <f t="shared" si="182"/>
        <v>45396</v>
      </c>
      <c r="D1598" s="56" t="str">
        <f>VLOOKUP(MOD(C1598,7),'CALENDAR INFO'!$G$5:$H$11,2)</f>
        <v>SUN</v>
      </c>
      <c r="E1598" s="165">
        <v>5.33</v>
      </c>
      <c r="F1598" s="336">
        <v>5.31</v>
      </c>
      <c r="G1598" s="411">
        <f t="shared" si="176"/>
        <v>-2.0000000000000462E-2</v>
      </c>
      <c r="K1598" s="129"/>
      <c r="L1598" s="403">
        <f t="shared" si="177"/>
        <v>45396</v>
      </c>
      <c r="M1598" s="56" t="str">
        <f t="shared" si="178"/>
        <v>SUN</v>
      </c>
      <c r="O1598" s="253">
        <f t="shared" si="181"/>
        <v>0</v>
      </c>
      <c r="P1598" s="392">
        <f t="shared" si="180"/>
        <v>1</v>
      </c>
    </row>
    <row r="1599" spans="1:16">
      <c r="B1599" s="41"/>
      <c r="C1599" s="403">
        <f t="shared" si="182"/>
        <v>45397</v>
      </c>
      <c r="D1599" s="56" t="str">
        <f>VLOOKUP(MOD(C1599,7),'CALENDAR INFO'!$G$5:$H$11,2)</f>
        <v>MON</v>
      </c>
      <c r="E1599" s="165">
        <v>5.33</v>
      </c>
      <c r="F1599" s="336">
        <v>5.32</v>
      </c>
      <c r="G1599" s="411">
        <f t="shared" si="176"/>
        <v>-9.9999999999997868E-3</v>
      </c>
      <c r="H1599" s="135"/>
      <c r="I1599" s="144"/>
      <c r="J1599" s="152"/>
      <c r="K1599" s="129"/>
      <c r="L1599" s="403">
        <f t="shared" si="177"/>
        <v>45397</v>
      </c>
      <c r="M1599" s="56" t="str">
        <f t="shared" si="178"/>
        <v>MON</v>
      </c>
      <c r="O1599" s="253">
        <f t="shared" si="181"/>
        <v>1</v>
      </c>
      <c r="P1599" s="392">
        <f t="shared" si="180"/>
        <v>1.0001477777777779</v>
      </c>
    </row>
    <row r="1600" spans="1:16">
      <c r="B1600" s="41"/>
      <c r="C1600" s="403">
        <f t="shared" si="182"/>
        <v>45398</v>
      </c>
      <c r="D1600" s="56" t="str">
        <f>VLOOKUP(MOD(C1600,7),'CALENDAR INFO'!$G$5:$H$11,2)</f>
        <v>TUE</v>
      </c>
      <c r="E1600" s="165">
        <v>5.33</v>
      </c>
      <c r="F1600" s="336">
        <v>5.31</v>
      </c>
      <c r="G1600" s="411">
        <f t="shared" si="176"/>
        <v>-2.0000000000000462E-2</v>
      </c>
      <c r="K1600" s="129"/>
      <c r="L1600" s="403">
        <f t="shared" si="177"/>
        <v>45398</v>
      </c>
      <c r="M1600" s="56" t="str">
        <f t="shared" si="178"/>
        <v>TUE</v>
      </c>
      <c r="O1600" s="253">
        <f t="shared" si="181"/>
        <v>1</v>
      </c>
      <c r="P1600" s="392">
        <f t="shared" si="180"/>
        <v>1.0001475</v>
      </c>
    </row>
    <row r="1601" spans="1:18">
      <c r="B1601" s="41"/>
      <c r="C1601" s="403">
        <f t="shared" si="182"/>
        <v>45399</v>
      </c>
      <c r="D1601" s="56" t="str">
        <f>VLOOKUP(MOD(C1601,7),'CALENDAR INFO'!$G$5:$H$11,2)</f>
        <v>WED</v>
      </c>
      <c r="E1601" s="165">
        <v>5.33</v>
      </c>
      <c r="F1601" s="336">
        <v>5.31</v>
      </c>
      <c r="G1601" s="411">
        <f t="shared" si="176"/>
        <v>-2.0000000000000462E-2</v>
      </c>
      <c r="K1601" s="129" t="s">
        <v>19</v>
      </c>
      <c r="L1601" s="403">
        <f t="shared" si="177"/>
        <v>45399</v>
      </c>
      <c r="M1601" s="56" t="str">
        <f t="shared" si="178"/>
        <v>WED</v>
      </c>
      <c r="O1601" s="253">
        <f t="shared" si="181"/>
        <v>1</v>
      </c>
      <c r="P1601" s="392">
        <f t="shared" si="180"/>
        <v>1.0001475</v>
      </c>
    </row>
    <row r="1602" spans="1:18">
      <c r="B1602" s="41"/>
      <c r="C1602" s="403">
        <f t="shared" si="182"/>
        <v>45400</v>
      </c>
      <c r="D1602" s="56" t="str">
        <f>VLOOKUP(MOD(C1602,7),'CALENDAR INFO'!$G$5:$H$11,2)</f>
        <v>THU</v>
      </c>
      <c r="E1602" s="165">
        <v>5.33</v>
      </c>
      <c r="F1602" s="336">
        <v>5.3</v>
      </c>
      <c r="G1602" s="411">
        <f t="shared" si="176"/>
        <v>-3.0000000000000249E-2</v>
      </c>
      <c r="K1602" s="126" t="s">
        <v>18</v>
      </c>
      <c r="L1602" s="403">
        <f t="shared" si="177"/>
        <v>45400</v>
      </c>
      <c r="M1602" s="56" t="str">
        <f t="shared" si="178"/>
        <v>THU</v>
      </c>
      <c r="O1602" s="253">
        <f t="shared" si="181"/>
        <v>1</v>
      </c>
      <c r="P1602" s="392">
        <f t="shared" si="180"/>
        <v>1.0001472222222223</v>
      </c>
    </row>
    <row r="1603" spans="1:18">
      <c r="B1603" s="41"/>
      <c r="C1603" s="403">
        <f t="shared" si="182"/>
        <v>45401</v>
      </c>
      <c r="D1603" s="56" t="str">
        <f>VLOOKUP(MOD(C1603,7),'CALENDAR INFO'!$G$5:$H$11,2)</f>
        <v>FRI</v>
      </c>
      <c r="E1603" s="165">
        <v>5.33</v>
      </c>
      <c r="F1603" s="336">
        <v>5.31</v>
      </c>
      <c r="G1603" s="411">
        <f t="shared" ref="G1603:G1666" si="183">F1603-E1603</f>
        <v>-2.0000000000000462E-2</v>
      </c>
      <c r="K1603" s="126"/>
      <c r="L1603" s="403">
        <f t="shared" ref="L1603:L1666" si="184">C1603</f>
        <v>45401</v>
      </c>
      <c r="M1603" s="56" t="str">
        <f t="shared" ref="M1603:M1666" si="185">D1603</f>
        <v>FRI</v>
      </c>
      <c r="O1603" s="253">
        <f t="shared" si="181"/>
        <v>3</v>
      </c>
      <c r="P1603" s="392">
        <f t="shared" si="180"/>
        <v>1.0004424999999999</v>
      </c>
    </row>
    <row r="1604" spans="1:18">
      <c r="B1604" s="41"/>
      <c r="C1604" s="403">
        <f t="shared" si="182"/>
        <v>45402</v>
      </c>
      <c r="D1604" s="56" t="str">
        <f>VLOOKUP(MOD(C1604,7),'CALENDAR INFO'!$G$5:$H$11,2)</f>
        <v>SAT</v>
      </c>
      <c r="E1604" s="165">
        <v>5.33</v>
      </c>
      <c r="F1604" s="336">
        <v>5.31</v>
      </c>
      <c r="G1604" s="411">
        <f t="shared" si="183"/>
        <v>-2.0000000000000462E-2</v>
      </c>
      <c r="K1604" s="126"/>
      <c r="L1604" s="403">
        <f t="shared" si="184"/>
        <v>45402</v>
      </c>
      <c r="M1604" s="56" t="str">
        <f t="shared" si="185"/>
        <v>SAT</v>
      </c>
      <c r="O1604" s="253">
        <f t="shared" si="181"/>
        <v>0</v>
      </c>
      <c r="P1604" s="392">
        <f t="shared" si="180"/>
        <v>1</v>
      </c>
    </row>
    <row r="1605" spans="1:18">
      <c r="B1605" s="41"/>
      <c r="C1605" s="403">
        <f t="shared" si="182"/>
        <v>45403</v>
      </c>
      <c r="D1605" s="56" t="str">
        <f>VLOOKUP(MOD(C1605,7),'CALENDAR INFO'!$G$5:$H$11,2)</f>
        <v>SUN</v>
      </c>
      <c r="E1605" s="165">
        <v>5.33</v>
      </c>
      <c r="F1605" s="336">
        <v>5.31</v>
      </c>
      <c r="G1605" s="411">
        <f t="shared" si="183"/>
        <v>-2.0000000000000462E-2</v>
      </c>
      <c r="K1605" s="126"/>
      <c r="L1605" s="403">
        <f t="shared" si="184"/>
        <v>45403</v>
      </c>
      <c r="M1605" s="56" t="str">
        <f t="shared" si="185"/>
        <v>SUN</v>
      </c>
      <c r="O1605" s="253">
        <f t="shared" si="181"/>
        <v>0</v>
      </c>
      <c r="P1605" s="392">
        <f t="shared" si="180"/>
        <v>1</v>
      </c>
    </row>
    <row r="1606" spans="1:18">
      <c r="B1606" s="41"/>
      <c r="C1606" s="403">
        <f t="shared" si="182"/>
        <v>45404</v>
      </c>
      <c r="D1606" s="56" t="str">
        <f>VLOOKUP(MOD(C1606,7),'CALENDAR INFO'!$G$5:$H$11,2)</f>
        <v>MON</v>
      </c>
      <c r="E1606" s="165">
        <v>5.33</v>
      </c>
      <c r="F1606" s="336">
        <v>5.31</v>
      </c>
      <c r="G1606" s="411">
        <f t="shared" si="183"/>
        <v>-2.0000000000000462E-2</v>
      </c>
      <c r="K1606" s="126"/>
      <c r="L1606" s="403">
        <f t="shared" si="184"/>
        <v>45404</v>
      </c>
      <c r="M1606" s="56" t="str">
        <f t="shared" si="185"/>
        <v>MON</v>
      </c>
      <c r="O1606" s="253">
        <f t="shared" si="181"/>
        <v>1</v>
      </c>
      <c r="P1606" s="392">
        <f t="shared" si="180"/>
        <v>1.0001475</v>
      </c>
    </row>
    <row r="1607" spans="1:18">
      <c r="B1607" s="41"/>
      <c r="C1607" s="403">
        <f t="shared" si="182"/>
        <v>45405</v>
      </c>
      <c r="D1607" s="56" t="str">
        <f>VLOOKUP(MOD(C1607,7),'CALENDAR INFO'!$G$5:$H$11,2)</f>
        <v>TUE</v>
      </c>
      <c r="E1607" s="165">
        <v>5.33</v>
      </c>
      <c r="F1607" s="336">
        <v>5.31</v>
      </c>
      <c r="G1607" s="411">
        <f t="shared" si="183"/>
        <v>-2.0000000000000462E-2</v>
      </c>
      <c r="K1607" s="126"/>
      <c r="L1607" s="403">
        <f t="shared" si="184"/>
        <v>45405</v>
      </c>
      <c r="M1607" s="56" t="str">
        <f t="shared" si="185"/>
        <v>TUE</v>
      </c>
      <c r="O1607" s="253">
        <f t="shared" si="181"/>
        <v>1</v>
      </c>
      <c r="P1607" s="392">
        <f t="shared" si="180"/>
        <v>1.0001475</v>
      </c>
    </row>
    <row r="1608" spans="1:18">
      <c r="B1608" s="41"/>
      <c r="C1608" s="403">
        <f t="shared" si="182"/>
        <v>45406</v>
      </c>
      <c r="D1608" s="56" t="str">
        <f>VLOOKUP(MOD(C1608,7),'CALENDAR INFO'!$G$5:$H$11,2)</f>
        <v>WED</v>
      </c>
      <c r="E1608" s="165">
        <v>5.33</v>
      </c>
      <c r="F1608" s="336">
        <v>5.31</v>
      </c>
      <c r="G1608" s="411">
        <f t="shared" si="183"/>
        <v>-2.0000000000000462E-2</v>
      </c>
      <c r="K1608" s="126"/>
      <c r="L1608" s="403">
        <f t="shared" si="184"/>
        <v>45406</v>
      </c>
      <c r="M1608" s="56" t="str">
        <f t="shared" si="185"/>
        <v>WED</v>
      </c>
      <c r="O1608" s="253">
        <f t="shared" si="181"/>
        <v>1</v>
      </c>
      <c r="P1608" s="392">
        <f t="shared" si="180"/>
        <v>1.0001475</v>
      </c>
    </row>
    <row r="1609" spans="1:18">
      <c r="B1609" s="41"/>
      <c r="C1609" s="403">
        <f t="shared" si="182"/>
        <v>45407</v>
      </c>
      <c r="D1609" s="56" t="str">
        <f>VLOOKUP(MOD(C1609,7),'CALENDAR INFO'!$G$5:$H$11,2)</f>
        <v>THU</v>
      </c>
      <c r="E1609" s="165">
        <v>5.33</v>
      </c>
      <c r="F1609" s="336">
        <v>5.31</v>
      </c>
      <c r="G1609" s="411">
        <f t="shared" si="183"/>
        <v>-2.0000000000000462E-2</v>
      </c>
      <c r="K1609" s="126"/>
      <c r="L1609" s="403">
        <f t="shared" si="184"/>
        <v>45407</v>
      </c>
      <c r="M1609" s="56" t="str">
        <f t="shared" si="185"/>
        <v>THU</v>
      </c>
      <c r="O1609" s="253">
        <f t="shared" si="181"/>
        <v>1</v>
      </c>
      <c r="P1609" s="392">
        <f t="shared" si="180"/>
        <v>1.0001475</v>
      </c>
      <c r="R1609" s="221"/>
    </row>
    <row r="1610" spans="1:18">
      <c r="B1610" s="41"/>
      <c r="C1610" s="403">
        <f t="shared" si="182"/>
        <v>45408</v>
      </c>
      <c r="D1610" s="56" t="str">
        <f>VLOOKUP(MOD(C1610,7),'CALENDAR INFO'!$G$5:$H$11,2)</f>
        <v>FRI</v>
      </c>
      <c r="E1610" s="165">
        <v>5.33</v>
      </c>
      <c r="F1610" s="336">
        <v>5.32</v>
      </c>
      <c r="G1610" s="411">
        <f t="shared" si="183"/>
        <v>-9.9999999999997868E-3</v>
      </c>
      <c r="K1610" s="126"/>
      <c r="L1610" s="403">
        <f t="shared" si="184"/>
        <v>45408</v>
      </c>
      <c r="M1610" s="56" t="str">
        <f t="shared" si="185"/>
        <v>FRI</v>
      </c>
      <c r="O1610" s="253">
        <f t="shared" si="181"/>
        <v>3</v>
      </c>
      <c r="P1610" s="392">
        <f t="shared" si="180"/>
        <v>1.0004433333333334</v>
      </c>
      <c r="R1610" s="222"/>
    </row>
    <row r="1611" spans="1:18">
      <c r="B1611" s="41"/>
      <c r="C1611" s="403">
        <f t="shared" si="182"/>
        <v>45409</v>
      </c>
      <c r="D1611" s="56" t="str">
        <f>VLOOKUP(MOD(C1611,7),'CALENDAR INFO'!$G$5:$H$11,2)</f>
        <v>SAT</v>
      </c>
      <c r="E1611" s="165">
        <v>5.33</v>
      </c>
      <c r="F1611" s="336">
        <v>5.32</v>
      </c>
      <c r="G1611" s="411">
        <f t="shared" si="183"/>
        <v>-9.9999999999997868E-3</v>
      </c>
      <c r="I1611" s="137"/>
      <c r="K1611" s="126"/>
      <c r="L1611" s="403">
        <f t="shared" si="184"/>
        <v>45409</v>
      </c>
      <c r="M1611" s="56" t="str">
        <f t="shared" si="185"/>
        <v>SAT</v>
      </c>
      <c r="O1611" s="253">
        <f t="shared" si="181"/>
        <v>0</v>
      </c>
      <c r="P1611" s="392">
        <f t="shared" si="180"/>
        <v>1</v>
      </c>
      <c r="R1611" s="222"/>
    </row>
    <row r="1612" spans="1:18">
      <c r="B1612" s="41"/>
      <c r="C1612" s="403">
        <f t="shared" si="182"/>
        <v>45410</v>
      </c>
      <c r="D1612" s="56" t="str">
        <f>VLOOKUP(MOD(C1612,7),'CALENDAR INFO'!$G$5:$H$11,2)</f>
        <v>SUN</v>
      </c>
      <c r="E1612" s="165">
        <v>5.33</v>
      </c>
      <c r="F1612" s="336">
        <v>5.32</v>
      </c>
      <c r="G1612" s="411">
        <f t="shared" si="183"/>
        <v>-9.9999999999997868E-3</v>
      </c>
      <c r="H1612" s="343"/>
      <c r="I1612" s="142"/>
      <c r="J1612" s="156"/>
      <c r="K1612" s="126"/>
      <c r="L1612" s="403">
        <f t="shared" si="184"/>
        <v>45410</v>
      </c>
      <c r="M1612" s="56" t="str">
        <f t="shared" si="185"/>
        <v>SUN</v>
      </c>
      <c r="O1612" s="253">
        <f t="shared" si="181"/>
        <v>0</v>
      </c>
      <c r="P1612" s="392">
        <f t="shared" si="180"/>
        <v>1</v>
      </c>
    </row>
    <row r="1613" spans="1:18">
      <c r="B1613" s="41"/>
      <c r="C1613" s="403">
        <f t="shared" si="182"/>
        <v>45411</v>
      </c>
      <c r="D1613" s="56" t="str">
        <f>VLOOKUP(MOD(C1613,7),'CALENDAR INFO'!$G$5:$H$11,2)</f>
        <v>MON</v>
      </c>
      <c r="E1613" s="165">
        <v>5.33</v>
      </c>
      <c r="F1613" s="336">
        <v>5.32</v>
      </c>
      <c r="G1613" s="411">
        <f t="shared" si="183"/>
        <v>-9.9999999999997868E-3</v>
      </c>
      <c r="H1613" s="343"/>
      <c r="I1613" s="145"/>
      <c r="J1613" s="266"/>
      <c r="K1613" s="126"/>
      <c r="L1613" s="403">
        <f t="shared" si="184"/>
        <v>45411</v>
      </c>
      <c r="M1613" s="56" t="str">
        <f t="shared" si="185"/>
        <v>MON</v>
      </c>
      <c r="O1613" s="253">
        <f t="shared" si="181"/>
        <v>1</v>
      </c>
      <c r="P1613" s="392">
        <f t="shared" si="180"/>
        <v>1.0001477777777779</v>
      </c>
    </row>
    <row r="1614" spans="1:18" ht="15.75" thickBot="1">
      <c r="A1614" s="81"/>
      <c r="B1614" s="178"/>
      <c r="C1614" s="404">
        <f t="shared" si="182"/>
        <v>45412</v>
      </c>
      <c r="D1614" s="64" t="str">
        <f>VLOOKUP(MOD(C1614,7),'CALENDAR INFO'!$G$5:$H$11,2)</f>
        <v>TUE</v>
      </c>
      <c r="E1614" s="166">
        <v>5.33</v>
      </c>
      <c r="F1614" s="337">
        <v>5.34</v>
      </c>
      <c r="G1614" s="412">
        <f t="shared" si="183"/>
        <v>9.9999999999997868E-3</v>
      </c>
      <c r="H1614" s="335"/>
      <c r="I1614" s="267"/>
      <c r="J1614" s="268"/>
      <c r="K1614" s="190"/>
      <c r="L1614" s="404">
        <f t="shared" si="184"/>
        <v>45412</v>
      </c>
      <c r="M1614" s="64" t="str">
        <f t="shared" si="185"/>
        <v>TUE</v>
      </c>
      <c r="N1614" s="121" t="s">
        <v>20</v>
      </c>
      <c r="O1614" s="383">
        <f t="shared" si="181"/>
        <v>1</v>
      </c>
      <c r="P1614" s="388">
        <f t="shared" si="180"/>
        <v>1.0001483333333334</v>
      </c>
      <c r="Q1614" s="18"/>
    </row>
    <row r="1615" spans="1:18">
      <c r="A1615" s="238"/>
      <c r="B1615" s="239"/>
      <c r="C1615" s="403">
        <f t="shared" si="182"/>
        <v>45413</v>
      </c>
      <c r="D1615" s="56" t="str">
        <f>VLOOKUP(MOD(C1615,7),'CALENDAR INFO'!$G$5:$H$11,2)</f>
        <v>WED</v>
      </c>
      <c r="E1615" s="165">
        <v>5.33</v>
      </c>
      <c r="F1615" s="336">
        <v>5.32</v>
      </c>
      <c r="G1615" s="411">
        <f t="shared" si="183"/>
        <v>-9.9999999999997868E-3</v>
      </c>
      <c r="H1615" s="15" t="s">
        <v>149</v>
      </c>
      <c r="I1615" s="15">
        <f>ROW(I1615)</f>
        <v>1615</v>
      </c>
      <c r="J1615" s="138">
        <f>I1615</f>
        <v>1615</v>
      </c>
      <c r="K1615" s="126" t="s">
        <v>19</v>
      </c>
      <c r="L1615" s="403">
        <f t="shared" si="184"/>
        <v>45413</v>
      </c>
      <c r="M1615" s="56" t="str">
        <f t="shared" si="185"/>
        <v>WED</v>
      </c>
      <c r="N1615" s="116" t="s">
        <v>20</v>
      </c>
      <c r="O1615" s="386">
        <f t="shared" ref="O1615:O1637" si="186">IF(MOD(C1615,7)&lt;2,0,IF(MOD(C1615,7)=6,3,1))</f>
        <v>1</v>
      </c>
      <c r="P1615" s="390">
        <f t="shared" si="180"/>
        <v>1.0001477777777779</v>
      </c>
    </row>
    <row r="1616" spans="1:18">
      <c r="B1616" s="41"/>
      <c r="C1616" s="403">
        <f t="shared" si="182"/>
        <v>45414</v>
      </c>
      <c r="D1616" s="56" t="str">
        <f>VLOOKUP(MOD(C1616,7),'CALENDAR INFO'!$G$5:$H$11,2)</f>
        <v>THU</v>
      </c>
      <c r="E1616" s="165">
        <v>5.33</v>
      </c>
      <c r="F1616" s="336">
        <v>5.31</v>
      </c>
      <c r="G1616" s="411">
        <f t="shared" si="183"/>
        <v>-2.0000000000000462E-2</v>
      </c>
      <c r="H1616" s="376" t="s">
        <v>210</v>
      </c>
      <c r="I1616" s="15">
        <f>VLOOKUP(MONTH($C1615),'CALENDAR INFO'!$J$5:$K$16,2)</f>
        <v>31</v>
      </c>
      <c r="J1616" s="138">
        <f>I1616</f>
        <v>31</v>
      </c>
      <c r="K1616" s="129" t="s">
        <v>18</v>
      </c>
      <c r="L1616" s="403">
        <f t="shared" si="184"/>
        <v>45414</v>
      </c>
      <c r="M1616" s="56" t="str">
        <f t="shared" si="185"/>
        <v>THU</v>
      </c>
      <c r="O1616" s="253">
        <f t="shared" si="186"/>
        <v>1</v>
      </c>
      <c r="P1616" s="392">
        <f t="shared" si="180"/>
        <v>1.0001475</v>
      </c>
    </row>
    <row r="1617" spans="2:16">
      <c r="B1617" s="41"/>
      <c r="C1617" s="403">
        <f t="shared" si="182"/>
        <v>45415</v>
      </c>
      <c r="D1617" s="56" t="str">
        <f>VLOOKUP(MOD(C1617,7),'CALENDAR INFO'!$G$5:$H$11,2)</f>
        <v>FRI</v>
      </c>
      <c r="E1617" s="165">
        <v>5.33</v>
      </c>
      <c r="F1617" s="336">
        <v>5.31</v>
      </c>
      <c r="G1617" s="411">
        <f t="shared" si="183"/>
        <v>-2.0000000000000462E-2</v>
      </c>
      <c r="H1617" s="376" t="s">
        <v>211</v>
      </c>
      <c r="I1617" s="15">
        <f>I1616+I1615-1</f>
        <v>1645</v>
      </c>
      <c r="J1617" s="138">
        <f>I1617</f>
        <v>1645</v>
      </c>
      <c r="K1617" s="129"/>
      <c r="L1617" s="403">
        <f t="shared" si="184"/>
        <v>45415</v>
      </c>
      <c r="M1617" s="56" t="str">
        <f t="shared" si="185"/>
        <v>FRI</v>
      </c>
      <c r="O1617" s="253">
        <f t="shared" si="186"/>
        <v>3</v>
      </c>
      <c r="P1617" s="392">
        <f t="shared" si="180"/>
        <v>1.0004424999999999</v>
      </c>
    </row>
    <row r="1618" spans="2:16">
      <c r="B1618" s="41"/>
      <c r="C1618" s="403">
        <f t="shared" si="182"/>
        <v>45416</v>
      </c>
      <c r="D1618" s="56" t="str">
        <f>VLOOKUP(MOD(C1618,7),'CALENDAR INFO'!$G$5:$H$11,2)</f>
        <v>SAT</v>
      </c>
      <c r="E1618" s="165">
        <v>5.33</v>
      </c>
      <c r="F1618" s="336">
        <v>5.31</v>
      </c>
      <c r="G1618" s="411">
        <f t="shared" si="183"/>
        <v>-2.0000000000000462E-2</v>
      </c>
      <c r="K1618" s="129"/>
      <c r="L1618" s="403">
        <f t="shared" si="184"/>
        <v>45416</v>
      </c>
      <c r="M1618" s="56" t="str">
        <f t="shared" si="185"/>
        <v>SAT</v>
      </c>
      <c r="O1618" s="253">
        <f t="shared" si="186"/>
        <v>0</v>
      </c>
      <c r="P1618" s="392">
        <f t="shared" si="180"/>
        <v>1</v>
      </c>
    </row>
    <row r="1619" spans="2:16">
      <c r="B1619" s="41"/>
      <c r="C1619" s="403">
        <f t="shared" si="182"/>
        <v>45417</v>
      </c>
      <c r="D1619" s="56" t="str">
        <f>VLOOKUP(MOD(C1619,7),'CALENDAR INFO'!$G$5:$H$11,2)</f>
        <v>SUN</v>
      </c>
      <c r="E1619" s="165">
        <v>5.33</v>
      </c>
      <c r="F1619" s="336">
        <v>5.31</v>
      </c>
      <c r="G1619" s="411">
        <f t="shared" si="183"/>
        <v>-2.0000000000000462E-2</v>
      </c>
      <c r="H1619" s="15" t="s">
        <v>150</v>
      </c>
      <c r="I1619" s="137" t="str">
        <f>_xlfn.CONCAT(ADDRESS(I1615,5),":",ADDRESS(I1617,5))</f>
        <v>$E$1615:$E$1645</v>
      </c>
      <c r="J1619" s="150" t="str">
        <f>_xlfn.CONCAT(ADDRESS(J1615,6),":",ADDRESS(J1617,6))</f>
        <v>$F$1615:$F$1645</v>
      </c>
      <c r="K1619" s="129"/>
      <c r="L1619" s="403">
        <f t="shared" si="184"/>
        <v>45417</v>
      </c>
      <c r="M1619" s="56" t="str">
        <f t="shared" si="185"/>
        <v>SUN</v>
      </c>
      <c r="O1619" s="253">
        <f t="shared" si="186"/>
        <v>0</v>
      </c>
      <c r="P1619" s="392">
        <f t="shared" ref="P1619:P1682" si="187">1+(O1619/360)*(MAX(F1619,B1619)/100)</f>
        <v>1</v>
      </c>
    </row>
    <row r="1620" spans="2:16">
      <c r="B1620" s="41"/>
      <c r="C1620" s="403">
        <f t="shared" si="182"/>
        <v>45418</v>
      </c>
      <c r="D1620" s="56" t="str">
        <f>VLOOKUP(MOD(C1620,7),'CALENDAR INFO'!$G$5:$H$11,2)</f>
        <v>MON</v>
      </c>
      <c r="E1620" s="165">
        <v>5.33</v>
      </c>
      <c r="F1620" s="336">
        <v>5.31</v>
      </c>
      <c r="G1620" s="411">
        <f t="shared" si="183"/>
        <v>-2.0000000000000462E-2</v>
      </c>
      <c r="K1620" s="129"/>
      <c r="L1620" s="403">
        <f t="shared" si="184"/>
        <v>45418</v>
      </c>
      <c r="M1620" s="56" t="str">
        <f t="shared" si="185"/>
        <v>MON</v>
      </c>
      <c r="O1620" s="253">
        <f t="shared" si="186"/>
        <v>1</v>
      </c>
      <c r="P1620" s="392">
        <f t="shared" si="187"/>
        <v>1.0001475</v>
      </c>
    </row>
    <row r="1621" spans="2:16">
      <c r="B1621" s="41"/>
      <c r="C1621" s="403">
        <f t="shared" si="182"/>
        <v>45419</v>
      </c>
      <c r="D1621" s="56" t="str">
        <f>VLOOKUP(MOD(C1621,7),'CALENDAR INFO'!$G$5:$H$11,2)</f>
        <v>TUE</v>
      </c>
      <c r="E1621" s="165">
        <v>5.33</v>
      </c>
      <c r="F1621" s="336">
        <v>5.31</v>
      </c>
      <c r="G1621" s="411">
        <f t="shared" si="183"/>
        <v>-2.0000000000000462E-2</v>
      </c>
      <c r="H1621" s="376" t="s">
        <v>221</v>
      </c>
      <c r="I1621" s="147">
        <f ca="1">AVERAGE(INDIRECT(I1619))</f>
        <v>5.3300000000000018</v>
      </c>
      <c r="J1621" s="326">
        <f ca="1">AVERAGE(INDIRECT(J1619))</f>
        <v>5.3141935483870979</v>
      </c>
      <c r="K1621" s="129"/>
      <c r="L1621" s="403">
        <f t="shared" si="184"/>
        <v>45419</v>
      </c>
      <c r="M1621" s="56" t="str">
        <f t="shared" si="185"/>
        <v>TUE</v>
      </c>
      <c r="O1621" s="253">
        <f t="shared" si="186"/>
        <v>1</v>
      </c>
      <c r="P1621" s="392">
        <f t="shared" si="187"/>
        <v>1.0001475</v>
      </c>
    </row>
    <row r="1622" spans="2:16">
      <c r="B1622" s="41"/>
      <c r="C1622" s="403">
        <f t="shared" si="182"/>
        <v>45420</v>
      </c>
      <c r="D1622" s="56" t="str">
        <f>VLOOKUP(MOD(C1622,7),'CALENDAR INFO'!$G$5:$H$11,2)</f>
        <v>WED</v>
      </c>
      <c r="E1622" s="165">
        <v>5.33</v>
      </c>
      <c r="F1622" s="336">
        <v>5.31</v>
      </c>
      <c r="G1622" s="411">
        <f t="shared" si="183"/>
        <v>-2.0000000000000462E-2</v>
      </c>
      <c r="I1622" s="240"/>
      <c r="J1622" s="157"/>
      <c r="K1622" s="129"/>
      <c r="L1622" s="403">
        <f t="shared" si="184"/>
        <v>45420</v>
      </c>
      <c r="M1622" s="56" t="str">
        <f t="shared" si="185"/>
        <v>WED</v>
      </c>
      <c r="O1622" s="253">
        <f t="shared" si="186"/>
        <v>1</v>
      </c>
      <c r="P1622" s="392">
        <f t="shared" si="187"/>
        <v>1.0001475</v>
      </c>
    </row>
    <row r="1623" spans="2:16">
      <c r="B1623" s="41"/>
      <c r="C1623" s="403">
        <f t="shared" si="182"/>
        <v>45421</v>
      </c>
      <c r="D1623" s="56" t="str">
        <f>VLOOKUP(MOD(C1623,7),'CALENDAR INFO'!$G$5:$H$11,2)</f>
        <v>THU</v>
      </c>
      <c r="E1623" s="165">
        <v>5.33</v>
      </c>
      <c r="F1623" s="336">
        <v>5.31</v>
      </c>
      <c r="G1623" s="411">
        <f t="shared" si="183"/>
        <v>-2.0000000000000462E-2</v>
      </c>
      <c r="H1623" s="15" t="s">
        <v>222</v>
      </c>
      <c r="I1623" s="147">
        <f ca="1">100-I1621</f>
        <v>94.67</v>
      </c>
      <c r="J1623" s="326">
        <f ca="1">100-J1621</f>
        <v>94.685806451612905</v>
      </c>
      <c r="K1623" s="129"/>
      <c r="L1623" s="403">
        <f t="shared" si="184"/>
        <v>45421</v>
      </c>
      <c r="M1623" s="56" t="str">
        <f t="shared" si="185"/>
        <v>THU</v>
      </c>
      <c r="O1623" s="253">
        <f t="shared" si="186"/>
        <v>1</v>
      </c>
      <c r="P1623" s="392">
        <f t="shared" si="187"/>
        <v>1.0001475</v>
      </c>
    </row>
    <row r="1624" spans="2:16">
      <c r="B1624" s="41"/>
      <c r="C1624" s="403">
        <f t="shared" si="182"/>
        <v>45422</v>
      </c>
      <c r="D1624" s="56" t="str">
        <f>VLOOKUP(MOD(C1624,7),'CALENDAR INFO'!$G$5:$H$11,2)</f>
        <v>FRI</v>
      </c>
      <c r="E1624" s="165">
        <v>5.33</v>
      </c>
      <c r="F1624" s="336">
        <v>5.31</v>
      </c>
      <c r="G1624" s="411">
        <f t="shared" si="183"/>
        <v>-2.0000000000000462E-2</v>
      </c>
      <c r="I1624" s="137"/>
      <c r="J1624" s="150"/>
      <c r="K1624" s="129"/>
      <c r="L1624" s="403">
        <f t="shared" si="184"/>
        <v>45422</v>
      </c>
      <c r="M1624" s="56" t="str">
        <f t="shared" si="185"/>
        <v>FRI</v>
      </c>
      <c r="O1624" s="253">
        <f t="shared" si="186"/>
        <v>3</v>
      </c>
      <c r="P1624" s="392">
        <f t="shared" si="187"/>
        <v>1.0004424999999999</v>
      </c>
    </row>
    <row r="1625" spans="2:16">
      <c r="B1625" s="41"/>
      <c r="C1625" s="403">
        <f t="shared" si="182"/>
        <v>45423</v>
      </c>
      <c r="D1625" s="56" t="str">
        <f>VLOOKUP(MOD(C1625,7),'CALENDAR INFO'!$G$5:$H$11,2)</f>
        <v>SAT</v>
      </c>
      <c r="E1625" s="165">
        <v>5.33</v>
      </c>
      <c r="F1625" s="336">
        <v>5.31</v>
      </c>
      <c r="G1625" s="411">
        <f t="shared" si="183"/>
        <v>-2.0000000000000462E-2</v>
      </c>
      <c r="H1625" s="115"/>
      <c r="I1625" s="228"/>
      <c r="J1625" s="229"/>
      <c r="K1625" s="129"/>
      <c r="L1625" s="403">
        <f t="shared" si="184"/>
        <v>45423</v>
      </c>
      <c r="M1625" s="56" t="str">
        <f t="shared" si="185"/>
        <v>SAT</v>
      </c>
      <c r="O1625" s="253">
        <f t="shared" si="186"/>
        <v>0</v>
      </c>
      <c r="P1625" s="392">
        <f t="shared" si="187"/>
        <v>1</v>
      </c>
    </row>
    <row r="1626" spans="2:16">
      <c r="B1626" s="41"/>
      <c r="C1626" s="403">
        <f t="shared" si="182"/>
        <v>45424</v>
      </c>
      <c r="D1626" s="56" t="str">
        <f>VLOOKUP(MOD(C1626,7),'CALENDAR INFO'!$G$5:$H$11,2)</f>
        <v>SUN</v>
      </c>
      <c r="E1626" s="165">
        <v>5.33</v>
      </c>
      <c r="F1626" s="336">
        <v>5.31</v>
      </c>
      <c r="G1626" s="411">
        <f t="shared" si="183"/>
        <v>-2.0000000000000462E-2</v>
      </c>
      <c r="H1626" s="115"/>
      <c r="I1626" s="228"/>
      <c r="J1626" s="229"/>
      <c r="K1626" s="129"/>
      <c r="L1626" s="403">
        <f t="shared" si="184"/>
        <v>45424</v>
      </c>
      <c r="M1626" s="56" t="str">
        <f t="shared" si="185"/>
        <v>SUN</v>
      </c>
      <c r="O1626" s="253">
        <f t="shared" si="186"/>
        <v>0</v>
      </c>
      <c r="P1626" s="392">
        <f t="shared" si="187"/>
        <v>1</v>
      </c>
    </row>
    <row r="1627" spans="2:16">
      <c r="B1627" s="41"/>
      <c r="C1627" s="403">
        <f t="shared" si="182"/>
        <v>45425</v>
      </c>
      <c r="D1627" s="56" t="str">
        <f>VLOOKUP(MOD(C1627,7),'CALENDAR INFO'!$G$5:$H$11,2)</f>
        <v>MON</v>
      </c>
      <c r="E1627" s="165">
        <v>5.33</v>
      </c>
      <c r="F1627" s="336">
        <v>5.31</v>
      </c>
      <c r="G1627" s="411">
        <f t="shared" si="183"/>
        <v>-2.0000000000000462E-2</v>
      </c>
      <c r="H1627" s="115"/>
      <c r="I1627" s="228"/>
      <c r="J1627" s="229"/>
      <c r="K1627" s="129"/>
      <c r="L1627" s="403">
        <f t="shared" si="184"/>
        <v>45425</v>
      </c>
      <c r="M1627" s="56" t="str">
        <f t="shared" si="185"/>
        <v>MON</v>
      </c>
      <c r="O1627" s="253">
        <f t="shared" si="186"/>
        <v>1</v>
      </c>
      <c r="P1627" s="392">
        <f t="shared" si="187"/>
        <v>1.0001475</v>
      </c>
    </row>
    <row r="1628" spans="2:16">
      <c r="B1628" s="41"/>
      <c r="C1628" s="403">
        <f t="shared" si="182"/>
        <v>45426</v>
      </c>
      <c r="D1628" s="56" t="str">
        <f>VLOOKUP(MOD(C1628,7),'CALENDAR INFO'!$G$5:$H$11,2)</f>
        <v>TUE</v>
      </c>
      <c r="E1628" s="165">
        <v>5.33</v>
      </c>
      <c r="F1628" s="336">
        <v>5.31</v>
      </c>
      <c r="G1628" s="411">
        <f t="shared" si="183"/>
        <v>-2.0000000000000462E-2</v>
      </c>
      <c r="H1628" s="115"/>
      <c r="I1628" s="228"/>
      <c r="J1628" s="242"/>
      <c r="K1628" s="129"/>
      <c r="L1628" s="403">
        <f t="shared" si="184"/>
        <v>45426</v>
      </c>
      <c r="M1628" s="56" t="str">
        <f t="shared" si="185"/>
        <v>TUE</v>
      </c>
      <c r="O1628" s="253">
        <f t="shared" si="186"/>
        <v>1</v>
      </c>
      <c r="P1628" s="392">
        <f t="shared" si="187"/>
        <v>1.0001475</v>
      </c>
    </row>
    <row r="1629" spans="2:16">
      <c r="B1629" s="41"/>
      <c r="C1629" s="403">
        <f t="shared" si="182"/>
        <v>45427</v>
      </c>
      <c r="D1629" s="56" t="str">
        <f>VLOOKUP(MOD(C1629,7),'CALENDAR INFO'!$G$5:$H$11,2)</f>
        <v>WED</v>
      </c>
      <c r="E1629" s="165">
        <v>5.33</v>
      </c>
      <c r="F1629" s="336">
        <v>5.31</v>
      </c>
      <c r="G1629" s="411">
        <f t="shared" si="183"/>
        <v>-2.0000000000000462E-2</v>
      </c>
      <c r="I1629" s="115"/>
      <c r="J1629" s="159"/>
      <c r="K1629" s="129" t="s">
        <v>19</v>
      </c>
      <c r="L1629" s="403">
        <f t="shared" si="184"/>
        <v>45427</v>
      </c>
      <c r="M1629" s="56" t="str">
        <f t="shared" si="185"/>
        <v>WED</v>
      </c>
      <c r="O1629" s="253">
        <f t="shared" si="186"/>
        <v>1</v>
      </c>
      <c r="P1629" s="392">
        <f t="shared" si="187"/>
        <v>1.0001475</v>
      </c>
    </row>
    <row r="1630" spans="2:16">
      <c r="B1630" s="41"/>
      <c r="C1630" s="403">
        <f t="shared" si="182"/>
        <v>45428</v>
      </c>
      <c r="D1630" s="56" t="str">
        <f>VLOOKUP(MOD(C1630,7),'CALENDAR INFO'!$G$5:$H$11,2)</f>
        <v>THU</v>
      </c>
      <c r="E1630" s="165">
        <v>5.33</v>
      </c>
      <c r="F1630" s="336">
        <v>5.31</v>
      </c>
      <c r="G1630" s="411">
        <f t="shared" si="183"/>
        <v>-2.0000000000000462E-2</v>
      </c>
      <c r="H1630" s="115"/>
      <c r="I1630" s="139"/>
      <c r="J1630" s="151"/>
      <c r="K1630" s="126" t="s">
        <v>18</v>
      </c>
      <c r="L1630" s="403">
        <f t="shared" si="184"/>
        <v>45428</v>
      </c>
      <c r="M1630" s="56" t="str">
        <f t="shared" si="185"/>
        <v>THU</v>
      </c>
      <c r="O1630" s="253">
        <f t="shared" si="186"/>
        <v>1</v>
      </c>
      <c r="P1630" s="392">
        <f t="shared" si="187"/>
        <v>1.0001475</v>
      </c>
    </row>
    <row r="1631" spans="2:16">
      <c r="B1631" s="41"/>
      <c r="C1631" s="403">
        <f t="shared" si="182"/>
        <v>45429</v>
      </c>
      <c r="D1631" s="56" t="str">
        <f>VLOOKUP(MOD(C1631,7),'CALENDAR INFO'!$G$5:$H$11,2)</f>
        <v>FRI</v>
      </c>
      <c r="E1631" s="165">
        <v>5.33</v>
      </c>
      <c r="F1631" s="336">
        <v>5.31</v>
      </c>
      <c r="G1631" s="411">
        <f t="shared" si="183"/>
        <v>-2.0000000000000462E-2</v>
      </c>
      <c r="H1631" s="115"/>
      <c r="I1631" s="241"/>
      <c r="J1631" s="243"/>
      <c r="K1631" s="126"/>
      <c r="L1631" s="403">
        <f t="shared" si="184"/>
        <v>45429</v>
      </c>
      <c r="M1631" s="56" t="str">
        <f t="shared" si="185"/>
        <v>FRI</v>
      </c>
      <c r="O1631" s="253">
        <f t="shared" si="186"/>
        <v>3</v>
      </c>
      <c r="P1631" s="392">
        <f t="shared" si="187"/>
        <v>1.0004424999999999</v>
      </c>
    </row>
    <row r="1632" spans="2:16">
      <c r="B1632" s="41"/>
      <c r="C1632" s="403">
        <f t="shared" si="182"/>
        <v>45430</v>
      </c>
      <c r="D1632" s="56" t="str">
        <f>VLOOKUP(MOD(C1632,7),'CALENDAR INFO'!$G$5:$H$11,2)</f>
        <v>SAT</v>
      </c>
      <c r="E1632" s="165">
        <v>5.33</v>
      </c>
      <c r="F1632" s="336">
        <v>5.31</v>
      </c>
      <c r="G1632" s="411">
        <f t="shared" si="183"/>
        <v>-2.0000000000000462E-2</v>
      </c>
      <c r="H1632" s="115"/>
      <c r="I1632" s="137"/>
      <c r="J1632" s="150"/>
      <c r="K1632" s="126"/>
      <c r="L1632" s="403">
        <f t="shared" si="184"/>
        <v>45430</v>
      </c>
      <c r="M1632" s="56" t="str">
        <f t="shared" si="185"/>
        <v>SAT</v>
      </c>
      <c r="O1632" s="253">
        <f t="shared" si="186"/>
        <v>0</v>
      </c>
      <c r="P1632" s="392">
        <f t="shared" si="187"/>
        <v>1</v>
      </c>
    </row>
    <row r="1633" spans="1:18">
      <c r="B1633" s="41"/>
      <c r="C1633" s="403">
        <f t="shared" si="182"/>
        <v>45431</v>
      </c>
      <c r="D1633" s="56" t="str">
        <f>VLOOKUP(MOD(C1633,7),'CALENDAR INFO'!$G$5:$H$11,2)</f>
        <v>SUN</v>
      </c>
      <c r="E1633" s="165">
        <v>5.33</v>
      </c>
      <c r="F1633" s="336">
        <v>5.31</v>
      </c>
      <c r="G1633" s="411">
        <f t="shared" si="183"/>
        <v>-2.0000000000000462E-2</v>
      </c>
      <c r="I1633" s="171"/>
      <c r="J1633" s="172"/>
      <c r="K1633" s="126"/>
      <c r="L1633" s="403">
        <f t="shared" si="184"/>
        <v>45431</v>
      </c>
      <c r="M1633" s="56" t="str">
        <f t="shared" si="185"/>
        <v>SUN</v>
      </c>
      <c r="O1633" s="253">
        <f t="shared" si="186"/>
        <v>0</v>
      </c>
      <c r="P1633" s="392">
        <f t="shared" si="187"/>
        <v>1</v>
      </c>
    </row>
    <row r="1634" spans="1:18">
      <c r="B1634" s="41"/>
      <c r="C1634" s="403">
        <f t="shared" si="182"/>
        <v>45432</v>
      </c>
      <c r="D1634" s="56" t="str">
        <f>VLOOKUP(MOD(C1634,7),'CALENDAR INFO'!$G$5:$H$11,2)</f>
        <v>MON</v>
      </c>
      <c r="E1634" s="165">
        <v>5.33</v>
      </c>
      <c r="F1634" s="336">
        <v>5.31</v>
      </c>
      <c r="G1634" s="411">
        <f t="shared" si="183"/>
        <v>-2.0000000000000462E-2</v>
      </c>
      <c r="I1634" s="163"/>
      <c r="J1634" s="164"/>
      <c r="K1634" s="126"/>
      <c r="L1634" s="403">
        <f t="shared" si="184"/>
        <v>45432</v>
      </c>
      <c r="M1634" s="56" t="str">
        <f t="shared" si="185"/>
        <v>MON</v>
      </c>
      <c r="O1634" s="253">
        <f t="shared" si="186"/>
        <v>1</v>
      </c>
      <c r="P1634" s="392">
        <f t="shared" si="187"/>
        <v>1.0001475</v>
      </c>
    </row>
    <row r="1635" spans="1:18">
      <c r="B1635" s="41"/>
      <c r="C1635" s="403">
        <f t="shared" si="182"/>
        <v>45433</v>
      </c>
      <c r="D1635" s="56" t="str">
        <f>VLOOKUP(MOD(C1635,7),'CALENDAR INFO'!$G$5:$H$11,2)</f>
        <v>TUE</v>
      </c>
      <c r="E1635" s="165">
        <v>5.33</v>
      </c>
      <c r="F1635" s="336">
        <v>5.31</v>
      </c>
      <c r="G1635" s="411">
        <f t="shared" si="183"/>
        <v>-2.0000000000000462E-2</v>
      </c>
      <c r="H1635" s="115"/>
      <c r="I1635" s="137"/>
      <c r="J1635" s="150"/>
      <c r="K1635" s="126"/>
      <c r="L1635" s="403">
        <f t="shared" si="184"/>
        <v>45433</v>
      </c>
      <c r="M1635" s="56" t="str">
        <f t="shared" si="185"/>
        <v>TUE</v>
      </c>
      <c r="O1635" s="253">
        <f t="shared" si="186"/>
        <v>1</v>
      </c>
      <c r="P1635" s="392">
        <f t="shared" si="187"/>
        <v>1.0001475</v>
      </c>
    </row>
    <row r="1636" spans="1:18">
      <c r="B1636" s="41"/>
      <c r="C1636" s="403">
        <f t="shared" si="182"/>
        <v>45434</v>
      </c>
      <c r="D1636" s="56" t="str">
        <f>VLOOKUP(MOD(C1636,7),'CALENDAR INFO'!$G$5:$H$11,2)</f>
        <v>WED</v>
      </c>
      <c r="E1636" s="165">
        <v>5.33</v>
      </c>
      <c r="F1636" s="336">
        <v>5.31</v>
      </c>
      <c r="G1636" s="411">
        <f t="shared" si="183"/>
        <v>-2.0000000000000462E-2</v>
      </c>
      <c r="I1636" s="137"/>
      <c r="J1636" s="150"/>
      <c r="K1636" s="126"/>
      <c r="L1636" s="403">
        <f t="shared" si="184"/>
        <v>45434</v>
      </c>
      <c r="M1636" s="56" t="str">
        <f t="shared" si="185"/>
        <v>WED</v>
      </c>
      <c r="O1636" s="253">
        <f t="shared" si="186"/>
        <v>1</v>
      </c>
      <c r="P1636" s="392">
        <f t="shared" si="187"/>
        <v>1.0001475</v>
      </c>
    </row>
    <row r="1637" spans="1:18">
      <c r="B1637" s="41"/>
      <c r="C1637" s="403">
        <f t="shared" si="182"/>
        <v>45435</v>
      </c>
      <c r="D1637" s="56" t="str">
        <f>VLOOKUP(MOD(C1637,7),'CALENDAR INFO'!$G$5:$H$11,2)</f>
        <v>THU</v>
      </c>
      <c r="E1637" s="165">
        <v>5.33</v>
      </c>
      <c r="F1637" s="336">
        <v>5.31</v>
      </c>
      <c r="G1637" s="411">
        <f t="shared" si="183"/>
        <v>-2.0000000000000462E-2</v>
      </c>
      <c r="H1637" s="115"/>
      <c r="I1637" s="137"/>
      <c r="J1637" s="158"/>
      <c r="K1637" s="126"/>
      <c r="L1637" s="403">
        <f t="shared" si="184"/>
        <v>45435</v>
      </c>
      <c r="M1637" s="56" t="str">
        <f t="shared" si="185"/>
        <v>THU</v>
      </c>
      <c r="O1637" s="253">
        <f t="shared" si="186"/>
        <v>1</v>
      </c>
      <c r="P1637" s="392">
        <f t="shared" si="187"/>
        <v>1.0001475</v>
      </c>
    </row>
    <row r="1638" spans="1:18">
      <c r="B1638" s="41"/>
      <c r="C1638" s="403">
        <f t="shared" si="182"/>
        <v>45436</v>
      </c>
      <c r="D1638" s="56" t="str">
        <f>VLOOKUP(MOD(C1638,7),'CALENDAR INFO'!$G$5:$H$11,2)</f>
        <v>FRI</v>
      </c>
      <c r="E1638" s="165">
        <v>5.33</v>
      </c>
      <c r="F1638" s="336">
        <v>5.32</v>
      </c>
      <c r="G1638" s="411">
        <f t="shared" si="183"/>
        <v>-9.9999999999997868E-3</v>
      </c>
      <c r="I1638" s="115"/>
      <c r="J1638" s="159"/>
      <c r="K1638" s="126"/>
      <c r="L1638" s="403">
        <f t="shared" si="184"/>
        <v>45436</v>
      </c>
      <c r="M1638" s="56" t="str">
        <f t="shared" si="185"/>
        <v>FRI</v>
      </c>
      <c r="O1638" s="384">
        <v>4</v>
      </c>
      <c r="P1638" s="392">
        <f t="shared" si="187"/>
        <v>1.0005911111111112</v>
      </c>
    </row>
    <row r="1639" spans="1:18">
      <c r="B1639" s="41"/>
      <c r="C1639" s="403">
        <f t="shared" si="182"/>
        <v>45437</v>
      </c>
      <c r="D1639" s="56" t="str">
        <f>VLOOKUP(MOD(C1639,7),'CALENDAR INFO'!$G$5:$H$11,2)</f>
        <v>SAT</v>
      </c>
      <c r="E1639" s="165">
        <v>5.33</v>
      </c>
      <c r="F1639" s="336">
        <v>5.32</v>
      </c>
      <c r="G1639" s="411">
        <f t="shared" si="183"/>
        <v>-9.9999999999997868E-3</v>
      </c>
      <c r="H1639" s="115"/>
      <c r="I1639" s="228"/>
      <c r="J1639" s="229"/>
      <c r="K1639" s="126"/>
      <c r="L1639" s="403">
        <f t="shared" si="184"/>
        <v>45437</v>
      </c>
      <c r="M1639" s="56" t="str">
        <f t="shared" si="185"/>
        <v>SAT</v>
      </c>
      <c r="O1639" s="253">
        <f>IF(MOD(C1639,7)&lt;2,0,IF(MOD(C1639,7)=6,3,1))</f>
        <v>0</v>
      </c>
      <c r="P1639" s="392">
        <f t="shared" si="187"/>
        <v>1</v>
      </c>
    </row>
    <row r="1640" spans="1:18">
      <c r="B1640" s="41"/>
      <c r="C1640" s="403">
        <f t="shared" si="182"/>
        <v>45438</v>
      </c>
      <c r="D1640" s="56" t="str">
        <f>VLOOKUP(MOD(C1640,7),'CALENDAR INFO'!$G$5:$H$11,2)</f>
        <v>SUN</v>
      </c>
      <c r="E1640" s="165">
        <v>5.33</v>
      </c>
      <c r="F1640" s="336">
        <v>5.32</v>
      </c>
      <c r="G1640" s="411">
        <f t="shared" si="183"/>
        <v>-9.9999999999997868E-3</v>
      </c>
      <c r="H1640" s="115"/>
      <c r="I1640" s="141"/>
      <c r="J1640" s="158"/>
      <c r="K1640" s="126"/>
      <c r="L1640" s="403">
        <f t="shared" si="184"/>
        <v>45438</v>
      </c>
      <c r="M1640" s="56" t="str">
        <f t="shared" si="185"/>
        <v>SUN</v>
      </c>
      <c r="O1640" s="253">
        <f>IF(MOD(C1640,7)&lt;2,0,IF(MOD(C1640,7)=6,3,1))</f>
        <v>0</v>
      </c>
      <c r="P1640" s="392">
        <f t="shared" si="187"/>
        <v>1</v>
      </c>
      <c r="R1640" s="221"/>
    </row>
    <row r="1641" spans="1:18">
      <c r="B1641" s="41"/>
      <c r="C1641" s="403">
        <f t="shared" si="182"/>
        <v>45439</v>
      </c>
      <c r="D1641" s="56" t="str">
        <f>VLOOKUP(MOD(C1641,7),'CALENDAR INFO'!$G$5:$H$11,2)</f>
        <v>MON</v>
      </c>
      <c r="E1641" s="165">
        <v>5.33</v>
      </c>
      <c r="F1641" s="336">
        <v>5.32</v>
      </c>
      <c r="G1641" s="411">
        <f t="shared" si="183"/>
        <v>-9.9999999999997868E-3</v>
      </c>
      <c r="H1641" s="115"/>
      <c r="I1641" s="115"/>
      <c r="J1641" s="159"/>
      <c r="K1641" s="126"/>
      <c r="L1641" s="403">
        <f t="shared" si="184"/>
        <v>45439</v>
      </c>
      <c r="M1641" s="56" t="str">
        <f t="shared" si="185"/>
        <v>MON</v>
      </c>
      <c r="N1641" s="132" t="s">
        <v>40</v>
      </c>
      <c r="O1641" s="384">
        <v>0</v>
      </c>
      <c r="P1641" s="392">
        <f t="shared" si="187"/>
        <v>1</v>
      </c>
      <c r="R1641" s="222"/>
    </row>
    <row r="1642" spans="1:18">
      <c r="B1642" s="41"/>
      <c r="C1642" s="403">
        <f t="shared" si="182"/>
        <v>45440</v>
      </c>
      <c r="D1642" s="56" t="str">
        <f>VLOOKUP(MOD(C1642,7),'CALENDAR INFO'!$G$5:$H$11,2)</f>
        <v>TUE</v>
      </c>
      <c r="E1642" s="165">
        <v>5.33</v>
      </c>
      <c r="F1642" s="336">
        <v>5.32</v>
      </c>
      <c r="G1642" s="411">
        <f t="shared" si="183"/>
        <v>-9.9999999999997868E-3</v>
      </c>
      <c r="H1642" s="115"/>
      <c r="I1642" s="141"/>
      <c r="J1642" s="158"/>
      <c r="K1642" s="126"/>
      <c r="L1642" s="403">
        <f t="shared" si="184"/>
        <v>45440</v>
      </c>
      <c r="M1642" s="56" t="str">
        <f t="shared" si="185"/>
        <v>TUE</v>
      </c>
      <c r="O1642" s="253">
        <f t="shared" ref="O1642:O1662" si="188">IF(MOD(C1642,7)&lt;2,0,IF(MOD(C1642,7)=6,3,1))</f>
        <v>1</v>
      </c>
      <c r="P1642" s="392">
        <f t="shared" si="187"/>
        <v>1.0001477777777779</v>
      </c>
      <c r="R1642" s="222"/>
    </row>
    <row r="1643" spans="1:18">
      <c r="B1643" s="41"/>
      <c r="C1643" s="403">
        <f t="shared" si="182"/>
        <v>45441</v>
      </c>
      <c r="D1643" s="56" t="str">
        <f>VLOOKUP(MOD(C1643,7),'CALENDAR INFO'!$G$5:$H$11,2)</f>
        <v>WED</v>
      </c>
      <c r="E1643" s="165">
        <v>5.33</v>
      </c>
      <c r="F1643" s="336">
        <v>5.33</v>
      </c>
      <c r="G1643" s="411">
        <f t="shared" si="183"/>
        <v>0</v>
      </c>
      <c r="H1643" s="343"/>
      <c r="I1643" s="142"/>
      <c r="J1643" s="156"/>
      <c r="K1643" s="126" t="s">
        <v>19</v>
      </c>
      <c r="L1643" s="403">
        <f t="shared" si="184"/>
        <v>45441</v>
      </c>
      <c r="M1643" s="56" t="str">
        <f t="shared" si="185"/>
        <v>WED</v>
      </c>
      <c r="O1643" s="253">
        <f t="shared" si="188"/>
        <v>1</v>
      </c>
      <c r="P1643" s="392">
        <f t="shared" si="187"/>
        <v>1.0001480555555555</v>
      </c>
    </row>
    <row r="1644" spans="1:18">
      <c r="B1644" s="41"/>
      <c r="C1644" s="403">
        <f t="shared" si="182"/>
        <v>45442</v>
      </c>
      <c r="D1644" s="56" t="str">
        <f>VLOOKUP(MOD(C1644,7),'CALENDAR INFO'!$G$5:$H$11,2)</f>
        <v>THU</v>
      </c>
      <c r="E1644" s="165">
        <v>5.33</v>
      </c>
      <c r="F1644" s="336">
        <v>5.33</v>
      </c>
      <c r="G1644" s="411">
        <f t="shared" si="183"/>
        <v>0</v>
      </c>
      <c r="H1644" s="343"/>
      <c r="I1644" s="145"/>
      <c r="J1644" s="266"/>
      <c r="K1644" s="129" t="s">
        <v>18</v>
      </c>
      <c r="L1644" s="403">
        <f t="shared" si="184"/>
        <v>45442</v>
      </c>
      <c r="M1644" s="56" t="str">
        <f t="shared" si="185"/>
        <v>THU</v>
      </c>
      <c r="O1644" s="253">
        <f t="shared" si="188"/>
        <v>1</v>
      </c>
      <c r="P1644" s="392">
        <f t="shared" si="187"/>
        <v>1.0001480555555555</v>
      </c>
    </row>
    <row r="1645" spans="1:18" ht="15.75" thickBot="1">
      <c r="A1645" s="81"/>
      <c r="B1645" s="178"/>
      <c r="C1645" s="404">
        <f t="shared" si="182"/>
        <v>45443</v>
      </c>
      <c r="D1645" s="64" t="str">
        <f>VLOOKUP(MOD(C1645,7),'CALENDAR INFO'!$G$5:$H$11,2)</f>
        <v>FRI</v>
      </c>
      <c r="E1645" s="166">
        <v>5.33</v>
      </c>
      <c r="F1645" s="337">
        <v>5.34</v>
      </c>
      <c r="G1645" s="412">
        <f t="shared" si="183"/>
        <v>9.9999999999997868E-3</v>
      </c>
      <c r="H1645" s="335"/>
      <c r="I1645" s="267"/>
      <c r="J1645" s="268"/>
      <c r="K1645" s="189"/>
      <c r="L1645" s="404">
        <f t="shared" si="184"/>
        <v>45443</v>
      </c>
      <c r="M1645" s="64" t="str">
        <f t="shared" si="185"/>
        <v>FRI</v>
      </c>
      <c r="N1645" s="90"/>
      <c r="O1645" s="383">
        <f t="shared" si="188"/>
        <v>3</v>
      </c>
      <c r="P1645" s="388">
        <f t="shared" si="187"/>
        <v>1.000445</v>
      </c>
    </row>
    <row r="1646" spans="1:18">
      <c r="A1646" s="238"/>
      <c r="B1646" s="239"/>
      <c r="C1646" s="403">
        <f t="shared" si="182"/>
        <v>45444</v>
      </c>
      <c r="D1646" s="56" t="str">
        <f>VLOOKUP(MOD(C1646,7),'CALENDAR INFO'!$G$5:$H$11,2)</f>
        <v>SAT</v>
      </c>
      <c r="E1646" s="165">
        <v>5.33</v>
      </c>
      <c r="F1646" s="336">
        <v>5.34</v>
      </c>
      <c r="G1646" s="411">
        <f t="shared" si="183"/>
        <v>9.9999999999997868E-3</v>
      </c>
      <c r="H1646" s="15" t="s">
        <v>149</v>
      </c>
      <c r="I1646" s="15">
        <f>ROW(I1646)</f>
        <v>1646</v>
      </c>
      <c r="J1646" s="138">
        <f>I1646</f>
        <v>1646</v>
      </c>
      <c r="K1646" s="129"/>
      <c r="L1646" s="403">
        <f t="shared" si="184"/>
        <v>45444</v>
      </c>
      <c r="M1646" s="56" t="str">
        <f t="shared" si="185"/>
        <v>SAT</v>
      </c>
      <c r="O1646" s="386">
        <f t="shared" si="188"/>
        <v>0</v>
      </c>
      <c r="P1646" s="390">
        <f t="shared" si="187"/>
        <v>1</v>
      </c>
    </row>
    <row r="1647" spans="1:18">
      <c r="A1647" s="238"/>
      <c r="B1647" s="239"/>
      <c r="C1647" s="403">
        <f t="shared" si="182"/>
        <v>45445</v>
      </c>
      <c r="D1647" s="56" t="str">
        <f>VLOOKUP(MOD(C1647,7),'CALENDAR INFO'!$G$5:$H$11,2)</f>
        <v>SUN</v>
      </c>
      <c r="E1647" s="165">
        <v>5.33</v>
      </c>
      <c r="F1647" s="336">
        <v>5.34</v>
      </c>
      <c r="G1647" s="411">
        <f t="shared" si="183"/>
        <v>9.9999999999997868E-3</v>
      </c>
      <c r="H1647" s="376" t="s">
        <v>210</v>
      </c>
      <c r="I1647" s="15">
        <f>VLOOKUP(MONTH($C1646),'CALENDAR INFO'!$J$5:$K$16,2)</f>
        <v>30</v>
      </c>
      <c r="J1647" s="138">
        <f>I1647</f>
        <v>30</v>
      </c>
      <c r="K1647" s="129"/>
      <c r="L1647" s="403">
        <f t="shared" si="184"/>
        <v>45445</v>
      </c>
      <c r="M1647" s="56" t="str">
        <f t="shared" si="185"/>
        <v>SUN</v>
      </c>
      <c r="O1647" s="253">
        <f t="shared" si="188"/>
        <v>0</v>
      </c>
      <c r="P1647" s="392">
        <f t="shared" si="187"/>
        <v>1</v>
      </c>
    </row>
    <row r="1648" spans="1:18">
      <c r="A1648" s="238"/>
      <c r="B1648" s="239"/>
      <c r="C1648" s="403">
        <f t="shared" si="182"/>
        <v>45446</v>
      </c>
      <c r="D1648" s="56" t="str">
        <f>VLOOKUP(MOD(C1648,7),'CALENDAR INFO'!$G$5:$H$11,2)</f>
        <v>MON</v>
      </c>
      <c r="E1648" s="165">
        <v>5.33</v>
      </c>
      <c r="F1648" s="336">
        <v>5.35</v>
      </c>
      <c r="G1648" s="411">
        <f t="shared" si="183"/>
        <v>1.9999999999999574E-2</v>
      </c>
      <c r="H1648" s="376" t="s">
        <v>211</v>
      </c>
      <c r="I1648" s="15">
        <f>I1647+I1646-1</f>
        <v>1675</v>
      </c>
      <c r="J1648" s="138">
        <f>I1648</f>
        <v>1675</v>
      </c>
      <c r="K1648" s="129"/>
      <c r="L1648" s="403">
        <f t="shared" si="184"/>
        <v>45446</v>
      </c>
      <c r="M1648" s="56" t="str">
        <f t="shared" si="185"/>
        <v>MON</v>
      </c>
      <c r="O1648" s="253">
        <f t="shared" si="188"/>
        <v>1</v>
      </c>
      <c r="P1648" s="392">
        <f t="shared" si="187"/>
        <v>1.0001486111111111</v>
      </c>
    </row>
    <row r="1649" spans="1:18">
      <c r="A1649" s="238"/>
      <c r="B1649" s="239"/>
      <c r="C1649" s="403">
        <f t="shared" si="182"/>
        <v>45447</v>
      </c>
      <c r="D1649" s="56" t="str">
        <f>VLOOKUP(MOD(C1649,7),'CALENDAR INFO'!$G$5:$H$11,2)</f>
        <v>TUE</v>
      </c>
      <c r="E1649" s="165">
        <v>5.33</v>
      </c>
      <c r="F1649" s="336">
        <v>5.33</v>
      </c>
      <c r="G1649" s="411">
        <f t="shared" si="183"/>
        <v>0</v>
      </c>
      <c r="K1649" s="129"/>
      <c r="L1649" s="403">
        <f t="shared" si="184"/>
        <v>45447</v>
      </c>
      <c r="M1649" s="56" t="str">
        <f t="shared" si="185"/>
        <v>TUE</v>
      </c>
      <c r="O1649" s="253">
        <f t="shared" si="188"/>
        <v>1</v>
      </c>
      <c r="P1649" s="392">
        <f t="shared" si="187"/>
        <v>1.0001480555555555</v>
      </c>
    </row>
    <row r="1650" spans="1:18">
      <c r="A1650" s="238"/>
      <c r="B1650" s="239"/>
      <c r="C1650" s="403">
        <f t="shared" si="182"/>
        <v>45448</v>
      </c>
      <c r="D1650" s="56" t="str">
        <f>VLOOKUP(MOD(C1650,7),'CALENDAR INFO'!$G$5:$H$11,2)</f>
        <v>WED</v>
      </c>
      <c r="E1650" s="165">
        <v>5.33</v>
      </c>
      <c r="F1650" s="336">
        <v>5.33</v>
      </c>
      <c r="G1650" s="411">
        <f t="shared" si="183"/>
        <v>0</v>
      </c>
      <c r="H1650" s="15" t="s">
        <v>150</v>
      </c>
      <c r="I1650" s="137" t="str">
        <f>_xlfn.CONCAT(ADDRESS(I1646,5),":",ADDRESS(I1648,5))</f>
        <v>$E$1646:$E$1675</v>
      </c>
      <c r="J1650" s="150" t="str">
        <f>_xlfn.CONCAT(ADDRESS(J1646,6),":",ADDRESS(J1648,6))</f>
        <v>$F$1646:$F$1675</v>
      </c>
      <c r="K1650" s="129"/>
      <c r="L1650" s="403">
        <f t="shared" si="184"/>
        <v>45448</v>
      </c>
      <c r="M1650" s="56" t="str">
        <f t="shared" si="185"/>
        <v>WED</v>
      </c>
      <c r="O1650" s="253">
        <f t="shared" si="188"/>
        <v>1</v>
      </c>
      <c r="P1650" s="392">
        <f t="shared" si="187"/>
        <v>1.0001480555555555</v>
      </c>
    </row>
    <row r="1651" spans="1:18">
      <c r="A1651" s="238"/>
      <c r="B1651" s="239"/>
      <c r="C1651" s="403">
        <f t="shared" si="182"/>
        <v>45449</v>
      </c>
      <c r="D1651" s="56" t="str">
        <f>VLOOKUP(MOD(C1651,7),'CALENDAR INFO'!$G$5:$H$11,2)</f>
        <v>THU</v>
      </c>
      <c r="E1651" s="165">
        <v>5.33</v>
      </c>
      <c r="F1651" s="336">
        <v>5.33</v>
      </c>
      <c r="G1651" s="411">
        <f t="shared" si="183"/>
        <v>0</v>
      </c>
      <c r="K1651" s="129"/>
      <c r="L1651" s="403">
        <f t="shared" si="184"/>
        <v>45449</v>
      </c>
      <c r="M1651" s="56" t="str">
        <f t="shared" si="185"/>
        <v>THU</v>
      </c>
      <c r="O1651" s="253">
        <f t="shared" si="188"/>
        <v>1</v>
      </c>
      <c r="P1651" s="392">
        <f t="shared" si="187"/>
        <v>1.0001480555555555</v>
      </c>
    </row>
    <row r="1652" spans="1:18">
      <c r="A1652" s="238"/>
      <c r="B1652" s="239"/>
      <c r="C1652" s="403">
        <f t="shared" si="182"/>
        <v>45450</v>
      </c>
      <c r="D1652" s="56" t="str">
        <f>VLOOKUP(MOD(C1652,7),'CALENDAR INFO'!$G$5:$H$11,2)</f>
        <v>FRI</v>
      </c>
      <c r="E1652" s="165">
        <v>5.33</v>
      </c>
      <c r="F1652" s="336">
        <v>5.33</v>
      </c>
      <c r="G1652" s="411">
        <f t="shared" si="183"/>
        <v>0</v>
      </c>
      <c r="H1652" s="376" t="s">
        <v>221</v>
      </c>
      <c r="I1652" s="147">
        <f ca="1">AVERAGE(INDIRECT(I1650))</f>
        <v>5.330000000000001</v>
      </c>
      <c r="J1652" s="326">
        <f ca="1">AVERAGE(INDIRECT(J1650))</f>
        <v>5.325000000000002</v>
      </c>
      <c r="K1652" s="129"/>
      <c r="L1652" s="403">
        <f t="shared" si="184"/>
        <v>45450</v>
      </c>
      <c r="M1652" s="56" t="str">
        <f t="shared" si="185"/>
        <v>FRI</v>
      </c>
      <c r="O1652" s="253">
        <f t="shared" si="188"/>
        <v>3</v>
      </c>
      <c r="P1652" s="392">
        <f t="shared" si="187"/>
        <v>1.0004441666666666</v>
      </c>
    </row>
    <row r="1653" spans="1:18">
      <c r="A1653" s="238"/>
      <c r="B1653" s="239"/>
      <c r="C1653" s="403">
        <f t="shared" ref="C1653:C1716" si="189">C1652+1</f>
        <v>45451</v>
      </c>
      <c r="D1653" s="56" t="str">
        <f>VLOOKUP(MOD(C1653,7),'CALENDAR INFO'!$G$5:$H$11,2)</f>
        <v>SAT</v>
      </c>
      <c r="E1653" s="165">
        <v>5.33</v>
      </c>
      <c r="F1653" s="336">
        <v>5.33</v>
      </c>
      <c r="G1653" s="411">
        <f t="shared" si="183"/>
        <v>0</v>
      </c>
      <c r="H1653" s="115"/>
      <c r="I1653" s="244"/>
      <c r="J1653" s="245"/>
      <c r="K1653" s="129"/>
      <c r="L1653" s="403">
        <f t="shared" si="184"/>
        <v>45451</v>
      </c>
      <c r="M1653" s="56" t="str">
        <f t="shared" si="185"/>
        <v>SAT</v>
      </c>
      <c r="O1653" s="253">
        <f t="shared" si="188"/>
        <v>0</v>
      </c>
      <c r="P1653" s="392">
        <f t="shared" si="187"/>
        <v>1</v>
      </c>
    </row>
    <row r="1654" spans="1:18">
      <c r="A1654" s="238"/>
      <c r="B1654" s="239"/>
      <c r="C1654" s="403">
        <f t="shared" si="189"/>
        <v>45452</v>
      </c>
      <c r="D1654" s="56" t="str">
        <f>VLOOKUP(MOD(C1654,7),'CALENDAR INFO'!$G$5:$H$11,2)</f>
        <v>SUN</v>
      </c>
      <c r="E1654" s="165">
        <v>5.33</v>
      </c>
      <c r="F1654" s="336">
        <v>5.33</v>
      </c>
      <c r="G1654" s="411">
        <f t="shared" si="183"/>
        <v>0</v>
      </c>
      <c r="H1654" s="15" t="s">
        <v>222</v>
      </c>
      <c r="I1654" s="147">
        <f ca="1">100-I1652</f>
        <v>94.67</v>
      </c>
      <c r="J1654" s="326">
        <f ca="1">100-J1652</f>
        <v>94.674999999999997</v>
      </c>
      <c r="K1654" s="129"/>
      <c r="L1654" s="403">
        <f t="shared" si="184"/>
        <v>45452</v>
      </c>
      <c r="M1654" s="56" t="str">
        <f t="shared" si="185"/>
        <v>SUN</v>
      </c>
      <c r="O1654" s="253">
        <f t="shared" si="188"/>
        <v>0</v>
      </c>
      <c r="P1654" s="392">
        <f t="shared" si="187"/>
        <v>1</v>
      </c>
    </row>
    <row r="1655" spans="1:18">
      <c r="A1655" s="238"/>
      <c r="B1655" s="239"/>
      <c r="C1655" s="403">
        <f t="shared" si="189"/>
        <v>45453</v>
      </c>
      <c r="D1655" s="56" t="str">
        <f>VLOOKUP(MOD(C1655,7),'CALENDAR INFO'!$G$5:$H$11,2)</f>
        <v>MON</v>
      </c>
      <c r="E1655" s="165">
        <v>5.33</v>
      </c>
      <c r="F1655" s="336">
        <v>5.32</v>
      </c>
      <c r="G1655" s="411">
        <f t="shared" si="183"/>
        <v>-9.9999999999997868E-3</v>
      </c>
      <c r="I1655" s="137"/>
      <c r="J1655" s="150"/>
      <c r="K1655" s="129"/>
      <c r="L1655" s="403">
        <f t="shared" si="184"/>
        <v>45453</v>
      </c>
      <c r="M1655" s="56" t="str">
        <f t="shared" si="185"/>
        <v>MON</v>
      </c>
      <c r="O1655" s="253">
        <f t="shared" si="188"/>
        <v>1</v>
      </c>
      <c r="P1655" s="392">
        <f t="shared" si="187"/>
        <v>1.0001477777777779</v>
      </c>
    </row>
    <row r="1656" spans="1:18">
      <c r="A1656" s="238"/>
      <c r="B1656" s="239"/>
      <c r="C1656" s="403">
        <f t="shared" si="189"/>
        <v>45454</v>
      </c>
      <c r="D1656" s="56" t="str">
        <f>VLOOKUP(MOD(C1656,7),'CALENDAR INFO'!$G$5:$H$11,2)</f>
        <v>TUE</v>
      </c>
      <c r="E1656" s="165">
        <v>5.33</v>
      </c>
      <c r="F1656" s="336">
        <v>5.32</v>
      </c>
      <c r="G1656" s="411">
        <f t="shared" si="183"/>
        <v>-9.9999999999997868E-3</v>
      </c>
      <c r="H1656" s="115"/>
      <c r="I1656" s="240"/>
      <c r="J1656" s="157"/>
      <c r="K1656" s="129"/>
      <c r="L1656" s="403">
        <f t="shared" si="184"/>
        <v>45454</v>
      </c>
      <c r="M1656" s="56" t="str">
        <f t="shared" si="185"/>
        <v>TUE</v>
      </c>
      <c r="N1656" s="116" t="s">
        <v>20</v>
      </c>
      <c r="O1656" s="253">
        <f t="shared" si="188"/>
        <v>1</v>
      </c>
      <c r="P1656" s="392">
        <f t="shared" si="187"/>
        <v>1.0001477777777779</v>
      </c>
      <c r="R1656" s="221"/>
    </row>
    <row r="1657" spans="1:18">
      <c r="A1657" s="238"/>
      <c r="B1657" s="239"/>
      <c r="C1657" s="403">
        <f t="shared" si="189"/>
        <v>45455</v>
      </c>
      <c r="D1657" s="56" t="str">
        <f>VLOOKUP(MOD(C1657,7),'CALENDAR INFO'!$G$5:$H$11,2)</f>
        <v>WED</v>
      </c>
      <c r="E1657" s="165">
        <v>5.33</v>
      </c>
      <c r="F1657" s="336">
        <v>5.31</v>
      </c>
      <c r="G1657" s="411">
        <f t="shared" si="183"/>
        <v>-2.0000000000000462E-2</v>
      </c>
      <c r="H1657" s="115"/>
      <c r="I1657" s="240"/>
      <c r="J1657" s="157"/>
      <c r="K1657" s="129" t="s">
        <v>19</v>
      </c>
      <c r="L1657" s="403">
        <f t="shared" si="184"/>
        <v>45455</v>
      </c>
      <c r="M1657" s="56" t="str">
        <f t="shared" si="185"/>
        <v>WED</v>
      </c>
      <c r="N1657" s="116" t="s">
        <v>20</v>
      </c>
      <c r="O1657" s="253">
        <f t="shared" si="188"/>
        <v>1</v>
      </c>
      <c r="P1657" s="392">
        <f t="shared" si="187"/>
        <v>1.0001475</v>
      </c>
      <c r="R1657" s="222"/>
    </row>
    <row r="1658" spans="1:18">
      <c r="B1658" s="41"/>
      <c r="C1658" s="403">
        <f t="shared" si="189"/>
        <v>45456</v>
      </c>
      <c r="D1658" s="56" t="str">
        <f>VLOOKUP(MOD(C1658,7),'CALENDAR INFO'!$G$5:$H$11,2)</f>
        <v>THU</v>
      </c>
      <c r="E1658" s="165">
        <v>5.33</v>
      </c>
      <c r="F1658" s="336">
        <v>5.31</v>
      </c>
      <c r="G1658" s="411">
        <f t="shared" si="183"/>
        <v>-2.0000000000000462E-2</v>
      </c>
      <c r="H1658" s="115"/>
      <c r="I1658" s="240"/>
      <c r="J1658" s="157"/>
      <c r="K1658" s="126" t="s">
        <v>18</v>
      </c>
      <c r="L1658" s="403">
        <f t="shared" si="184"/>
        <v>45456</v>
      </c>
      <c r="M1658" s="56" t="str">
        <f t="shared" si="185"/>
        <v>THU</v>
      </c>
      <c r="O1658" s="253">
        <f t="shared" si="188"/>
        <v>1</v>
      </c>
      <c r="P1658" s="392">
        <f t="shared" si="187"/>
        <v>1.0001475</v>
      </c>
      <c r="R1658" s="99"/>
    </row>
    <row r="1659" spans="1:18">
      <c r="B1659" s="41"/>
      <c r="C1659" s="403">
        <f t="shared" si="189"/>
        <v>45457</v>
      </c>
      <c r="D1659" s="56" t="str">
        <f>VLOOKUP(MOD(C1659,7),'CALENDAR INFO'!$G$5:$H$11,2)</f>
        <v>FRI</v>
      </c>
      <c r="E1659" s="165">
        <v>5.33</v>
      </c>
      <c r="F1659" s="336">
        <v>5.31</v>
      </c>
      <c r="G1659" s="411">
        <f t="shared" si="183"/>
        <v>-2.0000000000000462E-2</v>
      </c>
      <c r="I1659" s="240"/>
      <c r="J1659" s="157"/>
      <c r="K1659" s="126"/>
      <c r="L1659" s="403">
        <f t="shared" si="184"/>
        <v>45457</v>
      </c>
      <c r="M1659" s="56" t="str">
        <f t="shared" si="185"/>
        <v>FRI</v>
      </c>
      <c r="O1659" s="253">
        <f t="shared" si="188"/>
        <v>3</v>
      </c>
      <c r="P1659" s="392">
        <f t="shared" si="187"/>
        <v>1.0004424999999999</v>
      </c>
    </row>
    <row r="1660" spans="1:18">
      <c r="B1660" s="41"/>
      <c r="C1660" s="403">
        <f t="shared" si="189"/>
        <v>45458</v>
      </c>
      <c r="D1660" s="56" t="str">
        <f>VLOOKUP(MOD(C1660,7),'CALENDAR INFO'!$G$5:$H$11,2)</f>
        <v>SAT</v>
      </c>
      <c r="E1660" s="165">
        <v>5.33</v>
      </c>
      <c r="F1660" s="336">
        <v>5.31</v>
      </c>
      <c r="G1660" s="411">
        <f t="shared" si="183"/>
        <v>-2.0000000000000462E-2</v>
      </c>
      <c r="I1660" s="137"/>
      <c r="J1660" s="150"/>
      <c r="K1660" s="126"/>
      <c r="L1660" s="403">
        <f t="shared" si="184"/>
        <v>45458</v>
      </c>
      <c r="M1660" s="56" t="str">
        <f t="shared" si="185"/>
        <v>SAT</v>
      </c>
      <c r="O1660" s="253">
        <f t="shared" si="188"/>
        <v>0</v>
      </c>
      <c r="P1660" s="392">
        <f t="shared" si="187"/>
        <v>1</v>
      </c>
    </row>
    <row r="1661" spans="1:18">
      <c r="B1661" s="41"/>
      <c r="C1661" s="403">
        <f t="shared" si="189"/>
        <v>45459</v>
      </c>
      <c r="D1661" s="56" t="str">
        <f>VLOOKUP(MOD(C1661,7),'CALENDAR INFO'!$G$5:$H$11,2)</f>
        <v>SUN</v>
      </c>
      <c r="E1661" s="165">
        <v>5.33</v>
      </c>
      <c r="F1661" s="336">
        <v>5.31</v>
      </c>
      <c r="G1661" s="411">
        <f t="shared" si="183"/>
        <v>-2.0000000000000462E-2</v>
      </c>
      <c r="H1661" s="115"/>
      <c r="I1661" s="139"/>
      <c r="J1661" s="151"/>
      <c r="K1661" s="126"/>
      <c r="L1661" s="403">
        <f t="shared" si="184"/>
        <v>45459</v>
      </c>
      <c r="M1661" s="56" t="str">
        <f t="shared" si="185"/>
        <v>SUN</v>
      </c>
      <c r="O1661" s="253">
        <f t="shared" si="188"/>
        <v>0</v>
      </c>
      <c r="P1661" s="392">
        <f t="shared" si="187"/>
        <v>1</v>
      </c>
    </row>
    <row r="1662" spans="1:18">
      <c r="B1662" s="41"/>
      <c r="C1662" s="403">
        <f t="shared" si="189"/>
        <v>45460</v>
      </c>
      <c r="D1662" s="56" t="str">
        <f>VLOOKUP(MOD(C1662,7),'CALENDAR INFO'!$G$5:$H$11,2)</f>
        <v>MON</v>
      </c>
      <c r="E1662" s="165">
        <v>5.33</v>
      </c>
      <c r="F1662" s="336">
        <v>5.33</v>
      </c>
      <c r="G1662" s="411">
        <f t="shared" si="183"/>
        <v>0</v>
      </c>
      <c r="H1662" s="115"/>
      <c r="I1662" s="246"/>
      <c r="J1662" s="247"/>
      <c r="K1662" s="126"/>
      <c r="L1662" s="403">
        <f t="shared" si="184"/>
        <v>45460</v>
      </c>
      <c r="M1662" s="56" t="str">
        <f t="shared" si="185"/>
        <v>MON</v>
      </c>
      <c r="O1662" s="253">
        <f t="shared" si="188"/>
        <v>1</v>
      </c>
      <c r="P1662" s="392">
        <f t="shared" si="187"/>
        <v>1.0001480555555555</v>
      </c>
    </row>
    <row r="1663" spans="1:18">
      <c r="B1663" s="41"/>
      <c r="C1663" s="403">
        <f t="shared" si="189"/>
        <v>45461</v>
      </c>
      <c r="D1663" s="56" t="str">
        <f>VLOOKUP(MOD(C1663,7),'CALENDAR INFO'!$G$5:$H$11,2)</f>
        <v>TUE</v>
      </c>
      <c r="E1663" s="165">
        <v>5.33</v>
      </c>
      <c r="F1663" s="336">
        <v>5.33</v>
      </c>
      <c r="G1663" s="411">
        <f t="shared" si="183"/>
        <v>0</v>
      </c>
      <c r="H1663" s="115"/>
      <c r="I1663" s="137"/>
      <c r="J1663" s="150"/>
      <c r="K1663" s="126"/>
      <c r="L1663" s="403">
        <f t="shared" si="184"/>
        <v>45461</v>
      </c>
      <c r="M1663" s="56" t="str">
        <f t="shared" si="185"/>
        <v>TUE</v>
      </c>
      <c r="O1663" s="384">
        <v>2</v>
      </c>
      <c r="P1663" s="392">
        <f t="shared" si="187"/>
        <v>1.0002961111111111</v>
      </c>
    </row>
    <row r="1664" spans="1:18">
      <c r="B1664" s="41"/>
      <c r="C1664" s="403">
        <f t="shared" si="189"/>
        <v>45462</v>
      </c>
      <c r="D1664" s="56" t="str">
        <f>VLOOKUP(MOD(C1664,7),'CALENDAR INFO'!$G$5:$H$11,2)</f>
        <v>WED</v>
      </c>
      <c r="E1664" s="165">
        <v>5.33</v>
      </c>
      <c r="F1664" s="336">
        <v>5.33</v>
      </c>
      <c r="G1664" s="411">
        <f t="shared" si="183"/>
        <v>0</v>
      </c>
      <c r="H1664" s="115"/>
      <c r="I1664" s="240"/>
      <c r="J1664" s="157"/>
      <c r="K1664" s="126"/>
      <c r="L1664" s="403">
        <f t="shared" si="184"/>
        <v>45462</v>
      </c>
      <c r="M1664" s="56" t="str">
        <f t="shared" si="185"/>
        <v>WED</v>
      </c>
      <c r="N1664" s="132" t="s">
        <v>126</v>
      </c>
      <c r="O1664" s="384">
        <v>0</v>
      </c>
      <c r="P1664" s="392">
        <f t="shared" si="187"/>
        <v>1</v>
      </c>
    </row>
    <row r="1665" spans="1:18">
      <c r="B1665" s="41"/>
      <c r="C1665" s="403">
        <f t="shared" si="189"/>
        <v>45463</v>
      </c>
      <c r="D1665" s="56" t="str">
        <f>VLOOKUP(MOD(C1665,7),'CALENDAR INFO'!$G$5:$H$11,2)</f>
        <v>THU</v>
      </c>
      <c r="E1665" s="165">
        <v>5.33</v>
      </c>
      <c r="F1665" s="336">
        <v>5.32</v>
      </c>
      <c r="G1665" s="411">
        <f t="shared" si="183"/>
        <v>-9.9999999999997868E-3</v>
      </c>
      <c r="H1665" s="115"/>
      <c r="I1665" s="163"/>
      <c r="J1665" s="164"/>
      <c r="K1665" s="126"/>
      <c r="L1665" s="403">
        <f t="shared" si="184"/>
        <v>45463</v>
      </c>
      <c r="M1665" s="56" t="str">
        <f t="shared" si="185"/>
        <v>THU</v>
      </c>
      <c r="O1665" s="253">
        <f t="shared" ref="O1665:O1677" si="190">IF(MOD(C1665,7)&lt;2,0,IF(MOD(C1665,7)=6,3,1))</f>
        <v>1</v>
      </c>
      <c r="P1665" s="392">
        <f t="shared" si="187"/>
        <v>1.0001477777777779</v>
      </c>
    </row>
    <row r="1666" spans="1:18">
      <c r="B1666" s="41"/>
      <c r="C1666" s="403">
        <f t="shared" si="189"/>
        <v>45464</v>
      </c>
      <c r="D1666" s="56" t="str">
        <f>VLOOKUP(MOD(C1666,7),'CALENDAR INFO'!$G$5:$H$11,2)</f>
        <v>FRI</v>
      </c>
      <c r="E1666" s="165">
        <v>5.33</v>
      </c>
      <c r="F1666" s="336">
        <v>5.31</v>
      </c>
      <c r="G1666" s="411">
        <f t="shared" si="183"/>
        <v>-2.0000000000000462E-2</v>
      </c>
      <c r="I1666" s="141"/>
      <c r="J1666" s="158"/>
      <c r="K1666" s="126"/>
      <c r="L1666" s="403">
        <f t="shared" si="184"/>
        <v>45464</v>
      </c>
      <c r="M1666" s="56" t="str">
        <f t="shared" si="185"/>
        <v>FRI</v>
      </c>
      <c r="O1666" s="253">
        <f t="shared" si="190"/>
        <v>3</v>
      </c>
      <c r="P1666" s="392">
        <f t="shared" si="187"/>
        <v>1.0004424999999999</v>
      </c>
    </row>
    <row r="1667" spans="1:18">
      <c r="B1667" s="41"/>
      <c r="C1667" s="403">
        <f t="shared" si="189"/>
        <v>45465</v>
      </c>
      <c r="D1667" s="56" t="str">
        <f>VLOOKUP(MOD(C1667,7),'CALENDAR INFO'!$G$5:$H$11,2)</f>
        <v>SAT</v>
      </c>
      <c r="E1667" s="165">
        <v>5.33</v>
      </c>
      <c r="F1667" s="336">
        <v>5.31</v>
      </c>
      <c r="G1667" s="411">
        <f t="shared" ref="G1667:G1730" si="191">F1667-E1667</f>
        <v>-2.0000000000000462E-2</v>
      </c>
      <c r="I1667" s="141"/>
      <c r="J1667" s="158"/>
      <c r="K1667" s="126"/>
      <c r="L1667" s="403">
        <f t="shared" ref="L1667:L1730" si="192">C1667</f>
        <v>45465</v>
      </c>
      <c r="M1667" s="56" t="str">
        <f t="shared" ref="M1667:M1730" si="193">D1667</f>
        <v>SAT</v>
      </c>
      <c r="O1667" s="253">
        <f t="shared" si="190"/>
        <v>0</v>
      </c>
      <c r="P1667" s="392">
        <f t="shared" si="187"/>
        <v>1</v>
      </c>
    </row>
    <row r="1668" spans="1:18">
      <c r="B1668" s="41"/>
      <c r="C1668" s="403">
        <f t="shared" si="189"/>
        <v>45466</v>
      </c>
      <c r="D1668" s="56" t="str">
        <f>VLOOKUP(MOD(C1668,7),'CALENDAR INFO'!$G$5:$H$11,2)</f>
        <v>SUN</v>
      </c>
      <c r="E1668" s="165">
        <v>5.33</v>
      </c>
      <c r="F1668" s="336">
        <v>5.31</v>
      </c>
      <c r="G1668" s="411">
        <f t="shared" si="191"/>
        <v>-2.0000000000000462E-2</v>
      </c>
      <c r="I1668" s="141"/>
      <c r="J1668" s="158"/>
      <c r="K1668" s="126"/>
      <c r="L1668" s="403">
        <f t="shared" si="192"/>
        <v>45466</v>
      </c>
      <c r="M1668" s="56" t="str">
        <f t="shared" si="193"/>
        <v>SUN</v>
      </c>
      <c r="O1668" s="253">
        <f t="shared" si="190"/>
        <v>0</v>
      </c>
      <c r="P1668" s="392">
        <f t="shared" si="187"/>
        <v>1</v>
      </c>
    </row>
    <row r="1669" spans="1:18">
      <c r="B1669" s="41"/>
      <c r="C1669" s="403">
        <f t="shared" si="189"/>
        <v>45467</v>
      </c>
      <c r="D1669" s="56" t="str">
        <f>VLOOKUP(MOD(C1669,7),'CALENDAR INFO'!$G$5:$H$11,2)</f>
        <v>MON</v>
      </c>
      <c r="E1669" s="165">
        <v>5.33</v>
      </c>
      <c r="F1669" s="336">
        <v>5.31</v>
      </c>
      <c r="G1669" s="411">
        <f t="shared" si="191"/>
        <v>-2.0000000000000462E-2</v>
      </c>
      <c r="I1669" s="141"/>
      <c r="J1669" s="158"/>
      <c r="K1669" s="126"/>
      <c r="L1669" s="403">
        <f t="shared" si="192"/>
        <v>45467</v>
      </c>
      <c r="M1669" s="56" t="str">
        <f t="shared" si="193"/>
        <v>MON</v>
      </c>
      <c r="O1669" s="253">
        <f t="shared" si="190"/>
        <v>1</v>
      </c>
      <c r="P1669" s="392">
        <f t="shared" si="187"/>
        <v>1.0001475</v>
      </c>
    </row>
    <row r="1670" spans="1:18">
      <c r="B1670" s="41"/>
      <c r="C1670" s="403">
        <f t="shared" si="189"/>
        <v>45468</v>
      </c>
      <c r="D1670" s="56" t="str">
        <f>VLOOKUP(MOD(C1670,7),'CALENDAR INFO'!$G$5:$H$11,2)</f>
        <v>TUE</v>
      </c>
      <c r="E1670" s="165">
        <v>5.33</v>
      </c>
      <c r="F1670" s="336">
        <v>5.33</v>
      </c>
      <c r="G1670" s="411">
        <f t="shared" si="191"/>
        <v>0</v>
      </c>
      <c r="I1670" s="228"/>
      <c r="J1670" s="229"/>
      <c r="K1670" s="126"/>
      <c r="L1670" s="403">
        <f t="shared" si="192"/>
        <v>45468</v>
      </c>
      <c r="M1670" s="56" t="str">
        <f t="shared" si="193"/>
        <v>TUE</v>
      </c>
      <c r="O1670" s="253">
        <f t="shared" si="190"/>
        <v>1</v>
      </c>
      <c r="P1670" s="392">
        <f t="shared" si="187"/>
        <v>1.0001480555555555</v>
      </c>
      <c r="Q1670" s="21"/>
      <c r="R1670" s="221"/>
    </row>
    <row r="1671" spans="1:18">
      <c r="B1671" s="41"/>
      <c r="C1671" s="403">
        <f t="shared" si="189"/>
        <v>45469</v>
      </c>
      <c r="D1671" s="56" t="str">
        <f>VLOOKUP(MOD(C1671,7),'CALENDAR INFO'!$G$5:$H$11,2)</f>
        <v>WED</v>
      </c>
      <c r="E1671" s="165">
        <v>5.33</v>
      </c>
      <c r="F1671" s="336">
        <v>5.34</v>
      </c>
      <c r="G1671" s="411">
        <f t="shared" si="191"/>
        <v>9.9999999999997868E-3</v>
      </c>
      <c r="I1671" s="141"/>
      <c r="J1671" s="158"/>
      <c r="K1671" s="126" t="s">
        <v>19</v>
      </c>
      <c r="L1671" s="403">
        <f t="shared" si="192"/>
        <v>45469</v>
      </c>
      <c r="M1671" s="56" t="str">
        <f t="shared" si="193"/>
        <v>WED</v>
      </c>
      <c r="O1671" s="253">
        <f t="shared" si="190"/>
        <v>1</v>
      </c>
      <c r="P1671" s="392">
        <f t="shared" si="187"/>
        <v>1.0001483333333334</v>
      </c>
      <c r="Q1671" s="21"/>
      <c r="R1671" s="222"/>
    </row>
    <row r="1672" spans="1:18">
      <c r="B1672" s="41"/>
      <c r="C1672" s="403">
        <f t="shared" si="189"/>
        <v>45470</v>
      </c>
      <c r="D1672" s="56" t="str">
        <f>VLOOKUP(MOD(C1672,7),'CALENDAR INFO'!$G$5:$H$11,2)</f>
        <v>THU</v>
      </c>
      <c r="E1672" s="165">
        <v>5.33</v>
      </c>
      <c r="F1672" s="336">
        <v>5.34</v>
      </c>
      <c r="G1672" s="411">
        <f t="shared" si="191"/>
        <v>9.9999999999997868E-3</v>
      </c>
      <c r="H1672" s="115"/>
      <c r="I1672" s="141"/>
      <c r="J1672" s="158"/>
      <c r="K1672" s="129" t="s">
        <v>18</v>
      </c>
      <c r="L1672" s="403">
        <f t="shared" si="192"/>
        <v>45470</v>
      </c>
      <c r="M1672" s="56" t="str">
        <f t="shared" si="193"/>
        <v>THU</v>
      </c>
      <c r="O1672" s="253">
        <f t="shared" si="190"/>
        <v>1</v>
      </c>
      <c r="P1672" s="392">
        <f t="shared" si="187"/>
        <v>1.0001483333333334</v>
      </c>
      <c r="Q1672" s="21"/>
      <c r="R1672" s="222"/>
    </row>
    <row r="1673" spans="1:18">
      <c r="B1673" s="41"/>
      <c r="C1673" s="403">
        <f t="shared" si="189"/>
        <v>45471</v>
      </c>
      <c r="D1673" s="56" t="str">
        <f>VLOOKUP(MOD(C1673,7),'CALENDAR INFO'!$G$5:$H$11,2)</f>
        <v>FRI</v>
      </c>
      <c r="E1673" s="165">
        <v>5.33</v>
      </c>
      <c r="F1673" s="336">
        <v>5.33</v>
      </c>
      <c r="G1673" s="411">
        <f t="shared" si="191"/>
        <v>0</v>
      </c>
      <c r="H1673" s="115"/>
      <c r="I1673" s="142"/>
      <c r="J1673" s="156"/>
      <c r="K1673" s="129"/>
      <c r="L1673" s="403">
        <f t="shared" si="192"/>
        <v>45471</v>
      </c>
      <c r="M1673" s="56" t="str">
        <f t="shared" si="193"/>
        <v>FRI</v>
      </c>
      <c r="O1673" s="253">
        <f t="shared" si="190"/>
        <v>3</v>
      </c>
      <c r="P1673" s="392">
        <f t="shared" si="187"/>
        <v>1.0004441666666666</v>
      </c>
    </row>
    <row r="1674" spans="1:18">
      <c r="B1674" s="41"/>
      <c r="C1674" s="403">
        <f t="shared" si="189"/>
        <v>45472</v>
      </c>
      <c r="D1674" s="56" t="str">
        <f>VLOOKUP(MOD(C1674,7),'CALENDAR INFO'!$G$5:$H$11,2)</f>
        <v>SAT</v>
      </c>
      <c r="E1674" s="165">
        <v>5.33</v>
      </c>
      <c r="F1674" s="336">
        <v>5.33</v>
      </c>
      <c r="G1674" s="411">
        <f t="shared" si="191"/>
        <v>0</v>
      </c>
      <c r="H1674" s="343"/>
      <c r="I1674" s="145"/>
      <c r="J1674" s="266"/>
      <c r="K1674" s="129"/>
      <c r="L1674" s="403">
        <f t="shared" si="192"/>
        <v>45472</v>
      </c>
      <c r="M1674" s="56" t="str">
        <f t="shared" si="193"/>
        <v>SAT</v>
      </c>
      <c r="O1674" s="253">
        <f t="shared" si="190"/>
        <v>0</v>
      </c>
      <c r="P1674" s="392">
        <f t="shared" si="187"/>
        <v>1</v>
      </c>
    </row>
    <row r="1675" spans="1:18" ht="15.75" thickBot="1">
      <c r="A1675" s="81"/>
      <c r="B1675" s="178"/>
      <c r="C1675" s="404">
        <f t="shared" si="189"/>
        <v>45473</v>
      </c>
      <c r="D1675" s="64" t="str">
        <f>VLOOKUP(MOD(C1675,7),'CALENDAR INFO'!$G$5:$H$11,2)</f>
        <v>SUN</v>
      </c>
      <c r="E1675" s="166">
        <v>5.33</v>
      </c>
      <c r="F1675" s="337">
        <v>5.33</v>
      </c>
      <c r="G1675" s="412">
        <f t="shared" si="191"/>
        <v>0</v>
      </c>
      <c r="H1675" s="335"/>
      <c r="I1675" s="267"/>
      <c r="J1675" s="268"/>
      <c r="K1675" s="189"/>
      <c r="L1675" s="404">
        <f t="shared" si="192"/>
        <v>45473</v>
      </c>
      <c r="M1675" s="64" t="str">
        <f t="shared" si="193"/>
        <v>SUN</v>
      </c>
      <c r="N1675" s="90"/>
      <c r="O1675" s="383">
        <f t="shared" si="190"/>
        <v>0</v>
      </c>
      <c r="P1675" s="388">
        <f t="shared" si="187"/>
        <v>1</v>
      </c>
    </row>
    <row r="1676" spans="1:18">
      <c r="A1676" s="238"/>
      <c r="B1676" s="239"/>
      <c r="C1676" s="403">
        <f t="shared" si="189"/>
        <v>45474</v>
      </c>
      <c r="D1676" s="56" t="str">
        <f>VLOOKUP(MOD(C1676,7),'CALENDAR INFO'!$G$5:$H$11,2)</f>
        <v>MON</v>
      </c>
      <c r="E1676" s="165">
        <v>5.33</v>
      </c>
      <c r="F1676" s="336">
        <v>5.4</v>
      </c>
      <c r="G1676" s="411">
        <f t="shared" si="191"/>
        <v>7.0000000000000284E-2</v>
      </c>
      <c r="H1676" s="15" t="s">
        <v>149</v>
      </c>
      <c r="I1676" s="15">
        <f>ROW(I1676)</f>
        <v>1676</v>
      </c>
      <c r="J1676" s="138">
        <f>I1676</f>
        <v>1676</v>
      </c>
      <c r="K1676" s="129"/>
      <c r="L1676" s="403">
        <f t="shared" si="192"/>
        <v>45474</v>
      </c>
      <c r="M1676" s="56" t="str">
        <f t="shared" si="193"/>
        <v>MON</v>
      </c>
      <c r="O1676" s="386">
        <f t="shared" si="190"/>
        <v>1</v>
      </c>
      <c r="P1676" s="390">
        <f t="shared" si="187"/>
        <v>1.0001500000000001</v>
      </c>
    </row>
    <row r="1677" spans="1:18">
      <c r="B1677" s="41"/>
      <c r="C1677" s="403">
        <f t="shared" si="189"/>
        <v>45475</v>
      </c>
      <c r="D1677" s="56" t="str">
        <f>VLOOKUP(MOD(C1677,7),'CALENDAR INFO'!$G$5:$H$11,2)</f>
        <v>TUE</v>
      </c>
      <c r="E1677" s="165">
        <v>5.33</v>
      </c>
      <c r="F1677" s="336">
        <v>5.35</v>
      </c>
      <c r="G1677" s="411">
        <f t="shared" si="191"/>
        <v>1.9999999999999574E-2</v>
      </c>
      <c r="H1677" s="376" t="s">
        <v>210</v>
      </c>
      <c r="I1677" s="15">
        <f>VLOOKUP(MONTH($C1676),'CALENDAR INFO'!$J$5:$K$16,2)</f>
        <v>31</v>
      </c>
      <c r="J1677" s="138">
        <f>I1677</f>
        <v>31</v>
      </c>
      <c r="K1677" s="129"/>
      <c r="L1677" s="403">
        <f t="shared" si="192"/>
        <v>45475</v>
      </c>
      <c r="M1677" s="56" t="str">
        <f t="shared" si="193"/>
        <v>TUE</v>
      </c>
      <c r="O1677" s="253">
        <f t="shared" si="190"/>
        <v>1</v>
      </c>
      <c r="P1677" s="392">
        <f t="shared" si="187"/>
        <v>1.0001486111111111</v>
      </c>
    </row>
    <row r="1678" spans="1:18">
      <c r="B1678" s="41"/>
      <c r="C1678" s="403">
        <f t="shared" si="189"/>
        <v>45476</v>
      </c>
      <c r="D1678" s="56" t="str">
        <f>VLOOKUP(MOD(C1678,7),'CALENDAR INFO'!$G$5:$H$11,2)</f>
        <v>WED</v>
      </c>
      <c r="E1678" s="165">
        <v>5.33</v>
      </c>
      <c r="F1678" s="336">
        <v>5.33</v>
      </c>
      <c r="G1678" s="411">
        <f t="shared" si="191"/>
        <v>0</v>
      </c>
      <c r="H1678" s="376" t="s">
        <v>211</v>
      </c>
      <c r="I1678" s="15">
        <f>I1677+I1676-1</f>
        <v>1706</v>
      </c>
      <c r="J1678" s="138">
        <f>I1678</f>
        <v>1706</v>
      </c>
      <c r="K1678" s="129"/>
      <c r="L1678" s="403">
        <f t="shared" si="192"/>
        <v>45476</v>
      </c>
      <c r="M1678" s="56" t="str">
        <f t="shared" si="193"/>
        <v>WED</v>
      </c>
      <c r="O1678" s="384">
        <v>2</v>
      </c>
      <c r="P1678" s="392">
        <f t="shared" si="187"/>
        <v>1.0002961111111111</v>
      </c>
    </row>
    <row r="1679" spans="1:18">
      <c r="B1679" s="41"/>
      <c r="C1679" s="403">
        <f t="shared" si="189"/>
        <v>45477</v>
      </c>
      <c r="D1679" s="56" t="str">
        <f>VLOOKUP(MOD(C1679,7),'CALENDAR INFO'!$G$5:$H$11,2)</f>
        <v>THU</v>
      </c>
      <c r="E1679" s="165">
        <v>5.33</v>
      </c>
      <c r="F1679" s="336">
        <v>5.33</v>
      </c>
      <c r="G1679" s="411">
        <f t="shared" si="191"/>
        <v>0</v>
      </c>
      <c r="K1679" s="129"/>
      <c r="L1679" s="403">
        <f t="shared" si="192"/>
        <v>45477</v>
      </c>
      <c r="M1679" s="56" t="str">
        <f t="shared" si="193"/>
        <v>THU</v>
      </c>
      <c r="N1679" s="132" t="s">
        <v>49</v>
      </c>
      <c r="O1679" s="384">
        <v>0</v>
      </c>
      <c r="P1679" s="392">
        <f t="shared" si="187"/>
        <v>1</v>
      </c>
    </row>
    <row r="1680" spans="1:18">
      <c r="B1680" s="41"/>
      <c r="C1680" s="403">
        <f t="shared" si="189"/>
        <v>45478</v>
      </c>
      <c r="D1680" s="56" t="str">
        <f>VLOOKUP(MOD(C1680,7),'CALENDAR INFO'!$G$5:$H$11,2)</f>
        <v>FRI</v>
      </c>
      <c r="E1680" s="165">
        <v>5.33</v>
      </c>
      <c r="F1680" s="336">
        <v>5.32</v>
      </c>
      <c r="G1680" s="411">
        <f t="shared" si="191"/>
        <v>-9.9999999999997868E-3</v>
      </c>
      <c r="H1680" s="15" t="s">
        <v>150</v>
      </c>
      <c r="I1680" s="137" t="str">
        <f>_xlfn.CONCAT(ADDRESS(I1676,5),":",ADDRESS(I1678,5))</f>
        <v>$E$1676:$E$1706</v>
      </c>
      <c r="J1680" s="150" t="str">
        <f>_xlfn.CONCAT(ADDRESS(J1676,6),":",ADDRESS(J1678,6))</f>
        <v>$F$1676:$F$1706</v>
      </c>
      <c r="K1680" s="129"/>
      <c r="L1680" s="403">
        <f t="shared" si="192"/>
        <v>45478</v>
      </c>
      <c r="M1680" s="56" t="str">
        <f t="shared" si="193"/>
        <v>FRI</v>
      </c>
      <c r="O1680" s="253">
        <f t="shared" ref="O1680:O1711" si="194">IF(MOD(C1680,7)&lt;2,0,IF(MOD(C1680,7)=6,3,1))</f>
        <v>3</v>
      </c>
      <c r="P1680" s="392">
        <f t="shared" si="187"/>
        <v>1.0004433333333334</v>
      </c>
    </row>
    <row r="1681" spans="2:16">
      <c r="B1681" s="41"/>
      <c r="C1681" s="403">
        <f t="shared" si="189"/>
        <v>45479</v>
      </c>
      <c r="D1681" s="56" t="str">
        <f>VLOOKUP(MOD(C1681,7),'CALENDAR INFO'!$G$5:$H$11,2)</f>
        <v>SAT</v>
      </c>
      <c r="E1681" s="165">
        <v>5.33</v>
      </c>
      <c r="F1681" s="336">
        <v>5.32</v>
      </c>
      <c r="G1681" s="411">
        <f t="shared" si="191"/>
        <v>-9.9999999999997868E-3</v>
      </c>
      <c r="K1681" s="129"/>
      <c r="L1681" s="403">
        <f t="shared" si="192"/>
        <v>45479</v>
      </c>
      <c r="M1681" s="56" t="str">
        <f t="shared" si="193"/>
        <v>SAT</v>
      </c>
      <c r="O1681" s="253">
        <f t="shared" si="194"/>
        <v>0</v>
      </c>
      <c r="P1681" s="392">
        <f t="shared" si="187"/>
        <v>1</v>
      </c>
    </row>
    <row r="1682" spans="2:16">
      <c r="B1682" s="41"/>
      <c r="C1682" s="403">
        <f t="shared" si="189"/>
        <v>45480</v>
      </c>
      <c r="D1682" s="56" t="str">
        <f>VLOOKUP(MOD(C1682,7),'CALENDAR INFO'!$G$5:$H$11,2)</f>
        <v>SUN</v>
      </c>
      <c r="E1682" s="165">
        <v>5.33</v>
      </c>
      <c r="F1682" s="336">
        <v>5.32</v>
      </c>
      <c r="G1682" s="411">
        <f t="shared" si="191"/>
        <v>-9.9999999999997868E-3</v>
      </c>
      <c r="H1682" s="376" t="s">
        <v>221</v>
      </c>
      <c r="I1682" s="147">
        <f ca="1">AVERAGE(INDIRECT(I1680))</f>
        <v>5.3300000000000018</v>
      </c>
      <c r="J1682" s="326">
        <f ca="1">AVERAGE(INDIRECT(J1680))</f>
        <v>5.3412903225806456</v>
      </c>
      <c r="K1682" s="129"/>
      <c r="L1682" s="403">
        <f t="shared" si="192"/>
        <v>45480</v>
      </c>
      <c r="M1682" s="56" t="str">
        <f t="shared" si="193"/>
        <v>SUN</v>
      </c>
      <c r="O1682" s="253">
        <f t="shared" si="194"/>
        <v>0</v>
      </c>
      <c r="P1682" s="392">
        <f t="shared" si="187"/>
        <v>1</v>
      </c>
    </row>
    <row r="1683" spans="2:16">
      <c r="B1683" s="41"/>
      <c r="C1683" s="403">
        <f t="shared" si="189"/>
        <v>45481</v>
      </c>
      <c r="D1683" s="56" t="str">
        <f>VLOOKUP(MOD(C1683,7),'CALENDAR INFO'!$G$5:$H$11,2)</f>
        <v>MON</v>
      </c>
      <c r="E1683" s="165">
        <v>5.33</v>
      </c>
      <c r="F1683" s="336">
        <v>5.32</v>
      </c>
      <c r="G1683" s="411">
        <f t="shared" si="191"/>
        <v>-9.9999999999997868E-3</v>
      </c>
      <c r="H1683" s="115"/>
      <c r="I1683" s="244"/>
      <c r="J1683" s="245"/>
      <c r="K1683" s="129"/>
      <c r="L1683" s="403">
        <f t="shared" si="192"/>
        <v>45481</v>
      </c>
      <c r="M1683" s="56" t="str">
        <f t="shared" si="193"/>
        <v>MON</v>
      </c>
      <c r="O1683" s="253">
        <f t="shared" si="194"/>
        <v>1</v>
      </c>
      <c r="P1683" s="392">
        <f t="shared" ref="P1683:P1746" si="195">1+(O1683/360)*(MAX(F1683,B1683)/100)</f>
        <v>1.0001477777777779</v>
      </c>
    </row>
    <row r="1684" spans="2:16">
      <c r="B1684" s="41"/>
      <c r="C1684" s="403">
        <f t="shared" si="189"/>
        <v>45482</v>
      </c>
      <c r="D1684" s="56" t="str">
        <f>VLOOKUP(MOD(C1684,7),'CALENDAR INFO'!$G$5:$H$11,2)</f>
        <v>TUE</v>
      </c>
      <c r="E1684" s="165">
        <v>5.33</v>
      </c>
      <c r="F1684" s="336">
        <v>5.34</v>
      </c>
      <c r="G1684" s="411">
        <f t="shared" si="191"/>
        <v>9.9999999999997868E-3</v>
      </c>
      <c r="H1684" s="15" t="s">
        <v>222</v>
      </c>
      <c r="I1684" s="147">
        <f ca="1">100-I1682</f>
        <v>94.67</v>
      </c>
      <c r="J1684" s="326">
        <f ca="1">100-J1682</f>
        <v>94.658709677419353</v>
      </c>
      <c r="K1684" s="129"/>
      <c r="L1684" s="403">
        <f t="shared" si="192"/>
        <v>45482</v>
      </c>
      <c r="M1684" s="56" t="str">
        <f t="shared" si="193"/>
        <v>TUE</v>
      </c>
      <c r="O1684" s="253">
        <f t="shared" si="194"/>
        <v>1</v>
      </c>
      <c r="P1684" s="392">
        <f t="shared" si="195"/>
        <v>1.0001483333333334</v>
      </c>
    </row>
    <row r="1685" spans="2:16">
      <c r="B1685" s="41"/>
      <c r="C1685" s="403">
        <f t="shared" si="189"/>
        <v>45483</v>
      </c>
      <c r="D1685" s="56" t="str">
        <f>VLOOKUP(MOD(C1685,7),'CALENDAR INFO'!$G$5:$H$11,2)</f>
        <v>WED</v>
      </c>
      <c r="E1685" s="165">
        <v>5.33</v>
      </c>
      <c r="F1685" s="336">
        <v>5.34</v>
      </c>
      <c r="G1685" s="411">
        <f t="shared" si="191"/>
        <v>9.9999999999997868E-3</v>
      </c>
      <c r="I1685" s="137"/>
      <c r="J1685" s="150"/>
      <c r="K1685" s="129" t="s">
        <v>19</v>
      </c>
      <c r="L1685" s="403">
        <f t="shared" si="192"/>
        <v>45483</v>
      </c>
      <c r="M1685" s="56" t="str">
        <f t="shared" si="193"/>
        <v>WED</v>
      </c>
      <c r="O1685" s="253">
        <f t="shared" si="194"/>
        <v>1</v>
      </c>
      <c r="P1685" s="392">
        <f t="shared" si="195"/>
        <v>1.0001483333333334</v>
      </c>
    </row>
    <row r="1686" spans="2:16">
      <c r="B1686" s="41"/>
      <c r="C1686" s="403">
        <f t="shared" si="189"/>
        <v>45484</v>
      </c>
      <c r="D1686" s="56" t="str">
        <f>VLOOKUP(MOD(C1686,7),'CALENDAR INFO'!$G$5:$H$11,2)</f>
        <v>THU</v>
      </c>
      <c r="E1686" s="165">
        <v>5.33</v>
      </c>
      <c r="F1686" s="336">
        <v>5.34</v>
      </c>
      <c r="G1686" s="411">
        <f t="shared" si="191"/>
        <v>9.9999999999997868E-3</v>
      </c>
      <c r="H1686" s="115"/>
      <c r="I1686" s="240"/>
      <c r="J1686" s="157"/>
      <c r="K1686" s="126" t="s">
        <v>18</v>
      </c>
      <c r="L1686" s="403">
        <f t="shared" si="192"/>
        <v>45484</v>
      </c>
      <c r="M1686" s="56" t="str">
        <f t="shared" si="193"/>
        <v>THU</v>
      </c>
      <c r="O1686" s="253">
        <f t="shared" si="194"/>
        <v>1</v>
      </c>
      <c r="P1686" s="392">
        <f t="shared" si="195"/>
        <v>1.0001483333333334</v>
      </c>
    </row>
    <row r="1687" spans="2:16">
      <c r="B1687" s="41"/>
      <c r="C1687" s="403">
        <f t="shared" si="189"/>
        <v>45485</v>
      </c>
      <c r="D1687" s="56" t="str">
        <f>VLOOKUP(MOD(C1687,7),'CALENDAR INFO'!$G$5:$H$11,2)</f>
        <v>FRI</v>
      </c>
      <c r="E1687" s="165">
        <v>5.33</v>
      </c>
      <c r="F1687" s="336">
        <v>5.34</v>
      </c>
      <c r="G1687" s="411">
        <f t="shared" si="191"/>
        <v>9.9999999999997868E-3</v>
      </c>
      <c r="I1687" s="240"/>
      <c r="J1687" s="157"/>
      <c r="K1687" s="126"/>
      <c r="L1687" s="403">
        <f t="shared" si="192"/>
        <v>45485</v>
      </c>
      <c r="M1687" s="56" t="str">
        <f t="shared" si="193"/>
        <v>FRI</v>
      </c>
      <c r="O1687" s="253">
        <f t="shared" si="194"/>
        <v>3</v>
      </c>
      <c r="P1687" s="392">
        <f t="shared" si="195"/>
        <v>1.000445</v>
      </c>
    </row>
    <row r="1688" spans="2:16">
      <c r="B1688" s="41"/>
      <c r="C1688" s="403">
        <f t="shared" si="189"/>
        <v>45486</v>
      </c>
      <c r="D1688" s="56" t="str">
        <f>VLOOKUP(MOD(C1688,7),'CALENDAR INFO'!$G$5:$H$11,2)</f>
        <v>SAT</v>
      </c>
      <c r="E1688" s="165">
        <v>5.33</v>
      </c>
      <c r="F1688" s="336">
        <v>5.34</v>
      </c>
      <c r="G1688" s="411">
        <f t="shared" si="191"/>
        <v>9.9999999999997868E-3</v>
      </c>
      <c r="H1688" s="115"/>
      <c r="I1688" s="240"/>
      <c r="J1688" s="157"/>
      <c r="K1688" s="126"/>
      <c r="L1688" s="403">
        <f t="shared" si="192"/>
        <v>45486</v>
      </c>
      <c r="M1688" s="56" t="str">
        <f t="shared" si="193"/>
        <v>SAT</v>
      </c>
      <c r="O1688" s="253">
        <f t="shared" si="194"/>
        <v>0</v>
      </c>
      <c r="P1688" s="392">
        <f t="shared" si="195"/>
        <v>1</v>
      </c>
    </row>
    <row r="1689" spans="2:16">
      <c r="B1689" s="41"/>
      <c r="C1689" s="403">
        <f t="shared" si="189"/>
        <v>45487</v>
      </c>
      <c r="D1689" s="56" t="str">
        <f>VLOOKUP(MOD(C1689,7),'CALENDAR INFO'!$G$5:$H$11,2)</f>
        <v>SUN</v>
      </c>
      <c r="E1689" s="165">
        <v>5.33</v>
      </c>
      <c r="F1689" s="336">
        <v>5.34</v>
      </c>
      <c r="G1689" s="411">
        <f t="shared" si="191"/>
        <v>9.9999999999997868E-3</v>
      </c>
      <c r="I1689" s="240"/>
      <c r="J1689" s="157"/>
      <c r="K1689" s="126"/>
      <c r="L1689" s="403">
        <f t="shared" si="192"/>
        <v>45487</v>
      </c>
      <c r="M1689" s="56" t="str">
        <f t="shared" si="193"/>
        <v>SUN</v>
      </c>
      <c r="O1689" s="253">
        <f t="shared" si="194"/>
        <v>0</v>
      </c>
      <c r="P1689" s="392">
        <f t="shared" si="195"/>
        <v>1</v>
      </c>
    </row>
    <row r="1690" spans="2:16">
      <c r="B1690" s="41"/>
      <c r="C1690" s="403">
        <f t="shared" si="189"/>
        <v>45488</v>
      </c>
      <c r="D1690" s="56" t="str">
        <f>VLOOKUP(MOD(C1690,7),'CALENDAR INFO'!$G$5:$H$11,2)</f>
        <v>MON</v>
      </c>
      <c r="E1690" s="165">
        <v>5.33</v>
      </c>
      <c r="F1690" s="336">
        <v>5.34</v>
      </c>
      <c r="G1690" s="411">
        <f t="shared" si="191"/>
        <v>9.9999999999997868E-3</v>
      </c>
      <c r="I1690" s="137"/>
      <c r="J1690" s="150"/>
      <c r="K1690" s="126"/>
      <c r="L1690" s="403">
        <f t="shared" si="192"/>
        <v>45488</v>
      </c>
      <c r="M1690" s="56" t="str">
        <f t="shared" si="193"/>
        <v>MON</v>
      </c>
      <c r="O1690" s="253">
        <f t="shared" si="194"/>
        <v>1</v>
      </c>
      <c r="P1690" s="392">
        <f t="shared" si="195"/>
        <v>1.0001483333333334</v>
      </c>
    </row>
    <row r="1691" spans="2:16">
      <c r="B1691" s="41"/>
      <c r="C1691" s="403">
        <f t="shared" si="189"/>
        <v>45489</v>
      </c>
      <c r="D1691" s="56" t="str">
        <f>VLOOKUP(MOD(C1691,7),'CALENDAR INFO'!$G$5:$H$11,2)</f>
        <v>TUE</v>
      </c>
      <c r="E1691" s="165">
        <v>5.33</v>
      </c>
      <c r="F1691" s="336">
        <v>5.35</v>
      </c>
      <c r="G1691" s="411">
        <f t="shared" si="191"/>
        <v>1.9999999999999574E-2</v>
      </c>
      <c r="H1691" s="115"/>
      <c r="I1691" s="139"/>
      <c r="J1691" s="151"/>
      <c r="K1691" s="126"/>
      <c r="L1691" s="403">
        <f t="shared" si="192"/>
        <v>45489</v>
      </c>
      <c r="M1691" s="56" t="str">
        <f t="shared" si="193"/>
        <v>TUE</v>
      </c>
      <c r="O1691" s="253">
        <f t="shared" si="194"/>
        <v>1</v>
      </c>
      <c r="P1691" s="392">
        <f t="shared" si="195"/>
        <v>1.0001486111111111</v>
      </c>
    </row>
    <row r="1692" spans="2:16">
      <c r="B1692" s="41"/>
      <c r="C1692" s="403">
        <f t="shared" si="189"/>
        <v>45490</v>
      </c>
      <c r="D1692" s="56" t="str">
        <f>VLOOKUP(MOD(C1692,7),'CALENDAR INFO'!$G$5:$H$11,2)</f>
        <v>WED</v>
      </c>
      <c r="E1692" s="165">
        <v>5.33</v>
      </c>
      <c r="F1692" s="336">
        <v>5.35</v>
      </c>
      <c r="G1692" s="411">
        <f t="shared" si="191"/>
        <v>1.9999999999999574E-2</v>
      </c>
      <c r="H1692" s="115"/>
      <c r="I1692" s="246"/>
      <c r="J1692" s="247"/>
      <c r="K1692" s="126"/>
      <c r="L1692" s="403">
        <f t="shared" si="192"/>
        <v>45490</v>
      </c>
      <c r="M1692" s="56" t="str">
        <f t="shared" si="193"/>
        <v>WED</v>
      </c>
      <c r="O1692" s="253">
        <f t="shared" si="194"/>
        <v>1</v>
      </c>
      <c r="P1692" s="392">
        <f t="shared" si="195"/>
        <v>1.0001486111111111</v>
      </c>
    </row>
    <row r="1693" spans="2:16">
      <c r="B1693" s="41"/>
      <c r="C1693" s="403">
        <f t="shared" si="189"/>
        <v>45491</v>
      </c>
      <c r="D1693" s="56" t="str">
        <f>VLOOKUP(MOD(C1693,7),'CALENDAR INFO'!$G$5:$H$11,2)</f>
        <v>THU</v>
      </c>
      <c r="E1693" s="165">
        <v>5.33</v>
      </c>
      <c r="F1693" s="336">
        <v>5.34</v>
      </c>
      <c r="G1693" s="411">
        <f t="shared" si="191"/>
        <v>9.9999999999997868E-3</v>
      </c>
      <c r="H1693" s="115"/>
      <c r="I1693" s="137"/>
      <c r="J1693" s="150"/>
      <c r="K1693" s="126"/>
      <c r="L1693" s="403">
        <f t="shared" si="192"/>
        <v>45491</v>
      </c>
      <c r="M1693" s="56" t="str">
        <f t="shared" si="193"/>
        <v>THU</v>
      </c>
      <c r="O1693" s="253">
        <f t="shared" si="194"/>
        <v>1</v>
      </c>
      <c r="P1693" s="392">
        <f t="shared" si="195"/>
        <v>1.0001483333333334</v>
      </c>
    </row>
    <row r="1694" spans="2:16">
      <c r="B1694" s="41"/>
      <c r="C1694" s="403">
        <f t="shared" si="189"/>
        <v>45492</v>
      </c>
      <c r="D1694" s="56" t="str">
        <f>VLOOKUP(MOD(C1694,7),'CALENDAR INFO'!$G$5:$H$11,2)</f>
        <v>FRI</v>
      </c>
      <c r="E1694" s="165">
        <v>5.33</v>
      </c>
      <c r="F1694" s="336">
        <v>5.34</v>
      </c>
      <c r="G1694" s="411">
        <f t="shared" si="191"/>
        <v>9.9999999999997868E-3</v>
      </c>
      <c r="H1694" s="115"/>
      <c r="I1694" s="240"/>
      <c r="J1694" s="157"/>
      <c r="K1694" s="126"/>
      <c r="L1694" s="403">
        <f t="shared" si="192"/>
        <v>45492</v>
      </c>
      <c r="M1694" s="56" t="str">
        <f t="shared" si="193"/>
        <v>FRI</v>
      </c>
      <c r="O1694" s="253">
        <f t="shared" si="194"/>
        <v>3</v>
      </c>
      <c r="P1694" s="392">
        <f t="shared" si="195"/>
        <v>1.000445</v>
      </c>
    </row>
    <row r="1695" spans="2:16">
      <c r="B1695" s="41"/>
      <c r="C1695" s="403">
        <f t="shared" si="189"/>
        <v>45493</v>
      </c>
      <c r="D1695" s="56" t="str">
        <f>VLOOKUP(MOD(C1695,7),'CALENDAR INFO'!$G$5:$H$11,2)</f>
        <v>SAT</v>
      </c>
      <c r="E1695" s="165">
        <v>5.33</v>
      </c>
      <c r="F1695" s="336">
        <v>5.34</v>
      </c>
      <c r="G1695" s="411">
        <f t="shared" si="191"/>
        <v>9.9999999999997868E-3</v>
      </c>
      <c r="H1695" s="115"/>
      <c r="I1695" s="163"/>
      <c r="J1695" s="164"/>
      <c r="K1695" s="126"/>
      <c r="L1695" s="403">
        <f t="shared" si="192"/>
        <v>45493</v>
      </c>
      <c r="M1695" s="56" t="str">
        <f t="shared" si="193"/>
        <v>SAT</v>
      </c>
      <c r="O1695" s="253">
        <f t="shared" si="194"/>
        <v>0</v>
      </c>
      <c r="P1695" s="392">
        <f t="shared" si="195"/>
        <v>1</v>
      </c>
    </row>
    <row r="1696" spans="2:16">
      <c r="B1696" s="41"/>
      <c r="C1696" s="403">
        <f t="shared" si="189"/>
        <v>45494</v>
      </c>
      <c r="D1696" s="56" t="str">
        <f>VLOOKUP(MOD(C1696,7),'CALENDAR INFO'!$G$5:$H$11,2)</f>
        <v>SUN</v>
      </c>
      <c r="E1696" s="165">
        <v>5.33</v>
      </c>
      <c r="F1696" s="336">
        <v>5.34</v>
      </c>
      <c r="G1696" s="411">
        <f t="shared" si="191"/>
        <v>9.9999999999997868E-3</v>
      </c>
      <c r="I1696" s="141"/>
      <c r="J1696" s="158"/>
      <c r="K1696" s="126"/>
      <c r="L1696" s="403">
        <f t="shared" si="192"/>
        <v>45494</v>
      </c>
      <c r="M1696" s="56" t="str">
        <f t="shared" si="193"/>
        <v>SUN</v>
      </c>
      <c r="O1696" s="253">
        <f t="shared" si="194"/>
        <v>0</v>
      </c>
      <c r="P1696" s="392">
        <f t="shared" si="195"/>
        <v>1</v>
      </c>
    </row>
    <row r="1697" spans="1:18">
      <c r="B1697" s="41"/>
      <c r="C1697" s="403">
        <f t="shared" si="189"/>
        <v>45495</v>
      </c>
      <c r="D1697" s="56" t="str">
        <f>VLOOKUP(MOD(C1697,7),'CALENDAR INFO'!$G$5:$H$11,2)</f>
        <v>MON</v>
      </c>
      <c r="E1697" s="165">
        <v>5.33</v>
      </c>
      <c r="F1697" s="336">
        <v>5.33</v>
      </c>
      <c r="G1697" s="411">
        <f t="shared" si="191"/>
        <v>0</v>
      </c>
      <c r="I1697" s="141"/>
      <c r="J1697" s="158"/>
      <c r="K1697" s="126"/>
      <c r="L1697" s="403">
        <f t="shared" si="192"/>
        <v>45495</v>
      </c>
      <c r="M1697" s="56" t="str">
        <f t="shared" si="193"/>
        <v>MON</v>
      </c>
      <c r="O1697" s="253">
        <f t="shared" si="194"/>
        <v>1</v>
      </c>
      <c r="P1697" s="392">
        <f t="shared" si="195"/>
        <v>1.0001480555555555</v>
      </c>
    </row>
    <row r="1698" spans="1:18">
      <c r="B1698" s="41"/>
      <c r="C1698" s="403">
        <f t="shared" si="189"/>
        <v>45496</v>
      </c>
      <c r="D1698" s="56" t="str">
        <f>VLOOKUP(MOD(C1698,7),'CALENDAR INFO'!$G$5:$H$11,2)</f>
        <v>TUE</v>
      </c>
      <c r="E1698" s="165">
        <v>5.33</v>
      </c>
      <c r="F1698" s="336">
        <v>5.34</v>
      </c>
      <c r="G1698" s="411">
        <f t="shared" si="191"/>
        <v>9.9999999999997868E-3</v>
      </c>
      <c r="I1698" s="141"/>
      <c r="J1698" s="158"/>
      <c r="K1698" s="126"/>
      <c r="L1698" s="403">
        <f t="shared" si="192"/>
        <v>45496</v>
      </c>
      <c r="M1698" s="56" t="str">
        <f t="shared" si="193"/>
        <v>TUE</v>
      </c>
      <c r="O1698" s="253">
        <f t="shared" si="194"/>
        <v>1</v>
      </c>
      <c r="P1698" s="392">
        <f t="shared" si="195"/>
        <v>1.0001483333333334</v>
      </c>
    </row>
    <row r="1699" spans="1:18">
      <c r="B1699" s="41"/>
      <c r="C1699" s="403">
        <f t="shared" si="189"/>
        <v>45497</v>
      </c>
      <c r="D1699" s="56" t="str">
        <f>VLOOKUP(MOD(C1699,7),'CALENDAR INFO'!$G$5:$H$11,2)</f>
        <v>WED</v>
      </c>
      <c r="E1699" s="165">
        <v>5.33</v>
      </c>
      <c r="F1699" s="336">
        <v>5.34</v>
      </c>
      <c r="G1699" s="411">
        <f t="shared" si="191"/>
        <v>9.9999999999997868E-3</v>
      </c>
      <c r="I1699" s="141"/>
      <c r="J1699" s="158"/>
      <c r="K1699" s="126" t="s">
        <v>19</v>
      </c>
      <c r="L1699" s="403">
        <f t="shared" si="192"/>
        <v>45497</v>
      </c>
      <c r="M1699" s="56" t="str">
        <f t="shared" si="193"/>
        <v>WED</v>
      </c>
      <c r="O1699" s="253">
        <f t="shared" si="194"/>
        <v>1</v>
      </c>
      <c r="P1699" s="392">
        <f t="shared" si="195"/>
        <v>1.0001483333333334</v>
      </c>
    </row>
    <row r="1700" spans="1:18">
      <c r="B1700" s="41"/>
      <c r="C1700" s="403">
        <f t="shared" si="189"/>
        <v>45498</v>
      </c>
      <c r="D1700" s="56" t="str">
        <f>VLOOKUP(MOD(C1700,7),'CALENDAR INFO'!$G$5:$H$11,2)</f>
        <v>THU</v>
      </c>
      <c r="E1700" s="165">
        <v>5.33</v>
      </c>
      <c r="F1700" s="336">
        <v>5.35</v>
      </c>
      <c r="G1700" s="411">
        <f t="shared" si="191"/>
        <v>1.9999999999999574E-2</v>
      </c>
      <c r="I1700" s="228"/>
      <c r="J1700" s="229"/>
      <c r="K1700" s="129" t="s">
        <v>18</v>
      </c>
      <c r="L1700" s="403">
        <f t="shared" si="192"/>
        <v>45498</v>
      </c>
      <c r="M1700" s="56" t="str">
        <f t="shared" si="193"/>
        <v>THU</v>
      </c>
      <c r="O1700" s="253">
        <f t="shared" si="194"/>
        <v>1</v>
      </c>
      <c r="P1700" s="392">
        <f t="shared" si="195"/>
        <v>1.0001486111111111</v>
      </c>
    </row>
    <row r="1701" spans="1:18">
      <c r="B1701" s="41"/>
      <c r="C1701" s="403">
        <f t="shared" si="189"/>
        <v>45499</v>
      </c>
      <c r="D1701" s="56" t="str">
        <f>VLOOKUP(MOD(C1701,7),'CALENDAR INFO'!$G$5:$H$11,2)</f>
        <v>FRI</v>
      </c>
      <c r="E1701" s="165">
        <v>5.33</v>
      </c>
      <c r="F1701" s="336">
        <v>5.35</v>
      </c>
      <c r="G1701" s="411">
        <f t="shared" si="191"/>
        <v>1.9999999999999574E-2</v>
      </c>
      <c r="I1701" s="141"/>
      <c r="J1701" s="158"/>
      <c r="K1701" s="129"/>
      <c r="L1701" s="403">
        <f t="shared" si="192"/>
        <v>45499</v>
      </c>
      <c r="M1701" s="56" t="str">
        <f t="shared" si="193"/>
        <v>FRI</v>
      </c>
      <c r="O1701" s="253">
        <f t="shared" si="194"/>
        <v>3</v>
      </c>
      <c r="P1701" s="392">
        <f t="shared" si="195"/>
        <v>1.0004458333333333</v>
      </c>
      <c r="Q1701" s="21"/>
      <c r="R1701" s="221"/>
    </row>
    <row r="1702" spans="1:18">
      <c r="B1702" s="41"/>
      <c r="C1702" s="403">
        <f t="shared" si="189"/>
        <v>45500</v>
      </c>
      <c r="D1702" s="56" t="str">
        <f>VLOOKUP(MOD(C1702,7),'CALENDAR INFO'!$G$5:$H$11,2)</f>
        <v>SAT</v>
      </c>
      <c r="E1702" s="165">
        <v>5.33</v>
      </c>
      <c r="F1702" s="336">
        <v>5.35</v>
      </c>
      <c r="G1702" s="411">
        <f t="shared" si="191"/>
        <v>1.9999999999999574E-2</v>
      </c>
      <c r="H1702" s="115"/>
      <c r="I1702" s="115"/>
      <c r="J1702" s="159"/>
      <c r="K1702" s="129"/>
      <c r="L1702" s="403">
        <f t="shared" si="192"/>
        <v>45500</v>
      </c>
      <c r="M1702" s="56" t="str">
        <f t="shared" si="193"/>
        <v>SAT</v>
      </c>
      <c r="O1702" s="253">
        <f t="shared" si="194"/>
        <v>0</v>
      </c>
      <c r="P1702" s="392">
        <f t="shared" si="195"/>
        <v>1</v>
      </c>
      <c r="Q1702" s="21"/>
      <c r="R1702" s="222"/>
    </row>
    <row r="1703" spans="1:18">
      <c r="B1703" s="41"/>
      <c r="C1703" s="403">
        <f t="shared" si="189"/>
        <v>45501</v>
      </c>
      <c r="D1703" s="56" t="str">
        <f>VLOOKUP(MOD(C1703,7),'CALENDAR INFO'!$G$5:$H$11,2)</f>
        <v>SUN</v>
      </c>
      <c r="E1703" s="165">
        <v>5.33</v>
      </c>
      <c r="F1703" s="336">
        <v>5.35</v>
      </c>
      <c r="G1703" s="411">
        <f t="shared" si="191"/>
        <v>1.9999999999999574E-2</v>
      </c>
      <c r="H1703" s="115"/>
      <c r="I1703" s="141"/>
      <c r="J1703" s="158"/>
      <c r="K1703" s="129"/>
      <c r="L1703" s="403">
        <f t="shared" si="192"/>
        <v>45501</v>
      </c>
      <c r="M1703" s="56" t="str">
        <f t="shared" si="193"/>
        <v>SUN</v>
      </c>
      <c r="O1703" s="253">
        <f t="shared" si="194"/>
        <v>0</v>
      </c>
      <c r="P1703" s="392">
        <f t="shared" si="195"/>
        <v>1</v>
      </c>
      <c r="Q1703" s="21"/>
      <c r="R1703" s="222"/>
    </row>
    <row r="1704" spans="1:18">
      <c r="B1704" s="41"/>
      <c r="C1704" s="403">
        <f t="shared" si="189"/>
        <v>45502</v>
      </c>
      <c r="D1704" s="56" t="str">
        <f>VLOOKUP(MOD(C1704,7),'CALENDAR INFO'!$G$5:$H$11,2)</f>
        <v>MON</v>
      </c>
      <c r="E1704" s="165">
        <v>5.33</v>
      </c>
      <c r="F1704" s="336">
        <v>5.33</v>
      </c>
      <c r="G1704" s="411">
        <f t="shared" si="191"/>
        <v>0</v>
      </c>
      <c r="H1704" s="115"/>
      <c r="I1704" s="142"/>
      <c r="J1704" s="156"/>
      <c r="K1704" s="129"/>
      <c r="L1704" s="403">
        <f t="shared" si="192"/>
        <v>45502</v>
      </c>
      <c r="M1704" s="56" t="str">
        <f t="shared" si="193"/>
        <v>MON</v>
      </c>
      <c r="O1704" s="253">
        <f t="shared" si="194"/>
        <v>1</v>
      </c>
      <c r="P1704" s="392">
        <f t="shared" si="195"/>
        <v>1.0001480555555555</v>
      </c>
    </row>
    <row r="1705" spans="1:18">
      <c r="B1705" s="41"/>
      <c r="C1705" s="403">
        <f t="shared" si="189"/>
        <v>45503</v>
      </c>
      <c r="D1705" s="56" t="str">
        <f>VLOOKUP(MOD(C1705,7),'CALENDAR INFO'!$G$5:$H$11,2)</f>
        <v>TUE</v>
      </c>
      <c r="E1705" s="165">
        <v>5.33</v>
      </c>
      <c r="F1705" s="336">
        <v>5.33</v>
      </c>
      <c r="G1705" s="411">
        <f t="shared" si="191"/>
        <v>0</v>
      </c>
      <c r="H1705" s="343"/>
      <c r="I1705" s="145"/>
      <c r="J1705" s="266"/>
      <c r="K1705" s="129"/>
      <c r="L1705" s="403">
        <f t="shared" si="192"/>
        <v>45503</v>
      </c>
      <c r="M1705" s="56" t="str">
        <f t="shared" si="193"/>
        <v>TUE</v>
      </c>
      <c r="N1705" s="116" t="s">
        <v>20</v>
      </c>
      <c r="O1705" s="253">
        <f t="shared" si="194"/>
        <v>1</v>
      </c>
      <c r="P1705" s="392">
        <f t="shared" si="195"/>
        <v>1.0001480555555555</v>
      </c>
    </row>
    <row r="1706" spans="1:18" ht="15.75" thickBot="1">
      <c r="A1706" s="81"/>
      <c r="B1706" s="178"/>
      <c r="C1706" s="404">
        <f t="shared" si="189"/>
        <v>45504</v>
      </c>
      <c r="D1706" s="64" t="str">
        <f>VLOOKUP(MOD(C1706,7),'CALENDAR INFO'!$G$5:$H$11,2)</f>
        <v>WED</v>
      </c>
      <c r="E1706" s="166">
        <v>5.33</v>
      </c>
      <c r="F1706" s="337">
        <v>5.38</v>
      </c>
      <c r="G1706" s="412">
        <f t="shared" si="191"/>
        <v>4.9999999999999822E-2</v>
      </c>
      <c r="H1706" s="335"/>
      <c r="I1706" s="267"/>
      <c r="J1706" s="268"/>
      <c r="K1706" s="189"/>
      <c r="L1706" s="404">
        <f t="shared" si="192"/>
        <v>45504</v>
      </c>
      <c r="M1706" s="64" t="str">
        <f t="shared" si="193"/>
        <v>WED</v>
      </c>
      <c r="N1706" s="121" t="s">
        <v>20</v>
      </c>
      <c r="O1706" s="383">
        <f t="shared" si="194"/>
        <v>1</v>
      </c>
      <c r="P1706" s="388">
        <f t="shared" si="195"/>
        <v>1.0001494444444445</v>
      </c>
    </row>
    <row r="1707" spans="1:18">
      <c r="A1707" s="238"/>
      <c r="B1707" s="239"/>
      <c r="C1707" s="403">
        <f t="shared" si="189"/>
        <v>45505</v>
      </c>
      <c r="D1707" s="56" t="str">
        <f>VLOOKUP(MOD(C1707,7),'CALENDAR INFO'!$G$5:$H$11,2)</f>
        <v>THU</v>
      </c>
      <c r="E1707" s="165">
        <v>5.33</v>
      </c>
      <c r="F1707" s="336">
        <v>5.35</v>
      </c>
      <c r="G1707" s="411">
        <f t="shared" si="191"/>
        <v>1.9999999999999574E-2</v>
      </c>
      <c r="H1707" s="15" t="s">
        <v>149</v>
      </c>
      <c r="I1707" s="15">
        <f>ROW(I1707)</f>
        <v>1707</v>
      </c>
      <c r="J1707" s="138">
        <f>I1707</f>
        <v>1707</v>
      </c>
      <c r="K1707" s="129"/>
      <c r="L1707" s="403">
        <f t="shared" si="192"/>
        <v>45505</v>
      </c>
      <c r="M1707" s="56" t="str">
        <f t="shared" si="193"/>
        <v>THU</v>
      </c>
      <c r="O1707" s="386">
        <f t="shared" si="194"/>
        <v>1</v>
      </c>
      <c r="P1707" s="390">
        <f t="shared" si="195"/>
        <v>1.0001486111111111</v>
      </c>
    </row>
    <row r="1708" spans="1:18">
      <c r="B1708" s="41"/>
      <c r="C1708" s="403">
        <f t="shared" si="189"/>
        <v>45506</v>
      </c>
      <c r="D1708" s="56" t="str">
        <f>VLOOKUP(MOD(C1708,7),'CALENDAR INFO'!$G$5:$H$11,2)</f>
        <v>FRI</v>
      </c>
      <c r="E1708" s="165">
        <v>5.33</v>
      </c>
      <c r="F1708" s="336">
        <v>5.35</v>
      </c>
      <c r="G1708" s="411">
        <f t="shared" si="191"/>
        <v>1.9999999999999574E-2</v>
      </c>
      <c r="H1708" s="376" t="s">
        <v>210</v>
      </c>
      <c r="I1708" s="15">
        <f>VLOOKUP(MONTH($C1707),'CALENDAR INFO'!$J$5:$K$16,2)</f>
        <v>31</v>
      </c>
      <c r="J1708" s="138">
        <f>I1708</f>
        <v>31</v>
      </c>
      <c r="K1708" s="129"/>
      <c r="L1708" s="403">
        <f t="shared" si="192"/>
        <v>45506</v>
      </c>
      <c r="M1708" s="56" t="str">
        <f t="shared" si="193"/>
        <v>FRI</v>
      </c>
      <c r="O1708" s="253">
        <f t="shared" si="194"/>
        <v>3</v>
      </c>
      <c r="P1708" s="392">
        <f t="shared" si="195"/>
        <v>1.0004458333333333</v>
      </c>
    </row>
    <row r="1709" spans="1:18">
      <c r="B1709" s="41"/>
      <c r="C1709" s="403">
        <f t="shared" si="189"/>
        <v>45507</v>
      </c>
      <c r="D1709" s="56" t="str">
        <f>VLOOKUP(MOD(C1709,7),'CALENDAR INFO'!$G$5:$H$11,2)</f>
        <v>SAT</v>
      </c>
      <c r="E1709" s="165">
        <v>5.33</v>
      </c>
      <c r="F1709" s="336">
        <v>5.35</v>
      </c>
      <c r="G1709" s="411">
        <f t="shared" si="191"/>
        <v>1.9999999999999574E-2</v>
      </c>
      <c r="H1709" s="376" t="s">
        <v>211</v>
      </c>
      <c r="I1709" s="15">
        <f>I1708+I1707-1</f>
        <v>1737</v>
      </c>
      <c r="J1709" s="138">
        <f>I1709</f>
        <v>1737</v>
      </c>
      <c r="K1709" s="129"/>
      <c r="L1709" s="403">
        <f t="shared" si="192"/>
        <v>45507</v>
      </c>
      <c r="M1709" s="56" t="str">
        <f t="shared" si="193"/>
        <v>SAT</v>
      </c>
      <c r="O1709" s="253">
        <f t="shared" si="194"/>
        <v>0</v>
      </c>
      <c r="P1709" s="392">
        <f t="shared" si="195"/>
        <v>1</v>
      </c>
    </row>
    <row r="1710" spans="1:18">
      <c r="B1710" s="41"/>
      <c r="C1710" s="403">
        <f t="shared" si="189"/>
        <v>45508</v>
      </c>
      <c r="D1710" s="56" t="str">
        <f>VLOOKUP(MOD(C1710,7),'CALENDAR INFO'!$G$5:$H$11,2)</f>
        <v>SUN</v>
      </c>
      <c r="E1710" s="165">
        <v>5.33</v>
      </c>
      <c r="F1710" s="336">
        <v>5.35</v>
      </c>
      <c r="G1710" s="411">
        <f t="shared" si="191"/>
        <v>1.9999999999999574E-2</v>
      </c>
      <c r="K1710" s="129"/>
      <c r="L1710" s="403">
        <f t="shared" si="192"/>
        <v>45508</v>
      </c>
      <c r="M1710" s="56" t="str">
        <f t="shared" si="193"/>
        <v>SUN</v>
      </c>
      <c r="O1710" s="253">
        <f t="shared" si="194"/>
        <v>0</v>
      </c>
      <c r="P1710" s="392">
        <f t="shared" si="195"/>
        <v>1</v>
      </c>
    </row>
    <row r="1711" spans="1:18">
      <c r="B1711" s="41"/>
      <c r="C1711" s="403">
        <f t="shared" si="189"/>
        <v>45509</v>
      </c>
      <c r="D1711" s="56" t="str">
        <f>VLOOKUP(MOD(C1711,7),'CALENDAR INFO'!$G$5:$H$11,2)</f>
        <v>MON</v>
      </c>
      <c r="E1711" s="165">
        <v>5.33</v>
      </c>
      <c r="F1711" s="336">
        <v>5.32</v>
      </c>
      <c r="G1711" s="411">
        <f t="shared" si="191"/>
        <v>-9.9999999999997868E-3</v>
      </c>
      <c r="H1711" s="15" t="s">
        <v>150</v>
      </c>
      <c r="I1711" s="137" t="str">
        <f>_xlfn.CONCAT(ADDRESS(I1707,5),":",ADDRESS(I1709,5))</f>
        <v>$E$1707:$E$1737</v>
      </c>
      <c r="J1711" s="150" t="str">
        <f>_xlfn.CONCAT(ADDRESS(J1707,6),":",ADDRESS(J1709,6))</f>
        <v>$F$1707:$F$1737</v>
      </c>
      <c r="K1711" s="129"/>
      <c r="L1711" s="403">
        <f t="shared" si="192"/>
        <v>45509</v>
      </c>
      <c r="M1711" s="56" t="str">
        <f t="shared" si="193"/>
        <v>MON</v>
      </c>
      <c r="O1711" s="253">
        <f t="shared" si="194"/>
        <v>1</v>
      </c>
      <c r="P1711" s="392">
        <f t="shared" si="195"/>
        <v>1.0001477777777779</v>
      </c>
      <c r="R1711" s="92"/>
    </row>
    <row r="1712" spans="1:18">
      <c r="A1712" s="278"/>
      <c r="B1712" s="250"/>
      <c r="C1712" s="403">
        <f t="shared" si="189"/>
        <v>45510</v>
      </c>
      <c r="D1712" s="56" t="str">
        <f>VLOOKUP(MOD(C1712,7),'CALENDAR INFO'!$G$5:$H$11,2)</f>
        <v>TUE</v>
      </c>
      <c r="E1712" s="165">
        <v>5.33</v>
      </c>
      <c r="F1712" s="336">
        <v>5.33</v>
      </c>
      <c r="G1712" s="411">
        <f t="shared" si="191"/>
        <v>0</v>
      </c>
      <c r="K1712" s="129"/>
      <c r="L1712" s="403">
        <f t="shared" si="192"/>
        <v>45510</v>
      </c>
      <c r="M1712" s="56" t="str">
        <f t="shared" si="193"/>
        <v>TUE</v>
      </c>
      <c r="O1712" s="253">
        <f t="shared" ref="O1712:O1735" si="196">IF(MOD(C1712,7)&lt;2,0,IF(MOD(C1712,7)=6,3,1))</f>
        <v>1</v>
      </c>
      <c r="P1712" s="392">
        <f t="shared" si="195"/>
        <v>1.0001480555555555</v>
      </c>
      <c r="R1712" s="92"/>
    </row>
    <row r="1713" spans="1:16">
      <c r="A1713" s="278"/>
      <c r="B1713" s="250"/>
      <c r="C1713" s="403">
        <f t="shared" si="189"/>
        <v>45511</v>
      </c>
      <c r="D1713" s="56" t="str">
        <f>VLOOKUP(MOD(C1713,7),'CALENDAR INFO'!$G$5:$H$11,2)</f>
        <v>WED</v>
      </c>
      <c r="E1713" s="165">
        <v>5.33</v>
      </c>
      <c r="F1713" s="336">
        <v>5.33</v>
      </c>
      <c r="G1713" s="411">
        <f t="shared" si="191"/>
        <v>0</v>
      </c>
      <c r="H1713" s="376" t="s">
        <v>221</v>
      </c>
      <c r="I1713" s="147">
        <f ca="1">AVERAGE(INDIRECT(I1711))</f>
        <v>5.3300000000000018</v>
      </c>
      <c r="J1713" s="326">
        <f ca="1">AVERAGE(INDIRECT(J1711))</f>
        <v>5.3329032258064517</v>
      </c>
      <c r="K1713" s="129" t="s">
        <v>19</v>
      </c>
      <c r="L1713" s="403">
        <f t="shared" si="192"/>
        <v>45511</v>
      </c>
      <c r="M1713" s="56" t="str">
        <f t="shared" si="193"/>
        <v>WED</v>
      </c>
      <c r="O1713" s="253">
        <f t="shared" si="196"/>
        <v>1</v>
      </c>
      <c r="P1713" s="392">
        <f t="shared" si="195"/>
        <v>1.0001480555555555</v>
      </c>
    </row>
    <row r="1714" spans="1:16">
      <c r="B1714" s="41"/>
      <c r="C1714" s="403">
        <f t="shared" si="189"/>
        <v>45512</v>
      </c>
      <c r="D1714" s="56" t="str">
        <f>VLOOKUP(MOD(C1714,7),'CALENDAR INFO'!$G$5:$H$11,2)</f>
        <v>THU</v>
      </c>
      <c r="E1714" s="165">
        <v>5.33</v>
      </c>
      <c r="F1714" s="336">
        <v>5.34</v>
      </c>
      <c r="G1714" s="411">
        <f t="shared" si="191"/>
        <v>9.9999999999997868E-3</v>
      </c>
      <c r="H1714" s="115"/>
      <c r="I1714" s="244"/>
      <c r="J1714" s="245"/>
      <c r="K1714" s="126" t="s">
        <v>18</v>
      </c>
      <c r="L1714" s="403">
        <f t="shared" si="192"/>
        <v>45512</v>
      </c>
      <c r="M1714" s="56" t="str">
        <f t="shared" si="193"/>
        <v>THU</v>
      </c>
      <c r="O1714" s="253">
        <f t="shared" si="196"/>
        <v>1</v>
      </c>
      <c r="P1714" s="392">
        <f t="shared" si="195"/>
        <v>1.0001483333333334</v>
      </c>
    </row>
    <row r="1715" spans="1:16">
      <c r="B1715" s="41"/>
      <c r="C1715" s="403">
        <f t="shared" si="189"/>
        <v>45513</v>
      </c>
      <c r="D1715" s="56" t="str">
        <f>VLOOKUP(MOD(C1715,7),'CALENDAR INFO'!$G$5:$H$11,2)</f>
        <v>FRI</v>
      </c>
      <c r="E1715" s="165">
        <v>5.33</v>
      </c>
      <c r="F1715" s="336">
        <v>5.34</v>
      </c>
      <c r="G1715" s="411">
        <f t="shared" si="191"/>
        <v>9.9999999999997868E-3</v>
      </c>
      <c r="H1715" s="15" t="s">
        <v>222</v>
      </c>
      <c r="I1715" s="147">
        <f ca="1">100-I1713</f>
        <v>94.67</v>
      </c>
      <c r="J1715" s="326">
        <f ca="1">100-J1713</f>
        <v>94.667096774193553</v>
      </c>
      <c r="K1715" s="126"/>
      <c r="L1715" s="403">
        <f t="shared" si="192"/>
        <v>45513</v>
      </c>
      <c r="M1715" s="56" t="str">
        <f t="shared" si="193"/>
        <v>FRI</v>
      </c>
      <c r="O1715" s="253">
        <f t="shared" si="196"/>
        <v>3</v>
      </c>
      <c r="P1715" s="392">
        <f t="shared" si="195"/>
        <v>1.000445</v>
      </c>
    </row>
    <row r="1716" spans="1:16">
      <c r="B1716" s="41"/>
      <c r="C1716" s="403">
        <f t="shared" si="189"/>
        <v>45514</v>
      </c>
      <c r="D1716" s="56" t="str">
        <f>VLOOKUP(MOD(C1716,7),'CALENDAR INFO'!$G$5:$H$11,2)</f>
        <v>SAT</v>
      </c>
      <c r="E1716" s="165">
        <v>5.33</v>
      </c>
      <c r="F1716" s="336">
        <v>5.34</v>
      </c>
      <c r="G1716" s="411">
        <f t="shared" si="191"/>
        <v>9.9999999999997868E-3</v>
      </c>
      <c r="H1716" s="115"/>
      <c r="I1716" s="240"/>
      <c r="J1716" s="157"/>
      <c r="K1716" s="126"/>
      <c r="L1716" s="403">
        <f t="shared" si="192"/>
        <v>45514</v>
      </c>
      <c r="M1716" s="56" t="str">
        <f t="shared" si="193"/>
        <v>SAT</v>
      </c>
      <c r="O1716" s="253">
        <f t="shared" si="196"/>
        <v>0</v>
      </c>
      <c r="P1716" s="392">
        <f t="shared" si="195"/>
        <v>1</v>
      </c>
    </row>
    <row r="1717" spans="1:16">
      <c r="B1717" s="41"/>
      <c r="C1717" s="403">
        <f t="shared" ref="C1717:C1780" si="197">C1716+1</f>
        <v>45515</v>
      </c>
      <c r="D1717" s="56" t="str">
        <f>VLOOKUP(MOD(C1717,7),'CALENDAR INFO'!$G$5:$H$11,2)</f>
        <v>SUN</v>
      </c>
      <c r="E1717" s="165">
        <v>5.33</v>
      </c>
      <c r="F1717" s="336">
        <v>5.34</v>
      </c>
      <c r="G1717" s="411">
        <f t="shared" si="191"/>
        <v>9.9999999999997868E-3</v>
      </c>
      <c r="H1717" s="115"/>
      <c r="I1717" s="240"/>
      <c r="J1717" s="157"/>
      <c r="K1717" s="126"/>
      <c r="L1717" s="403">
        <f t="shared" si="192"/>
        <v>45515</v>
      </c>
      <c r="M1717" s="56" t="str">
        <f t="shared" si="193"/>
        <v>SUN</v>
      </c>
      <c r="O1717" s="253">
        <f t="shared" si="196"/>
        <v>0</v>
      </c>
      <c r="P1717" s="392">
        <f t="shared" si="195"/>
        <v>1</v>
      </c>
    </row>
    <row r="1718" spans="1:16">
      <c r="B1718" s="41"/>
      <c r="C1718" s="403">
        <f t="shared" si="197"/>
        <v>45516</v>
      </c>
      <c r="D1718" s="56" t="str">
        <f>VLOOKUP(MOD(C1718,7),'CALENDAR INFO'!$G$5:$H$11,2)</f>
        <v>MON</v>
      </c>
      <c r="E1718" s="165">
        <v>5.33</v>
      </c>
      <c r="F1718" s="336">
        <v>5.34</v>
      </c>
      <c r="G1718" s="411">
        <f t="shared" si="191"/>
        <v>9.9999999999997868E-3</v>
      </c>
      <c r="H1718" s="115"/>
      <c r="I1718" s="240"/>
      <c r="J1718" s="157"/>
      <c r="K1718" s="126"/>
      <c r="L1718" s="403">
        <f t="shared" si="192"/>
        <v>45516</v>
      </c>
      <c r="M1718" s="56" t="str">
        <f t="shared" si="193"/>
        <v>MON</v>
      </c>
      <c r="O1718" s="253">
        <f t="shared" si="196"/>
        <v>1</v>
      </c>
      <c r="P1718" s="392">
        <f t="shared" si="195"/>
        <v>1.0001483333333334</v>
      </c>
    </row>
    <row r="1719" spans="1:16">
      <c r="B1719" s="41"/>
      <c r="C1719" s="403">
        <f t="shared" si="197"/>
        <v>45517</v>
      </c>
      <c r="D1719" s="56" t="str">
        <f>VLOOKUP(MOD(C1719,7),'CALENDAR INFO'!$G$5:$H$11,2)</f>
        <v>TUE</v>
      </c>
      <c r="E1719" s="165">
        <v>5.33</v>
      </c>
      <c r="F1719" s="336">
        <v>5.34</v>
      </c>
      <c r="G1719" s="411">
        <f t="shared" si="191"/>
        <v>9.9999999999997868E-3</v>
      </c>
      <c r="H1719" s="115"/>
      <c r="I1719" s="240"/>
      <c r="J1719" s="157"/>
      <c r="K1719" s="126"/>
      <c r="L1719" s="403">
        <f t="shared" si="192"/>
        <v>45517</v>
      </c>
      <c r="M1719" s="56" t="str">
        <f t="shared" si="193"/>
        <v>TUE</v>
      </c>
      <c r="O1719" s="253">
        <f t="shared" si="196"/>
        <v>1</v>
      </c>
      <c r="P1719" s="392">
        <f t="shared" si="195"/>
        <v>1.0001483333333334</v>
      </c>
    </row>
    <row r="1720" spans="1:16">
      <c r="B1720" s="41"/>
      <c r="C1720" s="403">
        <f t="shared" si="197"/>
        <v>45518</v>
      </c>
      <c r="D1720" s="56" t="str">
        <f>VLOOKUP(MOD(C1720,7),'CALENDAR INFO'!$G$5:$H$11,2)</f>
        <v>WED</v>
      </c>
      <c r="E1720" s="165">
        <v>5.33</v>
      </c>
      <c r="F1720" s="336">
        <v>5.33</v>
      </c>
      <c r="G1720" s="411">
        <f t="shared" si="191"/>
        <v>0</v>
      </c>
      <c r="I1720" s="240"/>
      <c r="J1720" s="157"/>
      <c r="K1720" s="126"/>
      <c r="L1720" s="403">
        <f t="shared" si="192"/>
        <v>45518</v>
      </c>
      <c r="M1720" s="56" t="str">
        <f t="shared" si="193"/>
        <v>WED</v>
      </c>
      <c r="O1720" s="253">
        <f t="shared" si="196"/>
        <v>1</v>
      </c>
      <c r="P1720" s="392">
        <f t="shared" si="195"/>
        <v>1.0001480555555555</v>
      </c>
    </row>
    <row r="1721" spans="1:16">
      <c r="B1721" s="41"/>
      <c r="C1721" s="403">
        <f t="shared" si="197"/>
        <v>45519</v>
      </c>
      <c r="D1721" s="56" t="str">
        <f>VLOOKUP(MOD(C1721,7),'CALENDAR INFO'!$G$5:$H$11,2)</f>
        <v>THU</v>
      </c>
      <c r="E1721" s="165">
        <v>5.33</v>
      </c>
      <c r="F1721" s="336">
        <v>5.35</v>
      </c>
      <c r="G1721" s="411">
        <f t="shared" si="191"/>
        <v>1.9999999999999574E-2</v>
      </c>
      <c r="I1721" s="137"/>
      <c r="J1721" s="150"/>
      <c r="K1721" s="126"/>
      <c r="L1721" s="403">
        <f t="shared" si="192"/>
        <v>45519</v>
      </c>
      <c r="M1721" s="56" t="str">
        <f t="shared" si="193"/>
        <v>THU</v>
      </c>
      <c r="O1721" s="253">
        <f t="shared" si="196"/>
        <v>1</v>
      </c>
      <c r="P1721" s="392">
        <f t="shared" si="195"/>
        <v>1.0001486111111111</v>
      </c>
    </row>
    <row r="1722" spans="1:16">
      <c r="B1722" s="41"/>
      <c r="C1722" s="403">
        <f t="shared" si="197"/>
        <v>45520</v>
      </c>
      <c r="D1722" s="56" t="str">
        <f>VLOOKUP(MOD(C1722,7),'CALENDAR INFO'!$G$5:$H$11,2)</f>
        <v>FRI</v>
      </c>
      <c r="E1722" s="165">
        <v>5.33</v>
      </c>
      <c r="F1722" s="336">
        <v>5.32</v>
      </c>
      <c r="G1722" s="411">
        <f t="shared" si="191"/>
        <v>-9.9999999999997868E-3</v>
      </c>
      <c r="H1722" s="115"/>
      <c r="I1722" s="139"/>
      <c r="J1722" s="151"/>
      <c r="K1722" s="126"/>
      <c r="L1722" s="403">
        <f t="shared" si="192"/>
        <v>45520</v>
      </c>
      <c r="M1722" s="56" t="str">
        <f t="shared" si="193"/>
        <v>FRI</v>
      </c>
      <c r="O1722" s="253">
        <f t="shared" si="196"/>
        <v>3</v>
      </c>
      <c r="P1722" s="392">
        <f t="shared" si="195"/>
        <v>1.0004433333333334</v>
      </c>
    </row>
    <row r="1723" spans="1:16">
      <c r="B1723" s="41"/>
      <c r="C1723" s="403">
        <f t="shared" si="197"/>
        <v>45521</v>
      </c>
      <c r="D1723" s="56" t="str">
        <f>VLOOKUP(MOD(C1723,7),'CALENDAR INFO'!$G$5:$H$11,2)</f>
        <v>SAT</v>
      </c>
      <c r="E1723" s="165">
        <v>5.33</v>
      </c>
      <c r="F1723" s="336">
        <v>5.32</v>
      </c>
      <c r="G1723" s="411">
        <f t="shared" si="191"/>
        <v>-9.9999999999997868E-3</v>
      </c>
      <c r="H1723" s="115"/>
      <c r="I1723" s="246"/>
      <c r="J1723" s="247"/>
      <c r="K1723" s="126"/>
      <c r="L1723" s="403">
        <f t="shared" si="192"/>
        <v>45521</v>
      </c>
      <c r="M1723" s="56" t="str">
        <f t="shared" si="193"/>
        <v>SAT</v>
      </c>
      <c r="O1723" s="253">
        <f t="shared" si="196"/>
        <v>0</v>
      </c>
      <c r="P1723" s="392">
        <f t="shared" si="195"/>
        <v>1</v>
      </c>
    </row>
    <row r="1724" spans="1:16">
      <c r="B1724" s="41"/>
      <c r="C1724" s="403">
        <f t="shared" si="197"/>
        <v>45522</v>
      </c>
      <c r="D1724" s="56" t="str">
        <f>VLOOKUP(MOD(C1724,7),'CALENDAR INFO'!$G$5:$H$11,2)</f>
        <v>SUN</v>
      </c>
      <c r="E1724" s="165">
        <v>5.33</v>
      </c>
      <c r="F1724" s="336">
        <v>5.32</v>
      </c>
      <c r="G1724" s="411">
        <f t="shared" si="191"/>
        <v>-9.9999999999997868E-3</v>
      </c>
      <c r="H1724" s="115"/>
      <c r="I1724" s="137"/>
      <c r="J1724" s="150"/>
      <c r="K1724" s="126"/>
      <c r="L1724" s="403">
        <f t="shared" si="192"/>
        <v>45522</v>
      </c>
      <c r="M1724" s="56" t="str">
        <f t="shared" si="193"/>
        <v>SUN</v>
      </c>
      <c r="O1724" s="253">
        <f t="shared" si="196"/>
        <v>0</v>
      </c>
      <c r="P1724" s="392">
        <f t="shared" si="195"/>
        <v>1</v>
      </c>
    </row>
    <row r="1725" spans="1:16">
      <c r="B1725" s="41"/>
      <c r="C1725" s="403">
        <f t="shared" si="197"/>
        <v>45523</v>
      </c>
      <c r="D1725" s="56" t="str">
        <f>VLOOKUP(MOD(C1725,7),'CALENDAR INFO'!$G$5:$H$11,2)</f>
        <v>MON</v>
      </c>
      <c r="E1725" s="165">
        <v>5.33</v>
      </c>
      <c r="F1725" s="336">
        <v>5.32</v>
      </c>
      <c r="G1725" s="411">
        <f t="shared" si="191"/>
        <v>-9.9999999999997868E-3</v>
      </c>
      <c r="H1725" s="115"/>
      <c r="I1725" s="240"/>
      <c r="J1725" s="157"/>
      <c r="K1725" s="126"/>
      <c r="L1725" s="403">
        <f t="shared" si="192"/>
        <v>45523</v>
      </c>
      <c r="M1725" s="56" t="str">
        <f t="shared" si="193"/>
        <v>MON</v>
      </c>
      <c r="O1725" s="253">
        <f t="shared" si="196"/>
        <v>1</v>
      </c>
      <c r="P1725" s="392">
        <f t="shared" si="195"/>
        <v>1.0001477777777779</v>
      </c>
    </row>
    <row r="1726" spans="1:16">
      <c r="B1726" s="41"/>
      <c r="C1726" s="403">
        <f t="shared" si="197"/>
        <v>45524</v>
      </c>
      <c r="D1726" s="56" t="str">
        <f>VLOOKUP(MOD(C1726,7),'CALENDAR INFO'!$G$5:$H$11,2)</f>
        <v>TUE</v>
      </c>
      <c r="E1726" s="165">
        <v>5.33</v>
      </c>
      <c r="F1726" s="336">
        <v>5.32</v>
      </c>
      <c r="G1726" s="411">
        <f t="shared" si="191"/>
        <v>-9.9999999999997868E-3</v>
      </c>
      <c r="H1726" s="115"/>
      <c r="I1726" s="163"/>
      <c r="J1726" s="164"/>
      <c r="K1726" s="126"/>
      <c r="L1726" s="403">
        <f t="shared" si="192"/>
        <v>45524</v>
      </c>
      <c r="M1726" s="56" t="str">
        <f t="shared" si="193"/>
        <v>TUE</v>
      </c>
      <c r="O1726" s="253">
        <f t="shared" si="196"/>
        <v>1</v>
      </c>
      <c r="P1726" s="392">
        <f t="shared" si="195"/>
        <v>1.0001477777777779</v>
      </c>
    </row>
    <row r="1727" spans="1:16">
      <c r="B1727" s="41"/>
      <c r="C1727" s="403">
        <f t="shared" si="197"/>
        <v>45525</v>
      </c>
      <c r="D1727" s="56" t="str">
        <f>VLOOKUP(MOD(C1727,7),'CALENDAR INFO'!$G$5:$H$11,2)</f>
        <v>WED</v>
      </c>
      <c r="E1727" s="165">
        <v>5.33</v>
      </c>
      <c r="F1727" s="336">
        <v>5.31</v>
      </c>
      <c r="G1727" s="411">
        <f t="shared" si="191"/>
        <v>-2.0000000000000462E-2</v>
      </c>
      <c r="I1727" s="141"/>
      <c r="J1727" s="158"/>
      <c r="K1727" s="126" t="s">
        <v>19</v>
      </c>
      <c r="L1727" s="403">
        <f t="shared" si="192"/>
        <v>45525</v>
      </c>
      <c r="M1727" s="56" t="str">
        <f t="shared" si="193"/>
        <v>WED</v>
      </c>
      <c r="O1727" s="253">
        <f t="shared" si="196"/>
        <v>1</v>
      </c>
      <c r="P1727" s="392">
        <f t="shared" si="195"/>
        <v>1.0001475</v>
      </c>
    </row>
    <row r="1728" spans="1:16">
      <c r="B1728" s="41"/>
      <c r="C1728" s="403">
        <f t="shared" si="197"/>
        <v>45526</v>
      </c>
      <c r="D1728" s="56" t="str">
        <f>VLOOKUP(MOD(C1728,7),'CALENDAR INFO'!$G$5:$H$11,2)</f>
        <v>THU</v>
      </c>
      <c r="E1728" s="165">
        <v>5.33</v>
      </c>
      <c r="F1728" s="336">
        <v>5.31</v>
      </c>
      <c r="G1728" s="411">
        <f t="shared" si="191"/>
        <v>-2.0000000000000462E-2</v>
      </c>
      <c r="I1728" s="141"/>
      <c r="J1728" s="158"/>
      <c r="K1728" s="129" t="s">
        <v>18</v>
      </c>
      <c r="L1728" s="403">
        <f t="shared" si="192"/>
        <v>45526</v>
      </c>
      <c r="M1728" s="56" t="str">
        <f t="shared" si="193"/>
        <v>THU</v>
      </c>
      <c r="O1728" s="253">
        <f t="shared" si="196"/>
        <v>1</v>
      </c>
      <c r="P1728" s="392">
        <f t="shared" si="195"/>
        <v>1.0001475</v>
      </c>
    </row>
    <row r="1729" spans="1:18">
      <c r="B1729" s="41"/>
      <c r="C1729" s="403">
        <f t="shared" si="197"/>
        <v>45527</v>
      </c>
      <c r="D1729" s="56" t="str">
        <f>VLOOKUP(MOD(C1729,7),'CALENDAR INFO'!$G$5:$H$11,2)</f>
        <v>FRI</v>
      </c>
      <c r="E1729" s="165">
        <v>5.33</v>
      </c>
      <c r="F1729" s="336">
        <v>5.33</v>
      </c>
      <c r="G1729" s="411">
        <f t="shared" si="191"/>
        <v>0</v>
      </c>
      <c r="I1729" s="141"/>
      <c r="J1729" s="158"/>
      <c r="K1729" s="129"/>
      <c r="L1729" s="403">
        <f t="shared" si="192"/>
        <v>45527</v>
      </c>
      <c r="M1729" s="56" t="str">
        <f t="shared" si="193"/>
        <v>FRI</v>
      </c>
      <c r="O1729" s="253">
        <f t="shared" si="196"/>
        <v>3</v>
      </c>
      <c r="P1729" s="392">
        <f t="shared" si="195"/>
        <v>1.0004441666666666</v>
      </c>
    </row>
    <row r="1730" spans="1:18">
      <c r="B1730" s="41"/>
      <c r="C1730" s="403">
        <f t="shared" si="197"/>
        <v>45528</v>
      </c>
      <c r="D1730" s="56" t="str">
        <f>VLOOKUP(MOD(C1730,7),'CALENDAR INFO'!$G$5:$H$11,2)</f>
        <v>SAT</v>
      </c>
      <c r="E1730" s="165">
        <v>5.33</v>
      </c>
      <c r="F1730" s="336">
        <v>5.33</v>
      </c>
      <c r="G1730" s="411">
        <f t="shared" si="191"/>
        <v>0</v>
      </c>
      <c r="I1730" s="141"/>
      <c r="J1730" s="158"/>
      <c r="K1730" s="129"/>
      <c r="L1730" s="403">
        <f t="shared" si="192"/>
        <v>45528</v>
      </c>
      <c r="M1730" s="56" t="str">
        <f t="shared" si="193"/>
        <v>SAT</v>
      </c>
      <c r="O1730" s="253">
        <f t="shared" si="196"/>
        <v>0</v>
      </c>
      <c r="P1730" s="392">
        <f t="shared" si="195"/>
        <v>1</v>
      </c>
    </row>
    <row r="1731" spans="1:18">
      <c r="B1731" s="41"/>
      <c r="C1731" s="403">
        <f t="shared" si="197"/>
        <v>45529</v>
      </c>
      <c r="D1731" s="56" t="str">
        <f>VLOOKUP(MOD(C1731,7),'CALENDAR INFO'!$G$5:$H$11,2)</f>
        <v>SUN</v>
      </c>
      <c r="E1731" s="165">
        <v>5.33</v>
      </c>
      <c r="F1731" s="336">
        <v>5.33</v>
      </c>
      <c r="G1731" s="411">
        <f t="shared" ref="G1731:G1794" si="198">F1731-E1731</f>
        <v>0</v>
      </c>
      <c r="I1731" s="228"/>
      <c r="J1731" s="229"/>
      <c r="K1731" s="129"/>
      <c r="L1731" s="403">
        <f t="shared" ref="L1731:L1794" si="199">C1731</f>
        <v>45529</v>
      </c>
      <c r="M1731" s="56" t="str">
        <f t="shared" ref="M1731:M1794" si="200">D1731</f>
        <v>SUN</v>
      </c>
      <c r="O1731" s="253">
        <f t="shared" si="196"/>
        <v>0</v>
      </c>
      <c r="P1731" s="392">
        <f t="shared" si="195"/>
        <v>1</v>
      </c>
    </row>
    <row r="1732" spans="1:18">
      <c r="B1732" s="41"/>
      <c r="C1732" s="403">
        <f t="shared" si="197"/>
        <v>45530</v>
      </c>
      <c r="D1732" s="56" t="str">
        <f>VLOOKUP(MOD(C1732,7),'CALENDAR INFO'!$G$5:$H$11,2)</f>
        <v>MON</v>
      </c>
      <c r="E1732" s="165">
        <v>5.33</v>
      </c>
      <c r="F1732" s="336">
        <v>5.34</v>
      </c>
      <c r="G1732" s="411">
        <f t="shared" si="198"/>
        <v>9.9999999999997868E-3</v>
      </c>
      <c r="I1732" s="141"/>
      <c r="J1732" s="158"/>
      <c r="K1732" s="129"/>
      <c r="L1732" s="403">
        <f t="shared" si="199"/>
        <v>45530</v>
      </c>
      <c r="M1732" s="56" t="str">
        <f t="shared" si="200"/>
        <v>MON</v>
      </c>
      <c r="O1732" s="253">
        <f t="shared" si="196"/>
        <v>1</v>
      </c>
      <c r="P1732" s="392">
        <f t="shared" si="195"/>
        <v>1.0001483333333334</v>
      </c>
      <c r="Q1732" s="21"/>
      <c r="R1732" s="221"/>
    </row>
    <row r="1733" spans="1:18">
      <c r="B1733" s="41"/>
      <c r="C1733" s="403">
        <f t="shared" si="197"/>
        <v>45531</v>
      </c>
      <c r="D1733" s="56" t="str">
        <f>VLOOKUP(MOD(C1733,7),'CALENDAR INFO'!$G$5:$H$11,2)</f>
        <v>TUE</v>
      </c>
      <c r="E1733" s="165">
        <v>5.33</v>
      </c>
      <c r="F1733" s="336">
        <v>5.35</v>
      </c>
      <c r="G1733" s="411">
        <f t="shared" si="198"/>
        <v>1.9999999999999574E-2</v>
      </c>
      <c r="H1733" s="115"/>
      <c r="I1733" s="141"/>
      <c r="J1733" s="158"/>
      <c r="K1733" s="129"/>
      <c r="L1733" s="403">
        <f t="shared" si="199"/>
        <v>45531</v>
      </c>
      <c r="M1733" s="56" t="str">
        <f t="shared" si="200"/>
        <v>TUE</v>
      </c>
      <c r="O1733" s="253">
        <f t="shared" si="196"/>
        <v>1</v>
      </c>
      <c r="P1733" s="392">
        <f t="shared" si="195"/>
        <v>1.0001486111111111</v>
      </c>
      <c r="Q1733" s="21"/>
      <c r="R1733" s="222"/>
    </row>
    <row r="1734" spans="1:18">
      <c r="B1734" s="41"/>
      <c r="C1734" s="403">
        <f t="shared" si="197"/>
        <v>45532</v>
      </c>
      <c r="D1734" s="56" t="str">
        <f>VLOOKUP(MOD(C1734,7),'CALENDAR INFO'!$G$5:$H$11,2)</f>
        <v>WED</v>
      </c>
      <c r="E1734" s="165">
        <v>5.33</v>
      </c>
      <c r="F1734" s="336">
        <v>5.35</v>
      </c>
      <c r="G1734" s="411">
        <f t="shared" si="198"/>
        <v>1.9999999999999574E-2</v>
      </c>
      <c r="H1734" s="115"/>
      <c r="I1734" s="141"/>
      <c r="J1734" s="158"/>
      <c r="K1734" s="129"/>
      <c r="L1734" s="403">
        <f t="shared" si="199"/>
        <v>45532</v>
      </c>
      <c r="M1734" s="56" t="str">
        <f t="shared" si="200"/>
        <v>WED</v>
      </c>
      <c r="O1734" s="253">
        <f t="shared" si="196"/>
        <v>1</v>
      </c>
      <c r="P1734" s="392">
        <f t="shared" si="195"/>
        <v>1.0001486111111111</v>
      </c>
      <c r="Q1734" s="21"/>
      <c r="R1734" s="222"/>
    </row>
    <row r="1735" spans="1:18">
      <c r="B1735" s="41"/>
      <c r="C1735" s="403">
        <f t="shared" si="197"/>
        <v>45533</v>
      </c>
      <c r="D1735" s="56" t="str">
        <f>VLOOKUP(MOD(C1735,7),'CALENDAR INFO'!$G$5:$H$11,2)</f>
        <v>THU</v>
      </c>
      <c r="E1735" s="165">
        <v>5.33</v>
      </c>
      <c r="F1735" s="336">
        <v>5.33</v>
      </c>
      <c r="G1735" s="411">
        <f t="shared" si="198"/>
        <v>0</v>
      </c>
      <c r="H1735" s="115"/>
      <c r="I1735" s="142"/>
      <c r="J1735" s="156"/>
      <c r="K1735" s="129"/>
      <c r="L1735" s="403">
        <f t="shared" si="199"/>
        <v>45533</v>
      </c>
      <c r="M1735" s="56" t="str">
        <f t="shared" si="200"/>
        <v>THU</v>
      </c>
      <c r="O1735" s="253">
        <f t="shared" si="196"/>
        <v>1</v>
      </c>
      <c r="P1735" s="392">
        <f t="shared" si="195"/>
        <v>1.0001480555555555</v>
      </c>
    </row>
    <row r="1736" spans="1:18">
      <c r="B1736" s="41"/>
      <c r="C1736" s="403">
        <f t="shared" si="197"/>
        <v>45534</v>
      </c>
      <c r="D1736" s="56" t="str">
        <f>VLOOKUP(MOD(C1736,7),'CALENDAR INFO'!$G$5:$H$11,2)</f>
        <v>FRI</v>
      </c>
      <c r="E1736" s="165">
        <v>5.33</v>
      </c>
      <c r="F1736" s="336">
        <v>5.32</v>
      </c>
      <c r="G1736" s="411">
        <f t="shared" si="198"/>
        <v>-9.9999999999997868E-3</v>
      </c>
      <c r="H1736" s="343"/>
      <c r="I1736" s="145"/>
      <c r="J1736" s="266"/>
      <c r="K1736" s="129"/>
      <c r="L1736" s="403">
        <f t="shared" si="199"/>
        <v>45534</v>
      </c>
      <c r="M1736" s="56" t="str">
        <f t="shared" si="200"/>
        <v>FRI</v>
      </c>
      <c r="O1736" s="384">
        <v>4</v>
      </c>
      <c r="P1736" s="392">
        <f t="shared" si="195"/>
        <v>1.0005911111111112</v>
      </c>
    </row>
    <row r="1737" spans="1:18" ht="15.75" thickBot="1">
      <c r="A1737" s="284"/>
      <c r="B1737" s="285"/>
      <c r="C1737" s="404">
        <f t="shared" si="197"/>
        <v>45535</v>
      </c>
      <c r="D1737" s="64" t="str">
        <f>VLOOKUP(MOD(C1737,7),'CALENDAR INFO'!$G$5:$H$11,2)</f>
        <v>SAT</v>
      </c>
      <c r="E1737" s="166">
        <v>5.33</v>
      </c>
      <c r="F1737" s="337">
        <v>5.32</v>
      </c>
      <c r="G1737" s="412">
        <f t="shared" si="198"/>
        <v>-9.9999999999997868E-3</v>
      </c>
      <c r="H1737" s="335"/>
      <c r="I1737" s="267"/>
      <c r="J1737" s="268"/>
      <c r="K1737" s="189"/>
      <c r="L1737" s="404">
        <f t="shared" si="199"/>
        <v>45535</v>
      </c>
      <c r="M1737" s="64" t="str">
        <f t="shared" si="200"/>
        <v>SAT</v>
      </c>
      <c r="N1737" s="90"/>
      <c r="O1737" s="383">
        <f>IF(MOD(C1737,7)&lt;2,0,IF(MOD(C1737,7)=6,3,1))</f>
        <v>0</v>
      </c>
      <c r="P1737" s="388">
        <f t="shared" si="195"/>
        <v>1</v>
      </c>
    </row>
    <row r="1738" spans="1:18">
      <c r="A1738" s="238"/>
      <c r="B1738" s="239"/>
      <c r="C1738" s="403">
        <f t="shared" si="197"/>
        <v>45536</v>
      </c>
      <c r="D1738" s="56" t="str">
        <f>VLOOKUP(MOD(C1738,7),'CALENDAR INFO'!$G$5:$H$11,2)</f>
        <v>SUN</v>
      </c>
      <c r="E1738" s="165">
        <v>5.33</v>
      </c>
      <c r="F1738" s="336">
        <v>5.32</v>
      </c>
      <c r="G1738" s="411">
        <f t="shared" si="198"/>
        <v>-9.9999999999997868E-3</v>
      </c>
      <c r="H1738" s="15" t="s">
        <v>149</v>
      </c>
      <c r="I1738" s="15">
        <f>ROW(I1738)</f>
        <v>1738</v>
      </c>
      <c r="J1738" s="138">
        <f>I1738</f>
        <v>1738</v>
      </c>
      <c r="K1738" s="129"/>
      <c r="L1738" s="403">
        <f t="shared" si="199"/>
        <v>45536</v>
      </c>
      <c r="M1738" s="56" t="str">
        <f t="shared" si="200"/>
        <v>SUN</v>
      </c>
      <c r="O1738" s="386">
        <f>IF(MOD(C1738,7)&lt;2,0,IF(MOD(C1738,7)=6,3,1))</f>
        <v>0</v>
      </c>
      <c r="P1738" s="390">
        <f t="shared" si="195"/>
        <v>1</v>
      </c>
      <c r="R1738" s="16"/>
    </row>
    <row r="1739" spans="1:18">
      <c r="A1739" s="238"/>
      <c r="B1739" s="239"/>
      <c r="C1739" s="403">
        <f t="shared" si="197"/>
        <v>45537</v>
      </c>
      <c r="D1739" s="56" t="str">
        <f>VLOOKUP(MOD(C1739,7),'CALENDAR INFO'!$G$5:$H$11,2)</f>
        <v>MON</v>
      </c>
      <c r="E1739" s="165">
        <v>5.33</v>
      </c>
      <c r="F1739" s="336">
        <v>5.32</v>
      </c>
      <c r="G1739" s="411">
        <f t="shared" si="198"/>
        <v>-9.9999999999997868E-3</v>
      </c>
      <c r="H1739" s="376" t="s">
        <v>210</v>
      </c>
      <c r="I1739" s="15">
        <f>VLOOKUP(MONTH($C1738),'CALENDAR INFO'!$J$5:$K$16,2)</f>
        <v>30</v>
      </c>
      <c r="J1739" s="138">
        <f>I1739</f>
        <v>30</v>
      </c>
      <c r="K1739" s="129"/>
      <c r="L1739" s="403">
        <f t="shared" si="199"/>
        <v>45537</v>
      </c>
      <c r="M1739" s="56" t="str">
        <f t="shared" si="200"/>
        <v>MON</v>
      </c>
      <c r="N1739" s="132" t="s">
        <v>111</v>
      </c>
      <c r="O1739" s="384">
        <v>0</v>
      </c>
      <c r="P1739" s="392">
        <f t="shared" si="195"/>
        <v>1</v>
      </c>
    </row>
    <row r="1740" spans="1:18">
      <c r="A1740" s="238"/>
      <c r="B1740" s="239"/>
      <c r="C1740" s="403">
        <f t="shared" si="197"/>
        <v>45538</v>
      </c>
      <c r="D1740" s="56" t="str">
        <f>VLOOKUP(MOD(C1740,7),'CALENDAR INFO'!$G$5:$H$11,2)</f>
        <v>TUE</v>
      </c>
      <c r="E1740" s="165">
        <v>5.33</v>
      </c>
      <c r="F1740" s="336">
        <v>5.34</v>
      </c>
      <c r="G1740" s="411">
        <f t="shared" si="198"/>
        <v>9.9999999999997868E-3</v>
      </c>
      <c r="H1740" s="376" t="s">
        <v>211</v>
      </c>
      <c r="I1740" s="15">
        <f>I1739+I1738-1</f>
        <v>1767</v>
      </c>
      <c r="J1740" s="138">
        <f>I1740</f>
        <v>1767</v>
      </c>
      <c r="K1740" s="129"/>
      <c r="L1740" s="403">
        <f t="shared" si="199"/>
        <v>45538</v>
      </c>
      <c r="M1740" s="56" t="str">
        <f t="shared" si="200"/>
        <v>TUE</v>
      </c>
      <c r="O1740" s="253">
        <f t="shared" ref="O1740:O1777" si="201">IF(MOD(C1740,7)&lt;2,0,IF(MOD(C1740,7)=6,3,1))</f>
        <v>1</v>
      </c>
      <c r="P1740" s="392">
        <f t="shared" si="195"/>
        <v>1.0001483333333334</v>
      </c>
    </row>
    <row r="1741" spans="1:18">
      <c r="A1741" s="238"/>
      <c r="B1741" s="239"/>
      <c r="C1741" s="403">
        <f t="shared" si="197"/>
        <v>45539</v>
      </c>
      <c r="D1741" s="56" t="str">
        <f>VLOOKUP(MOD(C1741,7),'CALENDAR INFO'!$G$5:$H$11,2)</f>
        <v>WED</v>
      </c>
      <c r="E1741" s="165">
        <v>5.33</v>
      </c>
      <c r="F1741" s="336">
        <v>5.35</v>
      </c>
      <c r="G1741" s="411">
        <f t="shared" si="198"/>
        <v>1.9999999999999574E-2</v>
      </c>
      <c r="K1741" s="129" t="s">
        <v>19</v>
      </c>
      <c r="L1741" s="403">
        <f t="shared" si="199"/>
        <v>45539</v>
      </c>
      <c r="M1741" s="56" t="str">
        <f t="shared" si="200"/>
        <v>WED</v>
      </c>
      <c r="O1741" s="253">
        <f t="shared" si="201"/>
        <v>1</v>
      </c>
      <c r="P1741" s="392">
        <f t="shared" si="195"/>
        <v>1.0001486111111111</v>
      </c>
    </row>
    <row r="1742" spans="1:18">
      <c r="A1742" s="238"/>
      <c r="B1742" s="239"/>
      <c r="C1742" s="403">
        <f t="shared" si="197"/>
        <v>45540</v>
      </c>
      <c r="D1742" s="56" t="str">
        <f>VLOOKUP(MOD(C1742,7),'CALENDAR INFO'!$G$5:$H$11,2)</f>
        <v>THU</v>
      </c>
      <c r="E1742" s="165">
        <v>5.33</v>
      </c>
      <c r="F1742" s="336">
        <v>5.35</v>
      </c>
      <c r="G1742" s="411">
        <f t="shared" si="198"/>
        <v>1.9999999999999574E-2</v>
      </c>
      <c r="H1742" s="15" t="s">
        <v>150</v>
      </c>
      <c r="I1742" s="137" t="str">
        <f>_xlfn.CONCAT(ADDRESS(I1738,5),":",ADDRESS(I1740,5))</f>
        <v>$E$1738:$E$1767</v>
      </c>
      <c r="J1742" s="150" t="str">
        <f>_xlfn.CONCAT(ADDRESS(J1738,6),":",ADDRESS(J1740,6))</f>
        <v>$F$1738:$F$1767</v>
      </c>
      <c r="K1742" s="126" t="s">
        <v>18</v>
      </c>
      <c r="L1742" s="403">
        <f t="shared" si="199"/>
        <v>45540</v>
      </c>
      <c r="M1742" s="56" t="str">
        <f t="shared" si="200"/>
        <v>THU</v>
      </c>
      <c r="N1742" s="134"/>
      <c r="O1742" s="253">
        <f t="shared" si="201"/>
        <v>1</v>
      </c>
      <c r="P1742" s="392">
        <f t="shared" si="195"/>
        <v>1.0001486111111111</v>
      </c>
    </row>
    <row r="1743" spans="1:18">
      <c r="A1743" s="238"/>
      <c r="B1743" s="239"/>
      <c r="C1743" s="403">
        <f t="shared" si="197"/>
        <v>45541</v>
      </c>
      <c r="D1743" s="56" t="str">
        <f>VLOOKUP(MOD(C1743,7),'CALENDAR INFO'!$G$5:$H$11,2)</f>
        <v>FRI</v>
      </c>
      <c r="E1743" s="165">
        <v>5.33</v>
      </c>
      <c r="F1743" s="336">
        <v>5.34</v>
      </c>
      <c r="G1743" s="411">
        <f t="shared" si="198"/>
        <v>9.9999999999997868E-3</v>
      </c>
      <c r="K1743" s="126"/>
      <c r="L1743" s="403">
        <f t="shared" si="199"/>
        <v>45541</v>
      </c>
      <c r="M1743" s="56" t="str">
        <f t="shared" si="200"/>
        <v>FRI</v>
      </c>
      <c r="O1743" s="253">
        <f t="shared" si="201"/>
        <v>3</v>
      </c>
      <c r="P1743" s="392">
        <f t="shared" si="195"/>
        <v>1.000445</v>
      </c>
    </row>
    <row r="1744" spans="1:18">
      <c r="A1744" s="238"/>
      <c r="B1744" s="239"/>
      <c r="C1744" s="403">
        <f t="shared" si="197"/>
        <v>45542</v>
      </c>
      <c r="D1744" s="56" t="str">
        <f>VLOOKUP(MOD(C1744,7),'CALENDAR INFO'!$G$5:$H$11,2)</f>
        <v>SAT</v>
      </c>
      <c r="E1744" s="165">
        <v>5.33</v>
      </c>
      <c r="F1744" s="336">
        <v>5.34</v>
      </c>
      <c r="G1744" s="411">
        <f t="shared" si="198"/>
        <v>9.9999999999997868E-3</v>
      </c>
      <c r="H1744" s="376" t="s">
        <v>221</v>
      </c>
      <c r="I1744" s="147">
        <f ca="1">AVERAGE(INDIRECT(I1742))</f>
        <v>5.1300000000000008</v>
      </c>
      <c r="J1744" s="326">
        <f ca="1">AVERAGE(INDIRECT(J1742))</f>
        <v>5.1410000000000009</v>
      </c>
      <c r="K1744" s="126"/>
      <c r="L1744" s="403">
        <f t="shared" si="199"/>
        <v>45542</v>
      </c>
      <c r="M1744" s="56" t="str">
        <f t="shared" si="200"/>
        <v>SAT</v>
      </c>
      <c r="O1744" s="253">
        <f t="shared" si="201"/>
        <v>0</v>
      </c>
      <c r="P1744" s="392">
        <f t="shared" si="195"/>
        <v>1</v>
      </c>
    </row>
    <row r="1745" spans="1:18">
      <c r="A1745" s="238"/>
      <c r="B1745" s="239"/>
      <c r="C1745" s="403">
        <f t="shared" si="197"/>
        <v>45543</v>
      </c>
      <c r="D1745" s="56" t="str">
        <f>VLOOKUP(MOD(C1745,7),'CALENDAR INFO'!$G$5:$H$11,2)</f>
        <v>SUN</v>
      </c>
      <c r="E1745" s="165">
        <v>5.33</v>
      </c>
      <c r="F1745" s="336">
        <v>5.34</v>
      </c>
      <c r="G1745" s="411">
        <f t="shared" si="198"/>
        <v>9.9999999999997868E-3</v>
      </c>
      <c r="H1745" s="115"/>
      <c r="I1745" s="244"/>
      <c r="J1745" s="245"/>
      <c r="K1745" s="126"/>
      <c r="L1745" s="403">
        <f t="shared" si="199"/>
        <v>45543</v>
      </c>
      <c r="M1745" s="56" t="str">
        <f t="shared" si="200"/>
        <v>SUN</v>
      </c>
      <c r="O1745" s="253">
        <f t="shared" si="201"/>
        <v>0</v>
      </c>
      <c r="P1745" s="392">
        <f t="shared" si="195"/>
        <v>1</v>
      </c>
    </row>
    <row r="1746" spans="1:18">
      <c r="A1746" s="238"/>
      <c r="B1746" s="239"/>
      <c r="C1746" s="403">
        <f t="shared" si="197"/>
        <v>45544</v>
      </c>
      <c r="D1746" s="56" t="str">
        <f>VLOOKUP(MOD(C1746,7),'CALENDAR INFO'!$G$5:$H$11,2)</f>
        <v>MON</v>
      </c>
      <c r="E1746" s="165">
        <v>5.33</v>
      </c>
      <c r="F1746" s="336">
        <v>5.34</v>
      </c>
      <c r="G1746" s="411">
        <f t="shared" si="198"/>
        <v>9.9999999999997868E-3</v>
      </c>
      <c r="H1746" s="15" t="s">
        <v>222</v>
      </c>
      <c r="I1746" s="147">
        <f ca="1">100-I1744</f>
        <v>94.87</v>
      </c>
      <c r="J1746" s="326">
        <f ca="1">100-J1744</f>
        <v>94.858999999999995</v>
      </c>
      <c r="K1746" s="126"/>
      <c r="L1746" s="403">
        <f t="shared" si="199"/>
        <v>45544</v>
      </c>
      <c r="M1746" s="56" t="str">
        <f t="shared" si="200"/>
        <v>MON</v>
      </c>
      <c r="O1746" s="253">
        <f t="shared" si="201"/>
        <v>1</v>
      </c>
      <c r="P1746" s="392">
        <f t="shared" si="195"/>
        <v>1.0001483333333334</v>
      </c>
    </row>
    <row r="1747" spans="1:18">
      <c r="A1747" s="238"/>
      <c r="B1747" s="239"/>
      <c r="C1747" s="403">
        <f t="shared" si="197"/>
        <v>45545</v>
      </c>
      <c r="D1747" s="56" t="str">
        <f>VLOOKUP(MOD(C1747,7),'CALENDAR INFO'!$G$5:$H$11,2)</f>
        <v>TUE</v>
      </c>
      <c r="E1747" s="165">
        <v>5.33</v>
      </c>
      <c r="F1747" s="336">
        <v>5.33</v>
      </c>
      <c r="G1747" s="411">
        <f t="shared" si="198"/>
        <v>0</v>
      </c>
      <c r="I1747" s="137"/>
      <c r="J1747" s="150"/>
      <c r="K1747" s="126"/>
      <c r="L1747" s="403">
        <f t="shared" si="199"/>
        <v>45545</v>
      </c>
      <c r="M1747" s="56" t="str">
        <f t="shared" si="200"/>
        <v>TUE</v>
      </c>
      <c r="O1747" s="253">
        <f t="shared" si="201"/>
        <v>1</v>
      </c>
      <c r="P1747" s="392">
        <f t="shared" ref="P1747:P1810" si="202">1+(O1747/360)*(MAX(F1747,B1747)/100)</f>
        <v>1.0001480555555555</v>
      </c>
      <c r="R1747" s="221"/>
    </row>
    <row r="1748" spans="1:18">
      <c r="A1748" s="238"/>
      <c r="B1748" s="239"/>
      <c r="C1748" s="403">
        <f t="shared" si="197"/>
        <v>45546</v>
      </c>
      <c r="D1748" s="56" t="str">
        <f>VLOOKUP(MOD(C1748,7),'CALENDAR INFO'!$G$5:$H$11,2)</f>
        <v>WED</v>
      </c>
      <c r="E1748" s="165">
        <v>5.33</v>
      </c>
      <c r="F1748" s="336">
        <v>5.32</v>
      </c>
      <c r="G1748" s="411">
        <f t="shared" si="198"/>
        <v>-9.9999999999997868E-3</v>
      </c>
      <c r="H1748" s="115"/>
      <c r="I1748" s="240"/>
      <c r="J1748" s="157"/>
      <c r="K1748" s="126"/>
      <c r="L1748" s="403">
        <f t="shared" si="199"/>
        <v>45546</v>
      </c>
      <c r="M1748" s="56" t="str">
        <f t="shared" si="200"/>
        <v>WED</v>
      </c>
      <c r="O1748" s="253">
        <f t="shared" si="201"/>
        <v>1</v>
      </c>
      <c r="P1748" s="392">
        <f t="shared" si="202"/>
        <v>1.0001477777777779</v>
      </c>
      <c r="R1748" s="222"/>
    </row>
    <row r="1749" spans="1:18">
      <c r="A1749" s="238"/>
      <c r="B1749" s="239"/>
      <c r="C1749" s="403">
        <f t="shared" si="197"/>
        <v>45547</v>
      </c>
      <c r="D1749" s="56" t="str">
        <f>VLOOKUP(MOD(C1749,7),'CALENDAR INFO'!$G$5:$H$11,2)</f>
        <v>THU</v>
      </c>
      <c r="E1749" s="165">
        <v>5.33</v>
      </c>
      <c r="F1749" s="336">
        <v>5.33</v>
      </c>
      <c r="G1749" s="411">
        <f t="shared" si="198"/>
        <v>0</v>
      </c>
      <c r="H1749" s="115"/>
      <c r="I1749" s="240"/>
      <c r="J1749" s="157"/>
      <c r="K1749" s="126"/>
      <c r="L1749" s="403">
        <f t="shared" si="199"/>
        <v>45547</v>
      </c>
      <c r="M1749" s="56" t="str">
        <f t="shared" si="200"/>
        <v>THU</v>
      </c>
      <c r="O1749" s="253">
        <f t="shared" si="201"/>
        <v>1</v>
      </c>
      <c r="P1749" s="392">
        <f t="shared" si="202"/>
        <v>1.0001480555555555</v>
      </c>
    </row>
    <row r="1750" spans="1:18">
      <c r="A1750" s="238"/>
      <c r="B1750" s="239"/>
      <c r="C1750" s="403">
        <f t="shared" si="197"/>
        <v>45548</v>
      </c>
      <c r="D1750" s="56" t="str">
        <f>VLOOKUP(MOD(C1750,7),'CALENDAR INFO'!$G$5:$H$11,2)</f>
        <v>FRI</v>
      </c>
      <c r="E1750" s="165">
        <v>5.33</v>
      </c>
      <c r="F1750" s="336">
        <v>5.33</v>
      </c>
      <c r="G1750" s="411">
        <f t="shared" si="198"/>
        <v>0</v>
      </c>
      <c r="H1750" s="115"/>
      <c r="I1750" s="240"/>
      <c r="J1750" s="157"/>
      <c r="K1750" s="126"/>
      <c r="L1750" s="403">
        <f t="shared" si="199"/>
        <v>45548</v>
      </c>
      <c r="M1750" s="56" t="str">
        <f t="shared" si="200"/>
        <v>FRI</v>
      </c>
      <c r="O1750" s="253">
        <f t="shared" si="201"/>
        <v>3</v>
      </c>
      <c r="P1750" s="392">
        <f t="shared" si="202"/>
        <v>1.0004441666666666</v>
      </c>
    </row>
    <row r="1751" spans="1:18">
      <c r="A1751" s="238"/>
      <c r="B1751" s="239"/>
      <c r="C1751" s="403">
        <f t="shared" si="197"/>
        <v>45549</v>
      </c>
      <c r="D1751" s="56" t="str">
        <f>VLOOKUP(MOD(C1751,7),'CALENDAR INFO'!$G$5:$H$11,2)</f>
        <v>SAT</v>
      </c>
      <c r="E1751" s="165">
        <v>5.33</v>
      </c>
      <c r="F1751" s="336">
        <v>5.33</v>
      </c>
      <c r="G1751" s="411">
        <f t="shared" si="198"/>
        <v>0</v>
      </c>
      <c r="I1751" s="240"/>
      <c r="J1751" s="157"/>
      <c r="K1751" s="126"/>
      <c r="L1751" s="403">
        <f t="shared" si="199"/>
        <v>45549</v>
      </c>
      <c r="M1751" s="56" t="str">
        <f t="shared" si="200"/>
        <v>SAT</v>
      </c>
      <c r="O1751" s="253">
        <f t="shared" si="201"/>
        <v>0</v>
      </c>
      <c r="P1751" s="392">
        <f t="shared" si="202"/>
        <v>1</v>
      </c>
    </row>
    <row r="1752" spans="1:18">
      <c r="A1752" s="238"/>
      <c r="B1752" s="239"/>
      <c r="C1752" s="403">
        <f t="shared" si="197"/>
        <v>45550</v>
      </c>
      <c r="D1752" s="56" t="str">
        <f>VLOOKUP(MOD(C1752,7),'CALENDAR INFO'!$G$5:$H$11,2)</f>
        <v>SUN</v>
      </c>
      <c r="E1752" s="165">
        <v>5.33</v>
      </c>
      <c r="F1752" s="336">
        <v>5.33</v>
      </c>
      <c r="G1752" s="411">
        <f t="shared" si="198"/>
        <v>0</v>
      </c>
      <c r="I1752" s="137"/>
      <c r="J1752" s="150"/>
      <c r="K1752" s="126"/>
      <c r="L1752" s="403">
        <f t="shared" si="199"/>
        <v>45550</v>
      </c>
      <c r="M1752" s="56" t="str">
        <f t="shared" si="200"/>
        <v>SUN</v>
      </c>
      <c r="O1752" s="253">
        <f t="shared" si="201"/>
        <v>0</v>
      </c>
      <c r="P1752" s="392">
        <f t="shared" si="202"/>
        <v>1</v>
      </c>
    </row>
    <row r="1753" spans="1:18">
      <c r="A1753" s="238"/>
      <c r="B1753" s="239"/>
      <c r="C1753" s="403">
        <f t="shared" si="197"/>
        <v>45551</v>
      </c>
      <c r="D1753" s="56" t="str">
        <f>VLOOKUP(MOD(C1753,7),'CALENDAR INFO'!$G$5:$H$11,2)</f>
        <v>MON</v>
      </c>
      <c r="E1753" s="165">
        <v>5.33</v>
      </c>
      <c r="F1753" s="336">
        <v>5.38</v>
      </c>
      <c r="G1753" s="411">
        <f t="shared" si="198"/>
        <v>4.9999999999999822E-2</v>
      </c>
      <c r="H1753" s="115"/>
      <c r="I1753" s="139"/>
      <c r="J1753" s="151"/>
      <c r="K1753" s="126"/>
      <c r="L1753" s="403">
        <f t="shared" si="199"/>
        <v>45551</v>
      </c>
      <c r="M1753" s="56" t="str">
        <f t="shared" si="200"/>
        <v>MON</v>
      </c>
      <c r="O1753" s="253">
        <f t="shared" si="201"/>
        <v>1</v>
      </c>
      <c r="P1753" s="392">
        <f t="shared" si="202"/>
        <v>1.0001494444444445</v>
      </c>
    </row>
    <row r="1754" spans="1:18">
      <c r="A1754" s="238"/>
      <c r="B1754" s="239"/>
      <c r="C1754" s="403">
        <f t="shared" si="197"/>
        <v>45552</v>
      </c>
      <c r="D1754" s="56" t="str">
        <f>VLOOKUP(MOD(C1754,7),'CALENDAR INFO'!$G$5:$H$11,2)</f>
        <v>TUE</v>
      </c>
      <c r="E1754" s="165">
        <v>5.33</v>
      </c>
      <c r="F1754" s="336">
        <v>5.38</v>
      </c>
      <c r="G1754" s="411">
        <f t="shared" si="198"/>
        <v>4.9999999999999822E-2</v>
      </c>
      <c r="H1754" s="115"/>
      <c r="I1754" s="246"/>
      <c r="J1754" s="247"/>
      <c r="K1754" s="126"/>
      <c r="L1754" s="403">
        <f t="shared" si="199"/>
        <v>45552</v>
      </c>
      <c r="M1754" s="56" t="str">
        <f t="shared" si="200"/>
        <v>TUE</v>
      </c>
      <c r="N1754" s="116" t="s">
        <v>20</v>
      </c>
      <c r="O1754" s="253">
        <f t="shared" si="201"/>
        <v>1</v>
      </c>
      <c r="P1754" s="392">
        <f t="shared" si="202"/>
        <v>1.0001494444444445</v>
      </c>
    </row>
    <row r="1755" spans="1:18">
      <c r="A1755" s="238"/>
      <c r="B1755" s="239"/>
      <c r="C1755" s="403">
        <f t="shared" si="197"/>
        <v>45553</v>
      </c>
      <c r="D1755" s="56" t="str">
        <f>VLOOKUP(MOD(C1755,7),'CALENDAR INFO'!$G$5:$H$11,2)</f>
        <v>WED</v>
      </c>
      <c r="E1755" s="165">
        <v>5.33</v>
      </c>
      <c r="F1755" s="336">
        <v>5.33</v>
      </c>
      <c r="G1755" s="411">
        <f t="shared" si="198"/>
        <v>0</v>
      </c>
      <c r="H1755" s="115"/>
      <c r="I1755" s="137"/>
      <c r="J1755" s="150"/>
      <c r="K1755" s="126" t="s">
        <v>19</v>
      </c>
      <c r="L1755" s="403">
        <f t="shared" si="199"/>
        <v>45553</v>
      </c>
      <c r="M1755" s="56" t="str">
        <f t="shared" si="200"/>
        <v>WED</v>
      </c>
      <c r="N1755" s="116" t="s">
        <v>20</v>
      </c>
      <c r="O1755" s="253">
        <f t="shared" si="201"/>
        <v>1</v>
      </c>
      <c r="P1755" s="392">
        <f t="shared" si="202"/>
        <v>1.0001480555555555</v>
      </c>
    </row>
    <row r="1756" spans="1:18">
      <c r="B1756" s="41"/>
      <c r="C1756" s="403">
        <f t="shared" si="197"/>
        <v>45554</v>
      </c>
      <c r="D1756" s="56" t="str">
        <f>VLOOKUP(MOD(C1756,7),'CALENDAR INFO'!$G$5:$H$11,2)</f>
        <v>THU</v>
      </c>
      <c r="E1756" s="165">
        <v>4.83</v>
      </c>
      <c r="F1756" s="336">
        <v>4.82</v>
      </c>
      <c r="G1756" s="411">
        <f t="shared" si="198"/>
        <v>-9.9999999999997868E-3</v>
      </c>
      <c r="H1756" s="115"/>
      <c r="I1756" s="240"/>
      <c r="J1756" s="157"/>
      <c r="K1756" s="129" t="s">
        <v>18</v>
      </c>
      <c r="L1756" s="403">
        <f t="shared" si="199"/>
        <v>45554</v>
      </c>
      <c r="M1756" s="56" t="str">
        <f t="shared" si="200"/>
        <v>THU</v>
      </c>
      <c r="O1756" s="253">
        <f t="shared" si="201"/>
        <v>1</v>
      </c>
      <c r="P1756" s="392">
        <f t="shared" si="202"/>
        <v>1.0001338888888889</v>
      </c>
    </row>
    <row r="1757" spans="1:18">
      <c r="B1757" s="41"/>
      <c r="C1757" s="403">
        <f t="shared" si="197"/>
        <v>45555</v>
      </c>
      <c r="D1757" s="56" t="str">
        <f>VLOOKUP(MOD(C1757,7),'CALENDAR INFO'!$G$5:$H$11,2)</f>
        <v>FRI</v>
      </c>
      <c r="E1757" s="165">
        <v>4.83</v>
      </c>
      <c r="F1757" s="336">
        <v>4.83</v>
      </c>
      <c r="G1757" s="411">
        <f t="shared" si="198"/>
        <v>0</v>
      </c>
      <c r="H1757" s="115"/>
      <c r="I1757" s="163"/>
      <c r="J1757" s="164"/>
      <c r="K1757" s="129"/>
      <c r="L1757" s="403">
        <f t="shared" si="199"/>
        <v>45555</v>
      </c>
      <c r="M1757" s="56" t="str">
        <f t="shared" si="200"/>
        <v>FRI</v>
      </c>
      <c r="O1757" s="253">
        <f t="shared" si="201"/>
        <v>3</v>
      </c>
      <c r="P1757" s="392">
        <f t="shared" si="202"/>
        <v>1.0004025000000001</v>
      </c>
    </row>
    <row r="1758" spans="1:18">
      <c r="B1758" s="41"/>
      <c r="C1758" s="403">
        <f t="shared" si="197"/>
        <v>45556</v>
      </c>
      <c r="D1758" s="56" t="str">
        <f>VLOOKUP(MOD(C1758,7),'CALENDAR INFO'!$G$5:$H$11,2)</f>
        <v>SAT</v>
      </c>
      <c r="E1758" s="165">
        <v>4.83</v>
      </c>
      <c r="F1758" s="336">
        <v>4.83</v>
      </c>
      <c r="G1758" s="411">
        <f t="shared" si="198"/>
        <v>0</v>
      </c>
      <c r="I1758" s="141"/>
      <c r="J1758" s="158"/>
      <c r="K1758" s="129"/>
      <c r="L1758" s="403">
        <f t="shared" si="199"/>
        <v>45556</v>
      </c>
      <c r="M1758" s="56" t="str">
        <f t="shared" si="200"/>
        <v>SAT</v>
      </c>
      <c r="O1758" s="253">
        <f t="shared" si="201"/>
        <v>0</v>
      </c>
      <c r="P1758" s="392">
        <f t="shared" si="202"/>
        <v>1</v>
      </c>
    </row>
    <row r="1759" spans="1:18">
      <c r="B1759" s="41"/>
      <c r="C1759" s="403">
        <f t="shared" si="197"/>
        <v>45557</v>
      </c>
      <c r="D1759" s="56" t="str">
        <f>VLOOKUP(MOD(C1759,7),'CALENDAR INFO'!$G$5:$H$11,2)</f>
        <v>SUN</v>
      </c>
      <c r="E1759" s="165">
        <v>4.83</v>
      </c>
      <c r="F1759" s="336">
        <v>4.83</v>
      </c>
      <c r="G1759" s="411">
        <f t="shared" si="198"/>
        <v>0</v>
      </c>
      <c r="I1759" s="141"/>
      <c r="J1759" s="158"/>
      <c r="K1759" s="129"/>
      <c r="L1759" s="403">
        <f t="shared" si="199"/>
        <v>45557</v>
      </c>
      <c r="M1759" s="56" t="str">
        <f t="shared" si="200"/>
        <v>SUN</v>
      </c>
      <c r="O1759" s="253">
        <f t="shared" si="201"/>
        <v>0</v>
      </c>
      <c r="P1759" s="392">
        <f t="shared" si="202"/>
        <v>1</v>
      </c>
    </row>
    <row r="1760" spans="1:18">
      <c r="B1760" s="41"/>
      <c r="C1760" s="403">
        <f t="shared" si="197"/>
        <v>45558</v>
      </c>
      <c r="D1760" s="56" t="str">
        <f>VLOOKUP(MOD(C1760,7),'CALENDAR INFO'!$G$5:$H$11,2)</f>
        <v>MON</v>
      </c>
      <c r="E1760" s="165">
        <v>4.83</v>
      </c>
      <c r="F1760" s="336">
        <v>4.83</v>
      </c>
      <c r="G1760" s="411">
        <f t="shared" si="198"/>
        <v>0</v>
      </c>
      <c r="I1760" s="141"/>
      <c r="J1760" s="158"/>
      <c r="K1760" s="129"/>
      <c r="L1760" s="403">
        <f t="shared" si="199"/>
        <v>45558</v>
      </c>
      <c r="M1760" s="56" t="str">
        <f t="shared" si="200"/>
        <v>MON</v>
      </c>
      <c r="O1760" s="253">
        <f t="shared" si="201"/>
        <v>1</v>
      </c>
      <c r="P1760" s="392">
        <f t="shared" si="202"/>
        <v>1.0001341666666668</v>
      </c>
    </row>
    <row r="1761" spans="1:18">
      <c r="B1761" s="41"/>
      <c r="C1761" s="403">
        <f t="shared" si="197"/>
        <v>45559</v>
      </c>
      <c r="D1761" s="56" t="str">
        <f>VLOOKUP(MOD(C1761,7),'CALENDAR INFO'!$G$5:$H$11,2)</f>
        <v>TUE</v>
      </c>
      <c r="E1761" s="165">
        <v>4.83</v>
      </c>
      <c r="F1761" s="336">
        <v>4.84</v>
      </c>
      <c r="G1761" s="411">
        <f t="shared" si="198"/>
        <v>9.9999999999997868E-3</v>
      </c>
      <c r="I1761" s="141"/>
      <c r="J1761" s="158"/>
      <c r="K1761" s="129"/>
      <c r="L1761" s="403">
        <f t="shared" si="199"/>
        <v>45559</v>
      </c>
      <c r="M1761" s="56" t="str">
        <f t="shared" si="200"/>
        <v>TUE</v>
      </c>
      <c r="O1761" s="253">
        <f t="shared" si="201"/>
        <v>1</v>
      </c>
      <c r="P1761" s="392">
        <f t="shared" si="202"/>
        <v>1.0001344444444444</v>
      </c>
    </row>
    <row r="1762" spans="1:18">
      <c r="B1762" s="41"/>
      <c r="C1762" s="403">
        <f t="shared" si="197"/>
        <v>45560</v>
      </c>
      <c r="D1762" s="56" t="str">
        <f>VLOOKUP(MOD(C1762,7),'CALENDAR INFO'!$G$5:$H$11,2)</f>
        <v>WED</v>
      </c>
      <c r="E1762" s="165">
        <v>4.83</v>
      </c>
      <c r="F1762" s="336">
        <v>4.84</v>
      </c>
      <c r="G1762" s="411">
        <f t="shared" si="198"/>
        <v>9.9999999999997868E-3</v>
      </c>
      <c r="I1762" s="228"/>
      <c r="J1762" s="229"/>
      <c r="K1762" s="129"/>
      <c r="L1762" s="403">
        <f t="shared" si="199"/>
        <v>45560</v>
      </c>
      <c r="M1762" s="56" t="str">
        <f t="shared" si="200"/>
        <v>WED</v>
      </c>
      <c r="O1762" s="253">
        <f t="shared" si="201"/>
        <v>1</v>
      </c>
      <c r="P1762" s="392">
        <f t="shared" si="202"/>
        <v>1.0001344444444444</v>
      </c>
      <c r="R1762" s="221"/>
    </row>
    <row r="1763" spans="1:18">
      <c r="B1763" s="41"/>
      <c r="C1763" s="403">
        <f t="shared" si="197"/>
        <v>45561</v>
      </c>
      <c r="D1763" s="56" t="str">
        <f>VLOOKUP(MOD(C1763,7),'CALENDAR INFO'!$G$5:$H$11,2)</f>
        <v>THU</v>
      </c>
      <c r="E1763" s="165">
        <v>4.83</v>
      </c>
      <c r="F1763" s="336">
        <v>4.83</v>
      </c>
      <c r="G1763" s="411">
        <f t="shared" si="198"/>
        <v>0</v>
      </c>
      <c r="I1763" s="141"/>
      <c r="J1763" s="158"/>
      <c r="K1763" s="129"/>
      <c r="L1763" s="403">
        <f t="shared" si="199"/>
        <v>45561</v>
      </c>
      <c r="M1763" s="56" t="str">
        <f t="shared" si="200"/>
        <v>THU</v>
      </c>
      <c r="O1763" s="253">
        <f t="shared" si="201"/>
        <v>1</v>
      </c>
      <c r="P1763" s="392">
        <f t="shared" si="202"/>
        <v>1.0001341666666668</v>
      </c>
      <c r="R1763" s="222"/>
    </row>
    <row r="1764" spans="1:18">
      <c r="B1764" s="41"/>
      <c r="C1764" s="403">
        <f t="shared" si="197"/>
        <v>45562</v>
      </c>
      <c r="D1764" s="56" t="str">
        <f>VLOOKUP(MOD(C1764,7),'CALENDAR INFO'!$G$5:$H$11,2)</f>
        <v>FRI</v>
      </c>
      <c r="E1764" s="165">
        <v>4.83</v>
      </c>
      <c r="F1764" s="336">
        <v>4.84</v>
      </c>
      <c r="G1764" s="411">
        <f t="shared" si="198"/>
        <v>9.9999999999997868E-3</v>
      </c>
      <c r="H1764" s="115"/>
      <c r="I1764" s="141"/>
      <c r="J1764" s="158"/>
      <c r="K1764" s="129"/>
      <c r="L1764" s="403">
        <f t="shared" si="199"/>
        <v>45562</v>
      </c>
      <c r="M1764" s="56" t="str">
        <f t="shared" si="200"/>
        <v>FRI</v>
      </c>
      <c r="O1764" s="253">
        <f t="shared" si="201"/>
        <v>3</v>
      </c>
      <c r="P1764" s="392">
        <f t="shared" si="202"/>
        <v>1.0004033333333333</v>
      </c>
      <c r="R1764" s="222"/>
    </row>
    <row r="1765" spans="1:18">
      <c r="B1765" s="41"/>
      <c r="C1765" s="403">
        <f t="shared" si="197"/>
        <v>45563</v>
      </c>
      <c r="D1765" s="56" t="str">
        <f>VLOOKUP(MOD(C1765,7),'CALENDAR INFO'!$G$5:$H$11,2)</f>
        <v>SAT</v>
      </c>
      <c r="E1765" s="165">
        <v>4.83</v>
      </c>
      <c r="F1765" s="336">
        <v>4.84</v>
      </c>
      <c r="G1765" s="411">
        <f t="shared" si="198"/>
        <v>9.9999999999997868E-3</v>
      </c>
      <c r="H1765" s="115"/>
      <c r="I1765" s="141"/>
      <c r="J1765" s="158"/>
      <c r="K1765" s="129"/>
      <c r="L1765" s="403">
        <f t="shared" si="199"/>
        <v>45563</v>
      </c>
      <c r="M1765" s="56" t="str">
        <f t="shared" si="200"/>
        <v>SAT</v>
      </c>
      <c r="O1765" s="253">
        <f t="shared" si="201"/>
        <v>0</v>
      </c>
      <c r="P1765" s="392">
        <f t="shared" si="202"/>
        <v>1</v>
      </c>
    </row>
    <row r="1766" spans="1:18">
      <c r="B1766" s="41"/>
      <c r="C1766" s="403">
        <f t="shared" si="197"/>
        <v>45564</v>
      </c>
      <c r="D1766" s="56" t="str">
        <f>VLOOKUP(MOD(C1766,7),'CALENDAR INFO'!$G$5:$H$11,2)</f>
        <v>SUN</v>
      </c>
      <c r="E1766" s="165">
        <v>4.83</v>
      </c>
      <c r="F1766" s="336">
        <v>4.84</v>
      </c>
      <c r="G1766" s="411">
        <f t="shared" si="198"/>
        <v>9.9999999999997868E-3</v>
      </c>
      <c r="H1766" s="115"/>
      <c r="I1766" s="148"/>
      <c r="J1766" s="160"/>
      <c r="K1766" s="129"/>
      <c r="L1766" s="403">
        <f t="shared" si="199"/>
        <v>45564</v>
      </c>
      <c r="M1766" s="56" t="str">
        <f t="shared" si="200"/>
        <v>SUN</v>
      </c>
      <c r="O1766" s="253">
        <f t="shared" si="201"/>
        <v>0</v>
      </c>
      <c r="P1766" s="392">
        <f t="shared" si="202"/>
        <v>1</v>
      </c>
    </row>
    <row r="1767" spans="1:18" ht="15.75" thickBot="1">
      <c r="A1767" s="81"/>
      <c r="B1767" s="178"/>
      <c r="C1767" s="404">
        <f t="shared" si="197"/>
        <v>45565</v>
      </c>
      <c r="D1767" s="64" t="str">
        <f>VLOOKUP(MOD(C1767,7),'CALENDAR INFO'!$G$5:$H$11,2)</f>
        <v>MON</v>
      </c>
      <c r="E1767" s="166">
        <v>4.83</v>
      </c>
      <c r="F1767" s="337">
        <v>4.96</v>
      </c>
      <c r="G1767" s="412">
        <f t="shared" si="198"/>
        <v>0.12999999999999989</v>
      </c>
      <c r="H1767" s="335"/>
      <c r="I1767" s="267"/>
      <c r="J1767" s="268"/>
      <c r="K1767" s="189"/>
      <c r="L1767" s="404">
        <f t="shared" si="199"/>
        <v>45565</v>
      </c>
      <c r="M1767" s="64" t="str">
        <f t="shared" si="200"/>
        <v>MON</v>
      </c>
      <c r="N1767" s="90"/>
      <c r="O1767" s="383">
        <f t="shared" si="201"/>
        <v>1</v>
      </c>
      <c r="P1767" s="388">
        <f t="shared" si="202"/>
        <v>1.0001377777777778</v>
      </c>
    </row>
    <row r="1768" spans="1:18">
      <c r="A1768" s="289"/>
      <c r="B1768" s="290"/>
      <c r="C1768" s="403">
        <f t="shared" si="197"/>
        <v>45566</v>
      </c>
      <c r="D1768" s="56" t="str">
        <f>VLOOKUP(MOD(C1768,7),'CALENDAR INFO'!$G$5:$H$11,2)</f>
        <v>TUE</v>
      </c>
      <c r="E1768" s="165">
        <v>4.83</v>
      </c>
      <c r="F1768" s="336">
        <v>5.05</v>
      </c>
      <c r="G1768" s="411">
        <f t="shared" si="198"/>
        <v>0.21999999999999975</v>
      </c>
      <c r="H1768" s="15" t="s">
        <v>149</v>
      </c>
      <c r="I1768" s="15">
        <f>ROW(I1768)</f>
        <v>1768</v>
      </c>
      <c r="J1768" s="138">
        <f>I1768</f>
        <v>1768</v>
      </c>
      <c r="K1768" s="129"/>
      <c r="L1768" s="403">
        <f t="shared" si="199"/>
        <v>45566</v>
      </c>
      <c r="M1768" s="56" t="str">
        <f t="shared" si="200"/>
        <v>TUE</v>
      </c>
      <c r="O1768" s="386">
        <f t="shared" si="201"/>
        <v>1</v>
      </c>
      <c r="P1768" s="390">
        <f t="shared" si="202"/>
        <v>1.0001402777777777</v>
      </c>
    </row>
    <row r="1769" spans="1:18">
      <c r="B1769" s="41"/>
      <c r="C1769" s="403">
        <f t="shared" si="197"/>
        <v>45567</v>
      </c>
      <c r="D1769" s="56" t="str">
        <f>VLOOKUP(MOD(C1769,7),'CALENDAR INFO'!$G$5:$H$11,2)</f>
        <v>WED</v>
      </c>
      <c r="E1769" s="165">
        <v>4.83</v>
      </c>
      <c r="F1769" s="336">
        <v>4.92</v>
      </c>
      <c r="G1769" s="411">
        <f t="shared" si="198"/>
        <v>8.9999999999999858E-2</v>
      </c>
      <c r="H1769" s="376" t="s">
        <v>210</v>
      </c>
      <c r="I1769" s="15">
        <f>VLOOKUP(MONTH($C1768),'CALENDAR INFO'!$J$5:$K$16,2)</f>
        <v>31</v>
      </c>
      <c r="J1769" s="138">
        <f>I1769</f>
        <v>31</v>
      </c>
      <c r="K1769" s="129" t="s">
        <v>19</v>
      </c>
      <c r="L1769" s="403">
        <f t="shared" si="199"/>
        <v>45567</v>
      </c>
      <c r="M1769" s="56" t="str">
        <f t="shared" si="200"/>
        <v>WED</v>
      </c>
      <c r="O1769" s="253">
        <f t="shared" si="201"/>
        <v>1</v>
      </c>
      <c r="P1769" s="392">
        <f t="shared" si="202"/>
        <v>1.0001366666666667</v>
      </c>
    </row>
    <row r="1770" spans="1:18">
      <c r="B1770" s="41"/>
      <c r="C1770" s="403">
        <f t="shared" si="197"/>
        <v>45568</v>
      </c>
      <c r="D1770" s="56" t="str">
        <f>VLOOKUP(MOD(C1770,7),'CALENDAR INFO'!$G$5:$H$11,2)</f>
        <v>THU</v>
      </c>
      <c r="E1770" s="165">
        <v>4.83</v>
      </c>
      <c r="F1770" s="336">
        <v>4.8499999999999996</v>
      </c>
      <c r="G1770" s="411">
        <f t="shared" si="198"/>
        <v>1.9999999999999574E-2</v>
      </c>
      <c r="H1770" s="376" t="s">
        <v>211</v>
      </c>
      <c r="I1770" s="15">
        <f>I1769+I1768-1</f>
        <v>1798</v>
      </c>
      <c r="J1770" s="138">
        <f>I1770</f>
        <v>1798</v>
      </c>
      <c r="K1770" s="126" t="s">
        <v>18</v>
      </c>
      <c r="L1770" s="403">
        <f t="shared" si="199"/>
        <v>45568</v>
      </c>
      <c r="M1770" s="56" t="str">
        <f t="shared" si="200"/>
        <v>THU</v>
      </c>
      <c r="O1770" s="253">
        <f t="shared" si="201"/>
        <v>1</v>
      </c>
      <c r="P1770" s="392">
        <f t="shared" si="202"/>
        <v>1.0001347222222223</v>
      </c>
    </row>
    <row r="1771" spans="1:18">
      <c r="B1771" s="41"/>
      <c r="C1771" s="403">
        <f t="shared" si="197"/>
        <v>45569</v>
      </c>
      <c r="D1771" s="56" t="str">
        <f>VLOOKUP(MOD(C1771,7),'CALENDAR INFO'!$G$5:$H$11,2)</f>
        <v>FRI</v>
      </c>
      <c r="E1771" s="165">
        <v>4.83</v>
      </c>
      <c r="F1771" s="336">
        <v>4.83</v>
      </c>
      <c r="G1771" s="411">
        <f t="shared" si="198"/>
        <v>0</v>
      </c>
      <c r="K1771" s="126"/>
      <c r="L1771" s="403">
        <f t="shared" si="199"/>
        <v>45569</v>
      </c>
      <c r="M1771" s="56" t="str">
        <f t="shared" si="200"/>
        <v>FRI</v>
      </c>
      <c r="O1771" s="253">
        <f t="shared" si="201"/>
        <v>3</v>
      </c>
      <c r="P1771" s="392">
        <f t="shared" si="202"/>
        <v>1.0004025000000001</v>
      </c>
    </row>
    <row r="1772" spans="1:18">
      <c r="B1772" s="41"/>
      <c r="C1772" s="403">
        <f t="shared" si="197"/>
        <v>45570</v>
      </c>
      <c r="D1772" s="56" t="str">
        <f>VLOOKUP(MOD(C1772,7),'CALENDAR INFO'!$G$5:$H$11,2)</f>
        <v>SAT</v>
      </c>
      <c r="E1772" s="165">
        <v>4.83</v>
      </c>
      <c r="F1772" s="336">
        <v>4.83</v>
      </c>
      <c r="G1772" s="411">
        <f t="shared" si="198"/>
        <v>0</v>
      </c>
      <c r="H1772" s="15" t="s">
        <v>150</v>
      </c>
      <c r="I1772" s="137" t="str">
        <f>_xlfn.CONCAT(ADDRESS(I1768,5),":",ADDRESS(I1770,5))</f>
        <v>$E$1768:$E$1798</v>
      </c>
      <c r="J1772" s="150" t="str">
        <f>_xlfn.CONCAT(ADDRESS(J1768,6),":",ADDRESS(J1770,6))</f>
        <v>$F$1768:$F$1798</v>
      </c>
      <c r="K1772" s="126"/>
      <c r="L1772" s="403">
        <f t="shared" si="199"/>
        <v>45570</v>
      </c>
      <c r="M1772" s="56" t="str">
        <f t="shared" si="200"/>
        <v>SAT</v>
      </c>
      <c r="O1772" s="253">
        <f t="shared" si="201"/>
        <v>0</v>
      </c>
      <c r="P1772" s="392">
        <f t="shared" si="202"/>
        <v>1</v>
      </c>
    </row>
    <row r="1773" spans="1:18">
      <c r="B1773" s="41"/>
      <c r="C1773" s="403">
        <f t="shared" si="197"/>
        <v>45571</v>
      </c>
      <c r="D1773" s="56" t="str">
        <f>VLOOKUP(MOD(C1773,7),'CALENDAR INFO'!$G$5:$H$11,2)</f>
        <v>SUN</v>
      </c>
      <c r="E1773" s="165">
        <v>4.83</v>
      </c>
      <c r="F1773" s="336">
        <v>4.83</v>
      </c>
      <c r="G1773" s="411">
        <f t="shared" si="198"/>
        <v>0</v>
      </c>
      <c r="K1773" s="126"/>
      <c r="L1773" s="403">
        <f t="shared" si="199"/>
        <v>45571</v>
      </c>
      <c r="M1773" s="56" t="str">
        <f t="shared" si="200"/>
        <v>SUN</v>
      </c>
      <c r="O1773" s="253">
        <f t="shared" si="201"/>
        <v>0</v>
      </c>
      <c r="P1773" s="392">
        <f t="shared" si="202"/>
        <v>1</v>
      </c>
    </row>
    <row r="1774" spans="1:18">
      <c r="B1774" s="41"/>
      <c r="C1774" s="403">
        <f t="shared" si="197"/>
        <v>45572</v>
      </c>
      <c r="D1774" s="56" t="str">
        <f>VLOOKUP(MOD(C1774,7),'CALENDAR INFO'!$G$5:$H$11,2)</f>
        <v>MON</v>
      </c>
      <c r="E1774" s="165">
        <v>4.83</v>
      </c>
      <c r="F1774" s="336">
        <v>4.83</v>
      </c>
      <c r="G1774" s="411">
        <f t="shared" si="198"/>
        <v>0</v>
      </c>
      <c r="H1774" s="376" t="s">
        <v>221</v>
      </c>
      <c r="I1774" s="147">
        <f ca="1">AVERAGE(INDIRECT(I1772))</f>
        <v>4.830000000000001</v>
      </c>
      <c r="J1774" s="326">
        <f ca="1">AVERAGE(INDIRECT(J1772))</f>
        <v>4.8422580645161286</v>
      </c>
      <c r="K1774" s="126"/>
      <c r="L1774" s="403">
        <f t="shared" si="199"/>
        <v>45572</v>
      </c>
      <c r="M1774" s="56" t="str">
        <f t="shared" si="200"/>
        <v>MON</v>
      </c>
      <c r="O1774" s="253">
        <f t="shared" si="201"/>
        <v>1</v>
      </c>
      <c r="P1774" s="392">
        <f t="shared" si="202"/>
        <v>1.0001341666666668</v>
      </c>
    </row>
    <row r="1775" spans="1:18">
      <c r="B1775" s="41"/>
      <c r="C1775" s="403">
        <f t="shared" si="197"/>
        <v>45573</v>
      </c>
      <c r="D1775" s="56" t="str">
        <f>VLOOKUP(MOD(C1775,7),'CALENDAR INFO'!$G$5:$H$11,2)</f>
        <v>TUE</v>
      </c>
      <c r="E1775" s="165">
        <v>4.83</v>
      </c>
      <c r="F1775" s="336">
        <v>4.84</v>
      </c>
      <c r="G1775" s="411">
        <f t="shared" si="198"/>
        <v>9.9999999999997868E-3</v>
      </c>
      <c r="H1775" s="115"/>
      <c r="I1775" s="244"/>
      <c r="J1775" s="245"/>
      <c r="K1775" s="126"/>
      <c r="L1775" s="403">
        <f t="shared" si="199"/>
        <v>45573</v>
      </c>
      <c r="M1775" s="56" t="str">
        <f t="shared" si="200"/>
        <v>TUE</v>
      </c>
      <c r="O1775" s="253">
        <f t="shared" si="201"/>
        <v>1</v>
      </c>
      <c r="P1775" s="392">
        <f t="shared" si="202"/>
        <v>1.0001344444444444</v>
      </c>
    </row>
    <row r="1776" spans="1:18">
      <c r="B1776" s="41"/>
      <c r="C1776" s="403">
        <f t="shared" si="197"/>
        <v>45574</v>
      </c>
      <c r="D1776" s="56" t="str">
        <f>VLOOKUP(MOD(C1776,7),'CALENDAR INFO'!$G$5:$H$11,2)</f>
        <v>WED</v>
      </c>
      <c r="E1776" s="165">
        <v>4.83</v>
      </c>
      <c r="F1776" s="336">
        <v>4.83</v>
      </c>
      <c r="G1776" s="411">
        <f t="shared" si="198"/>
        <v>0</v>
      </c>
      <c r="H1776" s="15" t="s">
        <v>222</v>
      </c>
      <c r="I1776" s="147">
        <f ca="1">100-I1774</f>
        <v>95.17</v>
      </c>
      <c r="J1776" s="326">
        <f ca="1">100-J1774</f>
        <v>95.15774193548387</v>
      </c>
      <c r="K1776" s="126"/>
      <c r="L1776" s="403">
        <f t="shared" si="199"/>
        <v>45574</v>
      </c>
      <c r="M1776" s="56" t="str">
        <f t="shared" si="200"/>
        <v>WED</v>
      </c>
      <c r="O1776" s="253">
        <f t="shared" si="201"/>
        <v>1</v>
      </c>
      <c r="P1776" s="392">
        <f t="shared" si="202"/>
        <v>1.0001341666666668</v>
      </c>
    </row>
    <row r="1777" spans="2:17">
      <c r="B1777" s="41"/>
      <c r="C1777" s="403">
        <f t="shared" si="197"/>
        <v>45575</v>
      </c>
      <c r="D1777" s="56" t="str">
        <f>VLOOKUP(MOD(C1777,7),'CALENDAR INFO'!$G$5:$H$11,2)</f>
        <v>THU</v>
      </c>
      <c r="E1777" s="165">
        <v>4.83</v>
      </c>
      <c r="F1777" s="336">
        <v>4.82</v>
      </c>
      <c r="G1777" s="411">
        <f t="shared" si="198"/>
        <v>-9.9999999999997868E-3</v>
      </c>
      <c r="I1777" s="137"/>
      <c r="J1777" s="150"/>
      <c r="K1777" s="126"/>
      <c r="L1777" s="403">
        <f t="shared" si="199"/>
        <v>45575</v>
      </c>
      <c r="M1777" s="56" t="str">
        <f t="shared" si="200"/>
        <v>THU</v>
      </c>
      <c r="O1777" s="253">
        <f t="shared" si="201"/>
        <v>1</v>
      </c>
      <c r="P1777" s="392">
        <f t="shared" si="202"/>
        <v>1.0001338888888889</v>
      </c>
    </row>
    <row r="1778" spans="2:17">
      <c r="B1778" s="41"/>
      <c r="C1778" s="403">
        <f t="shared" si="197"/>
        <v>45576</v>
      </c>
      <c r="D1778" s="56" t="str">
        <f>VLOOKUP(MOD(C1778,7),'CALENDAR INFO'!$G$5:$H$11,2)</f>
        <v>FRI</v>
      </c>
      <c r="E1778" s="165">
        <v>4.83</v>
      </c>
      <c r="F1778" s="336">
        <v>4.8099999999999996</v>
      </c>
      <c r="G1778" s="411">
        <f t="shared" si="198"/>
        <v>-2.0000000000000462E-2</v>
      </c>
      <c r="H1778" s="115"/>
      <c r="I1778" s="240"/>
      <c r="J1778" s="157"/>
      <c r="K1778" s="126"/>
      <c r="L1778" s="403">
        <f t="shared" si="199"/>
        <v>45576</v>
      </c>
      <c r="M1778" s="56" t="str">
        <f t="shared" si="200"/>
        <v>FRI</v>
      </c>
      <c r="O1778" s="384">
        <v>4</v>
      </c>
      <c r="P1778" s="392">
        <f t="shared" si="202"/>
        <v>1.0005344444444444</v>
      </c>
    </row>
    <row r="1779" spans="2:17">
      <c r="B1779" s="41"/>
      <c r="C1779" s="403">
        <f t="shared" si="197"/>
        <v>45577</v>
      </c>
      <c r="D1779" s="56" t="str">
        <f>VLOOKUP(MOD(C1779,7),'CALENDAR INFO'!$G$5:$H$11,2)</f>
        <v>SAT</v>
      </c>
      <c r="E1779" s="165">
        <v>4.83</v>
      </c>
      <c r="F1779" s="336">
        <v>4.8099999999999996</v>
      </c>
      <c r="G1779" s="411">
        <f t="shared" si="198"/>
        <v>-2.0000000000000462E-2</v>
      </c>
      <c r="H1779" s="115"/>
      <c r="I1779" s="240"/>
      <c r="J1779" s="157"/>
      <c r="K1779" s="126"/>
      <c r="L1779" s="403">
        <f t="shared" si="199"/>
        <v>45577</v>
      </c>
      <c r="M1779" s="56" t="str">
        <f t="shared" si="200"/>
        <v>SAT</v>
      </c>
      <c r="O1779" s="253">
        <f>IF(MOD(C1779,7)&lt;2,0,IF(MOD(C1779,7)=6,3,1))</f>
        <v>0</v>
      </c>
      <c r="P1779" s="392">
        <f t="shared" si="202"/>
        <v>1</v>
      </c>
    </row>
    <row r="1780" spans="2:17">
      <c r="B1780" s="41"/>
      <c r="C1780" s="403">
        <f t="shared" si="197"/>
        <v>45578</v>
      </c>
      <c r="D1780" s="56" t="str">
        <f>VLOOKUP(MOD(C1780,7),'CALENDAR INFO'!$G$5:$H$11,2)</f>
        <v>SUN</v>
      </c>
      <c r="E1780" s="165">
        <v>4.83</v>
      </c>
      <c r="F1780" s="336">
        <v>4.8099999999999996</v>
      </c>
      <c r="G1780" s="411">
        <f t="shared" si="198"/>
        <v>-2.0000000000000462E-2</v>
      </c>
      <c r="H1780" s="115"/>
      <c r="I1780" s="240"/>
      <c r="J1780" s="157"/>
      <c r="K1780" s="126"/>
      <c r="L1780" s="403">
        <f t="shared" si="199"/>
        <v>45578</v>
      </c>
      <c r="M1780" s="56" t="str">
        <f t="shared" si="200"/>
        <v>SUN</v>
      </c>
      <c r="O1780" s="253">
        <f>IF(MOD(C1780,7)&lt;2,0,IF(MOD(C1780,7)=6,3,1))</f>
        <v>0</v>
      </c>
      <c r="P1780" s="392">
        <f t="shared" si="202"/>
        <v>1</v>
      </c>
    </row>
    <row r="1781" spans="2:17">
      <c r="B1781" s="41"/>
      <c r="C1781" s="403">
        <f t="shared" ref="C1781:C1844" si="203">C1780+1</f>
        <v>45579</v>
      </c>
      <c r="D1781" s="56" t="str">
        <f>VLOOKUP(MOD(C1781,7),'CALENDAR INFO'!$G$5:$H$11,2)</f>
        <v>MON</v>
      </c>
      <c r="E1781" s="165">
        <v>4.83</v>
      </c>
      <c r="F1781" s="336">
        <v>4.8099999999999996</v>
      </c>
      <c r="G1781" s="411">
        <f t="shared" si="198"/>
        <v>-2.0000000000000462E-2</v>
      </c>
      <c r="I1781" s="240"/>
      <c r="J1781" s="157"/>
      <c r="K1781" s="126"/>
      <c r="L1781" s="403">
        <f t="shared" si="199"/>
        <v>45579</v>
      </c>
      <c r="M1781" s="56" t="str">
        <f t="shared" si="200"/>
        <v>MON</v>
      </c>
      <c r="N1781" s="132" t="s">
        <v>107</v>
      </c>
      <c r="O1781" s="384">
        <v>0</v>
      </c>
      <c r="P1781" s="392">
        <f t="shared" si="202"/>
        <v>1</v>
      </c>
      <c r="Q1781" s="21"/>
    </row>
    <row r="1782" spans="2:17">
      <c r="B1782" s="41"/>
      <c r="C1782" s="403">
        <f t="shared" si="203"/>
        <v>45580</v>
      </c>
      <c r="D1782" s="56" t="str">
        <f>VLOOKUP(MOD(C1782,7),'CALENDAR INFO'!$G$5:$H$11,2)</f>
        <v>TUE</v>
      </c>
      <c r="E1782" s="165">
        <v>4.83</v>
      </c>
      <c r="F1782" s="336">
        <v>4.8600000000000003</v>
      </c>
      <c r="G1782" s="411">
        <f t="shared" si="198"/>
        <v>3.0000000000000249E-2</v>
      </c>
      <c r="I1782" s="137"/>
      <c r="J1782" s="150"/>
      <c r="K1782" s="126"/>
      <c r="L1782" s="403">
        <f t="shared" si="199"/>
        <v>45580</v>
      </c>
      <c r="M1782" s="56" t="str">
        <f t="shared" si="200"/>
        <v>TUE</v>
      </c>
      <c r="O1782" s="253">
        <f t="shared" ref="O1782:O1805" si="204">IF(MOD(C1782,7)&lt;2,0,IF(MOD(C1782,7)=6,3,1))</f>
        <v>1</v>
      </c>
      <c r="P1782" s="392">
        <f t="shared" si="202"/>
        <v>1.000135</v>
      </c>
    </row>
    <row r="1783" spans="2:17">
      <c r="B1783" s="41"/>
      <c r="C1783" s="403">
        <f t="shared" si="203"/>
        <v>45581</v>
      </c>
      <c r="D1783" s="56" t="str">
        <f>VLOOKUP(MOD(C1783,7),'CALENDAR INFO'!$G$5:$H$11,2)</f>
        <v>WED</v>
      </c>
      <c r="E1783" s="165">
        <v>4.83</v>
      </c>
      <c r="F1783" s="336">
        <v>4.8600000000000003</v>
      </c>
      <c r="G1783" s="411">
        <f t="shared" si="198"/>
        <v>3.0000000000000249E-2</v>
      </c>
      <c r="H1783" s="115"/>
      <c r="I1783" s="139"/>
      <c r="J1783" s="151"/>
      <c r="K1783" s="126" t="s">
        <v>19</v>
      </c>
      <c r="L1783" s="403">
        <f t="shared" si="199"/>
        <v>45581</v>
      </c>
      <c r="M1783" s="56" t="str">
        <f t="shared" si="200"/>
        <v>WED</v>
      </c>
      <c r="O1783" s="253">
        <f t="shared" si="204"/>
        <v>1</v>
      </c>
      <c r="P1783" s="392">
        <f t="shared" si="202"/>
        <v>1.000135</v>
      </c>
    </row>
    <row r="1784" spans="2:17">
      <c r="B1784" s="41"/>
      <c r="C1784" s="403">
        <f t="shared" si="203"/>
        <v>45582</v>
      </c>
      <c r="D1784" s="56" t="str">
        <f>VLOOKUP(MOD(C1784,7),'CALENDAR INFO'!$G$5:$H$11,2)</f>
        <v>THU</v>
      </c>
      <c r="E1784" s="165">
        <v>4.83</v>
      </c>
      <c r="F1784" s="336">
        <v>4.8499999999999996</v>
      </c>
      <c r="G1784" s="411">
        <f t="shared" si="198"/>
        <v>1.9999999999999574E-2</v>
      </c>
      <c r="H1784" s="115"/>
      <c r="I1784" s="246"/>
      <c r="J1784" s="247"/>
      <c r="K1784" s="129" t="s">
        <v>18</v>
      </c>
      <c r="L1784" s="403">
        <f t="shared" si="199"/>
        <v>45582</v>
      </c>
      <c r="M1784" s="56" t="str">
        <f t="shared" si="200"/>
        <v>THU</v>
      </c>
      <c r="O1784" s="253">
        <f t="shared" si="204"/>
        <v>1</v>
      </c>
      <c r="P1784" s="392">
        <f t="shared" si="202"/>
        <v>1.0001347222222223</v>
      </c>
    </row>
    <row r="1785" spans="2:17">
      <c r="B1785" s="41"/>
      <c r="C1785" s="403">
        <f t="shared" si="203"/>
        <v>45583</v>
      </c>
      <c r="D1785" s="56" t="str">
        <f>VLOOKUP(MOD(C1785,7),'CALENDAR INFO'!$G$5:$H$11,2)</f>
        <v>FRI</v>
      </c>
      <c r="E1785" s="165">
        <v>4.83</v>
      </c>
      <c r="F1785" s="336">
        <v>4.84</v>
      </c>
      <c r="G1785" s="411">
        <f t="shared" si="198"/>
        <v>9.9999999999997868E-3</v>
      </c>
      <c r="H1785" s="115"/>
      <c r="I1785" s="137"/>
      <c r="J1785" s="150"/>
      <c r="K1785" s="129"/>
      <c r="L1785" s="403">
        <f t="shared" si="199"/>
        <v>45583</v>
      </c>
      <c r="M1785" s="56" t="str">
        <f t="shared" si="200"/>
        <v>FRI</v>
      </c>
      <c r="O1785" s="253">
        <f t="shared" si="204"/>
        <v>3</v>
      </c>
      <c r="P1785" s="392">
        <f t="shared" si="202"/>
        <v>1.0004033333333333</v>
      </c>
    </row>
    <row r="1786" spans="2:17">
      <c r="B1786" s="41"/>
      <c r="C1786" s="403">
        <f t="shared" si="203"/>
        <v>45584</v>
      </c>
      <c r="D1786" s="56" t="str">
        <f>VLOOKUP(MOD(C1786,7),'CALENDAR INFO'!$G$5:$H$11,2)</f>
        <v>SAT</v>
      </c>
      <c r="E1786" s="165">
        <v>4.83</v>
      </c>
      <c r="F1786" s="336">
        <v>4.84</v>
      </c>
      <c r="G1786" s="411">
        <f t="shared" si="198"/>
        <v>9.9999999999997868E-3</v>
      </c>
      <c r="H1786" s="115"/>
      <c r="I1786" s="240"/>
      <c r="J1786" s="157"/>
      <c r="K1786" s="129"/>
      <c r="L1786" s="403">
        <f t="shared" si="199"/>
        <v>45584</v>
      </c>
      <c r="M1786" s="56" t="str">
        <f t="shared" si="200"/>
        <v>SAT</v>
      </c>
      <c r="O1786" s="253">
        <f t="shared" si="204"/>
        <v>0</v>
      </c>
      <c r="P1786" s="392">
        <f t="shared" si="202"/>
        <v>1</v>
      </c>
    </row>
    <row r="1787" spans="2:17">
      <c r="B1787" s="41"/>
      <c r="C1787" s="403">
        <f t="shared" si="203"/>
        <v>45585</v>
      </c>
      <c r="D1787" s="56" t="str">
        <f>VLOOKUP(MOD(C1787,7),'CALENDAR INFO'!$G$5:$H$11,2)</f>
        <v>SUN</v>
      </c>
      <c r="E1787" s="165">
        <v>4.83</v>
      </c>
      <c r="F1787" s="336">
        <v>4.84</v>
      </c>
      <c r="G1787" s="411">
        <f t="shared" si="198"/>
        <v>9.9999999999997868E-3</v>
      </c>
      <c r="H1787" s="115"/>
      <c r="I1787" s="163"/>
      <c r="J1787" s="164"/>
      <c r="K1787" s="129"/>
      <c r="L1787" s="403">
        <f t="shared" si="199"/>
        <v>45585</v>
      </c>
      <c r="M1787" s="56" t="str">
        <f t="shared" si="200"/>
        <v>SUN</v>
      </c>
      <c r="O1787" s="253">
        <f t="shared" si="204"/>
        <v>0</v>
      </c>
      <c r="P1787" s="392">
        <f t="shared" si="202"/>
        <v>1</v>
      </c>
    </row>
    <row r="1788" spans="2:17">
      <c r="B1788" s="41"/>
      <c r="C1788" s="403">
        <f t="shared" si="203"/>
        <v>45586</v>
      </c>
      <c r="D1788" s="56" t="str">
        <f>VLOOKUP(MOD(C1788,7),'CALENDAR INFO'!$G$5:$H$11,2)</f>
        <v>MON</v>
      </c>
      <c r="E1788" s="165">
        <v>4.83</v>
      </c>
      <c r="F1788" s="336">
        <v>4.82</v>
      </c>
      <c r="G1788" s="411">
        <f t="shared" si="198"/>
        <v>-9.9999999999997868E-3</v>
      </c>
      <c r="I1788" s="141"/>
      <c r="J1788" s="158"/>
      <c r="K1788" s="129"/>
      <c r="L1788" s="403">
        <f t="shared" si="199"/>
        <v>45586</v>
      </c>
      <c r="M1788" s="56" t="str">
        <f t="shared" si="200"/>
        <v>MON</v>
      </c>
      <c r="O1788" s="253">
        <f t="shared" si="204"/>
        <v>1</v>
      </c>
      <c r="P1788" s="392">
        <f t="shared" si="202"/>
        <v>1.0001338888888889</v>
      </c>
    </row>
    <row r="1789" spans="2:17">
      <c r="B1789" s="41"/>
      <c r="C1789" s="403">
        <f t="shared" si="203"/>
        <v>45587</v>
      </c>
      <c r="D1789" s="56" t="str">
        <f>VLOOKUP(MOD(C1789,7),'CALENDAR INFO'!$G$5:$H$11,2)</f>
        <v>TUE</v>
      </c>
      <c r="E1789" s="165">
        <v>4.83</v>
      </c>
      <c r="F1789" s="336">
        <v>4.83</v>
      </c>
      <c r="G1789" s="411">
        <f t="shared" si="198"/>
        <v>0</v>
      </c>
      <c r="I1789" s="141"/>
      <c r="J1789" s="158"/>
      <c r="K1789" s="129"/>
      <c r="L1789" s="403">
        <f t="shared" si="199"/>
        <v>45587</v>
      </c>
      <c r="M1789" s="56" t="str">
        <f t="shared" si="200"/>
        <v>TUE</v>
      </c>
      <c r="O1789" s="253">
        <f t="shared" si="204"/>
        <v>1</v>
      </c>
      <c r="P1789" s="392">
        <f t="shared" si="202"/>
        <v>1.0001341666666668</v>
      </c>
    </row>
    <row r="1790" spans="2:17">
      <c r="B1790" s="41"/>
      <c r="C1790" s="403">
        <f t="shared" si="203"/>
        <v>45588</v>
      </c>
      <c r="D1790" s="56" t="str">
        <f>VLOOKUP(MOD(C1790,7),'CALENDAR INFO'!$G$5:$H$11,2)</f>
        <v>WED</v>
      </c>
      <c r="E1790" s="165">
        <v>4.83</v>
      </c>
      <c r="F1790" s="336">
        <v>4.83</v>
      </c>
      <c r="G1790" s="411">
        <f t="shared" si="198"/>
        <v>0</v>
      </c>
      <c r="I1790" s="141"/>
      <c r="J1790" s="158"/>
      <c r="K1790" s="129"/>
      <c r="L1790" s="403">
        <f t="shared" si="199"/>
        <v>45588</v>
      </c>
      <c r="M1790" s="56" t="str">
        <f t="shared" si="200"/>
        <v>WED</v>
      </c>
      <c r="O1790" s="253">
        <f t="shared" si="204"/>
        <v>1</v>
      </c>
      <c r="P1790" s="392">
        <f t="shared" si="202"/>
        <v>1.0001341666666668</v>
      </c>
    </row>
    <row r="1791" spans="2:17">
      <c r="B1791" s="41"/>
      <c r="C1791" s="403">
        <f t="shared" si="203"/>
        <v>45589</v>
      </c>
      <c r="D1791" s="56" t="str">
        <f>VLOOKUP(MOD(C1791,7),'CALENDAR INFO'!$G$5:$H$11,2)</f>
        <v>THU</v>
      </c>
      <c r="E1791" s="165">
        <v>4.83</v>
      </c>
      <c r="F1791" s="336">
        <v>4.83</v>
      </c>
      <c r="G1791" s="411">
        <f t="shared" si="198"/>
        <v>0</v>
      </c>
      <c r="I1791" s="141"/>
      <c r="J1791" s="158"/>
      <c r="K1791" s="129"/>
      <c r="L1791" s="403">
        <f t="shared" si="199"/>
        <v>45589</v>
      </c>
      <c r="M1791" s="56" t="str">
        <f t="shared" si="200"/>
        <v>THU</v>
      </c>
      <c r="O1791" s="253">
        <f t="shared" si="204"/>
        <v>1</v>
      </c>
      <c r="P1791" s="392">
        <f t="shared" si="202"/>
        <v>1.0001341666666668</v>
      </c>
    </row>
    <row r="1792" spans="2:17">
      <c r="B1792" s="41"/>
      <c r="C1792" s="403">
        <f t="shared" si="203"/>
        <v>45590</v>
      </c>
      <c r="D1792" s="56" t="str">
        <f>VLOOKUP(MOD(C1792,7),'CALENDAR INFO'!$G$5:$H$11,2)</f>
        <v>FRI</v>
      </c>
      <c r="E1792" s="165">
        <v>4.83</v>
      </c>
      <c r="F1792" s="336">
        <v>4.83</v>
      </c>
      <c r="G1792" s="411">
        <f t="shared" si="198"/>
        <v>0</v>
      </c>
      <c r="I1792" s="228"/>
      <c r="J1792" s="229"/>
      <c r="K1792" s="129"/>
      <c r="L1792" s="403">
        <f t="shared" si="199"/>
        <v>45590</v>
      </c>
      <c r="M1792" s="56" t="str">
        <f t="shared" si="200"/>
        <v>FRI</v>
      </c>
      <c r="O1792" s="253">
        <f t="shared" si="204"/>
        <v>3</v>
      </c>
      <c r="P1792" s="392">
        <f t="shared" si="202"/>
        <v>1.0004025000000001</v>
      </c>
    </row>
    <row r="1793" spans="1:18">
      <c r="B1793" s="41"/>
      <c r="C1793" s="403">
        <f t="shared" si="203"/>
        <v>45591</v>
      </c>
      <c r="D1793" s="56" t="str">
        <f>VLOOKUP(MOD(C1793,7),'CALENDAR INFO'!$G$5:$H$11,2)</f>
        <v>SAT</v>
      </c>
      <c r="E1793" s="165">
        <v>4.83</v>
      </c>
      <c r="F1793" s="336">
        <v>4.83</v>
      </c>
      <c r="G1793" s="411">
        <f t="shared" si="198"/>
        <v>0</v>
      </c>
      <c r="I1793" s="141"/>
      <c r="J1793" s="158"/>
      <c r="K1793" s="129"/>
      <c r="L1793" s="403">
        <f t="shared" si="199"/>
        <v>45591</v>
      </c>
      <c r="M1793" s="56" t="str">
        <f t="shared" si="200"/>
        <v>SAT</v>
      </c>
      <c r="O1793" s="253">
        <f t="shared" si="204"/>
        <v>0</v>
      </c>
      <c r="P1793" s="392">
        <f t="shared" si="202"/>
        <v>1</v>
      </c>
      <c r="R1793" s="221"/>
    </row>
    <row r="1794" spans="1:18">
      <c r="B1794" s="41"/>
      <c r="C1794" s="403">
        <f t="shared" si="203"/>
        <v>45592</v>
      </c>
      <c r="D1794" s="56" t="str">
        <f>VLOOKUP(MOD(C1794,7),'CALENDAR INFO'!$G$5:$H$11,2)</f>
        <v>SUN</v>
      </c>
      <c r="E1794" s="165">
        <v>4.83</v>
      </c>
      <c r="F1794" s="336">
        <v>4.83</v>
      </c>
      <c r="G1794" s="411">
        <f t="shared" si="198"/>
        <v>0</v>
      </c>
      <c r="H1794" s="115"/>
      <c r="I1794" s="141"/>
      <c r="J1794" s="158"/>
      <c r="K1794" s="129"/>
      <c r="L1794" s="403">
        <f t="shared" si="199"/>
        <v>45592</v>
      </c>
      <c r="M1794" s="56" t="str">
        <f t="shared" si="200"/>
        <v>SUN</v>
      </c>
      <c r="O1794" s="253">
        <f t="shared" si="204"/>
        <v>0</v>
      </c>
      <c r="P1794" s="392">
        <f t="shared" si="202"/>
        <v>1</v>
      </c>
      <c r="R1794" s="222"/>
    </row>
    <row r="1795" spans="1:18">
      <c r="B1795" s="41"/>
      <c r="C1795" s="403">
        <f t="shared" si="203"/>
        <v>45593</v>
      </c>
      <c r="D1795" s="56" t="str">
        <f>VLOOKUP(MOD(C1795,7),'CALENDAR INFO'!$G$5:$H$11,2)</f>
        <v>MON</v>
      </c>
      <c r="E1795" s="165">
        <v>4.83</v>
      </c>
      <c r="F1795" s="336">
        <v>4.82</v>
      </c>
      <c r="G1795" s="411">
        <f t="shared" ref="G1795:G1858" si="205">F1795-E1795</f>
        <v>-9.9999999999997868E-3</v>
      </c>
      <c r="I1795" s="141"/>
      <c r="J1795" s="158"/>
      <c r="K1795" s="129"/>
      <c r="L1795" s="403">
        <f t="shared" ref="L1795:L1858" si="206">C1795</f>
        <v>45593</v>
      </c>
      <c r="M1795" s="56" t="str">
        <f t="shared" ref="M1795:M1858" si="207">D1795</f>
        <v>MON</v>
      </c>
      <c r="O1795" s="253">
        <f t="shared" si="204"/>
        <v>1</v>
      </c>
      <c r="P1795" s="392">
        <f t="shared" si="202"/>
        <v>1.0001338888888889</v>
      </c>
      <c r="Q1795" s="21"/>
      <c r="R1795" s="222"/>
    </row>
    <row r="1796" spans="1:18">
      <c r="B1796" s="41"/>
      <c r="C1796" s="403">
        <f t="shared" si="203"/>
        <v>45594</v>
      </c>
      <c r="D1796" s="56" t="str">
        <f>VLOOKUP(MOD(C1796,7),'CALENDAR INFO'!$G$5:$H$11,2)</f>
        <v>TUE</v>
      </c>
      <c r="E1796" s="165">
        <v>4.83</v>
      </c>
      <c r="F1796" s="336">
        <v>4.82</v>
      </c>
      <c r="G1796" s="411">
        <f t="shared" si="205"/>
        <v>-9.9999999999997868E-3</v>
      </c>
      <c r="H1796" s="115"/>
      <c r="I1796" s="141"/>
      <c r="J1796" s="158"/>
      <c r="K1796" s="225"/>
      <c r="L1796" s="403">
        <f t="shared" si="206"/>
        <v>45594</v>
      </c>
      <c r="M1796" s="56" t="str">
        <f t="shared" si="207"/>
        <v>TUE</v>
      </c>
      <c r="O1796" s="253">
        <f t="shared" si="204"/>
        <v>1</v>
      </c>
      <c r="P1796" s="392">
        <f t="shared" si="202"/>
        <v>1.0001338888888889</v>
      </c>
    </row>
    <row r="1797" spans="1:18">
      <c r="B1797" s="41"/>
      <c r="C1797" s="403">
        <f t="shared" si="203"/>
        <v>45595</v>
      </c>
      <c r="D1797" s="56" t="str">
        <f>VLOOKUP(MOD(C1797,7),'CALENDAR INFO'!$G$5:$H$11,2)</f>
        <v>WED</v>
      </c>
      <c r="E1797" s="165">
        <v>4.83</v>
      </c>
      <c r="F1797" s="336">
        <v>4.8099999999999996</v>
      </c>
      <c r="G1797" s="411">
        <f t="shared" si="205"/>
        <v>-2.0000000000000462E-2</v>
      </c>
      <c r="H1797" s="115"/>
      <c r="I1797" s="141"/>
      <c r="J1797" s="158"/>
      <c r="K1797" s="225" t="s">
        <v>19</v>
      </c>
      <c r="L1797" s="403">
        <f t="shared" si="206"/>
        <v>45595</v>
      </c>
      <c r="M1797" s="56" t="str">
        <f t="shared" si="207"/>
        <v>WED</v>
      </c>
      <c r="O1797" s="253">
        <f t="shared" si="204"/>
        <v>1</v>
      </c>
      <c r="P1797" s="392">
        <f t="shared" si="202"/>
        <v>1.0001336111111112</v>
      </c>
    </row>
    <row r="1798" spans="1:18" ht="15.75" thickBot="1">
      <c r="A1798" s="81"/>
      <c r="B1798" s="178"/>
      <c r="C1798" s="404">
        <f t="shared" si="203"/>
        <v>45596</v>
      </c>
      <c r="D1798" s="64" t="str">
        <f>VLOOKUP(MOD(C1798,7),'CALENDAR INFO'!$G$5:$H$11,2)</f>
        <v>THU</v>
      </c>
      <c r="E1798" s="166">
        <v>4.83</v>
      </c>
      <c r="F1798" s="337">
        <v>4.9000000000000004</v>
      </c>
      <c r="G1798" s="412">
        <f t="shared" si="205"/>
        <v>7.0000000000000284E-2</v>
      </c>
      <c r="H1798" s="335"/>
      <c r="I1798" s="267"/>
      <c r="J1798" s="268"/>
      <c r="K1798" s="190" t="s">
        <v>18</v>
      </c>
      <c r="L1798" s="404">
        <f t="shared" si="206"/>
        <v>45596</v>
      </c>
      <c r="M1798" s="64" t="str">
        <f t="shared" si="207"/>
        <v>THU</v>
      </c>
      <c r="N1798" s="90"/>
      <c r="O1798" s="383">
        <f t="shared" si="204"/>
        <v>1</v>
      </c>
      <c r="P1798" s="388">
        <f t="shared" si="202"/>
        <v>1.0001361111111111</v>
      </c>
    </row>
    <row r="1799" spans="1:18">
      <c r="A1799" s="289"/>
      <c r="B1799" s="290"/>
      <c r="C1799" s="403">
        <f t="shared" si="203"/>
        <v>45597</v>
      </c>
      <c r="D1799" s="56" t="str">
        <f>VLOOKUP(MOD(C1799,7),'CALENDAR INFO'!$G$5:$H$11,2)</f>
        <v>FRI</v>
      </c>
      <c r="E1799" s="165">
        <v>4.83</v>
      </c>
      <c r="F1799" s="336">
        <v>4.8600000000000003</v>
      </c>
      <c r="G1799" s="411">
        <f t="shared" si="205"/>
        <v>3.0000000000000249E-2</v>
      </c>
      <c r="H1799" s="15" t="s">
        <v>149</v>
      </c>
      <c r="I1799" s="15">
        <f>ROW(I1799)</f>
        <v>1799</v>
      </c>
      <c r="J1799" s="138">
        <f>I1799</f>
        <v>1799</v>
      </c>
      <c r="K1799" s="126"/>
      <c r="L1799" s="403">
        <f t="shared" si="206"/>
        <v>45597</v>
      </c>
      <c r="M1799" s="56" t="str">
        <f t="shared" si="207"/>
        <v>FRI</v>
      </c>
      <c r="O1799" s="386">
        <f t="shared" si="204"/>
        <v>3</v>
      </c>
      <c r="P1799" s="390">
        <f t="shared" si="202"/>
        <v>1.000405</v>
      </c>
    </row>
    <row r="1800" spans="1:18">
      <c r="A1800" s="289"/>
      <c r="B1800" s="290"/>
      <c r="C1800" s="403">
        <f t="shared" si="203"/>
        <v>45598</v>
      </c>
      <c r="D1800" s="56" t="str">
        <f>VLOOKUP(MOD(C1800,7),'CALENDAR INFO'!$G$5:$H$11,2)</f>
        <v>SAT</v>
      </c>
      <c r="E1800" s="165">
        <v>4.83</v>
      </c>
      <c r="F1800" s="336">
        <v>4.8600000000000003</v>
      </c>
      <c r="G1800" s="411">
        <f t="shared" si="205"/>
        <v>3.0000000000000249E-2</v>
      </c>
      <c r="H1800" s="376" t="s">
        <v>210</v>
      </c>
      <c r="I1800" s="15">
        <f>VLOOKUP(MONTH($C1799),'CALENDAR INFO'!$J$5:$K$16,2)</f>
        <v>30</v>
      </c>
      <c r="J1800" s="138">
        <f>I1800</f>
        <v>30</v>
      </c>
      <c r="K1800" s="126"/>
      <c r="L1800" s="403">
        <f t="shared" si="206"/>
        <v>45598</v>
      </c>
      <c r="M1800" s="56" t="str">
        <f t="shared" si="207"/>
        <v>SAT</v>
      </c>
      <c r="O1800" s="253">
        <f t="shared" si="204"/>
        <v>0</v>
      </c>
      <c r="P1800" s="392">
        <f t="shared" si="202"/>
        <v>1</v>
      </c>
    </row>
    <row r="1801" spans="1:18">
      <c r="A1801" s="289"/>
      <c r="B1801" s="290"/>
      <c r="C1801" s="403">
        <f t="shared" si="203"/>
        <v>45599</v>
      </c>
      <c r="D1801" s="56" t="str">
        <f>VLOOKUP(MOD(C1801,7),'CALENDAR INFO'!$G$5:$H$11,2)</f>
        <v>SUN</v>
      </c>
      <c r="E1801" s="165">
        <v>4.83</v>
      </c>
      <c r="F1801" s="336">
        <v>4.8600000000000003</v>
      </c>
      <c r="G1801" s="411">
        <f t="shared" si="205"/>
        <v>3.0000000000000249E-2</v>
      </c>
      <c r="H1801" s="376" t="s">
        <v>211</v>
      </c>
      <c r="I1801" s="15">
        <f>I1800+I1799-1</f>
        <v>1828</v>
      </c>
      <c r="J1801" s="138">
        <f>I1801</f>
        <v>1828</v>
      </c>
      <c r="K1801" s="126"/>
      <c r="L1801" s="403">
        <f t="shared" si="206"/>
        <v>45599</v>
      </c>
      <c r="M1801" s="56" t="str">
        <f t="shared" si="207"/>
        <v>SUN</v>
      </c>
      <c r="O1801" s="253">
        <f t="shared" si="204"/>
        <v>0</v>
      </c>
      <c r="P1801" s="392">
        <f t="shared" si="202"/>
        <v>1</v>
      </c>
    </row>
    <row r="1802" spans="1:18">
      <c r="A1802" s="289"/>
      <c r="B1802" s="290"/>
      <c r="C1802" s="403">
        <f t="shared" si="203"/>
        <v>45600</v>
      </c>
      <c r="D1802" s="56" t="str">
        <f>VLOOKUP(MOD(C1802,7),'CALENDAR INFO'!$G$5:$H$11,2)</f>
        <v>MON</v>
      </c>
      <c r="E1802" s="165">
        <v>4.83</v>
      </c>
      <c r="F1802" s="336">
        <v>4.82</v>
      </c>
      <c r="G1802" s="411">
        <f t="shared" si="205"/>
        <v>-9.9999999999997868E-3</v>
      </c>
      <c r="K1802" s="126"/>
      <c r="L1802" s="403">
        <f t="shared" si="206"/>
        <v>45600</v>
      </c>
      <c r="M1802" s="56" t="str">
        <f t="shared" si="207"/>
        <v>MON</v>
      </c>
      <c r="O1802" s="253">
        <f t="shared" si="204"/>
        <v>1</v>
      </c>
      <c r="P1802" s="392">
        <f t="shared" si="202"/>
        <v>1.0001338888888889</v>
      </c>
    </row>
    <row r="1803" spans="1:18">
      <c r="A1803" s="289"/>
      <c r="B1803" s="290"/>
      <c r="C1803" s="403">
        <f t="shared" si="203"/>
        <v>45601</v>
      </c>
      <c r="D1803" s="56" t="str">
        <f>VLOOKUP(MOD(C1803,7),'CALENDAR INFO'!$G$5:$H$11,2)</f>
        <v>TUE</v>
      </c>
      <c r="E1803" s="165">
        <v>4.83</v>
      </c>
      <c r="F1803" s="336">
        <v>4.82</v>
      </c>
      <c r="G1803" s="411">
        <f t="shared" si="205"/>
        <v>-9.9999999999997868E-3</v>
      </c>
      <c r="H1803" s="15" t="s">
        <v>150</v>
      </c>
      <c r="I1803" s="137" t="str">
        <f>_xlfn.CONCAT(ADDRESS(I1799,5),":",ADDRESS(I1801,5))</f>
        <v>$E$1799:$E$1828</v>
      </c>
      <c r="J1803" s="150" t="str">
        <f>_xlfn.CONCAT(ADDRESS(J1799,6),":",ADDRESS(J1801,6))</f>
        <v>$F$1799:$F$1828</v>
      </c>
      <c r="K1803" s="126"/>
      <c r="L1803" s="403">
        <f t="shared" si="206"/>
        <v>45601</v>
      </c>
      <c r="M1803" s="56" t="str">
        <f t="shared" si="207"/>
        <v>TUE</v>
      </c>
      <c r="O1803" s="253">
        <f t="shared" si="204"/>
        <v>1</v>
      </c>
      <c r="P1803" s="392">
        <f t="shared" si="202"/>
        <v>1.0001338888888889</v>
      </c>
    </row>
    <row r="1804" spans="1:18">
      <c r="A1804" s="289"/>
      <c r="B1804" s="290"/>
      <c r="C1804" s="403">
        <f t="shared" si="203"/>
        <v>45602</v>
      </c>
      <c r="D1804" s="56" t="str">
        <f>VLOOKUP(MOD(C1804,7),'CALENDAR INFO'!$G$5:$H$11,2)</f>
        <v>WED</v>
      </c>
      <c r="E1804" s="165">
        <v>4.83</v>
      </c>
      <c r="F1804" s="336">
        <v>4.8099999999999996</v>
      </c>
      <c r="G1804" s="411">
        <f t="shared" si="205"/>
        <v>-2.0000000000000462E-2</v>
      </c>
      <c r="K1804" s="126"/>
      <c r="L1804" s="403">
        <f t="shared" si="206"/>
        <v>45602</v>
      </c>
      <c r="M1804" s="56" t="str">
        <f t="shared" si="207"/>
        <v>WED</v>
      </c>
      <c r="N1804" s="226" t="s">
        <v>20</v>
      </c>
      <c r="O1804" s="253">
        <f t="shared" si="204"/>
        <v>1</v>
      </c>
      <c r="P1804" s="392">
        <f t="shared" si="202"/>
        <v>1.0001336111111112</v>
      </c>
    </row>
    <row r="1805" spans="1:18">
      <c r="A1805" s="289"/>
      <c r="B1805" s="290"/>
      <c r="C1805" s="403">
        <f t="shared" si="203"/>
        <v>45603</v>
      </c>
      <c r="D1805" s="56" t="str">
        <f>VLOOKUP(MOD(C1805,7),'CALENDAR INFO'!$G$5:$H$11,2)</f>
        <v>THU</v>
      </c>
      <c r="E1805" s="165">
        <v>4.83</v>
      </c>
      <c r="F1805" s="336">
        <v>4.82</v>
      </c>
      <c r="G1805" s="411">
        <f t="shared" si="205"/>
        <v>-9.9999999999997868E-3</v>
      </c>
      <c r="H1805" s="376" t="s">
        <v>221</v>
      </c>
      <c r="I1805" s="147">
        <f ca="1">AVERAGE(INDIRECT(I1803))</f>
        <v>4.6383333333333336</v>
      </c>
      <c r="J1805" s="326">
        <f ca="1">AVERAGE(INDIRECT(J1803))</f>
        <v>4.6396666666666651</v>
      </c>
      <c r="K1805" s="126"/>
      <c r="L1805" s="403">
        <f t="shared" si="206"/>
        <v>45603</v>
      </c>
      <c r="M1805" s="56" t="str">
        <f t="shared" si="207"/>
        <v>THU</v>
      </c>
      <c r="N1805" s="226" t="s">
        <v>20</v>
      </c>
      <c r="O1805" s="253">
        <f t="shared" si="204"/>
        <v>1</v>
      </c>
      <c r="P1805" s="392">
        <f t="shared" si="202"/>
        <v>1.0001338888888889</v>
      </c>
    </row>
    <row r="1806" spans="1:18">
      <c r="B1806" s="41"/>
      <c r="C1806" s="403">
        <f t="shared" si="203"/>
        <v>45604</v>
      </c>
      <c r="D1806" s="56" t="str">
        <f>VLOOKUP(MOD(C1806,7),'CALENDAR INFO'!$G$5:$H$11,2)</f>
        <v>FRI</v>
      </c>
      <c r="E1806" s="165">
        <v>4.58</v>
      </c>
      <c r="F1806" s="336">
        <v>4.5999999999999996</v>
      </c>
      <c r="G1806" s="411">
        <f t="shared" si="205"/>
        <v>1.9999999999999574E-2</v>
      </c>
      <c r="H1806" s="115"/>
      <c r="I1806" s="244"/>
      <c r="J1806" s="245"/>
      <c r="K1806" s="126"/>
      <c r="L1806" s="403">
        <f t="shared" si="206"/>
        <v>45604</v>
      </c>
      <c r="M1806" s="56" t="str">
        <f t="shared" si="207"/>
        <v>FRI</v>
      </c>
      <c r="O1806" s="384">
        <v>4</v>
      </c>
      <c r="P1806" s="392">
        <f t="shared" si="202"/>
        <v>1.0005111111111111</v>
      </c>
    </row>
    <row r="1807" spans="1:18">
      <c r="B1807" s="41"/>
      <c r="C1807" s="403">
        <f t="shared" si="203"/>
        <v>45605</v>
      </c>
      <c r="D1807" s="56" t="str">
        <f>VLOOKUP(MOD(C1807,7),'CALENDAR INFO'!$G$5:$H$11,2)</f>
        <v>SAT</v>
      </c>
      <c r="E1807" s="165">
        <v>4.58</v>
      </c>
      <c r="F1807" s="336">
        <v>4.5999999999999996</v>
      </c>
      <c r="G1807" s="411">
        <f t="shared" si="205"/>
        <v>1.9999999999999574E-2</v>
      </c>
      <c r="H1807" s="15" t="s">
        <v>222</v>
      </c>
      <c r="I1807" s="147">
        <f ca="1">100-I1805</f>
        <v>95.361666666666665</v>
      </c>
      <c r="J1807" s="326">
        <f ca="1">100-J1805</f>
        <v>95.36033333333333</v>
      </c>
      <c r="K1807" s="126"/>
      <c r="L1807" s="403">
        <f t="shared" si="206"/>
        <v>45605</v>
      </c>
      <c r="M1807" s="56" t="str">
        <f t="shared" si="207"/>
        <v>SAT</v>
      </c>
      <c r="O1807" s="253">
        <f>IF(MOD(C1807,7)&lt;2,0,IF(MOD(C1807,7)=6,3,1))</f>
        <v>0</v>
      </c>
      <c r="P1807" s="392">
        <f t="shared" si="202"/>
        <v>1</v>
      </c>
    </row>
    <row r="1808" spans="1:18">
      <c r="B1808" s="41"/>
      <c r="C1808" s="403">
        <f t="shared" si="203"/>
        <v>45606</v>
      </c>
      <c r="D1808" s="56" t="str">
        <f>VLOOKUP(MOD(C1808,7),'CALENDAR INFO'!$G$5:$H$11,2)</f>
        <v>SUN</v>
      </c>
      <c r="E1808" s="165">
        <v>4.58</v>
      </c>
      <c r="F1808" s="336">
        <v>4.5999999999999996</v>
      </c>
      <c r="G1808" s="411">
        <f t="shared" si="205"/>
        <v>1.9999999999999574E-2</v>
      </c>
      <c r="I1808" s="137"/>
      <c r="J1808" s="150"/>
      <c r="K1808" s="126"/>
      <c r="L1808" s="403">
        <f t="shared" si="206"/>
        <v>45606</v>
      </c>
      <c r="M1808" s="56" t="str">
        <f t="shared" si="207"/>
        <v>SUN</v>
      </c>
      <c r="O1808" s="253">
        <f>IF(MOD(C1808,7)&lt;2,0,IF(MOD(C1808,7)=6,3,1))</f>
        <v>0</v>
      </c>
      <c r="P1808" s="392">
        <f t="shared" si="202"/>
        <v>1</v>
      </c>
    </row>
    <row r="1809" spans="2:18">
      <c r="B1809" s="41"/>
      <c r="C1809" s="403">
        <f t="shared" si="203"/>
        <v>45607</v>
      </c>
      <c r="D1809" s="56" t="str">
        <f>VLOOKUP(MOD(C1809,7),'CALENDAR INFO'!$G$5:$H$11,2)</f>
        <v>MON</v>
      </c>
      <c r="E1809" s="165">
        <v>4.58</v>
      </c>
      <c r="F1809" s="336">
        <v>4.5999999999999996</v>
      </c>
      <c r="G1809" s="411">
        <f t="shared" si="205"/>
        <v>1.9999999999999574E-2</v>
      </c>
      <c r="I1809" s="115"/>
      <c r="J1809" s="159"/>
      <c r="K1809" s="126"/>
      <c r="L1809" s="403">
        <f t="shared" si="206"/>
        <v>45607</v>
      </c>
      <c r="M1809" s="56" t="str">
        <f t="shared" si="207"/>
        <v>MON</v>
      </c>
      <c r="N1809" s="132" t="s">
        <v>172</v>
      </c>
      <c r="O1809" s="384">
        <v>0</v>
      </c>
      <c r="P1809" s="392">
        <f t="shared" si="202"/>
        <v>1</v>
      </c>
    </row>
    <row r="1810" spans="2:18">
      <c r="B1810" s="41"/>
      <c r="C1810" s="403">
        <f t="shared" si="203"/>
        <v>45608</v>
      </c>
      <c r="D1810" s="56" t="str">
        <f>VLOOKUP(MOD(C1810,7),'CALENDAR INFO'!$G$5:$H$11,2)</f>
        <v>TUE</v>
      </c>
      <c r="E1810" s="165">
        <v>4.58</v>
      </c>
      <c r="F1810" s="336">
        <v>4.5999999999999996</v>
      </c>
      <c r="G1810" s="411">
        <f t="shared" si="205"/>
        <v>1.9999999999999574E-2</v>
      </c>
      <c r="I1810" s="115"/>
      <c r="J1810" s="159"/>
      <c r="K1810" s="126"/>
      <c r="L1810" s="403">
        <f t="shared" si="206"/>
        <v>45608</v>
      </c>
      <c r="M1810" s="56" t="str">
        <f t="shared" si="207"/>
        <v>TUE</v>
      </c>
      <c r="O1810" s="253">
        <f t="shared" ref="O1810:O1824" si="208">IF(MOD(C1810,7)&lt;2,0,IF(MOD(C1810,7)=6,3,1))</f>
        <v>1</v>
      </c>
      <c r="P1810" s="392">
        <f t="shared" si="202"/>
        <v>1.0001277777777777</v>
      </c>
    </row>
    <row r="1811" spans="2:18">
      <c r="B1811" s="41"/>
      <c r="C1811" s="403">
        <f t="shared" si="203"/>
        <v>45609</v>
      </c>
      <c r="D1811" s="56" t="str">
        <f>VLOOKUP(MOD(C1811,7),'CALENDAR INFO'!$G$5:$H$11,2)</f>
        <v>WED</v>
      </c>
      <c r="E1811" s="165">
        <v>4.58</v>
      </c>
      <c r="F1811" s="336">
        <v>4.59</v>
      </c>
      <c r="G1811" s="411">
        <f t="shared" si="205"/>
        <v>9.9999999999997868E-3</v>
      </c>
      <c r="I1811" s="115"/>
      <c r="J1811" s="159"/>
      <c r="K1811" s="126" t="s">
        <v>19</v>
      </c>
      <c r="L1811" s="403">
        <f t="shared" si="206"/>
        <v>45609</v>
      </c>
      <c r="M1811" s="56" t="str">
        <f t="shared" si="207"/>
        <v>WED</v>
      </c>
      <c r="O1811" s="253">
        <f t="shared" si="208"/>
        <v>1</v>
      </c>
      <c r="P1811" s="392">
        <f t="shared" ref="P1811:P1874" si="209">1+(O1811/360)*(MAX(F1811,B1811)/100)</f>
        <v>1.0001275000000001</v>
      </c>
    </row>
    <row r="1812" spans="2:18">
      <c r="B1812" s="41"/>
      <c r="C1812" s="403">
        <f t="shared" si="203"/>
        <v>45610</v>
      </c>
      <c r="D1812" s="56" t="str">
        <f>VLOOKUP(MOD(C1812,7),'CALENDAR INFO'!$G$5:$H$11,2)</f>
        <v>THU</v>
      </c>
      <c r="E1812" s="165">
        <v>4.58</v>
      </c>
      <c r="F1812" s="336">
        <v>4.58</v>
      </c>
      <c r="G1812" s="411">
        <f t="shared" si="205"/>
        <v>0</v>
      </c>
      <c r="H1812" s="115"/>
      <c r="I1812" s="228"/>
      <c r="J1812" s="229"/>
      <c r="K1812" s="129" t="s">
        <v>18</v>
      </c>
      <c r="L1812" s="403">
        <f t="shared" si="206"/>
        <v>45610</v>
      </c>
      <c r="M1812" s="56" t="str">
        <f t="shared" si="207"/>
        <v>THU</v>
      </c>
      <c r="O1812" s="253">
        <f t="shared" si="208"/>
        <v>1</v>
      </c>
      <c r="P1812" s="392">
        <f t="shared" si="209"/>
        <v>1.0001272222222222</v>
      </c>
    </row>
    <row r="1813" spans="2:18">
      <c r="B1813" s="41"/>
      <c r="C1813" s="403">
        <f t="shared" si="203"/>
        <v>45611</v>
      </c>
      <c r="D1813" s="56" t="str">
        <f>VLOOKUP(MOD(C1813,7),'CALENDAR INFO'!$G$5:$H$11,2)</f>
        <v>FRI</v>
      </c>
      <c r="E1813" s="165">
        <v>4.58</v>
      </c>
      <c r="F1813" s="336">
        <v>4.57</v>
      </c>
      <c r="G1813" s="411">
        <f t="shared" si="205"/>
        <v>-9.9999999999997868E-3</v>
      </c>
      <c r="H1813" s="115"/>
      <c r="I1813" s="228"/>
      <c r="J1813" s="229"/>
      <c r="K1813" s="129"/>
      <c r="L1813" s="403">
        <f t="shared" si="206"/>
        <v>45611</v>
      </c>
      <c r="M1813" s="56" t="str">
        <f t="shared" si="207"/>
        <v>FRI</v>
      </c>
      <c r="O1813" s="253">
        <f t="shared" si="208"/>
        <v>3</v>
      </c>
      <c r="P1813" s="392">
        <f t="shared" si="209"/>
        <v>1.0003808333333333</v>
      </c>
    </row>
    <row r="1814" spans="2:18">
      <c r="B1814" s="41"/>
      <c r="C1814" s="403">
        <f t="shared" si="203"/>
        <v>45612</v>
      </c>
      <c r="D1814" s="56" t="str">
        <f>VLOOKUP(MOD(C1814,7),'CALENDAR INFO'!$G$5:$H$11,2)</f>
        <v>SAT</v>
      </c>
      <c r="E1814" s="165">
        <v>4.58</v>
      </c>
      <c r="F1814" s="336">
        <v>4.57</v>
      </c>
      <c r="G1814" s="411">
        <f t="shared" si="205"/>
        <v>-9.9999999999997868E-3</v>
      </c>
      <c r="H1814" s="115"/>
      <c r="I1814" s="228"/>
      <c r="J1814" s="242"/>
      <c r="K1814" s="129"/>
      <c r="L1814" s="403">
        <f t="shared" si="206"/>
        <v>45612</v>
      </c>
      <c r="M1814" s="56" t="str">
        <f t="shared" si="207"/>
        <v>SAT</v>
      </c>
      <c r="O1814" s="253">
        <f t="shared" si="208"/>
        <v>0</v>
      </c>
      <c r="P1814" s="392">
        <f t="shared" si="209"/>
        <v>1</v>
      </c>
    </row>
    <row r="1815" spans="2:18">
      <c r="B1815" s="41"/>
      <c r="C1815" s="403">
        <f t="shared" si="203"/>
        <v>45613</v>
      </c>
      <c r="D1815" s="56" t="str">
        <f>VLOOKUP(MOD(C1815,7),'CALENDAR INFO'!$G$5:$H$11,2)</f>
        <v>SUN</v>
      </c>
      <c r="E1815" s="165">
        <v>4.58</v>
      </c>
      <c r="F1815" s="336">
        <v>4.57</v>
      </c>
      <c r="G1815" s="411">
        <f t="shared" si="205"/>
        <v>-9.9999999999997868E-3</v>
      </c>
      <c r="I1815" s="115"/>
      <c r="J1815" s="159"/>
      <c r="K1815" s="129"/>
      <c r="L1815" s="403">
        <f t="shared" si="206"/>
        <v>45613</v>
      </c>
      <c r="M1815" s="56" t="str">
        <f t="shared" si="207"/>
        <v>SUN</v>
      </c>
      <c r="O1815" s="253">
        <f t="shared" si="208"/>
        <v>0</v>
      </c>
      <c r="P1815" s="392">
        <f t="shared" si="209"/>
        <v>1</v>
      </c>
    </row>
    <row r="1816" spans="2:18">
      <c r="B1816" s="41"/>
      <c r="C1816" s="403">
        <f t="shared" si="203"/>
        <v>45614</v>
      </c>
      <c r="D1816" s="56" t="str">
        <f>VLOOKUP(MOD(C1816,7),'CALENDAR INFO'!$G$5:$H$11,2)</f>
        <v>MON</v>
      </c>
      <c r="E1816" s="165">
        <v>4.58</v>
      </c>
      <c r="F1816" s="336">
        <v>4.57</v>
      </c>
      <c r="G1816" s="411">
        <f t="shared" si="205"/>
        <v>-9.9999999999997868E-3</v>
      </c>
      <c r="H1816" s="115"/>
      <c r="I1816" s="139"/>
      <c r="J1816" s="151"/>
      <c r="K1816" s="129"/>
      <c r="L1816" s="403">
        <f t="shared" si="206"/>
        <v>45614</v>
      </c>
      <c r="M1816" s="56" t="str">
        <f t="shared" si="207"/>
        <v>MON</v>
      </c>
      <c r="O1816" s="253">
        <f t="shared" si="208"/>
        <v>1</v>
      </c>
      <c r="P1816" s="392">
        <f t="shared" si="209"/>
        <v>1.0001269444444445</v>
      </c>
    </row>
    <row r="1817" spans="2:18">
      <c r="B1817" s="41"/>
      <c r="C1817" s="403">
        <f t="shared" si="203"/>
        <v>45615</v>
      </c>
      <c r="D1817" s="56" t="str">
        <f>VLOOKUP(MOD(C1817,7),'CALENDAR INFO'!$G$5:$H$11,2)</f>
        <v>TUE</v>
      </c>
      <c r="E1817" s="165">
        <v>4.58</v>
      </c>
      <c r="F1817" s="336">
        <v>4.57</v>
      </c>
      <c r="G1817" s="411">
        <f t="shared" si="205"/>
        <v>-9.9999999999997868E-3</v>
      </c>
      <c r="H1817" s="115"/>
      <c r="I1817" s="241"/>
      <c r="J1817" s="243"/>
      <c r="K1817" s="129"/>
      <c r="L1817" s="403">
        <f t="shared" si="206"/>
        <v>45615</v>
      </c>
      <c r="M1817" s="56" t="str">
        <f t="shared" si="207"/>
        <v>TUE</v>
      </c>
      <c r="O1817" s="253">
        <f t="shared" si="208"/>
        <v>1</v>
      </c>
      <c r="P1817" s="392">
        <f t="shared" si="209"/>
        <v>1.0001269444444445</v>
      </c>
    </row>
    <row r="1818" spans="2:18">
      <c r="B1818" s="41"/>
      <c r="C1818" s="403">
        <f t="shared" si="203"/>
        <v>45616</v>
      </c>
      <c r="D1818" s="56" t="str">
        <f>VLOOKUP(MOD(C1818,7),'CALENDAR INFO'!$G$5:$H$11,2)</f>
        <v>WED</v>
      </c>
      <c r="E1818" s="165">
        <v>4.58</v>
      </c>
      <c r="F1818" s="336">
        <v>4.5599999999999996</v>
      </c>
      <c r="G1818" s="411">
        <f t="shared" si="205"/>
        <v>-2.0000000000000462E-2</v>
      </c>
      <c r="H1818" s="115"/>
      <c r="I1818" s="137"/>
      <c r="J1818" s="150"/>
      <c r="K1818" s="129"/>
      <c r="L1818" s="403">
        <f t="shared" si="206"/>
        <v>45616</v>
      </c>
      <c r="M1818" s="56" t="str">
        <f t="shared" si="207"/>
        <v>WED</v>
      </c>
      <c r="O1818" s="253">
        <f t="shared" si="208"/>
        <v>1</v>
      </c>
      <c r="P1818" s="392">
        <f t="shared" si="209"/>
        <v>1.0001266666666666</v>
      </c>
    </row>
    <row r="1819" spans="2:18">
      <c r="B1819" s="41"/>
      <c r="C1819" s="403">
        <f t="shared" si="203"/>
        <v>45617</v>
      </c>
      <c r="D1819" s="56" t="str">
        <f>VLOOKUP(MOD(C1819,7),'CALENDAR INFO'!$G$5:$H$11,2)</f>
        <v>THU</v>
      </c>
      <c r="E1819" s="165">
        <v>4.58</v>
      </c>
      <c r="F1819" s="336">
        <v>4.57</v>
      </c>
      <c r="G1819" s="411">
        <f t="shared" si="205"/>
        <v>-9.9999999999997868E-3</v>
      </c>
      <c r="I1819" s="171"/>
      <c r="J1819" s="172"/>
      <c r="K1819" s="129"/>
      <c r="L1819" s="403">
        <f t="shared" si="206"/>
        <v>45617</v>
      </c>
      <c r="M1819" s="56" t="str">
        <f t="shared" si="207"/>
        <v>THU</v>
      </c>
      <c r="O1819" s="253">
        <f t="shared" si="208"/>
        <v>1</v>
      </c>
      <c r="P1819" s="392">
        <f t="shared" si="209"/>
        <v>1.0001269444444445</v>
      </c>
    </row>
    <row r="1820" spans="2:18">
      <c r="B1820" s="41"/>
      <c r="C1820" s="403">
        <f t="shared" si="203"/>
        <v>45618</v>
      </c>
      <c r="D1820" s="56" t="str">
        <f>VLOOKUP(MOD(C1820,7),'CALENDAR INFO'!$G$5:$H$11,2)</f>
        <v>FRI</v>
      </c>
      <c r="E1820" s="165">
        <v>4.58</v>
      </c>
      <c r="F1820" s="336">
        <v>4.57</v>
      </c>
      <c r="G1820" s="411">
        <f t="shared" si="205"/>
        <v>-9.9999999999997868E-3</v>
      </c>
      <c r="I1820" s="163"/>
      <c r="J1820" s="164"/>
      <c r="K1820" s="129"/>
      <c r="L1820" s="403">
        <f t="shared" si="206"/>
        <v>45618</v>
      </c>
      <c r="M1820" s="56" t="str">
        <f t="shared" si="207"/>
        <v>FRI</v>
      </c>
      <c r="O1820" s="253">
        <f t="shared" si="208"/>
        <v>3</v>
      </c>
      <c r="P1820" s="392">
        <f t="shared" si="209"/>
        <v>1.0003808333333333</v>
      </c>
    </row>
    <row r="1821" spans="2:18">
      <c r="B1821" s="41"/>
      <c r="C1821" s="403">
        <f t="shared" si="203"/>
        <v>45619</v>
      </c>
      <c r="D1821" s="56" t="str">
        <f>VLOOKUP(MOD(C1821,7),'CALENDAR INFO'!$G$5:$H$11,2)</f>
        <v>SAT</v>
      </c>
      <c r="E1821" s="165">
        <v>4.58</v>
      </c>
      <c r="F1821" s="336">
        <v>4.57</v>
      </c>
      <c r="G1821" s="411">
        <f t="shared" si="205"/>
        <v>-9.9999999999997868E-3</v>
      </c>
      <c r="H1821" s="115"/>
      <c r="I1821" s="137"/>
      <c r="J1821" s="150"/>
      <c r="K1821" s="129"/>
      <c r="L1821" s="403">
        <f t="shared" si="206"/>
        <v>45619</v>
      </c>
      <c r="M1821" s="56" t="str">
        <f t="shared" si="207"/>
        <v>SAT</v>
      </c>
      <c r="O1821" s="253">
        <f t="shared" si="208"/>
        <v>0</v>
      </c>
      <c r="P1821" s="392">
        <f t="shared" si="209"/>
        <v>1</v>
      </c>
    </row>
    <row r="1822" spans="2:18">
      <c r="B1822" s="41"/>
      <c r="C1822" s="403">
        <f t="shared" si="203"/>
        <v>45620</v>
      </c>
      <c r="D1822" s="56" t="str">
        <f>VLOOKUP(MOD(C1822,7),'CALENDAR INFO'!$G$5:$H$11,2)</f>
        <v>SUN</v>
      </c>
      <c r="E1822" s="165">
        <v>4.58</v>
      </c>
      <c r="F1822" s="336">
        <v>4.57</v>
      </c>
      <c r="G1822" s="411">
        <f t="shared" si="205"/>
        <v>-9.9999999999997868E-3</v>
      </c>
      <c r="I1822" s="137"/>
      <c r="J1822" s="150"/>
      <c r="K1822" s="129"/>
      <c r="L1822" s="403">
        <f t="shared" si="206"/>
        <v>45620</v>
      </c>
      <c r="M1822" s="56" t="str">
        <f t="shared" si="207"/>
        <v>SUN</v>
      </c>
      <c r="O1822" s="253">
        <f t="shared" si="208"/>
        <v>0</v>
      </c>
      <c r="P1822" s="392">
        <f t="shared" si="209"/>
        <v>1</v>
      </c>
    </row>
    <row r="1823" spans="2:18">
      <c r="B1823" s="41"/>
      <c r="C1823" s="403">
        <f t="shared" si="203"/>
        <v>45621</v>
      </c>
      <c r="D1823" s="56" t="str">
        <f>VLOOKUP(MOD(C1823,7),'CALENDAR INFO'!$G$5:$H$11,2)</f>
        <v>MON</v>
      </c>
      <c r="E1823" s="165">
        <v>4.58</v>
      </c>
      <c r="F1823" s="336">
        <v>4.58</v>
      </c>
      <c r="G1823" s="411">
        <f t="shared" si="205"/>
        <v>0</v>
      </c>
      <c r="H1823" s="115"/>
      <c r="I1823" s="137"/>
      <c r="J1823" s="158"/>
      <c r="K1823" s="129"/>
      <c r="L1823" s="403">
        <f t="shared" si="206"/>
        <v>45621</v>
      </c>
      <c r="M1823" s="56" t="str">
        <f t="shared" si="207"/>
        <v>MON</v>
      </c>
      <c r="O1823" s="253">
        <f t="shared" si="208"/>
        <v>1</v>
      </c>
      <c r="P1823" s="392">
        <f t="shared" si="209"/>
        <v>1.0001272222222222</v>
      </c>
      <c r="R1823" s="221"/>
    </row>
    <row r="1824" spans="2:18">
      <c r="B1824" s="41"/>
      <c r="C1824" s="403">
        <f t="shared" si="203"/>
        <v>45622</v>
      </c>
      <c r="D1824" s="56" t="str">
        <f>VLOOKUP(MOD(C1824,7),'CALENDAR INFO'!$G$5:$H$11,2)</f>
        <v>TUE</v>
      </c>
      <c r="E1824" s="165">
        <v>4.58</v>
      </c>
      <c r="F1824" s="336">
        <v>4.58</v>
      </c>
      <c r="G1824" s="411">
        <f t="shared" si="205"/>
        <v>0</v>
      </c>
      <c r="I1824" s="115"/>
      <c r="J1824" s="159"/>
      <c r="K1824" s="129"/>
      <c r="L1824" s="403">
        <f t="shared" si="206"/>
        <v>45622</v>
      </c>
      <c r="M1824" s="56" t="str">
        <f t="shared" si="207"/>
        <v>TUE</v>
      </c>
      <c r="O1824" s="253">
        <f t="shared" si="208"/>
        <v>1</v>
      </c>
      <c r="P1824" s="392">
        <f t="shared" si="209"/>
        <v>1.0001272222222222</v>
      </c>
      <c r="R1824" s="222"/>
    </row>
    <row r="1825" spans="1:18">
      <c r="B1825" s="41"/>
      <c r="C1825" s="403">
        <f t="shared" si="203"/>
        <v>45623</v>
      </c>
      <c r="D1825" s="56" t="str">
        <f>VLOOKUP(MOD(C1825,7),'CALENDAR INFO'!$G$5:$H$11,2)</f>
        <v>WED</v>
      </c>
      <c r="E1825" s="165">
        <v>4.58</v>
      </c>
      <c r="F1825" s="336">
        <v>4.57</v>
      </c>
      <c r="G1825" s="411">
        <f t="shared" si="205"/>
        <v>-9.9999999999997868E-3</v>
      </c>
      <c r="H1825" s="115"/>
      <c r="I1825" s="228"/>
      <c r="J1825" s="229"/>
      <c r="K1825" s="129" t="s">
        <v>19</v>
      </c>
      <c r="L1825" s="403">
        <f t="shared" si="206"/>
        <v>45623</v>
      </c>
      <c r="M1825" s="56" t="str">
        <f t="shared" si="207"/>
        <v>WED</v>
      </c>
      <c r="O1825" s="384">
        <v>2</v>
      </c>
      <c r="P1825" s="392">
        <f t="shared" si="209"/>
        <v>1.000253888888889</v>
      </c>
      <c r="R1825" s="222"/>
    </row>
    <row r="1826" spans="1:18">
      <c r="B1826" s="41"/>
      <c r="C1826" s="403">
        <f t="shared" si="203"/>
        <v>45624</v>
      </c>
      <c r="D1826" s="56" t="str">
        <f>VLOOKUP(MOD(C1826,7),'CALENDAR INFO'!$G$5:$H$11,2)</f>
        <v>THU</v>
      </c>
      <c r="E1826" s="165">
        <v>4.58</v>
      </c>
      <c r="F1826" s="336">
        <v>4.57</v>
      </c>
      <c r="G1826" s="411">
        <f t="shared" si="205"/>
        <v>-9.9999999999997868E-3</v>
      </c>
      <c r="H1826" s="115"/>
      <c r="I1826" s="141"/>
      <c r="J1826" s="158"/>
      <c r="K1826" s="227" t="s">
        <v>18</v>
      </c>
      <c r="L1826" s="403">
        <f t="shared" si="206"/>
        <v>45624</v>
      </c>
      <c r="M1826" s="56" t="str">
        <f t="shared" si="207"/>
        <v>THU</v>
      </c>
      <c r="N1826" s="132" t="s">
        <v>60</v>
      </c>
      <c r="O1826" s="384">
        <v>0</v>
      </c>
      <c r="P1826" s="392">
        <f t="shared" si="209"/>
        <v>1</v>
      </c>
    </row>
    <row r="1827" spans="1:18">
      <c r="B1827" s="41"/>
      <c r="C1827" s="403">
        <f t="shared" si="203"/>
        <v>45625</v>
      </c>
      <c r="D1827" s="56" t="str">
        <f>VLOOKUP(MOD(C1827,7),'CALENDAR INFO'!$G$5:$H$11,2)</f>
        <v>FRI</v>
      </c>
      <c r="E1827" s="165">
        <v>4.58</v>
      </c>
      <c r="F1827" s="336">
        <v>4.59</v>
      </c>
      <c r="G1827" s="411">
        <f t="shared" si="205"/>
        <v>9.9999999999997868E-3</v>
      </c>
      <c r="H1827" s="115"/>
      <c r="I1827" s="141"/>
      <c r="J1827" s="158"/>
      <c r="K1827" s="227"/>
      <c r="L1827" s="403">
        <f t="shared" si="206"/>
        <v>45625</v>
      </c>
      <c r="M1827" s="56" t="str">
        <f t="shared" si="207"/>
        <v>FRI</v>
      </c>
      <c r="O1827" s="253">
        <f t="shared" ref="O1827:O1851" si="210">IF(MOD(C1827,7)&lt;2,0,IF(MOD(C1827,7)=6,3,1))</f>
        <v>3</v>
      </c>
      <c r="P1827" s="392">
        <f t="shared" si="209"/>
        <v>1.0003825</v>
      </c>
    </row>
    <row r="1828" spans="1:18" ht="15.75" thickBot="1">
      <c r="A1828" s="81"/>
      <c r="B1828" s="178"/>
      <c r="C1828" s="404">
        <f t="shared" si="203"/>
        <v>45626</v>
      </c>
      <c r="D1828" s="64" t="str">
        <f>VLOOKUP(MOD(C1828,7),'CALENDAR INFO'!$G$5:$H$11,2)</f>
        <v>SAT</v>
      </c>
      <c r="E1828" s="166">
        <v>4.58</v>
      </c>
      <c r="F1828" s="337">
        <v>4.59</v>
      </c>
      <c r="G1828" s="412">
        <f t="shared" si="205"/>
        <v>9.9999999999997868E-3</v>
      </c>
      <c r="H1828" s="335"/>
      <c r="I1828" s="267"/>
      <c r="J1828" s="268"/>
      <c r="K1828" s="190"/>
      <c r="L1828" s="404">
        <f t="shared" si="206"/>
        <v>45626</v>
      </c>
      <c r="M1828" s="64" t="str">
        <f t="shared" si="207"/>
        <v>SAT</v>
      </c>
      <c r="N1828" s="90"/>
      <c r="O1828" s="383">
        <f t="shared" si="210"/>
        <v>0</v>
      </c>
      <c r="P1828" s="388">
        <f t="shared" si="209"/>
        <v>1</v>
      </c>
    </row>
    <row r="1829" spans="1:18">
      <c r="A1829" s="289"/>
      <c r="B1829" s="290"/>
      <c r="C1829" s="403">
        <f t="shared" si="203"/>
        <v>45627</v>
      </c>
      <c r="D1829" s="56" t="str">
        <f>VLOOKUP(MOD(C1829,7),'CALENDAR INFO'!$G$5:$H$11,2)</f>
        <v>SUN</v>
      </c>
      <c r="E1829" s="165">
        <v>4.58</v>
      </c>
      <c r="F1829" s="336">
        <v>4.59</v>
      </c>
      <c r="G1829" s="411">
        <f t="shared" si="205"/>
        <v>9.9999999999997868E-3</v>
      </c>
      <c r="H1829" s="15" t="s">
        <v>149</v>
      </c>
      <c r="I1829" s="15">
        <f>ROW(I1829)</f>
        <v>1829</v>
      </c>
      <c r="J1829" s="138">
        <f>I1829</f>
        <v>1829</v>
      </c>
      <c r="K1829" s="126"/>
      <c r="L1829" s="403">
        <f t="shared" si="206"/>
        <v>45627</v>
      </c>
      <c r="M1829" s="56" t="str">
        <f t="shared" si="207"/>
        <v>SUN</v>
      </c>
      <c r="O1829" s="386">
        <f t="shared" si="210"/>
        <v>0</v>
      </c>
      <c r="P1829" s="390">
        <f t="shared" si="209"/>
        <v>1</v>
      </c>
    </row>
    <row r="1830" spans="1:18">
      <c r="A1830" s="289"/>
      <c r="B1830" s="290"/>
      <c r="C1830" s="403">
        <f t="shared" si="203"/>
        <v>45628</v>
      </c>
      <c r="D1830" s="56" t="str">
        <f>VLOOKUP(MOD(C1830,7),'CALENDAR INFO'!$G$5:$H$11,2)</f>
        <v>MON</v>
      </c>
      <c r="E1830" s="165">
        <v>4.58</v>
      </c>
      <c r="F1830" s="336">
        <v>4.6399999999999997</v>
      </c>
      <c r="G1830" s="411">
        <f t="shared" si="205"/>
        <v>5.9999999999999609E-2</v>
      </c>
      <c r="H1830" s="376" t="s">
        <v>210</v>
      </c>
      <c r="I1830" s="15">
        <f>VLOOKUP(MONTH($C1829),'CALENDAR INFO'!$J$5:$K$16,2)</f>
        <v>31</v>
      </c>
      <c r="J1830" s="138">
        <f>I1830</f>
        <v>31</v>
      </c>
      <c r="K1830" s="126"/>
      <c r="L1830" s="403">
        <f t="shared" si="206"/>
        <v>45628</v>
      </c>
      <c r="M1830" s="56" t="str">
        <f t="shared" si="207"/>
        <v>MON</v>
      </c>
      <c r="O1830" s="253">
        <f t="shared" si="210"/>
        <v>1</v>
      </c>
      <c r="P1830" s="392">
        <f t="shared" si="209"/>
        <v>1.0001288888888888</v>
      </c>
    </row>
    <row r="1831" spans="1:18">
      <c r="A1831" s="289"/>
      <c r="B1831" s="290"/>
      <c r="C1831" s="403">
        <f t="shared" si="203"/>
        <v>45629</v>
      </c>
      <c r="D1831" s="56" t="str">
        <f>VLOOKUP(MOD(C1831,7),'CALENDAR INFO'!$G$5:$H$11,2)</f>
        <v>TUE</v>
      </c>
      <c r="E1831" s="165">
        <v>4.58</v>
      </c>
      <c r="F1831" s="336">
        <v>4.6399999999999997</v>
      </c>
      <c r="G1831" s="411">
        <f t="shared" si="205"/>
        <v>5.9999999999999609E-2</v>
      </c>
      <c r="H1831" s="376" t="s">
        <v>211</v>
      </c>
      <c r="I1831" s="15">
        <f>I1830+I1829-1</f>
        <v>1859</v>
      </c>
      <c r="J1831" s="138">
        <f>I1831</f>
        <v>1859</v>
      </c>
      <c r="K1831" s="126"/>
      <c r="L1831" s="403">
        <f t="shared" si="206"/>
        <v>45629</v>
      </c>
      <c r="M1831" s="56" t="str">
        <f t="shared" si="207"/>
        <v>TUE</v>
      </c>
      <c r="O1831" s="253">
        <f t="shared" si="210"/>
        <v>1</v>
      </c>
      <c r="P1831" s="392">
        <f t="shared" si="209"/>
        <v>1.0001288888888888</v>
      </c>
    </row>
    <row r="1832" spans="1:18">
      <c r="A1832" s="289"/>
      <c r="B1832" s="290"/>
      <c r="C1832" s="403">
        <f t="shared" si="203"/>
        <v>45630</v>
      </c>
      <c r="D1832" s="56" t="str">
        <f>VLOOKUP(MOD(C1832,7),'CALENDAR INFO'!$G$5:$H$11,2)</f>
        <v>WED</v>
      </c>
      <c r="E1832" s="165">
        <v>4.58</v>
      </c>
      <c r="F1832" s="336">
        <v>4.59</v>
      </c>
      <c r="G1832" s="411">
        <f t="shared" si="205"/>
        <v>9.9999999999997868E-3</v>
      </c>
      <c r="K1832" s="126"/>
      <c r="L1832" s="403">
        <f t="shared" si="206"/>
        <v>45630</v>
      </c>
      <c r="M1832" s="56" t="str">
        <f t="shared" si="207"/>
        <v>WED</v>
      </c>
      <c r="O1832" s="253">
        <f t="shared" si="210"/>
        <v>1</v>
      </c>
      <c r="P1832" s="392">
        <f t="shared" si="209"/>
        <v>1.0001275000000001</v>
      </c>
    </row>
    <row r="1833" spans="1:18">
      <c r="A1833" s="289"/>
      <c r="B1833" s="290"/>
      <c r="C1833" s="403">
        <f t="shared" si="203"/>
        <v>45631</v>
      </c>
      <c r="D1833" s="56" t="str">
        <f>VLOOKUP(MOD(C1833,7),'CALENDAR INFO'!$G$5:$H$11,2)</f>
        <v>THU</v>
      </c>
      <c r="E1833" s="165">
        <v>4.58</v>
      </c>
      <c r="F1833" s="336">
        <v>4.59</v>
      </c>
      <c r="G1833" s="411">
        <f t="shared" si="205"/>
        <v>9.9999999999997868E-3</v>
      </c>
      <c r="H1833" s="15" t="s">
        <v>150</v>
      </c>
      <c r="I1833" s="137" t="str">
        <f>_xlfn.CONCAT(ADDRESS(I1829,5),":",ADDRESS(I1831,5))</f>
        <v>$E$1829:$E$1859</v>
      </c>
      <c r="J1833" s="150" t="str">
        <f>_xlfn.CONCAT(ADDRESS(J1829,6),":",ADDRESS(J1831,6))</f>
        <v>$F$1829:$F$1859</v>
      </c>
      <c r="K1833" s="126"/>
      <c r="L1833" s="403">
        <f t="shared" si="206"/>
        <v>45631</v>
      </c>
      <c r="M1833" s="56" t="str">
        <f t="shared" si="207"/>
        <v>THU</v>
      </c>
      <c r="O1833" s="253">
        <f t="shared" si="210"/>
        <v>1</v>
      </c>
      <c r="P1833" s="392">
        <f t="shared" si="209"/>
        <v>1.0001275000000001</v>
      </c>
    </row>
    <row r="1834" spans="1:18">
      <c r="A1834" s="289"/>
      <c r="B1834" s="290"/>
      <c r="C1834" s="403">
        <f t="shared" si="203"/>
        <v>45632</v>
      </c>
      <c r="D1834" s="56" t="str">
        <f>VLOOKUP(MOD(C1834,7),'CALENDAR INFO'!$G$5:$H$11,2)</f>
        <v>FRI</v>
      </c>
      <c r="E1834" s="165">
        <v>4.58</v>
      </c>
      <c r="F1834" s="336">
        <v>4.5999999999999996</v>
      </c>
      <c r="G1834" s="411">
        <f t="shared" si="205"/>
        <v>1.9999999999999574E-2</v>
      </c>
      <c r="K1834" s="126"/>
      <c r="L1834" s="403">
        <f t="shared" si="206"/>
        <v>45632</v>
      </c>
      <c r="M1834" s="56" t="str">
        <f t="shared" si="207"/>
        <v>FRI</v>
      </c>
      <c r="O1834" s="253">
        <f t="shared" si="210"/>
        <v>3</v>
      </c>
      <c r="P1834" s="392">
        <f t="shared" si="209"/>
        <v>1.0003833333333334</v>
      </c>
    </row>
    <row r="1835" spans="1:18">
      <c r="A1835" s="289"/>
      <c r="B1835" s="290"/>
      <c r="C1835" s="403">
        <f t="shared" si="203"/>
        <v>45633</v>
      </c>
      <c r="D1835" s="56" t="str">
        <f>VLOOKUP(MOD(C1835,7),'CALENDAR INFO'!$G$5:$H$11,2)</f>
        <v>SAT</v>
      </c>
      <c r="E1835" s="165">
        <v>4.58</v>
      </c>
      <c r="F1835" s="336">
        <v>4.5999999999999996</v>
      </c>
      <c r="G1835" s="411">
        <f t="shared" si="205"/>
        <v>1.9999999999999574E-2</v>
      </c>
      <c r="H1835" s="376" t="s">
        <v>221</v>
      </c>
      <c r="I1835" s="147">
        <f ca="1">AVERAGE(INDIRECT(I1833))</f>
        <v>4.4751612903225801</v>
      </c>
      <c r="J1835" s="326">
        <f ca="1">AVERAGE(INDIRECT(J1833))</f>
        <v>4.5187096774193556</v>
      </c>
      <c r="K1835" s="126"/>
      <c r="L1835" s="403">
        <f t="shared" si="206"/>
        <v>45633</v>
      </c>
      <c r="M1835" s="56" t="str">
        <f t="shared" si="207"/>
        <v>SAT</v>
      </c>
      <c r="O1835" s="253">
        <f t="shared" si="210"/>
        <v>0</v>
      </c>
      <c r="P1835" s="392">
        <f t="shared" si="209"/>
        <v>1</v>
      </c>
    </row>
    <row r="1836" spans="1:18">
      <c r="A1836" s="289"/>
      <c r="B1836" s="290"/>
      <c r="C1836" s="403">
        <f t="shared" si="203"/>
        <v>45634</v>
      </c>
      <c r="D1836" s="56" t="str">
        <f>VLOOKUP(MOD(C1836,7),'CALENDAR INFO'!$G$5:$H$11,2)</f>
        <v>SUN</v>
      </c>
      <c r="E1836" s="165">
        <v>4.58</v>
      </c>
      <c r="F1836" s="336">
        <v>4.5999999999999996</v>
      </c>
      <c r="G1836" s="411">
        <f t="shared" si="205"/>
        <v>1.9999999999999574E-2</v>
      </c>
      <c r="H1836" s="115"/>
      <c r="I1836" s="244"/>
      <c r="J1836" s="245"/>
      <c r="K1836" s="126"/>
      <c r="L1836" s="403">
        <f t="shared" si="206"/>
        <v>45634</v>
      </c>
      <c r="M1836" s="56" t="str">
        <f t="shared" si="207"/>
        <v>SUN</v>
      </c>
      <c r="O1836" s="253">
        <f t="shared" si="210"/>
        <v>0</v>
      </c>
      <c r="P1836" s="392">
        <f t="shared" si="209"/>
        <v>1</v>
      </c>
    </row>
    <row r="1837" spans="1:18">
      <c r="A1837" s="289"/>
      <c r="B1837" s="290"/>
      <c r="C1837" s="403">
        <f t="shared" si="203"/>
        <v>45635</v>
      </c>
      <c r="D1837" s="56" t="str">
        <f>VLOOKUP(MOD(C1837,7),'CALENDAR INFO'!$G$5:$H$11,2)</f>
        <v>MON</v>
      </c>
      <c r="E1837" s="165">
        <v>4.58</v>
      </c>
      <c r="F1837" s="336">
        <v>4.63</v>
      </c>
      <c r="G1837" s="411">
        <f t="shared" si="205"/>
        <v>4.9999999999999822E-2</v>
      </c>
      <c r="H1837" s="15" t="s">
        <v>222</v>
      </c>
      <c r="I1837" s="147">
        <f ca="1">100-I1835</f>
        <v>95.524838709677425</v>
      </c>
      <c r="J1837" s="326">
        <f ca="1">100-J1835</f>
        <v>95.481290322580648</v>
      </c>
      <c r="K1837" s="126"/>
      <c r="L1837" s="403">
        <f t="shared" si="206"/>
        <v>45635</v>
      </c>
      <c r="M1837" s="56" t="str">
        <f t="shared" si="207"/>
        <v>MON</v>
      </c>
      <c r="O1837" s="253">
        <f t="shared" si="210"/>
        <v>1</v>
      </c>
      <c r="P1837" s="392">
        <f t="shared" si="209"/>
        <v>1.0001286111111112</v>
      </c>
    </row>
    <row r="1838" spans="1:18">
      <c r="A1838" s="289"/>
      <c r="B1838" s="290"/>
      <c r="C1838" s="403">
        <f t="shared" si="203"/>
        <v>45636</v>
      </c>
      <c r="D1838" s="56" t="str">
        <f>VLOOKUP(MOD(C1838,7),'CALENDAR INFO'!$G$5:$H$11,2)</f>
        <v>TUE</v>
      </c>
      <c r="E1838" s="165">
        <v>4.58</v>
      </c>
      <c r="F1838" s="336">
        <v>4.6399999999999997</v>
      </c>
      <c r="G1838" s="411">
        <f t="shared" si="205"/>
        <v>5.9999999999999609E-2</v>
      </c>
      <c r="I1838" s="137"/>
      <c r="J1838" s="150"/>
      <c r="K1838" s="126"/>
      <c r="L1838" s="403">
        <f t="shared" si="206"/>
        <v>45636</v>
      </c>
      <c r="M1838" s="56" t="str">
        <f t="shared" si="207"/>
        <v>TUE</v>
      </c>
      <c r="O1838" s="253">
        <f t="shared" si="210"/>
        <v>1</v>
      </c>
      <c r="P1838" s="392">
        <f t="shared" si="209"/>
        <v>1.0001288888888888</v>
      </c>
      <c r="R1838" s="221"/>
    </row>
    <row r="1839" spans="1:18">
      <c r="A1839" s="289"/>
      <c r="B1839" s="290"/>
      <c r="C1839" s="403">
        <f t="shared" si="203"/>
        <v>45637</v>
      </c>
      <c r="D1839" s="56" t="str">
        <f>VLOOKUP(MOD(C1839,7),'CALENDAR INFO'!$G$5:$H$11,2)</f>
        <v>WED</v>
      </c>
      <c r="E1839" s="165">
        <v>4.58</v>
      </c>
      <c r="F1839" s="336">
        <v>4.62</v>
      </c>
      <c r="G1839" s="411">
        <f t="shared" si="205"/>
        <v>4.0000000000000036E-2</v>
      </c>
      <c r="I1839" s="115"/>
      <c r="J1839" s="159"/>
      <c r="K1839" s="126" t="s">
        <v>19</v>
      </c>
      <c r="L1839" s="403">
        <f t="shared" si="206"/>
        <v>45637</v>
      </c>
      <c r="M1839" s="56" t="str">
        <f t="shared" si="207"/>
        <v>WED</v>
      </c>
      <c r="O1839" s="253">
        <f t="shared" si="210"/>
        <v>1</v>
      </c>
      <c r="P1839" s="392">
        <f t="shared" si="209"/>
        <v>1.0001283333333333</v>
      </c>
      <c r="R1839" s="222"/>
    </row>
    <row r="1840" spans="1:18">
      <c r="A1840" s="289"/>
      <c r="B1840" s="290"/>
      <c r="C1840" s="403">
        <f t="shared" si="203"/>
        <v>45638</v>
      </c>
      <c r="D1840" s="56" t="str">
        <f>VLOOKUP(MOD(C1840,7),'CALENDAR INFO'!$G$5:$H$11,2)</f>
        <v>THU</v>
      </c>
      <c r="E1840" s="165">
        <v>4.58</v>
      </c>
      <c r="F1840" s="336">
        <v>4.62</v>
      </c>
      <c r="G1840" s="411">
        <f t="shared" si="205"/>
        <v>4.0000000000000036E-2</v>
      </c>
      <c r="I1840" s="115"/>
      <c r="J1840" s="159"/>
      <c r="K1840" s="129" t="s">
        <v>18</v>
      </c>
      <c r="L1840" s="403">
        <f t="shared" si="206"/>
        <v>45638</v>
      </c>
      <c r="M1840" s="56" t="str">
        <f t="shared" si="207"/>
        <v>THU</v>
      </c>
      <c r="O1840" s="253">
        <f t="shared" si="210"/>
        <v>1</v>
      </c>
      <c r="P1840" s="392">
        <f t="shared" si="209"/>
        <v>1.0001283333333333</v>
      </c>
    </row>
    <row r="1841" spans="1:18">
      <c r="A1841" s="289"/>
      <c r="B1841" s="290"/>
      <c r="C1841" s="403">
        <f t="shared" si="203"/>
        <v>45639</v>
      </c>
      <c r="D1841" s="56" t="str">
        <f>VLOOKUP(MOD(C1841,7),'CALENDAR INFO'!$G$5:$H$11,2)</f>
        <v>FRI</v>
      </c>
      <c r="E1841" s="165">
        <v>4.58</v>
      </c>
      <c r="F1841" s="336">
        <v>4.5999999999999996</v>
      </c>
      <c r="G1841" s="411">
        <f t="shared" si="205"/>
        <v>1.9999999999999574E-2</v>
      </c>
      <c r="I1841" s="115"/>
      <c r="J1841" s="159"/>
      <c r="K1841" s="129"/>
      <c r="L1841" s="403">
        <f t="shared" si="206"/>
        <v>45639</v>
      </c>
      <c r="M1841" s="56" t="str">
        <f t="shared" si="207"/>
        <v>FRI</v>
      </c>
      <c r="O1841" s="253">
        <f t="shared" si="210"/>
        <v>3</v>
      </c>
      <c r="P1841" s="392">
        <f t="shared" si="209"/>
        <v>1.0003833333333334</v>
      </c>
    </row>
    <row r="1842" spans="1:18">
      <c r="A1842" s="289"/>
      <c r="B1842" s="290"/>
      <c r="C1842" s="403">
        <f t="shared" si="203"/>
        <v>45640</v>
      </c>
      <c r="D1842" s="56" t="str">
        <f>VLOOKUP(MOD(C1842,7),'CALENDAR INFO'!$G$5:$H$11,2)</f>
        <v>SAT</v>
      </c>
      <c r="E1842" s="165">
        <v>4.58</v>
      </c>
      <c r="F1842" s="336">
        <v>4.5999999999999996</v>
      </c>
      <c r="G1842" s="411">
        <f t="shared" si="205"/>
        <v>1.9999999999999574E-2</v>
      </c>
      <c r="I1842" s="115"/>
      <c r="J1842" s="159"/>
      <c r="K1842" s="129"/>
      <c r="L1842" s="403">
        <f t="shared" si="206"/>
        <v>45640</v>
      </c>
      <c r="M1842" s="56" t="str">
        <f t="shared" si="207"/>
        <v>SAT</v>
      </c>
      <c r="O1842" s="253">
        <f t="shared" si="210"/>
        <v>0</v>
      </c>
      <c r="P1842" s="392">
        <f t="shared" si="209"/>
        <v>1</v>
      </c>
    </row>
    <row r="1843" spans="1:18">
      <c r="A1843" s="289"/>
      <c r="B1843" s="290"/>
      <c r="C1843" s="403">
        <f t="shared" si="203"/>
        <v>45641</v>
      </c>
      <c r="D1843" s="56" t="str">
        <f>VLOOKUP(MOD(C1843,7),'CALENDAR INFO'!$G$5:$H$11,2)</f>
        <v>SUN</v>
      </c>
      <c r="E1843" s="165">
        <v>4.58</v>
      </c>
      <c r="F1843" s="336">
        <v>4.5999999999999996</v>
      </c>
      <c r="G1843" s="411">
        <f t="shared" si="205"/>
        <v>1.9999999999999574E-2</v>
      </c>
      <c r="H1843" s="115"/>
      <c r="I1843" s="240"/>
      <c r="J1843" s="157"/>
      <c r="K1843" s="129"/>
      <c r="L1843" s="403">
        <f t="shared" si="206"/>
        <v>45641</v>
      </c>
      <c r="M1843" s="56" t="str">
        <f t="shared" si="207"/>
        <v>SUN</v>
      </c>
      <c r="O1843" s="253">
        <f t="shared" si="210"/>
        <v>0</v>
      </c>
      <c r="P1843" s="392">
        <f t="shared" si="209"/>
        <v>1</v>
      </c>
    </row>
    <row r="1844" spans="1:18">
      <c r="A1844" s="289"/>
      <c r="B1844" s="290"/>
      <c r="C1844" s="403">
        <f t="shared" si="203"/>
        <v>45642</v>
      </c>
      <c r="D1844" s="56" t="str">
        <f>VLOOKUP(MOD(C1844,7),'CALENDAR INFO'!$G$5:$H$11,2)</f>
        <v>MON</v>
      </c>
      <c r="E1844" s="165">
        <v>4.58</v>
      </c>
      <c r="F1844" s="336">
        <v>4.6500000000000004</v>
      </c>
      <c r="G1844" s="411">
        <f t="shared" si="205"/>
        <v>7.0000000000000284E-2</v>
      </c>
      <c r="I1844" s="240"/>
      <c r="J1844" s="157"/>
      <c r="K1844" s="129"/>
      <c r="L1844" s="403">
        <f t="shared" si="206"/>
        <v>45642</v>
      </c>
      <c r="M1844" s="56" t="str">
        <f t="shared" si="207"/>
        <v>MON</v>
      </c>
      <c r="O1844" s="253">
        <f t="shared" si="210"/>
        <v>1</v>
      </c>
      <c r="P1844" s="392">
        <f t="shared" si="209"/>
        <v>1.0001291666666667</v>
      </c>
    </row>
    <row r="1845" spans="1:18">
      <c r="A1845" s="289"/>
      <c r="B1845" s="290"/>
      <c r="C1845" s="403">
        <f t="shared" ref="C1845:C1858" si="211">C1844+1</f>
        <v>45643</v>
      </c>
      <c r="D1845" s="56" t="str">
        <f>VLOOKUP(MOD(C1845,7),'CALENDAR INFO'!$G$5:$H$11,2)</f>
        <v>TUE</v>
      </c>
      <c r="E1845" s="165">
        <v>4.58</v>
      </c>
      <c r="F1845" s="336">
        <v>4.62</v>
      </c>
      <c r="G1845" s="411">
        <f t="shared" si="205"/>
        <v>4.0000000000000036E-2</v>
      </c>
      <c r="I1845" s="137"/>
      <c r="J1845" s="150"/>
      <c r="K1845" s="129"/>
      <c r="L1845" s="403">
        <f t="shared" si="206"/>
        <v>45643</v>
      </c>
      <c r="M1845" s="56" t="str">
        <f t="shared" si="207"/>
        <v>TUE</v>
      </c>
      <c r="N1845" s="116" t="s">
        <v>20</v>
      </c>
      <c r="O1845" s="253">
        <f t="shared" si="210"/>
        <v>1</v>
      </c>
      <c r="P1845" s="392">
        <f t="shared" si="209"/>
        <v>1.0001283333333333</v>
      </c>
    </row>
    <row r="1846" spans="1:18">
      <c r="A1846" s="289"/>
      <c r="B1846" s="290"/>
      <c r="C1846" s="403">
        <f t="shared" si="211"/>
        <v>45644</v>
      </c>
      <c r="D1846" s="56" t="str">
        <f>VLOOKUP(MOD(C1846,7),'CALENDAR INFO'!$G$5:$H$11,2)</f>
        <v>WED</v>
      </c>
      <c r="E1846" s="165">
        <v>4.58</v>
      </c>
      <c r="F1846" s="336">
        <v>4.57</v>
      </c>
      <c r="G1846" s="411">
        <f t="shared" si="205"/>
        <v>-9.9999999999997868E-3</v>
      </c>
      <c r="H1846" s="115"/>
      <c r="I1846" s="139"/>
      <c r="J1846" s="151"/>
      <c r="K1846" s="129"/>
      <c r="L1846" s="403">
        <f t="shared" si="206"/>
        <v>45644</v>
      </c>
      <c r="M1846" s="56" t="str">
        <f t="shared" si="207"/>
        <v>WED</v>
      </c>
      <c r="N1846" s="116" t="s">
        <v>20</v>
      </c>
      <c r="O1846" s="253">
        <f t="shared" si="210"/>
        <v>1</v>
      </c>
      <c r="P1846" s="392">
        <f t="shared" si="209"/>
        <v>1.0001269444444445</v>
      </c>
    </row>
    <row r="1847" spans="1:18">
      <c r="B1847" s="41"/>
      <c r="C1847" s="403">
        <f t="shared" si="211"/>
        <v>45645</v>
      </c>
      <c r="D1847" s="56" t="str">
        <f>VLOOKUP(MOD(C1847,7),'CALENDAR INFO'!$G$5:$H$11,2)</f>
        <v>THU</v>
      </c>
      <c r="E1847" s="165">
        <v>4.33</v>
      </c>
      <c r="F1847" s="336">
        <v>4.3</v>
      </c>
      <c r="G1847" s="411">
        <f t="shared" si="205"/>
        <v>-3.0000000000000249E-2</v>
      </c>
      <c r="H1847" s="115"/>
      <c r="I1847" s="246"/>
      <c r="J1847" s="247"/>
      <c r="K1847" s="129"/>
      <c r="L1847" s="403">
        <f t="shared" si="206"/>
        <v>45645</v>
      </c>
      <c r="M1847" s="56" t="str">
        <f t="shared" si="207"/>
        <v>THU</v>
      </c>
      <c r="O1847" s="253">
        <f t="shared" si="210"/>
        <v>1</v>
      </c>
      <c r="P1847" s="392">
        <f t="shared" si="209"/>
        <v>1.0001194444444443</v>
      </c>
    </row>
    <row r="1848" spans="1:18">
      <c r="B1848" s="41"/>
      <c r="C1848" s="403">
        <f t="shared" si="211"/>
        <v>45646</v>
      </c>
      <c r="D1848" s="56" t="str">
        <f>VLOOKUP(MOD(C1848,7),'CALENDAR INFO'!$G$5:$H$11,2)</f>
        <v>FRI</v>
      </c>
      <c r="E1848" s="165">
        <v>4.33</v>
      </c>
      <c r="F1848" s="336">
        <v>4.3</v>
      </c>
      <c r="G1848" s="411">
        <f t="shared" si="205"/>
        <v>-3.0000000000000249E-2</v>
      </c>
      <c r="H1848" s="115"/>
      <c r="I1848" s="137"/>
      <c r="J1848" s="150"/>
      <c r="K1848" s="129"/>
      <c r="L1848" s="403">
        <f t="shared" si="206"/>
        <v>45646</v>
      </c>
      <c r="M1848" s="56" t="str">
        <f t="shared" si="207"/>
        <v>FRI</v>
      </c>
      <c r="O1848" s="253">
        <f t="shared" si="210"/>
        <v>3</v>
      </c>
      <c r="P1848" s="392">
        <f t="shared" si="209"/>
        <v>1.0003583333333332</v>
      </c>
    </row>
    <row r="1849" spans="1:18">
      <c r="B1849" s="41"/>
      <c r="C1849" s="403">
        <f t="shared" si="211"/>
        <v>45647</v>
      </c>
      <c r="D1849" s="56" t="str">
        <f>VLOOKUP(MOD(C1849,7),'CALENDAR INFO'!$G$5:$H$11,2)</f>
        <v>SAT</v>
      </c>
      <c r="E1849" s="165">
        <v>4.33</v>
      </c>
      <c r="F1849" s="336">
        <v>4.3</v>
      </c>
      <c r="G1849" s="411">
        <f t="shared" si="205"/>
        <v>-3.0000000000000249E-2</v>
      </c>
      <c r="H1849" s="115"/>
      <c r="I1849" s="240"/>
      <c r="J1849" s="157"/>
      <c r="K1849" s="129"/>
      <c r="L1849" s="403">
        <f t="shared" si="206"/>
        <v>45647</v>
      </c>
      <c r="M1849" s="56" t="str">
        <f t="shared" si="207"/>
        <v>SAT</v>
      </c>
      <c r="O1849" s="253">
        <f t="shared" si="210"/>
        <v>0</v>
      </c>
      <c r="P1849" s="392">
        <f t="shared" si="209"/>
        <v>1</v>
      </c>
    </row>
    <row r="1850" spans="1:18">
      <c r="B1850" s="41"/>
      <c r="C1850" s="403">
        <f t="shared" si="211"/>
        <v>45648</v>
      </c>
      <c r="D1850" s="56" t="str">
        <f>VLOOKUP(MOD(C1850,7),'CALENDAR INFO'!$G$5:$H$11,2)</f>
        <v>SUN</v>
      </c>
      <c r="E1850" s="165">
        <v>4.33</v>
      </c>
      <c r="F1850" s="336">
        <v>4.3</v>
      </c>
      <c r="G1850" s="411">
        <f t="shared" si="205"/>
        <v>-3.0000000000000249E-2</v>
      </c>
      <c r="H1850" s="115"/>
      <c r="I1850" s="163"/>
      <c r="J1850" s="164"/>
      <c r="K1850" s="129"/>
      <c r="L1850" s="403">
        <f t="shared" si="206"/>
        <v>45648</v>
      </c>
      <c r="M1850" s="56" t="str">
        <f t="shared" si="207"/>
        <v>SUN</v>
      </c>
      <c r="O1850" s="253">
        <f t="shared" si="210"/>
        <v>0</v>
      </c>
      <c r="P1850" s="392">
        <f t="shared" si="209"/>
        <v>1</v>
      </c>
    </row>
    <row r="1851" spans="1:18">
      <c r="B1851" s="41"/>
      <c r="C1851" s="403">
        <f t="shared" si="211"/>
        <v>45649</v>
      </c>
      <c r="D1851" s="56" t="str">
        <f>VLOOKUP(MOD(C1851,7),'CALENDAR INFO'!$G$5:$H$11,2)</f>
        <v>MON</v>
      </c>
      <c r="E1851" s="165">
        <v>4.33</v>
      </c>
      <c r="F1851" s="336">
        <v>4.3099999999999996</v>
      </c>
      <c r="G1851" s="411">
        <f t="shared" si="205"/>
        <v>-2.0000000000000462E-2</v>
      </c>
      <c r="I1851" s="141"/>
      <c r="J1851" s="158"/>
      <c r="K1851" s="129"/>
      <c r="L1851" s="403">
        <f t="shared" si="206"/>
        <v>45649</v>
      </c>
      <c r="M1851" s="56" t="str">
        <f t="shared" si="207"/>
        <v>MON</v>
      </c>
      <c r="O1851" s="253">
        <f t="shared" si="210"/>
        <v>1</v>
      </c>
      <c r="P1851" s="392">
        <f t="shared" si="209"/>
        <v>1.0001197222222222</v>
      </c>
    </row>
    <row r="1852" spans="1:18">
      <c r="B1852" s="41"/>
      <c r="C1852" s="403">
        <f t="shared" si="211"/>
        <v>45650</v>
      </c>
      <c r="D1852" s="56" t="str">
        <f>VLOOKUP(MOD(C1852,7),'CALENDAR INFO'!$G$5:$H$11,2)</f>
        <v>TUE</v>
      </c>
      <c r="E1852" s="165">
        <v>4.33</v>
      </c>
      <c r="F1852" s="336">
        <v>4.4000000000000004</v>
      </c>
      <c r="G1852" s="411">
        <f t="shared" si="205"/>
        <v>7.0000000000000284E-2</v>
      </c>
      <c r="I1852" s="141"/>
      <c r="J1852" s="158"/>
      <c r="K1852" s="129"/>
      <c r="L1852" s="403">
        <f t="shared" si="206"/>
        <v>45650</v>
      </c>
      <c r="M1852" s="56" t="str">
        <f t="shared" si="207"/>
        <v>TUE</v>
      </c>
      <c r="O1852" s="384">
        <v>2</v>
      </c>
      <c r="P1852" s="392">
        <f t="shared" si="209"/>
        <v>1.0002444444444445</v>
      </c>
    </row>
    <row r="1853" spans="1:18">
      <c r="B1853" s="41"/>
      <c r="C1853" s="403">
        <f t="shared" si="211"/>
        <v>45651</v>
      </c>
      <c r="D1853" s="56" t="str">
        <f>VLOOKUP(MOD(C1853,7),'CALENDAR INFO'!$G$5:$H$11,2)</f>
        <v>WED</v>
      </c>
      <c r="E1853" s="165">
        <v>4.33</v>
      </c>
      <c r="F1853" s="336">
        <v>4.4000000000000004</v>
      </c>
      <c r="G1853" s="411">
        <f t="shared" si="205"/>
        <v>7.0000000000000284E-2</v>
      </c>
      <c r="I1853" s="141"/>
      <c r="J1853" s="158"/>
      <c r="K1853" s="129" t="s">
        <v>19</v>
      </c>
      <c r="L1853" s="403">
        <f t="shared" si="206"/>
        <v>45651</v>
      </c>
      <c r="M1853" s="56" t="str">
        <f t="shared" si="207"/>
        <v>WED</v>
      </c>
      <c r="N1853" s="132" t="s">
        <v>110</v>
      </c>
      <c r="O1853" s="384">
        <v>0</v>
      </c>
      <c r="P1853" s="392">
        <f t="shared" si="209"/>
        <v>1</v>
      </c>
    </row>
    <row r="1854" spans="1:18">
      <c r="B1854" s="41"/>
      <c r="C1854" s="403">
        <f t="shared" si="211"/>
        <v>45652</v>
      </c>
      <c r="D1854" s="56" t="str">
        <f>VLOOKUP(MOD(C1854,7),'CALENDAR INFO'!$G$5:$H$11,2)</f>
        <v>THU</v>
      </c>
      <c r="E1854" s="165">
        <v>4.33</v>
      </c>
      <c r="F1854" s="336">
        <v>4.53</v>
      </c>
      <c r="G1854" s="411">
        <f t="shared" si="205"/>
        <v>0.20000000000000018</v>
      </c>
      <c r="I1854" s="141"/>
      <c r="J1854" s="158"/>
      <c r="K1854" s="126" t="s">
        <v>18</v>
      </c>
      <c r="L1854" s="403">
        <f t="shared" si="206"/>
        <v>45652</v>
      </c>
      <c r="M1854" s="56" t="str">
        <f t="shared" si="207"/>
        <v>THU</v>
      </c>
      <c r="O1854" s="253">
        <f>IF(MOD(C1854,7)&lt;2,0,IF(MOD(C1854,7)=6,3,1))</f>
        <v>1</v>
      </c>
      <c r="P1854" s="392">
        <f t="shared" si="209"/>
        <v>1.0001258333333334</v>
      </c>
      <c r="R1854" s="221"/>
    </row>
    <row r="1855" spans="1:18">
      <c r="B1855" s="41"/>
      <c r="C1855" s="403">
        <f t="shared" si="211"/>
        <v>45653</v>
      </c>
      <c r="D1855" s="56" t="str">
        <f>VLOOKUP(MOD(C1855,7),'CALENDAR INFO'!$G$5:$H$11,2)</f>
        <v>FRI</v>
      </c>
      <c r="E1855" s="165">
        <v>4.33</v>
      </c>
      <c r="F1855" s="336">
        <v>4.46</v>
      </c>
      <c r="G1855" s="411">
        <f t="shared" si="205"/>
        <v>0.12999999999999989</v>
      </c>
      <c r="I1855" s="228"/>
      <c r="J1855" s="229"/>
      <c r="K1855" s="126"/>
      <c r="L1855" s="403">
        <f t="shared" si="206"/>
        <v>45653</v>
      </c>
      <c r="M1855" s="56" t="str">
        <f t="shared" si="207"/>
        <v>FRI</v>
      </c>
      <c r="O1855" s="253">
        <f>IF(MOD(C1855,7)&lt;2,0,IF(MOD(C1855,7)=6,3,1))</f>
        <v>3</v>
      </c>
      <c r="P1855" s="392">
        <f t="shared" si="209"/>
        <v>1.0003716666666667</v>
      </c>
      <c r="R1855" s="222"/>
    </row>
    <row r="1856" spans="1:18">
      <c r="B1856" s="41"/>
      <c r="C1856" s="403">
        <f t="shared" si="211"/>
        <v>45654</v>
      </c>
      <c r="D1856" s="56" t="str">
        <f>VLOOKUP(MOD(C1856,7),'CALENDAR INFO'!$G$5:$H$11,2)</f>
        <v>SAT</v>
      </c>
      <c r="E1856" s="165">
        <v>4.33</v>
      </c>
      <c r="F1856" s="336">
        <v>4.46</v>
      </c>
      <c r="G1856" s="411">
        <f t="shared" si="205"/>
        <v>0.12999999999999989</v>
      </c>
      <c r="I1856" s="141"/>
      <c r="J1856" s="158"/>
      <c r="K1856" s="126"/>
      <c r="L1856" s="403">
        <f t="shared" si="206"/>
        <v>45654</v>
      </c>
      <c r="M1856" s="56" t="str">
        <f t="shared" si="207"/>
        <v>SAT</v>
      </c>
      <c r="O1856" s="253">
        <f>IF(MOD(C1856,7)&lt;2,0,IF(MOD(C1856,7)=6,3,1))</f>
        <v>0</v>
      </c>
      <c r="P1856" s="392">
        <f t="shared" si="209"/>
        <v>1</v>
      </c>
      <c r="R1856" s="222"/>
    </row>
    <row r="1857" spans="1:16">
      <c r="B1857" s="41"/>
      <c r="C1857" s="403">
        <f t="shared" si="211"/>
        <v>45655</v>
      </c>
      <c r="D1857" s="56" t="str">
        <f>VLOOKUP(MOD(C1857,7),'CALENDAR INFO'!$G$5:$H$11,2)</f>
        <v>SUN</v>
      </c>
      <c r="E1857" s="165">
        <v>4.33</v>
      </c>
      <c r="F1857" s="336">
        <v>4.46</v>
      </c>
      <c r="G1857" s="411">
        <f t="shared" si="205"/>
        <v>0.12999999999999989</v>
      </c>
      <c r="H1857" s="115"/>
      <c r="I1857" s="141"/>
      <c r="J1857" s="158"/>
      <c r="K1857" s="126"/>
      <c r="L1857" s="403">
        <f t="shared" si="206"/>
        <v>45655</v>
      </c>
      <c r="M1857" s="56" t="str">
        <f t="shared" si="207"/>
        <v>SUN</v>
      </c>
      <c r="O1857" s="253">
        <f>IF(MOD(C1857,7)&lt;2,0,IF(MOD(C1857,7)=6,3,1))</f>
        <v>0</v>
      </c>
      <c r="P1857" s="392">
        <f t="shared" si="209"/>
        <v>1</v>
      </c>
    </row>
    <row r="1858" spans="1:16">
      <c r="B1858" s="41"/>
      <c r="C1858" s="403">
        <f t="shared" si="211"/>
        <v>45656</v>
      </c>
      <c r="D1858" s="56" t="str">
        <f>VLOOKUP(MOD(C1858,7),'CALENDAR INFO'!$G$5:$H$11,2)</f>
        <v>MON</v>
      </c>
      <c r="E1858" s="165">
        <v>4.33</v>
      </c>
      <c r="F1858" s="336">
        <v>4.37</v>
      </c>
      <c r="G1858" s="411">
        <f t="shared" si="205"/>
        <v>4.0000000000000036E-2</v>
      </c>
      <c r="H1858" s="115"/>
      <c r="I1858" s="141"/>
      <c r="J1858" s="158"/>
      <c r="K1858" s="126"/>
      <c r="L1858" s="403">
        <f t="shared" si="206"/>
        <v>45656</v>
      </c>
      <c r="M1858" s="56" t="str">
        <f t="shared" si="207"/>
        <v>MON</v>
      </c>
      <c r="O1858" s="253">
        <f>IF(MOD(C1858,7)&lt;2,0,IF(MOD(C1858,7)=6,3,1))</f>
        <v>1</v>
      </c>
      <c r="P1858" s="392">
        <f t="shared" si="209"/>
        <v>1.0001213888888889</v>
      </c>
    </row>
    <row r="1859" spans="1:16" ht="15.75" thickBot="1">
      <c r="A1859" s="81"/>
      <c r="B1859" s="178"/>
      <c r="C1859" s="404">
        <v>45657</v>
      </c>
      <c r="D1859" s="64" t="str">
        <f>VLOOKUP(MOD(C1859,7),'CALENDAR INFO'!$G$5:$H$11,2)</f>
        <v>TUE</v>
      </c>
      <c r="E1859" s="166">
        <v>4.33</v>
      </c>
      <c r="F1859" s="337">
        <v>4.49</v>
      </c>
      <c r="G1859" s="412">
        <f t="shared" ref="G1859:G1922" si="212">F1859-E1859</f>
        <v>0.16000000000000014</v>
      </c>
      <c r="H1859" s="335"/>
      <c r="I1859" s="267"/>
      <c r="J1859" s="268"/>
      <c r="K1859" s="77"/>
      <c r="L1859" s="404">
        <f t="shared" ref="L1859:L1922" si="213">C1859</f>
        <v>45657</v>
      </c>
      <c r="M1859" s="64" t="str">
        <f t="shared" ref="M1859:M1922" si="214">D1859</f>
        <v>TUE</v>
      </c>
      <c r="N1859" s="90"/>
      <c r="O1859" s="384">
        <v>2</v>
      </c>
      <c r="P1859" s="388">
        <f t="shared" si="209"/>
        <v>1.0002494444444445</v>
      </c>
    </row>
    <row r="1860" spans="1:16">
      <c r="A1860" s="289"/>
      <c r="B1860" s="290"/>
      <c r="C1860" s="403">
        <f t="shared" ref="C1860:C1923" si="215">C1859+1</f>
        <v>45658</v>
      </c>
      <c r="D1860" s="56" t="str">
        <f>VLOOKUP(MOD(C1860,7),'CALENDAR INFO'!$G$5:$H$11,2)</f>
        <v>WED</v>
      </c>
      <c r="E1860" s="165">
        <v>4.33</v>
      </c>
      <c r="F1860" s="336">
        <v>4.49</v>
      </c>
      <c r="G1860" s="411">
        <f t="shared" si="212"/>
        <v>0.16000000000000014</v>
      </c>
      <c r="H1860" s="15" t="s">
        <v>149</v>
      </c>
      <c r="I1860" s="15">
        <f>ROW(I1860)</f>
        <v>1860</v>
      </c>
      <c r="J1860" s="138">
        <f>I1860</f>
        <v>1860</v>
      </c>
      <c r="K1860" s="126"/>
      <c r="L1860" s="403">
        <f t="shared" si="213"/>
        <v>45658</v>
      </c>
      <c r="M1860" s="56" t="str">
        <f t="shared" si="214"/>
        <v>WED</v>
      </c>
      <c r="N1860" s="132" t="s">
        <v>114</v>
      </c>
      <c r="O1860" s="389">
        <v>0</v>
      </c>
      <c r="P1860" s="390">
        <f t="shared" si="209"/>
        <v>1</v>
      </c>
    </row>
    <row r="1861" spans="1:16">
      <c r="A1861" s="289"/>
      <c r="B1861" s="290"/>
      <c r="C1861" s="403">
        <f t="shared" si="215"/>
        <v>45659</v>
      </c>
      <c r="D1861" s="56" t="str">
        <f>VLOOKUP(MOD(C1861,7),'CALENDAR INFO'!$G$5:$H$11,2)</f>
        <v>THU</v>
      </c>
      <c r="E1861" s="165">
        <v>4.33</v>
      </c>
      <c r="F1861" s="336">
        <v>4.4000000000000004</v>
      </c>
      <c r="G1861" s="411">
        <f t="shared" si="212"/>
        <v>7.0000000000000284E-2</v>
      </c>
      <c r="H1861" s="376" t="s">
        <v>210</v>
      </c>
      <c r="I1861" s="15">
        <f>VLOOKUP(MONTH($C1860),'CALENDAR INFO'!$J$5:$K$16,2)</f>
        <v>31</v>
      </c>
      <c r="J1861" s="138">
        <f>I1861</f>
        <v>31</v>
      </c>
      <c r="K1861" s="126"/>
      <c r="L1861" s="403">
        <f t="shared" si="213"/>
        <v>45659</v>
      </c>
      <c r="M1861" s="56" t="str">
        <f t="shared" si="214"/>
        <v>THU</v>
      </c>
      <c r="O1861" s="383">
        <f t="shared" ref="O1861:O1875" si="216">IF(MOD(C1861,7)&lt;2,0,IF(MOD(C1861,7)=6,3,1))</f>
        <v>1</v>
      </c>
      <c r="P1861" s="392">
        <f t="shared" si="209"/>
        <v>1.0001222222222221</v>
      </c>
    </row>
    <row r="1862" spans="1:16">
      <c r="A1862" s="289"/>
      <c r="B1862" s="290"/>
      <c r="C1862" s="403">
        <f t="shared" si="215"/>
        <v>45660</v>
      </c>
      <c r="D1862" s="56" t="str">
        <f>VLOOKUP(MOD(C1862,7),'CALENDAR INFO'!$G$5:$H$11,2)</f>
        <v>FRI</v>
      </c>
      <c r="E1862" s="165">
        <v>4.33</v>
      </c>
      <c r="F1862" s="336">
        <v>4.3099999999999996</v>
      </c>
      <c r="G1862" s="411">
        <f t="shared" si="212"/>
        <v>-2.0000000000000462E-2</v>
      </c>
      <c r="H1862" s="376" t="s">
        <v>211</v>
      </c>
      <c r="I1862" s="15">
        <f>I1861+I1860-1</f>
        <v>1890</v>
      </c>
      <c r="J1862" s="138">
        <f>I1862</f>
        <v>1890</v>
      </c>
      <c r="K1862" s="126"/>
      <c r="L1862" s="403">
        <f t="shared" si="213"/>
        <v>45660</v>
      </c>
      <c r="M1862" s="56" t="str">
        <f t="shared" si="214"/>
        <v>FRI</v>
      </c>
      <c r="O1862" s="383">
        <f t="shared" si="216"/>
        <v>3</v>
      </c>
      <c r="P1862" s="392">
        <f t="shared" si="209"/>
        <v>1.0003591666666667</v>
      </c>
    </row>
    <row r="1863" spans="1:16">
      <c r="A1863" s="289"/>
      <c r="B1863" s="290"/>
      <c r="C1863" s="403">
        <f t="shared" si="215"/>
        <v>45661</v>
      </c>
      <c r="D1863" s="56" t="str">
        <f>VLOOKUP(MOD(C1863,7),'CALENDAR INFO'!$G$5:$H$11,2)</f>
        <v>SAT</v>
      </c>
      <c r="E1863" s="165">
        <v>4.33</v>
      </c>
      <c r="F1863" s="336">
        <v>4.3099999999999996</v>
      </c>
      <c r="G1863" s="411">
        <f t="shared" si="212"/>
        <v>-2.0000000000000462E-2</v>
      </c>
      <c r="K1863" s="126"/>
      <c r="L1863" s="403">
        <f t="shared" si="213"/>
        <v>45661</v>
      </c>
      <c r="M1863" s="56" t="str">
        <f t="shared" si="214"/>
        <v>SAT</v>
      </c>
      <c r="O1863" s="383">
        <f t="shared" si="216"/>
        <v>0</v>
      </c>
      <c r="P1863" s="392">
        <f t="shared" si="209"/>
        <v>1</v>
      </c>
    </row>
    <row r="1864" spans="1:16">
      <c r="A1864" s="289"/>
      <c r="B1864" s="290"/>
      <c r="C1864" s="403">
        <f t="shared" si="215"/>
        <v>45662</v>
      </c>
      <c r="D1864" s="56" t="str">
        <f>VLOOKUP(MOD(C1864,7),'CALENDAR INFO'!$G$5:$H$11,2)</f>
        <v>SUN</v>
      </c>
      <c r="E1864" s="165">
        <v>4.33</v>
      </c>
      <c r="F1864" s="336">
        <v>4.3099999999999996</v>
      </c>
      <c r="G1864" s="411">
        <f t="shared" si="212"/>
        <v>-2.0000000000000462E-2</v>
      </c>
      <c r="H1864" s="15" t="s">
        <v>150</v>
      </c>
      <c r="I1864" s="137" t="str">
        <f>_xlfn.CONCAT(ADDRESS(I1860,5),":",ADDRESS(I1862,5))</f>
        <v>$E$1860:$E$1890</v>
      </c>
      <c r="J1864" s="150" t="str">
        <f>_xlfn.CONCAT(ADDRESS(J1860,6),":",ADDRESS(J1862,6))</f>
        <v>$F$1860:$F$1890</v>
      </c>
      <c r="K1864" s="126"/>
      <c r="L1864" s="403">
        <f t="shared" si="213"/>
        <v>45662</v>
      </c>
      <c r="M1864" s="56" t="str">
        <f t="shared" si="214"/>
        <v>SUN</v>
      </c>
      <c r="O1864" s="383">
        <f t="shared" si="216"/>
        <v>0</v>
      </c>
      <c r="P1864" s="392">
        <f t="shared" si="209"/>
        <v>1</v>
      </c>
    </row>
    <row r="1865" spans="1:16">
      <c r="A1865" s="289"/>
      <c r="B1865" s="290"/>
      <c r="C1865" s="403">
        <f t="shared" si="215"/>
        <v>45663</v>
      </c>
      <c r="D1865" s="56" t="str">
        <f>VLOOKUP(MOD(C1865,7),'CALENDAR INFO'!$G$5:$H$11,2)</f>
        <v>MON</v>
      </c>
      <c r="E1865" s="165">
        <v>4.33</v>
      </c>
      <c r="F1865" s="336">
        <v>4.2699999999999996</v>
      </c>
      <c r="G1865" s="411">
        <f t="shared" si="212"/>
        <v>-6.0000000000000497E-2</v>
      </c>
      <c r="K1865" s="126"/>
      <c r="L1865" s="403">
        <f t="shared" si="213"/>
        <v>45663</v>
      </c>
      <c r="M1865" s="56" t="str">
        <f t="shared" si="214"/>
        <v>MON</v>
      </c>
      <c r="O1865" s="383">
        <f t="shared" si="216"/>
        <v>1</v>
      </c>
      <c r="P1865" s="392">
        <f t="shared" si="209"/>
        <v>1.0001186111111111</v>
      </c>
    </row>
    <row r="1866" spans="1:16">
      <c r="A1866" s="289"/>
      <c r="B1866" s="290"/>
      <c r="C1866" s="403">
        <f t="shared" si="215"/>
        <v>45664</v>
      </c>
      <c r="D1866" s="56" t="str">
        <f>VLOOKUP(MOD(C1866,7),'CALENDAR INFO'!$G$5:$H$11,2)</f>
        <v>TUE</v>
      </c>
      <c r="E1866" s="165">
        <v>4.33</v>
      </c>
      <c r="F1866" s="336">
        <v>4.2699999999999996</v>
      </c>
      <c r="G1866" s="411">
        <f t="shared" si="212"/>
        <v>-6.0000000000000497E-2</v>
      </c>
      <c r="H1866" s="376" t="s">
        <v>221</v>
      </c>
      <c r="I1866" s="147">
        <f ca="1">AVERAGE(INDIRECT(I1864))</f>
        <v>4.33</v>
      </c>
      <c r="J1866" s="326">
        <f ca="1">AVERAGE(INDIRECT(J1864))</f>
        <v>4.3190322580645164</v>
      </c>
      <c r="K1866" s="126"/>
      <c r="L1866" s="403">
        <f t="shared" si="213"/>
        <v>45664</v>
      </c>
      <c r="M1866" s="56" t="str">
        <f t="shared" si="214"/>
        <v>TUE</v>
      </c>
      <c r="O1866" s="383">
        <f t="shared" si="216"/>
        <v>1</v>
      </c>
      <c r="P1866" s="392">
        <f t="shared" si="209"/>
        <v>1.0001186111111111</v>
      </c>
    </row>
    <row r="1867" spans="1:16">
      <c r="A1867" s="289"/>
      <c r="B1867" s="290"/>
      <c r="C1867" s="403">
        <f t="shared" si="215"/>
        <v>45665</v>
      </c>
      <c r="D1867" s="56" t="str">
        <f>VLOOKUP(MOD(C1867,7),'CALENDAR INFO'!$G$5:$H$11,2)</f>
        <v>WED</v>
      </c>
      <c r="E1867" s="165">
        <v>4.33</v>
      </c>
      <c r="F1867" s="336">
        <v>4.29</v>
      </c>
      <c r="G1867" s="411">
        <f t="shared" si="212"/>
        <v>-4.0000000000000036E-2</v>
      </c>
      <c r="H1867" s="115"/>
      <c r="I1867" s="244"/>
      <c r="J1867" s="245"/>
      <c r="K1867" s="126" t="s">
        <v>19</v>
      </c>
      <c r="L1867" s="403">
        <f t="shared" si="213"/>
        <v>45665</v>
      </c>
      <c r="M1867" s="56" t="str">
        <f t="shared" si="214"/>
        <v>WED</v>
      </c>
      <c r="O1867" s="383">
        <f t="shared" si="216"/>
        <v>1</v>
      </c>
      <c r="P1867" s="392">
        <f t="shared" si="209"/>
        <v>1.0001191666666667</v>
      </c>
    </row>
    <row r="1868" spans="1:16">
      <c r="A1868" s="289"/>
      <c r="B1868" s="290"/>
      <c r="C1868" s="403">
        <f t="shared" si="215"/>
        <v>45666</v>
      </c>
      <c r="D1868" s="56" t="str">
        <f>VLOOKUP(MOD(C1868,7),'CALENDAR INFO'!$G$5:$H$11,2)</f>
        <v>THU</v>
      </c>
      <c r="E1868" s="165">
        <v>4.33</v>
      </c>
      <c r="F1868" s="336">
        <v>4.3</v>
      </c>
      <c r="G1868" s="411">
        <f t="shared" si="212"/>
        <v>-3.0000000000000249E-2</v>
      </c>
      <c r="H1868" s="15" t="s">
        <v>222</v>
      </c>
      <c r="I1868" s="147">
        <f ca="1">100-I1866</f>
        <v>95.67</v>
      </c>
      <c r="J1868" s="326">
        <f ca="1">100-J1866</f>
        <v>95.68096774193549</v>
      </c>
      <c r="K1868" s="129" t="s">
        <v>18</v>
      </c>
      <c r="L1868" s="403">
        <f t="shared" si="213"/>
        <v>45666</v>
      </c>
      <c r="M1868" s="56" t="str">
        <f t="shared" si="214"/>
        <v>THU</v>
      </c>
      <c r="O1868" s="383">
        <f t="shared" si="216"/>
        <v>1</v>
      </c>
      <c r="P1868" s="392">
        <f t="shared" si="209"/>
        <v>1.0001194444444443</v>
      </c>
    </row>
    <row r="1869" spans="1:16">
      <c r="A1869" s="289"/>
      <c r="B1869" s="290"/>
      <c r="C1869" s="403">
        <f t="shared" si="215"/>
        <v>45667</v>
      </c>
      <c r="D1869" s="56" t="str">
        <f>VLOOKUP(MOD(C1869,7),'CALENDAR INFO'!$G$5:$H$11,2)</f>
        <v>FRI</v>
      </c>
      <c r="E1869" s="165">
        <v>4.33</v>
      </c>
      <c r="F1869" s="336">
        <v>4.3</v>
      </c>
      <c r="G1869" s="411">
        <f t="shared" si="212"/>
        <v>-3.0000000000000249E-2</v>
      </c>
      <c r="I1869" s="137"/>
      <c r="J1869" s="150"/>
      <c r="K1869" s="129"/>
      <c r="L1869" s="403">
        <f t="shared" si="213"/>
        <v>45667</v>
      </c>
      <c r="M1869" s="56" t="str">
        <f t="shared" si="214"/>
        <v>FRI</v>
      </c>
      <c r="O1869" s="383">
        <f t="shared" si="216"/>
        <v>3</v>
      </c>
      <c r="P1869" s="392">
        <f t="shared" si="209"/>
        <v>1.0003583333333332</v>
      </c>
    </row>
    <row r="1870" spans="1:16">
      <c r="A1870" s="289"/>
      <c r="B1870" s="290"/>
      <c r="C1870" s="403">
        <f t="shared" si="215"/>
        <v>45668</v>
      </c>
      <c r="D1870" s="56" t="str">
        <f>VLOOKUP(MOD(C1870,7),'CALENDAR INFO'!$G$5:$H$11,2)</f>
        <v>SAT</v>
      </c>
      <c r="E1870" s="165">
        <v>4.33</v>
      </c>
      <c r="F1870" s="336">
        <v>4.3</v>
      </c>
      <c r="G1870" s="411">
        <f t="shared" si="212"/>
        <v>-3.0000000000000249E-2</v>
      </c>
      <c r="K1870" s="129"/>
      <c r="L1870" s="403">
        <f t="shared" si="213"/>
        <v>45668</v>
      </c>
      <c r="M1870" s="56" t="str">
        <f t="shared" si="214"/>
        <v>SAT</v>
      </c>
      <c r="O1870" s="383">
        <f t="shared" si="216"/>
        <v>0</v>
      </c>
      <c r="P1870" s="392">
        <f t="shared" si="209"/>
        <v>1</v>
      </c>
    </row>
    <row r="1871" spans="1:16">
      <c r="A1871" s="289"/>
      <c r="B1871" s="290"/>
      <c r="C1871" s="403">
        <f t="shared" si="215"/>
        <v>45669</v>
      </c>
      <c r="D1871" s="56" t="str">
        <f>VLOOKUP(MOD(C1871,7),'CALENDAR INFO'!$G$5:$H$11,2)</f>
        <v>SUN</v>
      </c>
      <c r="E1871" s="165">
        <v>4.33</v>
      </c>
      <c r="F1871" s="336">
        <v>4.3</v>
      </c>
      <c r="G1871" s="411">
        <f t="shared" si="212"/>
        <v>-3.0000000000000249E-2</v>
      </c>
      <c r="K1871" s="129"/>
      <c r="L1871" s="403">
        <f t="shared" si="213"/>
        <v>45669</v>
      </c>
      <c r="M1871" s="56" t="str">
        <f t="shared" si="214"/>
        <v>SUN</v>
      </c>
      <c r="O1871" s="383">
        <f t="shared" si="216"/>
        <v>0</v>
      </c>
      <c r="P1871" s="392">
        <f t="shared" si="209"/>
        <v>1</v>
      </c>
    </row>
    <row r="1872" spans="1:16">
      <c r="A1872" s="289"/>
      <c r="B1872" s="290"/>
      <c r="C1872" s="403">
        <f t="shared" si="215"/>
        <v>45670</v>
      </c>
      <c r="D1872" s="56" t="str">
        <f>VLOOKUP(MOD(C1872,7),'CALENDAR INFO'!$G$5:$H$11,2)</f>
        <v>MON</v>
      </c>
      <c r="E1872" s="165">
        <v>4.33</v>
      </c>
      <c r="F1872" s="336">
        <v>4.29</v>
      </c>
      <c r="G1872" s="411">
        <f t="shared" si="212"/>
        <v>-4.0000000000000036E-2</v>
      </c>
      <c r="K1872" s="129"/>
      <c r="L1872" s="403">
        <f t="shared" si="213"/>
        <v>45670</v>
      </c>
      <c r="M1872" s="56" t="str">
        <f t="shared" si="214"/>
        <v>MON</v>
      </c>
      <c r="O1872" s="383">
        <f t="shared" si="216"/>
        <v>1</v>
      </c>
      <c r="P1872" s="392">
        <f t="shared" si="209"/>
        <v>1.0001191666666667</v>
      </c>
    </row>
    <row r="1873" spans="1:16">
      <c r="A1873" s="289"/>
      <c r="B1873" s="290"/>
      <c r="C1873" s="403">
        <f t="shared" si="215"/>
        <v>45671</v>
      </c>
      <c r="D1873" s="56" t="str">
        <f>VLOOKUP(MOD(C1873,7),'CALENDAR INFO'!$G$5:$H$11,2)</f>
        <v>TUE</v>
      </c>
      <c r="E1873" s="165">
        <v>4.33</v>
      </c>
      <c r="F1873" s="336">
        <v>4.28</v>
      </c>
      <c r="G1873" s="411">
        <f t="shared" si="212"/>
        <v>-4.9999999999999822E-2</v>
      </c>
      <c r="K1873" s="129"/>
      <c r="L1873" s="403">
        <f t="shared" si="213"/>
        <v>45671</v>
      </c>
      <c r="M1873" s="56" t="str">
        <f t="shared" si="214"/>
        <v>TUE</v>
      </c>
      <c r="O1873" s="383">
        <f t="shared" si="216"/>
        <v>1</v>
      </c>
      <c r="P1873" s="392">
        <f t="shared" si="209"/>
        <v>1.0001188888888888</v>
      </c>
    </row>
    <row r="1874" spans="1:16">
      <c r="A1874" s="289"/>
      <c r="B1874" s="290"/>
      <c r="C1874" s="403">
        <f t="shared" si="215"/>
        <v>45672</v>
      </c>
      <c r="D1874" s="56" t="str">
        <f>VLOOKUP(MOD(C1874,7),'CALENDAR INFO'!$G$5:$H$11,2)</f>
        <v>WED</v>
      </c>
      <c r="E1874" s="165">
        <v>4.33</v>
      </c>
      <c r="F1874" s="336">
        <v>4.28</v>
      </c>
      <c r="G1874" s="411">
        <f t="shared" si="212"/>
        <v>-4.9999999999999822E-2</v>
      </c>
      <c r="K1874" s="129"/>
      <c r="L1874" s="403">
        <f t="shared" si="213"/>
        <v>45672</v>
      </c>
      <c r="M1874" s="56" t="str">
        <f t="shared" si="214"/>
        <v>WED</v>
      </c>
      <c r="O1874" s="383">
        <f t="shared" si="216"/>
        <v>1</v>
      </c>
      <c r="P1874" s="392">
        <f t="shared" si="209"/>
        <v>1.0001188888888888</v>
      </c>
    </row>
    <row r="1875" spans="1:16">
      <c r="A1875" s="289"/>
      <c r="B1875" s="290"/>
      <c r="C1875" s="403">
        <f t="shared" si="215"/>
        <v>45673</v>
      </c>
      <c r="D1875" s="56" t="str">
        <f>VLOOKUP(MOD(C1875,7),'CALENDAR INFO'!$G$5:$H$11,2)</f>
        <v>THU</v>
      </c>
      <c r="E1875" s="165">
        <v>4.33</v>
      </c>
      <c r="F1875" s="336">
        <v>4.29</v>
      </c>
      <c r="G1875" s="411">
        <f t="shared" si="212"/>
        <v>-4.0000000000000036E-2</v>
      </c>
      <c r="K1875" s="129"/>
      <c r="L1875" s="403">
        <f t="shared" si="213"/>
        <v>45673</v>
      </c>
      <c r="M1875" s="56" t="str">
        <f t="shared" si="214"/>
        <v>THU</v>
      </c>
      <c r="O1875" s="383">
        <f t="shared" si="216"/>
        <v>1</v>
      </c>
      <c r="P1875" s="392">
        <f t="shared" ref="P1875:P1938" si="217">1+(O1875/360)*(MAX(F1875,B1875)/100)</f>
        <v>1.0001191666666667</v>
      </c>
    </row>
    <row r="1876" spans="1:16">
      <c r="A1876" s="289"/>
      <c r="B1876" s="290"/>
      <c r="C1876" s="403">
        <f t="shared" si="215"/>
        <v>45674</v>
      </c>
      <c r="D1876" s="56" t="str">
        <f>VLOOKUP(MOD(C1876,7),'CALENDAR INFO'!$G$5:$H$11,2)</f>
        <v>FRI</v>
      </c>
      <c r="E1876" s="165">
        <v>4.33</v>
      </c>
      <c r="F1876" s="336">
        <v>4.29</v>
      </c>
      <c r="G1876" s="411">
        <f t="shared" si="212"/>
        <v>-4.0000000000000036E-2</v>
      </c>
      <c r="K1876" s="129"/>
      <c r="L1876" s="403">
        <f t="shared" si="213"/>
        <v>45674</v>
      </c>
      <c r="M1876" s="56" t="str">
        <f t="shared" si="214"/>
        <v>FRI</v>
      </c>
      <c r="O1876" s="384">
        <v>4</v>
      </c>
      <c r="P1876" s="392">
        <f t="shared" si="217"/>
        <v>1.0004766666666667</v>
      </c>
    </row>
    <row r="1877" spans="1:16">
      <c r="A1877" s="289"/>
      <c r="B1877" s="290"/>
      <c r="C1877" s="403">
        <f t="shared" si="215"/>
        <v>45675</v>
      </c>
      <c r="D1877" s="56" t="str">
        <f>VLOOKUP(MOD(C1877,7),'CALENDAR INFO'!$G$5:$H$11,2)</f>
        <v>SAT</v>
      </c>
      <c r="E1877" s="165">
        <v>4.33</v>
      </c>
      <c r="F1877" s="336">
        <v>4.29</v>
      </c>
      <c r="G1877" s="411">
        <f t="shared" si="212"/>
        <v>-4.0000000000000036E-2</v>
      </c>
      <c r="I1877" s="139"/>
      <c r="J1877" s="151"/>
      <c r="K1877" s="129"/>
      <c r="L1877" s="403">
        <f t="shared" si="213"/>
        <v>45675</v>
      </c>
      <c r="M1877" s="56" t="str">
        <f t="shared" si="214"/>
        <v>SAT</v>
      </c>
      <c r="O1877" s="384">
        <f>IF(MOD(C1877,7)&lt;2,0,IF(MOD(C1877,7)=6,3,1))</f>
        <v>0</v>
      </c>
      <c r="P1877" s="392">
        <f t="shared" si="217"/>
        <v>1</v>
      </c>
    </row>
    <row r="1878" spans="1:16">
      <c r="A1878" s="289"/>
      <c r="B1878" s="290"/>
      <c r="C1878" s="403">
        <f t="shared" si="215"/>
        <v>45676</v>
      </c>
      <c r="D1878" s="56" t="str">
        <f>VLOOKUP(MOD(C1878,7),'CALENDAR INFO'!$G$5:$H$11,2)</f>
        <v>SUN</v>
      </c>
      <c r="E1878" s="165">
        <v>4.33</v>
      </c>
      <c r="F1878" s="336">
        <v>4.29</v>
      </c>
      <c r="G1878" s="411">
        <f t="shared" si="212"/>
        <v>-4.0000000000000036E-2</v>
      </c>
      <c r="K1878" s="129"/>
      <c r="L1878" s="403">
        <f t="shared" si="213"/>
        <v>45676</v>
      </c>
      <c r="M1878" s="56" t="str">
        <f t="shared" si="214"/>
        <v>SUN</v>
      </c>
      <c r="O1878" s="384">
        <f>IF(MOD(C1878,7)&lt;2,0,IF(MOD(C1878,7)=6,3,1))</f>
        <v>0</v>
      </c>
      <c r="P1878" s="392">
        <f t="shared" si="217"/>
        <v>1</v>
      </c>
    </row>
    <row r="1879" spans="1:16">
      <c r="A1879" s="289"/>
      <c r="B1879" s="290"/>
      <c r="C1879" s="403">
        <f t="shared" si="215"/>
        <v>45677</v>
      </c>
      <c r="D1879" s="56" t="str">
        <f>VLOOKUP(MOD(C1879,7),'CALENDAR INFO'!$G$5:$H$11,2)</f>
        <v>MON</v>
      </c>
      <c r="E1879" s="165">
        <v>4.33</v>
      </c>
      <c r="F1879" s="336">
        <v>4.29</v>
      </c>
      <c r="G1879" s="411">
        <f t="shared" si="212"/>
        <v>-4.0000000000000036E-2</v>
      </c>
      <c r="I1879" s="137"/>
      <c r="J1879" s="150"/>
      <c r="K1879" s="129"/>
      <c r="L1879" s="403">
        <f t="shared" si="213"/>
        <v>45677</v>
      </c>
      <c r="M1879" s="56" t="str">
        <f t="shared" si="214"/>
        <v>MON</v>
      </c>
      <c r="N1879" s="132" t="s">
        <v>102</v>
      </c>
      <c r="O1879" s="384">
        <v>0</v>
      </c>
      <c r="P1879" s="392">
        <f t="shared" si="217"/>
        <v>1</v>
      </c>
    </row>
    <row r="1880" spans="1:16">
      <c r="A1880" s="289"/>
      <c r="B1880" s="290"/>
      <c r="C1880" s="403">
        <f t="shared" si="215"/>
        <v>45678</v>
      </c>
      <c r="D1880" s="56" t="str">
        <f>VLOOKUP(MOD(C1880,7),'CALENDAR INFO'!$G$5:$H$11,2)</f>
        <v>TUE</v>
      </c>
      <c r="E1880" s="165">
        <v>4.33</v>
      </c>
      <c r="F1880" s="336">
        <v>4.29</v>
      </c>
      <c r="G1880" s="411">
        <f t="shared" si="212"/>
        <v>-4.0000000000000036E-2</v>
      </c>
      <c r="I1880" s="137"/>
      <c r="J1880" s="150"/>
      <c r="K1880" s="129"/>
      <c r="L1880" s="403">
        <f t="shared" si="213"/>
        <v>45678</v>
      </c>
      <c r="M1880" s="56" t="str">
        <f t="shared" si="214"/>
        <v>TUE</v>
      </c>
      <c r="O1880" s="383">
        <f t="shared" ref="O1880:O1903" si="218">IF(MOD(C1880,7)&lt;2,0,IF(MOD(C1880,7)=6,3,1))</f>
        <v>1</v>
      </c>
      <c r="P1880" s="392">
        <f t="shared" si="217"/>
        <v>1.0001191666666667</v>
      </c>
    </row>
    <row r="1881" spans="1:16">
      <c r="A1881" s="289"/>
      <c r="B1881" s="290"/>
      <c r="C1881" s="403">
        <f t="shared" si="215"/>
        <v>45679</v>
      </c>
      <c r="D1881" s="56" t="str">
        <f>VLOOKUP(MOD(C1881,7),'CALENDAR INFO'!$G$5:$H$11,2)</f>
        <v>WED</v>
      </c>
      <c r="E1881" s="165">
        <v>4.33</v>
      </c>
      <c r="F1881" s="336">
        <v>4.3</v>
      </c>
      <c r="G1881" s="411">
        <f t="shared" si="212"/>
        <v>-3.0000000000000249E-2</v>
      </c>
      <c r="I1881" s="163"/>
      <c r="J1881" s="164"/>
      <c r="K1881" s="129" t="s">
        <v>19</v>
      </c>
      <c r="L1881" s="403">
        <f t="shared" si="213"/>
        <v>45679</v>
      </c>
      <c r="M1881" s="56" t="str">
        <f t="shared" si="214"/>
        <v>WED</v>
      </c>
      <c r="O1881" s="383">
        <f t="shared" si="218"/>
        <v>1</v>
      </c>
      <c r="P1881" s="392">
        <f t="shared" si="217"/>
        <v>1.0001194444444443</v>
      </c>
    </row>
    <row r="1882" spans="1:16">
      <c r="A1882" s="289"/>
      <c r="B1882" s="290"/>
      <c r="C1882" s="403">
        <f t="shared" si="215"/>
        <v>45680</v>
      </c>
      <c r="D1882" s="56" t="str">
        <f>VLOOKUP(MOD(C1882,7),'CALENDAR INFO'!$G$5:$H$11,2)</f>
        <v>THU</v>
      </c>
      <c r="E1882" s="165">
        <v>4.33</v>
      </c>
      <c r="F1882" s="336">
        <v>4.3499999999999996</v>
      </c>
      <c r="G1882" s="411">
        <f t="shared" si="212"/>
        <v>1.9999999999999574E-2</v>
      </c>
      <c r="I1882" s="137"/>
      <c r="J1882" s="150"/>
      <c r="K1882" s="126" t="s">
        <v>18</v>
      </c>
      <c r="L1882" s="403">
        <f t="shared" si="213"/>
        <v>45680</v>
      </c>
      <c r="M1882" s="56" t="str">
        <f t="shared" si="214"/>
        <v>THU</v>
      </c>
      <c r="O1882" s="383">
        <f t="shared" si="218"/>
        <v>1</v>
      </c>
      <c r="P1882" s="392">
        <f t="shared" si="217"/>
        <v>1.0001208333333333</v>
      </c>
    </row>
    <row r="1883" spans="1:16">
      <c r="A1883" s="289"/>
      <c r="B1883" s="290"/>
      <c r="C1883" s="403">
        <f t="shared" si="215"/>
        <v>45681</v>
      </c>
      <c r="D1883" s="56" t="str">
        <f>VLOOKUP(MOD(C1883,7),'CALENDAR INFO'!$G$5:$H$11,2)</f>
        <v>FRI</v>
      </c>
      <c r="E1883" s="165">
        <v>4.33</v>
      </c>
      <c r="F1883" s="336">
        <v>4.34</v>
      </c>
      <c r="G1883" s="411">
        <f t="shared" si="212"/>
        <v>9.9999999999997868E-3</v>
      </c>
      <c r="I1883" s="139"/>
      <c r="J1883" s="151"/>
      <c r="K1883" s="126"/>
      <c r="L1883" s="403">
        <f t="shared" si="213"/>
        <v>45681</v>
      </c>
      <c r="M1883" s="56" t="str">
        <f t="shared" si="214"/>
        <v>FRI</v>
      </c>
      <c r="O1883" s="383">
        <f t="shared" si="218"/>
        <v>3</v>
      </c>
      <c r="P1883" s="392">
        <f t="shared" si="217"/>
        <v>1.0003616666666666</v>
      </c>
    </row>
    <row r="1884" spans="1:16">
      <c r="A1884" s="289"/>
      <c r="B1884" s="290"/>
      <c r="C1884" s="403">
        <f t="shared" si="215"/>
        <v>45682</v>
      </c>
      <c r="D1884" s="56" t="str">
        <f>VLOOKUP(MOD(C1884,7),'CALENDAR INFO'!$G$5:$H$11,2)</f>
        <v>SAT</v>
      </c>
      <c r="E1884" s="165">
        <v>4.33</v>
      </c>
      <c r="F1884" s="336">
        <v>4.34</v>
      </c>
      <c r="G1884" s="411">
        <f t="shared" si="212"/>
        <v>9.9999999999997868E-3</v>
      </c>
      <c r="I1884" s="139"/>
      <c r="J1884" s="151"/>
      <c r="K1884" s="126"/>
      <c r="L1884" s="403">
        <f t="shared" si="213"/>
        <v>45682</v>
      </c>
      <c r="M1884" s="56" t="str">
        <f t="shared" si="214"/>
        <v>SAT</v>
      </c>
      <c r="O1884" s="383">
        <f t="shared" si="218"/>
        <v>0</v>
      </c>
      <c r="P1884" s="392">
        <f t="shared" si="217"/>
        <v>1</v>
      </c>
    </row>
    <row r="1885" spans="1:16">
      <c r="A1885" s="289"/>
      <c r="B1885" s="290"/>
      <c r="C1885" s="403">
        <f t="shared" si="215"/>
        <v>45683</v>
      </c>
      <c r="D1885" s="56" t="str">
        <f>VLOOKUP(MOD(C1885,7),'CALENDAR INFO'!$G$5:$H$11,2)</f>
        <v>SUN</v>
      </c>
      <c r="E1885" s="165">
        <v>4.33</v>
      </c>
      <c r="F1885" s="336">
        <v>4.34</v>
      </c>
      <c r="G1885" s="411">
        <f t="shared" si="212"/>
        <v>9.9999999999997868E-3</v>
      </c>
      <c r="K1885" s="126"/>
      <c r="L1885" s="403">
        <f t="shared" si="213"/>
        <v>45683</v>
      </c>
      <c r="M1885" s="56" t="str">
        <f t="shared" si="214"/>
        <v>SUN</v>
      </c>
      <c r="O1885" s="383">
        <f t="shared" si="218"/>
        <v>0</v>
      </c>
      <c r="P1885" s="392">
        <f t="shared" si="217"/>
        <v>1</v>
      </c>
    </row>
    <row r="1886" spans="1:16">
      <c r="A1886" s="289"/>
      <c r="B1886" s="290"/>
      <c r="C1886" s="403">
        <f t="shared" si="215"/>
        <v>45684</v>
      </c>
      <c r="D1886" s="56" t="str">
        <f>VLOOKUP(MOD(C1886,7),'CALENDAR INFO'!$G$5:$H$11,2)</f>
        <v>MON</v>
      </c>
      <c r="E1886" s="165">
        <v>4.33</v>
      </c>
      <c r="F1886" s="336">
        <v>4.34</v>
      </c>
      <c r="G1886" s="411">
        <f t="shared" si="212"/>
        <v>9.9999999999997868E-3</v>
      </c>
      <c r="I1886" s="136"/>
      <c r="J1886" s="155"/>
      <c r="K1886" s="126"/>
      <c r="L1886" s="403">
        <f t="shared" si="213"/>
        <v>45684</v>
      </c>
      <c r="M1886" s="56" t="str">
        <f t="shared" si="214"/>
        <v>MON</v>
      </c>
      <c r="O1886" s="383">
        <f t="shared" si="218"/>
        <v>1</v>
      </c>
      <c r="P1886" s="392">
        <f t="shared" si="217"/>
        <v>1.0001205555555555</v>
      </c>
    </row>
    <row r="1887" spans="1:16">
      <c r="A1887" s="289"/>
      <c r="B1887" s="290"/>
      <c r="C1887" s="403">
        <f t="shared" si="215"/>
        <v>45685</v>
      </c>
      <c r="D1887" s="56" t="str">
        <f>VLOOKUP(MOD(C1887,7),'CALENDAR INFO'!$G$5:$H$11,2)</f>
        <v>TUE</v>
      </c>
      <c r="E1887" s="165">
        <v>4.33</v>
      </c>
      <c r="F1887" s="336">
        <v>4.3499999999999996</v>
      </c>
      <c r="G1887" s="411">
        <f t="shared" si="212"/>
        <v>1.9999999999999574E-2</v>
      </c>
      <c r="I1887" s="137"/>
      <c r="J1887" s="150"/>
      <c r="K1887" s="126"/>
      <c r="L1887" s="403">
        <f t="shared" si="213"/>
        <v>45685</v>
      </c>
      <c r="M1887" s="56" t="str">
        <f t="shared" si="214"/>
        <v>TUE</v>
      </c>
      <c r="N1887" s="116" t="s">
        <v>20</v>
      </c>
      <c r="O1887" s="383">
        <f t="shared" si="218"/>
        <v>1</v>
      </c>
      <c r="P1887" s="392">
        <f t="shared" si="217"/>
        <v>1.0001208333333333</v>
      </c>
    </row>
    <row r="1888" spans="1:16">
      <c r="A1888" s="289"/>
      <c r="B1888" s="290"/>
      <c r="C1888" s="403">
        <f t="shared" si="215"/>
        <v>45686</v>
      </c>
      <c r="D1888" s="56" t="str">
        <f>VLOOKUP(MOD(C1888,7),'CALENDAR INFO'!$G$5:$H$11,2)</f>
        <v>WED</v>
      </c>
      <c r="E1888" s="165">
        <v>4.33</v>
      </c>
      <c r="F1888" s="336">
        <v>4.3499999999999996</v>
      </c>
      <c r="G1888" s="411">
        <f t="shared" si="212"/>
        <v>1.9999999999999574E-2</v>
      </c>
      <c r="K1888" s="126"/>
      <c r="L1888" s="403">
        <f t="shared" si="213"/>
        <v>45686</v>
      </c>
      <c r="M1888" s="56" t="str">
        <f t="shared" si="214"/>
        <v>WED</v>
      </c>
      <c r="N1888" s="116" t="s">
        <v>20</v>
      </c>
      <c r="O1888" s="383">
        <f t="shared" si="218"/>
        <v>1</v>
      </c>
      <c r="P1888" s="392">
        <f t="shared" si="217"/>
        <v>1.0001208333333333</v>
      </c>
    </row>
    <row r="1889" spans="1:16">
      <c r="B1889" s="41"/>
      <c r="C1889" s="403">
        <f t="shared" si="215"/>
        <v>45687</v>
      </c>
      <c r="D1889" s="56" t="str">
        <f>VLOOKUP(MOD(C1889,7),'CALENDAR INFO'!$G$5:$H$11,2)</f>
        <v>THU</v>
      </c>
      <c r="E1889" s="165">
        <v>4.33</v>
      </c>
      <c r="F1889" s="336">
        <v>4.3600000000000003</v>
      </c>
      <c r="G1889" s="411">
        <f t="shared" si="212"/>
        <v>3.0000000000000249E-2</v>
      </c>
      <c r="K1889" s="126"/>
      <c r="L1889" s="403">
        <f t="shared" si="213"/>
        <v>45687</v>
      </c>
      <c r="M1889" s="56" t="str">
        <f t="shared" si="214"/>
        <v>THU</v>
      </c>
      <c r="O1889" s="383">
        <f t="shared" si="218"/>
        <v>1</v>
      </c>
      <c r="P1889" s="392">
        <f t="shared" si="217"/>
        <v>1.000121111111111</v>
      </c>
    </row>
    <row r="1890" spans="1:16" ht="15.75" thickBot="1">
      <c r="A1890" s="81"/>
      <c r="B1890" s="178"/>
      <c r="C1890" s="404">
        <f t="shared" si="215"/>
        <v>45688</v>
      </c>
      <c r="D1890" s="64" t="str">
        <f>VLOOKUP(MOD(C1890,7),'CALENDAR INFO'!$G$5:$H$11,2)</f>
        <v>FRI</v>
      </c>
      <c r="E1890" s="166">
        <v>4.33</v>
      </c>
      <c r="F1890" s="337">
        <v>4.38</v>
      </c>
      <c r="G1890" s="412">
        <f t="shared" si="212"/>
        <v>4.9999999999999822E-2</v>
      </c>
      <c r="H1890" s="335"/>
      <c r="I1890" s="267"/>
      <c r="J1890" s="268"/>
      <c r="K1890" s="77"/>
      <c r="L1890" s="404">
        <f t="shared" si="213"/>
        <v>45688</v>
      </c>
      <c r="M1890" s="64" t="str">
        <f t="shared" si="214"/>
        <v>FRI</v>
      </c>
      <c r="N1890" s="90"/>
      <c r="O1890" s="382">
        <f t="shared" si="218"/>
        <v>3</v>
      </c>
      <c r="P1890" s="388">
        <f t="shared" si="217"/>
        <v>1.0003649999999999</v>
      </c>
    </row>
    <row r="1891" spans="1:16">
      <c r="A1891" s="289"/>
      <c r="B1891" s="290"/>
      <c r="C1891" s="403">
        <f t="shared" si="215"/>
        <v>45689</v>
      </c>
      <c r="D1891" s="56" t="str">
        <f>VLOOKUP(MOD(C1891,7),'CALENDAR INFO'!$G$5:$H$11,2)</f>
        <v>SAT</v>
      </c>
      <c r="E1891" s="165">
        <v>4.33</v>
      </c>
      <c r="F1891" s="336">
        <v>4.38</v>
      </c>
      <c r="G1891" s="411">
        <f t="shared" si="212"/>
        <v>4.9999999999999822E-2</v>
      </c>
      <c r="H1891" s="15" t="s">
        <v>149</v>
      </c>
      <c r="I1891" s="15">
        <f>ROW(I1891)</f>
        <v>1891</v>
      </c>
      <c r="J1891" s="138">
        <f>I1891</f>
        <v>1891</v>
      </c>
      <c r="K1891" s="126"/>
      <c r="L1891" s="403">
        <f t="shared" si="213"/>
        <v>45689</v>
      </c>
      <c r="M1891" s="56" t="str">
        <f t="shared" si="214"/>
        <v>SAT</v>
      </c>
      <c r="O1891" s="383">
        <f t="shared" si="218"/>
        <v>0</v>
      </c>
      <c r="P1891" s="392">
        <f t="shared" si="217"/>
        <v>1</v>
      </c>
    </row>
    <row r="1892" spans="1:16">
      <c r="A1892" s="291"/>
      <c r="B1892" s="292"/>
      <c r="C1892" s="403">
        <f t="shared" si="215"/>
        <v>45690</v>
      </c>
      <c r="D1892" s="56" t="str">
        <f>VLOOKUP(MOD(C1892,7),'CALENDAR INFO'!$G$5:$H$11,2)</f>
        <v>SUN</v>
      </c>
      <c r="E1892" s="165">
        <v>4.33</v>
      </c>
      <c r="F1892" s="336">
        <v>4.38</v>
      </c>
      <c r="G1892" s="411">
        <f t="shared" si="212"/>
        <v>4.9999999999999822E-2</v>
      </c>
      <c r="H1892" s="376" t="s">
        <v>210</v>
      </c>
      <c r="I1892" s="15">
        <f>VLOOKUP(MONTH($C1891),'CALENDAR INFO'!$J$5:$K$16,2)</f>
        <v>28</v>
      </c>
      <c r="J1892" s="138">
        <f>I1892</f>
        <v>28</v>
      </c>
      <c r="K1892" s="126"/>
      <c r="L1892" s="403">
        <f t="shared" si="213"/>
        <v>45690</v>
      </c>
      <c r="M1892" s="56" t="str">
        <f t="shared" si="214"/>
        <v>SUN</v>
      </c>
      <c r="O1892" s="383">
        <f t="shared" si="218"/>
        <v>0</v>
      </c>
      <c r="P1892" s="392">
        <f t="shared" si="217"/>
        <v>1</v>
      </c>
    </row>
    <row r="1893" spans="1:16">
      <c r="B1893" s="41"/>
      <c r="C1893" s="403">
        <f t="shared" si="215"/>
        <v>45691</v>
      </c>
      <c r="D1893" s="56" t="str">
        <f>VLOOKUP(MOD(C1893,7),'CALENDAR INFO'!$G$5:$H$11,2)</f>
        <v>MON</v>
      </c>
      <c r="E1893" s="165">
        <v>4.33</v>
      </c>
      <c r="F1893" s="336">
        <v>4.3499999999999996</v>
      </c>
      <c r="G1893" s="411">
        <f t="shared" si="212"/>
        <v>1.9999999999999574E-2</v>
      </c>
      <c r="H1893" s="376" t="s">
        <v>211</v>
      </c>
      <c r="I1893" s="15">
        <f>I1892+I1891-1</f>
        <v>1918</v>
      </c>
      <c r="J1893" s="138">
        <f>I1893</f>
        <v>1918</v>
      </c>
      <c r="K1893" s="126"/>
      <c r="L1893" s="403">
        <f t="shared" si="213"/>
        <v>45691</v>
      </c>
      <c r="M1893" s="56" t="str">
        <f t="shared" si="214"/>
        <v>MON</v>
      </c>
      <c r="O1893" s="383">
        <f t="shared" si="218"/>
        <v>1</v>
      </c>
      <c r="P1893" s="392">
        <f t="shared" si="217"/>
        <v>1.0001208333333333</v>
      </c>
    </row>
    <row r="1894" spans="1:16">
      <c r="B1894" s="41"/>
      <c r="C1894" s="403">
        <f t="shared" si="215"/>
        <v>45692</v>
      </c>
      <c r="D1894" s="56" t="str">
        <f>VLOOKUP(MOD(C1894,7),'CALENDAR INFO'!$G$5:$H$11,2)</f>
        <v>TUE</v>
      </c>
      <c r="E1894" s="165">
        <v>4.33</v>
      </c>
      <c r="F1894" s="336">
        <v>4.33</v>
      </c>
      <c r="G1894" s="411">
        <f t="shared" si="212"/>
        <v>0</v>
      </c>
      <c r="K1894" s="126"/>
      <c r="L1894" s="403">
        <f t="shared" si="213"/>
        <v>45692</v>
      </c>
      <c r="M1894" s="56" t="str">
        <f t="shared" si="214"/>
        <v>TUE</v>
      </c>
      <c r="O1894" s="383">
        <f t="shared" si="218"/>
        <v>1</v>
      </c>
      <c r="P1894" s="392">
        <f t="shared" si="217"/>
        <v>1.0001202777777778</v>
      </c>
    </row>
    <row r="1895" spans="1:16">
      <c r="B1895" s="41"/>
      <c r="C1895" s="403">
        <f t="shared" si="215"/>
        <v>45693</v>
      </c>
      <c r="D1895" s="56" t="str">
        <f>VLOOKUP(MOD(C1895,7),'CALENDAR INFO'!$G$5:$H$11,2)</f>
        <v>WED</v>
      </c>
      <c r="E1895" s="165">
        <v>4.33</v>
      </c>
      <c r="F1895" s="336">
        <v>4.33</v>
      </c>
      <c r="G1895" s="411">
        <f t="shared" si="212"/>
        <v>0</v>
      </c>
      <c r="H1895" s="15" t="s">
        <v>150</v>
      </c>
      <c r="I1895" s="137" t="str">
        <f>_xlfn.CONCAT(ADDRESS(I1891,5),":",ADDRESS(I1893,5))</f>
        <v>$E$1891:$E$1918</v>
      </c>
      <c r="J1895" s="150" t="str">
        <f>_xlfn.CONCAT(ADDRESS(J1891,6),":",ADDRESS(J1893,6))</f>
        <v>$F$1891:$F$1918</v>
      </c>
      <c r="K1895" s="126" t="s">
        <v>19</v>
      </c>
      <c r="L1895" s="403">
        <f t="shared" si="213"/>
        <v>45693</v>
      </c>
      <c r="M1895" s="56" t="str">
        <f t="shared" si="214"/>
        <v>WED</v>
      </c>
      <c r="O1895" s="383">
        <f t="shared" si="218"/>
        <v>1</v>
      </c>
      <c r="P1895" s="392">
        <f t="shared" si="217"/>
        <v>1.0001202777777778</v>
      </c>
    </row>
    <row r="1896" spans="1:16">
      <c r="B1896" s="41"/>
      <c r="C1896" s="403">
        <f t="shared" si="215"/>
        <v>45694</v>
      </c>
      <c r="D1896" s="56" t="str">
        <f>VLOOKUP(MOD(C1896,7),'CALENDAR INFO'!$G$5:$H$11,2)</f>
        <v>THU</v>
      </c>
      <c r="E1896" s="165">
        <v>4.33</v>
      </c>
      <c r="F1896" s="336">
        <v>4.3600000000000003</v>
      </c>
      <c r="G1896" s="411">
        <f t="shared" si="212"/>
        <v>3.0000000000000249E-2</v>
      </c>
      <c r="K1896" s="129" t="s">
        <v>18</v>
      </c>
      <c r="L1896" s="403">
        <f t="shared" si="213"/>
        <v>45694</v>
      </c>
      <c r="M1896" s="56" t="str">
        <f t="shared" si="214"/>
        <v>THU</v>
      </c>
      <c r="O1896" s="383">
        <f t="shared" si="218"/>
        <v>1</v>
      </c>
      <c r="P1896" s="392">
        <f t="shared" si="217"/>
        <v>1.000121111111111</v>
      </c>
    </row>
    <row r="1897" spans="1:16">
      <c r="B1897" s="41"/>
      <c r="C1897" s="403">
        <f t="shared" si="215"/>
        <v>45695</v>
      </c>
      <c r="D1897" s="56" t="str">
        <f>VLOOKUP(MOD(C1897,7),'CALENDAR INFO'!$G$5:$H$11,2)</f>
        <v>FRI</v>
      </c>
      <c r="E1897" s="165">
        <v>4.33</v>
      </c>
      <c r="F1897" s="336">
        <v>4.3499999999999996</v>
      </c>
      <c r="G1897" s="411">
        <f t="shared" si="212"/>
        <v>1.9999999999999574E-2</v>
      </c>
      <c r="H1897" s="376" t="s">
        <v>221</v>
      </c>
      <c r="I1897" s="147">
        <f ca="1">AVERAGE(INDIRECT(I1895))</f>
        <v>4.3299999999999992</v>
      </c>
      <c r="J1897" s="326">
        <f ca="1">AVERAGE(INDIRECT(J1895))</f>
        <v>4.3450000000000006</v>
      </c>
      <c r="K1897" s="129"/>
      <c r="L1897" s="403">
        <f t="shared" si="213"/>
        <v>45695</v>
      </c>
      <c r="M1897" s="56" t="str">
        <f t="shared" si="214"/>
        <v>FRI</v>
      </c>
      <c r="O1897" s="383">
        <f t="shared" si="218"/>
        <v>3</v>
      </c>
      <c r="P1897" s="392">
        <f t="shared" si="217"/>
        <v>1.0003625</v>
      </c>
    </row>
    <row r="1898" spans="1:16">
      <c r="B1898" s="41"/>
      <c r="C1898" s="403">
        <f t="shared" si="215"/>
        <v>45696</v>
      </c>
      <c r="D1898" s="56" t="str">
        <f>VLOOKUP(MOD(C1898,7),'CALENDAR INFO'!$G$5:$H$11,2)</f>
        <v>SAT</v>
      </c>
      <c r="E1898" s="165">
        <v>4.33</v>
      </c>
      <c r="F1898" s="336">
        <v>4.3499999999999996</v>
      </c>
      <c r="G1898" s="411">
        <f t="shared" si="212"/>
        <v>1.9999999999999574E-2</v>
      </c>
      <c r="I1898" s="136"/>
      <c r="J1898" s="155"/>
      <c r="K1898" s="129"/>
      <c r="L1898" s="403">
        <f t="shared" si="213"/>
        <v>45696</v>
      </c>
      <c r="M1898" s="56" t="str">
        <f t="shared" si="214"/>
        <v>SAT</v>
      </c>
      <c r="O1898" s="383">
        <f t="shared" si="218"/>
        <v>0</v>
      </c>
      <c r="P1898" s="392">
        <f t="shared" si="217"/>
        <v>1</v>
      </c>
    </row>
    <row r="1899" spans="1:16">
      <c r="B1899" s="41"/>
      <c r="C1899" s="403">
        <f t="shared" si="215"/>
        <v>45697</v>
      </c>
      <c r="D1899" s="56" t="str">
        <f>VLOOKUP(MOD(C1899,7),'CALENDAR INFO'!$G$5:$H$11,2)</f>
        <v>SUN</v>
      </c>
      <c r="E1899" s="165">
        <v>4.33</v>
      </c>
      <c r="F1899" s="336">
        <v>4.3499999999999996</v>
      </c>
      <c r="G1899" s="411">
        <f t="shared" si="212"/>
        <v>1.9999999999999574E-2</v>
      </c>
      <c r="H1899" s="15" t="s">
        <v>222</v>
      </c>
      <c r="I1899" s="147">
        <f ca="1">100-I1897</f>
        <v>95.67</v>
      </c>
      <c r="J1899" s="326">
        <f ca="1">100-J1897</f>
        <v>95.655000000000001</v>
      </c>
      <c r="K1899" s="129"/>
      <c r="L1899" s="403">
        <f t="shared" si="213"/>
        <v>45697</v>
      </c>
      <c r="M1899" s="56" t="str">
        <f t="shared" si="214"/>
        <v>SUN</v>
      </c>
      <c r="O1899" s="383">
        <f t="shared" si="218"/>
        <v>0</v>
      </c>
      <c r="P1899" s="392">
        <f t="shared" si="217"/>
        <v>1</v>
      </c>
    </row>
    <row r="1900" spans="1:16">
      <c r="B1900" s="41"/>
      <c r="C1900" s="403">
        <f t="shared" si="215"/>
        <v>45698</v>
      </c>
      <c r="D1900" s="56" t="str">
        <f>VLOOKUP(MOD(C1900,7),'CALENDAR INFO'!$G$5:$H$11,2)</f>
        <v>MON</v>
      </c>
      <c r="E1900" s="165">
        <v>4.33</v>
      </c>
      <c r="F1900" s="336">
        <v>4.3499999999999996</v>
      </c>
      <c r="G1900" s="411">
        <f t="shared" si="212"/>
        <v>1.9999999999999574E-2</v>
      </c>
      <c r="I1900" s="137"/>
      <c r="J1900" s="150"/>
      <c r="K1900" s="129"/>
      <c r="L1900" s="403">
        <f t="shared" si="213"/>
        <v>45698</v>
      </c>
      <c r="M1900" s="56" t="str">
        <f t="shared" si="214"/>
        <v>MON</v>
      </c>
      <c r="O1900" s="383">
        <f t="shared" si="218"/>
        <v>1</v>
      </c>
      <c r="P1900" s="392">
        <f t="shared" si="217"/>
        <v>1.0001208333333333</v>
      </c>
    </row>
    <row r="1901" spans="1:16">
      <c r="B1901" s="41"/>
      <c r="C1901" s="403">
        <f t="shared" si="215"/>
        <v>45699</v>
      </c>
      <c r="D1901" s="56" t="str">
        <f>VLOOKUP(MOD(C1901,7),'CALENDAR INFO'!$G$5:$H$11,2)</f>
        <v>TUE</v>
      </c>
      <c r="E1901" s="165">
        <v>4.33</v>
      </c>
      <c r="F1901" s="336">
        <v>4.34</v>
      </c>
      <c r="G1901" s="411">
        <f t="shared" si="212"/>
        <v>9.9999999999997868E-3</v>
      </c>
      <c r="K1901" s="129"/>
      <c r="L1901" s="403">
        <f t="shared" si="213"/>
        <v>45699</v>
      </c>
      <c r="M1901" s="56" t="str">
        <f t="shared" si="214"/>
        <v>TUE</v>
      </c>
      <c r="O1901" s="383">
        <f t="shared" si="218"/>
        <v>1</v>
      </c>
      <c r="P1901" s="392">
        <f t="shared" si="217"/>
        <v>1.0001205555555555</v>
      </c>
    </row>
    <row r="1902" spans="1:16">
      <c r="B1902" s="41"/>
      <c r="C1902" s="403">
        <f t="shared" si="215"/>
        <v>45700</v>
      </c>
      <c r="D1902" s="56" t="str">
        <f>VLOOKUP(MOD(C1902,7),'CALENDAR INFO'!$G$5:$H$11,2)</f>
        <v>WED</v>
      </c>
      <c r="E1902" s="165">
        <v>4.33</v>
      </c>
      <c r="F1902" s="336">
        <v>4.32</v>
      </c>
      <c r="G1902" s="411">
        <f t="shared" si="212"/>
        <v>-9.9999999999997868E-3</v>
      </c>
      <c r="K1902" s="129"/>
      <c r="L1902" s="403">
        <f t="shared" si="213"/>
        <v>45700</v>
      </c>
      <c r="M1902" s="56" t="str">
        <f t="shared" si="214"/>
        <v>WED</v>
      </c>
      <c r="O1902" s="383">
        <f t="shared" si="218"/>
        <v>1</v>
      </c>
      <c r="P1902" s="392">
        <f t="shared" si="217"/>
        <v>1.0001199999999999</v>
      </c>
    </row>
    <row r="1903" spans="1:16">
      <c r="B1903" s="41"/>
      <c r="C1903" s="403">
        <f t="shared" si="215"/>
        <v>45701</v>
      </c>
      <c r="D1903" s="56" t="str">
        <f>VLOOKUP(MOD(C1903,7),'CALENDAR INFO'!$G$5:$H$11,2)</f>
        <v>THU</v>
      </c>
      <c r="E1903" s="165">
        <v>4.33</v>
      </c>
      <c r="F1903" s="336">
        <v>4.33</v>
      </c>
      <c r="G1903" s="411">
        <f t="shared" si="212"/>
        <v>0</v>
      </c>
      <c r="K1903" s="129"/>
      <c r="L1903" s="403">
        <f t="shared" si="213"/>
        <v>45701</v>
      </c>
      <c r="M1903" s="56" t="str">
        <f t="shared" si="214"/>
        <v>THU</v>
      </c>
      <c r="O1903" s="383">
        <f t="shared" si="218"/>
        <v>1</v>
      </c>
      <c r="P1903" s="392">
        <f t="shared" si="217"/>
        <v>1.0001202777777778</v>
      </c>
    </row>
    <row r="1904" spans="1:16">
      <c r="B1904" s="41"/>
      <c r="C1904" s="403">
        <f t="shared" si="215"/>
        <v>45702</v>
      </c>
      <c r="D1904" s="56" t="str">
        <f>VLOOKUP(MOD(C1904,7),'CALENDAR INFO'!$G$5:$H$11,2)</f>
        <v>FRI</v>
      </c>
      <c r="E1904" s="165">
        <v>4.33</v>
      </c>
      <c r="F1904" s="336">
        <v>4.33</v>
      </c>
      <c r="G1904" s="411">
        <f t="shared" si="212"/>
        <v>0</v>
      </c>
      <c r="K1904" s="129"/>
      <c r="L1904" s="403">
        <f t="shared" si="213"/>
        <v>45702</v>
      </c>
      <c r="M1904" s="56" t="str">
        <f t="shared" si="214"/>
        <v>FRI</v>
      </c>
      <c r="O1904" s="384">
        <v>4</v>
      </c>
      <c r="P1904" s="392">
        <f t="shared" si="217"/>
        <v>1.0004811111111112</v>
      </c>
    </row>
    <row r="1905" spans="1:16">
      <c r="B1905" s="41"/>
      <c r="C1905" s="403">
        <f t="shared" si="215"/>
        <v>45703</v>
      </c>
      <c r="D1905" s="56" t="str">
        <f>VLOOKUP(MOD(C1905,7),'CALENDAR INFO'!$G$5:$H$11,2)</f>
        <v>SAT</v>
      </c>
      <c r="E1905" s="165">
        <v>4.33</v>
      </c>
      <c r="F1905" s="336">
        <v>4.33</v>
      </c>
      <c r="G1905" s="411">
        <f t="shared" si="212"/>
        <v>0</v>
      </c>
      <c r="K1905" s="129"/>
      <c r="L1905" s="403">
        <f t="shared" si="213"/>
        <v>45703</v>
      </c>
      <c r="M1905" s="56" t="str">
        <f t="shared" si="214"/>
        <v>SAT</v>
      </c>
      <c r="O1905" s="384">
        <f>IF(MOD(C1905,7)&lt;2,0,IF(MOD(C1905,7)=6,3,1))</f>
        <v>0</v>
      </c>
      <c r="P1905" s="392">
        <f t="shared" si="217"/>
        <v>1</v>
      </c>
    </row>
    <row r="1906" spans="1:16">
      <c r="B1906" s="41"/>
      <c r="C1906" s="403">
        <f t="shared" si="215"/>
        <v>45704</v>
      </c>
      <c r="D1906" s="56" t="str">
        <f>VLOOKUP(MOD(C1906,7),'CALENDAR INFO'!$G$5:$H$11,2)</f>
        <v>SUN</v>
      </c>
      <c r="E1906" s="165">
        <v>4.33</v>
      </c>
      <c r="F1906" s="336">
        <v>4.33</v>
      </c>
      <c r="G1906" s="411">
        <f t="shared" si="212"/>
        <v>0</v>
      </c>
      <c r="K1906" s="129"/>
      <c r="L1906" s="403">
        <f t="shared" si="213"/>
        <v>45704</v>
      </c>
      <c r="M1906" s="56" t="str">
        <f t="shared" si="214"/>
        <v>SUN</v>
      </c>
      <c r="O1906" s="384">
        <f>IF(MOD(C1906,7)&lt;2,0,IF(MOD(C1906,7)=6,3,1))</f>
        <v>0</v>
      </c>
      <c r="P1906" s="392">
        <f t="shared" si="217"/>
        <v>1</v>
      </c>
    </row>
    <row r="1907" spans="1:16">
      <c r="B1907" s="41"/>
      <c r="C1907" s="403">
        <f t="shared" si="215"/>
        <v>45705</v>
      </c>
      <c r="D1907" s="56" t="str">
        <f>VLOOKUP(MOD(C1907,7),'CALENDAR INFO'!$G$5:$H$11,2)</f>
        <v>MON</v>
      </c>
      <c r="E1907" s="165">
        <v>4.33</v>
      </c>
      <c r="F1907" s="336">
        <v>4.33</v>
      </c>
      <c r="G1907" s="411">
        <f t="shared" si="212"/>
        <v>0</v>
      </c>
      <c r="K1907" s="129"/>
      <c r="L1907" s="403">
        <f t="shared" si="213"/>
        <v>45705</v>
      </c>
      <c r="M1907" s="56" t="str">
        <f t="shared" si="214"/>
        <v>MON</v>
      </c>
      <c r="N1907" s="132" t="s">
        <v>182</v>
      </c>
      <c r="O1907" s="384">
        <v>0</v>
      </c>
      <c r="P1907" s="392">
        <f t="shared" si="217"/>
        <v>1</v>
      </c>
    </row>
    <row r="1908" spans="1:16">
      <c r="B1908" s="41"/>
      <c r="C1908" s="403">
        <f t="shared" si="215"/>
        <v>45706</v>
      </c>
      <c r="D1908" s="56" t="str">
        <f>VLOOKUP(MOD(C1908,7),'CALENDAR INFO'!$G$5:$H$11,2)</f>
        <v>TUE</v>
      </c>
      <c r="E1908" s="165">
        <v>4.33</v>
      </c>
      <c r="F1908" s="336">
        <v>4.37</v>
      </c>
      <c r="G1908" s="411">
        <f t="shared" si="212"/>
        <v>4.0000000000000036E-2</v>
      </c>
      <c r="I1908" s="139"/>
      <c r="J1908" s="151"/>
      <c r="K1908" s="129"/>
      <c r="L1908" s="403">
        <f t="shared" si="213"/>
        <v>45706</v>
      </c>
      <c r="M1908" s="56" t="str">
        <f t="shared" si="214"/>
        <v>TUE</v>
      </c>
      <c r="O1908" s="383">
        <f t="shared" ref="O1908:O1939" si="219">IF(MOD(C1908,7)&lt;2,0,IF(MOD(C1908,7)=6,3,1))</f>
        <v>1</v>
      </c>
      <c r="P1908" s="392">
        <f t="shared" si="217"/>
        <v>1.0001213888888889</v>
      </c>
    </row>
    <row r="1909" spans="1:16">
      <c r="B1909" s="41"/>
      <c r="C1909" s="403">
        <f t="shared" si="215"/>
        <v>45707</v>
      </c>
      <c r="D1909" s="56" t="str">
        <f>VLOOKUP(MOD(C1909,7),'CALENDAR INFO'!$G$5:$H$11,2)</f>
        <v>WED</v>
      </c>
      <c r="E1909" s="165">
        <v>4.33</v>
      </c>
      <c r="F1909" s="336">
        <v>4.3499999999999996</v>
      </c>
      <c r="G1909" s="411">
        <f t="shared" si="212"/>
        <v>1.9999999999999574E-2</v>
      </c>
      <c r="K1909" s="129" t="s">
        <v>19</v>
      </c>
      <c r="L1909" s="403">
        <f t="shared" si="213"/>
        <v>45707</v>
      </c>
      <c r="M1909" s="56" t="str">
        <f t="shared" si="214"/>
        <v>WED</v>
      </c>
      <c r="O1909" s="383">
        <f t="shared" si="219"/>
        <v>1</v>
      </c>
      <c r="P1909" s="392">
        <f t="shared" si="217"/>
        <v>1.0001208333333333</v>
      </c>
    </row>
    <row r="1910" spans="1:16">
      <c r="B1910" s="41"/>
      <c r="C1910" s="403">
        <f t="shared" si="215"/>
        <v>45708</v>
      </c>
      <c r="D1910" s="56" t="str">
        <f>VLOOKUP(MOD(C1910,7),'CALENDAR INFO'!$G$5:$H$11,2)</f>
        <v>THU</v>
      </c>
      <c r="E1910" s="165">
        <v>4.33</v>
      </c>
      <c r="F1910" s="336">
        <v>4.33</v>
      </c>
      <c r="G1910" s="411">
        <f t="shared" si="212"/>
        <v>0</v>
      </c>
      <c r="I1910" s="137"/>
      <c r="J1910" s="150"/>
      <c r="K1910" s="126" t="s">
        <v>18</v>
      </c>
      <c r="L1910" s="403">
        <f t="shared" si="213"/>
        <v>45708</v>
      </c>
      <c r="M1910" s="56" t="str">
        <f t="shared" si="214"/>
        <v>THU</v>
      </c>
      <c r="O1910" s="383">
        <f t="shared" si="219"/>
        <v>1</v>
      </c>
      <c r="P1910" s="392">
        <f t="shared" si="217"/>
        <v>1.0001202777777778</v>
      </c>
    </row>
    <row r="1911" spans="1:16">
      <c r="B1911" s="41"/>
      <c r="C1911" s="403">
        <f t="shared" si="215"/>
        <v>45709</v>
      </c>
      <c r="D1911" s="56" t="str">
        <f>VLOOKUP(MOD(C1911,7),'CALENDAR INFO'!$G$5:$H$11,2)</f>
        <v>FRI</v>
      </c>
      <c r="E1911" s="165">
        <v>4.33</v>
      </c>
      <c r="F1911" s="336">
        <v>4.34</v>
      </c>
      <c r="G1911" s="411">
        <f t="shared" si="212"/>
        <v>9.9999999999997868E-3</v>
      </c>
      <c r="I1911" s="137"/>
      <c r="J1911" s="150"/>
      <c r="K1911" s="126"/>
      <c r="L1911" s="403">
        <f t="shared" si="213"/>
        <v>45709</v>
      </c>
      <c r="M1911" s="56" t="str">
        <f t="shared" si="214"/>
        <v>FRI</v>
      </c>
      <c r="O1911" s="383">
        <f t="shared" si="219"/>
        <v>3</v>
      </c>
      <c r="P1911" s="392">
        <f t="shared" si="217"/>
        <v>1.0003616666666666</v>
      </c>
    </row>
    <row r="1912" spans="1:16">
      <c r="B1912" s="41"/>
      <c r="C1912" s="403">
        <f t="shared" si="215"/>
        <v>45710</v>
      </c>
      <c r="D1912" s="56" t="str">
        <f>VLOOKUP(MOD(C1912,7),'CALENDAR INFO'!$G$5:$H$11,2)</f>
        <v>SAT</v>
      </c>
      <c r="E1912" s="165">
        <v>4.33</v>
      </c>
      <c r="F1912" s="336">
        <v>4.34</v>
      </c>
      <c r="G1912" s="411">
        <f t="shared" si="212"/>
        <v>9.9999999999997868E-3</v>
      </c>
      <c r="I1912" s="163"/>
      <c r="J1912" s="164"/>
      <c r="K1912" s="126"/>
      <c r="L1912" s="403">
        <f t="shared" si="213"/>
        <v>45710</v>
      </c>
      <c r="M1912" s="56" t="str">
        <f t="shared" si="214"/>
        <v>SAT</v>
      </c>
      <c r="O1912" s="383">
        <f t="shared" si="219"/>
        <v>0</v>
      </c>
      <c r="P1912" s="392">
        <f t="shared" si="217"/>
        <v>1</v>
      </c>
    </row>
    <row r="1913" spans="1:16">
      <c r="B1913" s="41"/>
      <c r="C1913" s="403">
        <f t="shared" si="215"/>
        <v>45711</v>
      </c>
      <c r="D1913" s="56" t="str">
        <f>VLOOKUP(MOD(C1913,7),'CALENDAR INFO'!$G$5:$H$11,2)</f>
        <v>SUN</v>
      </c>
      <c r="E1913" s="165">
        <v>4.33</v>
      </c>
      <c r="F1913" s="336">
        <v>4.34</v>
      </c>
      <c r="G1913" s="411">
        <f t="shared" si="212"/>
        <v>9.9999999999997868E-3</v>
      </c>
      <c r="I1913" s="137"/>
      <c r="J1913" s="150"/>
      <c r="K1913" s="126"/>
      <c r="L1913" s="403">
        <f t="shared" si="213"/>
        <v>45711</v>
      </c>
      <c r="M1913" s="56" t="str">
        <f t="shared" si="214"/>
        <v>SUN</v>
      </c>
      <c r="O1913" s="383">
        <f t="shared" si="219"/>
        <v>0</v>
      </c>
      <c r="P1913" s="392">
        <f t="shared" si="217"/>
        <v>1</v>
      </c>
    </row>
    <row r="1914" spans="1:16">
      <c r="B1914" s="41"/>
      <c r="C1914" s="403">
        <f t="shared" si="215"/>
        <v>45712</v>
      </c>
      <c r="D1914" s="56" t="str">
        <f>VLOOKUP(MOD(C1914,7),'CALENDAR INFO'!$G$5:$H$11,2)</f>
        <v>MON</v>
      </c>
      <c r="E1914" s="165">
        <v>4.33</v>
      </c>
      <c r="F1914" s="336">
        <v>4.34</v>
      </c>
      <c r="G1914" s="411">
        <f t="shared" si="212"/>
        <v>9.9999999999997868E-3</v>
      </c>
      <c r="I1914" s="137"/>
      <c r="J1914" s="150"/>
      <c r="K1914" s="126"/>
      <c r="L1914" s="403">
        <f t="shared" si="213"/>
        <v>45712</v>
      </c>
      <c r="M1914" s="56" t="str">
        <f t="shared" si="214"/>
        <v>MON</v>
      </c>
      <c r="O1914" s="383">
        <f t="shared" si="219"/>
        <v>1</v>
      </c>
      <c r="P1914" s="392">
        <f t="shared" si="217"/>
        <v>1.0001205555555555</v>
      </c>
    </row>
    <row r="1915" spans="1:16">
      <c r="B1915" s="41"/>
      <c r="C1915" s="403">
        <f t="shared" si="215"/>
        <v>45713</v>
      </c>
      <c r="D1915" s="56" t="str">
        <f>VLOOKUP(MOD(C1915,7),'CALENDAR INFO'!$G$5:$H$11,2)</f>
        <v>TUE</v>
      </c>
      <c r="E1915" s="165">
        <v>4.33</v>
      </c>
      <c r="F1915" s="336">
        <v>4.33</v>
      </c>
      <c r="G1915" s="411">
        <f t="shared" si="212"/>
        <v>0</v>
      </c>
      <c r="I1915" s="137"/>
      <c r="J1915" s="150"/>
      <c r="K1915" s="126"/>
      <c r="L1915" s="403">
        <f t="shared" si="213"/>
        <v>45713</v>
      </c>
      <c r="M1915" s="56" t="str">
        <f t="shared" si="214"/>
        <v>TUE</v>
      </c>
      <c r="O1915" s="383">
        <f t="shared" si="219"/>
        <v>1</v>
      </c>
      <c r="P1915" s="392">
        <f t="shared" si="217"/>
        <v>1.0001202777777778</v>
      </c>
    </row>
    <row r="1916" spans="1:16">
      <c r="B1916" s="41"/>
      <c r="C1916" s="403">
        <f t="shared" si="215"/>
        <v>45714</v>
      </c>
      <c r="D1916" s="56" t="str">
        <f>VLOOKUP(MOD(C1916,7),'CALENDAR INFO'!$G$5:$H$11,2)</f>
        <v>WED</v>
      </c>
      <c r="E1916" s="165">
        <v>4.33</v>
      </c>
      <c r="F1916" s="336">
        <v>4.33</v>
      </c>
      <c r="G1916" s="411">
        <f t="shared" si="212"/>
        <v>0</v>
      </c>
      <c r="H1916" s="136"/>
      <c r="I1916" s="136"/>
      <c r="J1916" s="155"/>
      <c r="K1916" s="126"/>
      <c r="L1916" s="403">
        <f t="shared" si="213"/>
        <v>45714</v>
      </c>
      <c r="M1916" s="56" t="str">
        <f t="shared" si="214"/>
        <v>WED</v>
      </c>
      <c r="O1916" s="383">
        <f t="shared" si="219"/>
        <v>1</v>
      </c>
      <c r="P1916" s="392">
        <f t="shared" si="217"/>
        <v>1.0001202777777778</v>
      </c>
    </row>
    <row r="1917" spans="1:16">
      <c r="B1917" s="41"/>
      <c r="C1917" s="403">
        <f t="shared" si="215"/>
        <v>45715</v>
      </c>
      <c r="D1917" s="56" t="str">
        <f>VLOOKUP(MOD(C1917,7),'CALENDAR INFO'!$G$5:$H$11,2)</f>
        <v>THU</v>
      </c>
      <c r="E1917" s="165">
        <v>4.33</v>
      </c>
      <c r="F1917" s="336">
        <v>4.3600000000000003</v>
      </c>
      <c r="G1917" s="411">
        <f t="shared" si="212"/>
        <v>3.0000000000000249E-2</v>
      </c>
      <c r="K1917" s="126"/>
      <c r="L1917" s="403">
        <f t="shared" si="213"/>
        <v>45715</v>
      </c>
      <c r="M1917" s="56" t="str">
        <f t="shared" si="214"/>
        <v>THU</v>
      </c>
      <c r="O1917" s="383">
        <f t="shared" si="219"/>
        <v>1</v>
      </c>
      <c r="P1917" s="392">
        <f t="shared" si="217"/>
        <v>1.000121111111111</v>
      </c>
    </row>
    <row r="1918" spans="1:16" ht="15.75" thickBot="1">
      <c r="A1918" s="81"/>
      <c r="B1918" s="178"/>
      <c r="C1918" s="404">
        <f t="shared" si="215"/>
        <v>45716</v>
      </c>
      <c r="D1918" s="64" t="str">
        <f>VLOOKUP(MOD(C1918,7),'CALENDAR INFO'!$G$5:$H$11,2)</f>
        <v>FRI</v>
      </c>
      <c r="E1918" s="166">
        <v>4.33</v>
      </c>
      <c r="F1918" s="337">
        <v>4.3899999999999997</v>
      </c>
      <c r="G1918" s="412">
        <f t="shared" si="212"/>
        <v>5.9999999999999609E-2</v>
      </c>
      <c r="H1918" s="346"/>
      <c r="I1918" s="304"/>
      <c r="J1918" s="305"/>
      <c r="K1918" s="77"/>
      <c r="L1918" s="404">
        <f t="shared" si="213"/>
        <v>45716</v>
      </c>
      <c r="M1918" s="64" t="str">
        <f t="shared" si="214"/>
        <v>FRI</v>
      </c>
      <c r="N1918" s="90"/>
      <c r="O1918" s="382">
        <f t="shared" si="219"/>
        <v>3</v>
      </c>
      <c r="P1918" s="388">
        <f t="shared" si="217"/>
        <v>1.0003658333333334</v>
      </c>
    </row>
    <row r="1919" spans="1:16">
      <c r="A1919" s="238"/>
      <c r="B1919" s="239"/>
      <c r="C1919" s="403">
        <f t="shared" si="215"/>
        <v>45717</v>
      </c>
      <c r="D1919" s="56" t="str">
        <f>VLOOKUP(MOD(C1919,7),'CALENDAR INFO'!$G$5:$H$11,2)</f>
        <v>SAT</v>
      </c>
      <c r="E1919" s="165">
        <v>4.33</v>
      </c>
      <c r="F1919" s="336">
        <v>4.3899999999999997</v>
      </c>
      <c r="G1919" s="411">
        <f t="shared" si="212"/>
        <v>5.9999999999999609E-2</v>
      </c>
      <c r="H1919" s="15" t="s">
        <v>149</v>
      </c>
      <c r="I1919" s="15">
        <f>ROW(I1919)</f>
        <v>1919</v>
      </c>
      <c r="J1919" s="138">
        <f>I1919</f>
        <v>1919</v>
      </c>
      <c r="K1919" s="126"/>
      <c r="L1919" s="403">
        <f t="shared" si="213"/>
        <v>45717</v>
      </c>
      <c r="M1919" s="56" t="str">
        <f t="shared" si="214"/>
        <v>SAT</v>
      </c>
      <c r="O1919" s="383">
        <f t="shared" si="219"/>
        <v>0</v>
      </c>
      <c r="P1919" s="392">
        <f t="shared" si="217"/>
        <v>1</v>
      </c>
    </row>
    <row r="1920" spans="1:16">
      <c r="A1920" s="238"/>
      <c r="B1920" s="239"/>
      <c r="C1920" s="403">
        <f t="shared" si="215"/>
        <v>45718</v>
      </c>
      <c r="D1920" s="56" t="str">
        <f>VLOOKUP(MOD(C1920,7),'CALENDAR INFO'!$G$5:$H$11,2)</f>
        <v>SUN</v>
      </c>
      <c r="E1920" s="165">
        <v>4.33</v>
      </c>
      <c r="F1920" s="336">
        <v>4.3899999999999997</v>
      </c>
      <c r="G1920" s="411">
        <f t="shared" si="212"/>
        <v>5.9999999999999609E-2</v>
      </c>
      <c r="H1920" s="376" t="s">
        <v>210</v>
      </c>
      <c r="I1920" s="15">
        <f>VLOOKUP(MONTH($C1919),'CALENDAR INFO'!$J$5:$K$16,2)</f>
        <v>31</v>
      </c>
      <c r="J1920" s="138">
        <f>I1920</f>
        <v>31</v>
      </c>
      <c r="K1920" s="126"/>
      <c r="L1920" s="403">
        <f t="shared" si="213"/>
        <v>45718</v>
      </c>
      <c r="M1920" s="56" t="str">
        <f t="shared" si="214"/>
        <v>SUN</v>
      </c>
      <c r="O1920" s="383">
        <f t="shared" si="219"/>
        <v>0</v>
      </c>
      <c r="P1920" s="392">
        <f t="shared" si="217"/>
        <v>1</v>
      </c>
    </row>
    <row r="1921" spans="1:16">
      <c r="A1921" s="238"/>
      <c r="B1921" s="239"/>
      <c r="C1921" s="403">
        <f t="shared" si="215"/>
        <v>45719</v>
      </c>
      <c r="D1921" s="56" t="str">
        <f>VLOOKUP(MOD(C1921,7),'CALENDAR INFO'!$G$5:$H$11,2)</f>
        <v>MON</v>
      </c>
      <c r="E1921" s="165">
        <v>4.33</v>
      </c>
      <c r="F1921" s="336">
        <v>4.33</v>
      </c>
      <c r="G1921" s="411">
        <f t="shared" si="212"/>
        <v>0</v>
      </c>
      <c r="H1921" s="376" t="s">
        <v>211</v>
      </c>
      <c r="I1921" s="15">
        <f>I1920+I1919-1</f>
        <v>1949</v>
      </c>
      <c r="J1921" s="138">
        <f>I1921</f>
        <v>1949</v>
      </c>
      <c r="K1921" s="126"/>
      <c r="L1921" s="403">
        <f t="shared" si="213"/>
        <v>45719</v>
      </c>
      <c r="M1921" s="56" t="str">
        <f t="shared" si="214"/>
        <v>MON</v>
      </c>
      <c r="O1921" s="383">
        <f t="shared" si="219"/>
        <v>1</v>
      </c>
      <c r="P1921" s="392">
        <f t="shared" si="217"/>
        <v>1.0001202777777778</v>
      </c>
    </row>
    <row r="1922" spans="1:16">
      <c r="A1922" s="238"/>
      <c r="B1922" s="239"/>
      <c r="C1922" s="403">
        <f t="shared" si="215"/>
        <v>45720</v>
      </c>
      <c r="D1922" s="56" t="str">
        <f>VLOOKUP(MOD(C1922,7),'CALENDAR INFO'!$G$5:$H$11,2)</f>
        <v>TUE</v>
      </c>
      <c r="E1922" s="165">
        <v>4.33</v>
      </c>
      <c r="F1922" s="336">
        <v>4.33</v>
      </c>
      <c r="G1922" s="411">
        <f t="shared" si="212"/>
        <v>0</v>
      </c>
      <c r="K1922" s="126"/>
      <c r="L1922" s="403">
        <f t="shared" si="213"/>
        <v>45720</v>
      </c>
      <c r="M1922" s="56" t="str">
        <f t="shared" si="214"/>
        <v>TUE</v>
      </c>
      <c r="O1922" s="383">
        <f t="shared" si="219"/>
        <v>1</v>
      </c>
      <c r="P1922" s="392">
        <f t="shared" si="217"/>
        <v>1.0001202777777778</v>
      </c>
    </row>
    <row r="1923" spans="1:16">
      <c r="A1923" s="238"/>
      <c r="B1923" s="239"/>
      <c r="C1923" s="403">
        <f t="shared" si="215"/>
        <v>45721</v>
      </c>
      <c r="D1923" s="56" t="str">
        <f>VLOOKUP(MOD(C1923,7),'CALENDAR INFO'!$G$5:$H$11,2)</f>
        <v>WED</v>
      </c>
      <c r="E1923" s="165">
        <v>4.33</v>
      </c>
      <c r="F1923" s="336">
        <v>4.34</v>
      </c>
      <c r="G1923" s="411">
        <f t="shared" ref="G1923:G1986" si="220">F1923-E1923</f>
        <v>9.9999999999997868E-3</v>
      </c>
      <c r="H1923" s="15" t="s">
        <v>150</v>
      </c>
      <c r="I1923" s="137" t="str">
        <f>_xlfn.CONCAT(ADDRESS(I1919,5),":",ADDRESS(I1921,5))</f>
        <v>$E$1919:$E$1949</v>
      </c>
      <c r="J1923" s="150" t="str">
        <f>_xlfn.CONCAT(ADDRESS(J1919,6),":",ADDRESS(J1921,6))</f>
        <v>$F$1919:$F$1949</v>
      </c>
      <c r="K1923" s="126" t="s">
        <v>19</v>
      </c>
      <c r="L1923" s="403">
        <f t="shared" ref="L1923:L1986" si="221">C1923</f>
        <v>45721</v>
      </c>
      <c r="M1923" s="56" t="str">
        <f t="shared" ref="M1923:M1986" si="222">D1923</f>
        <v>WED</v>
      </c>
      <c r="O1923" s="383">
        <f t="shared" si="219"/>
        <v>1</v>
      </c>
      <c r="P1923" s="392">
        <f t="shared" si="217"/>
        <v>1.0001205555555555</v>
      </c>
    </row>
    <row r="1924" spans="1:16">
      <c r="A1924" s="238"/>
      <c r="B1924" s="239"/>
      <c r="C1924" s="403">
        <f t="shared" ref="C1924:C1987" si="223">C1923+1</f>
        <v>45722</v>
      </c>
      <c r="D1924" s="56" t="str">
        <f>VLOOKUP(MOD(C1924,7),'CALENDAR INFO'!$G$5:$H$11,2)</f>
        <v>THU</v>
      </c>
      <c r="E1924" s="165">
        <v>4.33</v>
      </c>
      <c r="F1924" s="336">
        <v>4.3499999999999996</v>
      </c>
      <c r="G1924" s="411">
        <f t="shared" si="220"/>
        <v>1.9999999999999574E-2</v>
      </c>
      <c r="K1924" s="129" t="s">
        <v>18</v>
      </c>
      <c r="L1924" s="403">
        <f t="shared" si="221"/>
        <v>45722</v>
      </c>
      <c r="M1924" s="56" t="str">
        <f t="shared" si="222"/>
        <v>THU</v>
      </c>
      <c r="O1924" s="383">
        <f t="shared" si="219"/>
        <v>1</v>
      </c>
      <c r="P1924" s="392">
        <f t="shared" si="217"/>
        <v>1.0001208333333333</v>
      </c>
    </row>
    <row r="1925" spans="1:16">
      <c r="A1925" s="238"/>
      <c r="B1925" s="239"/>
      <c r="C1925" s="403">
        <f t="shared" si="223"/>
        <v>45723</v>
      </c>
      <c r="D1925" s="56" t="str">
        <f>VLOOKUP(MOD(C1925,7),'CALENDAR INFO'!$G$5:$H$11,2)</f>
        <v>FRI</v>
      </c>
      <c r="E1925" s="165">
        <v>4.33</v>
      </c>
      <c r="F1925" s="336">
        <v>4.34</v>
      </c>
      <c r="G1925" s="411">
        <f t="shared" si="220"/>
        <v>9.9999999999997868E-3</v>
      </c>
      <c r="H1925" s="376" t="s">
        <v>221</v>
      </c>
      <c r="I1925" s="147">
        <f ca="1">AVERAGE(INDIRECT(I1923))</f>
        <v>4.33</v>
      </c>
      <c r="J1925" s="326">
        <f ca="1">AVERAGE(INDIRECT(J1923))</f>
        <v>4.3290322580645162</v>
      </c>
      <c r="K1925" s="129"/>
      <c r="L1925" s="403">
        <f t="shared" si="221"/>
        <v>45723</v>
      </c>
      <c r="M1925" s="56" t="str">
        <f t="shared" si="222"/>
        <v>FRI</v>
      </c>
      <c r="O1925" s="383">
        <f t="shared" si="219"/>
        <v>3</v>
      </c>
      <c r="P1925" s="392">
        <f t="shared" si="217"/>
        <v>1.0003616666666666</v>
      </c>
    </row>
    <row r="1926" spans="1:16">
      <c r="A1926" s="238"/>
      <c r="B1926" s="239"/>
      <c r="C1926" s="403">
        <f t="shared" si="223"/>
        <v>45724</v>
      </c>
      <c r="D1926" s="56" t="str">
        <f>VLOOKUP(MOD(C1926,7),'CALENDAR INFO'!$G$5:$H$11,2)</f>
        <v>SAT</v>
      </c>
      <c r="E1926" s="165">
        <v>4.33</v>
      </c>
      <c r="F1926" s="336">
        <v>4.34</v>
      </c>
      <c r="G1926" s="411">
        <f t="shared" si="220"/>
        <v>9.9999999999997868E-3</v>
      </c>
      <c r="K1926" s="129"/>
      <c r="L1926" s="403">
        <f t="shared" si="221"/>
        <v>45724</v>
      </c>
      <c r="M1926" s="56" t="str">
        <f t="shared" si="222"/>
        <v>SAT</v>
      </c>
      <c r="O1926" s="383">
        <f t="shared" si="219"/>
        <v>0</v>
      </c>
      <c r="P1926" s="392">
        <f t="shared" si="217"/>
        <v>1</v>
      </c>
    </row>
    <row r="1927" spans="1:16">
      <c r="A1927" s="238"/>
      <c r="B1927" s="239"/>
      <c r="C1927" s="403">
        <f t="shared" si="223"/>
        <v>45725</v>
      </c>
      <c r="D1927" s="56" t="str">
        <f>VLOOKUP(MOD(C1927,7),'CALENDAR INFO'!$G$5:$H$11,2)</f>
        <v>SUN</v>
      </c>
      <c r="E1927" s="165">
        <v>4.33</v>
      </c>
      <c r="F1927" s="336">
        <v>4.34</v>
      </c>
      <c r="G1927" s="411">
        <f t="shared" si="220"/>
        <v>9.9999999999997868E-3</v>
      </c>
      <c r="H1927" s="15" t="s">
        <v>222</v>
      </c>
      <c r="I1927" s="147">
        <f ca="1">100-I1925</f>
        <v>95.67</v>
      </c>
      <c r="J1927" s="326">
        <f ca="1">100-J1925</f>
        <v>95.670967741935485</v>
      </c>
      <c r="K1927" s="129"/>
      <c r="L1927" s="403">
        <f t="shared" si="221"/>
        <v>45725</v>
      </c>
      <c r="M1927" s="56" t="str">
        <f t="shared" si="222"/>
        <v>SUN</v>
      </c>
      <c r="O1927" s="383">
        <f t="shared" si="219"/>
        <v>0</v>
      </c>
      <c r="P1927" s="392">
        <f t="shared" si="217"/>
        <v>1</v>
      </c>
    </row>
    <row r="1928" spans="1:16">
      <c r="A1928" s="238"/>
      <c r="B1928" s="239"/>
      <c r="C1928" s="403">
        <f t="shared" si="223"/>
        <v>45726</v>
      </c>
      <c r="D1928" s="56" t="str">
        <f>VLOOKUP(MOD(C1928,7),'CALENDAR INFO'!$G$5:$H$11,2)</f>
        <v>MON</v>
      </c>
      <c r="E1928" s="165">
        <v>4.33</v>
      </c>
      <c r="F1928" s="336">
        <v>4.33</v>
      </c>
      <c r="G1928" s="411">
        <f t="shared" si="220"/>
        <v>0</v>
      </c>
      <c r="I1928" s="137"/>
      <c r="J1928" s="150"/>
      <c r="K1928" s="129"/>
      <c r="L1928" s="403">
        <f t="shared" si="221"/>
        <v>45726</v>
      </c>
      <c r="M1928" s="56" t="str">
        <f t="shared" si="222"/>
        <v>MON</v>
      </c>
      <c r="O1928" s="383">
        <f t="shared" si="219"/>
        <v>1</v>
      </c>
      <c r="P1928" s="392">
        <f t="shared" si="217"/>
        <v>1.0001202777777778</v>
      </c>
    </row>
    <row r="1929" spans="1:16">
      <c r="A1929" s="238"/>
      <c r="B1929" s="239"/>
      <c r="C1929" s="403">
        <f t="shared" si="223"/>
        <v>45727</v>
      </c>
      <c r="D1929" s="56" t="str">
        <f>VLOOKUP(MOD(C1929,7),'CALENDAR INFO'!$G$5:$H$11,2)</f>
        <v>TUE</v>
      </c>
      <c r="E1929" s="165">
        <v>4.33</v>
      </c>
      <c r="F1929" s="336">
        <v>4.32</v>
      </c>
      <c r="G1929" s="411">
        <f t="shared" si="220"/>
        <v>-9.9999999999997868E-3</v>
      </c>
      <c r="K1929" s="129"/>
      <c r="L1929" s="403">
        <f t="shared" si="221"/>
        <v>45727</v>
      </c>
      <c r="M1929" s="56" t="str">
        <f t="shared" si="222"/>
        <v>TUE</v>
      </c>
      <c r="O1929" s="383">
        <f t="shared" si="219"/>
        <v>1</v>
      </c>
      <c r="P1929" s="392">
        <f t="shared" si="217"/>
        <v>1.0001199999999999</v>
      </c>
    </row>
    <row r="1930" spans="1:16">
      <c r="A1930" s="238"/>
      <c r="B1930" s="239"/>
      <c r="C1930" s="403">
        <f t="shared" si="223"/>
        <v>45728</v>
      </c>
      <c r="D1930" s="56" t="str">
        <f>VLOOKUP(MOD(C1930,7),'CALENDAR INFO'!$G$5:$H$11,2)</f>
        <v>WED</v>
      </c>
      <c r="E1930" s="165">
        <v>4.33</v>
      </c>
      <c r="F1930" s="336">
        <v>4.3099999999999996</v>
      </c>
      <c r="G1930" s="411">
        <f t="shared" si="220"/>
        <v>-2.0000000000000462E-2</v>
      </c>
      <c r="K1930" s="129"/>
      <c r="L1930" s="403">
        <f t="shared" si="221"/>
        <v>45728</v>
      </c>
      <c r="M1930" s="56" t="str">
        <f t="shared" si="222"/>
        <v>WED</v>
      </c>
      <c r="O1930" s="383">
        <f t="shared" si="219"/>
        <v>1</v>
      </c>
      <c r="P1930" s="392">
        <f t="shared" si="217"/>
        <v>1.0001197222222222</v>
      </c>
    </row>
    <row r="1931" spans="1:16">
      <c r="A1931" s="238"/>
      <c r="B1931" s="239"/>
      <c r="C1931" s="403">
        <f t="shared" si="223"/>
        <v>45729</v>
      </c>
      <c r="D1931" s="56" t="str">
        <f>VLOOKUP(MOD(C1931,7),'CALENDAR INFO'!$G$5:$H$11,2)</f>
        <v>THU</v>
      </c>
      <c r="E1931" s="165">
        <v>4.33</v>
      </c>
      <c r="F1931" s="336">
        <v>4.3</v>
      </c>
      <c r="G1931" s="411">
        <f t="shared" si="220"/>
        <v>-3.0000000000000249E-2</v>
      </c>
      <c r="K1931" s="129"/>
      <c r="L1931" s="403">
        <f t="shared" si="221"/>
        <v>45729</v>
      </c>
      <c r="M1931" s="56" t="str">
        <f t="shared" si="222"/>
        <v>THU</v>
      </c>
      <c r="O1931" s="383">
        <f t="shared" si="219"/>
        <v>1</v>
      </c>
      <c r="P1931" s="392">
        <f t="shared" si="217"/>
        <v>1.0001194444444443</v>
      </c>
    </row>
    <row r="1932" spans="1:16">
      <c r="A1932" s="238"/>
      <c r="B1932" s="239"/>
      <c r="C1932" s="403">
        <f t="shared" si="223"/>
        <v>45730</v>
      </c>
      <c r="D1932" s="56" t="str">
        <f>VLOOKUP(MOD(C1932,7),'CALENDAR INFO'!$G$5:$H$11,2)</f>
        <v>FRI</v>
      </c>
      <c r="E1932" s="165">
        <v>4.33</v>
      </c>
      <c r="F1932" s="336">
        <v>4.3</v>
      </c>
      <c r="G1932" s="411">
        <f t="shared" si="220"/>
        <v>-3.0000000000000249E-2</v>
      </c>
      <c r="K1932" s="129"/>
      <c r="L1932" s="403">
        <f t="shared" si="221"/>
        <v>45730</v>
      </c>
      <c r="M1932" s="56" t="str">
        <f t="shared" si="222"/>
        <v>FRI</v>
      </c>
      <c r="O1932" s="383">
        <f t="shared" si="219"/>
        <v>3</v>
      </c>
      <c r="P1932" s="392">
        <f t="shared" si="217"/>
        <v>1.0003583333333332</v>
      </c>
    </row>
    <row r="1933" spans="1:16">
      <c r="A1933" s="238"/>
      <c r="B1933" s="239"/>
      <c r="C1933" s="403">
        <f t="shared" si="223"/>
        <v>45731</v>
      </c>
      <c r="D1933" s="56" t="str">
        <f>VLOOKUP(MOD(C1933,7),'CALENDAR INFO'!$G$5:$H$11,2)</f>
        <v>SAT</v>
      </c>
      <c r="E1933" s="165">
        <v>4.33</v>
      </c>
      <c r="F1933" s="336">
        <v>4.3</v>
      </c>
      <c r="G1933" s="411">
        <f t="shared" si="220"/>
        <v>-3.0000000000000249E-2</v>
      </c>
      <c r="K1933" s="129"/>
      <c r="L1933" s="403">
        <f t="shared" si="221"/>
        <v>45731</v>
      </c>
      <c r="M1933" s="56" t="str">
        <f t="shared" si="222"/>
        <v>SAT</v>
      </c>
      <c r="O1933" s="383">
        <f t="shared" si="219"/>
        <v>0</v>
      </c>
      <c r="P1933" s="392">
        <f t="shared" si="217"/>
        <v>1</v>
      </c>
    </row>
    <row r="1934" spans="1:16">
      <c r="A1934" s="238"/>
      <c r="B1934" s="239"/>
      <c r="C1934" s="403">
        <f t="shared" si="223"/>
        <v>45732</v>
      </c>
      <c r="D1934" s="56" t="str">
        <f>VLOOKUP(MOD(C1934,7),'CALENDAR INFO'!$G$5:$H$11,2)</f>
        <v>SUN</v>
      </c>
      <c r="E1934" s="165">
        <v>4.33</v>
      </c>
      <c r="F1934" s="336">
        <v>4.3</v>
      </c>
      <c r="G1934" s="411">
        <f t="shared" si="220"/>
        <v>-3.0000000000000249E-2</v>
      </c>
      <c r="K1934" s="129"/>
      <c r="L1934" s="403">
        <f t="shared" si="221"/>
        <v>45732</v>
      </c>
      <c r="M1934" s="56" t="str">
        <f t="shared" si="222"/>
        <v>SUN</v>
      </c>
      <c r="O1934" s="383">
        <f t="shared" si="219"/>
        <v>0</v>
      </c>
      <c r="P1934" s="392">
        <f t="shared" si="217"/>
        <v>1</v>
      </c>
    </row>
    <row r="1935" spans="1:16">
      <c r="A1935" s="238"/>
      <c r="B1935" s="239"/>
      <c r="C1935" s="403">
        <f t="shared" si="223"/>
        <v>45733</v>
      </c>
      <c r="D1935" s="56" t="str">
        <f>VLOOKUP(MOD(C1935,7),'CALENDAR INFO'!$G$5:$H$11,2)</f>
        <v>MON</v>
      </c>
      <c r="E1935" s="165">
        <v>4.33</v>
      </c>
      <c r="F1935" s="336">
        <v>4.32</v>
      </c>
      <c r="G1935" s="411">
        <f t="shared" si="220"/>
        <v>-9.9999999999997868E-3</v>
      </c>
      <c r="K1935" s="129"/>
      <c r="L1935" s="403">
        <f t="shared" si="221"/>
        <v>45733</v>
      </c>
      <c r="M1935" s="56" t="str">
        <f t="shared" si="222"/>
        <v>MON</v>
      </c>
      <c r="O1935" s="383">
        <f t="shared" si="219"/>
        <v>1</v>
      </c>
      <c r="P1935" s="392">
        <f t="shared" si="217"/>
        <v>1.0001199999999999</v>
      </c>
    </row>
    <row r="1936" spans="1:16">
      <c r="A1936" s="238"/>
      <c r="B1936" s="239"/>
      <c r="C1936" s="403">
        <f t="shared" si="223"/>
        <v>45734</v>
      </c>
      <c r="D1936" s="56" t="str">
        <f>VLOOKUP(MOD(C1936,7),'CALENDAR INFO'!$G$5:$H$11,2)</f>
        <v>TUE</v>
      </c>
      <c r="E1936" s="165">
        <v>4.33</v>
      </c>
      <c r="F1936" s="336">
        <v>4.3099999999999996</v>
      </c>
      <c r="G1936" s="411">
        <f t="shared" si="220"/>
        <v>-2.0000000000000462E-2</v>
      </c>
      <c r="I1936" s="139"/>
      <c r="J1936" s="151"/>
      <c r="K1936" s="129"/>
      <c r="L1936" s="403">
        <f t="shared" si="221"/>
        <v>45734</v>
      </c>
      <c r="M1936" s="56" t="str">
        <f t="shared" si="222"/>
        <v>TUE</v>
      </c>
      <c r="N1936" s="116" t="s">
        <v>20</v>
      </c>
      <c r="O1936" s="383">
        <f t="shared" si="219"/>
        <v>1</v>
      </c>
      <c r="P1936" s="392">
        <f t="shared" si="217"/>
        <v>1.0001197222222222</v>
      </c>
    </row>
    <row r="1937" spans="1:16">
      <c r="A1937" s="238"/>
      <c r="B1937" s="239"/>
      <c r="C1937" s="403">
        <f t="shared" si="223"/>
        <v>45735</v>
      </c>
      <c r="D1937" s="56" t="str">
        <f>VLOOKUP(MOD(C1937,7),'CALENDAR INFO'!$G$5:$H$11,2)</f>
        <v>WED</v>
      </c>
      <c r="E1937" s="165">
        <v>4.33</v>
      </c>
      <c r="F1937" s="336">
        <v>4.29</v>
      </c>
      <c r="G1937" s="411">
        <f t="shared" si="220"/>
        <v>-4.0000000000000036E-2</v>
      </c>
      <c r="K1937" s="129" t="s">
        <v>19</v>
      </c>
      <c r="L1937" s="403">
        <f t="shared" si="221"/>
        <v>45735</v>
      </c>
      <c r="M1937" s="56" t="str">
        <f t="shared" si="222"/>
        <v>WED</v>
      </c>
      <c r="N1937" s="116" t="s">
        <v>20</v>
      </c>
      <c r="O1937" s="383">
        <f t="shared" si="219"/>
        <v>1</v>
      </c>
      <c r="P1937" s="392">
        <f t="shared" si="217"/>
        <v>1.0001191666666667</v>
      </c>
    </row>
    <row r="1938" spans="1:16">
      <c r="B1938" s="41"/>
      <c r="C1938" s="403">
        <f t="shared" si="223"/>
        <v>45736</v>
      </c>
      <c r="D1938" s="56" t="str">
        <f>VLOOKUP(MOD(C1938,7),'CALENDAR INFO'!$G$5:$H$11,2)</f>
        <v>THU</v>
      </c>
      <c r="E1938" s="165">
        <v>4.33</v>
      </c>
      <c r="F1938" s="336">
        <v>4.29</v>
      </c>
      <c r="G1938" s="411">
        <f t="shared" si="220"/>
        <v>-4.0000000000000036E-2</v>
      </c>
      <c r="I1938" s="137"/>
      <c r="J1938" s="150"/>
      <c r="K1938" s="126" t="s">
        <v>18</v>
      </c>
      <c r="L1938" s="403">
        <f t="shared" si="221"/>
        <v>45736</v>
      </c>
      <c r="M1938" s="56" t="str">
        <f t="shared" si="222"/>
        <v>THU</v>
      </c>
      <c r="O1938" s="383">
        <f t="shared" si="219"/>
        <v>1</v>
      </c>
      <c r="P1938" s="392">
        <f t="shared" si="217"/>
        <v>1.0001191666666667</v>
      </c>
    </row>
    <row r="1939" spans="1:16">
      <c r="B1939" s="41"/>
      <c r="C1939" s="403">
        <f t="shared" si="223"/>
        <v>45737</v>
      </c>
      <c r="D1939" s="56" t="str">
        <f>VLOOKUP(MOD(C1939,7),'CALENDAR INFO'!$G$5:$H$11,2)</f>
        <v>FRI</v>
      </c>
      <c r="E1939" s="165">
        <v>4.33</v>
      </c>
      <c r="F1939" s="336">
        <v>4.3</v>
      </c>
      <c r="G1939" s="411">
        <f t="shared" si="220"/>
        <v>-3.0000000000000249E-2</v>
      </c>
      <c r="I1939" s="137"/>
      <c r="J1939" s="150"/>
      <c r="K1939" s="126"/>
      <c r="L1939" s="403">
        <f t="shared" si="221"/>
        <v>45737</v>
      </c>
      <c r="M1939" s="56" t="str">
        <f t="shared" si="222"/>
        <v>FRI</v>
      </c>
      <c r="O1939" s="383">
        <f t="shared" si="219"/>
        <v>3</v>
      </c>
      <c r="P1939" s="392">
        <f t="shared" ref="P1939:P2002" si="224">1+(O1939/360)*(MAX(F1939,B1939)/100)</f>
        <v>1.0003583333333332</v>
      </c>
    </row>
    <row r="1940" spans="1:16">
      <c r="B1940" s="41"/>
      <c r="C1940" s="403">
        <f t="shared" si="223"/>
        <v>45738</v>
      </c>
      <c r="D1940" s="56" t="str">
        <f>VLOOKUP(MOD(C1940,7),'CALENDAR INFO'!$G$5:$H$11,2)</f>
        <v>SAT</v>
      </c>
      <c r="E1940" s="165">
        <v>4.33</v>
      </c>
      <c r="F1940" s="336">
        <v>4.3</v>
      </c>
      <c r="G1940" s="411">
        <f t="shared" si="220"/>
        <v>-3.0000000000000249E-2</v>
      </c>
      <c r="I1940" s="163"/>
      <c r="J1940" s="164"/>
      <c r="K1940" s="126"/>
      <c r="L1940" s="403">
        <f t="shared" si="221"/>
        <v>45738</v>
      </c>
      <c r="M1940" s="56" t="str">
        <f t="shared" si="222"/>
        <v>SAT</v>
      </c>
      <c r="O1940" s="383">
        <f t="shared" ref="O1940:O1965" si="225">IF(MOD(C1940,7)&lt;2,0,IF(MOD(C1940,7)=6,3,1))</f>
        <v>0</v>
      </c>
      <c r="P1940" s="392">
        <f t="shared" si="224"/>
        <v>1</v>
      </c>
    </row>
    <row r="1941" spans="1:16">
      <c r="B1941" s="41"/>
      <c r="C1941" s="403">
        <f t="shared" si="223"/>
        <v>45739</v>
      </c>
      <c r="D1941" s="56" t="str">
        <f>VLOOKUP(MOD(C1941,7),'CALENDAR INFO'!$G$5:$H$11,2)</f>
        <v>SUN</v>
      </c>
      <c r="E1941" s="165">
        <v>4.33</v>
      </c>
      <c r="F1941" s="336">
        <v>4.3</v>
      </c>
      <c r="G1941" s="411">
        <f t="shared" si="220"/>
        <v>-3.0000000000000249E-2</v>
      </c>
      <c r="I1941" s="137"/>
      <c r="J1941" s="150"/>
      <c r="K1941" s="126"/>
      <c r="L1941" s="403">
        <f t="shared" si="221"/>
        <v>45739</v>
      </c>
      <c r="M1941" s="56" t="str">
        <f t="shared" si="222"/>
        <v>SUN</v>
      </c>
      <c r="O1941" s="383">
        <f t="shared" si="225"/>
        <v>0</v>
      </c>
      <c r="P1941" s="392">
        <f t="shared" si="224"/>
        <v>1</v>
      </c>
    </row>
    <row r="1942" spans="1:16">
      <c r="B1942" s="41"/>
      <c r="C1942" s="403">
        <f t="shared" si="223"/>
        <v>45740</v>
      </c>
      <c r="D1942" s="56" t="str">
        <f>VLOOKUP(MOD(C1942,7),'CALENDAR INFO'!$G$5:$H$11,2)</f>
        <v>MON</v>
      </c>
      <c r="E1942" s="165">
        <v>4.33</v>
      </c>
      <c r="F1942" s="336">
        <v>4.3099999999999996</v>
      </c>
      <c r="G1942" s="411">
        <f t="shared" si="220"/>
        <v>-2.0000000000000462E-2</v>
      </c>
      <c r="I1942" s="137"/>
      <c r="J1942" s="150"/>
      <c r="K1942" s="126"/>
      <c r="L1942" s="403">
        <f t="shared" si="221"/>
        <v>45740</v>
      </c>
      <c r="M1942" s="56" t="str">
        <f t="shared" si="222"/>
        <v>MON</v>
      </c>
      <c r="O1942" s="383">
        <f t="shared" si="225"/>
        <v>1</v>
      </c>
      <c r="P1942" s="392">
        <f t="shared" si="224"/>
        <v>1.0001197222222222</v>
      </c>
    </row>
    <row r="1943" spans="1:16">
      <c r="B1943" s="41"/>
      <c r="C1943" s="403">
        <f t="shared" si="223"/>
        <v>45741</v>
      </c>
      <c r="D1943" s="56" t="str">
        <f>VLOOKUP(MOD(C1943,7),'CALENDAR INFO'!$G$5:$H$11,2)</f>
        <v>TUE</v>
      </c>
      <c r="E1943" s="165">
        <v>4.33</v>
      </c>
      <c r="F1943" s="336">
        <v>4.33</v>
      </c>
      <c r="G1943" s="411">
        <f t="shared" si="220"/>
        <v>0</v>
      </c>
      <c r="I1943" s="137"/>
      <c r="J1943" s="150"/>
      <c r="K1943" s="126"/>
      <c r="L1943" s="403">
        <f t="shared" si="221"/>
        <v>45741</v>
      </c>
      <c r="M1943" s="56" t="str">
        <f t="shared" si="222"/>
        <v>TUE</v>
      </c>
      <c r="O1943" s="383">
        <f t="shared" si="225"/>
        <v>1</v>
      </c>
      <c r="P1943" s="392">
        <f t="shared" si="224"/>
        <v>1.0001202777777778</v>
      </c>
    </row>
    <row r="1944" spans="1:16">
      <c r="B1944" s="41"/>
      <c r="C1944" s="403">
        <f t="shared" si="223"/>
        <v>45742</v>
      </c>
      <c r="D1944" s="56" t="str">
        <f>VLOOKUP(MOD(C1944,7),'CALENDAR INFO'!$G$5:$H$11,2)</f>
        <v>WED</v>
      </c>
      <c r="E1944" s="165">
        <v>4.33</v>
      </c>
      <c r="F1944" s="336">
        <v>4.3499999999999996</v>
      </c>
      <c r="G1944" s="411">
        <f t="shared" si="220"/>
        <v>1.9999999999999574E-2</v>
      </c>
      <c r="K1944" s="126"/>
      <c r="L1944" s="403">
        <f t="shared" si="221"/>
        <v>45742</v>
      </c>
      <c r="M1944" s="56" t="str">
        <f t="shared" si="222"/>
        <v>WED</v>
      </c>
      <c r="O1944" s="383">
        <f t="shared" si="225"/>
        <v>1</v>
      </c>
      <c r="P1944" s="392">
        <f t="shared" si="224"/>
        <v>1.0001208333333333</v>
      </c>
    </row>
    <row r="1945" spans="1:16">
      <c r="B1945" s="41"/>
      <c r="C1945" s="403">
        <f t="shared" si="223"/>
        <v>45743</v>
      </c>
      <c r="D1945" s="56" t="str">
        <f>VLOOKUP(MOD(C1945,7),'CALENDAR INFO'!$G$5:$H$11,2)</f>
        <v>THU</v>
      </c>
      <c r="E1945" s="165">
        <v>4.33</v>
      </c>
      <c r="F1945" s="336">
        <v>4.3600000000000003</v>
      </c>
      <c r="G1945" s="411">
        <f t="shared" si="220"/>
        <v>3.0000000000000249E-2</v>
      </c>
      <c r="K1945" s="126"/>
      <c r="L1945" s="403">
        <f t="shared" si="221"/>
        <v>45743</v>
      </c>
      <c r="M1945" s="56" t="str">
        <f t="shared" si="222"/>
        <v>THU</v>
      </c>
      <c r="O1945" s="383">
        <f t="shared" si="225"/>
        <v>1</v>
      </c>
      <c r="P1945" s="392">
        <f t="shared" si="224"/>
        <v>1.000121111111111</v>
      </c>
    </row>
    <row r="1946" spans="1:16">
      <c r="B1946" s="41"/>
      <c r="C1946" s="403">
        <f t="shared" si="223"/>
        <v>45744</v>
      </c>
      <c r="D1946" s="56" t="str">
        <f>VLOOKUP(MOD(C1946,7),'CALENDAR INFO'!$G$5:$H$11,2)</f>
        <v>FRI</v>
      </c>
      <c r="E1946" s="165">
        <v>4.33</v>
      </c>
      <c r="F1946" s="336">
        <v>4.34</v>
      </c>
      <c r="G1946" s="411">
        <f t="shared" si="220"/>
        <v>9.9999999999997868E-3</v>
      </c>
      <c r="I1946" s="137"/>
      <c r="J1946" s="150"/>
      <c r="K1946" s="126"/>
      <c r="L1946" s="403">
        <f t="shared" si="221"/>
        <v>45744</v>
      </c>
      <c r="M1946" s="56" t="str">
        <f t="shared" si="222"/>
        <v>FRI</v>
      </c>
      <c r="O1946" s="383">
        <f t="shared" si="225"/>
        <v>3</v>
      </c>
      <c r="P1946" s="392">
        <f t="shared" si="224"/>
        <v>1.0003616666666666</v>
      </c>
    </row>
    <row r="1947" spans="1:16">
      <c r="B1947" s="41"/>
      <c r="C1947" s="403">
        <f t="shared" si="223"/>
        <v>45745</v>
      </c>
      <c r="D1947" s="56" t="str">
        <f>VLOOKUP(MOD(C1947,7),'CALENDAR INFO'!$G$5:$H$11,2)</f>
        <v>SAT</v>
      </c>
      <c r="E1947" s="165">
        <v>4.33</v>
      </c>
      <c r="F1947" s="336">
        <v>4.34</v>
      </c>
      <c r="G1947" s="411">
        <f t="shared" si="220"/>
        <v>9.9999999999997868E-3</v>
      </c>
      <c r="K1947" s="126"/>
      <c r="L1947" s="403">
        <f t="shared" si="221"/>
        <v>45745</v>
      </c>
      <c r="M1947" s="56" t="str">
        <f t="shared" si="222"/>
        <v>SAT</v>
      </c>
      <c r="O1947" s="383">
        <f t="shared" si="225"/>
        <v>0</v>
      </c>
      <c r="P1947" s="392">
        <f t="shared" si="224"/>
        <v>1</v>
      </c>
    </row>
    <row r="1948" spans="1:16">
      <c r="B1948" s="41"/>
      <c r="C1948" s="403">
        <f t="shared" si="223"/>
        <v>45746</v>
      </c>
      <c r="D1948" s="56" t="str">
        <f>VLOOKUP(MOD(C1948,7),'CALENDAR INFO'!$G$5:$H$11,2)</f>
        <v>SUN</v>
      </c>
      <c r="E1948" s="165">
        <v>4.33</v>
      </c>
      <c r="F1948" s="336">
        <v>4.34</v>
      </c>
      <c r="G1948" s="411">
        <f t="shared" si="220"/>
        <v>9.9999999999997868E-3</v>
      </c>
      <c r="K1948" s="126"/>
      <c r="L1948" s="403">
        <f t="shared" si="221"/>
        <v>45746</v>
      </c>
      <c r="M1948" s="56" t="str">
        <f t="shared" si="222"/>
        <v>SUN</v>
      </c>
      <c r="O1948" s="383">
        <f t="shared" si="225"/>
        <v>0</v>
      </c>
      <c r="P1948" s="392">
        <f t="shared" si="224"/>
        <v>1</v>
      </c>
    </row>
    <row r="1949" spans="1:16" ht="15.75" thickBot="1">
      <c r="A1949" s="81"/>
      <c r="B1949" s="178"/>
      <c r="C1949" s="404">
        <f t="shared" si="223"/>
        <v>45747</v>
      </c>
      <c r="D1949" s="64" t="str">
        <f>VLOOKUP(MOD(C1949,7),'CALENDAR INFO'!$G$5:$H$11,2)</f>
        <v>MON</v>
      </c>
      <c r="E1949" s="166">
        <v>4.33</v>
      </c>
      <c r="F1949" s="337">
        <v>4.41</v>
      </c>
      <c r="G1949" s="412">
        <f t="shared" si="220"/>
        <v>8.0000000000000071E-2</v>
      </c>
      <c r="H1949" s="335"/>
      <c r="I1949" s="267"/>
      <c r="J1949" s="268"/>
      <c r="K1949" s="77"/>
      <c r="L1949" s="404">
        <f t="shared" si="221"/>
        <v>45747</v>
      </c>
      <c r="M1949" s="64" t="str">
        <f t="shared" si="222"/>
        <v>MON</v>
      </c>
      <c r="N1949" s="90"/>
      <c r="O1949" s="382">
        <f t="shared" si="225"/>
        <v>1</v>
      </c>
      <c r="P1949" s="388">
        <f t="shared" si="224"/>
        <v>1.0001225</v>
      </c>
    </row>
    <row r="1950" spans="1:16">
      <c r="A1950" s="238"/>
      <c r="B1950" s="239"/>
      <c r="C1950" s="403">
        <f t="shared" si="223"/>
        <v>45748</v>
      </c>
      <c r="D1950" s="56" t="str">
        <f>VLOOKUP(MOD(C1950,7),'CALENDAR INFO'!$G$5:$H$11,2)</f>
        <v>TUE</v>
      </c>
      <c r="E1950" s="165">
        <v>4.33</v>
      </c>
      <c r="F1950" s="336">
        <v>4.3899999999999997</v>
      </c>
      <c r="G1950" s="411">
        <f t="shared" si="220"/>
        <v>5.9999999999999609E-2</v>
      </c>
      <c r="H1950" s="15" t="s">
        <v>149</v>
      </c>
      <c r="I1950" s="15">
        <f>ROW(I1950)</f>
        <v>1950</v>
      </c>
      <c r="J1950" s="138">
        <f>I1950</f>
        <v>1950</v>
      </c>
      <c r="K1950" s="126"/>
      <c r="L1950" s="403">
        <f t="shared" si="221"/>
        <v>45748</v>
      </c>
      <c r="M1950" s="56" t="str">
        <f t="shared" si="222"/>
        <v>TUE</v>
      </c>
      <c r="O1950" s="383">
        <f t="shared" si="225"/>
        <v>1</v>
      </c>
      <c r="P1950" s="392">
        <f t="shared" si="224"/>
        <v>1.0001219444444445</v>
      </c>
    </row>
    <row r="1951" spans="1:16">
      <c r="B1951" s="41"/>
      <c r="C1951" s="403">
        <f t="shared" si="223"/>
        <v>45749</v>
      </c>
      <c r="D1951" s="56" t="str">
        <f>VLOOKUP(MOD(C1951,7),'CALENDAR INFO'!$G$5:$H$11,2)</f>
        <v>WED</v>
      </c>
      <c r="E1951" s="165">
        <v>4.33</v>
      </c>
      <c r="F1951" s="336">
        <v>4.37</v>
      </c>
      <c r="G1951" s="411">
        <f t="shared" si="220"/>
        <v>4.0000000000000036E-2</v>
      </c>
      <c r="H1951" s="376" t="s">
        <v>210</v>
      </c>
      <c r="I1951" s="15">
        <f>VLOOKUP(MONTH($C1950),'CALENDAR INFO'!$J$5:$K$16,2)</f>
        <v>30</v>
      </c>
      <c r="J1951" s="138">
        <f>I1951</f>
        <v>30</v>
      </c>
      <c r="K1951" s="126" t="s">
        <v>19</v>
      </c>
      <c r="L1951" s="403">
        <f t="shared" si="221"/>
        <v>45749</v>
      </c>
      <c r="M1951" s="56" t="str">
        <f t="shared" si="222"/>
        <v>WED</v>
      </c>
      <c r="O1951" s="383">
        <f t="shared" si="225"/>
        <v>1</v>
      </c>
      <c r="P1951" s="392">
        <f t="shared" si="224"/>
        <v>1.0001213888888889</v>
      </c>
    </row>
    <row r="1952" spans="1:16">
      <c r="B1952" s="41"/>
      <c r="C1952" s="403">
        <f t="shared" si="223"/>
        <v>45750</v>
      </c>
      <c r="D1952" s="56" t="str">
        <f>VLOOKUP(MOD(C1952,7),'CALENDAR INFO'!$G$5:$H$11,2)</f>
        <v>THU</v>
      </c>
      <c r="E1952" s="165">
        <v>4.33</v>
      </c>
      <c r="F1952" s="336">
        <v>4.3899999999999997</v>
      </c>
      <c r="G1952" s="411">
        <f t="shared" si="220"/>
        <v>5.9999999999999609E-2</v>
      </c>
      <c r="H1952" s="376" t="s">
        <v>211</v>
      </c>
      <c r="I1952" s="15">
        <f>I1951+I1950-1</f>
        <v>1979</v>
      </c>
      <c r="J1952" s="138">
        <f>I1952</f>
        <v>1979</v>
      </c>
      <c r="K1952" s="129" t="s">
        <v>18</v>
      </c>
      <c r="L1952" s="403">
        <f t="shared" si="221"/>
        <v>45750</v>
      </c>
      <c r="M1952" s="56" t="str">
        <f t="shared" si="222"/>
        <v>THU</v>
      </c>
      <c r="O1952" s="383">
        <f t="shared" si="225"/>
        <v>1</v>
      </c>
      <c r="P1952" s="392">
        <f t="shared" si="224"/>
        <v>1.0001219444444445</v>
      </c>
    </row>
    <row r="1953" spans="2:17">
      <c r="B1953" s="41"/>
      <c r="C1953" s="403">
        <f t="shared" si="223"/>
        <v>45751</v>
      </c>
      <c r="D1953" s="56" t="str">
        <f>VLOOKUP(MOD(C1953,7),'CALENDAR INFO'!$G$5:$H$11,2)</f>
        <v>FRI</v>
      </c>
      <c r="E1953" s="165">
        <v>4.33</v>
      </c>
      <c r="F1953" s="336">
        <v>4.3499999999999996</v>
      </c>
      <c r="G1953" s="411">
        <f t="shared" si="220"/>
        <v>1.9999999999999574E-2</v>
      </c>
      <c r="K1953" s="129"/>
      <c r="L1953" s="403">
        <f t="shared" si="221"/>
        <v>45751</v>
      </c>
      <c r="M1953" s="56" t="str">
        <f t="shared" si="222"/>
        <v>FRI</v>
      </c>
      <c r="O1953" s="383">
        <f t="shared" si="225"/>
        <v>3</v>
      </c>
      <c r="P1953" s="392">
        <f t="shared" si="224"/>
        <v>1.0003625</v>
      </c>
    </row>
    <row r="1954" spans="2:17">
      <c r="B1954" s="41"/>
      <c r="C1954" s="403">
        <f t="shared" si="223"/>
        <v>45752</v>
      </c>
      <c r="D1954" s="56" t="str">
        <f>VLOOKUP(MOD(C1954,7),'CALENDAR INFO'!$G$5:$H$11,2)</f>
        <v>SAT</v>
      </c>
      <c r="E1954" s="165">
        <v>4.33</v>
      </c>
      <c r="F1954" s="336">
        <v>4.3499999999999996</v>
      </c>
      <c r="G1954" s="411">
        <f t="shared" si="220"/>
        <v>1.9999999999999574E-2</v>
      </c>
      <c r="H1954" s="15" t="s">
        <v>150</v>
      </c>
      <c r="I1954" s="137" t="str">
        <f>_xlfn.CONCAT(ADDRESS(I1950,5),":",ADDRESS(I1952,5))</f>
        <v>$E$1950:$E$1979</v>
      </c>
      <c r="J1954" s="150" t="str">
        <f>_xlfn.CONCAT(ADDRESS(J1950,6),":",ADDRESS(J1952,6))</f>
        <v>$F$1950:$F$1979</v>
      </c>
      <c r="K1954" s="129"/>
      <c r="L1954" s="403">
        <f t="shared" si="221"/>
        <v>45752</v>
      </c>
      <c r="M1954" s="56" t="str">
        <f t="shared" si="222"/>
        <v>SAT</v>
      </c>
      <c r="O1954" s="383">
        <f t="shared" si="225"/>
        <v>0</v>
      </c>
      <c r="P1954" s="392">
        <f t="shared" si="224"/>
        <v>1</v>
      </c>
    </row>
    <row r="1955" spans="2:17">
      <c r="B1955" s="41"/>
      <c r="C1955" s="403">
        <f t="shared" si="223"/>
        <v>45753</v>
      </c>
      <c r="D1955" s="56" t="str">
        <f>VLOOKUP(MOD(C1955,7),'CALENDAR INFO'!$G$5:$H$11,2)</f>
        <v>SUN</v>
      </c>
      <c r="E1955" s="165">
        <v>4.33</v>
      </c>
      <c r="F1955" s="336">
        <v>4.3499999999999996</v>
      </c>
      <c r="G1955" s="411">
        <f t="shared" si="220"/>
        <v>1.9999999999999574E-2</v>
      </c>
      <c r="K1955" s="129"/>
      <c r="L1955" s="403">
        <f t="shared" si="221"/>
        <v>45753</v>
      </c>
      <c r="M1955" s="56" t="str">
        <f t="shared" si="222"/>
        <v>SUN</v>
      </c>
      <c r="O1955" s="383">
        <f t="shared" si="225"/>
        <v>0</v>
      </c>
      <c r="P1955" s="392">
        <f t="shared" si="224"/>
        <v>1</v>
      </c>
    </row>
    <row r="1956" spans="2:17">
      <c r="B1956" s="41"/>
      <c r="C1956" s="403">
        <f t="shared" si="223"/>
        <v>45754</v>
      </c>
      <c r="D1956" s="56" t="str">
        <f>VLOOKUP(MOD(C1956,7),'CALENDAR INFO'!$G$5:$H$11,2)</f>
        <v>MON</v>
      </c>
      <c r="E1956" s="165">
        <v>4.33</v>
      </c>
      <c r="F1956" s="336">
        <v>4.33</v>
      </c>
      <c r="G1956" s="411">
        <f t="shared" si="220"/>
        <v>0</v>
      </c>
      <c r="H1956" s="376" t="s">
        <v>221</v>
      </c>
      <c r="I1956" s="147">
        <f ca="1">AVERAGE(INDIRECT(I1954))</f>
        <v>4.3299999999999992</v>
      </c>
      <c r="J1956" s="326">
        <f ca="1">AVERAGE(INDIRECT(J1954))</f>
        <v>4.3433333333333328</v>
      </c>
      <c r="K1956" s="129"/>
      <c r="L1956" s="403">
        <f t="shared" si="221"/>
        <v>45754</v>
      </c>
      <c r="M1956" s="56" t="str">
        <f t="shared" si="222"/>
        <v>MON</v>
      </c>
      <c r="O1956" s="383">
        <f t="shared" si="225"/>
        <v>1</v>
      </c>
      <c r="P1956" s="392">
        <f t="shared" si="224"/>
        <v>1.0001202777777778</v>
      </c>
    </row>
    <row r="1957" spans="2:17">
      <c r="B1957" s="41"/>
      <c r="C1957" s="403">
        <f t="shared" si="223"/>
        <v>45755</v>
      </c>
      <c r="D1957" s="56" t="str">
        <f>VLOOKUP(MOD(C1957,7),'CALENDAR INFO'!$G$5:$H$11,2)</f>
        <v>TUE</v>
      </c>
      <c r="E1957" s="165">
        <v>4.33</v>
      </c>
      <c r="F1957" s="336">
        <v>4.4000000000000004</v>
      </c>
      <c r="G1957" s="411">
        <f t="shared" si="220"/>
        <v>7.0000000000000284E-2</v>
      </c>
      <c r="K1957" s="129"/>
      <c r="L1957" s="403">
        <f t="shared" si="221"/>
        <v>45755</v>
      </c>
      <c r="M1957" s="56" t="str">
        <f t="shared" si="222"/>
        <v>TUE</v>
      </c>
      <c r="O1957" s="383">
        <f t="shared" si="225"/>
        <v>1</v>
      </c>
      <c r="P1957" s="392">
        <f t="shared" si="224"/>
        <v>1.0001222222222221</v>
      </c>
    </row>
    <row r="1958" spans="2:17">
      <c r="B1958" s="41"/>
      <c r="C1958" s="403">
        <f t="shared" si="223"/>
        <v>45756</v>
      </c>
      <c r="D1958" s="56" t="str">
        <f>VLOOKUP(MOD(C1958,7),'CALENDAR INFO'!$G$5:$H$11,2)</f>
        <v>WED</v>
      </c>
      <c r="E1958" s="165">
        <v>4.33</v>
      </c>
      <c r="F1958" s="336">
        <v>4.42</v>
      </c>
      <c r="G1958" s="411">
        <f t="shared" si="220"/>
        <v>8.9999999999999858E-2</v>
      </c>
      <c r="H1958" s="15" t="s">
        <v>222</v>
      </c>
      <c r="I1958" s="147">
        <f ca="1">100-I1956</f>
        <v>95.67</v>
      </c>
      <c r="J1958" s="326">
        <f ca="1">100-J1956</f>
        <v>95.656666666666666</v>
      </c>
      <c r="K1958" s="129"/>
      <c r="L1958" s="403">
        <f t="shared" si="221"/>
        <v>45756</v>
      </c>
      <c r="M1958" s="56" t="str">
        <f t="shared" si="222"/>
        <v>WED</v>
      </c>
      <c r="O1958" s="383">
        <f t="shared" si="225"/>
        <v>1</v>
      </c>
      <c r="P1958" s="392">
        <f t="shared" si="224"/>
        <v>1.0001227777777777</v>
      </c>
    </row>
    <row r="1959" spans="2:17">
      <c r="B1959" s="41"/>
      <c r="C1959" s="403">
        <f t="shared" si="223"/>
        <v>45757</v>
      </c>
      <c r="D1959" s="56" t="str">
        <f>VLOOKUP(MOD(C1959,7),'CALENDAR INFO'!$G$5:$H$11,2)</f>
        <v>THU</v>
      </c>
      <c r="E1959" s="165">
        <v>4.33</v>
      </c>
      <c r="F1959" s="336">
        <v>4.37</v>
      </c>
      <c r="G1959" s="411">
        <f t="shared" si="220"/>
        <v>4.0000000000000036E-2</v>
      </c>
      <c r="I1959" s="137"/>
      <c r="J1959" s="150"/>
      <c r="K1959" s="129"/>
      <c r="L1959" s="403">
        <f t="shared" si="221"/>
        <v>45757</v>
      </c>
      <c r="M1959" s="56" t="str">
        <f t="shared" si="222"/>
        <v>THU</v>
      </c>
      <c r="O1959" s="383">
        <f t="shared" si="225"/>
        <v>1</v>
      </c>
      <c r="P1959" s="392">
        <f t="shared" si="224"/>
        <v>1.0001213888888889</v>
      </c>
    </row>
    <row r="1960" spans="2:17">
      <c r="B1960" s="41"/>
      <c r="C1960" s="403">
        <f t="shared" si="223"/>
        <v>45758</v>
      </c>
      <c r="D1960" s="56" t="str">
        <f>VLOOKUP(MOD(C1960,7),'CALENDAR INFO'!$G$5:$H$11,2)</f>
        <v>FRI</v>
      </c>
      <c r="E1960" s="165">
        <v>4.33</v>
      </c>
      <c r="F1960" s="336">
        <v>4.33</v>
      </c>
      <c r="G1960" s="411">
        <f t="shared" si="220"/>
        <v>0</v>
      </c>
      <c r="K1960" s="129"/>
      <c r="L1960" s="403">
        <f t="shared" si="221"/>
        <v>45758</v>
      </c>
      <c r="M1960" s="56" t="str">
        <f t="shared" si="222"/>
        <v>FRI</v>
      </c>
      <c r="O1960" s="383">
        <f t="shared" si="225"/>
        <v>3</v>
      </c>
      <c r="P1960" s="392">
        <f t="shared" si="224"/>
        <v>1.0003608333333334</v>
      </c>
    </row>
    <row r="1961" spans="2:17">
      <c r="B1961" s="41"/>
      <c r="C1961" s="403">
        <f t="shared" si="223"/>
        <v>45759</v>
      </c>
      <c r="D1961" s="56" t="str">
        <f>VLOOKUP(MOD(C1961,7),'CALENDAR INFO'!$G$5:$H$11,2)</f>
        <v>SAT</v>
      </c>
      <c r="E1961" s="165">
        <v>4.33</v>
      </c>
      <c r="F1961" s="336">
        <v>4.33</v>
      </c>
      <c r="G1961" s="411">
        <f t="shared" si="220"/>
        <v>0</v>
      </c>
      <c r="K1961" s="129"/>
      <c r="L1961" s="403">
        <f t="shared" si="221"/>
        <v>45759</v>
      </c>
      <c r="M1961" s="56" t="str">
        <f t="shared" si="222"/>
        <v>SAT</v>
      </c>
      <c r="O1961" s="383">
        <f t="shared" si="225"/>
        <v>0</v>
      </c>
      <c r="P1961" s="392">
        <f t="shared" si="224"/>
        <v>1</v>
      </c>
    </row>
    <row r="1962" spans="2:17">
      <c r="B1962" s="41"/>
      <c r="C1962" s="403">
        <f t="shared" si="223"/>
        <v>45760</v>
      </c>
      <c r="D1962" s="56" t="str">
        <f>VLOOKUP(MOD(C1962,7),'CALENDAR INFO'!$G$5:$H$11,2)</f>
        <v>SUN</v>
      </c>
      <c r="E1962" s="165">
        <v>4.33</v>
      </c>
      <c r="F1962" s="336">
        <v>4.33</v>
      </c>
      <c r="G1962" s="411">
        <f t="shared" si="220"/>
        <v>0</v>
      </c>
      <c r="K1962" s="129"/>
      <c r="L1962" s="403">
        <f t="shared" si="221"/>
        <v>45760</v>
      </c>
      <c r="M1962" s="56" t="str">
        <f t="shared" si="222"/>
        <v>SUN</v>
      </c>
      <c r="O1962" s="383">
        <f t="shared" si="225"/>
        <v>0</v>
      </c>
      <c r="P1962" s="392">
        <f t="shared" si="224"/>
        <v>1</v>
      </c>
    </row>
    <row r="1963" spans="2:17">
      <c r="B1963" s="41"/>
      <c r="C1963" s="403">
        <f t="shared" si="223"/>
        <v>45761</v>
      </c>
      <c r="D1963" s="56" t="str">
        <f>VLOOKUP(MOD(C1963,7),'CALENDAR INFO'!$G$5:$H$11,2)</f>
        <v>MON</v>
      </c>
      <c r="E1963" s="165">
        <v>4.33</v>
      </c>
      <c r="F1963" s="336">
        <v>4.33</v>
      </c>
      <c r="G1963" s="411">
        <f t="shared" si="220"/>
        <v>0</v>
      </c>
      <c r="K1963" s="129"/>
      <c r="L1963" s="403">
        <f t="shared" si="221"/>
        <v>45761</v>
      </c>
      <c r="M1963" s="56" t="str">
        <f t="shared" si="222"/>
        <v>MON</v>
      </c>
      <c r="O1963" s="383">
        <f t="shared" si="225"/>
        <v>1</v>
      </c>
      <c r="P1963" s="392">
        <f t="shared" si="224"/>
        <v>1.0001202777777778</v>
      </c>
    </row>
    <row r="1964" spans="2:17">
      <c r="B1964" s="41"/>
      <c r="C1964" s="403">
        <f t="shared" si="223"/>
        <v>45762</v>
      </c>
      <c r="D1964" s="56" t="str">
        <f>VLOOKUP(MOD(C1964,7),'CALENDAR INFO'!$G$5:$H$11,2)</f>
        <v>TUE</v>
      </c>
      <c r="E1964" s="165">
        <v>4.33</v>
      </c>
      <c r="F1964" s="336">
        <v>4.3600000000000003</v>
      </c>
      <c r="G1964" s="411">
        <f t="shared" si="220"/>
        <v>3.0000000000000249E-2</v>
      </c>
      <c r="K1964" s="129"/>
      <c r="L1964" s="403">
        <f t="shared" si="221"/>
        <v>45762</v>
      </c>
      <c r="M1964" s="56" t="str">
        <f t="shared" si="222"/>
        <v>TUE</v>
      </c>
      <c r="O1964" s="383">
        <f t="shared" si="225"/>
        <v>1</v>
      </c>
      <c r="P1964" s="392">
        <f t="shared" si="224"/>
        <v>1.000121111111111</v>
      </c>
      <c r="Q1964" s="21"/>
    </row>
    <row r="1965" spans="2:17">
      <c r="B1965" s="41"/>
      <c r="C1965" s="403">
        <f t="shared" si="223"/>
        <v>45763</v>
      </c>
      <c r="D1965" s="56" t="str">
        <f>VLOOKUP(MOD(C1965,7),'CALENDAR INFO'!$G$5:$H$11,2)</f>
        <v>WED</v>
      </c>
      <c r="E1965" s="165">
        <v>4.33</v>
      </c>
      <c r="F1965" s="336">
        <v>4.3099999999999996</v>
      </c>
      <c r="G1965" s="411">
        <f t="shared" si="220"/>
        <v>-2.0000000000000462E-2</v>
      </c>
      <c r="K1965" s="129" t="s">
        <v>19</v>
      </c>
      <c r="L1965" s="403">
        <f t="shared" si="221"/>
        <v>45763</v>
      </c>
      <c r="M1965" s="56" t="str">
        <f t="shared" si="222"/>
        <v>WED</v>
      </c>
      <c r="O1965" s="383">
        <f t="shared" si="225"/>
        <v>1</v>
      </c>
      <c r="P1965" s="392">
        <f t="shared" si="224"/>
        <v>1.0001197222222222</v>
      </c>
    </row>
    <row r="1966" spans="2:17">
      <c r="B1966" s="41"/>
      <c r="C1966" s="403">
        <f t="shared" si="223"/>
        <v>45764</v>
      </c>
      <c r="D1966" s="56" t="str">
        <f>VLOOKUP(MOD(C1966,7),'CALENDAR INFO'!$G$5:$H$11,2)</f>
        <v>THU</v>
      </c>
      <c r="E1966" s="165">
        <v>4.33</v>
      </c>
      <c r="F1966" s="336">
        <v>4.32</v>
      </c>
      <c r="G1966" s="411">
        <f t="shared" si="220"/>
        <v>-9.9999999999997868E-3</v>
      </c>
      <c r="K1966" s="126" t="s">
        <v>18</v>
      </c>
      <c r="L1966" s="403">
        <f t="shared" si="221"/>
        <v>45764</v>
      </c>
      <c r="M1966" s="56" t="str">
        <f t="shared" si="222"/>
        <v>THU</v>
      </c>
      <c r="O1966" s="384">
        <v>4</v>
      </c>
      <c r="P1966" s="392">
        <f t="shared" si="224"/>
        <v>1.00048</v>
      </c>
    </row>
    <row r="1967" spans="2:17">
      <c r="B1967" s="41"/>
      <c r="C1967" s="403">
        <f t="shared" si="223"/>
        <v>45765</v>
      </c>
      <c r="D1967" s="56" t="str">
        <f>VLOOKUP(MOD(C1967,7),'CALENDAR INFO'!$G$5:$H$11,2)</f>
        <v>FRI</v>
      </c>
      <c r="E1967" s="165">
        <v>4.33</v>
      </c>
      <c r="F1967" s="336">
        <v>4.32</v>
      </c>
      <c r="G1967" s="411">
        <f t="shared" si="220"/>
        <v>-9.9999999999997868E-3</v>
      </c>
      <c r="I1967" s="139"/>
      <c r="J1967" s="151"/>
      <c r="K1967" s="126"/>
      <c r="L1967" s="403">
        <f t="shared" si="221"/>
        <v>45765</v>
      </c>
      <c r="M1967" s="56" t="str">
        <f t="shared" si="222"/>
        <v>FRI</v>
      </c>
      <c r="N1967" s="132" t="s">
        <v>44</v>
      </c>
      <c r="O1967" s="383">
        <v>0</v>
      </c>
      <c r="P1967" s="392">
        <f t="shared" si="224"/>
        <v>1</v>
      </c>
    </row>
    <row r="1968" spans="2:17">
      <c r="B1968" s="41"/>
      <c r="C1968" s="403">
        <f t="shared" si="223"/>
        <v>45766</v>
      </c>
      <c r="D1968" s="56" t="str">
        <f>VLOOKUP(MOD(C1968,7),'CALENDAR INFO'!$G$5:$H$11,2)</f>
        <v>SAT</v>
      </c>
      <c r="E1968" s="165">
        <v>4.33</v>
      </c>
      <c r="F1968" s="336">
        <v>4.32</v>
      </c>
      <c r="G1968" s="411">
        <f t="shared" si="220"/>
        <v>-9.9999999999997868E-3</v>
      </c>
      <c r="K1968" s="126"/>
      <c r="L1968" s="403">
        <f t="shared" si="221"/>
        <v>45766</v>
      </c>
      <c r="M1968" s="56" t="str">
        <f t="shared" si="222"/>
        <v>SAT</v>
      </c>
      <c r="O1968" s="383">
        <f t="shared" ref="O1968:O2001" si="226">IF(MOD(C1968,7)&lt;2,0,IF(MOD(C1968,7)=6,3,1))</f>
        <v>0</v>
      </c>
      <c r="P1968" s="392">
        <f t="shared" si="224"/>
        <v>1</v>
      </c>
    </row>
    <row r="1969" spans="1:16">
      <c r="B1969" s="41"/>
      <c r="C1969" s="403">
        <f t="shared" si="223"/>
        <v>45767</v>
      </c>
      <c r="D1969" s="56" t="str">
        <f>VLOOKUP(MOD(C1969,7),'CALENDAR INFO'!$G$5:$H$11,2)</f>
        <v>SUN</v>
      </c>
      <c r="E1969" s="165">
        <v>4.33</v>
      </c>
      <c r="F1969" s="336">
        <v>4.32</v>
      </c>
      <c r="G1969" s="411">
        <f t="shared" si="220"/>
        <v>-9.9999999999997868E-3</v>
      </c>
      <c r="I1969" s="137"/>
      <c r="J1969" s="150"/>
      <c r="K1969" s="126"/>
      <c r="L1969" s="403">
        <f t="shared" si="221"/>
        <v>45767</v>
      </c>
      <c r="M1969" s="56" t="str">
        <f t="shared" si="222"/>
        <v>SUN</v>
      </c>
      <c r="O1969" s="383">
        <f t="shared" si="226"/>
        <v>0</v>
      </c>
      <c r="P1969" s="392">
        <f t="shared" si="224"/>
        <v>1</v>
      </c>
    </row>
    <row r="1970" spans="1:16">
      <c r="B1970" s="41"/>
      <c r="C1970" s="403">
        <f t="shared" si="223"/>
        <v>45768</v>
      </c>
      <c r="D1970" s="56" t="str">
        <f>VLOOKUP(MOD(C1970,7),'CALENDAR INFO'!$G$5:$H$11,2)</f>
        <v>MON</v>
      </c>
      <c r="E1970" s="165">
        <v>4.33</v>
      </c>
      <c r="F1970" s="336">
        <v>4.32</v>
      </c>
      <c r="G1970" s="411">
        <f t="shared" si="220"/>
        <v>-9.9999999999997868E-3</v>
      </c>
      <c r="I1970" s="137"/>
      <c r="J1970" s="150"/>
      <c r="K1970" s="126"/>
      <c r="L1970" s="403">
        <f t="shared" si="221"/>
        <v>45768</v>
      </c>
      <c r="M1970" s="56" t="str">
        <f t="shared" si="222"/>
        <v>MON</v>
      </c>
      <c r="O1970" s="383">
        <f t="shared" si="226"/>
        <v>1</v>
      </c>
      <c r="P1970" s="392">
        <f t="shared" si="224"/>
        <v>1.0001199999999999</v>
      </c>
    </row>
    <row r="1971" spans="1:16">
      <c r="B1971" s="41"/>
      <c r="C1971" s="403">
        <f t="shared" si="223"/>
        <v>45769</v>
      </c>
      <c r="D1971" s="56" t="str">
        <f>VLOOKUP(MOD(C1971,7),'CALENDAR INFO'!$G$5:$H$11,2)</f>
        <v>TUE</v>
      </c>
      <c r="E1971" s="165">
        <v>4.33</v>
      </c>
      <c r="F1971" s="336">
        <v>4.3</v>
      </c>
      <c r="G1971" s="411">
        <f t="shared" si="220"/>
        <v>-3.0000000000000249E-2</v>
      </c>
      <c r="I1971" s="163"/>
      <c r="J1971" s="164"/>
      <c r="K1971" s="126"/>
      <c r="L1971" s="403">
        <f t="shared" si="221"/>
        <v>45769</v>
      </c>
      <c r="M1971" s="56" t="str">
        <f t="shared" si="222"/>
        <v>TUE</v>
      </c>
      <c r="O1971" s="383">
        <f t="shared" si="226"/>
        <v>1</v>
      </c>
      <c r="P1971" s="392">
        <f t="shared" si="224"/>
        <v>1.0001194444444443</v>
      </c>
    </row>
    <row r="1972" spans="1:16">
      <c r="B1972" s="41"/>
      <c r="C1972" s="403">
        <f t="shared" si="223"/>
        <v>45770</v>
      </c>
      <c r="D1972" s="56" t="str">
        <f>VLOOKUP(MOD(C1972,7),'CALENDAR INFO'!$G$5:$H$11,2)</f>
        <v>WED</v>
      </c>
      <c r="E1972" s="165">
        <v>4.33</v>
      </c>
      <c r="F1972" s="336">
        <v>4.28</v>
      </c>
      <c r="G1972" s="411">
        <f t="shared" si="220"/>
        <v>-4.9999999999999822E-2</v>
      </c>
      <c r="I1972" s="137"/>
      <c r="J1972" s="150"/>
      <c r="K1972" s="126"/>
      <c r="L1972" s="403">
        <f t="shared" si="221"/>
        <v>45770</v>
      </c>
      <c r="M1972" s="56" t="str">
        <f t="shared" si="222"/>
        <v>WED</v>
      </c>
      <c r="O1972" s="383">
        <f t="shared" si="226"/>
        <v>1</v>
      </c>
      <c r="P1972" s="392">
        <f t="shared" si="224"/>
        <v>1.0001188888888888</v>
      </c>
    </row>
    <row r="1973" spans="1:16">
      <c r="B1973" s="41"/>
      <c r="C1973" s="403">
        <f t="shared" si="223"/>
        <v>45771</v>
      </c>
      <c r="D1973" s="56" t="str">
        <f>VLOOKUP(MOD(C1973,7),'CALENDAR INFO'!$G$5:$H$11,2)</f>
        <v>THU</v>
      </c>
      <c r="E1973" s="165">
        <v>4.33</v>
      </c>
      <c r="F1973" s="336">
        <v>4.29</v>
      </c>
      <c r="G1973" s="411">
        <f t="shared" si="220"/>
        <v>-4.0000000000000036E-2</v>
      </c>
      <c r="I1973" s="137"/>
      <c r="J1973" s="150"/>
      <c r="K1973" s="126"/>
      <c r="L1973" s="403">
        <f t="shared" si="221"/>
        <v>45771</v>
      </c>
      <c r="M1973" s="56" t="str">
        <f t="shared" si="222"/>
        <v>THU</v>
      </c>
      <c r="O1973" s="383">
        <f t="shared" si="226"/>
        <v>1</v>
      </c>
      <c r="P1973" s="392">
        <f t="shared" si="224"/>
        <v>1.0001191666666667</v>
      </c>
    </row>
    <row r="1974" spans="1:16">
      <c r="B1974" s="41"/>
      <c r="C1974" s="403">
        <f t="shared" si="223"/>
        <v>45772</v>
      </c>
      <c r="D1974" s="56" t="str">
        <f>VLOOKUP(MOD(C1974,7),'CALENDAR INFO'!$G$5:$H$11,2)</f>
        <v>FRI</v>
      </c>
      <c r="E1974" s="165">
        <v>4.33</v>
      </c>
      <c r="F1974" s="336">
        <v>4.33</v>
      </c>
      <c r="G1974" s="411">
        <f t="shared" si="220"/>
        <v>0</v>
      </c>
      <c r="I1974" s="137"/>
      <c r="J1974" s="150"/>
      <c r="K1974" s="126"/>
      <c r="L1974" s="403">
        <f t="shared" si="221"/>
        <v>45772</v>
      </c>
      <c r="M1974" s="56" t="str">
        <f t="shared" si="222"/>
        <v>FRI</v>
      </c>
      <c r="O1974" s="383">
        <f t="shared" si="226"/>
        <v>3</v>
      </c>
      <c r="P1974" s="392">
        <f t="shared" si="224"/>
        <v>1.0003608333333334</v>
      </c>
    </row>
    <row r="1975" spans="1:16">
      <c r="B1975" s="41"/>
      <c r="C1975" s="403">
        <f t="shared" si="223"/>
        <v>45773</v>
      </c>
      <c r="D1975" s="56" t="str">
        <f>VLOOKUP(MOD(C1975,7),'CALENDAR INFO'!$G$5:$H$11,2)</f>
        <v>SAT</v>
      </c>
      <c r="E1975" s="165">
        <v>4.33</v>
      </c>
      <c r="F1975" s="336">
        <v>4.33</v>
      </c>
      <c r="G1975" s="411">
        <f t="shared" si="220"/>
        <v>0</v>
      </c>
      <c r="K1975" s="126"/>
      <c r="L1975" s="403">
        <f t="shared" si="221"/>
        <v>45773</v>
      </c>
      <c r="M1975" s="56" t="str">
        <f t="shared" si="222"/>
        <v>SAT</v>
      </c>
      <c r="O1975" s="383">
        <f t="shared" si="226"/>
        <v>0</v>
      </c>
      <c r="P1975" s="392">
        <f t="shared" si="224"/>
        <v>1</v>
      </c>
    </row>
    <row r="1976" spans="1:16">
      <c r="B1976" s="41"/>
      <c r="C1976" s="403">
        <f t="shared" si="223"/>
        <v>45774</v>
      </c>
      <c r="D1976" s="56" t="str">
        <f>VLOOKUP(MOD(C1976,7),'CALENDAR INFO'!$G$5:$H$11,2)</f>
        <v>SUN</v>
      </c>
      <c r="E1976" s="165">
        <v>4.33</v>
      </c>
      <c r="F1976" s="336">
        <v>4.33</v>
      </c>
      <c r="G1976" s="411">
        <f t="shared" si="220"/>
        <v>0</v>
      </c>
      <c r="K1976" s="126"/>
      <c r="L1976" s="403">
        <f t="shared" si="221"/>
        <v>45774</v>
      </c>
      <c r="M1976" s="56" t="str">
        <f t="shared" si="222"/>
        <v>SUN</v>
      </c>
      <c r="O1976" s="383">
        <f t="shared" si="226"/>
        <v>0</v>
      </c>
      <c r="P1976" s="392">
        <f t="shared" si="224"/>
        <v>1</v>
      </c>
    </row>
    <row r="1977" spans="1:16">
      <c r="B1977" s="41"/>
      <c r="C1977" s="403">
        <f t="shared" si="223"/>
        <v>45775</v>
      </c>
      <c r="D1977" s="56" t="str">
        <f>VLOOKUP(MOD(C1977,7),'CALENDAR INFO'!$G$5:$H$11,2)</f>
        <v>MON</v>
      </c>
      <c r="E1977" s="165">
        <v>4.33</v>
      </c>
      <c r="F1977" s="336">
        <v>4.3600000000000003</v>
      </c>
      <c r="G1977" s="411">
        <f t="shared" si="220"/>
        <v>3.0000000000000249E-2</v>
      </c>
      <c r="I1977" s="137"/>
      <c r="J1977" s="150"/>
      <c r="K1977" s="126"/>
      <c r="L1977" s="403">
        <f t="shared" si="221"/>
        <v>45775</v>
      </c>
      <c r="M1977" s="56" t="str">
        <f t="shared" si="222"/>
        <v>MON</v>
      </c>
      <c r="O1977" s="383">
        <f t="shared" si="226"/>
        <v>1</v>
      </c>
      <c r="P1977" s="392">
        <f t="shared" si="224"/>
        <v>1.000121111111111</v>
      </c>
    </row>
    <row r="1978" spans="1:16">
      <c r="B1978" s="41"/>
      <c r="C1978" s="403">
        <f t="shared" si="223"/>
        <v>45776</v>
      </c>
      <c r="D1978" s="56" t="str">
        <f>VLOOKUP(MOD(C1978,7),'CALENDAR INFO'!$G$5:$H$11,2)</f>
        <v>TUE</v>
      </c>
      <c r="E1978" s="165">
        <v>4.33</v>
      </c>
      <c r="F1978" s="336">
        <v>4.3600000000000003</v>
      </c>
      <c r="G1978" s="411">
        <f t="shared" si="220"/>
        <v>3.0000000000000249E-2</v>
      </c>
      <c r="K1978" s="126"/>
      <c r="L1978" s="403">
        <f t="shared" si="221"/>
        <v>45776</v>
      </c>
      <c r="M1978" s="56" t="str">
        <f t="shared" si="222"/>
        <v>TUE</v>
      </c>
      <c r="O1978" s="383">
        <f t="shared" si="226"/>
        <v>1</v>
      </c>
      <c r="P1978" s="392">
        <f t="shared" si="224"/>
        <v>1.000121111111111</v>
      </c>
    </row>
    <row r="1979" spans="1:16" ht="15.75" thickBot="1">
      <c r="A1979" s="81"/>
      <c r="B1979" s="178"/>
      <c r="C1979" s="404">
        <f t="shared" si="223"/>
        <v>45777</v>
      </c>
      <c r="D1979" s="64" t="str">
        <f>VLOOKUP(MOD(C1979,7),'CALENDAR INFO'!$G$5:$H$11,2)</f>
        <v>WED</v>
      </c>
      <c r="E1979" s="166">
        <v>4.33</v>
      </c>
      <c r="F1979" s="337">
        <v>4.41</v>
      </c>
      <c r="G1979" s="412">
        <f t="shared" si="220"/>
        <v>8.0000000000000071E-2</v>
      </c>
      <c r="H1979" s="346"/>
      <c r="I1979" s="304"/>
      <c r="J1979" s="305"/>
      <c r="K1979" s="77" t="s">
        <v>19</v>
      </c>
      <c r="L1979" s="404">
        <f t="shared" si="221"/>
        <v>45777</v>
      </c>
      <c r="M1979" s="64" t="str">
        <f t="shared" si="222"/>
        <v>WED</v>
      </c>
      <c r="N1979" s="90"/>
      <c r="O1979" s="382">
        <f t="shared" si="226"/>
        <v>1</v>
      </c>
      <c r="P1979" s="388">
        <f t="shared" si="224"/>
        <v>1.0001225</v>
      </c>
    </row>
    <row r="1980" spans="1:16">
      <c r="A1980" s="238"/>
      <c r="B1980" s="239"/>
      <c r="C1980" s="403">
        <f t="shared" si="223"/>
        <v>45778</v>
      </c>
      <c r="D1980" s="56" t="str">
        <f>VLOOKUP(MOD(C1980,7),'CALENDAR INFO'!$G$5:$H$11,2)</f>
        <v>THU</v>
      </c>
      <c r="E1980" s="165">
        <v>4.33</v>
      </c>
      <c r="F1980" s="336">
        <v>4.3899999999999997</v>
      </c>
      <c r="G1980" s="411">
        <f t="shared" si="220"/>
        <v>5.9999999999999609E-2</v>
      </c>
      <c r="H1980" s="15" t="s">
        <v>149</v>
      </c>
      <c r="I1980" s="15">
        <f>ROW(I1980)</f>
        <v>1980</v>
      </c>
      <c r="J1980" s="138">
        <f>I1980</f>
        <v>1980</v>
      </c>
      <c r="K1980" s="129" t="s">
        <v>18</v>
      </c>
      <c r="L1980" s="403">
        <f t="shared" si="221"/>
        <v>45778</v>
      </c>
      <c r="M1980" s="56" t="str">
        <f t="shared" si="222"/>
        <v>THU</v>
      </c>
      <c r="O1980" s="383">
        <f t="shared" si="226"/>
        <v>1</v>
      </c>
      <c r="P1980" s="392">
        <f t="shared" si="224"/>
        <v>1.0001219444444445</v>
      </c>
    </row>
    <row r="1981" spans="1:16">
      <c r="A1981" s="238"/>
      <c r="B1981" s="239"/>
      <c r="C1981" s="403">
        <f t="shared" si="223"/>
        <v>45779</v>
      </c>
      <c r="D1981" s="56" t="str">
        <f>VLOOKUP(MOD(C1981,7),'CALENDAR INFO'!$G$5:$H$11,2)</f>
        <v>FRI</v>
      </c>
      <c r="E1981" s="165">
        <v>4.33</v>
      </c>
      <c r="F1981" s="336">
        <v>4.3600000000000003</v>
      </c>
      <c r="G1981" s="411">
        <f t="shared" si="220"/>
        <v>3.0000000000000249E-2</v>
      </c>
      <c r="H1981" s="376" t="s">
        <v>210</v>
      </c>
      <c r="I1981" s="15">
        <f>VLOOKUP(MONTH($C1980),'CALENDAR INFO'!$J$5:$K$16,2)</f>
        <v>31</v>
      </c>
      <c r="J1981" s="138">
        <f>I1981</f>
        <v>31</v>
      </c>
      <c r="K1981" s="129"/>
      <c r="L1981" s="403">
        <f t="shared" si="221"/>
        <v>45779</v>
      </c>
      <c r="M1981" s="56" t="str">
        <f t="shared" si="222"/>
        <v>FRI</v>
      </c>
      <c r="O1981" s="383">
        <f t="shared" si="226"/>
        <v>3</v>
      </c>
      <c r="P1981" s="392">
        <f t="shared" si="224"/>
        <v>1.0003633333333333</v>
      </c>
    </row>
    <row r="1982" spans="1:16">
      <c r="A1982" s="238"/>
      <c r="B1982" s="239"/>
      <c r="C1982" s="403">
        <f t="shared" si="223"/>
        <v>45780</v>
      </c>
      <c r="D1982" s="56" t="str">
        <f>VLOOKUP(MOD(C1982,7),'CALENDAR INFO'!$G$5:$H$11,2)</f>
        <v>SAT</v>
      </c>
      <c r="E1982" s="165">
        <v>4.33</v>
      </c>
      <c r="F1982" s="336">
        <v>4.3600000000000003</v>
      </c>
      <c r="G1982" s="411">
        <f t="shared" si="220"/>
        <v>3.0000000000000249E-2</v>
      </c>
      <c r="H1982" s="376" t="s">
        <v>211</v>
      </c>
      <c r="I1982" s="15">
        <f>I1981+I1980-1</f>
        <v>2010</v>
      </c>
      <c r="J1982" s="138">
        <f>I1982</f>
        <v>2010</v>
      </c>
      <c r="K1982" s="129"/>
      <c r="L1982" s="403">
        <f t="shared" si="221"/>
        <v>45780</v>
      </c>
      <c r="M1982" s="56" t="str">
        <f t="shared" si="222"/>
        <v>SAT</v>
      </c>
      <c r="O1982" s="383">
        <f t="shared" si="226"/>
        <v>0</v>
      </c>
      <c r="P1982" s="392">
        <f t="shared" si="224"/>
        <v>1</v>
      </c>
    </row>
    <row r="1983" spans="1:16">
      <c r="A1983" s="238"/>
      <c r="B1983" s="239"/>
      <c r="C1983" s="403">
        <f t="shared" si="223"/>
        <v>45781</v>
      </c>
      <c r="D1983" s="56" t="str">
        <f>VLOOKUP(MOD(C1983,7),'CALENDAR INFO'!$G$5:$H$11,2)</f>
        <v>SUN</v>
      </c>
      <c r="E1983" s="165">
        <v>4.33</v>
      </c>
      <c r="F1983" s="336">
        <v>4.3600000000000003</v>
      </c>
      <c r="G1983" s="411">
        <f t="shared" si="220"/>
        <v>3.0000000000000249E-2</v>
      </c>
      <c r="K1983" s="129"/>
      <c r="L1983" s="403">
        <f t="shared" si="221"/>
        <v>45781</v>
      </c>
      <c r="M1983" s="56" t="str">
        <f t="shared" si="222"/>
        <v>SUN</v>
      </c>
      <c r="O1983" s="383">
        <f t="shared" si="226"/>
        <v>0</v>
      </c>
      <c r="P1983" s="392">
        <f t="shared" si="224"/>
        <v>1</v>
      </c>
    </row>
    <row r="1984" spans="1:16">
      <c r="A1984" s="238"/>
      <c r="B1984" s="239"/>
      <c r="C1984" s="403">
        <f t="shared" si="223"/>
        <v>45782</v>
      </c>
      <c r="D1984" s="56" t="str">
        <f>VLOOKUP(MOD(C1984,7),'CALENDAR INFO'!$G$5:$H$11,2)</f>
        <v>MON</v>
      </c>
      <c r="E1984" s="165">
        <v>4.33</v>
      </c>
      <c r="F1984" s="336">
        <v>4.33</v>
      </c>
      <c r="G1984" s="411">
        <f t="shared" si="220"/>
        <v>0</v>
      </c>
      <c r="H1984" s="15" t="s">
        <v>150</v>
      </c>
      <c r="I1984" s="137" t="str">
        <f>_xlfn.CONCAT(ADDRESS(I1980,5),":",ADDRESS(I1982,5))</f>
        <v>$E$1980:$E$2010</v>
      </c>
      <c r="J1984" s="150" t="str">
        <f>_xlfn.CONCAT(ADDRESS(J1980,6),":",ADDRESS(J1982,6))</f>
        <v>$F$1980:$F$2010</v>
      </c>
      <c r="K1984" s="129"/>
      <c r="L1984" s="403">
        <f t="shared" si="221"/>
        <v>45782</v>
      </c>
      <c r="M1984" s="56" t="str">
        <f t="shared" si="222"/>
        <v>MON</v>
      </c>
      <c r="O1984" s="383">
        <f t="shared" si="226"/>
        <v>1</v>
      </c>
      <c r="P1984" s="392">
        <f t="shared" si="224"/>
        <v>1.0001202777777778</v>
      </c>
    </row>
    <row r="1985" spans="1:16">
      <c r="A1985" s="238"/>
      <c r="B1985" s="239"/>
      <c r="C1985" s="403">
        <f t="shared" si="223"/>
        <v>45783</v>
      </c>
      <c r="D1985" s="56" t="str">
        <f>VLOOKUP(MOD(C1985,7),'CALENDAR INFO'!$G$5:$H$11,2)</f>
        <v>TUE</v>
      </c>
      <c r="E1985" s="165">
        <v>4.33</v>
      </c>
      <c r="F1985" s="336">
        <v>4.32</v>
      </c>
      <c r="G1985" s="411">
        <f t="shared" si="220"/>
        <v>-9.9999999999997868E-3</v>
      </c>
      <c r="K1985" s="129"/>
      <c r="L1985" s="403">
        <f t="shared" si="221"/>
        <v>45783</v>
      </c>
      <c r="M1985" s="56" t="str">
        <f t="shared" si="222"/>
        <v>TUE</v>
      </c>
      <c r="N1985" s="191" t="s">
        <v>20</v>
      </c>
      <c r="O1985" s="383">
        <f t="shared" si="226"/>
        <v>1</v>
      </c>
      <c r="P1985" s="392">
        <f t="shared" si="224"/>
        <v>1.0001199999999999</v>
      </c>
    </row>
    <row r="1986" spans="1:16">
      <c r="A1986" s="238"/>
      <c r="B1986" s="239"/>
      <c r="C1986" s="403">
        <f t="shared" si="223"/>
        <v>45784</v>
      </c>
      <c r="D1986" s="56" t="str">
        <f>VLOOKUP(MOD(C1986,7),'CALENDAR INFO'!$G$5:$H$11,2)</f>
        <v>WED</v>
      </c>
      <c r="E1986" s="165">
        <v>4.33</v>
      </c>
      <c r="F1986" s="336">
        <v>4.3</v>
      </c>
      <c r="G1986" s="411">
        <f t="shared" si="220"/>
        <v>-3.0000000000000249E-2</v>
      </c>
      <c r="H1986" s="376" t="s">
        <v>221</v>
      </c>
      <c r="I1986" s="147">
        <f ca="1">AVERAGE(INDIRECT(I1984))</f>
        <v>4.33</v>
      </c>
      <c r="J1986" s="326">
        <f ca="1">AVERAGE(INDIRECT(J1984))</f>
        <v>4.3038709677419362</v>
      </c>
      <c r="K1986" s="129"/>
      <c r="L1986" s="403">
        <f t="shared" si="221"/>
        <v>45784</v>
      </c>
      <c r="M1986" s="56" t="str">
        <f t="shared" si="222"/>
        <v>WED</v>
      </c>
      <c r="N1986" s="191" t="s">
        <v>20</v>
      </c>
      <c r="O1986" s="383">
        <f t="shared" si="226"/>
        <v>1</v>
      </c>
      <c r="P1986" s="392">
        <f t="shared" si="224"/>
        <v>1.0001194444444443</v>
      </c>
    </row>
    <row r="1987" spans="1:16">
      <c r="B1987" s="41"/>
      <c r="C1987" s="403">
        <f t="shared" si="223"/>
        <v>45785</v>
      </c>
      <c r="D1987" s="56" t="str">
        <f>VLOOKUP(MOD(C1987,7),'CALENDAR INFO'!$G$5:$H$11,2)</f>
        <v>THU</v>
      </c>
      <c r="E1987" s="165">
        <v>4.33</v>
      </c>
      <c r="F1987" s="336">
        <v>4.29</v>
      </c>
      <c r="G1987" s="411">
        <f t="shared" ref="G1987:G2050" si="227">F1987-E1987</f>
        <v>-4.0000000000000036E-2</v>
      </c>
      <c r="K1987" s="129"/>
      <c r="L1987" s="403">
        <f t="shared" ref="L1987:L2050" si="228">C1987</f>
        <v>45785</v>
      </c>
      <c r="M1987" s="56" t="str">
        <f t="shared" ref="M1987:M2050" si="229">D1987</f>
        <v>THU</v>
      </c>
      <c r="O1987" s="383">
        <f t="shared" si="226"/>
        <v>1</v>
      </c>
      <c r="P1987" s="392">
        <f t="shared" si="224"/>
        <v>1.0001191666666667</v>
      </c>
    </row>
    <row r="1988" spans="1:16">
      <c r="B1988" s="41"/>
      <c r="C1988" s="403">
        <f t="shared" ref="C1988:C2051" si="230">C1987+1</f>
        <v>45786</v>
      </c>
      <c r="D1988" s="56" t="str">
        <f>VLOOKUP(MOD(C1988,7),'CALENDAR INFO'!$G$5:$H$11,2)</f>
        <v>FRI</v>
      </c>
      <c r="E1988" s="165">
        <v>4.33</v>
      </c>
      <c r="F1988" s="336">
        <v>4.28</v>
      </c>
      <c r="G1988" s="411">
        <f t="shared" si="227"/>
        <v>-4.9999999999999822E-2</v>
      </c>
      <c r="H1988" s="15" t="s">
        <v>222</v>
      </c>
      <c r="I1988" s="147">
        <f ca="1">100-I1986</f>
        <v>95.67</v>
      </c>
      <c r="J1988" s="326">
        <f ca="1">100-J1986</f>
        <v>95.696129032258057</v>
      </c>
      <c r="K1988" s="129"/>
      <c r="L1988" s="403">
        <f t="shared" si="228"/>
        <v>45786</v>
      </c>
      <c r="M1988" s="56" t="str">
        <f t="shared" si="229"/>
        <v>FRI</v>
      </c>
      <c r="O1988" s="383">
        <f t="shared" si="226"/>
        <v>3</v>
      </c>
      <c r="P1988" s="392">
        <f t="shared" si="224"/>
        <v>1.0003566666666666</v>
      </c>
    </row>
    <row r="1989" spans="1:16">
      <c r="B1989" s="41"/>
      <c r="C1989" s="403">
        <f t="shared" si="230"/>
        <v>45787</v>
      </c>
      <c r="D1989" s="56" t="str">
        <f>VLOOKUP(MOD(C1989,7),'CALENDAR INFO'!$G$5:$H$11,2)</f>
        <v>SAT</v>
      </c>
      <c r="E1989" s="165">
        <v>4.33</v>
      </c>
      <c r="F1989" s="336">
        <v>4.28</v>
      </c>
      <c r="G1989" s="411">
        <f t="shared" si="227"/>
        <v>-4.9999999999999822E-2</v>
      </c>
      <c r="K1989" s="129"/>
      <c r="L1989" s="403">
        <f t="shared" si="228"/>
        <v>45787</v>
      </c>
      <c r="M1989" s="56" t="str">
        <f t="shared" si="229"/>
        <v>SAT</v>
      </c>
      <c r="O1989" s="383">
        <f t="shared" si="226"/>
        <v>0</v>
      </c>
      <c r="P1989" s="392">
        <f t="shared" si="224"/>
        <v>1</v>
      </c>
    </row>
    <row r="1990" spans="1:16">
      <c r="B1990" s="41"/>
      <c r="C1990" s="403">
        <f t="shared" si="230"/>
        <v>45788</v>
      </c>
      <c r="D1990" s="56" t="str">
        <f>VLOOKUP(MOD(C1990,7),'CALENDAR INFO'!$G$5:$H$11,2)</f>
        <v>SUN</v>
      </c>
      <c r="E1990" s="165">
        <v>4.33</v>
      </c>
      <c r="F1990" s="336">
        <v>4.28</v>
      </c>
      <c r="G1990" s="411">
        <f t="shared" si="227"/>
        <v>-4.9999999999999822E-2</v>
      </c>
      <c r="K1990" s="129"/>
      <c r="L1990" s="403">
        <f t="shared" si="228"/>
        <v>45788</v>
      </c>
      <c r="M1990" s="56" t="str">
        <f t="shared" si="229"/>
        <v>SUN</v>
      </c>
      <c r="O1990" s="383">
        <f t="shared" si="226"/>
        <v>0</v>
      </c>
      <c r="P1990" s="392">
        <f t="shared" si="224"/>
        <v>1</v>
      </c>
    </row>
    <row r="1991" spans="1:16">
      <c r="B1991" s="41"/>
      <c r="C1991" s="403">
        <f t="shared" si="230"/>
        <v>45789</v>
      </c>
      <c r="D1991" s="56" t="str">
        <f>VLOOKUP(MOD(C1991,7),'CALENDAR INFO'!$G$5:$H$11,2)</f>
        <v>MON</v>
      </c>
      <c r="E1991" s="165">
        <v>4.33</v>
      </c>
      <c r="F1991" s="336">
        <v>4.28</v>
      </c>
      <c r="G1991" s="411">
        <f t="shared" si="227"/>
        <v>-4.9999999999999822E-2</v>
      </c>
      <c r="K1991" s="129"/>
      <c r="L1991" s="403">
        <f t="shared" si="228"/>
        <v>45789</v>
      </c>
      <c r="M1991" s="56" t="str">
        <f t="shared" si="229"/>
        <v>MON</v>
      </c>
      <c r="O1991" s="383">
        <f t="shared" si="226"/>
        <v>1</v>
      </c>
      <c r="P1991" s="392">
        <f t="shared" si="224"/>
        <v>1.0001188888888888</v>
      </c>
    </row>
    <row r="1992" spans="1:16">
      <c r="B1992" s="41"/>
      <c r="C1992" s="403">
        <f t="shared" si="230"/>
        <v>45790</v>
      </c>
      <c r="D1992" s="56" t="str">
        <f>VLOOKUP(MOD(C1992,7),'CALENDAR INFO'!$G$5:$H$11,2)</f>
        <v>TUE</v>
      </c>
      <c r="E1992" s="165">
        <v>4.33</v>
      </c>
      <c r="F1992" s="336">
        <v>4.3</v>
      </c>
      <c r="G1992" s="411">
        <f t="shared" si="227"/>
        <v>-3.0000000000000249E-2</v>
      </c>
      <c r="K1992" s="129"/>
      <c r="L1992" s="403">
        <f t="shared" si="228"/>
        <v>45790</v>
      </c>
      <c r="M1992" s="56" t="str">
        <f t="shared" si="229"/>
        <v>TUE</v>
      </c>
      <c r="O1992" s="383">
        <f t="shared" si="226"/>
        <v>1</v>
      </c>
      <c r="P1992" s="392">
        <f t="shared" si="224"/>
        <v>1.0001194444444443</v>
      </c>
    </row>
    <row r="1993" spans="1:16">
      <c r="B1993" s="41"/>
      <c r="C1993" s="403">
        <f t="shared" si="230"/>
        <v>45791</v>
      </c>
      <c r="D1993" s="56" t="str">
        <f>VLOOKUP(MOD(C1993,7),'CALENDAR INFO'!$G$5:$H$11,2)</f>
        <v>WED</v>
      </c>
      <c r="E1993" s="165">
        <v>4.33</v>
      </c>
      <c r="F1993" s="336">
        <v>4.29</v>
      </c>
      <c r="G1993" s="411">
        <f t="shared" si="227"/>
        <v>-4.0000000000000036E-2</v>
      </c>
      <c r="K1993" s="129" t="s">
        <v>19</v>
      </c>
      <c r="L1993" s="403">
        <f t="shared" si="228"/>
        <v>45791</v>
      </c>
      <c r="M1993" s="56" t="str">
        <f t="shared" si="229"/>
        <v>WED</v>
      </c>
      <c r="O1993" s="383">
        <f t="shared" si="226"/>
        <v>1</v>
      </c>
      <c r="P1993" s="392">
        <f t="shared" si="224"/>
        <v>1.0001191666666667</v>
      </c>
    </row>
    <row r="1994" spans="1:16">
      <c r="B1994" s="41"/>
      <c r="C1994" s="403">
        <f t="shared" si="230"/>
        <v>45792</v>
      </c>
      <c r="D1994" s="56" t="str">
        <f>VLOOKUP(MOD(C1994,7),'CALENDAR INFO'!$G$5:$H$11,2)</f>
        <v>THU</v>
      </c>
      <c r="E1994" s="165">
        <v>4.33</v>
      </c>
      <c r="F1994" s="336">
        <v>4.3099999999999996</v>
      </c>
      <c r="G1994" s="411">
        <f t="shared" si="227"/>
        <v>-2.0000000000000462E-2</v>
      </c>
      <c r="K1994" s="126" t="s">
        <v>18</v>
      </c>
      <c r="L1994" s="403">
        <f t="shared" si="228"/>
        <v>45792</v>
      </c>
      <c r="M1994" s="56" t="str">
        <f t="shared" si="229"/>
        <v>THU</v>
      </c>
      <c r="O1994" s="383">
        <f t="shared" si="226"/>
        <v>1</v>
      </c>
      <c r="P1994" s="392">
        <f t="shared" si="224"/>
        <v>1.0001197222222222</v>
      </c>
    </row>
    <row r="1995" spans="1:16">
      <c r="B1995" s="41"/>
      <c r="C1995" s="403">
        <f t="shared" si="230"/>
        <v>45793</v>
      </c>
      <c r="D1995" s="56" t="str">
        <f>VLOOKUP(MOD(C1995,7),'CALENDAR INFO'!$G$5:$H$11,2)</f>
        <v>FRI</v>
      </c>
      <c r="E1995" s="165">
        <v>4.33</v>
      </c>
      <c r="F1995" s="336">
        <v>4.3</v>
      </c>
      <c r="G1995" s="411">
        <f t="shared" si="227"/>
        <v>-3.0000000000000249E-2</v>
      </c>
      <c r="K1995" s="126"/>
      <c r="L1995" s="403">
        <f t="shared" si="228"/>
        <v>45793</v>
      </c>
      <c r="M1995" s="56" t="str">
        <f t="shared" si="229"/>
        <v>FRI</v>
      </c>
      <c r="O1995" s="383">
        <f t="shared" si="226"/>
        <v>3</v>
      </c>
      <c r="P1995" s="392">
        <f t="shared" si="224"/>
        <v>1.0003583333333332</v>
      </c>
    </row>
    <row r="1996" spans="1:16">
      <c r="B1996" s="41"/>
      <c r="C1996" s="403">
        <f t="shared" si="230"/>
        <v>45794</v>
      </c>
      <c r="D1996" s="56" t="str">
        <f>VLOOKUP(MOD(C1996,7),'CALENDAR INFO'!$G$5:$H$11,2)</f>
        <v>SAT</v>
      </c>
      <c r="E1996" s="165">
        <v>4.33</v>
      </c>
      <c r="F1996" s="336">
        <v>4.3</v>
      </c>
      <c r="G1996" s="411">
        <f t="shared" si="227"/>
        <v>-3.0000000000000249E-2</v>
      </c>
      <c r="K1996" s="126"/>
      <c r="L1996" s="403">
        <f t="shared" si="228"/>
        <v>45794</v>
      </c>
      <c r="M1996" s="56" t="str">
        <f t="shared" si="229"/>
        <v>SAT</v>
      </c>
      <c r="O1996" s="383">
        <f t="shared" si="226"/>
        <v>0</v>
      </c>
      <c r="P1996" s="392">
        <f t="shared" si="224"/>
        <v>1</v>
      </c>
    </row>
    <row r="1997" spans="1:16">
      <c r="B1997" s="41"/>
      <c r="C1997" s="403">
        <f t="shared" si="230"/>
        <v>45795</v>
      </c>
      <c r="D1997" s="56" t="str">
        <f>VLOOKUP(MOD(C1997,7),'CALENDAR INFO'!$G$5:$H$11,2)</f>
        <v>SUN</v>
      </c>
      <c r="E1997" s="165">
        <v>4.33</v>
      </c>
      <c r="F1997" s="336">
        <v>4.3</v>
      </c>
      <c r="G1997" s="411">
        <f t="shared" si="227"/>
        <v>-3.0000000000000249E-2</v>
      </c>
      <c r="I1997" s="139"/>
      <c r="J1997" s="151"/>
      <c r="K1997" s="126"/>
      <c r="L1997" s="403">
        <f t="shared" si="228"/>
        <v>45795</v>
      </c>
      <c r="M1997" s="56" t="str">
        <f t="shared" si="229"/>
        <v>SUN</v>
      </c>
      <c r="O1997" s="383">
        <f t="shared" si="226"/>
        <v>0</v>
      </c>
      <c r="P1997" s="392">
        <f t="shared" si="224"/>
        <v>1</v>
      </c>
    </row>
    <row r="1998" spans="1:16">
      <c r="B1998" s="41"/>
      <c r="C1998" s="403">
        <f t="shared" si="230"/>
        <v>45796</v>
      </c>
      <c r="D1998" s="56" t="str">
        <f>VLOOKUP(MOD(C1998,7),'CALENDAR INFO'!$G$5:$H$11,2)</f>
        <v>MON</v>
      </c>
      <c r="E1998" s="165">
        <v>4.33</v>
      </c>
      <c r="F1998" s="336">
        <v>4.29</v>
      </c>
      <c r="G1998" s="411">
        <f t="shared" si="227"/>
        <v>-4.0000000000000036E-2</v>
      </c>
      <c r="K1998" s="126"/>
      <c r="L1998" s="403">
        <f t="shared" si="228"/>
        <v>45796</v>
      </c>
      <c r="M1998" s="56" t="str">
        <f t="shared" si="229"/>
        <v>MON</v>
      </c>
      <c r="O1998" s="383">
        <f t="shared" si="226"/>
        <v>1</v>
      </c>
      <c r="P1998" s="392">
        <f t="shared" si="224"/>
        <v>1.0001191666666667</v>
      </c>
    </row>
    <row r="1999" spans="1:16">
      <c r="B1999" s="41"/>
      <c r="C1999" s="403">
        <f t="shared" si="230"/>
        <v>45797</v>
      </c>
      <c r="D1999" s="56" t="str">
        <f>VLOOKUP(MOD(C1999,7),'CALENDAR INFO'!$G$5:$H$11,2)</f>
        <v>TUE</v>
      </c>
      <c r="E1999" s="165">
        <v>4.33</v>
      </c>
      <c r="F1999" s="336">
        <v>4.2699999999999996</v>
      </c>
      <c r="G1999" s="411">
        <f t="shared" si="227"/>
        <v>-6.0000000000000497E-2</v>
      </c>
      <c r="I1999" s="137"/>
      <c r="J1999" s="150"/>
      <c r="K1999" s="126"/>
      <c r="L1999" s="403">
        <f t="shared" si="228"/>
        <v>45797</v>
      </c>
      <c r="M1999" s="56" t="str">
        <f t="shared" si="229"/>
        <v>TUE</v>
      </c>
      <c r="O1999" s="383">
        <f t="shared" si="226"/>
        <v>1</v>
      </c>
      <c r="P1999" s="392">
        <f t="shared" si="224"/>
        <v>1.0001186111111111</v>
      </c>
    </row>
    <row r="2000" spans="1:16">
      <c r="B2000" s="41"/>
      <c r="C2000" s="403">
        <f t="shared" si="230"/>
        <v>45798</v>
      </c>
      <c r="D2000" s="56" t="str">
        <f>VLOOKUP(MOD(C2000,7),'CALENDAR INFO'!$G$5:$H$11,2)</f>
        <v>WED</v>
      </c>
      <c r="E2000" s="165">
        <v>4.33</v>
      </c>
      <c r="F2000" s="336">
        <v>4.26</v>
      </c>
      <c r="G2000" s="411">
        <f t="shared" si="227"/>
        <v>-7.0000000000000284E-2</v>
      </c>
      <c r="I2000" s="137"/>
      <c r="J2000" s="150"/>
      <c r="K2000" s="126"/>
      <c r="L2000" s="403">
        <f t="shared" si="228"/>
        <v>45798</v>
      </c>
      <c r="M2000" s="56" t="str">
        <f t="shared" si="229"/>
        <v>WED</v>
      </c>
      <c r="O2000" s="383">
        <f t="shared" si="226"/>
        <v>1</v>
      </c>
      <c r="P2000" s="392">
        <f t="shared" si="224"/>
        <v>1.0001183333333334</v>
      </c>
    </row>
    <row r="2001" spans="1:16">
      <c r="B2001" s="41"/>
      <c r="C2001" s="403">
        <f t="shared" si="230"/>
        <v>45799</v>
      </c>
      <c r="D2001" s="56" t="str">
        <f>VLOOKUP(MOD(C2001,7),'CALENDAR INFO'!$G$5:$H$11,2)</f>
        <v>THU</v>
      </c>
      <c r="E2001" s="165">
        <v>4.33</v>
      </c>
      <c r="F2001" s="336">
        <v>4.26</v>
      </c>
      <c r="G2001" s="411">
        <f t="shared" si="227"/>
        <v>-7.0000000000000284E-2</v>
      </c>
      <c r="I2001" s="163"/>
      <c r="J2001" s="164"/>
      <c r="K2001" s="126"/>
      <c r="L2001" s="403">
        <f t="shared" si="228"/>
        <v>45799</v>
      </c>
      <c r="M2001" s="56" t="str">
        <f t="shared" si="229"/>
        <v>THU</v>
      </c>
      <c r="O2001" s="383">
        <f t="shared" si="226"/>
        <v>1</v>
      </c>
      <c r="P2001" s="392">
        <f t="shared" si="224"/>
        <v>1.0001183333333334</v>
      </c>
    </row>
    <row r="2002" spans="1:16">
      <c r="B2002" s="41"/>
      <c r="C2002" s="403">
        <f t="shared" si="230"/>
        <v>45800</v>
      </c>
      <c r="D2002" s="56" t="str">
        <f>VLOOKUP(MOD(C2002,7),'CALENDAR INFO'!$G$5:$H$11,2)</f>
        <v>FRI</v>
      </c>
      <c r="E2002" s="165">
        <v>4.33</v>
      </c>
      <c r="F2002" s="336">
        <v>4.26</v>
      </c>
      <c r="G2002" s="411">
        <f t="shared" si="227"/>
        <v>-7.0000000000000284E-2</v>
      </c>
      <c r="I2002" s="137"/>
      <c r="J2002" s="150"/>
      <c r="K2002" s="126"/>
      <c r="L2002" s="403">
        <f t="shared" si="228"/>
        <v>45800</v>
      </c>
      <c r="M2002" s="56" t="str">
        <f t="shared" si="229"/>
        <v>FRI</v>
      </c>
      <c r="O2002" s="384">
        <v>4</v>
      </c>
      <c r="P2002" s="392">
        <f t="shared" si="224"/>
        <v>1.0004733333333333</v>
      </c>
    </row>
    <row r="2003" spans="1:16">
      <c r="B2003" s="41"/>
      <c r="C2003" s="403">
        <f t="shared" si="230"/>
        <v>45801</v>
      </c>
      <c r="D2003" s="56" t="str">
        <f>VLOOKUP(MOD(C2003,7),'CALENDAR INFO'!$G$5:$H$11,2)</f>
        <v>SAT</v>
      </c>
      <c r="E2003" s="165">
        <v>4.33</v>
      </c>
      <c r="F2003" s="336">
        <v>4.26</v>
      </c>
      <c r="G2003" s="411">
        <f t="shared" si="227"/>
        <v>-7.0000000000000284E-2</v>
      </c>
      <c r="I2003" s="137"/>
      <c r="J2003" s="150"/>
      <c r="K2003" s="126"/>
      <c r="L2003" s="403">
        <f t="shared" si="228"/>
        <v>45801</v>
      </c>
      <c r="M2003" s="56" t="str">
        <f t="shared" si="229"/>
        <v>SAT</v>
      </c>
      <c r="O2003" s="384">
        <f>IF(MOD(C2003,7)&lt;2,0,IF(MOD(C2003,7)=6,3,1))</f>
        <v>0</v>
      </c>
      <c r="P2003" s="392">
        <f t="shared" ref="P2003:P2066" si="231">1+(O2003/360)*(MAX(F2003,B2003)/100)</f>
        <v>1</v>
      </c>
    </row>
    <row r="2004" spans="1:16">
      <c r="B2004" s="41"/>
      <c r="C2004" s="403">
        <f t="shared" si="230"/>
        <v>45802</v>
      </c>
      <c r="D2004" s="56" t="str">
        <f>VLOOKUP(MOD(C2004,7),'CALENDAR INFO'!$G$5:$H$11,2)</f>
        <v>SUN</v>
      </c>
      <c r="E2004" s="165">
        <v>4.33</v>
      </c>
      <c r="F2004" s="336">
        <v>4.26</v>
      </c>
      <c r="G2004" s="411">
        <f t="shared" si="227"/>
        <v>-7.0000000000000284E-2</v>
      </c>
      <c r="I2004" s="137"/>
      <c r="J2004" s="150"/>
      <c r="K2004" s="126"/>
      <c r="L2004" s="403">
        <f t="shared" si="228"/>
        <v>45802</v>
      </c>
      <c r="M2004" s="56" t="str">
        <f t="shared" si="229"/>
        <v>SUN</v>
      </c>
      <c r="O2004" s="384">
        <f>IF(MOD(C2004,7)&lt;2,0,IF(MOD(C2004,7)=6,3,1))</f>
        <v>0</v>
      </c>
      <c r="P2004" s="392">
        <f t="shared" si="231"/>
        <v>1</v>
      </c>
    </row>
    <row r="2005" spans="1:16">
      <c r="B2005" s="41"/>
      <c r="C2005" s="403">
        <f t="shared" si="230"/>
        <v>45803</v>
      </c>
      <c r="D2005" s="56" t="str">
        <f>VLOOKUP(MOD(C2005,7),'CALENDAR INFO'!$G$5:$H$11,2)</f>
        <v>MON</v>
      </c>
      <c r="E2005" s="165">
        <v>4.33</v>
      </c>
      <c r="F2005" s="336">
        <v>4.26</v>
      </c>
      <c r="G2005" s="411">
        <f t="shared" si="227"/>
        <v>-7.0000000000000284E-2</v>
      </c>
      <c r="K2005" s="126"/>
      <c r="L2005" s="403">
        <f t="shared" si="228"/>
        <v>45803</v>
      </c>
      <c r="M2005" s="56" t="str">
        <f t="shared" si="229"/>
        <v>MON</v>
      </c>
      <c r="N2005" s="132" t="s">
        <v>112</v>
      </c>
      <c r="O2005" s="384">
        <v>0</v>
      </c>
      <c r="P2005" s="392">
        <f t="shared" si="231"/>
        <v>1</v>
      </c>
    </row>
    <row r="2006" spans="1:16">
      <c r="B2006" s="41"/>
      <c r="C2006" s="403">
        <f t="shared" si="230"/>
        <v>45804</v>
      </c>
      <c r="D2006" s="56" t="str">
        <f>VLOOKUP(MOD(C2006,7),'CALENDAR INFO'!$G$5:$H$11,2)</f>
        <v>TUE</v>
      </c>
      <c r="E2006" s="165">
        <v>4.33</v>
      </c>
      <c r="F2006" s="336">
        <v>4.3099999999999996</v>
      </c>
      <c r="G2006" s="411">
        <f t="shared" si="227"/>
        <v>-2.0000000000000462E-2</v>
      </c>
      <c r="K2006" s="126"/>
      <c r="L2006" s="403">
        <f t="shared" si="228"/>
        <v>45804</v>
      </c>
      <c r="M2006" s="56" t="str">
        <f t="shared" si="229"/>
        <v>TUE</v>
      </c>
      <c r="O2006" s="383">
        <f t="shared" ref="O2006:O2027" si="232">IF(MOD(C2006,7)&lt;2,0,IF(MOD(C2006,7)=6,3,1))</f>
        <v>1</v>
      </c>
      <c r="P2006" s="392">
        <f t="shared" si="231"/>
        <v>1.0001197222222222</v>
      </c>
    </row>
    <row r="2007" spans="1:16">
      <c r="B2007" s="41"/>
      <c r="C2007" s="403">
        <f t="shared" si="230"/>
        <v>45805</v>
      </c>
      <c r="D2007" s="56" t="str">
        <f>VLOOKUP(MOD(C2007,7),'CALENDAR INFO'!$G$5:$H$11,2)</f>
        <v>WED</v>
      </c>
      <c r="E2007" s="165">
        <v>4.33</v>
      </c>
      <c r="F2007" s="336">
        <v>4.33</v>
      </c>
      <c r="G2007" s="411">
        <f t="shared" si="227"/>
        <v>0</v>
      </c>
      <c r="I2007" s="137"/>
      <c r="J2007" s="150"/>
      <c r="K2007" s="126" t="s">
        <v>19</v>
      </c>
      <c r="L2007" s="403">
        <f t="shared" si="228"/>
        <v>45805</v>
      </c>
      <c r="M2007" s="56" t="str">
        <f t="shared" si="229"/>
        <v>WED</v>
      </c>
      <c r="O2007" s="383">
        <f t="shared" si="232"/>
        <v>1</v>
      </c>
      <c r="P2007" s="392">
        <f t="shared" si="231"/>
        <v>1.0001202777777778</v>
      </c>
    </row>
    <row r="2008" spans="1:16">
      <c r="B2008" s="41"/>
      <c r="C2008" s="407">
        <f t="shared" si="230"/>
        <v>45806</v>
      </c>
      <c r="D2008" s="56" t="str">
        <f>VLOOKUP(MOD(C2008,7),'CALENDAR INFO'!$G$5:$H$11,2)</f>
        <v>THU</v>
      </c>
      <c r="E2008" s="165">
        <v>4.33</v>
      </c>
      <c r="F2008" s="336">
        <v>4.33</v>
      </c>
      <c r="G2008" s="411">
        <f t="shared" si="227"/>
        <v>0</v>
      </c>
      <c r="K2008" s="129" t="s">
        <v>18</v>
      </c>
      <c r="L2008" s="407">
        <f t="shared" si="228"/>
        <v>45806</v>
      </c>
      <c r="M2008" s="56" t="str">
        <f t="shared" si="229"/>
        <v>THU</v>
      </c>
      <c r="O2008" s="383">
        <f t="shared" si="232"/>
        <v>1</v>
      </c>
      <c r="P2008" s="392">
        <f t="shared" si="231"/>
        <v>1.0001202777777778</v>
      </c>
    </row>
    <row r="2009" spans="1:16">
      <c r="B2009" s="41"/>
      <c r="C2009" s="407">
        <f t="shared" si="230"/>
        <v>45807</v>
      </c>
      <c r="D2009" s="56" t="str">
        <f>VLOOKUP(MOD(C2009,7),'CALENDAR INFO'!$G$5:$H$11,2)</f>
        <v>FRI</v>
      </c>
      <c r="E2009" s="165">
        <v>4.33</v>
      </c>
      <c r="F2009" s="336">
        <v>4.3499999999999996</v>
      </c>
      <c r="G2009" s="411">
        <f t="shared" si="227"/>
        <v>1.9999999999999574E-2</v>
      </c>
      <c r="K2009" s="129"/>
      <c r="L2009" s="407">
        <f t="shared" si="228"/>
        <v>45807</v>
      </c>
      <c r="M2009" s="56" t="str">
        <f t="shared" si="229"/>
        <v>FRI</v>
      </c>
      <c r="O2009" s="383">
        <f t="shared" si="232"/>
        <v>3</v>
      </c>
      <c r="P2009" s="392">
        <f t="shared" si="231"/>
        <v>1.0003625</v>
      </c>
    </row>
    <row r="2010" spans="1:16" ht="15.75" thickBot="1">
      <c r="A2010" s="81"/>
      <c r="B2010" s="178"/>
      <c r="C2010" s="408">
        <f t="shared" si="230"/>
        <v>45808</v>
      </c>
      <c r="D2010" s="64" t="str">
        <f>VLOOKUP(MOD(C2010,7),'CALENDAR INFO'!$G$5:$H$11,2)</f>
        <v>SAT</v>
      </c>
      <c r="E2010" s="166">
        <v>4.33</v>
      </c>
      <c r="F2010" s="337">
        <v>4.3499999999999996</v>
      </c>
      <c r="G2010" s="412">
        <f t="shared" si="227"/>
        <v>1.9999999999999574E-2</v>
      </c>
      <c r="H2010" s="335"/>
      <c r="I2010" s="267"/>
      <c r="J2010" s="268"/>
      <c r="K2010" s="84"/>
      <c r="L2010" s="408">
        <f t="shared" si="228"/>
        <v>45808</v>
      </c>
      <c r="M2010" s="64" t="str">
        <f t="shared" si="229"/>
        <v>SAT</v>
      </c>
      <c r="N2010" s="90"/>
      <c r="O2010" s="382">
        <f t="shared" si="232"/>
        <v>0</v>
      </c>
      <c r="P2010" s="388">
        <f t="shared" si="231"/>
        <v>1</v>
      </c>
    </row>
    <row r="2011" spans="1:16">
      <c r="A2011" s="238"/>
      <c r="B2011" s="239"/>
      <c r="C2011" s="407">
        <f t="shared" si="230"/>
        <v>45809</v>
      </c>
      <c r="D2011" s="56" t="str">
        <f>VLOOKUP(MOD(C2011,7),'CALENDAR INFO'!$G$5:$H$11,2)</f>
        <v>SUN</v>
      </c>
      <c r="E2011" s="165">
        <v>4.33</v>
      </c>
      <c r="F2011" s="336">
        <v>4.3499999999999996</v>
      </c>
      <c r="G2011" s="411">
        <f t="shared" si="227"/>
        <v>1.9999999999999574E-2</v>
      </c>
      <c r="H2011" s="15" t="s">
        <v>149</v>
      </c>
      <c r="I2011" s="15">
        <f>ROW(I2011)</f>
        <v>2011</v>
      </c>
      <c r="J2011" s="138">
        <f>I2011</f>
        <v>2011</v>
      </c>
      <c r="K2011" s="129"/>
      <c r="L2011" s="407">
        <f t="shared" si="228"/>
        <v>45809</v>
      </c>
      <c r="M2011" s="56" t="str">
        <f t="shared" si="229"/>
        <v>SUN</v>
      </c>
      <c r="O2011" s="383">
        <f t="shared" si="232"/>
        <v>0</v>
      </c>
      <c r="P2011" s="392">
        <f t="shared" si="231"/>
        <v>1</v>
      </c>
    </row>
    <row r="2012" spans="1:16">
      <c r="A2012" s="238"/>
      <c r="B2012" s="239"/>
      <c r="C2012" s="407">
        <f t="shared" si="230"/>
        <v>45810</v>
      </c>
      <c r="D2012" s="56" t="str">
        <f>VLOOKUP(MOD(C2012,7),'CALENDAR INFO'!$G$5:$H$11,2)</f>
        <v>MON</v>
      </c>
      <c r="E2012" s="165">
        <v>4.33</v>
      </c>
      <c r="F2012" s="336">
        <v>4.3499999999999996</v>
      </c>
      <c r="G2012" s="411">
        <f t="shared" si="227"/>
        <v>1.9999999999999574E-2</v>
      </c>
      <c r="H2012" s="376" t="s">
        <v>210</v>
      </c>
      <c r="I2012" s="15">
        <f>VLOOKUP(MONTH($C2011),'CALENDAR INFO'!$J$5:$K$16,2)</f>
        <v>30</v>
      </c>
      <c r="J2012" s="138">
        <f>I2012</f>
        <v>30</v>
      </c>
      <c r="K2012" s="129"/>
      <c r="L2012" s="407">
        <f t="shared" si="228"/>
        <v>45810</v>
      </c>
      <c r="M2012" s="56" t="str">
        <f t="shared" si="229"/>
        <v>MON</v>
      </c>
      <c r="O2012" s="383">
        <f t="shared" si="232"/>
        <v>1</v>
      </c>
      <c r="P2012" s="392">
        <f t="shared" si="231"/>
        <v>1.0001208333333333</v>
      </c>
    </row>
    <row r="2013" spans="1:16">
      <c r="A2013" s="238"/>
      <c r="B2013" s="239"/>
      <c r="C2013" s="407">
        <f t="shared" si="230"/>
        <v>45811</v>
      </c>
      <c r="D2013" s="56" t="str">
        <f>VLOOKUP(MOD(C2013,7),'CALENDAR INFO'!$G$5:$H$11,2)</f>
        <v>TUE</v>
      </c>
      <c r="E2013" s="165">
        <v>4.33</v>
      </c>
      <c r="F2013" s="336">
        <v>4.32</v>
      </c>
      <c r="G2013" s="411">
        <f t="shared" si="227"/>
        <v>-9.9999999999997868E-3</v>
      </c>
      <c r="H2013" s="376" t="s">
        <v>211</v>
      </c>
      <c r="I2013" s="15">
        <f>I2012+I2011-1</f>
        <v>2040</v>
      </c>
      <c r="J2013" s="138">
        <f>I2013</f>
        <v>2040</v>
      </c>
      <c r="K2013" s="129"/>
      <c r="L2013" s="407">
        <f t="shared" si="228"/>
        <v>45811</v>
      </c>
      <c r="M2013" s="56" t="str">
        <f t="shared" si="229"/>
        <v>TUE</v>
      </c>
      <c r="O2013" s="383">
        <f t="shared" si="232"/>
        <v>1</v>
      </c>
      <c r="P2013" s="392">
        <f t="shared" si="231"/>
        <v>1.0001199999999999</v>
      </c>
    </row>
    <row r="2014" spans="1:16">
      <c r="A2014" s="238"/>
      <c r="B2014" s="239"/>
      <c r="C2014" s="407">
        <f t="shared" si="230"/>
        <v>45812</v>
      </c>
      <c r="D2014" s="56" t="str">
        <f>VLOOKUP(MOD(C2014,7),'CALENDAR INFO'!$G$5:$H$11,2)</f>
        <v>WED</v>
      </c>
      <c r="E2014" s="165">
        <v>4.33</v>
      </c>
      <c r="F2014" s="336">
        <v>4.28</v>
      </c>
      <c r="G2014" s="411">
        <f t="shared" si="227"/>
        <v>-4.9999999999999822E-2</v>
      </c>
      <c r="K2014" s="129"/>
      <c r="L2014" s="407">
        <f t="shared" si="228"/>
        <v>45812</v>
      </c>
      <c r="M2014" s="56" t="str">
        <f t="shared" si="229"/>
        <v>WED</v>
      </c>
      <c r="O2014" s="383">
        <f t="shared" si="232"/>
        <v>1</v>
      </c>
      <c r="P2014" s="392">
        <f t="shared" si="231"/>
        <v>1.0001188888888888</v>
      </c>
    </row>
    <row r="2015" spans="1:16">
      <c r="A2015" s="238"/>
      <c r="B2015" s="239"/>
      <c r="C2015" s="407">
        <f t="shared" si="230"/>
        <v>45813</v>
      </c>
      <c r="D2015" s="56" t="str">
        <f>VLOOKUP(MOD(C2015,7),'CALENDAR INFO'!$G$5:$H$11,2)</f>
        <v>THU</v>
      </c>
      <c r="E2015" s="165">
        <v>4.33</v>
      </c>
      <c r="F2015" s="336">
        <v>4.29</v>
      </c>
      <c r="G2015" s="411">
        <f t="shared" si="227"/>
        <v>-4.0000000000000036E-2</v>
      </c>
      <c r="H2015" s="15" t="s">
        <v>150</v>
      </c>
      <c r="I2015" s="137" t="str">
        <f>_xlfn.CONCAT(ADDRESS(I2011,5),":",ADDRESS(I2013,5))</f>
        <v>$E$2011:$E$2040</v>
      </c>
      <c r="J2015" s="150" t="str">
        <f>_xlfn.CONCAT(ADDRESS(J2011,6),":",ADDRESS(J2013,6))</f>
        <v>$F$2011:$F$2040</v>
      </c>
      <c r="K2015" s="129"/>
      <c r="L2015" s="407">
        <f t="shared" si="228"/>
        <v>45813</v>
      </c>
      <c r="M2015" s="56" t="str">
        <f t="shared" si="229"/>
        <v>THU</v>
      </c>
      <c r="O2015" s="383">
        <f t="shared" si="232"/>
        <v>1</v>
      </c>
      <c r="P2015" s="392">
        <f t="shared" si="231"/>
        <v>1.0001191666666667</v>
      </c>
    </row>
    <row r="2016" spans="1:16">
      <c r="A2016" s="238"/>
      <c r="B2016" s="239"/>
      <c r="C2016" s="407">
        <f t="shared" si="230"/>
        <v>45814</v>
      </c>
      <c r="D2016" s="56" t="str">
        <f>VLOOKUP(MOD(C2016,7),'CALENDAR INFO'!$G$5:$H$11,2)</f>
        <v>FRI</v>
      </c>
      <c r="E2016" s="165">
        <v>4.33</v>
      </c>
      <c r="F2016" s="336">
        <v>4.29</v>
      </c>
      <c r="G2016" s="411">
        <f t="shared" si="227"/>
        <v>-4.0000000000000036E-2</v>
      </c>
      <c r="K2016" s="129"/>
      <c r="L2016" s="407">
        <f t="shared" si="228"/>
        <v>45814</v>
      </c>
      <c r="M2016" s="56" t="str">
        <f t="shared" si="229"/>
        <v>FRI</v>
      </c>
      <c r="O2016" s="383">
        <f t="shared" si="232"/>
        <v>3</v>
      </c>
      <c r="P2016" s="392">
        <f t="shared" si="231"/>
        <v>1.0003575</v>
      </c>
    </row>
    <row r="2017" spans="1:16">
      <c r="A2017" s="238"/>
      <c r="B2017" s="239"/>
      <c r="C2017" s="407">
        <f t="shared" si="230"/>
        <v>45815</v>
      </c>
      <c r="D2017" s="56" t="str">
        <f>VLOOKUP(MOD(C2017,7),'CALENDAR INFO'!$G$5:$H$11,2)</f>
        <v>SAT</v>
      </c>
      <c r="E2017" s="165">
        <v>4.33</v>
      </c>
      <c r="F2017" s="336">
        <v>4.29</v>
      </c>
      <c r="G2017" s="411">
        <f t="shared" si="227"/>
        <v>-4.0000000000000036E-2</v>
      </c>
      <c r="H2017" s="376" t="s">
        <v>221</v>
      </c>
      <c r="I2017" s="147">
        <f ca="1">AVERAGE(INDIRECT(I2015))</f>
        <v>4.3299999999999992</v>
      </c>
      <c r="J2017" s="326">
        <f ca="1">AVERAGE(INDIRECT(J2015))</f>
        <v>4.3153333333333341</v>
      </c>
      <c r="K2017" s="129"/>
      <c r="L2017" s="407">
        <f t="shared" si="228"/>
        <v>45815</v>
      </c>
      <c r="M2017" s="56" t="str">
        <f t="shared" si="229"/>
        <v>SAT</v>
      </c>
      <c r="O2017" s="383">
        <f t="shared" si="232"/>
        <v>0</v>
      </c>
      <c r="P2017" s="392">
        <f t="shared" si="231"/>
        <v>1</v>
      </c>
    </row>
    <row r="2018" spans="1:16">
      <c r="A2018" s="238"/>
      <c r="B2018" s="239"/>
      <c r="C2018" s="407">
        <f t="shared" si="230"/>
        <v>45816</v>
      </c>
      <c r="D2018" s="56" t="str">
        <f>VLOOKUP(MOD(C2018,7),'CALENDAR INFO'!$G$5:$H$11,2)</f>
        <v>SUN</v>
      </c>
      <c r="E2018" s="165">
        <v>4.33</v>
      </c>
      <c r="F2018" s="336">
        <v>4.29</v>
      </c>
      <c r="G2018" s="411">
        <f t="shared" si="227"/>
        <v>-4.0000000000000036E-2</v>
      </c>
      <c r="K2018" s="129"/>
      <c r="L2018" s="407">
        <f t="shared" si="228"/>
        <v>45816</v>
      </c>
      <c r="M2018" s="56" t="str">
        <f t="shared" si="229"/>
        <v>SUN</v>
      </c>
      <c r="O2018" s="383">
        <f t="shared" si="232"/>
        <v>0</v>
      </c>
      <c r="P2018" s="392">
        <f t="shared" si="231"/>
        <v>1</v>
      </c>
    </row>
    <row r="2019" spans="1:16">
      <c r="A2019" s="238"/>
      <c r="B2019" s="239"/>
      <c r="C2019" s="403">
        <f t="shared" si="230"/>
        <v>45817</v>
      </c>
      <c r="D2019" s="56" t="str">
        <f>VLOOKUP(MOD(C2019,7),'CALENDAR INFO'!$G$5:$H$11,2)</f>
        <v>MON</v>
      </c>
      <c r="E2019" s="165">
        <v>4.33</v>
      </c>
      <c r="F2019" s="336">
        <v>4.29</v>
      </c>
      <c r="G2019" s="411">
        <f t="shared" si="227"/>
        <v>-4.0000000000000036E-2</v>
      </c>
      <c r="H2019" s="15" t="s">
        <v>222</v>
      </c>
      <c r="I2019" s="147">
        <f ca="1">100-I2017</f>
        <v>95.67</v>
      </c>
      <c r="J2019" s="326">
        <f ca="1">100-J2017</f>
        <v>95.684666666666672</v>
      </c>
      <c r="K2019" s="129"/>
      <c r="L2019" s="403">
        <f t="shared" si="228"/>
        <v>45817</v>
      </c>
      <c r="M2019" s="56" t="str">
        <f t="shared" si="229"/>
        <v>MON</v>
      </c>
      <c r="O2019" s="383">
        <f t="shared" si="232"/>
        <v>1</v>
      </c>
      <c r="P2019" s="392">
        <f t="shared" si="231"/>
        <v>1.0001191666666667</v>
      </c>
    </row>
    <row r="2020" spans="1:16">
      <c r="A2020" s="238"/>
      <c r="B2020" s="239"/>
      <c r="C2020" s="403">
        <f t="shared" si="230"/>
        <v>45818</v>
      </c>
      <c r="D2020" s="56" t="str">
        <f>VLOOKUP(MOD(C2020,7),'CALENDAR INFO'!$G$5:$H$11,2)</f>
        <v>TUE</v>
      </c>
      <c r="E2020" s="165">
        <v>4.33</v>
      </c>
      <c r="F2020" s="336">
        <v>4.28</v>
      </c>
      <c r="G2020" s="411">
        <f t="shared" si="227"/>
        <v>-4.9999999999999822E-2</v>
      </c>
      <c r="I2020" s="137"/>
      <c r="J2020" s="150"/>
      <c r="K2020" s="129"/>
      <c r="L2020" s="403">
        <f t="shared" si="228"/>
        <v>45818</v>
      </c>
      <c r="M2020" s="56" t="str">
        <f t="shared" si="229"/>
        <v>TUE</v>
      </c>
      <c r="O2020" s="383">
        <f t="shared" si="232"/>
        <v>1</v>
      </c>
      <c r="P2020" s="392">
        <f t="shared" si="231"/>
        <v>1.0001188888888888</v>
      </c>
    </row>
    <row r="2021" spans="1:16">
      <c r="A2021" s="238"/>
      <c r="B2021" s="239"/>
      <c r="C2021" s="403">
        <f t="shared" si="230"/>
        <v>45819</v>
      </c>
      <c r="D2021" s="56" t="str">
        <f>VLOOKUP(MOD(C2021,7),'CALENDAR INFO'!$G$5:$H$11,2)</f>
        <v>WED</v>
      </c>
      <c r="E2021" s="165">
        <v>4.33</v>
      </c>
      <c r="F2021" s="336">
        <v>4.28</v>
      </c>
      <c r="G2021" s="411">
        <f t="shared" si="227"/>
        <v>-4.9999999999999822E-2</v>
      </c>
      <c r="K2021" s="129" t="s">
        <v>19</v>
      </c>
      <c r="L2021" s="403">
        <f t="shared" si="228"/>
        <v>45819</v>
      </c>
      <c r="M2021" s="56" t="str">
        <f t="shared" si="229"/>
        <v>WED</v>
      </c>
      <c r="O2021" s="383">
        <f t="shared" si="232"/>
        <v>1</v>
      </c>
      <c r="P2021" s="392">
        <f t="shared" si="231"/>
        <v>1.0001188888888888</v>
      </c>
    </row>
    <row r="2022" spans="1:16">
      <c r="A2022" s="238"/>
      <c r="B2022" s="239"/>
      <c r="C2022" s="403">
        <f t="shared" si="230"/>
        <v>45820</v>
      </c>
      <c r="D2022" s="56" t="str">
        <f>VLOOKUP(MOD(C2022,7),'CALENDAR INFO'!$G$5:$H$11,2)</f>
        <v>THU</v>
      </c>
      <c r="E2022" s="165">
        <v>4.33</v>
      </c>
      <c r="F2022" s="336">
        <v>4.28</v>
      </c>
      <c r="G2022" s="411">
        <f t="shared" si="227"/>
        <v>-4.9999999999999822E-2</v>
      </c>
      <c r="K2022" s="126" t="s">
        <v>18</v>
      </c>
      <c r="L2022" s="403">
        <f t="shared" si="228"/>
        <v>45820</v>
      </c>
      <c r="M2022" s="56" t="str">
        <f t="shared" si="229"/>
        <v>THU</v>
      </c>
      <c r="O2022" s="383">
        <f t="shared" si="232"/>
        <v>1</v>
      </c>
      <c r="P2022" s="392">
        <f t="shared" si="231"/>
        <v>1.0001188888888888</v>
      </c>
    </row>
    <row r="2023" spans="1:16">
      <c r="A2023" s="238"/>
      <c r="B2023" s="239"/>
      <c r="C2023" s="403">
        <f t="shared" si="230"/>
        <v>45821</v>
      </c>
      <c r="D2023" s="56" t="str">
        <f>VLOOKUP(MOD(C2023,7),'CALENDAR INFO'!$G$5:$H$11,2)</f>
        <v>FRI</v>
      </c>
      <c r="E2023" s="165">
        <v>4.33</v>
      </c>
      <c r="F2023" s="336">
        <v>4.28</v>
      </c>
      <c r="G2023" s="411">
        <f t="shared" si="227"/>
        <v>-4.9999999999999822E-2</v>
      </c>
      <c r="K2023" s="126"/>
      <c r="L2023" s="403">
        <f t="shared" si="228"/>
        <v>45821</v>
      </c>
      <c r="M2023" s="56" t="str">
        <f t="shared" si="229"/>
        <v>FRI</v>
      </c>
      <c r="O2023" s="383">
        <f t="shared" si="232"/>
        <v>3</v>
      </c>
      <c r="P2023" s="392">
        <f t="shared" si="231"/>
        <v>1.0003566666666666</v>
      </c>
    </row>
    <row r="2024" spans="1:16">
      <c r="A2024" s="238"/>
      <c r="B2024" s="239"/>
      <c r="C2024" s="403">
        <f t="shared" si="230"/>
        <v>45822</v>
      </c>
      <c r="D2024" s="56" t="str">
        <f>VLOOKUP(MOD(C2024,7),'CALENDAR INFO'!$G$5:$H$11,2)</f>
        <v>SAT</v>
      </c>
      <c r="E2024" s="165">
        <v>4.33</v>
      </c>
      <c r="F2024" s="336">
        <v>4.28</v>
      </c>
      <c r="G2024" s="411">
        <f t="shared" si="227"/>
        <v>-4.9999999999999822E-2</v>
      </c>
      <c r="K2024" s="126"/>
      <c r="L2024" s="403">
        <f t="shared" si="228"/>
        <v>45822</v>
      </c>
      <c r="M2024" s="56" t="str">
        <f t="shared" si="229"/>
        <v>SAT</v>
      </c>
      <c r="O2024" s="383">
        <f t="shared" si="232"/>
        <v>0</v>
      </c>
      <c r="P2024" s="392">
        <f t="shared" si="231"/>
        <v>1</v>
      </c>
    </row>
    <row r="2025" spans="1:16">
      <c r="A2025" s="238"/>
      <c r="B2025" s="239"/>
      <c r="C2025" s="403">
        <f t="shared" si="230"/>
        <v>45823</v>
      </c>
      <c r="D2025" s="56" t="str">
        <f>VLOOKUP(MOD(C2025,7),'CALENDAR INFO'!$G$5:$H$11,2)</f>
        <v>SUN</v>
      </c>
      <c r="E2025" s="165">
        <v>4.33</v>
      </c>
      <c r="F2025" s="336">
        <v>4.28</v>
      </c>
      <c r="G2025" s="411">
        <f t="shared" si="227"/>
        <v>-4.9999999999999822E-2</v>
      </c>
      <c r="K2025" s="126"/>
      <c r="L2025" s="403">
        <f t="shared" si="228"/>
        <v>45823</v>
      </c>
      <c r="M2025" s="56" t="str">
        <f t="shared" si="229"/>
        <v>SUN</v>
      </c>
      <c r="O2025" s="383">
        <f t="shared" si="232"/>
        <v>0</v>
      </c>
      <c r="P2025" s="392">
        <f t="shared" si="231"/>
        <v>1</v>
      </c>
    </row>
    <row r="2026" spans="1:16">
      <c r="A2026" s="238"/>
      <c r="B2026" s="239"/>
      <c r="C2026" s="403">
        <f t="shared" si="230"/>
        <v>45824</v>
      </c>
      <c r="D2026" s="56" t="str">
        <f>VLOOKUP(MOD(C2026,7),'CALENDAR INFO'!$G$5:$H$11,2)</f>
        <v>MON</v>
      </c>
      <c r="E2026" s="165">
        <v>4.33</v>
      </c>
      <c r="F2026" s="336">
        <v>4.32</v>
      </c>
      <c r="G2026" s="411">
        <f t="shared" si="227"/>
        <v>-9.9999999999997868E-3</v>
      </c>
      <c r="K2026" s="126"/>
      <c r="L2026" s="403">
        <f t="shared" si="228"/>
        <v>45824</v>
      </c>
      <c r="M2026" s="56" t="str">
        <f t="shared" si="229"/>
        <v>MON</v>
      </c>
      <c r="O2026" s="383">
        <f t="shared" si="232"/>
        <v>1</v>
      </c>
      <c r="P2026" s="392">
        <f t="shared" si="231"/>
        <v>1.0001199999999999</v>
      </c>
    </row>
    <row r="2027" spans="1:16">
      <c r="A2027" s="238"/>
      <c r="B2027" s="239"/>
      <c r="C2027" s="403">
        <f t="shared" si="230"/>
        <v>45825</v>
      </c>
      <c r="D2027" s="56" t="str">
        <f>VLOOKUP(MOD(C2027,7),'CALENDAR INFO'!$G$5:$H$11,2)</f>
        <v>TUE</v>
      </c>
      <c r="E2027" s="165">
        <v>4.33</v>
      </c>
      <c r="F2027" s="336">
        <v>4.3099999999999996</v>
      </c>
      <c r="G2027" s="411">
        <f t="shared" si="227"/>
        <v>-2.0000000000000462E-2</v>
      </c>
      <c r="K2027" s="126"/>
      <c r="L2027" s="403">
        <f t="shared" si="228"/>
        <v>45825</v>
      </c>
      <c r="M2027" s="56" t="str">
        <f t="shared" si="229"/>
        <v>TUE</v>
      </c>
      <c r="N2027" s="116" t="s">
        <v>20</v>
      </c>
      <c r="O2027" s="383">
        <f t="shared" si="232"/>
        <v>1</v>
      </c>
      <c r="P2027" s="392">
        <f t="shared" si="231"/>
        <v>1.0001197222222222</v>
      </c>
    </row>
    <row r="2028" spans="1:16">
      <c r="A2028" s="238"/>
      <c r="B2028" s="239"/>
      <c r="C2028" s="403">
        <f t="shared" si="230"/>
        <v>45826</v>
      </c>
      <c r="D2028" s="56" t="str">
        <f>VLOOKUP(MOD(C2028,7),'CALENDAR INFO'!$G$5:$H$11,2)</f>
        <v>WED</v>
      </c>
      <c r="E2028" s="165">
        <v>4.33</v>
      </c>
      <c r="F2028" s="336">
        <v>4.28</v>
      </c>
      <c r="G2028" s="411">
        <f t="shared" si="227"/>
        <v>-4.9999999999999822E-2</v>
      </c>
      <c r="I2028" s="139"/>
      <c r="J2028" s="151"/>
      <c r="K2028" s="126"/>
      <c r="L2028" s="403">
        <f t="shared" si="228"/>
        <v>45826</v>
      </c>
      <c r="M2028" s="56" t="str">
        <f t="shared" si="229"/>
        <v>WED</v>
      </c>
      <c r="N2028" s="116" t="s">
        <v>20</v>
      </c>
      <c r="O2028" s="384">
        <v>2</v>
      </c>
      <c r="P2028" s="392">
        <f t="shared" si="231"/>
        <v>1.0002377777777778</v>
      </c>
    </row>
    <row r="2029" spans="1:16">
      <c r="A2029" s="286"/>
      <c r="B2029" s="287"/>
      <c r="C2029" s="403">
        <f t="shared" si="230"/>
        <v>45827</v>
      </c>
      <c r="D2029" s="56" t="str">
        <f>VLOOKUP(MOD(C2029,7),'CALENDAR INFO'!$G$5:$H$11,2)</f>
        <v>THU</v>
      </c>
      <c r="E2029" s="165">
        <v>4.33</v>
      </c>
      <c r="F2029" s="336">
        <v>4.28</v>
      </c>
      <c r="G2029" s="411">
        <f t="shared" si="227"/>
        <v>-4.9999999999999822E-2</v>
      </c>
      <c r="K2029" s="126"/>
      <c r="L2029" s="403">
        <f t="shared" si="228"/>
        <v>45827</v>
      </c>
      <c r="M2029" s="56" t="str">
        <f t="shared" si="229"/>
        <v>THU</v>
      </c>
      <c r="N2029" s="132" t="s">
        <v>176</v>
      </c>
      <c r="O2029" s="384">
        <v>0</v>
      </c>
      <c r="P2029" s="392">
        <f t="shared" si="231"/>
        <v>1</v>
      </c>
    </row>
    <row r="2030" spans="1:16">
      <c r="B2030" s="41"/>
      <c r="C2030" s="403">
        <f t="shared" si="230"/>
        <v>45828</v>
      </c>
      <c r="D2030" s="56" t="str">
        <f>VLOOKUP(MOD(C2030,7),'CALENDAR INFO'!$G$5:$H$11,2)</f>
        <v>FRI</v>
      </c>
      <c r="E2030" s="165">
        <v>4.33</v>
      </c>
      <c r="F2030" s="336">
        <v>4.29</v>
      </c>
      <c r="G2030" s="411">
        <f t="shared" si="227"/>
        <v>-4.0000000000000036E-2</v>
      </c>
      <c r="K2030" s="126"/>
      <c r="L2030" s="403">
        <f t="shared" si="228"/>
        <v>45828</v>
      </c>
      <c r="M2030" s="56" t="str">
        <f t="shared" si="229"/>
        <v>FRI</v>
      </c>
      <c r="O2030" s="383">
        <f t="shared" ref="O2030:O2042" si="233">IF(MOD(C2030,7)&lt;2,0,IF(MOD(C2030,7)=6,3,1))</f>
        <v>3</v>
      </c>
      <c r="P2030" s="392">
        <f t="shared" si="231"/>
        <v>1.0003575</v>
      </c>
    </row>
    <row r="2031" spans="1:16">
      <c r="B2031" s="41"/>
      <c r="C2031" s="403">
        <f t="shared" si="230"/>
        <v>45829</v>
      </c>
      <c r="D2031" s="56" t="str">
        <f>VLOOKUP(MOD(C2031,7),'CALENDAR INFO'!$G$5:$H$11,2)</f>
        <v>SAT</v>
      </c>
      <c r="E2031" s="165">
        <v>4.33</v>
      </c>
      <c r="F2031" s="336">
        <v>4.29</v>
      </c>
      <c r="G2031" s="411">
        <f t="shared" si="227"/>
        <v>-4.0000000000000036E-2</v>
      </c>
      <c r="K2031" s="126"/>
      <c r="L2031" s="403">
        <f t="shared" si="228"/>
        <v>45829</v>
      </c>
      <c r="M2031" s="56" t="str">
        <f t="shared" si="229"/>
        <v>SAT</v>
      </c>
      <c r="O2031" s="383">
        <f t="shared" si="233"/>
        <v>0</v>
      </c>
      <c r="P2031" s="392">
        <f t="shared" si="231"/>
        <v>1</v>
      </c>
    </row>
    <row r="2032" spans="1:16">
      <c r="B2032" s="41"/>
      <c r="C2032" s="403">
        <f t="shared" si="230"/>
        <v>45830</v>
      </c>
      <c r="D2032" s="56" t="str">
        <f>VLOOKUP(MOD(C2032,7),'CALENDAR INFO'!$G$5:$H$11,2)</f>
        <v>SUN</v>
      </c>
      <c r="E2032" s="165">
        <v>4.33</v>
      </c>
      <c r="F2032" s="336">
        <v>4.29</v>
      </c>
      <c r="G2032" s="411">
        <f t="shared" si="227"/>
        <v>-4.0000000000000036E-2</v>
      </c>
      <c r="I2032" s="163"/>
      <c r="J2032" s="164"/>
      <c r="K2032" s="126"/>
      <c r="L2032" s="403">
        <f t="shared" si="228"/>
        <v>45830</v>
      </c>
      <c r="M2032" s="56" t="str">
        <f t="shared" si="229"/>
        <v>SUN</v>
      </c>
      <c r="O2032" s="383">
        <f t="shared" si="233"/>
        <v>0</v>
      </c>
      <c r="P2032" s="392">
        <f t="shared" si="231"/>
        <v>1</v>
      </c>
    </row>
    <row r="2033" spans="1:16">
      <c r="B2033" s="41"/>
      <c r="C2033" s="403">
        <f t="shared" si="230"/>
        <v>45831</v>
      </c>
      <c r="D2033" s="56" t="str">
        <f>VLOOKUP(MOD(C2033,7),'CALENDAR INFO'!$G$5:$H$11,2)</f>
        <v>MON</v>
      </c>
      <c r="E2033" s="165">
        <v>4.33</v>
      </c>
      <c r="F2033" s="336">
        <v>4.29</v>
      </c>
      <c r="G2033" s="411">
        <f t="shared" si="227"/>
        <v>-4.0000000000000036E-2</v>
      </c>
      <c r="I2033" s="137"/>
      <c r="J2033" s="150"/>
      <c r="K2033" s="126"/>
      <c r="L2033" s="403">
        <f t="shared" si="228"/>
        <v>45831</v>
      </c>
      <c r="M2033" s="56" t="str">
        <f t="shared" si="229"/>
        <v>MON</v>
      </c>
      <c r="O2033" s="383">
        <f t="shared" si="233"/>
        <v>1</v>
      </c>
      <c r="P2033" s="392">
        <f t="shared" si="231"/>
        <v>1.0001191666666667</v>
      </c>
    </row>
    <row r="2034" spans="1:16">
      <c r="B2034" s="41"/>
      <c r="C2034" s="403">
        <f t="shared" si="230"/>
        <v>45832</v>
      </c>
      <c r="D2034" s="56" t="str">
        <f>VLOOKUP(MOD(C2034,7),'CALENDAR INFO'!$G$5:$H$11,2)</f>
        <v>TUE</v>
      </c>
      <c r="E2034" s="165">
        <v>4.33</v>
      </c>
      <c r="F2034" s="336">
        <v>4.3</v>
      </c>
      <c r="G2034" s="411">
        <f t="shared" si="227"/>
        <v>-3.0000000000000249E-2</v>
      </c>
      <c r="I2034" s="137"/>
      <c r="J2034" s="150"/>
      <c r="K2034" s="126"/>
      <c r="L2034" s="403">
        <f t="shared" si="228"/>
        <v>45832</v>
      </c>
      <c r="M2034" s="56" t="str">
        <f t="shared" si="229"/>
        <v>TUE</v>
      </c>
      <c r="O2034" s="383">
        <f t="shared" si="233"/>
        <v>1</v>
      </c>
      <c r="P2034" s="392">
        <f t="shared" si="231"/>
        <v>1.0001194444444443</v>
      </c>
    </row>
    <row r="2035" spans="1:16">
      <c r="B2035" s="41"/>
      <c r="C2035" s="403">
        <f t="shared" si="230"/>
        <v>45833</v>
      </c>
      <c r="D2035" s="56" t="str">
        <f>VLOOKUP(MOD(C2035,7),'CALENDAR INFO'!$G$5:$H$11,2)</f>
        <v>WED</v>
      </c>
      <c r="E2035" s="165">
        <v>4.33</v>
      </c>
      <c r="F2035" s="336">
        <v>4.3600000000000003</v>
      </c>
      <c r="G2035" s="411">
        <f t="shared" si="227"/>
        <v>3.0000000000000249E-2</v>
      </c>
      <c r="I2035" s="137"/>
      <c r="J2035" s="150"/>
      <c r="K2035" s="126" t="s">
        <v>19</v>
      </c>
      <c r="L2035" s="403">
        <f t="shared" si="228"/>
        <v>45833</v>
      </c>
      <c r="M2035" s="56" t="str">
        <f t="shared" si="229"/>
        <v>WED</v>
      </c>
      <c r="O2035" s="383">
        <f t="shared" si="233"/>
        <v>1</v>
      </c>
      <c r="P2035" s="392">
        <f t="shared" si="231"/>
        <v>1.000121111111111</v>
      </c>
    </row>
    <row r="2036" spans="1:16">
      <c r="B2036" s="41"/>
      <c r="C2036" s="403">
        <f t="shared" si="230"/>
        <v>45834</v>
      </c>
      <c r="D2036" s="56" t="str">
        <f>VLOOKUP(MOD(C2036,7),'CALENDAR INFO'!$G$5:$H$11,2)</f>
        <v>THU</v>
      </c>
      <c r="E2036" s="165">
        <v>4.33</v>
      </c>
      <c r="F2036" s="336">
        <v>4.4000000000000004</v>
      </c>
      <c r="G2036" s="411">
        <f t="shared" si="227"/>
        <v>7.0000000000000284E-2</v>
      </c>
      <c r="K2036" s="129" t="s">
        <v>18</v>
      </c>
      <c r="L2036" s="403">
        <f t="shared" si="228"/>
        <v>45834</v>
      </c>
      <c r="M2036" s="56" t="str">
        <f t="shared" si="229"/>
        <v>THU</v>
      </c>
      <c r="O2036" s="383">
        <f t="shared" si="233"/>
        <v>1</v>
      </c>
      <c r="P2036" s="392">
        <f t="shared" si="231"/>
        <v>1.0001222222222221</v>
      </c>
    </row>
    <row r="2037" spans="1:16">
      <c r="B2037" s="41"/>
      <c r="C2037" s="403">
        <f t="shared" si="230"/>
        <v>45835</v>
      </c>
      <c r="D2037" s="56" t="str">
        <f>VLOOKUP(MOD(C2037,7),'CALENDAR INFO'!$G$5:$H$11,2)</f>
        <v>FRI</v>
      </c>
      <c r="E2037" s="165">
        <v>4.33</v>
      </c>
      <c r="F2037" s="336">
        <v>4.3899999999999997</v>
      </c>
      <c r="G2037" s="411">
        <f t="shared" si="227"/>
        <v>5.9999999999999609E-2</v>
      </c>
      <c r="K2037" s="129"/>
      <c r="L2037" s="403">
        <f t="shared" si="228"/>
        <v>45835</v>
      </c>
      <c r="M2037" s="56" t="str">
        <f t="shared" si="229"/>
        <v>FRI</v>
      </c>
      <c r="O2037" s="383">
        <f t="shared" si="233"/>
        <v>3</v>
      </c>
      <c r="P2037" s="392">
        <f t="shared" si="231"/>
        <v>1.0003658333333334</v>
      </c>
    </row>
    <row r="2038" spans="1:16">
      <c r="B2038" s="41"/>
      <c r="C2038" s="403">
        <f t="shared" si="230"/>
        <v>45836</v>
      </c>
      <c r="D2038" s="56" t="str">
        <f>VLOOKUP(MOD(C2038,7),'CALENDAR INFO'!$G$5:$H$11,2)</f>
        <v>SAT</v>
      </c>
      <c r="E2038" s="165">
        <v>4.33</v>
      </c>
      <c r="F2038" s="336">
        <v>4.3899999999999997</v>
      </c>
      <c r="G2038" s="411">
        <f t="shared" si="227"/>
        <v>5.9999999999999609E-2</v>
      </c>
      <c r="I2038" s="137"/>
      <c r="J2038" s="150"/>
      <c r="K2038" s="129"/>
      <c r="L2038" s="403">
        <f t="shared" si="228"/>
        <v>45836</v>
      </c>
      <c r="M2038" s="56" t="str">
        <f t="shared" si="229"/>
        <v>SAT</v>
      </c>
      <c r="O2038" s="383">
        <f t="shared" si="233"/>
        <v>0</v>
      </c>
      <c r="P2038" s="392">
        <f t="shared" si="231"/>
        <v>1</v>
      </c>
    </row>
    <row r="2039" spans="1:16">
      <c r="B2039" s="41"/>
      <c r="C2039" s="403">
        <f t="shared" si="230"/>
        <v>45837</v>
      </c>
      <c r="D2039" s="56" t="str">
        <f>VLOOKUP(MOD(C2039,7),'CALENDAR INFO'!$G$5:$H$11,2)</f>
        <v>SUN</v>
      </c>
      <c r="E2039" s="165">
        <v>4.33</v>
      </c>
      <c r="F2039" s="336">
        <v>4.3899999999999997</v>
      </c>
      <c r="G2039" s="411">
        <f t="shared" si="227"/>
        <v>5.9999999999999609E-2</v>
      </c>
      <c r="K2039" s="129"/>
      <c r="L2039" s="403">
        <f t="shared" si="228"/>
        <v>45837</v>
      </c>
      <c r="M2039" s="56" t="str">
        <f t="shared" si="229"/>
        <v>SUN</v>
      </c>
      <c r="O2039" s="383">
        <f t="shared" si="233"/>
        <v>0</v>
      </c>
      <c r="P2039" s="392">
        <f t="shared" si="231"/>
        <v>1</v>
      </c>
    </row>
    <row r="2040" spans="1:16" ht="15.75" thickBot="1">
      <c r="A2040" s="81"/>
      <c r="B2040" s="178"/>
      <c r="C2040" s="404">
        <f t="shared" si="230"/>
        <v>45838</v>
      </c>
      <c r="D2040" s="64" t="str">
        <f>VLOOKUP(MOD(C2040,7),'CALENDAR INFO'!$G$5:$H$11,2)</f>
        <v>MON</v>
      </c>
      <c r="E2040" s="166">
        <v>4.33</v>
      </c>
      <c r="F2040" s="337">
        <v>4.45</v>
      </c>
      <c r="G2040" s="412">
        <f t="shared" si="227"/>
        <v>0.12000000000000011</v>
      </c>
      <c r="H2040" s="335"/>
      <c r="I2040" s="267"/>
      <c r="J2040" s="268"/>
      <c r="K2040" s="84"/>
      <c r="L2040" s="404">
        <f t="shared" si="228"/>
        <v>45838</v>
      </c>
      <c r="M2040" s="64" t="str">
        <f t="shared" si="229"/>
        <v>MON</v>
      </c>
      <c r="N2040" s="90"/>
      <c r="O2040" s="382">
        <f t="shared" si="233"/>
        <v>1</v>
      </c>
      <c r="P2040" s="388">
        <f t="shared" si="231"/>
        <v>1.0001236111111111</v>
      </c>
    </row>
    <row r="2041" spans="1:16">
      <c r="A2041" s="238"/>
      <c r="B2041" s="239"/>
      <c r="C2041" s="403">
        <f t="shared" si="230"/>
        <v>45839</v>
      </c>
      <c r="D2041" s="56" t="str">
        <f>VLOOKUP(MOD(C2041,7),'CALENDAR INFO'!$G$5:$H$11,2)</f>
        <v>TUE</v>
      </c>
      <c r="E2041" s="165">
        <v>4.33</v>
      </c>
      <c r="F2041" s="336">
        <v>4.4400000000000004</v>
      </c>
      <c r="G2041" s="411">
        <f t="shared" si="227"/>
        <v>0.11000000000000032</v>
      </c>
      <c r="H2041" s="15" t="s">
        <v>149</v>
      </c>
      <c r="I2041" s="15">
        <f>ROW(I2041)</f>
        <v>2041</v>
      </c>
      <c r="J2041" s="138">
        <f>I2041</f>
        <v>2041</v>
      </c>
      <c r="K2041" s="129"/>
      <c r="L2041" s="403">
        <f t="shared" si="228"/>
        <v>45839</v>
      </c>
      <c r="M2041" s="56" t="str">
        <f t="shared" si="229"/>
        <v>TUE</v>
      </c>
      <c r="O2041" s="383">
        <f t="shared" si="233"/>
        <v>1</v>
      </c>
      <c r="P2041" s="392">
        <f t="shared" si="231"/>
        <v>1.0001233333333333</v>
      </c>
    </row>
    <row r="2042" spans="1:16">
      <c r="A2042" s="238"/>
      <c r="B2042" s="239"/>
      <c r="C2042" s="403">
        <f t="shared" si="230"/>
        <v>45840</v>
      </c>
      <c r="D2042" s="56" t="str">
        <f>VLOOKUP(MOD(C2042,7),'CALENDAR INFO'!$G$5:$H$11,2)</f>
        <v>WED</v>
      </c>
      <c r="E2042" s="165">
        <v>4.33</v>
      </c>
      <c r="F2042" s="336">
        <v>4.4000000000000004</v>
      </c>
      <c r="G2042" s="411">
        <f t="shared" si="227"/>
        <v>7.0000000000000284E-2</v>
      </c>
      <c r="H2042" s="376" t="s">
        <v>210</v>
      </c>
      <c r="I2042" s="15">
        <f>VLOOKUP(MONTH($C2041),'CALENDAR INFO'!$J$5:$K$16,2)</f>
        <v>31</v>
      </c>
      <c r="J2042" s="138">
        <f>I2042</f>
        <v>31</v>
      </c>
      <c r="K2042" s="129"/>
      <c r="L2042" s="403">
        <f t="shared" si="228"/>
        <v>45840</v>
      </c>
      <c r="M2042" s="56" t="str">
        <f t="shared" si="229"/>
        <v>WED</v>
      </c>
      <c r="O2042" s="383">
        <f t="shared" si="233"/>
        <v>1</v>
      </c>
      <c r="P2042" s="392">
        <f t="shared" si="231"/>
        <v>1.0001222222222221</v>
      </c>
    </row>
    <row r="2043" spans="1:16">
      <c r="A2043" s="238"/>
      <c r="B2043" s="239"/>
      <c r="C2043" s="403">
        <f t="shared" si="230"/>
        <v>45841</v>
      </c>
      <c r="D2043" s="56" t="str">
        <f>VLOOKUP(MOD(C2043,7),'CALENDAR INFO'!$G$5:$H$11,2)</f>
        <v>THU</v>
      </c>
      <c r="E2043" s="165">
        <v>4.33</v>
      </c>
      <c r="F2043" s="336">
        <v>4.3499999999999996</v>
      </c>
      <c r="G2043" s="411">
        <f t="shared" si="227"/>
        <v>1.9999999999999574E-2</v>
      </c>
      <c r="H2043" s="376" t="s">
        <v>211</v>
      </c>
      <c r="I2043" s="15">
        <f>I2042+I2041-1</f>
        <v>2071</v>
      </c>
      <c r="J2043" s="138">
        <f>I2043</f>
        <v>2071</v>
      </c>
      <c r="K2043" s="129"/>
      <c r="L2043" s="403">
        <f t="shared" si="228"/>
        <v>45841</v>
      </c>
      <c r="M2043" s="56" t="str">
        <f t="shared" si="229"/>
        <v>THU</v>
      </c>
      <c r="O2043" s="384">
        <v>4</v>
      </c>
      <c r="P2043" s="392">
        <f t="shared" si="231"/>
        <v>1.0004833333333334</v>
      </c>
    </row>
    <row r="2044" spans="1:16">
      <c r="A2044" s="238"/>
      <c r="B2044" s="239"/>
      <c r="C2044" s="403">
        <f t="shared" si="230"/>
        <v>45842</v>
      </c>
      <c r="D2044" s="56" t="str">
        <f>VLOOKUP(MOD(C2044,7),'CALENDAR INFO'!$G$5:$H$11,2)</f>
        <v>FRI</v>
      </c>
      <c r="E2044" s="165">
        <v>4.33</v>
      </c>
      <c r="F2044" s="336">
        <v>4.3499999999999996</v>
      </c>
      <c r="G2044" s="411">
        <f t="shared" si="227"/>
        <v>1.9999999999999574E-2</v>
      </c>
      <c r="K2044" s="129"/>
      <c r="L2044" s="403">
        <f t="shared" si="228"/>
        <v>45842</v>
      </c>
      <c r="M2044" s="56" t="str">
        <f t="shared" si="229"/>
        <v>FRI</v>
      </c>
      <c r="N2044" s="132" t="s">
        <v>49</v>
      </c>
      <c r="O2044" s="384">
        <v>0</v>
      </c>
      <c r="P2044" s="392">
        <f t="shared" si="231"/>
        <v>1</v>
      </c>
    </row>
    <row r="2045" spans="1:16">
      <c r="A2045" s="238"/>
      <c r="B2045" s="239"/>
      <c r="C2045" s="403">
        <f t="shared" si="230"/>
        <v>45843</v>
      </c>
      <c r="D2045" s="56" t="str">
        <f>VLOOKUP(MOD(C2045,7),'CALENDAR INFO'!$G$5:$H$11,2)</f>
        <v>SAT</v>
      </c>
      <c r="E2045" s="165">
        <v>4.33</v>
      </c>
      <c r="F2045" s="336">
        <v>4.3499999999999996</v>
      </c>
      <c r="G2045" s="411">
        <f t="shared" si="227"/>
        <v>1.9999999999999574E-2</v>
      </c>
      <c r="H2045" s="15" t="s">
        <v>150</v>
      </c>
      <c r="I2045" s="137" t="str">
        <f>_xlfn.CONCAT(ADDRESS(I2041,5),":",ADDRESS(I2043,5))</f>
        <v>$E$2041:$E$2071</v>
      </c>
      <c r="J2045" s="150" t="str">
        <f>_xlfn.CONCAT(ADDRESS(J2041,6),":",ADDRESS(J2043,6))</f>
        <v>$F$2041:$F$2071</v>
      </c>
      <c r="K2045" s="129"/>
      <c r="L2045" s="403">
        <f t="shared" si="228"/>
        <v>45843</v>
      </c>
      <c r="M2045" s="56" t="str">
        <f t="shared" si="229"/>
        <v>SAT</v>
      </c>
      <c r="O2045" s="384">
        <v>0</v>
      </c>
      <c r="P2045" s="392">
        <f t="shared" si="231"/>
        <v>1</v>
      </c>
    </row>
    <row r="2046" spans="1:16">
      <c r="A2046" s="238"/>
      <c r="B2046" s="239"/>
      <c r="C2046" s="403">
        <f t="shared" si="230"/>
        <v>45844</v>
      </c>
      <c r="D2046" s="56" t="str">
        <f>VLOOKUP(MOD(C2046,7),'CALENDAR INFO'!$G$5:$H$11,2)</f>
        <v>SUN</v>
      </c>
      <c r="E2046" s="165">
        <v>4.33</v>
      </c>
      <c r="F2046" s="336">
        <v>4.3499999999999996</v>
      </c>
      <c r="G2046" s="411">
        <f t="shared" si="227"/>
        <v>1.9999999999999574E-2</v>
      </c>
      <c r="K2046" s="129"/>
      <c r="L2046" s="403">
        <f t="shared" si="228"/>
        <v>45844</v>
      </c>
      <c r="M2046" s="56" t="str">
        <f t="shared" si="229"/>
        <v>SUN</v>
      </c>
      <c r="O2046" s="384">
        <v>0</v>
      </c>
      <c r="P2046" s="392">
        <f t="shared" si="231"/>
        <v>1</v>
      </c>
    </row>
    <row r="2047" spans="1:16">
      <c r="A2047" s="238"/>
      <c r="B2047" s="239"/>
      <c r="C2047" s="403">
        <f t="shared" si="230"/>
        <v>45845</v>
      </c>
      <c r="D2047" s="56" t="str">
        <f>VLOOKUP(MOD(C2047,7),'CALENDAR INFO'!$G$5:$H$11,2)</f>
        <v>MON</v>
      </c>
      <c r="E2047" s="165">
        <v>4.33</v>
      </c>
      <c r="F2047" s="336">
        <v>4.33</v>
      </c>
      <c r="G2047" s="411">
        <f t="shared" si="227"/>
        <v>0</v>
      </c>
      <c r="H2047" s="376" t="s">
        <v>221</v>
      </c>
      <c r="I2047" s="147">
        <f ca="1">AVERAGE(INDIRECT(I2045))</f>
        <v>4.33</v>
      </c>
      <c r="J2047" s="326">
        <f ca="1">AVERAGE(INDIRECT(J2045))</f>
        <v>4.3354838709677415</v>
      </c>
      <c r="K2047" s="129"/>
      <c r="L2047" s="403">
        <f t="shared" si="228"/>
        <v>45845</v>
      </c>
      <c r="M2047" s="56" t="str">
        <f t="shared" si="229"/>
        <v>MON</v>
      </c>
      <c r="O2047" s="383">
        <f t="shared" ref="O2047:O2078" si="234">IF(MOD(C2047,7)&lt;2,0,IF(MOD(C2047,7)=6,3,1))</f>
        <v>1</v>
      </c>
      <c r="P2047" s="392">
        <f t="shared" si="231"/>
        <v>1.0001202777777778</v>
      </c>
    </row>
    <row r="2048" spans="1:16">
      <c r="A2048" s="238"/>
      <c r="B2048" s="239"/>
      <c r="C2048" s="403">
        <f t="shared" si="230"/>
        <v>45846</v>
      </c>
      <c r="D2048" s="56" t="str">
        <f>VLOOKUP(MOD(C2048,7),'CALENDAR INFO'!$G$5:$H$11,2)</f>
        <v>TUE</v>
      </c>
      <c r="E2048" s="165">
        <v>4.33</v>
      </c>
      <c r="F2048" s="336">
        <v>4.34</v>
      </c>
      <c r="G2048" s="411">
        <f t="shared" si="227"/>
        <v>9.9999999999997868E-3</v>
      </c>
      <c r="K2048" s="129"/>
      <c r="L2048" s="403">
        <f t="shared" si="228"/>
        <v>45846</v>
      </c>
      <c r="M2048" s="56" t="str">
        <f t="shared" si="229"/>
        <v>TUE</v>
      </c>
      <c r="O2048" s="383">
        <f t="shared" si="234"/>
        <v>1</v>
      </c>
      <c r="P2048" s="392">
        <f t="shared" si="231"/>
        <v>1.0001205555555555</v>
      </c>
    </row>
    <row r="2049" spans="1:16">
      <c r="A2049" s="238"/>
      <c r="B2049" s="239"/>
      <c r="C2049" s="403">
        <f t="shared" si="230"/>
        <v>45847</v>
      </c>
      <c r="D2049" s="56" t="str">
        <f>VLOOKUP(MOD(C2049,7),'CALENDAR INFO'!$G$5:$H$11,2)</f>
        <v>WED</v>
      </c>
      <c r="E2049" s="165">
        <v>4.33</v>
      </c>
      <c r="F2049" s="336">
        <v>4.32</v>
      </c>
      <c r="G2049" s="411">
        <f t="shared" si="227"/>
        <v>-9.9999999999997868E-3</v>
      </c>
      <c r="H2049" s="15" t="s">
        <v>222</v>
      </c>
      <c r="I2049" s="147">
        <f ca="1">100-I2047</f>
        <v>95.67</v>
      </c>
      <c r="J2049" s="326">
        <f ca="1">100-J2047</f>
        <v>95.664516129032265</v>
      </c>
      <c r="K2049" s="129" t="s">
        <v>19</v>
      </c>
      <c r="L2049" s="403">
        <f t="shared" si="228"/>
        <v>45847</v>
      </c>
      <c r="M2049" s="56" t="str">
        <f t="shared" si="229"/>
        <v>WED</v>
      </c>
      <c r="O2049" s="383">
        <f t="shared" si="234"/>
        <v>1</v>
      </c>
      <c r="P2049" s="392">
        <f t="shared" si="231"/>
        <v>1.0001199999999999</v>
      </c>
    </row>
    <row r="2050" spans="1:16">
      <c r="A2050" s="238"/>
      <c r="B2050" s="239"/>
      <c r="C2050" s="403">
        <f t="shared" si="230"/>
        <v>45848</v>
      </c>
      <c r="D2050" s="56" t="str">
        <f>VLOOKUP(MOD(C2050,7),'CALENDAR INFO'!$G$5:$H$11,2)</f>
        <v>THU</v>
      </c>
      <c r="E2050" s="165">
        <v>4.33</v>
      </c>
      <c r="F2050" s="336">
        <v>4.3099999999999996</v>
      </c>
      <c r="G2050" s="411">
        <f t="shared" si="227"/>
        <v>-2.0000000000000462E-2</v>
      </c>
      <c r="I2050" s="137"/>
      <c r="J2050" s="150"/>
      <c r="K2050" s="126" t="s">
        <v>18</v>
      </c>
      <c r="L2050" s="403">
        <f t="shared" si="228"/>
        <v>45848</v>
      </c>
      <c r="M2050" s="56" t="str">
        <f t="shared" si="229"/>
        <v>THU</v>
      </c>
      <c r="O2050" s="383">
        <f t="shared" si="234"/>
        <v>1</v>
      </c>
      <c r="P2050" s="392">
        <f t="shared" si="231"/>
        <v>1.0001197222222222</v>
      </c>
    </row>
    <row r="2051" spans="1:16">
      <c r="A2051" s="238"/>
      <c r="B2051" s="239"/>
      <c r="C2051" s="403">
        <f t="shared" si="230"/>
        <v>45849</v>
      </c>
      <c r="D2051" s="56" t="str">
        <f>VLOOKUP(MOD(C2051,7),'CALENDAR INFO'!$G$5:$H$11,2)</f>
        <v>FRI</v>
      </c>
      <c r="E2051" s="165">
        <v>4.33</v>
      </c>
      <c r="F2051" s="336">
        <v>4.3099999999999996</v>
      </c>
      <c r="G2051" s="411">
        <f t="shared" ref="G2051:G2114" si="235">F2051-E2051</f>
        <v>-2.0000000000000462E-2</v>
      </c>
      <c r="K2051" s="126"/>
      <c r="L2051" s="403">
        <f t="shared" ref="L2051:L2114" si="236">C2051</f>
        <v>45849</v>
      </c>
      <c r="M2051" s="56" t="str">
        <f t="shared" ref="M2051:M2114" si="237">D2051</f>
        <v>FRI</v>
      </c>
      <c r="O2051" s="383">
        <f t="shared" si="234"/>
        <v>3</v>
      </c>
      <c r="P2051" s="392">
        <f t="shared" si="231"/>
        <v>1.0003591666666667</v>
      </c>
    </row>
    <row r="2052" spans="1:16">
      <c r="A2052" s="238"/>
      <c r="B2052" s="239"/>
      <c r="C2052" s="403">
        <f t="shared" ref="C2052:C2115" si="238">C2051+1</f>
        <v>45850</v>
      </c>
      <c r="D2052" s="56" t="str">
        <f>VLOOKUP(MOD(C2052,7),'CALENDAR INFO'!$G$5:$H$11,2)</f>
        <v>SAT</v>
      </c>
      <c r="E2052" s="165">
        <v>4.33</v>
      </c>
      <c r="F2052" s="336">
        <v>4.3099999999999996</v>
      </c>
      <c r="G2052" s="411">
        <f t="shared" si="235"/>
        <v>-2.0000000000000462E-2</v>
      </c>
      <c r="K2052" s="126"/>
      <c r="L2052" s="403">
        <f t="shared" si="236"/>
        <v>45850</v>
      </c>
      <c r="M2052" s="56" t="str">
        <f t="shared" si="237"/>
        <v>SAT</v>
      </c>
      <c r="O2052" s="383">
        <f t="shared" si="234"/>
        <v>0</v>
      </c>
      <c r="P2052" s="392">
        <f t="shared" si="231"/>
        <v>1</v>
      </c>
    </row>
    <row r="2053" spans="1:16">
      <c r="A2053" s="238"/>
      <c r="B2053" s="239"/>
      <c r="C2053" s="403">
        <f t="shared" si="238"/>
        <v>45851</v>
      </c>
      <c r="D2053" s="56" t="str">
        <f>VLOOKUP(MOD(C2053,7),'CALENDAR INFO'!$G$5:$H$11,2)</f>
        <v>SUN</v>
      </c>
      <c r="E2053" s="165">
        <v>4.33</v>
      </c>
      <c r="F2053" s="336">
        <v>4.3099999999999996</v>
      </c>
      <c r="G2053" s="411">
        <f t="shared" si="235"/>
        <v>-2.0000000000000462E-2</v>
      </c>
      <c r="K2053" s="126"/>
      <c r="L2053" s="403">
        <f t="shared" si="236"/>
        <v>45851</v>
      </c>
      <c r="M2053" s="56" t="str">
        <f t="shared" si="237"/>
        <v>SUN</v>
      </c>
      <c r="O2053" s="383">
        <f t="shared" si="234"/>
        <v>0</v>
      </c>
      <c r="P2053" s="392">
        <f t="shared" si="231"/>
        <v>1</v>
      </c>
    </row>
    <row r="2054" spans="1:16">
      <c r="A2054" s="238"/>
      <c r="B2054" s="239"/>
      <c r="C2054" s="403">
        <f t="shared" si="238"/>
        <v>45852</v>
      </c>
      <c r="D2054" s="56" t="str">
        <f>VLOOKUP(MOD(C2054,7),'CALENDAR INFO'!$G$5:$H$11,2)</f>
        <v>MON</v>
      </c>
      <c r="E2054" s="165">
        <v>4.33</v>
      </c>
      <c r="F2054" s="336">
        <v>4.33</v>
      </c>
      <c r="G2054" s="411">
        <f t="shared" si="235"/>
        <v>0</v>
      </c>
      <c r="K2054" s="126"/>
      <c r="L2054" s="403">
        <f t="shared" si="236"/>
        <v>45852</v>
      </c>
      <c r="M2054" s="56" t="str">
        <f t="shared" si="237"/>
        <v>MON</v>
      </c>
      <c r="O2054" s="383">
        <f t="shared" si="234"/>
        <v>1</v>
      </c>
      <c r="P2054" s="392">
        <f t="shared" si="231"/>
        <v>1.0001202777777778</v>
      </c>
    </row>
    <row r="2055" spans="1:16">
      <c r="A2055" s="238"/>
      <c r="B2055" s="239"/>
      <c r="C2055" s="403">
        <f t="shared" si="238"/>
        <v>45853</v>
      </c>
      <c r="D2055" s="56" t="str">
        <f>VLOOKUP(MOD(C2055,7),'CALENDAR INFO'!$G$5:$H$11,2)</f>
        <v>TUE</v>
      </c>
      <c r="E2055" s="165">
        <v>4.33</v>
      </c>
      <c r="F2055" s="336">
        <v>4.37</v>
      </c>
      <c r="G2055" s="411">
        <f t="shared" si="235"/>
        <v>4.0000000000000036E-2</v>
      </c>
      <c r="K2055" s="126"/>
      <c r="L2055" s="403">
        <f t="shared" si="236"/>
        <v>45853</v>
      </c>
      <c r="M2055" s="56" t="str">
        <f t="shared" si="237"/>
        <v>TUE</v>
      </c>
      <c r="O2055" s="383">
        <f t="shared" si="234"/>
        <v>1</v>
      </c>
      <c r="P2055" s="392">
        <f t="shared" si="231"/>
        <v>1.0001213888888889</v>
      </c>
    </row>
    <row r="2056" spans="1:16">
      <c r="A2056" s="238"/>
      <c r="B2056" s="239"/>
      <c r="C2056" s="403">
        <f t="shared" si="238"/>
        <v>45854</v>
      </c>
      <c r="D2056" s="56" t="str">
        <f>VLOOKUP(MOD(C2056,7),'CALENDAR INFO'!$G$5:$H$11,2)</f>
        <v>WED</v>
      </c>
      <c r="E2056" s="165">
        <v>4.33</v>
      </c>
      <c r="F2056" s="336">
        <v>4.34</v>
      </c>
      <c r="G2056" s="411">
        <f t="shared" si="235"/>
        <v>9.9999999999997868E-3</v>
      </c>
      <c r="K2056" s="126"/>
      <c r="L2056" s="403">
        <f t="shared" si="236"/>
        <v>45854</v>
      </c>
      <c r="M2056" s="56" t="str">
        <f t="shared" si="237"/>
        <v>WED</v>
      </c>
      <c r="O2056" s="383">
        <f t="shared" si="234"/>
        <v>1</v>
      </c>
      <c r="P2056" s="392">
        <f t="shared" si="231"/>
        <v>1.0001205555555555</v>
      </c>
    </row>
    <row r="2057" spans="1:16">
      <c r="A2057" s="238"/>
      <c r="B2057" s="239"/>
      <c r="C2057" s="403">
        <f t="shared" si="238"/>
        <v>45855</v>
      </c>
      <c r="D2057" s="56" t="str">
        <f>VLOOKUP(MOD(C2057,7),'CALENDAR INFO'!$G$5:$H$11,2)</f>
        <v>THU</v>
      </c>
      <c r="E2057" s="165">
        <v>4.33</v>
      </c>
      <c r="F2057" s="336">
        <v>4.34</v>
      </c>
      <c r="G2057" s="411">
        <f t="shared" si="235"/>
        <v>9.9999999999997868E-3</v>
      </c>
      <c r="K2057" s="126"/>
      <c r="L2057" s="403">
        <f t="shared" si="236"/>
        <v>45855</v>
      </c>
      <c r="M2057" s="56" t="str">
        <f t="shared" si="237"/>
        <v>THU</v>
      </c>
      <c r="O2057" s="383">
        <f t="shared" si="234"/>
        <v>1</v>
      </c>
      <c r="P2057" s="392">
        <f t="shared" si="231"/>
        <v>1.0001205555555555</v>
      </c>
    </row>
    <row r="2058" spans="1:16">
      <c r="A2058" s="238"/>
      <c r="B2058" s="239"/>
      <c r="C2058" s="403">
        <f t="shared" si="238"/>
        <v>45856</v>
      </c>
      <c r="D2058" s="56" t="str">
        <f>VLOOKUP(MOD(C2058,7),'CALENDAR INFO'!$G$5:$H$11,2)</f>
        <v>FRI</v>
      </c>
      <c r="E2058" s="165">
        <v>4.33</v>
      </c>
      <c r="F2058" s="336">
        <v>4.3</v>
      </c>
      <c r="G2058" s="411">
        <f t="shared" si="235"/>
        <v>-3.0000000000000249E-2</v>
      </c>
      <c r="I2058" s="139"/>
      <c r="J2058" s="151"/>
      <c r="K2058" s="126"/>
      <c r="L2058" s="403">
        <f t="shared" si="236"/>
        <v>45856</v>
      </c>
      <c r="M2058" s="56" t="str">
        <f t="shared" si="237"/>
        <v>FRI</v>
      </c>
      <c r="O2058" s="383">
        <f t="shared" si="234"/>
        <v>3</v>
      </c>
      <c r="P2058" s="392">
        <f t="shared" si="231"/>
        <v>1.0003583333333332</v>
      </c>
    </row>
    <row r="2059" spans="1:16">
      <c r="A2059" s="238"/>
      <c r="B2059" s="239"/>
      <c r="C2059" s="403">
        <f t="shared" si="238"/>
        <v>45857</v>
      </c>
      <c r="D2059" s="56" t="str">
        <f>VLOOKUP(MOD(C2059,7),'CALENDAR INFO'!$G$5:$H$11,2)</f>
        <v>SAT</v>
      </c>
      <c r="E2059" s="165">
        <v>4.33</v>
      </c>
      <c r="F2059" s="336">
        <v>4.3</v>
      </c>
      <c r="G2059" s="411">
        <f t="shared" si="235"/>
        <v>-3.0000000000000249E-2</v>
      </c>
      <c r="K2059" s="126"/>
      <c r="L2059" s="403">
        <f t="shared" si="236"/>
        <v>45857</v>
      </c>
      <c r="M2059" s="56" t="str">
        <f t="shared" si="237"/>
        <v>SAT</v>
      </c>
      <c r="O2059" s="383">
        <f t="shared" si="234"/>
        <v>0</v>
      </c>
      <c r="P2059" s="392">
        <f t="shared" si="231"/>
        <v>1</v>
      </c>
    </row>
    <row r="2060" spans="1:16">
      <c r="A2060" s="238"/>
      <c r="B2060" s="239"/>
      <c r="C2060" s="403">
        <f t="shared" si="238"/>
        <v>45858</v>
      </c>
      <c r="D2060" s="56" t="str">
        <f>VLOOKUP(MOD(C2060,7),'CALENDAR INFO'!$G$5:$H$11,2)</f>
        <v>SUN</v>
      </c>
      <c r="E2060" s="165">
        <v>4.33</v>
      </c>
      <c r="F2060" s="336">
        <v>4.3</v>
      </c>
      <c r="G2060" s="411">
        <f t="shared" si="235"/>
        <v>-3.0000000000000249E-2</v>
      </c>
      <c r="I2060" s="137"/>
      <c r="J2060" s="150"/>
      <c r="K2060" s="126"/>
      <c r="L2060" s="403">
        <f t="shared" si="236"/>
        <v>45858</v>
      </c>
      <c r="M2060" s="56" t="str">
        <f t="shared" si="237"/>
        <v>SUN</v>
      </c>
      <c r="O2060" s="383">
        <f t="shared" si="234"/>
        <v>0</v>
      </c>
      <c r="P2060" s="392">
        <f t="shared" si="231"/>
        <v>1</v>
      </c>
    </row>
    <row r="2061" spans="1:16">
      <c r="A2061" s="238"/>
      <c r="B2061" s="239"/>
      <c r="C2061" s="403">
        <f t="shared" si="238"/>
        <v>45859</v>
      </c>
      <c r="D2061" s="56" t="str">
        <f>VLOOKUP(MOD(C2061,7),'CALENDAR INFO'!$G$5:$H$11,2)</f>
        <v>MON</v>
      </c>
      <c r="E2061" s="165">
        <v>4.33</v>
      </c>
      <c r="F2061" s="336">
        <v>4.28</v>
      </c>
      <c r="G2061" s="411">
        <f t="shared" si="235"/>
        <v>-4.9999999999999822E-2</v>
      </c>
      <c r="I2061" s="137"/>
      <c r="J2061" s="150"/>
      <c r="K2061" s="126"/>
      <c r="L2061" s="403">
        <f t="shared" si="236"/>
        <v>45859</v>
      </c>
      <c r="M2061" s="56" t="str">
        <f t="shared" si="237"/>
        <v>MON</v>
      </c>
      <c r="O2061" s="383">
        <f t="shared" si="234"/>
        <v>1</v>
      </c>
      <c r="P2061" s="392">
        <f t="shared" si="231"/>
        <v>1.0001188888888888</v>
      </c>
    </row>
    <row r="2062" spans="1:16">
      <c r="A2062" s="238"/>
      <c r="B2062" s="239"/>
      <c r="C2062" s="403">
        <f t="shared" si="238"/>
        <v>45860</v>
      </c>
      <c r="D2062" s="56" t="str">
        <f>VLOOKUP(MOD(C2062,7),'CALENDAR INFO'!$G$5:$H$11,2)</f>
        <v>TUE</v>
      </c>
      <c r="E2062" s="165">
        <v>4.33</v>
      </c>
      <c r="F2062" s="336">
        <v>4.28</v>
      </c>
      <c r="G2062" s="411">
        <f t="shared" si="235"/>
        <v>-4.9999999999999822E-2</v>
      </c>
      <c r="I2062" s="163"/>
      <c r="J2062" s="164"/>
      <c r="K2062" s="126"/>
      <c r="L2062" s="403">
        <f t="shared" si="236"/>
        <v>45860</v>
      </c>
      <c r="M2062" s="56" t="str">
        <f t="shared" si="237"/>
        <v>TUE</v>
      </c>
      <c r="O2062" s="383">
        <f t="shared" si="234"/>
        <v>1</v>
      </c>
      <c r="P2062" s="392">
        <f t="shared" si="231"/>
        <v>1.0001188888888888</v>
      </c>
    </row>
    <row r="2063" spans="1:16">
      <c r="A2063" s="238"/>
      <c r="B2063" s="239"/>
      <c r="C2063" s="403">
        <f t="shared" si="238"/>
        <v>45861</v>
      </c>
      <c r="D2063" s="56" t="str">
        <f>VLOOKUP(MOD(C2063,7),'CALENDAR INFO'!$G$5:$H$11,2)</f>
        <v>WED</v>
      </c>
      <c r="E2063" s="165">
        <v>4.33</v>
      </c>
      <c r="F2063" s="336">
        <v>4.28</v>
      </c>
      <c r="G2063" s="411">
        <f t="shared" si="235"/>
        <v>-4.9999999999999822E-2</v>
      </c>
      <c r="I2063" s="137"/>
      <c r="J2063" s="150"/>
      <c r="K2063" s="126" t="s">
        <v>19</v>
      </c>
      <c r="L2063" s="403">
        <f t="shared" si="236"/>
        <v>45861</v>
      </c>
      <c r="M2063" s="56" t="str">
        <f t="shared" si="237"/>
        <v>WED</v>
      </c>
      <c r="O2063" s="383">
        <f t="shared" si="234"/>
        <v>1</v>
      </c>
      <c r="P2063" s="392">
        <f t="shared" si="231"/>
        <v>1.0001188888888888</v>
      </c>
    </row>
    <row r="2064" spans="1:16">
      <c r="A2064" s="238"/>
      <c r="B2064" s="239"/>
      <c r="C2064" s="403">
        <f t="shared" si="238"/>
        <v>45862</v>
      </c>
      <c r="D2064" s="56" t="str">
        <f>VLOOKUP(MOD(C2064,7),'CALENDAR INFO'!$G$5:$H$11,2)</f>
        <v>THU</v>
      </c>
      <c r="E2064" s="165">
        <v>4.33</v>
      </c>
      <c r="F2064" s="336">
        <v>4.3</v>
      </c>
      <c r="G2064" s="411">
        <f t="shared" si="235"/>
        <v>-3.0000000000000249E-2</v>
      </c>
      <c r="I2064" s="137"/>
      <c r="J2064" s="150"/>
      <c r="K2064" s="129" t="s">
        <v>18</v>
      </c>
      <c r="L2064" s="403">
        <f t="shared" si="236"/>
        <v>45862</v>
      </c>
      <c r="M2064" s="56" t="str">
        <f t="shared" si="237"/>
        <v>THU</v>
      </c>
      <c r="O2064" s="383">
        <f t="shared" si="234"/>
        <v>1</v>
      </c>
      <c r="P2064" s="392">
        <f t="shared" si="231"/>
        <v>1.0001194444444443</v>
      </c>
    </row>
    <row r="2065" spans="1:18">
      <c r="A2065" s="238"/>
      <c r="B2065" s="239"/>
      <c r="C2065" s="403">
        <f t="shared" si="238"/>
        <v>45863</v>
      </c>
      <c r="D2065" s="56" t="str">
        <f>VLOOKUP(MOD(C2065,7),'CALENDAR INFO'!$G$5:$H$11,2)</f>
        <v>FRI</v>
      </c>
      <c r="E2065" s="165">
        <v>4.33</v>
      </c>
      <c r="F2065" s="336">
        <v>4.3600000000000003</v>
      </c>
      <c r="G2065" s="411">
        <f t="shared" si="235"/>
        <v>3.0000000000000249E-2</v>
      </c>
      <c r="I2065" s="137"/>
      <c r="J2065" s="150"/>
      <c r="K2065" s="129"/>
      <c r="L2065" s="403">
        <f t="shared" si="236"/>
        <v>45863</v>
      </c>
      <c r="M2065" s="56" t="str">
        <f t="shared" si="237"/>
        <v>FRI</v>
      </c>
      <c r="O2065" s="383">
        <f t="shared" si="234"/>
        <v>3</v>
      </c>
      <c r="P2065" s="392">
        <f t="shared" si="231"/>
        <v>1.0003633333333333</v>
      </c>
    </row>
    <row r="2066" spans="1:18">
      <c r="A2066" s="238"/>
      <c r="B2066" s="239"/>
      <c r="C2066" s="403">
        <f t="shared" si="238"/>
        <v>45864</v>
      </c>
      <c r="D2066" s="56" t="str">
        <f>VLOOKUP(MOD(C2066,7),'CALENDAR INFO'!$G$5:$H$11,2)</f>
        <v>SAT</v>
      </c>
      <c r="E2066" s="165">
        <v>4.33</v>
      </c>
      <c r="F2066" s="336">
        <v>4.3600000000000003</v>
      </c>
      <c r="G2066" s="411">
        <f t="shared" si="235"/>
        <v>3.0000000000000249E-2</v>
      </c>
      <c r="K2066" s="129"/>
      <c r="L2066" s="403">
        <f t="shared" si="236"/>
        <v>45864</v>
      </c>
      <c r="M2066" s="56" t="str">
        <f t="shared" si="237"/>
        <v>SAT</v>
      </c>
      <c r="O2066" s="383">
        <f t="shared" si="234"/>
        <v>0</v>
      </c>
      <c r="P2066" s="392">
        <f t="shared" si="231"/>
        <v>1</v>
      </c>
    </row>
    <row r="2067" spans="1:18">
      <c r="A2067" s="238"/>
      <c r="B2067" s="239"/>
      <c r="C2067" s="403">
        <f t="shared" si="238"/>
        <v>45865</v>
      </c>
      <c r="D2067" s="56" t="str">
        <f>VLOOKUP(MOD(C2067,7),'CALENDAR INFO'!$G$5:$H$11,2)</f>
        <v>SUN</v>
      </c>
      <c r="E2067" s="165">
        <v>4.33</v>
      </c>
      <c r="F2067" s="336">
        <v>4.3600000000000003</v>
      </c>
      <c r="G2067" s="411">
        <f t="shared" si="235"/>
        <v>3.0000000000000249E-2</v>
      </c>
      <c r="K2067" s="129"/>
      <c r="L2067" s="403">
        <f t="shared" si="236"/>
        <v>45865</v>
      </c>
      <c r="M2067" s="56" t="str">
        <f t="shared" si="237"/>
        <v>SUN</v>
      </c>
      <c r="O2067" s="383">
        <f t="shared" si="234"/>
        <v>0</v>
      </c>
      <c r="P2067" s="392">
        <f t="shared" ref="P2067:P2130" si="239">1+(O2067/360)*(MAX(F2067,B2067)/100)</f>
        <v>1</v>
      </c>
    </row>
    <row r="2068" spans="1:18">
      <c r="A2068" s="238"/>
      <c r="B2068" s="239"/>
      <c r="C2068" s="403">
        <f t="shared" si="238"/>
        <v>45866</v>
      </c>
      <c r="D2068" s="56" t="str">
        <f>VLOOKUP(MOD(C2068,7),'CALENDAR INFO'!$G$5:$H$11,2)</f>
        <v>MON</v>
      </c>
      <c r="E2068" s="165">
        <v>4.33</v>
      </c>
      <c r="F2068" s="336">
        <v>4.3600000000000003</v>
      </c>
      <c r="G2068" s="411">
        <f t="shared" si="235"/>
        <v>3.0000000000000249E-2</v>
      </c>
      <c r="I2068" s="137"/>
      <c r="J2068" s="150"/>
      <c r="K2068" s="129"/>
      <c r="L2068" s="403">
        <f t="shared" si="236"/>
        <v>45866</v>
      </c>
      <c r="M2068" s="56" t="str">
        <f t="shared" si="237"/>
        <v>MON</v>
      </c>
      <c r="O2068" s="383">
        <f t="shared" si="234"/>
        <v>1</v>
      </c>
      <c r="P2068" s="392">
        <f t="shared" si="239"/>
        <v>1.000121111111111</v>
      </c>
    </row>
    <row r="2069" spans="1:18">
      <c r="A2069" s="238"/>
      <c r="B2069" s="239"/>
      <c r="C2069" s="403">
        <f t="shared" si="238"/>
        <v>45867</v>
      </c>
      <c r="D2069" s="56" t="str">
        <f>VLOOKUP(MOD(C2069,7),'CALENDAR INFO'!$G$5:$H$11,2)</f>
        <v>TUE</v>
      </c>
      <c r="E2069" s="165">
        <v>4.33</v>
      </c>
      <c r="F2069" s="336">
        <v>4.3600000000000003</v>
      </c>
      <c r="G2069" s="411">
        <f t="shared" si="235"/>
        <v>3.0000000000000249E-2</v>
      </c>
      <c r="K2069" s="129"/>
      <c r="L2069" s="403">
        <f t="shared" si="236"/>
        <v>45867</v>
      </c>
      <c r="M2069" s="56" t="str">
        <f t="shared" si="237"/>
        <v>TUE</v>
      </c>
      <c r="N2069" s="116" t="s">
        <v>20</v>
      </c>
      <c r="O2069" s="383">
        <f t="shared" si="234"/>
        <v>1</v>
      </c>
      <c r="P2069" s="392">
        <f t="shared" si="239"/>
        <v>1.000121111111111</v>
      </c>
    </row>
    <row r="2070" spans="1:18">
      <c r="A2070" s="238"/>
      <c r="B2070" s="239"/>
      <c r="C2070" s="403">
        <f t="shared" si="238"/>
        <v>45868</v>
      </c>
      <c r="D2070" s="56" t="str">
        <f>VLOOKUP(MOD(C2070,7),'CALENDAR INFO'!$G$5:$H$11,2)</f>
        <v>WED</v>
      </c>
      <c r="E2070" s="165">
        <v>4.33</v>
      </c>
      <c r="F2070" s="336">
        <v>4.32</v>
      </c>
      <c r="G2070" s="411">
        <f t="shared" si="235"/>
        <v>-9.9999999999997868E-3</v>
      </c>
      <c r="I2070" s="147"/>
      <c r="J2070" s="326"/>
      <c r="K2070" s="129"/>
      <c r="L2070" s="403">
        <f t="shared" si="236"/>
        <v>45868</v>
      </c>
      <c r="M2070" s="56" t="str">
        <f t="shared" si="237"/>
        <v>WED</v>
      </c>
      <c r="N2070" s="116" t="s">
        <v>20</v>
      </c>
      <c r="O2070" s="383">
        <f t="shared" si="234"/>
        <v>1</v>
      </c>
      <c r="P2070" s="392">
        <f t="shared" si="239"/>
        <v>1.0001199999999999</v>
      </c>
    </row>
    <row r="2071" spans="1:18" ht="15.75" thickBot="1">
      <c r="A2071" s="284"/>
      <c r="B2071" s="285"/>
      <c r="C2071" s="404">
        <f t="shared" si="238"/>
        <v>45869</v>
      </c>
      <c r="D2071" s="64" t="str">
        <f>VLOOKUP(MOD(C2071,7),'CALENDAR INFO'!$G$5:$H$11,2)</f>
        <v>THU</v>
      </c>
      <c r="E2071" s="166">
        <v>4.33</v>
      </c>
      <c r="F2071" s="337">
        <v>4.3899999999999997</v>
      </c>
      <c r="G2071" s="412">
        <f t="shared" si="235"/>
        <v>5.9999999999999609E-2</v>
      </c>
      <c r="H2071" s="335"/>
      <c r="I2071" s="267"/>
      <c r="J2071" s="268"/>
      <c r="K2071" s="84"/>
      <c r="L2071" s="404">
        <f t="shared" si="236"/>
        <v>45869</v>
      </c>
      <c r="M2071" s="64" t="str">
        <f t="shared" si="237"/>
        <v>THU</v>
      </c>
      <c r="N2071" s="90"/>
      <c r="O2071" s="382">
        <f t="shared" si="234"/>
        <v>1</v>
      </c>
      <c r="P2071" s="388">
        <f t="shared" si="239"/>
        <v>1.0001219444444445</v>
      </c>
    </row>
    <row r="2072" spans="1:18">
      <c r="A2072" s="238"/>
      <c r="B2072" s="239"/>
      <c r="C2072" s="403">
        <f t="shared" si="238"/>
        <v>45870</v>
      </c>
      <c r="D2072" s="56" t="str">
        <f>VLOOKUP(MOD(C2072,7),'CALENDAR INFO'!$G$5:$H$11,2)</f>
        <v>FRI</v>
      </c>
      <c r="E2072" s="165">
        <v>4.33</v>
      </c>
      <c r="F2072" s="336">
        <v>4.34</v>
      </c>
      <c r="G2072" s="411">
        <f t="shared" si="235"/>
        <v>9.9999999999997868E-3</v>
      </c>
      <c r="H2072" s="15" t="s">
        <v>149</v>
      </c>
      <c r="I2072" s="15">
        <f>ROW(I2072)</f>
        <v>2072</v>
      </c>
      <c r="J2072" s="138">
        <f>I2072</f>
        <v>2072</v>
      </c>
      <c r="K2072" s="129"/>
      <c r="L2072" s="403">
        <f t="shared" si="236"/>
        <v>45870</v>
      </c>
      <c r="M2072" s="56" t="str">
        <f t="shared" si="237"/>
        <v>FRI</v>
      </c>
      <c r="O2072" s="383">
        <f t="shared" si="234"/>
        <v>3</v>
      </c>
      <c r="P2072" s="392">
        <f t="shared" si="239"/>
        <v>1.0003616666666666</v>
      </c>
    </row>
    <row r="2073" spans="1:18">
      <c r="A2073" s="69"/>
      <c r="B2073" s="175"/>
      <c r="C2073" s="403">
        <f t="shared" si="238"/>
        <v>45871</v>
      </c>
      <c r="D2073" s="56" t="str">
        <f>VLOOKUP(MOD(C2073,7),'CALENDAR INFO'!$G$5:$H$11,2)</f>
        <v>SAT</v>
      </c>
      <c r="E2073" s="165">
        <v>4.33</v>
      </c>
      <c r="F2073" s="336">
        <v>4.34</v>
      </c>
      <c r="G2073" s="411">
        <f t="shared" si="235"/>
        <v>9.9999999999997868E-3</v>
      </c>
      <c r="H2073" s="376" t="s">
        <v>210</v>
      </c>
      <c r="I2073" s="15">
        <f>VLOOKUP(MONTH($C2072),'CALENDAR INFO'!$J$5:$K$16,2)</f>
        <v>31</v>
      </c>
      <c r="J2073" s="138">
        <f>I2073</f>
        <v>31</v>
      </c>
      <c r="K2073" s="129"/>
      <c r="L2073" s="403">
        <f t="shared" si="236"/>
        <v>45871</v>
      </c>
      <c r="M2073" s="56" t="str">
        <f t="shared" si="237"/>
        <v>SAT</v>
      </c>
      <c r="O2073" s="383">
        <f t="shared" si="234"/>
        <v>0</v>
      </c>
      <c r="P2073" s="392">
        <f t="shared" si="239"/>
        <v>1</v>
      </c>
    </row>
    <row r="2074" spans="1:18">
      <c r="A2074" s="69"/>
      <c r="B2074" s="175"/>
      <c r="C2074" s="403">
        <f t="shared" si="238"/>
        <v>45872</v>
      </c>
      <c r="D2074" s="56" t="str">
        <f>VLOOKUP(MOD(C2074,7),'CALENDAR INFO'!$G$5:$H$11,2)</f>
        <v>SUN</v>
      </c>
      <c r="E2074" s="165">
        <v>4.33</v>
      </c>
      <c r="F2074" s="336">
        <v>4.34</v>
      </c>
      <c r="G2074" s="411">
        <f t="shared" si="235"/>
        <v>9.9999999999997868E-3</v>
      </c>
      <c r="H2074" s="376" t="s">
        <v>211</v>
      </c>
      <c r="I2074" s="15">
        <f>I2073+I2072-1</f>
        <v>2102</v>
      </c>
      <c r="J2074" s="138">
        <f>I2074</f>
        <v>2102</v>
      </c>
      <c r="K2074" s="129"/>
      <c r="L2074" s="403">
        <f t="shared" si="236"/>
        <v>45872</v>
      </c>
      <c r="M2074" s="56" t="str">
        <f t="shared" si="237"/>
        <v>SUN</v>
      </c>
      <c r="O2074" s="383">
        <f t="shared" si="234"/>
        <v>0</v>
      </c>
      <c r="P2074" s="392">
        <f t="shared" si="239"/>
        <v>1</v>
      </c>
    </row>
    <row r="2075" spans="1:18">
      <c r="B2075" s="41"/>
      <c r="C2075" s="403">
        <f t="shared" si="238"/>
        <v>45873</v>
      </c>
      <c r="D2075" s="56" t="str">
        <f>VLOOKUP(MOD(C2075,7),'CALENDAR INFO'!$G$5:$H$11,2)</f>
        <v>MON</v>
      </c>
      <c r="E2075" s="165">
        <v>4.33</v>
      </c>
      <c r="F2075" s="336">
        <v>4.33</v>
      </c>
      <c r="G2075" s="411">
        <f t="shared" si="235"/>
        <v>0</v>
      </c>
      <c r="K2075" s="129"/>
      <c r="L2075" s="403">
        <f t="shared" si="236"/>
        <v>45873</v>
      </c>
      <c r="M2075" s="56" t="str">
        <f t="shared" si="237"/>
        <v>MON</v>
      </c>
      <c r="O2075" s="383">
        <f t="shared" si="234"/>
        <v>1</v>
      </c>
      <c r="P2075" s="392">
        <f t="shared" si="239"/>
        <v>1.0001202777777778</v>
      </c>
    </row>
    <row r="2076" spans="1:18">
      <c r="B2076" s="41"/>
      <c r="C2076" s="403">
        <f t="shared" si="238"/>
        <v>45874</v>
      </c>
      <c r="D2076" s="56" t="str">
        <f>VLOOKUP(MOD(C2076,7),'CALENDAR INFO'!$G$5:$H$11,2)</f>
        <v>TUE</v>
      </c>
      <c r="E2076" s="165">
        <v>4.33</v>
      </c>
      <c r="F2076" s="336">
        <v>4.34</v>
      </c>
      <c r="G2076" s="411">
        <f t="shared" si="235"/>
        <v>9.9999999999997868E-3</v>
      </c>
      <c r="H2076" s="15" t="s">
        <v>150</v>
      </c>
      <c r="I2076" s="137" t="str">
        <f>_xlfn.CONCAT(ADDRESS(I2072,5),":",ADDRESS(I2074,5))</f>
        <v>$E$2072:$E$2102</v>
      </c>
      <c r="J2076" s="150" t="str">
        <f>_xlfn.CONCAT(ADDRESS(J2072,6),":",ADDRESS(J2074,6))</f>
        <v>$F$2072:$F$2102</v>
      </c>
      <c r="K2076" s="129"/>
      <c r="L2076" s="403">
        <f t="shared" si="236"/>
        <v>45874</v>
      </c>
      <c r="M2076" s="56" t="str">
        <f t="shared" si="237"/>
        <v>TUE</v>
      </c>
      <c r="O2076" s="383">
        <f t="shared" si="234"/>
        <v>1</v>
      </c>
      <c r="P2076" s="392">
        <f t="shared" si="239"/>
        <v>1.0001205555555555</v>
      </c>
    </row>
    <row r="2077" spans="1:18">
      <c r="B2077" s="41"/>
      <c r="C2077" s="403">
        <f t="shared" si="238"/>
        <v>45875</v>
      </c>
      <c r="D2077" s="56" t="str">
        <f>VLOOKUP(MOD(C2077,7),'CALENDAR INFO'!$G$5:$H$11,2)</f>
        <v>WED</v>
      </c>
      <c r="E2077" s="165">
        <v>4.33</v>
      </c>
      <c r="F2077" s="336">
        <v>4.34</v>
      </c>
      <c r="G2077" s="411">
        <f t="shared" si="235"/>
        <v>9.9999999999997868E-3</v>
      </c>
      <c r="K2077" s="129" t="s">
        <v>19</v>
      </c>
      <c r="L2077" s="403">
        <f t="shared" si="236"/>
        <v>45875</v>
      </c>
      <c r="M2077" s="56" t="str">
        <f t="shared" si="237"/>
        <v>WED</v>
      </c>
      <c r="O2077" s="383">
        <f t="shared" si="234"/>
        <v>1</v>
      </c>
      <c r="P2077" s="392">
        <f t="shared" si="239"/>
        <v>1.0001205555555555</v>
      </c>
    </row>
    <row r="2078" spans="1:18">
      <c r="B2078" s="41"/>
      <c r="C2078" s="403">
        <f t="shared" si="238"/>
        <v>45876</v>
      </c>
      <c r="D2078" s="56" t="str">
        <f>VLOOKUP(MOD(C2078,7),'CALENDAR INFO'!$G$5:$H$11,2)</f>
        <v>THU</v>
      </c>
      <c r="E2078" s="165">
        <v>4.33</v>
      </c>
      <c r="F2078" s="336">
        <v>4.3499999999999996</v>
      </c>
      <c r="G2078" s="411">
        <f t="shared" si="235"/>
        <v>1.9999999999999574E-2</v>
      </c>
      <c r="H2078" s="376" t="s">
        <v>221</v>
      </c>
      <c r="I2078" s="147">
        <f ca="1">AVERAGE(INDIRECT(I2076))</f>
        <v>4.33</v>
      </c>
      <c r="J2078" s="326">
        <f ca="1">AVERAGE(INDIRECT(J2076))</f>
        <v>4.346129032258065</v>
      </c>
      <c r="K2078" s="126" t="s">
        <v>18</v>
      </c>
      <c r="L2078" s="403">
        <f t="shared" si="236"/>
        <v>45876</v>
      </c>
      <c r="M2078" s="56" t="str">
        <f t="shared" si="237"/>
        <v>THU</v>
      </c>
      <c r="O2078" s="383">
        <f t="shared" si="234"/>
        <v>1</v>
      </c>
      <c r="P2078" s="392">
        <f t="shared" si="239"/>
        <v>1.0001208333333333</v>
      </c>
    </row>
    <row r="2079" spans="1:18">
      <c r="B2079" s="41"/>
      <c r="C2079" s="403">
        <f t="shared" si="238"/>
        <v>45877</v>
      </c>
      <c r="D2079" s="56" t="str">
        <f>VLOOKUP(MOD(C2079,7),'CALENDAR INFO'!$G$5:$H$11,2)</f>
        <v>FRI</v>
      </c>
      <c r="E2079" s="165">
        <v>4.33</v>
      </c>
      <c r="F2079" s="336">
        <v>4.3499999999999996</v>
      </c>
      <c r="G2079" s="411">
        <f t="shared" si="235"/>
        <v>1.9999999999999574E-2</v>
      </c>
      <c r="H2079" s="135"/>
      <c r="K2079" s="126"/>
      <c r="L2079" s="403">
        <f t="shared" si="236"/>
        <v>45877</v>
      </c>
      <c r="M2079" s="56" t="str">
        <f t="shared" si="237"/>
        <v>FRI</v>
      </c>
      <c r="O2079" s="383">
        <f t="shared" ref="O2079:O2099" si="240">IF(MOD(C2079,7)&lt;2,0,IF(MOD(C2079,7)=6,3,1))</f>
        <v>3</v>
      </c>
      <c r="P2079" s="392">
        <f t="shared" si="239"/>
        <v>1.0003625</v>
      </c>
    </row>
    <row r="2080" spans="1:18">
      <c r="B2080" s="41"/>
      <c r="C2080" s="403">
        <f t="shared" si="238"/>
        <v>45878</v>
      </c>
      <c r="D2080" s="56" t="str">
        <f>VLOOKUP(MOD(C2080,7),'CALENDAR INFO'!$G$5:$H$11,2)</f>
        <v>SAT</v>
      </c>
      <c r="E2080" s="165">
        <v>4.33</v>
      </c>
      <c r="F2080" s="336">
        <v>4.3499999999999996</v>
      </c>
      <c r="G2080" s="411">
        <f t="shared" si="235"/>
        <v>1.9999999999999574E-2</v>
      </c>
      <c r="H2080" s="15" t="s">
        <v>222</v>
      </c>
      <c r="I2080" s="147">
        <f ca="1">100-I2078</f>
        <v>95.67</v>
      </c>
      <c r="J2080" s="326">
        <f ca="1">100-J2078</f>
        <v>95.653870967741938</v>
      </c>
      <c r="K2080" s="126"/>
      <c r="L2080" s="403">
        <f t="shared" si="236"/>
        <v>45878</v>
      </c>
      <c r="M2080" s="56" t="str">
        <f t="shared" si="237"/>
        <v>SAT</v>
      </c>
      <c r="O2080" s="383">
        <f t="shared" si="240"/>
        <v>0</v>
      </c>
      <c r="P2080" s="392">
        <f t="shared" si="239"/>
        <v>1</v>
      </c>
      <c r="R2080" s="15"/>
    </row>
    <row r="2081" spans="2:18">
      <c r="B2081" s="41"/>
      <c r="C2081" s="403">
        <f t="shared" si="238"/>
        <v>45879</v>
      </c>
      <c r="D2081" s="56" t="str">
        <f>VLOOKUP(MOD(C2081,7),'CALENDAR INFO'!$G$5:$H$11,2)</f>
        <v>SUN</v>
      </c>
      <c r="E2081" s="165">
        <v>4.33</v>
      </c>
      <c r="F2081" s="336">
        <v>4.3499999999999996</v>
      </c>
      <c r="G2081" s="411">
        <f t="shared" si="235"/>
        <v>1.9999999999999574E-2</v>
      </c>
      <c r="I2081" s="137"/>
      <c r="J2081" s="150"/>
      <c r="K2081" s="126"/>
      <c r="L2081" s="403">
        <f t="shared" si="236"/>
        <v>45879</v>
      </c>
      <c r="M2081" s="56" t="str">
        <f t="shared" si="237"/>
        <v>SUN</v>
      </c>
      <c r="O2081" s="383">
        <f t="shared" si="240"/>
        <v>0</v>
      </c>
      <c r="P2081" s="392">
        <f t="shared" si="239"/>
        <v>1</v>
      </c>
    </row>
    <row r="2082" spans="2:18">
      <c r="B2082" s="41"/>
      <c r="C2082" s="403">
        <f t="shared" si="238"/>
        <v>45880</v>
      </c>
      <c r="D2082" s="56" t="str">
        <f>VLOOKUP(MOD(C2082,7),'CALENDAR INFO'!$G$5:$H$11,2)</f>
        <v>MON</v>
      </c>
      <c r="E2082" s="165">
        <v>4.33</v>
      </c>
      <c r="F2082" s="336">
        <v>4.34</v>
      </c>
      <c r="G2082" s="411">
        <f t="shared" si="235"/>
        <v>9.9999999999997868E-3</v>
      </c>
      <c r="I2082" s="171"/>
      <c r="J2082" s="172"/>
      <c r="K2082" s="126"/>
      <c r="L2082" s="403">
        <f t="shared" si="236"/>
        <v>45880</v>
      </c>
      <c r="M2082" s="56" t="str">
        <f t="shared" si="237"/>
        <v>MON</v>
      </c>
      <c r="O2082" s="383">
        <f t="shared" si="240"/>
        <v>1</v>
      </c>
      <c r="P2082" s="392">
        <f t="shared" si="239"/>
        <v>1.0001205555555555</v>
      </c>
    </row>
    <row r="2083" spans="2:18">
      <c r="B2083" s="41"/>
      <c r="C2083" s="403">
        <f t="shared" si="238"/>
        <v>45881</v>
      </c>
      <c r="D2083" s="56" t="str">
        <f>VLOOKUP(MOD(C2083,7),'CALENDAR INFO'!$G$5:$H$11,2)</f>
        <v>TUE</v>
      </c>
      <c r="E2083" s="165">
        <v>4.33</v>
      </c>
      <c r="F2083" s="336">
        <v>4.3600000000000003</v>
      </c>
      <c r="G2083" s="411">
        <f t="shared" si="235"/>
        <v>3.0000000000000249E-2</v>
      </c>
      <c r="I2083" s="171"/>
      <c r="J2083" s="172"/>
      <c r="K2083" s="126"/>
      <c r="L2083" s="403">
        <f t="shared" si="236"/>
        <v>45881</v>
      </c>
      <c r="M2083" s="56" t="str">
        <f t="shared" si="237"/>
        <v>TUE</v>
      </c>
      <c r="O2083" s="383">
        <f t="shared" si="240"/>
        <v>1</v>
      </c>
      <c r="P2083" s="392">
        <f t="shared" si="239"/>
        <v>1.000121111111111</v>
      </c>
    </row>
    <row r="2084" spans="2:18">
      <c r="B2084" s="41"/>
      <c r="C2084" s="403">
        <f t="shared" si="238"/>
        <v>45882</v>
      </c>
      <c r="D2084" s="56" t="str">
        <f>VLOOKUP(MOD(C2084,7),'CALENDAR INFO'!$G$5:$H$11,2)</f>
        <v>WED</v>
      </c>
      <c r="E2084" s="165">
        <v>4.33</v>
      </c>
      <c r="F2084" s="336">
        <v>4.33</v>
      </c>
      <c r="G2084" s="411">
        <f t="shared" si="235"/>
        <v>0</v>
      </c>
      <c r="I2084" s="171"/>
      <c r="J2084" s="172"/>
      <c r="K2084" s="126"/>
      <c r="L2084" s="403">
        <f t="shared" si="236"/>
        <v>45882</v>
      </c>
      <c r="M2084" s="56" t="str">
        <f t="shared" si="237"/>
        <v>WED</v>
      </c>
      <c r="O2084" s="383">
        <f t="shared" si="240"/>
        <v>1</v>
      </c>
      <c r="P2084" s="392">
        <f t="shared" si="239"/>
        <v>1.0001202777777778</v>
      </c>
    </row>
    <row r="2085" spans="2:18">
      <c r="B2085" s="41"/>
      <c r="C2085" s="403">
        <f t="shared" si="238"/>
        <v>45883</v>
      </c>
      <c r="D2085" s="56" t="str">
        <f>VLOOKUP(MOD(C2085,7),'CALENDAR INFO'!$G$5:$H$11,2)</f>
        <v>THU</v>
      </c>
      <c r="E2085" s="165">
        <v>4.33</v>
      </c>
      <c r="F2085" s="336">
        <v>4.34</v>
      </c>
      <c r="G2085" s="411">
        <f t="shared" si="235"/>
        <v>9.9999999999997868E-3</v>
      </c>
      <c r="I2085" s="137"/>
      <c r="J2085" s="150"/>
      <c r="K2085" s="126"/>
      <c r="L2085" s="403">
        <f t="shared" si="236"/>
        <v>45883</v>
      </c>
      <c r="M2085" s="56" t="str">
        <f t="shared" si="237"/>
        <v>THU</v>
      </c>
      <c r="O2085" s="383">
        <f t="shared" si="240"/>
        <v>1</v>
      </c>
      <c r="P2085" s="392">
        <f t="shared" si="239"/>
        <v>1.0001205555555555</v>
      </c>
    </row>
    <row r="2086" spans="2:18">
      <c r="B2086" s="41"/>
      <c r="C2086" s="403">
        <f t="shared" si="238"/>
        <v>45884</v>
      </c>
      <c r="D2086" s="56" t="str">
        <f>VLOOKUP(MOD(C2086,7),'CALENDAR INFO'!$G$5:$H$11,2)</f>
        <v>FRI</v>
      </c>
      <c r="E2086" s="165">
        <v>4.33</v>
      </c>
      <c r="F2086" s="336">
        <v>4.3600000000000003</v>
      </c>
      <c r="G2086" s="411">
        <f t="shared" si="235"/>
        <v>3.0000000000000249E-2</v>
      </c>
      <c r="I2086" s="137"/>
      <c r="J2086" s="150"/>
      <c r="K2086" s="126"/>
      <c r="L2086" s="403">
        <f t="shared" si="236"/>
        <v>45884</v>
      </c>
      <c r="M2086" s="56" t="str">
        <f t="shared" si="237"/>
        <v>FRI</v>
      </c>
      <c r="O2086" s="383">
        <f t="shared" si="240"/>
        <v>3</v>
      </c>
      <c r="P2086" s="392">
        <f t="shared" si="239"/>
        <v>1.0003633333333333</v>
      </c>
    </row>
    <row r="2087" spans="2:18">
      <c r="B2087" s="41"/>
      <c r="C2087" s="403">
        <f t="shared" si="238"/>
        <v>45885</v>
      </c>
      <c r="D2087" s="56" t="str">
        <f>VLOOKUP(MOD(C2087,7),'CALENDAR INFO'!$G$5:$H$11,2)</f>
        <v>SAT</v>
      </c>
      <c r="E2087" s="165">
        <v>4.33</v>
      </c>
      <c r="F2087" s="336">
        <v>4.3600000000000003</v>
      </c>
      <c r="G2087" s="411">
        <f t="shared" si="235"/>
        <v>3.0000000000000249E-2</v>
      </c>
      <c r="I2087" s="137"/>
      <c r="J2087" s="150"/>
      <c r="K2087" s="126"/>
      <c r="L2087" s="403">
        <f t="shared" si="236"/>
        <v>45885</v>
      </c>
      <c r="M2087" s="56" t="str">
        <f t="shared" si="237"/>
        <v>SAT</v>
      </c>
      <c r="O2087" s="383">
        <f t="shared" si="240"/>
        <v>0</v>
      </c>
      <c r="P2087" s="392">
        <f t="shared" si="239"/>
        <v>1</v>
      </c>
    </row>
    <row r="2088" spans="2:18">
      <c r="B2088" s="41"/>
      <c r="C2088" s="403">
        <f t="shared" si="238"/>
        <v>45886</v>
      </c>
      <c r="D2088" s="56" t="str">
        <f>VLOOKUP(MOD(C2088,7),'CALENDAR INFO'!$G$5:$H$11,2)</f>
        <v>SUN</v>
      </c>
      <c r="E2088" s="165">
        <v>4.33</v>
      </c>
      <c r="F2088" s="336">
        <v>4.3600000000000003</v>
      </c>
      <c r="G2088" s="411">
        <f t="shared" si="235"/>
        <v>3.0000000000000249E-2</v>
      </c>
      <c r="I2088" s="137"/>
      <c r="J2088" s="150"/>
      <c r="K2088" s="126"/>
      <c r="L2088" s="403">
        <f t="shared" si="236"/>
        <v>45886</v>
      </c>
      <c r="M2088" s="56" t="str">
        <f t="shared" si="237"/>
        <v>SUN</v>
      </c>
      <c r="O2088" s="383">
        <f t="shared" si="240"/>
        <v>0</v>
      </c>
      <c r="P2088" s="392">
        <f t="shared" si="239"/>
        <v>1</v>
      </c>
    </row>
    <row r="2089" spans="2:18">
      <c r="B2089" s="41"/>
      <c r="C2089" s="403">
        <f t="shared" si="238"/>
        <v>45887</v>
      </c>
      <c r="D2089" s="56" t="str">
        <f>VLOOKUP(MOD(C2089,7),'CALENDAR INFO'!$G$5:$H$11,2)</f>
        <v>MON</v>
      </c>
      <c r="E2089" s="165">
        <v>4.33</v>
      </c>
      <c r="F2089" s="336">
        <v>4.34</v>
      </c>
      <c r="G2089" s="411">
        <f t="shared" si="235"/>
        <v>9.9999999999997868E-3</v>
      </c>
      <c r="I2089" s="311"/>
      <c r="J2089" s="312"/>
      <c r="K2089" s="126"/>
      <c r="L2089" s="403">
        <f t="shared" si="236"/>
        <v>45887</v>
      </c>
      <c r="M2089" s="56" t="str">
        <f t="shared" si="237"/>
        <v>MON</v>
      </c>
      <c r="O2089" s="383">
        <f t="shared" si="240"/>
        <v>1</v>
      </c>
      <c r="P2089" s="392">
        <f t="shared" si="239"/>
        <v>1.0001205555555555</v>
      </c>
    </row>
    <row r="2090" spans="2:18">
      <c r="B2090" s="41"/>
      <c r="C2090" s="403">
        <f t="shared" si="238"/>
        <v>45888</v>
      </c>
      <c r="D2090" s="56" t="str">
        <f>VLOOKUP(MOD(C2090,7),'CALENDAR INFO'!$G$5:$H$11,2)</f>
        <v>TUE</v>
      </c>
      <c r="E2090" s="165">
        <v>4.33</v>
      </c>
      <c r="F2090" s="336">
        <v>4.33</v>
      </c>
      <c r="G2090" s="411">
        <f t="shared" si="235"/>
        <v>0</v>
      </c>
      <c r="I2090" s="141"/>
      <c r="J2090" s="158"/>
      <c r="K2090" s="126"/>
      <c r="L2090" s="403">
        <f t="shared" si="236"/>
        <v>45888</v>
      </c>
      <c r="M2090" s="56" t="str">
        <f t="shared" si="237"/>
        <v>TUE</v>
      </c>
      <c r="O2090" s="383">
        <f t="shared" si="240"/>
        <v>1</v>
      </c>
      <c r="P2090" s="392">
        <f t="shared" si="239"/>
        <v>1.0001202777777778</v>
      </c>
    </row>
    <row r="2091" spans="2:18">
      <c r="B2091" s="41"/>
      <c r="C2091" s="403">
        <f t="shared" si="238"/>
        <v>45889</v>
      </c>
      <c r="D2091" s="56" t="str">
        <f>VLOOKUP(MOD(C2091,7),'CALENDAR INFO'!$G$5:$H$11,2)</f>
        <v>WED</v>
      </c>
      <c r="E2091" s="165">
        <v>4.33</v>
      </c>
      <c r="F2091" s="336">
        <v>4.3099999999999996</v>
      </c>
      <c r="G2091" s="411">
        <f t="shared" si="235"/>
        <v>-2.0000000000000462E-2</v>
      </c>
      <c r="K2091" s="126" t="s">
        <v>19</v>
      </c>
      <c r="L2091" s="403">
        <f t="shared" si="236"/>
        <v>45889</v>
      </c>
      <c r="M2091" s="56" t="str">
        <f t="shared" si="237"/>
        <v>WED</v>
      </c>
      <c r="O2091" s="383">
        <f t="shared" si="240"/>
        <v>1</v>
      </c>
      <c r="P2091" s="392">
        <f t="shared" si="239"/>
        <v>1.0001197222222222</v>
      </c>
    </row>
    <row r="2092" spans="2:18">
      <c r="B2092" s="41"/>
      <c r="C2092" s="403">
        <f t="shared" si="238"/>
        <v>45890</v>
      </c>
      <c r="D2092" s="56" t="str">
        <f>VLOOKUP(MOD(C2092,7),'CALENDAR INFO'!$G$5:$H$11,2)</f>
        <v>THU</v>
      </c>
      <c r="E2092" s="165">
        <v>4.33</v>
      </c>
      <c r="F2092" s="336">
        <v>4.32</v>
      </c>
      <c r="G2092" s="411">
        <f t="shared" si="235"/>
        <v>-9.9999999999997868E-3</v>
      </c>
      <c r="K2092" s="129" t="s">
        <v>18</v>
      </c>
      <c r="L2092" s="403">
        <f t="shared" si="236"/>
        <v>45890</v>
      </c>
      <c r="M2092" s="56" t="str">
        <f t="shared" si="237"/>
        <v>THU</v>
      </c>
      <c r="O2092" s="383">
        <f t="shared" si="240"/>
        <v>1</v>
      </c>
      <c r="P2092" s="392">
        <f t="shared" si="239"/>
        <v>1.0001199999999999</v>
      </c>
    </row>
    <row r="2093" spans="2:18">
      <c r="B2093" s="41"/>
      <c r="C2093" s="403">
        <f t="shared" si="238"/>
        <v>45891</v>
      </c>
      <c r="D2093" s="56" t="str">
        <f>VLOOKUP(MOD(C2093,7),'CALENDAR INFO'!$G$5:$H$11,2)</f>
        <v>FRI</v>
      </c>
      <c r="E2093" s="165">
        <v>4.33</v>
      </c>
      <c r="F2093" s="336">
        <v>4.3600000000000003</v>
      </c>
      <c r="G2093" s="411">
        <f t="shared" si="235"/>
        <v>3.0000000000000249E-2</v>
      </c>
      <c r="K2093" s="129"/>
      <c r="L2093" s="403">
        <f t="shared" si="236"/>
        <v>45891</v>
      </c>
      <c r="M2093" s="56" t="str">
        <f t="shared" si="237"/>
        <v>FRI</v>
      </c>
      <c r="O2093" s="383">
        <f t="shared" si="240"/>
        <v>3</v>
      </c>
      <c r="P2093" s="392">
        <f t="shared" si="239"/>
        <v>1.0003633333333333</v>
      </c>
    </row>
    <row r="2094" spans="2:18">
      <c r="B2094" s="41"/>
      <c r="C2094" s="403">
        <f t="shared" si="238"/>
        <v>45892</v>
      </c>
      <c r="D2094" s="56" t="str">
        <f>VLOOKUP(MOD(C2094,7),'CALENDAR INFO'!$G$5:$H$11,2)</f>
        <v>SAT</v>
      </c>
      <c r="E2094" s="165">
        <v>4.33</v>
      </c>
      <c r="F2094" s="336">
        <v>4.3600000000000003</v>
      </c>
      <c r="G2094" s="411">
        <f t="shared" si="235"/>
        <v>3.0000000000000249E-2</v>
      </c>
      <c r="I2094" s="313"/>
      <c r="J2094" s="314"/>
      <c r="K2094" s="129"/>
      <c r="L2094" s="403">
        <f t="shared" si="236"/>
        <v>45892</v>
      </c>
      <c r="M2094" s="56" t="str">
        <f t="shared" si="237"/>
        <v>SAT</v>
      </c>
      <c r="O2094" s="383">
        <f t="shared" si="240"/>
        <v>0</v>
      </c>
      <c r="P2094" s="392">
        <f t="shared" si="239"/>
        <v>1</v>
      </c>
      <c r="R2094" s="15"/>
    </row>
    <row r="2095" spans="2:18">
      <c r="B2095" s="41"/>
      <c r="C2095" s="403">
        <f t="shared" si="238"/>
        <v>45893</v>
      </c>
      <c r="D2095" s="56" t="str">
        <f>VLOOKUP(MOD(C2095,7),'CALENDAR INFO'!$G$5:$H$11,2)</f>
        <v>SUN</v>
      </c>
      <c r="E2095" s="165">
        <v>4.33</v>
      </c>
      <c r="F2095" s="336">
        <v>4.3600000000000003</v>
      </c>
      <c r="G2095" s="411">
        <f t="shared" si="235"/>
        <v>3.0000000000000249E-2</v>
      </c>
      <c r="I2095" s="115"/>
      <c r="J2095" s="159"/>
      <c r="K2095" s="129"/>
      <c r="L2095" s="403">
        <f t="shared" si="236"/>
        <v>45893</v>
      </c>
      <c r="M2095" s="56" t="str">
        <f t="shared" si="237"/>
        <v>SUN</v>
      </c>
      <c r="O2095" s="383">
        <f t="shared" si="240"/>
        <v>0</v>
      </c>
      <c r="P2095" s="392">
        <f t="shared" si="239"/>
        <v>1</v>
      </c>
      <c r="R2095" s="15"/>
    </row>
    <row r="2096" spans="2:18">
      <c r="B2096" s="41"/>
      <c r="C2096" s="403">
        <f t="shared" si="238"/>
        <v>45894</v>
      </c>
      <c r="D2096" s="56" t="str">
        <f>VLOOKUP(MOD(C2096,7),'CALENDAR INFO'!$G$5:$H$11,2)</f>
        <v>MON</v>
      </c>
      <c r="E2096" s="165">
        <v>4.33</v>
      </c>
      <c r="F2096" s="336">
        <v>4.37</v>
      </c>
      <c r="G2096" s="411">
        <f t="shared" si="235"/>
        <v>4.0000000000000036E-2</v>
      </c>
      <c r="I2096" s="137"/>
      <c r="J2096" s="150"/>
      <c r="K2096" s="129"/>
      <c r="L2096" s="403">
        <f t="shared" si="236"/>
        <v>45894</v>
      </c>
      <c r="M2096" s="56" t="str">
        <f t="shared" si="237"/>
        <v>MON</v>
      </c>
      <c r="O2096" s="383">
        <f t="shared" si="240"/>
        <v>1</v>
      </c>
      <c r="P2096" s="392">
        <f t="shared" si="239"/>
        <v>1.0001213888888889</v>
      </c>
    </row>
    <row r="2097" spans="1:16">
      <c r="B2097" s="41"/>
      <c r="C2097" s="403">
        <f t="shared" si="238"/>
        <v>45895</v>
      </c>
      <c r="D2097" s="56" t="str">
        <f>VLOOKUP(MOD(C2097,7),'CALENDAR INFO'!$G$5:$H$11,2)</f>
        <v>TUE</v>
      </c>
      <c r="E2097" s="165">
        <v>4.33</v>
      </c>
      <c r="F2097" s="336">
        <v>4.38</v>
      </c>
      <c r="G2097" s="411">
        <f t="shared" si="235"/>
        <v>4.9999999999999822E-2</v>
      </c>
      <c r="I2097" s="137"/>
      <c r="J2097" s="150"/>
      <c r="K2097" s="129"/>
      <c r="L2097" s="403">
        <f t="shared" si="236"/>
        <v>45895</v>
      </c>
      <c r="M2097" s="56" t="str">
        <f t="shared" si="237"/>
        <v>TUE</v>
      </c>
      <c r="O2097" s="383">
        <f t="shared" si="240"/>
        <v>1</v>
      </c>
      <c r="P2097" s="392">
        <f t="shared" si="239"/>
        <v>1.0001216666666666</v>
      </c>
    </row>
    <row r="2098" spans="1:16">
      <c r="B2098" s="41"/>
      <c r="C2098" s="403">
        <f t="shared" si="238"/>
        <v>45896</v>
      </c>
      <c r="D2098" s="56" t="str">
        <f>VLOOKUP(MOD(C2098,7),'CALENDAR INFO'!$G$5:$H$11,2)</f>
        <v>WED</v>
      </c>
      <c r="E2098" s="165">
        <v>4.33</v>
      </c>
      <c r="F2098" s="336">
        <v>4.3600000000000003</v>
      </c>
      <c r="G2098" s="411">
        <f t="shared" si="235"/>
        <v>3.0000000000000249E-2</v>
      </c>
      <c r="I2098" s="171"/>
      <c r="J2098" s="172"/>
      <c r="K2098" s="129"/>
      <c r="L2098" s="403">
        <f t="shared" si="236"/>
        <v>45896</v>
      </c>
      <c r="M2098" s="56" t="str">
        <f t="shared" si="237"/>
        <v>WED</v>
      </c>
      <c r="O2098" s="383">
        <f t="shared" si="240"/>
        <v>1</v>
      </c>
      <c r="P2098" s="392">
        <f t="shared" si="239"/>
        <v>1.000121111111111</v>
      </c>
    </row>
    <row r="2099" spans="1:16">
      <c r="B2099" s="41"/>
      <c r="C2099" s="403">
        <f t="shared" si="238"/>
        <v>45897</v>
      </c>
      <c r="D2099" s="56" t="str">
        <f>VLOOKUP(MOD(C2099,7),'CALENDAR INFO'!$G$5:$H$11,2)</f>
        <v>THU</v>
      </c>
      <c r="E2099" s="165">
        <v>4.33</v>
      </c>
      <c r="F2099" s="336">
        <v>4.34</v>
      </c>
      <c r="G2099" s="411">
        <f t="shared" si="235"/>
        <v>9.9999999999997868E-3</v>
      </c>
      <c r="I2099" s="137"/>
      <c r="J2099" s="150"/>
      <c r="K2099" s="129"/>
      <c r="L2099" s="403">
        <f t="shared" si="236"/>
        <v>45897</v>
      </c>
      <c r="M2099" s="56" t="str">
        <f t="shared" si="237"/>
        <v>THU</v>
      </c>
      <c r="O2099" s="383">
        <f t="shared" si="240"/>
        <v>1</v>
      </c>
      <c r="P2099" s="392">
        <f t="shared" si="239"/>
        <v>1.0001205555555555</v>
      </c>
    </row>
    <row r="2100" spans="1:16">
      <c r="B2100" s="41"/>
      <c r="C2100" s="403">
        <f t="shared" si="238"/>
        <v>45898</v>
      </c>
      <c r="D2100" s="56" t="str">
        <f>VLOOKUP(MOD(C2100,7),'CALENDAR INFO'!$G$5:$H$11,2)</f>
        <v>FRI</v>
      </c>
      <c r="E2100" s="165">
        <v>4.33</v>
      </c>
      <c r="F2100" s="336">
        <v>4.34</v>
      </c>
      <c r="G2100" s="411">
        <f t="shared" si="235"/>
        <v>9.9999999999997868E-3</v>
      </c>
      <c r="K2100" s="129"/>
      <c r="L2100" s="403">
        <f t="shared" si="236"/>
        <v>45898</v>
      </c>
      <c r="M2100" s="56" t="str">
        <f t="shared" si="237"/>
        <v>FRI</v>
      </c>
      <c r="O2100" s="384">
        <v>4</v>
      </c>
      <c r="P2100" s="392">
        <f t="shared" si="239"/>
        <v>1.0004822222222223</v>
      </c>
    </row>
    <row r="2101" spans="1:16">
      <c r="B2101" s="41"/>
      <c r="C2101" s="403">
        <f t="shared" si="238"/>
        <v>45899</v>
      </c>
      <c r="D2101" s="56" t="str">
        <f>VLOOKUP(MOD(C2101,7),'CALENDAR INFO'!$G$5:$H$11,2)</f>
        <v>SAT</v>
      </c>
      <c r="E2101" s="165">
        <v>4.33</v>
      </c>
      <c r="F2101" s="336">
        <v>4.34</v>
      </c>
      <c r="G2101" s="411">
        <f t="shared" si="235"/>
        <v>9.9999999999997868E-3</v>
      </c>
      <c r="I2101" s="147"/>
      <c r="J2101" s="326"/>
      <c r="K2101" s="129"/>
      <c r="L2101" s="403">
        <f t="shared" si="236"/>
        <v>45899</v>
      </c>
      <c r="M2101" s="56" t="str">
        <f t="shared" si="237"/>
        <v>SAT</v>
      </c>
      <c r="O2101" s="384">
        <f>IF(MOD(C2101,7)&lt;2,0,IF(MOD(C2101,7)=6,3,1))</f>
        <v>0</v>
      </c>
      <c r="P2101" s="392">
        <f t="shared" si="239"/>
        <v>1</v>
      </c>
    </row>
    <row r="2102" spans="1:16" ht="15.75" thickBot="1">
      <c r="A2102" s="81"/>
      <c r="B2102" s="178"/>
      <c r="C2102" s="404">
        <f t="shared" si="238"/>
        <v>45900</v>
      </c>
      <c r="D2102" s="64" t="str">
        <f>VLOOKUP(MOD(C2102,7),'CALENDAR INFO'!$G$5:$H$11,2)</f>
        <v>SUN</v>
      </c>
      <c r="E2102" s="166">
        <v>4.33</v>
      </c>
      <c r="F2102" s="337">
        <v>4.34</v>
      </c>
      <c r="G2102" s="412">
        <f t="shared" si="235"/>
        <v>9.9999999999997868E-3</v>
      </c>
      <c r="H2102" s="274"/>
      <c r="I2102" s="274"/>
      <c r="J2102" s="275"/>
      <c r="K2102" s="84"/>
      <c r="L2102" s="404">
        <f t="shared" si="236"/>
        <v>45900</v>
      </c>
      <c r="M2102" s="64" t="str">
        <f t="shared" si="237"/>
        <v>SUN</v>
      </c>
      <c r="N2102" s="90"/>
      <c r="O2102" s="387">
        <f>IF(MOD(C2102,7)&lt;2,0,IF(MOD(C2102,7)=6,3,1))</f>
        <v>0</v>
      </c>
      <c r="P2102" s="388">
        <f t="shared" si="239"/>
        <v>1</v>
      </c>
    </row>
    <row r="2103" spans="1:16">
      <c r="A2103" s="238"/>
      <c r="B2103" s="239"/>
      <c r="C2103" s="403">
        <f t="shared" si="238"/>
        <v>45901</v>
      </c>
      <c r="D2103" s="56" t="str">
        <f>VLOOKUP(MOD(C2103,7),'CALENDAR INFO'!$G$5:$H$11,2)</f>
        <v>MON</v>
      </c>
      <c r="E2103" s="165">
        <v>4.33</v>
      </c>
      <c r="F2103" s="336">
        <v>4.34</v>
      </c>
      <c r="G2103" s="411">
        <f t="shared" si="235"/>
        <v>9.9999999999997868E-3</v>
      </c>
      <c r="H2103" s="15" t="s">
        <v>149</v>
      </c>
      <c r="I2103" s="15">
        <f>ROW(I2103)</f>
        <v>2103</v>
      </c>
      <c r="J2103" s="138">
        <f>I2103</f>
        <v>2103</v>
      </c>
      <c r="K2103" s="129"/>
      <c r="L2103" s="403">
        <f t="shared" si="236"/>
        <v>45901</v>
      </c>
      <c r="M2103" s="56" t="str">
        <f t="shared" si="237"/>
        <v>MON</v>
      </c>
      <c r="N2103" s="132" t="s">
        <v>111</v>
      </c>
      <c r="O2103" s="384">
        <v>0</v>
      </c>
      <c r="P2103" s="392">
        <f t="shared" si="239"/>
        <v>1</v>
      </c>
    </row>
    <row r="2104" spans="1:16">
      <c r="A2104" s="238"/>
      <c r="B2104" s="239"/>
      <c r="C2104" s="403">
        <f t="shared" si="238"/>
        <v>45902</v>
      </c>
      <c r="D2104" s="56" t="str">
        <f>VLOOKUP(MOD(C2104,7),'CALENDAR INFO'!$G$5:$H$11,2)</f>
        <v>TUE</v>
      </c>
      <c r="E2104" s="165">
        <v>4.33</v>
      </c>
      <c r="F2104" s="336">
        <v>4.3899999999999997</v>
      </c>
      <c r="G2104" s="411">
        <f t="shared" si="235"/>
        <v>5.9999999999999609E-2</v>
      </c>
      <c r="H2104" s="376" t="s">
        <v>210</v>
      </c>
      <c r="I2104" s="15">
        <f>VLOOKUP(MONTH($C2103),'CALENDAR INFO'!$J$5:$K$16,2)</f>
        <v>30</v>
      </c>
      <c r="J2104" s="138">
        <f>I2104</f>
        <v>30</v>
      </c>
      <c r="K2104" s="129"/>
      <c r="L2104" s="403">
        <f t="shared" si="236"/>
        <v>45902</v>
      </c>
      <c r="M2104" s="56" t="str">
        <f t="shared" si="237"/>
        <v>TUE</v>
      </c>
      <c r="O2104" s="383">
        <f t="shared" ref="O2104:O2141" si="241">IF(MOD(C2104,7)&lt;2,0,IF(MOD(C2104,7)=6,3,1))</f>
        <v>1</v>
      </c>
      <c r="P2104" s="392">
        <f t="shared" si="239"/>
        <v>1.0001219444444445</v>
      </c>
    </row>
    <row r="2105" spans="1:16">
      <c r="A2105" s="238"/>
      <c r="B2105" s="239"/>
      <c r="C2105" s="403">
        <f t="shared" si="238"/>
        <v>45903</v>
      </c>
      <c r="D2105" s="56" t="str">
        <f>VLOOKUP(MOD(C2105,7),'CALENDAR INFO'!$G$5:$H$11,2)</f>
        <v>WED</v>
      </c>
      <c r="E2105" s="165">
        <v>4.33</v>
      </c>
      <c r="F2105" s="336">
        <v>4.3899999999999997</v>
      </c>
      <c r="G2105" s="411">
        <f t="shared" si="235"/>
        <v>5.9999999999999609E-2</v>
      </c>
      <c r="H2105" s="376" t="s">
        <v>211</v>
      </c>
      <c r="I2105" s="15">
        <f>I2104+I2103-1</f>
        <v>2132</v>
      </c>
      <c r="J2105" s="138">
        <f>I2105</f>
        <v>2132</v>
      </c>
      <c r="K2105" s="129" t="s">
        <v>19</v>
      </c>
      <c r="L2105" s="403">
        <f t="shared" si="236"/>
        <v>45903</v>
      </c>
      <c r="M2105" s="56" t="str">
        <f t="shared" si="237"/>
        <v>WED</v>
      </c>
      <c r="O2105" s="383">
        <f t="shared" si="241"/>
        <v>1</v>
      </c>
      <c r="P2105" s="392">
        <f t="shared" si="239"/>
        <v>1.0001219444444445</v>
      </c>
    </row>
    <row r="2106" spans="1:16">
      <c r="A2106" s="238"/>
      <c r="B2106" s="239"/>
      <c r="C2106" s="403">
        <f t="shared" si="238"/>
        <v>45904</v>
      </c>
      <c r="D2106" s="56" t="str">
        <f>VLOOKUP(MOD(C2106,7),'CALENDAR INFO'!$G$5:$H$11,2)</f>
        <v>THU</v>
      </c>
      <c r="E2106" s="165">
        <v>4.33</v>
      </c>
      <c r="F2106" s="336">
        <v>4.41</v>
      </c>
      <c r="G2106" s="411">
        <f t="shared" si="235"/>
        <v>8.0000000000000071E-2</v>
      </c>
      <c r="K2106" s="126" t="s">
        <v>18</v>
      </c>
      <c r="L2106" s="403">
        <f t="shared" si="236"/>
        <v>45904</v>
      </c>
      <c r="M2106" s="56" t="str">
        <f t="shared" si="237"/>
        <v>THU</v>
      </c>
      <c r="O2106" s="383">
        <f t="shared" si="241"/>
        <v>1</v>
      </c>
      <c r="P2106" s="392">
        <f t="shared" si="239"/>
        <v>1.0001225</v>
      </c>
    </row>
    <row r="2107" spans="1:16">
      <c r="A2107" s="238"/>
      <c r="B2107" s="239"/>
      <c r="C2107" s="403">
        <f t="shared" si="238"/>
        <v>45905</v>
      </c>
      <c r="D2107" s="56" t="str">
        <f>VLOOKUP(MOD(C2107,7),'CALENDAR INFO'!$G$5:$H$11,2)</f>
        <v>FRI</v>
      </c>
      <c r="E2107" s="165">
        <v>4.33</v>
      </c>
      <c r="F2107" s="336">
        <v>4.42</v>
      </c>
      <c r="G2107" s="411">
        <f t="shared" si="235"/>
        <v>8.9999999999999858E-2</v>
      </c>
      <c r="H2107" s="15" t="s">
        <v>150</v>
      </c>
      <c r="I2107" s="137" t="str">
        <f>_xlfn.CONCAT(ADDRESS(I2103,5),":",ADDRESS(I2105,5))</f>
        <v>$E$2103:$E$2132</v>
      </c>
      <c r="J2107" s="150" t="str">
        <f>_xlfn.CONCAT(ADDRESS(J2103,6),":",ADDRESS(J2105,6))</f>
        <v>$F$2103:$F$2132</v>
      </c>
      <c r="K2107" s="126"/>
      <c r="L2107" s="403">
        <f t="shared" si="236"/>
        <v>45905</v>
      </c>
      <c r="M2107" s="56" t="str">
        <f t="shared" si="237"/>
        <v>FRI</v>
      </c>
      <c r="O2107" s="383">
        <f t="shared" si="241"/>
        <v>3</v>
      </c>
      <c r="P2107" s="392">
        <f t="shared" si="239"/>
        <v>1.0003683333333333</v>
      </c>
    </row>
    <row r="2108" spans="1:16">
      <c r="A2108" s="238"/>
      <c r="B2108" s="239"/>
      <c r="C2108" s="403">
        <f t="shared" si="238"/>
        <v>45906</v>
      </c>
      <c r="D2108" s="56" t="str">
        <f>VLOOKUP(MOD(C2108,7),'CALENDAR INFO'!$G$5:$H$11,2)</f>
        <v>SAT</v>
      </c>
      <c r="E2108" s="165">
        <v>4.33</v>
      </c>
      <c r="F2108" s="336">
        <v>4.42</v>
      </c>
      <c r="G2108" s="411">
        <f t="shared" si="235"/>
        <v>8.9999999999999858E-2</v>
      </c>
      <c r="K2108" s="126"/>
      <c r="L2108" s="403">
        <f t="shared" si="236"/>
        <v>45906</v>
      </c>
      <c r="M2108" s="56" t="str">
        <f t="shared" si="237"/>
        <v>SAT</v>
      </c>
      <c r="O2108" s="383">
        <f t="shared" si="241"/>
        <v>0</v>
      </c>
      <c r="P2108" s="392">
        <f t="shared" si="239"/>
        <v>1</v>
      </c>
    </row>
    <row r="2109" spans="1:16">
      <c r="A2109" s="238"/>
      <c r="B2109" s="239"/>
      <c r="C2109" s="403">
        <f t="shared" si="238"/>
        <v>45907</v>
      </c>
      <c r="D2109" s="56" t="str">
        <f>VLOOKUP(MOD(C2109,7),'CALENDAR INFO'!$G$5:$H$11,2)</f>
        <v>SUN</v>
      </c>
      <c r="E2109" s="165">
        <v>4.33</v>
      </c>
      <c r="F2109" s="336">
        <v>4.42</v>
      </c>
      <c r="G2109" s="411">
        <f t="shared" si="235"/>
        <v>8.9999999999999858E-2</v>
      </c>
      <c r="H2109" s="376" t="s">
        <v>221</v>
      </c>
      <c r="I2109" s="147">
        <f ca="1">AVERAGE(INDIRECT(I2107))</f>
        <v>4.2246666666666668</v>
      </c>
      <c r="J2109" s="326">
        <f ca="1">AVERAGE(INDIRECT(J2107))</f>
        <v>4.2969999999999997</v>
      </c>
      <c r="K2109" s="126"/>
      <c r="L2109" s="403">
        <f t="shared" si="236"/>
        <v>45907</v>
      </c>
      <c r="M2109" s="56" t="str">
        <f t="shared" si="237"/>
        <v>SUN</v>
      </c>
      <c r="O2109" s="383">
        <f t="shared" si="241"/>
        <v>0</v>
      </c>
      <c r="P2109" s="392">
        <f t="shared" si="239"/>
        <v>1</v>
      </c>
    </row>
    <row r="2110" spans="1:16">
      <c r="A2110" s="238"/>
      <c r="B2110" s="239"/>
      <c r="C2110" s="403">
        <f t="shared" si="238"/>
        <v>45908</v>
      </c>
      <c r="D2110" s="56" t="str">
        <f>VLOOKUP(MOD(C2110,7),'CALENDAR INFO'!$G$5:$H$11,2)</f>
        <v>MON</v>
      </c>
      <c r="E2110" s="165">
        <v>4.33</v>
      </c>
      <c r="F2110" s="336">
        <v>4.4000000000000004</v>
      </c>
      <c r="G2110" s="411">
        <f t="shared" si="235"/>
        <v>7.0000000000000284E-2</v>
      </c>
      <c r="H2110" s="135"/>
      <c r="K2110" s="126"/>
      <c r="L2110" s="403">
        <f t="shared" si="236"/>
        <v>45908</v>
      </c>
      <c r="M2110" s="56" t="str">
        <f t="shared" si="237"/>
        <v>MON</v>
      </c>
      <c r="O2110" s="383">
        <f t="shared" si="241"/>
        <v>1</v>
      </c>
      <c r="P2110" s="392">
        <f t="shared" si="239"/>
        <v>1.0001222222222221</v>
      </c>
    </row>
    <row r="2111" spans="1:16">
      <c r="A2111" s="238"/>
      <c r="B2111" s="239"/>
      <c r="C2111" s="403">
        <f t="shared" si="238"/>
        <v>45909</v>
      </c>
      <c r="D2111" s="56" t="str">
        <f>VLOOKUP(MOD(C2111,7),'CALENDAR INFO'!$G$5:$H$11,2)</f>
        <v>TUE</v>
      </c>
      <c r="E2111" s="165">
        <v>4.33</v>
      </c>
      <c r="F2111" s="336">
        <v>4.4000000000000004</v>
      </c>
      <c r="G2111" s="411">
        <f t="shared" si="235"/>
        <v>7.0000000000000284E-2</v>
      </c>
      <c r="H2111" s="15" t="s">
        <v>222</v>
      </c>
      <c r="I2111" s="147">
        <f ca="1">100-I2109</f>
        <v>95.775333333333336</v>
      </c>
      <c r="J2111" s="326">
        <f ca="1">100-J2109</f>
        <v>95.703000000000003</v>
      </c>
      <c r="K2111" s="126"/>
      <c r="L2111" s="403">
        <f t="shared" si="236"/>
        <v>45909</v>
      </c>
      <c r="M2111" s="56" t="str">
        <f t="shared" si="237"/>
        <v>TUE</v>
      </c>
      <c r="O2111" s="383">
        <f t="shared" si="241"/>
        <v>1</v>
      </c>
      <c r="P2111" s="392">
        <f t="shared" si="239"/>
        <v>1.0001222222222221</v>
      </c>
    </row>
    <row r="2112" spans="1:16">
      <c r="A2112" s="238"/>
      <c r="B2112" s="239"/>
      <c r="C2112" s="403">
        <f t="shared" si="238"/>
        <v>45910</v>
      </c>
      <c r="D2112" s="56" t="str">
        <f>VLOOKUP(MOD(C2112,7),'CALENDAR INFO'!$G$5:$H$11,2)</f>
        <v>WED</v>
      </c>
      <c r="E2112" s="165">
        <v>4.33</v>
      </c>
      <c r="F2112" s="336">
        <v>4.3899999999999997</v>
      </c>
      <c r="G2112" s="411">
        <f t="shared" si="235"/>
        <v>5.9999999999999609E-2</v>
      </c>
      <c r="I2112" s="137"/>
      <c r="J2112" s="150"/>
      <c r="K2112" s="126"/>
      <c r="L2112" s="403">
        <f t="shared" si="236"/>
        <v>45910</v>
      </c>
      <c r="M2112" s="56" t="str">
        <f t="shared" si="237"/>
        <v>WED</v>
      </c>
      <c r="O2112" s="383">
        <f t="shared" si="241"/>
        <v>1</v>
      </c>
      <c r="P2112" s="392">
        <f t="shared" si="239"/>
        <v>1.0001219444444445</v>
      </c>
    </row>
    <row r="2113" spans="1:16">
      <c r="A2113" s="238"/>
      <c r="B2113" s="239"/>
      <c r="C2113" s="403">
        <f t="shared" si="238"/>
        <v>45911</v>
      </c>
      <c r="D2113" s="56" t="str">
        <f>VLOOKUP(MOD(C2113,7),'CALENDAR INFO'!$G$5:$H$11,2)</f>
        <v>THU</v>
      </c>
      <c r="E2113" s="165">
        <v>4.33</v>
      </c>
      <c r="F2113" s="336">
        <v>4.41</v>
      </c>
      <c r="G2113" s="411">
        <f t="shared" si="235"/>
        <v>8.0000000000000071E-2</v>
      </c>
      <c r="I2113" s="171"/>
      <c r="J2113" s="172"/>
      <c r="K2113" s="126"/>
      <c r="L2113" s="403">
        <f t="shared" si="236"/>
        <v>45911</v>
      </c>
      <c r="M2113" s="56" t="str">
        <f t="shared" si="237"/>
        <v>THU</v>
      </c>
      <c r="O2113" s="383">
        <f t="shared" si="241"/>
        <v>1</v>
      </c>
      <c r="P2113" s="392">
        <f t="shared" si="239"/>
        <v>1.0001225</v>
      </c>
    </row>
    <row r="2114" spans="1:16">
      <c r="A2114" s="238"/>
      <c r="B2114" s="239"/>
      <c r="C2114" s="403">
        <f t="shared" si="238"/>
        <v>45912</v>
      </c>
      <c r="D2114" s="56" t="str">
        <f>VLOOKUP(MOD(C2114,7),'CALENDAR INFO'!$G$5:$H$11,2)</f>
        <v>FRI</v>
      </c>
      <c r="E2114" s="165">
        <v>4.33</v>
      </c>
      <c r="F2114" s="336">
        <v>4.42</v>
      </c>
      <c r="G2114" s="411">
        <f t="shared" si="235"/>
        <v>8.9999999999999858E-2</v>
      </c>
      <c r="I2114" s="171"/>
      <c r="J2114" s="172"/>
      <c r="K2114" s="126"/>
      <c r="L2114" s="403">
        <f t="shared" si="236"/>
        <v>45912</v>
      </c>
      <c r="M2114" s="56" t="str">
        <f t="shared" si="237"/>
        <v>FRI</v>
      </c>
      <c r="O2114" s="383">
        <f t="shared" si="241"/>
        <v>3</v>
      </c>
      <c r="P2114" s="392">
        <f t="shared" si="239"/>
        <v>1.0003683333333333</v>
      </c>
    </row>
    <row r="2115" spans="1:16">
      <c r="A2115" s="238"/>
      <c r="B2115" s="239"/>
      <c r="C2115" s="403">
        <f t="shared" si="238"/>
        <v>45913</v>
      </c>
      <c r="D2115" s="56" t="str">
        <f>VLOOKUP(MOD(C2115,7),'CALENDAR INFO'!$G$5:$H$11,2)</f>
        <v>SAT</v>
      </c>
      <c r="E2115" s="165">
        <v>4.33</v>
      </c>
      <c r="F2115" s="336">
        <v>4.42</v>
      </c>
      <c r="G2115" s="411">
        <f t="shared" ref="G2115:G2178" si="242">F2115-E2115</f>
        <v>8.9999999999999858E-2</v>
      </c>
      <c r="I2115" s="171"/>
      <c r="J2115" s="172"/>
      <c r="K2115" s="126"/>
      <c r="L2115" s="403">
        <f t="shared" ref="L2115:L2178" si="243">C2115</f>
        <v>45913</v>
      </c>
      <c r="M2115" s="56" t="str">
        <f t="shared" ref="M2115:M2178" si="244">D2115</f>
        <v>SAT</v>
      </c>
      <c r="O2115" s="383">
        <f t="shared" si="241"/>
        <v>0</v>
      </c>
      <c r="P2115" s="392">
        <f t="shared" si="239"/>
        <v>1</v>
      </c>
    </row>
    <row r="2116" spans="1:16">
      <c r="A2116" s="238"/>
      <c r="B2116" s="239"/>
      <c r="C2116" s="403">
        <f t="shared" ref="C2116:C2179" si="245">C2115+1</f>
        <v>45914</v>
      </c>
      <c r="D2116" s="56" t="str">
        <f>VLOOKUP(MOD(C2116,7),'CALENDAR INFO'!$G$5:$H$11,2)</f>
        <v>SUN</v>
      </c>
      <c r="E2116" s="165">
        <v>4.33</v>
      </c>
      <c r="F2116" s="336">
        <v>4.42</v>
      </c>
      <c r="G2116" s="411">
        <f t="shared" si="242"/>
        <v>8.9999999999999858E-2</v>
      </c>
      <c r="I2116" s="137"/>
      <c r="J2116" s="150"/>
      <c r="K2116" s="126"/>
      <c r="L2116" s="403">
        <f t="shared" si="243"/>
        <v>45914</v>
      </c>
      <c r="M2116" s="56" t="str">
        <f t="shared" si="244"/>
        <v>SUN</v>
      </c>
      <c r="O2116" s="383">
        <f t="shared" si="241"/>
        <v>0</v>
      </c>
      <c r="P2116" s="392">
        <f t="shared" si="239"/>
        <v>1</v>
      </c>
    </row>
    <row r="2117" spans="1:16">
      <c r="A2117" s="238"/>
      <c r="B2117" s="239"/>
      <c r="C2117" s="403">
        <f t="shared" si="245"/>
        <v>45915</v>
      </c>
      <c r="D2117" s="56" t="str">
        <f>VLOOKUP(MOD(C2117,7),'CALENDAR INFO'!$G$5:$H$11,2)</f>
        <v>MON</v>
      </c>
      <c r="E2117" s="165">
        <v>4.33</v>
      </c>
      <c r="F2117" s="336">
        <v>4.51</v>
      </c>
      <c r="G2117" s="411">
        <f t="shared" si="242"/>
        <v>0.17999999999999972</v>
      </c>
      <c r="K2117" s="126"/>
      <c r="L2117" s="403">
        <f t="shared" si="243"/>
        <v>45915</v>
      </c>
      <c r="M2117" s="56" t="str">
        <f t="shared" si="244"/>
        <v>MON</v>
      </c>
      <c r="O2117" s="383">
        <f t="shared" si="241"/>
        <v>1</v>
      </c>
      <c r="P2117" s="392">
        <f t="shared" si="239"/>
        <v>1.0001252777777778</v>
      </c>
    </row>
    <row r="2118" spans="1:16">
      <c r="A2118" s="238"/>
      <c r="B2118" s="239"/>
      <c r="C2118" s="403">
        <f t="shared" si="245"/>
        <v>45916</v>
      </c>
      <c r="D2118" s="56" t="str">
        <f>VLOOKUP(MOD(C2118,7),'CALENDAR INFO'!$G$5:$H$11,2)</f>
        <v>TUE</v>
      </c>
      <c r="E2118" s="165">
        <v>4.33</v>
      </c>
      <c r="F2118" s="336">
        <v>4.3899999999999997</v>
      </c>
      <c r="G2118" s="411">
        <f t="shared" si="242"/>
        <v>5.9999999999999609E-2</v>
      </c>
      <c r="I2118" s="137"/>
      <c r="J2118" s="150"/>
      <c r="K2118" s="126"/>
      <c r="L2118" s="403">
        <f t="shared" si="243"/>
        <v>45916</v>
      </c>
      <c r="M2118" s="56" t="str">
        <f t="shared" si="244"/>
        <v>TUE</v>
      </c>
      <c r="N2118" s="116" t="s">
        <v>20</v>
      </c>
      <c r="O2118" s="383">
        <f t="shared" si="241"/>
        <v>1</v>
      </c>
      <c r="P2118" s="392">
        <f t="shared" si="239"/>
        <v>1.0001219444444445</v>
      </c>
    </row>
    <row r="2119" spans="1:16">
      <c r="A2119" s="238"/>
      <c r="B2119" s="239"/>
      <c r="C2119" s="403">
        <f t="shared" si="245"/>
        <v>45917</v>
      </c>
      <c r="D2119" s="56" t="str">
        <f>VLOOKUP(MOD(C2119,7),'CALENDAR INFO'!$G$5:$H$11,2)</f>
        <v>WED</v>
      </c>
      <c r="E2119" s="165">
        <v>4.33</v>
      </c>
      <c r="F2119" s="336">
        <v>4.38</v>
      </c>
      <c r="G2119" s="411">
        <f t="shared" si="242"/>
        <v>4.9999999999999822E-2</v>
      </c>
      <c r="I2119" s="137"/>
      <c r="J2119" s="150"/>
      <c r="K2119" s="126" t="s">
        <v>19</v>
      </c>
      <c r="L2119" s="403">
        <f t="shared" si="243"/>
        <v>45917</v>
      </c>
      <c r="M2119" s="56" t="str">
        <f t="shared" si="244"/>
        <v>WED</v>
      </c>
      <c r="N2119" s="116" t="s">
        <v>20</v>
      </c>
      <c r="O2119" s="383">
        <f t="shared" si="241"/>
        <v>1</v>
      </c>
      <c r="P2119" s="392">
        <f t="shared" si="239"/>
        <v>1.0001216666666666</v>
      </c>
    </row>
    <row r="2120" spans="1:16">
      <c r="B2120" s="41"/>
      <c r="C2120" s="403">
        <f t="shared" si="245"/>
        <v>45918</v>
      </c>
      <c r="D2120" s="56" t="str">
        <f>VLOOKUP(MOD(C2120,7),'CALENDAR INFO'!$G$5:$H$11,2)</f>
        <v>THU</v>
      </c>
      <c r="E2120" s="165">
        <v>4.08</v>
      </c>
      <c r="F2120" s="336">
        <v>4.1399999999999997</v>
      </c>
      <c r="G2120" s="411">
        <f t="shared" si="242"/>
        <v>5.9999999999999609E-2</v>
      </c>
      <c r="I2120" s="311"/>
      <c r="J2120" s="312"/>
      <c r="K2120" s="129" t="s">
        <v>18</v>
      </c>
      <c r="L2120" s="403">
        <f t="shared" si="243"/>
        <v>45918</v>
      </c>
      <c r="M2120" s="56" t="str">
        <f t="shared" si="244"/>
        <v>THU</v>
      </c>
      <c r="O2120" s="383">
        <f t="shared" si="241"/>
        <v>1</v>
      </c>
      <c r="P2120" s="392">
        <f t="shared" si="239"/>
        <v>1.0001150000000001</v>
      </c>
    </row>
    <row r="2121" spans="1:16">
      <c r="B2121" s="41"/>
      <c r="C2121" s="403">
        <f t="shared" si="245"/>
        <v>45919</v>
      </c>
      <c r="D2121" s="56" t="str">
        <f>VLOOKUP(MOD(C2121,7),'CALENDAR INFO'!$G$5:$H$11,2)</f>
        <v>FRI</v>
      </c>
      <c r="E2121" s="165">
        <v>4.08</v>
      </c>
      <c r="F2121" s="336">
        <v>4.1399999999999997</v>
      </c>
      <c r="G2121" s="411">
        <f t="shared" si="242"/>
        <v>5.9999999999999609E-2</v>
      </c>
      <c r="I2121" s="141"/>
      <c r="J2121" s="158"/>
      <c r="K2121" s="129"/>
      <c r="L2121" s="403">
        <f t="shared" si="243"/>
        <v>45919</v>
      </c>
      <c r="M2121" s="56" t="str">
        <f t="shared" si="244"/>
        <v>FRI</v>
      </c>
      <c r="O2121" s="383">
        <f t="shared" si="241"/>
        <v>3</v>
      </c>
      <c r="P2121" s="392">
        <f t="shared" si="239"/>
        <v>1.000345</v>
      </c>
    </row>
    <row r="2122" spans="1:16">
      <c r="B2122" s="41"/>
      <c r="C2122" s="403">
        <f t="shared" si="245"/>
        <v>45920</v>
      </c>
      <c r="D2122" s="56" t="str">
        <f>VLOOKUP(MOD(C2122,7),'CALENDAR INFO'!$G$5:$H$11,2)</f>
        <v>SAT</v>
      </c>
      <c r="E2122" s="165">
        <v>4.08</v>
      </c>
      <c r="F2122" s="336">
        <v>4.1399999999999997</v>
      </c>
      <c r="G2122" s="411">
        <f t="shared" si="242"/>
        <v>5.9999999999999609E-2</v>
      </c>
      <c r="I2122" s="137"/>
      <c r="J2122" s="150"/>
      <c r="K2122" s="129"/>
      <c r="L2122" s="403">
        <f t="shared" si="243"/>
        <v>45920</v>
      </c>
      <c r="M2122" s="56" t="str">
        <f t="shared" si="244"/>
        <v>SAT</v>
      </c>
      <c r="O2122" s="383">
        <f t="shared" si="241"/>
        <v>0</v>
      </c>
      <c r="P2122" s="392">
        <f t="shared" si="239"/>
        <v>1</v>
      </c>
    </row>
    <row r="2123" spans="1:16">
      <c r="B2123" s="41"/>
      <c r="C2123" s="403">
        <f t="shared" si="245"/>
        <v>45921</v>
      </c>
      <c r="D2123" s="56" t="str">
        <f>VLOOKUP(MOD(C2123,7),'CALENDAR INFO'!$G$5:$H$11,2)</f>
        <v>SUN</v>
      </c>
      <c r="E2123" s="165">
        <v>4.08</v>
      </c>
      <c r="F2123" s="336">
        <v>4.1399999999999997</v>
      </c>
      <c r="G2123" s="411">
        <f t="shared" si="242"/>
        <v>5.9999999999999609E-2</v>
      </c>
      <c r="K2123" s="129"/>
      <c r="L2123" s="403">
        <f t="shared" si="243"/>
        <v>45921</v>
      </c>
      <c r="M2123" s="56" t="str">
        <f t="shared" si="244"/>
        <v>SUN</v>
      </c>
      <c r="O2123" s="383">
        <f t="shared" si="241"/>
        <v>0</v>
      </c>
      <c r="P2123" s="392">
        <f t="shared" si="239"/>
        <v>1</v>
      </c>
    </row>
    <row r="2124" spans="1:16">
      <c r="B2124" s="41"/>
      <c r="C2124" s="403">
        <f t="shared" si="245"/>
        <v>45922</v>
      </c>
      <c r="D2124" s="56" t="str">
        <f>VLOOKUP(MOD(C2124,7),'CALENDAR INFO'!$G$5:$H$11,2)</f>
        <v>MON</v>
      </c>
      <c r="E2124" s="165">
        <v>4.09</v>
      </c>
      <c r="F2124" s="336">
        <v>4.1399999999999997</v>
      </c>
      <c r="G2124" s="411">
        <f t="shared" si="242"/>
        <v>4.9999999999999822E-2</v>
      </c>
      <c r="K2124" s="129"/>
      <c r="L2124" s="403">
        <f t="shared" si="243"/>
        <v>45922</v>
      </c>
      <c r="M2124" s="56" t="str">
        <f t="shared" si="244"/>
        <v>MON</v>
      </c>
      <c r="O2124" s="383">
        <f t="shared" si="241"/>
        <v>1</v>
      </c>
      <c r="P2124" s="392">
        <f t="shared" si="239"/>
        <v>1.0001150000000001</v>
      </c>
    </row>
    <row r="2125" spans="1:16">
      <c r="B2125" s="41"/>
      <c r="C2125" s="403">
        <f t="shared" si="245"/>
        <v>45923</v>
      </c>
      <c r="D2125" s="56" t="str">
        <f>VLOOKUP(MOD(C2125,7),'CALENDAR INFO'!$G$5:$H$11,2)</f>
        <v>TUE</v>
      </c>
      <c r="E2125" s="165">
        <v>4.09</v>
      </c>
      <c r="F2125" s="336">
        <v>4.12</v>
      </c>
      <c r="G2125" s="411">
        <f t="shared" si="242"/>
        <v>3.0000000000000249E-2</v>
      </c>
      <c r="I2125" s="313"/>
      <c r="J2125" s="314"/>
      <c r="K2125" s="129"/>
      <c r="L2125" s="403">
        <f t="shared" si="243"/>
        <v>45923</v>
      </c>
      <c r="M2125" s="56" t="str">
        <f t="shared" si="244"/>
        <v>TUE</v>
      </c>
      <c r="O2125" s="383">
        <f t="shared" si="241"/>
        <v>1</v>
      </c>
      <c r="P2125" s="392">
        <f t="shared" si="239"/>
        <v>1.0001144444444445</v>
      </c>
    </row>
    <row r="2126" spans="1:16">
      <c r="B2126" s="41"/>
      <c r="C2126" s="403">
        <f t="shared" si="245"/>
        <v>45924</v>
      </c>
      <c r="D2126" s="56" t="str">
        <f>VLOOKUP(MOD(C2126,7),'CALENDAR INFO'!$G$5:$H$11,2)</f>
        <v>WED</v>
      </c>
      <c r="E2126" s="165">
        <v>4.09</v>
      </c>
      <c r="F2126" s="336">
        <v>4.13</v>
      </c>
      <c r="G2126" s="411">
        <f t="shared" si="242"/>
        <v>4.0000000000000036E-2</v>
      </c>
      <c r="I2126" s="115"/>
      <c r="J2126" s="159"/>
      <c r="K2126" s="129"/>
      <c r="L2126" s="403">
        <f t="shared" si="243"/>
        <v>45924</v>
      </c>
      <c r="M2126" s="56" t="str">
        <f t="shared" si="244"/>
        <v>WED</v>
      </c>
      <c r="O2126" s="383">
        <f t="shared" si="241"/>
        <v>1</v>
      </c>
      <c r="P2126" s="392">
        <f t="shared" si="239"/>
        <v>1.0001147222222222</v>
      </c>
    </row>
    <row r="2127" spans="1:16">
      <c r="B2127" s="41"/>
      <c r="C2127" s="403">
        <f t="shared" si="245"/>
        <v>45925</v>
      </c>
      <c r="D2127" s="56" t="str">
        <f>VLOOKUP(MOD(C2127,7),'CALENDAR INFO'!$G$5:$H$11,2)</f>
        <v>THU</v>
      </c>
      <c r="E2127" s="165">
        <v>4.09</v>
      </c>
      <c r="F2127" s="336">
        <v>4.18</v>
      </c>
      <c r="G2127" s="411">
        <f t="shared" si="242"/>
        <v>8.9999999999999858E-2</v>
      </c>
      <c r="I2127" s="137"/>
      <c r="J2127" s="150"/>
      <c r="K2127" s="129"/>
      <c r="L2127" s="403">
        <f t="shared" si="243"/>
        <v>45925</v>
      </c>
      <c r="M2127" s="56" t="str">
        <f t="shared" si="244"/>
        <v>THU</v>
      </c>
      <c r="O2127" s="383">
        <f t="shared" si="241"/>
        <v>1</v>
      </c>
      <c r="P2127" s="392">
        <f t="shared" si="239"/>
        <v>1.0001161111111112</v>
      </c>
    </row>
    <row r="2128" spans="1:16">
      <c r="B2128" s="41"/>
      <c r="C2128" s="403">
        <f t="shared" si="245"/>
        <v>45926</v>
      </c>
      <c r="D2128" s="56" t="str">
        <f>VLOOKUP(MOD(C2128,7),'CALENDAR INFO'!$G$5:$H$11,2)</f>
        <v>FRI</v>
      </c>
      <c r="E2128" s="165">
        <v>4.09</v>
      </c>
      <c r="F2128" s="336">
        <v>4.16</v>
      </c>
      <c r="G2128" s="411">
        <f t="shared" si="242"/>
        <v>7.0000000000000284E-2</v>
      </c>
      <c r="I2128" s="137"/>
      <c r="J2128" s="150"/>
      <c r="K2128" s="129"/>
      <c r="L2128" s="403">
        <f t="shared" si="243"/>
        <v>45926</v>
      </c>
      <c r="M2128" s="56" t="str">
        <f t="shared" si="244"/>
        <v>FRI</v>
      </c>
      <c r="O2128" s="383">
        <f t="shared" si="241"/>
        <v>3</v>
      </c>
      <c r="P2128" s="392">
        <f t="shared" si="239"/>
        <v>1.0003466666666667</v>
      </c>
    </row>
    <row r="2129" spans="1:16">
      <c r="B2129" s="41"/>
      <c r="C2129" s="403">
        <f t="shared" si="245"/>
        <v>45927</v>
      </c>
      <c r="D2129" s="56" t="str">
        <f>VLOOKUP(MOD(C2129,7),'CALENDAR INFO'!$G$5:$H$11,2)</f>
        <v>SAT</v>
      </c>
      <c r="E2129" s="165">
        <v>4.09</v>
      </c>
      <c r="F2129" s="336">
        <v>4.16</v>
      </c>
      <c r="G2129" s="411">
        <f t="shared" si="242"/>
        <v>7.0000000000000284E-2</v>
      </c>
      <c r="I2129" s="171"/>
      <c r="J2129" s="172"/>
      <c r="K2129" s="129"/>
      <c r="L2129" s="403">
        <f t="shared" si="243"/>
        <v>45927</v>
      </c>
      <c r="M2129" s="56" t="str">
        <f t="shared" si="244"/>
        <v>SAT</v>
      </c>
      <c r="O2129" s="383">
        <f t="shared" si="241"/>
        <v>0</v>
      </c>
      <c r="P2129" s="392">
        <f t="shared" si="239"/>
        <v>1</v>
      </c>
    </row>
    <row r="2130" spans="1:16">
      <c r="B2130" s="41"/>
      <c r="C2130" s="403">
        <f t="shared" si="245"/>
        <v>45928</v>
      </c>
      <c r="D2130" s="56" t="str">
        <f>VLOOKUP(MOD(C2130,7),'CALENDAR INFO'!$G$5:$H$11,2)</f>
        <v>SUN</v>
      </c>
      <c r="E2130" s="165">
        <v>4.09</v>
      </c>
      <c r="F2130" s="336">
        <v>4.16</v>
      </c>
      <c r="G2130" s="411">
        <f t="shared" si="242"/>
        <v>7.0000000000000284E-2</v>
      </c>
      <c r="I2130" s="137"/>
      <c r="J2130" s="150"/>
      <c r="K2130" s="129"/>
      <c r="L2130" s="403">
        <f t="shared" si="243"/>
        <v>45928</v>
      </c>
      <c r="M2130" s="56" t="str">
        <f t="shared" si="244"/>
        <v>SUN</v>
      </c>
      <c r="O2130" s="383">
        <f t="shared" si="241"/>
        <v>0</v>
      </c>
      <c r="P2130" s="392">
        <f t="shared" si="239"/>
        <v>1</v>
      </c>
    </row>
    <row r="2131" spans="1:16">
      <c r="B2131" s="41"/>
      <c r="C2131" s="403">
        <f t="shared" si="245"/>
        <v>45929</v>
      </c>
      <c r="D2131" s="56" t="str">
        <f>VLOOKUP(MOD(C2131,7),'CALENDAR INFO'!$G$5:$H$11,2)</f>
        <v>MON</v>
      </c>
      <c r="E2131" s="165">
        <v>4.09</v>
      </c>
      <c r="F2131" s="336">
        <v>4.13</v>
      </c>
      <c r="G2131" s="411">
        <f t="shared" si="242"/>
        <v>4.0000000000000036E-2</v>
      </c>
      <c r="I2131" s="147"/>
      <c r="J2131" s="326"/>
      <c r="K2131" s="129"/>
      <c r="L2131" s="403">
        <f t="shared" si="243"/>
        <v>45929</v>
      </c>
      <c r="M2131" s="56" t="str">
        <f t="shared" si="244"/>
        <v>MON</v>
      </c>
      <c r="O2131" s="383">
        <f t="shared" si="241"/>
        <v>1</v>
      </c>
      <c r="P2131" s="392">
        <f t="shared" ref="P2131:P2194" si="246">1+(O2131/360)*(MAX(F2131,B2131)/100)</f>
        <v>1.0001147222222222</v>
      </c>
    </row>
    <row r="2132" spans="1:16" ht="15.75" thickBot="1">
      <c r="A2132" s="81"/>
      <c r="B2132" s="178"/>
      <c r="C2132" s="404">
        <f t="shared" si="245"/>
        <v>45930</v>
      </c>
      <c r="D2132" s="64" t="str">
        <f>VLOOKUP(MOD(C2132,7),'CALENDAR INFO'!$G$5:$H$11,2)</f>
        <v>TUE</v>
      </c>
      <c r="E2132" s="166">
        <v>4.09</v>
      </c>
      <c r="F2132" s="337">
        <v>4.24</v>
      </c>
      <c r="G2132" s="412">
        <f t="shared" si="242"/>
        <v>0.15000000000000036</v>
      </c>
      <c r="H2132" s="274"/>
      <c r="I2132" s="274"/>
      <c r="J2132" s="275"/>
      <c r="K2132" s="84"/>
      <c r="L2132" s="404">
        <f t="shared" si="243"/>
        <v>45930</v>
      </c>
      <c r="M2132" s="64" t="str">
        <f t="shared" si="244"/>
        <v>TUE</v>
      </c>
      <c r="N2132" s="90"/>
      <c r="O2132" s="382">
        <f t="shared" si="241"/>
        <v>1</v>
      </c>
      <c r="P2132" s="388">
        <f t="shared" si="246"/>
        <v>1.0001177777777779</v>
      </c>
    </row>
    <row r="2133" spans="1:16">
      <c r="A2133" s="71"/>
      <c r="B2133" s="315"/>
      <c r="C2133" s="403">
        <f t="shared" si="245"/>
        <v>45931</v>
      </c>
      <c r="D2133" s="56" t="str">
        <f>VLOOKUP(MOD(C2133,7),'CALENDAR INFO'!$G$5:$H$11,2)</f>
        <v>WED</v>
      </c>
      <c r="E2133" s="165">
        <v>4.09</v>
      </c>
      <c r="F2133" s="336">
        <v>4.2</v>
      </c>
      <c r="G2133" s="411">
        <f t="shared" si="242"/>
        <v>0.11000000000000032</v>
      </c>
      <c r="H2133" s="15" t="s">
        <v>149</v>
      </c>
      <c r="I2133" s="15">
        <f>ROW(I2133)</f>
        <v>2133</v>
      </c>
      <c r="J2133" s="138">
        <f>I2133</f>
        <v>2133</v>
      </c>
      <c r="K2133" s="129" t="s">
        <v>19</v>
      </c>
      <c r="L2133" s="403">
        <f t="shared" si="243"/>
        <v>45931</v>
      </c>
      <c r="M2133" s="56" t="str">
        <f t="shared" si="244"/>
        <v>WED</v>
      </c>
      <c r="O2133" s="383">
        <f t="shared" si="241"/>
        <v>1</v>
      </c>
      <c r="P2133" s="392">
        <f t="shared" si="246"/>
        <v>1.0001166666666668</v>
      </c>
    </row>
    <row r="2134" spans="1:16">
      <c r="A2134" s="71"/>
      <c r="B2134" s="176"/>
      <c r="C2134" s="403">
        <f t="shared" si="245"/>
        <v>45932</v>
      </c>
      <c r="D2134" s="56" t="str">
        <f>VLOOKUP(MOD(C2134,7),'CALENDAR INFO'!$G$5:$H$11,2)</f>
        <v>THU</v>
      </c>
      <c r="E2134" s="165">
        <v>4.09</v>
      </c>
      <c r="F2134" s="336">
        <v>4.2</v>
      </c>
      <c r="G2134" s="411">
        <f t="shared" si="242"/>
        <v>0.11000000000000032</v>
      </c>
      <c r="H2134" s="376" t="s">
        <v>210</v>
      </c>
      <c r="I2134" s="15">
        <f>VLOOKUP(MONTH($C2133),'CALENDAR INFO'!$J$5:$K$16,2)</f>
        <v>31</v>
      </c>
      <c r="J2134" s="138">
        <f>I2134</f>
        <v>31</v>
      </c>
      <c r="K2134" s="126" t="s">
        <v>18</v>
      </c>
      <c r="L2134" s="403">
        <f t="shared" si="243"/>
        <v>45932</v>
      </c>
      <c r="M2134" s="56" t="str">
        <f t="shared" si="244"/>
        <v>THU</v>
      </c>
      <c r="O2134" s="383">
        <f t="shared" si="241"/>
        <v>1</v>
      </c>
      <c r="P2134" s="392">
        <f t="shared" si="246"/>
        <v>1.0001166666666668</v>
      </c>
    </row>
    <row r="2135" spans="1:16">
      <c r="A2135" s="71"/>
      <c r="B2135" s="176"/>
      <c r="C2135" s="403">
        <f t="shared" si="245"/>
        <v>45933</v>
      </c>
      <c r="D2135" s="56" t="str">
        <f>VLOOKUP(MOD(C2135,7),'CALENDAR INFO'!$G$5:$H$11,2)</f>
        <v>FRI</v>
      </c>
      <c r="E2135" s="165">
        <v>4.09</v>
      </c>
      <c r="F2135" s="336">
        <v>4.18</v>
      </c>
      <c r="G2135" s="411">
        <f t="shared" si="242"/>
        <v>8.9999999999999858E-2</v>
      </c>
      <c r="H2135" s="376" t="s">
        <v>211</v>
      </c>
      <c r="I2135" s="15">
        <f>I2134+I2133-1</f>
        <v>2163</v>
      </c>
      <c r="J2135" s="138">
        <f>I2135</f>
        <v>2163</v>
      </c>
      <c r="K2135" s="126"/>
      <c r="L2135" s="403">
        <f t="shared" si="243"/>
        <v>45933</v>
      </c>
      <c r="M2135" s="56" t="str">
        <f t="shared" si="244"/>
        <v>FRI</v>
      </c>
      <c r="O2135" s="383">
        <f t="shared" si="241"/>
        <v>3</v>
      </c>
      <c r="P2135" s="392">
        <f t="shared" si="246"/>
        <v>1.0003483333333334</v>
      </c>
    </row>
    <row r="2136" spans="1:16">
      <c r="A2136" s="71"/>
      <c r="B2136" s="176"/>
      <c r="C2136" s="403">
        <f t="shared" si="245"/>
        <v>45934</v>
      </c>
      <c r="D2136" s="56" t="str">
        <f>VLOOKUP(MOD(C2136,7),'CALENDAR INFO'!$G$5:$H$11,2)</f>
        <v>SAT</v>
      </c>
      <c r="E2136" s="165">
        <v>4.09</v>
      </c>
      <c r="F2136" s="336">
        <v>4.18</v>
      </c>
      <c r="G2136" s="411">
        <f t="shared" si="242"/>
        <v>8.9999999999999858E-2</v>
      </c>
      <c r="K2136" s="126"/>
      <c r="L2136" s="403">
        <f t="shared" si="243"/>
        <v>45934</v>
      </c>
      <c r="M2136" s="56" t="str">
        <f t="shared" si="244"/>
        <v>SAT</v>
      </c>
      <c r="O2136" s="383">
        <f t="shared" si="241"/>
        <v>0</v>
      </c>
      <c r="P2136" s="392">
        <f t="shared" si="246"/>
        <v>1</v>
      </c>
    </row>
    <row r="2137" spans="1:16">
      <c r="A2137" s="71"/>
      <c r="B2137" s="176"/>
      <c r="C2137" s="403">
        <f t="shared" si="245"/>
        <v>45935</v>
      </c>
      <c r="D2137" s="56" t="str">
        <f>VLOOKUP(MOD(C2137,7),'CALENDAR INFO'!$G$5:$H$11,2)</f>
        <v>SUN</v>
      </c>
      <c r="E2137" s="165">
        <v>4.09</v>
      </c>
      <c r="F2137" s="336">
        <v>4.18</v>
      </c>
      <c r="G2137" s="411">
        <f t="shared" si="242"/>
        <v>8.9999999999999858E-2</v>
      </c>
      <c r="H2137" s="15" t="s">
        <v>150</v>
      </c>
      <c r="I2137" s="137" t="str">
        <f>_xlfn.CONCAT(ADDRESS(I2133,5),":",ADDRESS(I2135,5))</f>
        <v>$E$2133:$E$2163</v>
      </c>
      <c r="J2137" s="150" t="str">
        <f>_xlfn.CONCAT(ADDRESS(J2133,6),":",ADDRESS(J2135,6))</f>
        <v>$F$2133:$F$2163</v>
      </c>
      <c r="K2137" s="126"/>
      <c r="L2137" s="403">
        <f t="shared" si="243"/>
        <v>45935</v>
      </c>
      <c r="M2137" s="56" t="str">
        <f t="shared" si="244"/>
        <v>SUN</v>
      </c>
      <c r="O2137" s="383">
        <f t="shared" si="241"/>
        <v>0</v>
      </c>
      <c r="P2137" s="392">
        <f t="shared" si="246"/>
        <v>1</v>
      </c>
    </row>
    <row r="2138" spans="1:16">
      <c r="A2138" s="71"/>
      <c r="B2138" s="176"/>
      <c r="C2138" s="403">
        <f t="shared" si="245"/>
        <v>45936</v>
      </c>
      <c r="D2138" s="56" t="str">
        <f>VLOOKUP(MOD(C2138,7),'CALENDAR INFO'!$G$5:$H$11,2)</f>
        <v>MON</v>
      </c>
      <c r="E2138" s="165">
        <v>4.09</v>
      </c>
      <c r="F2138" s="336">
        <v>4.1500000000000004</v>
      </c>
      <c r="G2138" s="411">
        <f t="shared" si="242"/>
        <v>6.0000000000000497E-2</v>
      </c>
      <c r="K2138" s="126"/>
      <c r="L2138" s="403">
        <f t="shared" si="243"/>
        <v>45936</v>
      </c>
      <c r="M2138" s="56" t="str">
        <f t="shared" si="244"/>
        <v>MON</v>
      </c>
      <c r="O2138" s="383">
        <f t="shared" si="241"/>
        <v>1</v>
      </c>
      <c r="P2138" s="392">
        <f t="shared" si="246"/>
        <v>1.0001152777777778</v>
      </c>
    </row>
    <row r="2139" spans="1:16">
      <c r="A2139" s="71"/>
      <c r="B2139" s="176"/>
      <c r="C2139" s="403">
        <f t="shared" si="245"/>
        <v>45937</v>
      </c>
      <c r="D2139" s="56" t="str">
        <f>VLOOKUP(MOD(C2139,7),'CALENDAR INFO'!$G$5:$H$11,2)</f>
        <v>TUE</v>
      </c>
      <c r="E2139" s="165">
        <v>4.09</v>
      </c>
      <c r="F2139" s="336">
        <v>4.1399999999999997</v>
      </c>
      <c r="G2139" s="411">
        <f t="shared" si="242"/>
        <v>4.9999999999999822E-2</v>
      </c>
      <c r="H2139" s="376" t="s">
        <v>221</v>
      </c>
      <c r="I2139" s="147">
        <f ca="1">AVERAGE(INDIRECT(I2137))</f>
        <v>4.088064516129033</v>
      </c>
      <c r="J2139" s="326">
        <f ca="1">AVERAGE(INDIRECT(J2137))</f>
        <v>4.1958064516129028</v>
      </c>
      <c r="K2139" s="126"/>
      <c r="L2139" s="403">
        <f t="shared" si="243"/>
        <v>45937</v>
      </c>
      <c r="M2139" s="56" t="str">
        <f t="shared" si="244"/>
        <v>TUE</v>
      </c>
      <c r="O2139" s="383">
        <f t="shared" si="241"/>
        <v>1</v>
      </c>
      <c r="P2139" s="392">
        <f t="shared" si="246"/>
        <v>1.0001150000000001</v>
      </c>
    </row>
    <row r="2140" spans="1:16">
      <c r="A2140" s="71"/>
      <c r="B2140" s="176"/>
      <c r="C2140" s="403">
        <f t="shared" si="245"/>
        <v>45938</v>
      </c>
      <c r="D2140" s="56" t="str">
        <f>VLOOKUP(MOD(C2140,7),'CALENDAR INFO'!$G$5:$H$11,2)</f>
        <v>WED</v>
      </c>
      <c r="E2140" s="165">
        <v>4.0999999999999996</v>
      </c>
      <c r="F2140" s="336">
        <v>4.12</v>
      </c>
      <c r="G2140" s="411">
        <f t="shared" si="242"/>
        <v>2.0000000000000462E-2</v>
      </c>
      <c r="H2140" s="135"/>
      <c r="K2140" s="126"/>
      <c r="L2140" s="403">
        <f t="shared" si="243"/>
        <v>45938</v>
      </c>
      <c r="M2140" s="56" t="str">
        <f t="shared" si="244"/>
        <v>WED</v>
      </c>
      <c r="O2140" s="383">
        <f t="shared" si="241"/>
        <v>1</v>
      </c>
      <c r="P2140" s="392">
        <f t="shared" si="246"/>
        <v>1.0001144444444445</v>
      </c>
    </row>
    <row r="2141" spans="1:16">
      <c r="A2141" s="71"/>
      <c r="B2141" s="176"/>
      <c r="C2141" s="403">
        <f t="shared" si="245"/>
        <v>45939</v>
      </c>
      <c r="D2141" s="56" t="str">
        <f>VLOOKUP(MOD(C2141,7),'CALENDAR INFO'!$G$5:$H$11,2)</f>
        <v>THU</v>
      </c>
      <c r="E2141" s="165">
        <v>4.0999999999999996</v>
      </c>
      <c r="F2141" s="336">
        <v>4.13</v>
      </c>
      <c r="G2141" s="411">
        <f t="shared" si="242"/>
        <v>3.0000000000000249E-2</v>
      </c>
      <c r="H2141" s="15" t="s">
        <v>222</v>
      </c>
      <c r="I2141" s="147">
        <f ca="1">100-I2139</f>
        <v>95.911935483870963</v>
      </c>
      <c r="J2141" s="326">
        <f ca="1">100-J2139</f>
        <v>95.804193548387104</v>
      </c>
      <c r="K2141" s="126"/>
      <c r="L2141" s="403">
        <f t="shared" si="243"/>
        <v>45939</v>
      </c>
      <c r="M2141" s="56" t="str">
        <f t="shared" si="244"/>
        <v>THU</v>
      </c>
      <c r="O2141" s="383">
        <f t="shared" si="241"/>
        <v>1</v>
      </c>
      <c r="P2141" s="392">
        <f t="shared" si="246"/>
        <v>1.0001147222222222</v>
      </c>
    </row>
    <row r="2142" spans="1:16">
      <c r="A2142" s="71"/>
      <c r="B2142" s="176"/>
      <c r="C2142" s="403">
        <f t="shared" si="245"/>
        <v>45940</v>
      </c>
      <c r="D2142" s="56" t="str">
        <f>VLOOKUP(MOD(C2142,7),'CALENDAR INFO'!$G$5:$H$11,2)</f>
        <v>FRI</v>
      </c>
      <c r="E2142" s="165">
        <v>4.0999999999999996</v>
      </c>
      <c r="F2142" s="336">
        <v>4.1500000000000004</v>
      </c>
      <c r="G2142" s="411">
        <f t="shared" si="242"/>
        <v>5.0000000000000711E-2</v>
      </c>
      <c r="I2142" s="137"/>
      <c r="J2142" s="150"/>
      <c r="K2142" s="126"/>
      <c r="L2142" s="403">
        <f t="shared" si="243"/>
        <v>45940</v>
      </c>
      <c r="M2142" s="56" t="str">
        <f t="shared" si="244"/>
        <v>FRI</v>
      </c>
      <c r="O2142" s="384">
        <v>4</v>
      </c>
      <c r="P2142" s="392">
        <f t="shared" si="246"/>
        <v>1.000461111111111</v>
      </c>
    </row>
    <row r="2143" spans="1:16">
      <c r="A2143" s="71"/>
      <c r="B2143" s="176"/>
      <c r="C2143" s="403">
        <f t="shared" si="245"/>
        <v>45941</v>
      </c>
      <c r="D2143" s="56" t="str">
        <f>VLOOKUP(MOD(C2143,7),'CALENDAR INFO'!$G$5:$H$11,2)</f>
        <v>SAT</v>
      </c>
      <c r="E2143" s="165">
        <v>4.0999999999999996</v>
      </c>
      <c r="F2143" s="336">
        <v>4.1500000000000004</v>
      </c>
      <c r="G2143" s="411">
        <f t="shared" si="242"/>
        <v>5.0000000000000711E-2</v>
      </c>
      <c r="I2143" s="171"/>
      <c r="J2143" s="172"/>
      <c r="K2143" s="126"/>
      <c r="L2143" s="403">
        <f t="shared" si="243"/>
        <v>45941</v>
      </c>
      <c r="M2143" s="56" t="str">
        <f t="shared" si="244"/>
        <v>SAT</v>
      </c>
      <c r="O2143" s="384">
        <f>IF(MOD(C2143,7)&lt;2,0,IF(MOD(C2143,7)=6,3,1))</f>
        <v>0</v>
      </c>
      <c r="P2143" s="392">
        <f t="shared" si="246"/>
        <v>1</v>
      </c>
    </row>
    <row r="2144" spans="1:16">
      <c r="A2144" s="71"/>
      <c r="B2144" s="176"/>
      <c r="C2144" s="403">
        <f t="shared" si="245"/>
        <v>45942</v>
      </c>
      <c r="D2144" s="56" t="str">
        <f>VLOOKUP(MOD(C2144,7),'CALENDAR INFO'!$G$5:$H$11,2)</f>
        <v>SUN</v>
      </c>
      <c r="E2144" s="165">
        <v>4.0999999999999996</v>
      </c>
      <c r="F2144" s="336">
        <v>4.1500000000000004</v>
      </c>
      <c r="G2144" s="411">
        <f t="shared" si="242"/>
        <v>5.0000000000000711E-2</v>
      </c>
      <c r="I2144" s="171"/>
      <c r="J2144" s="172"/>
      <c r="K2144" s="126"/>
      <c r="L2144" s="403">
        <f t="shared" si="243"/>
        <v>45942</v>
      </c>
      <c r="M2144" s="56" t="str">
        <f t="shared" si="244"/>
        <v>SUN</v>
      </c>
      <c r="O2144" s="384">
        <f>IF(MOD(C2144,7)&lt;2,0,IF(MOD(C2144,7)=6,3,1))</f>
        <v>0</v>
      </c>
      <c r="P2144" s="392">
        <f t="shared" si="246"/>
        <v>1</v>
      </c>
    </row>
    <row r="2145" spans="1:16">
      <c r="A2145" s="71"/>
      <c r="B2145" s="176"/>
      <c r="C2145" s="403">
        <f t="shared" si="245"/>
        <v>45943</v>
      </c>
      <c r="D2145" s="56" t="str">
        <f>VLOOKUP(MOD(C2145,7),'CALENDAR INFO'!$G$5:$H$11,2)</f>
        <v>MON</v>
      </c>
      <c r="E2145" s="165">
        <v>4.0999999999999996</v>
      </c>
      <c r="F2145" s="336">
        <v>4.1500000000000004</v>
      </c>
      <c r="G2145" s="411">
        <f t="shared" si="242"/>
        <v>5.0000000000000711E-2</v>
      </c>
      <c r="I2145" s="171"/>
      <c r="J2145" s="172"/>
      <c r="K2145" s="126"/>
      <c r="L2145" s="403">
        <f t="shared" si="243"/>
        <v>45943</v>
      </c>
      <c r="M2145" s="56" t="str">
        <f t="shared" si="244"/>
        <v>MON</v>
      </c>
      <c r="N2145" s="132" t="s">
        <v>107</v>
      </c>
      <c r="O2145" s="384">
        <v>0</v>
      </c>
      <c r="P2145" s="392">
        <f t="shared" si="246"/>
        <v>1</v>
      </c>
    </row>
    <row r="2146" spans="1:16">
      <c r="A2146" s="71"/>
      <c r="B2146" s="176"/>
      <c r="C2146" s="403">
        <f t="shared" si="245"/>
        <v>45944</v>
      </c>
      <c r="D2146" s="56" t="str">
        <f>VLOOKUP(MOD(C2146,7),'CALENDAR INFO'!$G$5:$H$11,2)</f>
        <v>TUE</v>
      </c>
      <c r="E2146" s="165">
        <v>4.0999999999999996</v>
      </c>
      <c r="F2146" s="336">
        <v>4.1900000000000004</v>
      </c>
      <c r="G2146" s="411">
        <f t="shared" si="242"/>
        <v>9.0000000000000746E-2</v>
      </c>
      <c r="I2146" s="137"/>
      <c r="J2146" s="150"/>
      <c r="K2146" s="126"/>
      <c r="L2146" s="403">
        <f t="shared" si="243"/>
        <v>45944</v>
      </c>
      <c r="M2146" s="56" t="str">
        <f t="shared" si="244"/>
        <v>TUE</v>
      </c>
      <c r="O2146" s="383">
        <f t="shared" ref="O2146:O2169" si="247">IF(MOD(C2146,7)&lt;2,0,IF(MOD(C2146,7)=6,3,1))</f>
        <v>1</v>
      </c>
      <c r="P2146" s="392">
        <f t="shared" si="246"/>
        <v>1.0001163888888889</v>
      </c>
    </row>
    <row r="2147" spans="1:16">
      <c r="A2147" s="71"/>
      <c r="B2147" s="176"/>
      <c r="C2147" s="403">
        <f t="shared" si="245"/>
        <v>45945</v>
      </c>
      <c r="D2147" s="56" t="str">
        <f>VLOOKUP(MOD(C2147,7),'CALENDAR INFO'!$G$5:$H$11,2)</f>
        <v>WED</v>
      </c>
      <c r="E2147" s="165">
        <v>4.0999999999999996</v>
      </c>
      <c r="F2147" s="336">
        <v>4.29</v>
      </c>
      <c r="G2147" s="411">
        <f t="shared" si="242"/>
        <v>0.19000000000000039</v>
      </c>
      <c r="I2147" s="137"/>
      <c r="J2147" s="150"/>
      <c r="K2147" s="126" t="s">
        <v>19</v>
      </c>
      <c r="L2147" s="403">
        <f t="shared" si="243"/>
        <v>45945</v>
      </c>
      <c r="M2147" s="56" t="str">
        <f t="shared" si="244"/>
        <v>WED</v>
      </c>
      <c r="O2147" s="383">
        <f t="shared" si="247"/>
        <v>1</v>
      </c>
      <c r="P2147" s="392">
        <f t="shared" si="246"/>
        <v>1.0001191666666667</v>
      </c>
    </row>
    <row r="2148" spans="1:16">
      <c r="A2148" s="71"/>
      <c r="B2148" s="176"/>
      <c r="C2148" s="403">
        <f t="shared" si="245"/>
        <v>45946</v>
      </c>
      <c r="D2148" s="56" t="str">
        <f>VLOOKUP(MOD(C2148,7),'CALENDAR INFO'!$G$5:$H$11,2)</f>
        <v>THU</v>
      </c>
      <c r="E2148" s="165">
        <v>4.1100000000000003</v>
      </c>
      <c r="F2148" s="336">
        <v>4.3</v>
      </c>
      <c r="G2148" s="411">
        <f t="shared" si="242"/>
        <v>0.1899999999999995</v>
      </c>
      <c r="I2148" s="137"/>
      <c r="J2148" s="150"/>
      <c r="K2148" s="129" t="s">
        <v>18</v>
      </c>
      <c r="L2148" s="403">
        <f t="shared" si="243"/>
        <v>45946</v>
      </c>
      <c r="M2148" s="56" t="str">
        <f t="shared" si="244"/>
        <v>THU</v>
      </c>
      <c r="O2148" s="383">
        <f t="shared" si="247"/>
        <v>1</v>
      </c>
      <c r="P2148" s="392">
        <f t="shared" si="246"/>
        <v>1.0001194444444443</v>
      </c>
    </row>
    <row r="2149" spans="1:16">
      <c r="A2149" s="71"/>
      <c r="B2149" s="176"/>
      <c r="C2149" s="403">
        <f t="shared" si="245"/>
        <v>45947</v>
      </c>
      <c r="D2149" s="56" t="str">
        <f>VLOOKUP(MOD(C2149,7),'CALENDAR INFO'!$G$5:$H$11,2)</f>
        <v>FRI</v>
      </c>
      <c r="E2149" s="165">
        <v>4.1100000000000003</v>
      </c>
      <c r="F2149" s="336">
        <v>4.18</v>
      </c>
      <c r="G2149" s="411">
        <f t="shared" si="242"/>
        <v>6.9999999999999396E-2</v>
      </c>
      <c r="I2149" s="137"/>
      <c r="J2149" s="150"/>
      <c r="K2149" s="129"/>
      <c r="L2149" s="403">
        <f t="shared" si="243"/>
        <v>45947</v>
      </c>
      <c r="M2149" s="56" t="str">
        <f t="shared" si="244"/>
        <v>FRI</v>
      </c>
      <c r="O2149" s="383">
        <f t="shared" si="247"/>
        <v>3</v>
      </c>
      <c r="P2149" s="392">
        <f t="shared" si="246"/>
        <v>1.0003483333333334</v>
      </c>
    </row>
    <row r="2150" spans="1:16">
      <c r="A2150" s="71"/>
      <c r="B2150" s="176"/>
      <c r="C2150" s="403">
        <f t="shared" si="245"/>
        <v>45948</v>
      </c>
      <c r="D2150" s="56" t="str">
        <f>VLOOKUP(MOD(C2150,7),'CALENDAR INFO'!$G$5:$H$11,2)</f>
        <v>SAT</v>
      </c>
      <c r="E2150" s="165">
        <v>4.1100000000000003</v>
      </c>
      <c r="F2150" s="336">
        <v>4.18</v>
      </c>
      <c r="G2150" s="411">
        <f t="shared" si="242"/>
        <v>6.9999999999999396E-2</v>
      </c>
      <c r="I2150" s="311"/>
      <c r="J2150" s="312"/>
      <c r="K2150" s="129"/>
      <c r="L2150" s="403">
        <f t="shared" si="243"/>
        <v>45948</v>
      </c>
      <c r="M2150" s="56" t="str">
        <f t="shared" si="244"/>
        <v>SAT</v>
      </c>
      <c r="O2150" s="383">
        <f t="shared" si="247"/>
        <v>0</v>
      </c>
      <c r="P2150" s="392">
        <f t="shared" si="246"/>
        <v>1</v>
      </c>
    </row>
    <row r="2151" spans="1:16">
      <c r="A2151" s="71"/>
      <c r="B2151" s="176"/>
      <c r="C2151" s="403">
        <f t="shared" si="245"/>
        <v>45949</v>
      </c>
      <c r="D2151" s="56" t="str">
        <f>VLOOKUP(MOD(C2151,7),'CALENDAR INFO'!$G$5:$H$11,2)</f>
        <v>SUN</v>
      </c>
      <c r="E2151" s="165">
        <v>4.1100000000000003</v>
      </c>
      <c r="F2151" s="336">
        <v>4.18</v>
      </c>
      <c r="G2151" s="411">
        <f t="shared" si="242"/>
        <v>6.9999999999999396E-2</v>
      </c>
      <c r="I2151" s="141"/>
      <c r="J2151" s="158"/>
      <c r="K2151" s="129"/>
      <c r="L2151" s="403">
        <f t="shared" si="243"/>
        <v>45949</v>
      </c>
      <c r="M2151" s="56" t="str">
        <f t="shared" si="244"/>
        <v>SUN</v>
      </c>
      <c r="O2151" s="383">
        <f t="shared" si="247"/>
        <v>0</v>
      </c>
      <c r="P2151" s="392">
        <f t="shared" si="246"/>
        <v>1</v>
      </c>
    </row>
    <row r="2152" spans="1:16">
      <c r="A2152" s="71"/>
      <c r="B2152" s="176"/>
      <c r="C2152" s="403">
        <f t="shared" si="245"/>
        <v>45950</v>
      </c>
      <c r="D2152" s="56" t="str">
        <f>VLOOKUP(MOD(C2152,7),'CALENDAR INFO'!$G$5:$H$11,2)</f>
        <v>MON</v>
      </c>
      <c r="E2152" s="165">
        <v>4.1100000000000003</v>
      </c>
      <c r="F2152" s="336">
        <v>4.16</v>
      </c>
      <c r="G2152" s="411">
        <f t="shared" si="242"/>
        <v>4.9999999999999822E-2</v>
      </c>
      <c r="I2152" s="115"/>
      <c r="J2152" s="159"/>
      <c r="K2152" s="129"/>
      <c r="L2152" s="403">
        <f t="shared" si="243"/>
        <v>45950</v>
      </c>
      <c r="M2152" s="56" t="str">
        <f t="shared" si="244"/>
        <v>MON</v>
      </c>
      <c r="O2152" s="383">
        <f t="shared" si="247"/>
        <v>1</v>
      </c>
      <c r="P2152" s="392">
        <f t="shared" si="246"/>
        <v>1.0001155555555556</v>
      </c>
    </row>
    <row r="2153" spans="1:16">
      <c r="A2153" s="71"/>
      <c r="B2153" s="176"/>
      <c r="C2153" s="403">
        <f t="shared" si="245"/>
        <v>45951</v>
      </c>
      <c r="D2153" s="56" t="str">
        <f>VLOOKUP(MOD(C2153,7),'CALENDAR INFO'!$G$5:$H$11,2)</f>
        <v>TUE</v>
      </c>
      <c r="E2153" s="165">
        <v>4.1100000000000003</v>
      </c>
      <c r="F2153" s="336">
        <v>4.2300000000000004</v>
      </c>
      <c r="G2153" s="411">
        <f t="shared" si="242"/>
        <v>0.12000000000000011</v>
      </c>
      <c r="K2153" s="129"/>
      <c r="L2153" s="403">
        <f t="shared" si="243"/>
        <v>45951</v>
      </c>
      <c r="M2153" s="56" t="str">
        <f t="shared" si="244"/>
        <v>TUE</v>
      </c>
      <c r="O2153" s="383">
        <f t="shared" si="247"/>
        <v>1</v>
      </c>
      <c r="P2153" s="392">
        <f t="shared" si="246"/>
        <v>1.0001175</v>
      </c>
    </row>
    <row r="2154" spans="1:16">
      <c r="A2154" s="71"/>
      <c r="B2154" s="176"/>
      <c r="C2154" s="403">
        <f t="shared" si="245"/>
        <v>45952</v>
      </c>
      <c r="D2154" s="56" t="str">
        <f>VLOOKUP(MOD(C2154,7),'CALENDAR INFO'!$G$5:$H$11,2)</f>
        <v>WED</v>
      </c>
      <c r="E2154" s="165">
        <v>4.1100000000000003</v>
      </c>
      <c r="F2154" s="336">
        <v>4.21</v>
      </c>
      <c r="G2154" s="411">
        <f t="shared" si="242"/>
        <v>9.9999999999999645E-2</v>
      </c>
      <c r="K2154" s="129"/>
      <c r="L2154" s="403">
        <f t="shared" si="243"/>
        <v>45952</v>
      </c>
      <c r="M2154" s="56" t="str">
        <f t="shared" si="244"/>
        <v>WED</v>
      </c>
      <c r="O2154" s="383">
        <f t="shared" si="247"/>
        <v>1</v>
      </c>
      <c r="P2154" s="392">
        <f t="shared" si="246"/>
        <v>1.0001169444444444</v>
      </c>
    </row>
    <row r="2155" spans="1:16">
      <c r="A2155" s="71"/>
      <c r="B2155" s="176"/>
      <c r="C2155" s="403">
        <f t="shared" si="245"/>
        <v>45953</v>
      </c>
      <c r="D2155" s="56" t="str">
        <f>VLOOKUP(MOD(C2155,7),'CALENDAR INFO'!$G$5:$H$11,2)</f>
        <v>THU</v>
      </c>
      <c r="E2155" s="165">
        <v>4.1100000000000003</v>
      </c>
      <c r="F2155" s="336">
        <v>4.24</v>
      </c>
      <c r="G2155" s="411">
        <f t="shared" si="242"/>
        <v>0.12999999999999989</v>
      </c>
      <c r="I2155" s="313"/>
      <c r="J2155" s="314"/>
      <c r="K2155" s="129"/>
      <c r="L2155" s="403">
        <f t="shared" si="243"/>
        <v>45953</v>
      </c>
      <c r="M2155" s="56" t="str">
        <f t="shared" si="244"/>
        <v>THU</v>
      </c>
      <c r="O2155" s="383">
        <f t="shared" si="247"/>
        <v>1</v>
      </c>
      <c r="P2155" s="392">
        <f t="shared" si="246"/>
        <v>1.0001177777777779</v>
      </c>
    </row>
    <row r="2156" spans="1:16">
      <c r="A2156" s="71"/>
      <c r="B2156" s="176"/>
      <c r="C2156" s="403">
        <f t="shared" si="245"/>
        <v>45954</v>
      </c>
      <c r="D2156" s="56" t="str">
        <f>VLOOKUP(MOD(C2156,7),'CALENDAR INFO'!$G$5:$H$11,2)</f>
        <v>FRI</v>
      </c>
      <c r="E2156" s="165">
        <v>4.1100000000000003</v>
      </c>
      <c r="F2156" s="336">
        <v>4.24</v>
      </c>
      <c r="G2156" s="411">
        <f t="shared" si="242"/>
        <v>0.12999999999999989</v>
      </c>
      <c r="I2156" s="115"/>
      <c r="J2156" s="159"/>
      <c r="K2156" s="129"/>
      <c r="L2156" s="403">
        <f t="shared" si="243"/>
        <v>45954</v>
      </c>
      <c r="M2156" s="56" t="str">
        <f t="shared" si="244"/>
        <v>FRI</v>
      </c>
      <c r="O2156" s="383">
        <f t="shared" si="247"/>
        <v>3</v>
      </c>
      <c r="P2156" s="392">
        <f t="shared" si="246"/>
        <v>1.0003533333333334</v>
      </c>
    </row>
    <row r="2157" spans="1:16">
      <c r="A2157" s="71"/>
      <c r="B2157" s="176"/>
      <c r="C2157" s="403">
        <f t="shared" si="245"/>
        <v>45955</v>
      </c>
      <c r="D2157" s="56" t="str">
        <f>VLOOKUP(MOD(C2157,7),'CALENDAR INFO'!$G$5:$H$11,2)</f>
        <v>SAT</v>
      </c>
      <c r="E2157" s="165">
        <v>4.1100000000000003</v>
      </c>
      <c r="F2157" s="336">
        <v>4.24</v>
      </c>
      <c r="G2157" s="411">
        <f t="shared" si="242"/>
        <v>0.12999999999999989</v>
      </c>
      <c r="I2157" s="137"/>
      <c r="J2157" s="150"/>
      <c r="K2157" s="129"/>
      <c r="L2157" s="403">
        <f t="shared" si="243"/>
        <v>45955</v>
      </c>
      <c r="M2157" s="56" t="str">
        <f t="shared" si="244"/>
        <v>SAT</v>
      </c>
      <c r="O2157" s="383">
        <f t="shared" si="247"/>
        <v>0</v>
      </c>
      <c r="P2157" s="392">
        <f t="shared" si="246"/>
        <v>1</v>
      </c>
    </row>
    <row r="2158" spans="1:16">
      <c r="A2158" s="71"/>
      <c r="B2158" s="176"/>
      <c r="C2158" s="403">
        <f t="shared" si="245"/>
        <v>45956</v>
      </c>
      <c r="D2158" s="56" t="str">
        <f>VLOOKUP(MOD(C2158,7),'CALENDAR INFO'!$G$5:$H$11,2)</f>
        <v>SUN</v>
      </c>
      <c r="E2158" s="165">
        <v>4.1100000000000003</v>
      </c>
      <c r="F2158" s="336">
        <v>4.24</v>
      </c>
      <c r="G2158" s="411">
        <f t="shared" si="242"/>
        <v>0.12999999999999989</v>
      </c>
      <c r="I2158" s="137"/>
      <c r="J2158" s="150"/>
      <c r="K2158" s="129"/>
      <c r="L2158" s="403">
        <f t="shared" si="243"/>
        <v>45956</v>
      </c>
      <c r="M2158" s="56" t="str">
        <f t="shared" si="244"/>
        <v>SUN</v>
      </c>
      <c r="O2158" s="383">
        <f t="shared" si="247"/>
        <v>0</v>
      </c>
      <c r="P2158" s="392">
        <f t="shared" si="246"/>
        <v>1</v>
      </c>
    </row>
    <row r="2159" spans="1:16">
      <c r="A2159" s="71"/>
      <c r="B2159" s="176"/>
      <c r="C2159" s="403">
        <f t="shared" si="245"/>
        <v>45957</v>
      </c>
      <c r="D2159" s="56" t="str">
        <f>VLOOKUP(MOD(C2159,7),'CALENDAR INFO'!$G$5:$H$11,2)</f>
        <v>MON</v>
      </c>
      <c r="E2159" s="165">
        <v>4.12</v>
      </c>
      <c r="F2159" s="336">
        <v>4.2699999999999996</v>
      </c>
      <c r="G2159" s="411">
        <f t="shared" si="242"/>
        <v>0.14999999999999947</v>
      </c>
      <c r="I2159" s="171"/>
      <c r="J2159" s="172"/>
      <c r="K2159" s="129"/>
      <c r="L2159" s="403">
        <f t="shared" si="243"/>
        <v>45957</v>
      </c>
      <c r="M2159" s="56" t="str">
        <f t="shared" si="244"/>
        <v>MON</v>
      </c>
      <c r="O2159" s="383">
        <f t="shared" si="247"/>
        <v>1</v>
      </c>
      <c r="P2159" s="392">
        <f t="shared" si="246"/>
        <v>1.0001186111111111</v>
      </c>
    </row>
    <row r="2160" spans="1:16">
      <c r="A2160" s="71"/>
      <c r="B2160" s="176"/>
      <c r="C2160" s="403">
        <f t="shared" si="245"/>
        <v>45958</v>
      </c>
      <c r="D2160" s="56" t="str">
        <f>VLOOKUP(MOD(C2160,7),'CALENDAR INFO'!$G$5:$H$11,2)</f>
        <v>TUE</v>
      </c>
      <c r="E2160" s="165">
        <v>4.12</v>
      </c>
      <c r="F2160" s="336">
        <v>4.3099999999999996</v>
      </c>
      <c r="G2160" s="411">
        <f t="shared" si="242"/>
        <v>0.1899999999999995</v>
      </c>
      <c r="I2160" s="137"/>
      <c r="J2160" s="150"/>
      <c r="K2160" s="129"/>
      <c r="L2160" s="403">
        <f t="shared" si="243"/>
        <v>45958</v>
      </c>
      <c r="M2160" s="56" t="str">
        <f t="shared" si="244"/>
        <v>TUE</v>
      </c>
      <c r="N2160" s="116" t="s">
        <v>20</v>
      </c>
      <c r="O2160" s="383">
        <f t="shared" si="247"/>
        <v>1</v>
      </c>
      <c r="P2160" s="392">
        <f t="shared" si="246"/>
        <v>1.0001197222222222</v>
      </c>
    </row>
    <row r="2161" spans="1:16">
      <c r="A2161" s="71"/>
      <c r="B2161" s="176"/>
      <c r="C2161" s="403">
        <f t="shared" si="245"/>
        <v>45959</v>
      </c>
      <c r="D2161" s="56" t="str">
        <f>VLOOKUP(MOD(C2161,7),'CALENDAR INFO'!$G$5:$H$11,2)</f>
        <v>WED</v>
      </c>
      <c r="E2161" s="165">
        <v>4.12</v>
      </c>
      <c r="F2161" s="336">
        <v>4.2699999999999996</v>
      </c>
      <c r="G2161" s="411">
        <f t="shared" si="242"/>
        <v>0.14999999999999947</v>
      </c>
      <c r="K2161" s="129" t="s">
        <v>19</v>
      </c>
      <c r="L2161" s="403">
        <f t="shared" si="243"/>
        <v>45959</v>
      </c>
      <c r="M2161" s="56" t="str">
        <f t="shared" si="244"/>
        <v>WED</v>
      </c>
      <c r="N2161" s="116" t="s">
        <v>20</v>
      </c>
      <c r="O2161" s="383">
        <f t="shared" si="247"/>
        <v>1</v>
      </c>
      <c r="P2161" s="392">
        <f t="shared" si="246"/>
        <v>1.0001186111111111</v>
      </c>
    </row>
    <row r="2162" spans="1:16">
      <c r="A2162" s="238"/>
      <c r="B2162" s="239"/>
      <c r="C2162" s="403">
        <f t="shared" si="245"/>
        <v>45960</v>
      </c>
      <c r="D2162" s="56" t="str">
        <f>VLOOKUP(MOD(C2162,7),'CALENDAR INFO'!$G$5:$H$11,2)</f>
        <v>THU</v>
      </c>
      <c r="E2162" s="165">
        <v>3.87</v>
      </c>
      <c r="F2162" s="336">
        <v>4.04</v>
      </c>
      <c r="G2162" s="411">
        <f t="shared" si="242"/>
        <v>0.16999999999999993</v>
      </c>
      <c r="K2162" s="126" t="s">
        <v>18</v>
      </c>
      <c r="L2162" s="403">
        <f t="shared" si="243"/>
        <v>45960</v>
      </c>
      <c r="M2162" s="56" t="str">
        <f t="shared" si="244"/>
        <v>THU</v>
      </c>
      <c r="O2162" s="383">
        <f t="shared" si="247"/>
        <v>1</v>
      </c>
      <c r="P2162" s="392">
        <f t="shared" si="246"/>
        <v>1.0001122222222223</v>
      </c>
    </row>
    <row r="2163" spans="1:16" ht="15.75" thickBot="1">
      <c r="A2163" s="316"/>
      <c r="B2163" s="317"/>
      <c r="C2163" s="404">
        <f t="shared" si="245"/>
        <v>45961</v>
      </c>
      <c r="D2163" s="64" t="str">
        <f>VLOOKUP(MOD(C2163,7),'CALENDAR INFO'!$G$5:$H$11,2)</f>
        <v>FRI</v>
      </c>
      <c r="E2163" s="166">
        <v>3.86</v>
      </c>
      <c r="F2163" s="337">
        <v>4.22</v>
      </c>
      <c r="G2163" s="412">
        <f t="shared" si="242"/>
        <v>0.35999999999999988</v>
      </c>
      <c r="H2163" s="274"/>
      <c r="I2163" s="274"/>
      <c r="J2163" s="275"/>
      <c r="K2163" s="77"/>
      <c r="L2163" s="404">
        <f t="shared" si="243"/>
        <v>45961</v>
      </c>
      <c r="M2163" s="64" t="str">
        <f t="shared" si="244"/>
        <v>FRI</v>
      </c>
      <c r="N2163" s="90"/>
      <c r="O2163" s="382">
        <f t="shared" si="247"/>
        <v>3</v>
      </c>
      <c r="P2163" s="388">
        <f t="shared" si="246"/>
        <v>1.0003516666666668</v>
      </c>
    </row>
    <row r="2164" spans="1:16">
      <c r="A2164" s="238"/>
      <c r="B2164" s="232"/>
      <c r="C2164" s="403">
        <f t="shared" si="245"/>
        <v>45962</v>
      </c>
      <c r="D2164" s="56" t="str">
        <f>VLOOKUP(MOD(C2164,7),'CALENDAR INFO'!$G$5:$H$11,2)</f>
        <v>SAT</v>
      </c>
      <c r="E2164" s="165">
        <v>3.86</v>
      </c>
      <c r="F2164" s="336">
        <v>4.22</v>
      </c>
      <c r="G2164" s="411">
        <f t="shared" si="242"/>
        <v>0.35999999999999988</v>
      </c>
      <c r="H2164" s="15" t="s">
        <v>149</v>
      </c>
      <c r="I2164" s="15">
        <f>ROW(I2164)</f>
        <v>2164</v>
      </c>
      <c r="J2164" s="138">
        <f>I2164</f>
        <v>2164</v>
      </c>
      <c r="K2164" s="126"/>
      <c r="L2164" s="403">
        <f t="shared" si="243"/>
        <v>45962</v>
      </c>
      <c r="M2164" s="56" t="str">
        <f t="shared" si="244"/>
        <v>SAT</v>
      </c>
      <c r="O2164" s="383">
        <f t="shared" si="247"/>
        <v>0</v>
      </c>
      <c r="P2164" s="392">
        <f t="shared" si="246"/>
        <v>1</v>
      </c>
    </row>
    <row r="2165" spans="1:16">
      <c r="B2165" s="41"/>
      <c r="C2165" s="403">
        <f t="shared" si="245"/>
        <v>45963</v>
      </c>
      <c r="D2165" s="56" t="str">
        <f>VLOOKUP(MOD(C2165,7),'CALENDAR INFO'!$G$5:$H$11,2)</f>
        <v>SUN</v>
      </c>
      <c r="E2165" s="165">
        <v>3.86</v>
      </c>
      <c r="F2165" s="336">
        <v>4.22</v>
      </c>
      <c r="G2165" s="411">
        <f t="shared" si="242"/>
        <v>0.35999999999999988</v>
      </c>
      <c r="H2165" s="376" t="s">
        <v>210</v>
      </c>
      <c r="I2165" s="15">
        <f>VLOOKUP(MONTH($C2164),'CALENDAR INFO'!$J$5:$K$16,2)</f>
        <v>30</v>
      </c>
      <c r="J2165" s="138">
        <f>I2165</f>
        <v>30</v>
      </c>
      <c r="K2165" s="126"/>
      <c r="L2165" s="403">
        <f t="shared" si="243"/>
        <v>45963</v>
      </c>
      <c r="M2165" s="56" t="str">
        <f t="shared" si="244"/>
        <v>SUN</v>
      </c>
      <c r="O2165" s="383">
        <f t="shared" si="247"/>
        <v>0</v>
      </c>
      <c r="P2165" s="392">
        <f t="shared" si="246"/>
        <v>1</v>
      </c>
    </row>
    <row r="2166" spans="1:16">
      <c r="B2166" s="41"/>
      <c r="C2166" s="403">
        <f t="shared" si="245"/>
        <v>45964</v>
      </c>
      <c r="D2166" s="56" t="str">
        <f>VLOOKUP(MOD(C2166,7),'CALENDAR INFO'!$G$5:$H$11,2)</f>
        <v>MON</v>
      </c>
      <c r="E2166" s="165">
        <v>3.87</v>
      </c>
      <c r="F2166" s="336">
        <v>4.13</v>
      </c>
      <c r="G2166" s="411">
        <f t="shared" si="242"/>
        <v>0.25999999999999979</v>
      </c>
      <c r="H2166" s="376" t="s">
        <v>211</v>
      </c>
      <c r="I2166" s="15">
        <f>I2165+I2164-1</f>
        <v>2193</v>
      </c>
      <c r="J2166" s="138">
        <f>I2166</f>
        <v>2193</v>
      </c>
      <c r="K2166" s="126"/>
      <c r="L2166" s="403">
        <f t="shared" si="243"/>
        <v>45964</v>
      </c>
      <c r="M2166" s="56" t="str">
        <f t="shared" si="244"/>
        <v>MON</v>
      </c>
      <c r="O2166" s="383">
        <f t="shared" si="247"/>
        <v>1</v>
      </c>
      <c r="P2166" s="392">
        <f t="shared" si="246"/>
        <v>1.0001147222222222</v>
      </c>
    </row>
    <row r="2167" spans="1:16">
      <c r="B2167" s="41"/>
      <c r="C2167" s="403">
        <f t="shared" si="245"/>
        <v>45965</v>
      </c>
      <c r="D2167" s="56" t="str">
        <f>VLOOKUP(MOD(C2167,7),'CALENDAR INFO'!$G$5:$H$11,2)</f>
        <v>TUE</v>
      </c>
      <c r="E2167" s="165">
        <v>3.87</v>
      </c>
      <c r="F2167" s="336">
        <v>4</v>
      </c>
      <c r="G2167" s="411">
        <f t="shared" si="242"/>
        <v>0.12999999999999989</v>
      </c>
      <c r="K2167" s="126"/>
      <c r="L2167" s="403">
        <f t="shared" si="243"/>
        <v>45965</v>
      </c>
      <c r="M2167" s="56" t="str">
        <f t="shared" si="244"/>
        <v>TUE</v>
      </c>
      <c r="O2167" s="383">
        <f t="shared" si="247"/>
        <v>1</v>
      </c>
      <c r="P2167" s="392">
        <f t="shared" si="246"/>
        <v>1.0001111111111112</v>
      </c>
    </row>
    <row r="2168" spans="1:16">
      <c r="B2168" s="41"/>
      <c r="C2168" s="403">
        <f t="shared" si="245"/>
        <v>45966</v>
      </c>
      <c r="D2168" s="56" t="str">
        <f>VLOOKUP(MOD(C2168,7),'CALENDAR INFO'!$G$5:$H$11,2)</f>
        <v>WED</v>
      </c>
      <c r="E2168" s="165">
        <v>3.87</v>
      </c>
      <c r="F2168" s="336">
        <v>3.91</v>
      </c>
      <c r="G2168" s="411">
        <f t="shared" si="242"/>
        <v>4.0000000000000036E-2</v>
      </c>
      <c r="H2168" s="15" t="s">
        <v>150</v>
      </c>
      <c r="I2168" s="137" t="str">
        <f>_xlfn.CONCAT(ADDRESS(I2164,5),":",ADDRESS(I2166,5))</f>
        <v>$E$2164:$E$2193</v>
      </c>
      <c r="J2168" s="150" t="str">
        <f>_xlfn.CONCAT(ADDRESS(J2164,6),":",ADDRESS(J2166,6))</f>
        <v>$F$2164:$F$2193</v>
      </c>
      <c r="K2168" s="126"/>
      <c r="L2168" s="403">
        <f t="shared" si="243"/>
        <v>45966</v>
      </c>
      <c r="M2168" s="56" t="str">
        <f t="shared" si="244"/>
        <v>WED</v>
      </c>
      <c r="O2168" s="383">
        <f t="shared" si="247"/>
        <v>1</v>
      </c>
      <c r="P2168" s="392">
        <f t="shared" si="246"/>
        <v>1.000108611111111</v>
      </c>
    </row>
    <row r="2169" spans="1:16">
      <c r="B2169" s="41"/>
      <c r="C2169" s="403">
        <f t="shared" si="245"/>
        <v>45967</v>
      </c>
      <c r="D2169" s="56" t="str">
        <f>VLOOKUP(MOD(C2169,7),'CALENDAR INFO'!$G$5:$H$11,2)</f>
        <v>THU</v>
      </c>
      <c r="E2169" s="165">
        <v>3.87</v>
      </c>
      <c r="F2169" s="336">
        <v>3.92</v>
      </c>
      <c r="G2169" s="411">
        <f t="shared" si="242"/>
        <v>4.9999999999999822E-2</v>
      </c>
      <c r="K2169" s="126"/>
      <c r="L2169" s="403">
        <f t="shared" si="243"/>
        <v>45967</v>
      </c>
      <c r="M2169" s="56" t="str">
        <f t="shared" si="244"/>
        <v>THU</v>
      </c>
      <c r="O2169" s="383">
        <f t="shared" si="247"/>
        <v>1</v>
      </c>
      <c r="P2169" s="392">
        <f t="shared" si="246"/>
        <v>1.0001088888888889</v>
      </c>
    </row>
    <row r="2170" spans="1:16">
      <c r="B2170" s="41"/>
      <c r="C2170" s="403">
        <f t="shared" si="245"/>
        <v>45968</v>
      </c>
      <c r="D2170" s="56" t="str">
        <f>VLOOKUP(MOD(C2170,7),'CALENDAR INFO'!$G$5:$H$11,2)</f>
        <v>FRI</v>
      </c>
      <c r="E2170" s="165">
        <v>3.87</v>
      </c>
      <c r="F2170" s="336">
        <v>3.93</v>
      </c>
      <c r="G2170" s="411">
        <f t="shared" si="242"/>
        <v>6.0000000000000053E-2</v>
      </c>
      <c r="H2170" s="376" t="s">
        <v>221</v>
      </c>
      <c r="I2170" s="147">
        <f ca="1">AVERAGE(INDIRECT(I2168))</f>
        <v>3.8763333333333323</v>
      </c>
      <c r="J2170" s="326">
        <f ca="1">AVERAGE(INDIRECT(J2168))</f>
        <v>3.9966666666666679</v>
      </c>
      <c r="K2170" s="126"/>
      <c r="L2170" s="403">
        <f t="shared" si="243"/>
        <v>45968</v>
      </c>
      <c r="M2170" s="56" t="str">
        <f t="shared" si="244"/>
        <v>FRI</v>
      </c>
      <c r="O2170" s="253">
        <v>3</v>
      </c>
      <c r="P2170" s="392">
        <f t="shared" si="246"/>
        <v>1.0003275</v>
      </c>
    </row>
    <row r="2171" spans="1:16">
      <c r="B2171" s="41"/>
      <c r="C2171" s="403">
        <f t="shared" si="245"/>
        <v>45969</v>
      </c>
      <c r="D2171" s="56" t="str">
        <f>VLOOKUP(MOD(C2171,7),'CALENDAR INFO'!$G$5:$H$11,2)</f>
        <v>SAT</v>
      </c>
      <c r="E2171" s="165">
        <v>3.87</v>
      </c>
      <c r="F2171" s="336">
        <v>3.93</v>
      </c>
      <c r="G2171" s="411">
        <f t="shared" si="242"/>
        <v>6.0000000000000053E-2</v>
      </c>
      <c r="H2171" s="135"/>
      <c r="K2171" s="126"/>
      <c r="L2171" s="403">
        <f t="shared" si="243"/>
        <v>45969</v>
      </c>
      <c r="M2171" s="56" t="str">
        <f t="shared" si="244"/>
        <v>SAT</v>
      </c>
      <c r="O2171" s="253">
        <f>IF(MOD(C2171,7)&lt;2,0,IF(MOD(C2171,7)=6,3,1))</f>
        <v>0</v>
      </c>
      <c r="P2171" s="392">
        <f t="shared" si="246"/>
        <v>1</v>
      </c>
    </row>
    <row r="2172" spans="1:16">
      <c r="B2172" s="41"/>
      <c r="C2172" s="403">
        <f t="shared" si="245"/>
        <v>45970</v>
      </c>
      <c r="D2172" s="56" t="str">
        <f>VLOOKUP(MOD(C2172,7),'CALENDAR INFO'!$G$5:$H$11,2)</f>
        <v>SUN</v>
      </c>
      <c r="E2172" s="165">
        <v>3.87</v>
      </c>
      <c r="F2172" s="336">
        <v>3.93</v>
      </c>
      <c r="G2172" s="411">
        <f t="shared" si="242"/>
        <v>6.0000000000000053E-2</v>
      </c>
      <c r="H2172" s="15" t="s">
        <v>222</v>
      </c>
      <c r="I2172" s="147">
        <f ca="1">100-I2170</f>
        <v>96.123666666666665</v>
      </c>
      <c r="J2172" s="326">
        <f ca="1">100-J2170</f>
        <v>96.00333333333333</v>
      </c>
      <c r="K2172" s="126"/>
      <c r="L2172" s="403">
        <f t="shared" si="243"/>
        <v>45970</v>
      </c>
      <c r="M2172" s="56" t="str">
        <f t="shared" si="244"/>
        <v>SUN</v>
      </c>
      <c r="O2172" s="253">
        <f>IF(MOD(C2172,7)&lt;2,0,IF(MOD(C2172,7)=6,3,1))</f>
        <v>0</v>
      </c>
      <c r="P2172" s="392">
        <f t="shared" si="246"/>
        <v>1</v>
      </c>
    </row>
    <row r="2173" spans="1:16">
      <c r="B2173" s="41"/>
      <c r="C2173" s="403">
        <f t="shared" si="245"/>
        <v>45971</v>
      </c>
      <c r="D2173" s="56" t="str">
        <f>VLOOKUP(MOD(C2173,7),'CALENDAR INFO'!$G$5:$H$11,2)</f>
        <v>MON</v>
      </c>
      <c r="E2173" s="165">
        <v>3.87</v>
      </c>
      <c r="F2173" s="336">
        <v>3.95</v>
      </c>
      <c r="G2173" s="411">
        <f t="shared" si="242"/>
        <v>8.0000000000000071E-2</v>
      </c>
      <c r="I2173" s="137"/>
      <c r="J2173" s="150"/>
      <c r="K2173" s="126"/>
      <c r="L2173" s="403">
        <f t="shared" si="243"/>
        <v>45971</v>
      </c>
      <c r="M2173" s="56" t="str">
        <f t="shared" si="244"/>
        <v>MON</v>
      </c>
      <c r="O2173" s="384">
        <v>2</v>
      </c>
      <c r="P2173" s="392">
        <f t="shared" si="246"/>
        <v>1.0002194444444445</v>
      </c>
    </row>
    <row r="2174" spans="1:16">
      <c r="B2174" s="41"/>
      <c r="C2174" s="403">
        <f t="shared" si="245"/>
        <v>45972</v>
      </c>
      <c r="D2174" s="56" t="str">
        <f>VLOOKUP(MOD(C2174,7),'CALENDAR INFO'!$G$5:$H$11,2)</f>
        <v>TUE</v>
      </c>
      <c r="E2174" s="165">
        <v>3.87</v>
      </c>
      <c r="F2174" s="336">
        <v>3.95</v>
      </c>
      <c r="G2174" s="411">
        <f t="shared" si="242"/>
        <v>8.0000000000000071E-2</v>
      </c>
      <c r="I2174" s="171"/>
      <c r="J2174" s="172"/>
      <c r="K2174" s="126"/>
      <c r="L2174" s="403">
        <f t="shared" si="243"/>
        <v>45972</v>
      </c>
      <c r="M2174" s="56" t="str">
        <f t="shared" si="244"/>
        <v>TUE</v>
      </c>
      <c r="N2174" s="132" t="s">
        <v>108</v>
      </c>
      <c r="O2174" s="384">
        <v>0</v>
      </c>
      <c r="P2174" s="392">
        <f t="shared" si="246"/>
        <v>1</v>
      </c>
    </row>
    <row r="2175" spans="1:16">
      <c r="B2175" s="41"/>
      <c r="C2175" s="403">
        <f t="shared" si="245"/>
        <v>45973</v>
      </c>
      <c r="D2175" s="56" t="str">
        <f>VLOOKUP(MOD(C2175,7),'CALENDAR INFO'!$G$5:$H$11,2)</f>
        <v>WED</v>
      </c>
      <c r="E2175" s="165">
        <v>3.87</v>
      </c>
      <c r="F2175" s="336">
        <v>3.98</v>
      </c>
      <c r="G2175" s="411">
        <f t="shared" si="242"/>
        <v>0.10999999999999988</v>
      </c>
      <c r="I2175" s="171"/>
      <c r="J2175" s="172"/>
      <c r="K2175" s="126" t="s">
        <v>19</v>
      </c>
      <c r="L2175" s="403">
        <f t="shared" si="243"/>
        <v>45973</v>
      </c>
      <c r="M2175" s="56" t="str">
        <f t="shared" si="244"/>
        <v>WED</v>
      </c>
      <c r="O2175" s="253">
        <f t="shared" ref="O2175:O2188" si="248">IF(MOD(C2175,7)&lt;2,0,IF(MOD(C2175,7)=6,3,1))</f>
        <v>1</v>
      </c>
      <c r="P2175" s="392">
        <f t="shared" si="246"/>
        <v>1.0001105555555556</v>
      </c>
    </row>
    <row r="2176" spans="1:16">
      <c r="B2176" s="41"/>
      <c r="C2176" s="403">
        <f t="shared" si="245"/>
        <v>45974</v>
      </c>
      <c r="D2176" s="56" t="str">
        <f>VLOOKUP(MOD(C2176,7),'CALENDAR INFO'!$G$5:$H$11,2)</f>
        <v>THU</v>
      </c>
      <c r="E2176" s="165">
        <v>3.88</v>
      </c>
      <c r="F2176" s="336">
        <v>4</v>
      </c>
      <c r="G2176" s="411">
        <f t="shared" si="242"/>
        <v>0.12000000000000011</v>
      </c>
      <c r="I2176" s="171"/>
      <c r="J2176" s="172"/>
      <c r="K2176" s="129" t="s">
        <v>18</v>
      </c>
      <c r="L2176" s="403">
        <f t="shared" si="243"/>
        <v>45974</v>
      </c>
      <c r="M2176" s="56" t="str">
        <f t="shared" si="244"/>
        <v>THU</v>
      </c>
      <c r="O2176" s="383">
        <f t="shared" si="248"/>
        <v>1</v>
      </c>
      <c r="P2176" s="392">
        <f t="shared" si="246"/>
        <v>1.0001111111111112</v>
      </c>
    </row>
    <row r="2177" spans="2:16">
      <c r="B2177" s="41"/>
      <c r="C2177" s="403">
        <f t="shared" si="245"/>
        <v>45975</v>
      </c>
      <c r="D2177" s="56" t="str">
        <f>VLOOKUP(MOD(C2177,7),'CALENDAR INFO'!$G$5:$H$11,2)</f>
        <v>FRI</v>
      </c>
      <c r="E2177" s="165">
        <v>3.88</v>
      </c>
      <c r="F2177" s="336">
        <v>3.95</v>
      </c>
      <c r="G2177" s="411">
        <f t="shared" si="242"/>
        <v>7.0000000000000284E-2</v>
      </c>
      <c r="I2177" s="137"/>
      <c r="J2177" s="150"/>
      <c r="K2177" s="129"/>
      <c r="L2177" s="403">
        <f t="shared" si="243"/>
        <v>45975</v>
      </c>
      <c r="M2177" s="56" t="str">
        <f t="shared" si="244"/>
        <v>FRI</v>
      </c>
      <c r="O2177" s="383">
        <f t="shared" si="248"/>
        <v>3</v>
      </c>
      <c r="P2177" s="392">
        <f t="shared" si="246"/>
        <v>1.0003291666666667</v>
      </c>
    </row>
    <row r="2178" spans="2:16">
      <c r="B2178" s="41"/>
      <c r="C2178" s="403">
        <f t="shared" si="245"/>
        <v>45976</v>
      </c>
      <c r="D2178" s="56" t="str">
        <f>VLOOKUP(MOD(C2178,7),'CALENDAR INFO'!$G$5:$H$11,2)</f>
        <v>SAT</v>
      </c>
      <c r="E2178" s="165">
        <v>3.88</v>
      </c>
      <c r="F2178" s="336">
        <v>3.95</v>
      </c>
      <c r="G2178" s="411">
        <f t="shared" si="242"/>
        <v>7.0000000000000284E-2</v>
      </c>
      <c r="K2178" s="129"/>
      <c r="L2178" s="403">
        <f t="shared" si="243"/>
        <v>45976</v>
      </c>
      <c r="M2178" s="56" t="str">
        <f t="shared" si="244"/>
        <v>SAT</v>
      </c>
      <c r="O2178" s="383">
        <f t="shared" si="248"/>
        <v>0</v>
      </c>
      <c r="P2178" s="392">
        <f t="shared" si="246"/>
        <v>1</v>
      </c>
    </row>
    <row r="2179" spans="2:16">
      <c r="B2179" s="41"/>
      <c r="C2179" s="403">
        <f t="shared" si="245"/>
        <v>45977</v>
      </c>
      <c r="D2179" s="56" t="str">
        <f>VLOOKUP(MOD(C2179,7),'CALENDAR INFO'!$G$5:$H$11,2)</f>
        <v>SUN</v>
      </c>
      <c r="E2179" s="165">
        <v>3.88</v>
      </c>
      <c r="F2179" s="336">
        <v>3.95</v>
      </c>
      <c r="G2179" s="411">
        <f t="shared" ref="G2179:G2242" si="249">F2179-E2179</f>
        <v>7.0000000000000284E-2</v>
      </c>
      <c r="I2179" s="137"/>
      <c r="J2179" s="150"/>
      <c r="K2179" s="129"/>
      <c r="L2179" s="403">
        <f t="shared" ref="L2179:L2242" si="250">C2179</f>
        <v>45977</v>
      </c>
      <c r="M2179" s="56" t="str">
        <f t="shared" ref="M2179:M2242" si="251">D2179</f>
        <v>SUN</v>
      </c>
      <c r="O2179" s="383">
        <f t="shared" si="248"/>
        <v>0</v>
      </c>
      <c r="P2179" s="392">
        <f t="shared" si="246"/>
        <v>1</v>
      </c>
    </row>
    <row r="2180" spans="2:16">
      <c r="B2180" s="41"/>
      <c r="C2180" s="403">
        <f t="shared" ref="C2180:C2243" si="252">C2179+1</f>
        <v>45978</v>
      </c>
      <c r="D2180" s="56" t="str">
        <f>VLOOKUP(MOD(C2180,7),'CALENDAR INFO'!$G$5:$H$11,2)</f>
        <v>MON</v>
      </c>
      <c r="E2180" s="165">
        <v>3.88</v>
      </c>
      <c r="F2180" s="336">
        <v>4</v>
      </c>
      <c r="G2180" s="411">
        <f t="shared" si="249"/>
        <v>0.12000000000000011</v>
      </c>
      <c r="I2180" s="137"/>
      <c r="J2180" s="150"/>
      <c r="K2180" s="129"/>
      <c r="L2180" s="403">
        <f t="shared" si="250"/>
        <v>45978</v>
      </c>
      <c r="M2180" s="56" t="str">
        <f t="shared" si="251"/>
        <v>MON</v>
      </c>
      <c r="O2180" s="383">
        <f t="shared" si="248"/>
        <v>1</v>
      </c>
      <c r="P2180" s="392">
        <f t="shared" si="246"/>
        <v>1.0001111111111112</v>
      </c>
    </row>
    <row r="2181" spans="2:16">
      <c r="B2181" s="41"/>
      <c r="C2181" s="403">
        <f t="shared" si="252"/>
        <v>45979</v>
      </c>
      <c r="D2181" s="56" t="str">
        <f>VLOOKUP(MOD(C2181,7),'CALENDAR INFO'!$G$5:$H$11,2)</f>
        <v>TUE</v>
      </c>
      <c r="E2181" s="165">
        <v>3.88</v>
      </c>
      <c r="F2181" s="336">
        <v>3.94</v>
      </c>
      <c r="G2181" s="411">
        <f t="shared" si="249"/>
        <v>6.0000000000000053E-2</v>
      </c>
      <c r="I2181" s="311"/>
      <c r="J2181" s="312"/>
      <c r="K2181" s="129"/>
      <c r="L2181" s="403">
        <f t="shared" si="250"/>
        <v>45979</v>
      </c>
      <c r="M2181" s="56" t="str">
        <f t="shared" si="251"/>
        <v>TUE</v>
      </c>
      <c r="O2181" s="383">
        <f t="shared" si="248"/>
        <v>1</v>
      </c>
      <c r="P2181" s="392">
        <f t="shared" si="246"/>
        <v>1.0001094444444445</v>
      </c>
    </row>
    <row r="2182" spans="2:16">
      <c r="B2182" s="41"/>
      <c r="C2182" s="403">
        <f t="shared" si="252"/>
        <v>45980</v>
      </c>
      <c r="D2182" s="56" t="str">
        <f>VLOOKUP(MOD(C2182,7),'CALENDAR INFO'!$G$5:$H$11,2)</f>
        <v>WED</v>
      </c>
      <c r="E2182" s="165">
        <v>3.88</v>
      </c>
      <c r="F2182" s="336">
        <v>3.91</v>
      </c>
      <c r="G2182" s="411">
        <f t="shared" si="249"/>
        <v>3.0000000000000249E-2</v>
      </c>
      <c r="I2182" s="115"/>
      <c r="J2182" s="158"/>
      <c r="K2182" s="129"/>
      <c r="L2182" s="403">
        <f t="shared" si="250"/>
        <v>45980</v>
      </c>
      <c r="M2182" s="56" t="str">
        <f t="shared" si="251"/>
        <v>WED</v>
      </c>
      <c r="O2182" s="383">
        <f t="shared" si="248"/>
        <v>1</v>
      </c>
      <c r="P2182" s="392">
        <f t="shared" si="246"/>
        <v>1.000108611111111</v>
      </c>
    </row>
    <row r="2183" spans="2:16">
      <c r="B2183" s="41"/>
      <c r="C2183" s="403">
        <f t="shared" si="252"/>
        <v>45981</v>
      </c>
      <c r="D2183" s="56" t="str">
        <f>VLOOKUP(MOD(C2183,7),'CALENDAR INFO'!$G$5:$H$11,2)</f>
        <v>THU</v>
      </c>
      <c r="E2183" s="165">
        <v>3.88</v>
      </c>
      <c r="F2183" s="336">
        <v>3.91</v>
      </c>
      <c r="G2183" s="411">
        <f t="shared" si="249"/>
        <v>3.0000000000000249E-2</v>
      </c>
      <c r="I2183" s="137"/>
      <c r="J2183" s="150"/>
      <c r="K2183" s="129"/>
      <c r="L2183" s="403">
        <f t="shared" si="250"/>
        <v>45981</v>
      </c>
      <c r="M2183" s="56" t="str">
        <f t="shared" si="251"/>
        <v>THU</v>
      </c>
      <c r="O2183" s="383">
        <f t="shared" si="248"/>
        <v>1</v>
      </c>
      <c r="P2183" s="392">
        <f t="shared" si="246"/>
        <v>1.000108611111111</v>
      </c>
    </row>
    <row r="2184" spans="2:16">
      <c r="B2184" s="41"/>
      <c r="C2184" s="403">
        <f t="shared" si="252"/>
        <v>45982</v>
      </c>
      <c r="D2184" s="56" t="str">
        <f>VLOOKUP(MOD(C2184,7),'CALENDAR INFO'!$G$5:$H$11,2)</f>
        <v>FRI</v>
      </c>
      <c r="E2184" s="165">
        <v>3.88</v>
      </c>
      <c r="F2184" s="336">
        <v>3.93</v>
      </c>
      <c r="G2184" s="411">
        <f t="shared" si="249"/>
        <v>5.0000000000000266E-2</v>
      </c>
      <c r="K2184" s="129"/>
      <c r="L2184" s="403">
        <f t="shared" si="250"/>
        <v>45982</v>
      </c>
      <c r="M2184" s="56" t="str">
        <f t="shared" si="251"/>
        <v>FRI</v>
      </c>
      <c r="O2184" s="383">
        <f t="shared" si="248"/>
        <v>3</v>
      </c>
      <c r="P2184" s="392">
        <f t="shared" si="246"/>
        <v>1.0003275</v>
      </c>
    </row>
    <row r="2185" spans="2:16">
      <c r="B2185" s="41"/>
      <c r="C2185" s="403">
        <f t="shared" si="252"/>
        <v>45983</v>
      </c>
      <c r="D2185" s="56" t="str">
        <f>VLOOKUP(MOD(C2185,7),'CALENDAR INFO'!$G$5:$H$11,2)</f>
        <v>SAT</v>
      </c>
      <c r="E2185" s="165">
        <v>3.88</v>
      </c>
      <c r="F2185" s="336">
        <v>3.93</v>
      </c>
      <c r="G2185" s="411">
        <f t="shared" si="249"/>
        <v>5.0000000000000266E-2</v>
      </c>
      <c r="K2185" s="129"/>
      <c r="L2185" s="403">
        <f t="shared" si="250"/>
        <v>45983</v>
      </c>
      <c r="M2185" s="56" t="str">
        <f t="shared" si="251"/>
        <v>SAT</v>
      </c>
      <c r="O2185" s="383">
        <f t="shared" si="248"/>
        <v>0</v>
      </c>
      <c r="P2185" s="392">
        <f t="shared" si="246"/>
        <v>1</v>
      </c>
    </row>
    <row r="2186" spans="2:16">
      <c r="B2186" s="41"/>
      <c r="C2186" s="403">
        <f t="shared" si="252"/>
        <v>45984</v>
      </c>
      <c r="D2186" s="56" t="str">
        <f>VLOOKUP(MOD(C2186,7),'CALENDAR INFO'!$G$5:$H$11,2)</f>
        <v>SUN</v>
      </c>
      <c r="E2186" s="165">
        <v>3.88</v>
      </c>
      <c r="F2186" s="336">
        <v>3.93</v>
      </c>
      <c r="G2186" s="411">
        <f t="shared" si="249"/>
        <v>5.0000000000000266E-2</v>
      </c>
      <c r="I2186" s="313"/>
      <c r="J2186" s="314"/>
      <c r="K2186" s="129"/>
      <c r="L2186" s="403">
        <f t="shared" si="250"/>
        <v>45984</v>
      </c>
      <c r="M2186" s="56" t="str">
        <f t="shared" si="251"/>
        <v>SUN</v>
      </c>
      <c r="O2186" s="383">
        <f t="shared" si="248"/>
        <v>0</v>
      </c>
      <c r="P2186" s="392">
        <f t="shared" si="246"/>
        <v>1</v>
      </c>
    </row>
    <row r="2187" spans="2:16">
      <c r="B2187" s="41"/>
      <c r="C2187" s="403">
        <f t="shared" si="252"/>
        <v>45985</v>
      </c>
      <c r="D2187" s="56" t="str">
        <f>VLOOKUP(MOD(C2187,7),'CALENDAR INFO'!$G$5:$H$11,2)</f>
        <v>MON</v>
      </c>
      <c r="E2187" s="165">
        <v>3.88</v>
      </c>
      <c r="F2187" s="336">
        <v>3.96</v>
      </c>
      <c r="G2187" s="411">
        <f t="shared" si="249"/>
        <v>8.0000000000000071E-2</v>
      </c>
      <c r="I2187" s="115"/>
      <c r="J2187" s="159"/>
      <c r="K2187" s="129"/>
      <c r="L2187" s="403">
        <f t="shared" si="250"/>
        <v>45985</v>
      </c>
      <c r="M2187" s="56" t="str">
        <f t="shared" si="251"/>
        <v>MON</v>
      </c>
      <c r="O2187" s="383">
        <f t="shared" si="248"/>
        <v>1</v>
      </c>
      <c r="P2187" s="392">
        <f t="shared" si="246"/>
        <v>1.0001100000000001</v>
      </c>
    </row>
    <row r="2188" spans="2:16">
      <c r="B2188" s="41"/>
      <c r="C2188" s="403">
        <f t="shared" si="252"/>
        <v>45986</v>
      </c>
      <c r="D2188" s="56" t="str">
        <f>VLOOKUP(MOD(C2188,7),'CALENDAR INFO'!$G$5:$H$11,2)</f>
        <v>TUE</v>
      </c>
      <c r="E2188" s="165">
        <v>3.88</v>
      </c>
      <c r="F2188" s="336">
        <v>4.01</v>
      </c>
      <c r="G2188" s="411">
        <f t="shared" si="249"/>
        <v>0.12999999999999989</v>
      </c>
      <c r="I2188" s="137"/>
      <c r="J2188" s="150"/>
      <c r="K2188" s="129"/>
      <c r="L2188" s="403">
        <f t="shared" si="250"/>
        <v>45986</v>
      </c>
      <c r="M2188" s="56" t="str">
        <f t="shared" si="251"/>
        <v>TUE</v>
      </c>
      <c r="O2188" s="383">
        <f t="shared" si="248"/>
        <v>1</v>
      </c>
      <c r="P2188" s="392">
        <f t="shared" si="246"/>
        <v>1.0001113888888888</v>
      </c>
    </row>
    <row r="2189" spans="2:16">
      <c r="B2189" s="41"/>
      <c r="C2189" s="403">
        <f t="shared" si="252"/>
        <v>45987</v>
      </c>
      <c r="D2189" s="56" t="str">
        <f>VLOOKUP(MOD(C2189,7),'CALENDAR INFO'!$G$5:$H$11,2)</f>
        <v>WED</v>
      </c>
      <c r="E2189" s="165">
        <v>3.88</v>
      </c>
      <c r="F2189" s="336">
        <v>4.05</v>
      </c>
      <c r="G2189" s="411">
        <f t="shared" si="249"/>
        <v>0.16999999999999993</v>
      </c>
      <c r="I2189" s="137"/>
      <c r="J2189" s="150"/>
      <c r="K2189" s="129" t="s">
        <v>19</v>
      </c>
      <c r="L2189" s="403">
        <f t="shared" si="250"/>
        <v>45987</v>
      </c>
      <c r="M2189" s="56" t="str">
        <f t="shared" si="251"/>
        <v>WED</v>
      </c>
      <c r="O2189" s="384">
        <v>2</v>
      </c>
      <c r="P2189" s="392">
        <f t="shared" si="246"/>
        <v>1.0002249999999999</v>
      </c>
    </row>
    <row r="2190" spans="2:16">
      <c r="B2190" s="41"/>
      <c r="C2190" s="403">
        <f t="shared" si="252"/>
        <v>45988</v>
      </c>
      <c r="D2190" s="56" t="str">
        <f>VLOOKUP(MOD(C2190,7),'CALENDAR INFO'!$G$5:$H$11,2)</f>
        <v>THU</v>
      </c>
      <c r="E2190" s="165">
        <v>3.88</v>
      </c>
      <c r="F2190" s="336">
        <v>4.05</v>
      </c>
      <c r="G2190" s="411">
        <f t="shared" si="249"/>
        <v>0.16999999999999993</v>
      </c>
      <c r="I2190" s="171"/>
      <c r="J2190" s="172"/>
      <c r="K2190" s="126" t="s">
        <v>18</v>
      </c>
      <c r="L2190" s="403">
        <f t="shared" si="250"/>
        <v>45988</v>
      </c>
      <c r="M2190" s="56" t="str">
        <f t="shared" si="251"/>
        <v>THU</v>
      </c>
      <c r="N2190" s="132" t="s">
        <v>109</v>
      </c>
      <c r="O2190" s="384">
        <v>0</v>
      </c>
      <c r="P2190" s="392">
        <f t="shared" si="246"/>
        <v>1</v>
      </c>
    </row>
    <row r="2191" spans="2:16">
      <c r="B2191" s="41"/>
      <c r="C2191" s="403">
        <f t="shared" si="252"/>
        <v>45989</v>
      </c>
      <c r="D2191" s="56" t="str">
        <f>VLOOKUP(MOD(C2191,7),'CALENDAR INFO'!$G$5:$H$11,2)</f>
        <v>FRI</v>
      </c>
      <c r="E2191" s="165">
        <v>3.89</v>
      </c>
      <c r="F2191" s="336">
        <v>4.12</v>
      </c>
      <c r="G2191" s="411">
        <f t="shared" si="249"/>
        <v>0.22999999999999998</v>
      </c>
      <c r="I2191" s="137"/>
      <c r="J2191" s="150"/>
      <c r="K2191" s="126"/>
      <c r="L2191" s="403">
        <f t="shared" si="250"/>
        <v>45989</v>
      </c>
      <c r="M2191" s="56" t="str">
        <f t="shared" si="251"/>
        <v>FRI</v>
      </c>
      <c r="O2191" s="383">
        <f t="shared" ref="O2191:O2216" si="253">IF(MOD(C2191,7)&lt;2,0,IF(MOD(C2191,7)=6,3,1))</f>
        <v>3</v>
      </c>
      <c r="P2191" s="392">
        <f t="shared" si="246"/>
        <v>1.0003433333333334</v>
      </c>
    </row>
    <row r="2192" spans="2:16">
      <c r="B2192" s="41"/>
      <c r="C2192" s="403">
        <f t="shared" si="252"/>
        <v>45990</v>
      </c>
      <c r="D2192" s="56" t="str">
        <f>VLOOKUP(MOD(C2192,7),'CALENDAR INFO'!$G$5:$H$11,2)</f>
        <v>SAT</v>
      </c>
      <c r="E2192" s="165">
        <v>3.89</v>
      </c>
      <c r="F2192" s="336">
        <v>4.12</v>
      </c>
      <c r="G2192" s="411">
        <f t="shared" si="249"/>
        <v>0.22999999999999998</v>
      </c>
      <c r="K2192" s="126"/>
      <c r="L2192" s="403">
        <f t="shared" si="250"/>
        <v>45990</v>
      </c>
      <c r="M2192" s="56" t="str">
        <f t="shared" si="251"/>
        <v>SAT</v>
      </c>
      <c r="O2192" s="383">
        <f t="shared" si="253"/>
        <v>0</v>
      </c>
      <c r="P2192" s="392">
        <f t="shared" si="246"/>
        <v>1</v>
      </c>
    </row>
    <row r="2193" spans="1:16" ht="15.75" thickBot="1">
      <c r="A2193" s="81"/>
      <c r="B2193" s="178"/>
      <c r="C2193" s="404">
        <f t="shared" si="252"/>
        <v>45991</v>
      </c>
      <c r="D2193" s="64" t="str">
        <f>VLOOKUP(MOD(C2193,7),'CALENDAR INFO'!$G$5:$H$11,2)</f>
        <v>SUN</v>
      </c>
      <c r="E2193" s="166">
        <v>3.89</v>
      </c>
      <c r="F2193" s="337">
        <v>4.12</v>
      </c>
      <c r="G2193" s="412">
        <f t="shared" si="249"/>
        <v>0.22999999999999998</v>
      </c>
      <c r="H2193" s="274"/>
      <c r="I2193" s="274"/>
      <c r="J2193" s="275"/>
      <c r="K2193" s="77"/>
      <c r="L2193" s="404">
        <f t="shared" si="250"/>
        <v>45991</v>
      </c>
      <c r="M2193" s="64" t="str">
        <f t="shared" si="251"/>
        <v>SUN</v>
      </c>
      <c r="N2193" s="90"/>
      <c r="O2193" s="382">
        <f t="shared" si="253"/>
        <v>0</v>
      </c>
      <c r="P2193" s="388">
        <f t="shared" si="246"/>
        <v>1</v>
      </c>
    </row>
    <row r="2194" spans="1:16">
      <c r="A2194" s="238"/>
      <c r="B2194" s="239"/>
      <c r="C2194" s="403">
        <f t="shared" si="252"/>
        <v>45992</v>
      </c>
      <c r="D2194" s="56" t="str">
        <f>VLOOKUP(MOD(C2194,7),'CALENDAR INFO'!$G$5:$H$11,2)</f>
        <v>MON</v>
      </c>
      <c r="E2194" s="165">
        <v>3.89</v>
      </c>
      <c r="F2194" s="336">
        <v>4.12</v>
      </c>
      <c r="G2194" s="411">
        <f t="shared" si="249"/>
        <v>0.22999999999999998</v>
      </c>
      <c r="H2194" s="15" t="s">
        <v>149</v>
      </c>
      <c r="I2194" s="15">
        <f>ROW(I2194)</f>
        <v>2194</v>
      </c>
      <c r="J2194" s="138">
        <f>I2194</f>
        <v>2194</v>
      </c>
      <c r="K2194" s="126"/>
      <c r="L2194" s="403">
        <f t="shared" si="250"/>
        <v>45992</v>
      </c>
      <c r="M2194" s="56" t="str">
        <f t="shared" si="251"/>
        <v>MON</v>
      </c>
      <c r="O2194" s="383">
        <f t="shared" si="253"/>
        <v>1</v>
      </c>
      <c r="P2194" s="392">
        <f t="shared" si="246"/>
        <v>1.0001144444444445</v>
      </c>
    </row>
    <row r="2195" spans="1:16">
      <c r="A2195" s="238"/>
      <c r="B2195" s="239"/>
      <c r="C2195" s="403">
        <f t="shared" si="252"/>
        <v>45993</v>
      </c>
      <c r="D2195" s="56" t="str">
        <f>VLOOKUP(MOD(C2195,7),'CALENDAR INFO'!$G$5:$H$11,2)</f>
        <v>TUE</v>
      </c>
      <c r="E2195" s="165">
        <v>3.89</v>
      </c>
      <c r="F2195" s="336">
        <v>4.01</v>
      </c>
      <c r="G2195" s="411">
        <f t="shared" si="249"/>
        <v>0.11999999999999966</v>
      </c>
      <c r="H2195" s="376" t="s">
        <v>210</v>
      </c>
      <c r="I2195" s="15">
        <f>VLOOKUP(MONTH($C2194),'CALENDAR INFO'!$J$5:$K$16,2)</f>
        <v>31</v>
      </c>
      <c r="J2195" s="138">
        <f>I2195</f>
        <v>31</v>
      </c>
      <c r="K2195" s="126"/>
      <c r="L2195" s="403">
        <f t="shared" si="250"/>
        <v>45993</v>
      </c>
      <c r="M2195" s="56" t="str">
        <f t="shared" si="251"/>
        <v>TUE</v>
      </c>
      <c r="O2195" s="383">
        <f t="shared" si="253"/>
        <v>1</v>
      </c>
      <c r="P2195" s="392">
        <f t="shared" ref="P2195:P2258" si="254">1+(O2195/360)*(MAX(F2195,B2195)/100)</f>
        <v>1.0001113888888888</v>
      </c>
    </row>
    <row r="2196" spans="1:16">
      <c r="A2196" s="238"/>
      <c r="B2196" s="239"/>
      <c r="C2196" s="403">
        <f t="shared" si="252"/>
        <v>45994</v>
      </c>
      <c r="D2196" s="56" t="str">
        <f>VLOOKUP(MOD(C2196,7),'CALENDAR INFO'!$G$5:$H$11,2)</f>
        <v>WED</v>
      </c>
      <c r="E2196" s="165">
        <v>3.89</v>
      </c>
      <c r="F2196" s="336">
        <v>3.95</v>
      </c>
      <c r="G2196" s="411">
        <f t="shared" si="249"/>
        <v>6.0000000000000053E-2</v>
      </c>
      <c r="H2196" s="376" t="s">
        <v>211</v>
      </c>
      <c r="I2196" s="15">
        <f>I2195+I2194-1</f>
        <v>2224</v>
      </c>
      <c r="J2196" s="138">
        <f>I2196</f>
        <v>2224</v>
      </c>
      <c r="K2196" s="126"/>
      <c r="L2196" s="403">
        <f t="shared" si="250"/>
        <v>45994</v>
      </c>
      <c r="M2196" s="56" t="str">
        <f t="shared" si="251"/>
        <v>WED</v>
      </c>
      <c r="O2196" s="383">
        <f t="shared" si="253"/>
        <v>1</v>
      </c>
      <c r="P2196" s="392">
        <f t="shared" si="254"/>
        <v>1.0001097222222222</v>
      </c>
    </row>
    <row r="2197" spans="1:16">
      <c r="A2197" s="238"/>
      <c r="B2197" s="239"/>
      <c r="C2197" s="403">
        <f t="shared" si="252"/>
        <v>45995</v>
      </c>
      <c r="D2197" s="56" t="str">
        <f>VLOOKUP(MOD(C2197,7),'CALENDAR INFO'!$G$5:$H$11,2)</f>
        <v>THU</v>
      </c>
      <c r="E2197" s="165">
        <v>3.89</v>
      </c>
      <c r="F2197" s="336">
        <v>3.92</v>
      </c>
      <c r="G2197" s="411">
        <f t="shared" si="249"/>
        <v>2.9999999999999805E-2</v>
      </c>
      <c r="K2197" s="126"/>
      <c r="L2197" s="403">
        <f t="shared" si="250"/>
        <v>45995</v>
      </c>
      <c r="M2197" s="56" t="str">
        <f t="shared" si="251"/>
        <v>THU</v>
      </c>
      <c r="O2197" s="383">
        <f t="shared" si="253"/>
        <v>1</v>
      </c>
      <c r="P2197" s="392">
        <f t="shared" si="254"/>
        <v>1.0001088888888889</v>
      </c>
    </row>
    <row r="2198" spans="1:16">
      <c r="A2198" s="238"/>
      <c r="B2198" s="239"/>
      <c r="C2198" s="403">
        <f t="shared" si="252"/>
        <v>45996</v>
      </c>
      <c r="D2198" s="56" t="str">
        <f>VLOOKUP(MOD(C2198,7),'CALENDAR INFO'!$G$5:$H$11,2)</f>
        <v>FRI</v>
      </c>
      <c r="E2198" s="165">
        <v>3.89</v>
      </c>
      <c r="F2198" s="336">
        <v>3.93</v>
      </c>
      <c r="G2198" s="411">
        <f t="shared" si="249"/>
        <v>4.0000000000000036E-2</v>
      </c>
      <c r="H2198" s="15" t="s">
        <v>150</v>
      </c>
      <c r="I2198" s="137" t="str">
        <f>_xlfn.CONCAT(ADDRESS(I2194,5),":",ADDRESS(I2196,5))</f>
        <v>$E$2194:$E$2224</v>
      </c>
      <c r="J2198" s="150" t="str">
        <f>_xlfn.CONCAT(ADDRESS(J2194,6),":",ADDRESS(J2196,6))</f>
        <v>$F$2194:$F$2224</v>
      </c>
      <c r="K2198" s="126"/>
      <c r="L2198" s="403">
        <f t="shared" si="250"/>
        <v>45996</v>
      </c>
      <c r="M2198" s="56" t="str">
        <f t="shared" si="251"/>
        <v>FRI</v>
      </c>
      <c r="O2198" s="383">
        <f t="shared" si="253"/>
        <v>3</v>
      </c>
      <c r="P2198" s="392">
        <f t="shared" si="254"/>
        <v>1.0003275</v>
      </c>
    </row>
    <row r="2199" spans="1:16">
      <c r="A2199" s="238"/>
      <c r="B2199" s="239"/>
      <c r="C2199" s="403">
        <f t="shared" si="252"/>
        <v>45997</v>
      </c>
      <c r="D2199" s="56" t="str">
        <f>VLOOKUP(MOD(C2199,7),'CALENDAR INFO'!$G$5:$H$11,2)</f>
        <v>SAT</v>
      </c>
      <c r="E2199" s="165">
        <v>3.89</v>
      </c>
      <c r="F2199" s="336">
        <v>3.93</v>
      </c>
      <c r="G2199" s="411">
        <f t="shared" si="249"/>
        <v>4.0000000000000036E-2</v>
      </c>
      <c r="K2199" s="126"/>
      <c r="L2199" s="403">
        <f t="shared" si="250"/>
        <v>45997</v>
      </c>
      <c r="M2199" s="56" t="str">
        <f t="shared" si="251"/>
        <v>SAT</v>
      </c>
      <c r="O2199" s="383">
        <f t="shared" si="253"/>
        <v>0</v>
      </c>
      <c r="P2199" s="392">
        <f t="shared" si="254"/>
        <v>1</v>
      </c>
    </row>
    <row r="2200" spans="1:16">
      <c r="A2200" s="238"/>
      <c r="B2200" s="239"/>
      <c r="C2200" s="403">
        <f t="shared" si="252"/>
        <v>45998</v>
      </c>
      <c r="D2200" s="56" t="str">
        <f>VLOOKUP(MOD(C2200,7),'CALENDAR INFO'!$G$5:$H$11,2)</f>
        <v>SUN</v>
      </c>
      <c r="E2200" s="165">
        <v>3.89</v>
      </c>
      <c r="F2200" s="336">
        <v>3.93</v>
      </c>
      <c r="G2200" s="411">
        <f t="shared" si="249"/>
        <v>4.0000000000000036E-2</v>
      </c>
      <c r="H2200" s="376" t="s">
        <v>221</v>
      </c>
      <c r="I2200" s="147">
        <f ca="1">AVERAGE(INDIRECT(I2198))</f>
        <v>3.7206451612903226</v>
      </c>
      <c r="J2200" s="326">
        <f ca="1">AVERAGE(INDIRECT(J2198))</f>
        <v>3.7838709677419353</v>
      </c>
      <c r="K2200" s="126"/>
      <c r="L2200" s="403">
        <f t="shared" si="250"/>
        <v>45998</v>
      </c>
      <c r="M2200" s="56" t="str">
        <f t="shared" si="251"/>
        <v>SUN</v>
      </c>
      <c r="O2200" s="383">
        <f t="shared" si="253"/>
        <v>0</v>
      </c>
      <c r="P2200" s="392">
        <f t="shared" si="254"/>
        <v>1</v>
      </c>
    </row>
    <row r="2201" spans="1:16">
      <c r="A2201" s="238"/>
      <c r="B2201" s="239"/>
      <c r="C2201" s="403">
        <f t="shared" si="252"/>
        <v>45999</v>
      </c>
      <c r="D2201" s="56" t="str">
        <f>VLOOKUP(MOD(C2201,7),'CALENDAR INFO'!$G$5:$H$11,2)</f>
        <v>MON</v>
      </c>
      <c r="E2201" s="165">
        <v>3.89</v>
      </c>
      <c r="F2201" s="336">
        <v>3.95</v>
      </c>
      <c r="G2201" s="411">
        <f t="shared" si="249"/>
        <v>6.0000000000000053E-2</v>
      </c>
      <c r="H2201" s="135"/>
      <c r="K2201" s="126"/>
      <c r="L2201" s="403">
        <f t="shared" si="250"/>
        <v>45999</v>
      </c>
      <c r="M2201" s="56" t="str">
        <f t="shared" si="251"/>
        <v>MON</v>
      </c>
      <c r="O2201" s="383">
        <f t="shared" si="253"/>
        <v>1</v>
      </c>
      <c r="P2201" s="392">
        <f t="shared" si="254"/>
        <v>1.0001097222222222</v>
      </c>
    </row>
    <row r="2202" spans="1:16">
      <c r="A2202" s="238"/>
      <c r="B2202" s="239"/>
      <c r="C2202" s="403">
        <f t="shared" si="252"/>
        <v>46000</v>
      </c>
      <c r="D2202" s="56" t="str">
        <f>VLOOKUP(MOD(C2202,7),'CALENDAR INFO'!$G$5:$H$11,2)</f>
        <v>TUE</v>
      </c>
      <c r="E2202" s="165">
        <v>3.89</v>
      </c>
      <c r="F2202" s="336">
        <v>3.93</v>
      </c>
      <c r="G2202" s="411">
        <f t="shared" si="249"/>
        <v>4.0000000000000036E-2</v>
      </c>
      <c r="H2202" s="15" t="s">
        <v>222</v>
      </c>
      <c r="I2202" s="147">
        <f ca="1">100-I2200</f>
        <v>96.279354838709679</v>
      </c>
      <c r="J2202" s="326">
        <f ca="1">100-J2200</f>
        <v>96.216129032258067</v>
      </c>
      <c r="K2202" s="126"/>
      <c r="L2202" s="403">
        <f t="shared" si="250"/>
        <v>46000</v>
      </c>
      <c r="M2202" s="56" t="str">
        <f t="shared" si="251"/>
        <v>TUE</v>
      </c>
      <c r="N2202" s="116" t="s">
        <v>20</v>
      </c>
      <c r="O2202" s="383">
        <f t="shared" si="253"/>
        <v>1</v>
      </c>
      <c r="P2202" s="392">
        <f t="shared" si="254"/>
        <v>1.0001091666666666</v>
      </c>
    </row>
    <row r="2203" spans="1:16">
      <c r="A2203" s="238"/>
      <c r="B2203" s="239"/>
      <c r="C2203" s="403">
        <f t="shared" si="252"/>
        <v>46001</v>
      </c>
      <c r="D2203" s="56" t="str">
        <f>VLOOKUP(MOD(C2203,7),'CALENDAR INFO'!$G$5:$H$11,2)</f>
        <v>WED</v>
      </c>
      <c r="E2203" s="165">
        <v>3.89</v>
      </c>
      <c r="F2203" s="336">
        <v>3.9</v>
      </c>
      <c r="G2203" s="411">
        <f t="shared" si="249"/>
        <v>9.9999999999997868E-3</v>
      </c>
      <c r="I2203" s="137"/>
      <c r="J2203" s="150"/>
      <c r="K2203" s="126" t="s">
        <v>19</v>
      </c>
      <c r="L2203" s="403">
        <f t="shared" si="250"/>
        <v>46001</v>
      </c>
      <c r="M2203" s="56" t="str">
        <f t="shared" si="251"/>
        <v>WED</v>
      </c>
      <c r="N2203" s="116" t="s">
        <v>20</v>
      </c>
      <c r="O2203" s="383">
        <f t="shared" si="253"/>
        <v>1</v>
      </c>
      <c r="P2203" s="392">
        <f t="shared" si="254"/>
        <v>1.0001083333333334</v>
      </c>
    </row>
    <row r="2204" spans="1:16">
      <c r="A2204" s="71"/>
      <c r="B2204" s="176"/>
      <c r="C2204" s="403">
        <f t="shared" si="252"/>
        <v>46002</v>
      </c>
      <c r="D2204" s="56" t="str">
        <f>VLOOKUP(MOD(C2204,7),'CALENDAR INFO'!$G$5:$H$11,2)</f>
        <v>THU</v>
      </c>
      <c r="E2204" s="165">
        <v>3.64</v>
      </c>
      <c r="F2204" s="336">
        <v>3.66</v>
      </c>
      <c r="G2204" s="411">
        <f t="shared" si="249"/>
        <v>2.0000000000000018E-2</v>
      </c>
      <c r="I2204" s="171"/>
      <c r="J2204" s="172"/>
      <c r="K2204" s="129" t="s">
        <v>18</v>
      </c>
      <c r="L2204" s="403">
        <f t="shared" si="250"/>
        <v>46002</v>
      </c>
      <c r="M2204" s="56" t="str">
        <f t="shared" si="251"/>
        <v>THU</v>
      </c>
      <c r="O2204" s="383">
        <f t="shared" si="253"/>
        <v>1</v>
      </c>
      <c r="P2204" s="392">
        <f t="shared" si="254"/>
        <v>1.0001016666666667</v>
      </c>
    </row>
    <row r="2205" spans="1:16">
      <c r="A2205" s="71"/>
      <c r="B2205" s="176"/>
      <c r="C2205" s="403">
        <f t="shared" si="252"/>
        <v>46003</v>
      </c>
      <c r="D2205" s="56" t="str">
        <f>VLOOKUP(MOD(C2205,7),'CALENDAR INFO'!$G$5:$H$11,2)</f>
        <v>FRI</v>
      </c>
      <c r="E2205" s="165">
        <v>3.64</v>
      </c>
      <c r="F2205" s="336">
        <v>3.67</v>
      </c>
      <c r="G2205" s="411">
        <f t="shared" si="249"/>
        <v>2.9999999999999805E-2</v>
      </c>
      <c r="I2205" s="171"/>
      <c r="J2205" s="172"/>
      <c r="K2205" s="129"/>
      <c r="L2205" s="403">
        <f t="shared" si="250"/>
        <v>46003</v>
      </c>
      <c r="M2205" s="56" t="str">
        <f t="shared" si="251"/>
        <v>FRI</v>
      </c>
      <c r="O2205" s="383">
        <f t="shared" si="253"/>
        <v>3</v>
      </c>
      <c r="P2205" s="392">
        <f t="shared" si="254"/>
        <v>1.0003058333333332</v>
      </c>
    </row>
    <row r="2206" spans="1:16">
      <c r="A2206" s="71"/>
      <c r="B2206" s="176"/>
      <c r="C2206" s="403">
        <f t="shared" si="252"/>
        <v>46004</v>
      </c>
      <c r="D2206" s="56" t="str">
        <f>VLOOKUP(MOD(C2206,7),'CALENDAR INFO'!$G$5:$H$11,2)</f>
        <v>SAT</v>
      </c>
      <c r="E2206" s="165">
        <v>3.64</v>
      </c>
      <c r="F2206" s="336">
        <v>3.67</v>
      </c>
      <c r="G2206" s="411">
        <f t="shared" si="249"/>
        <v>2.9999999999999805E-2</v>
      </c>
      <c r="I2206" s="171"/>
      <c r="J2206" s="172"/>
      <c r="K2206" s="129"/>
      <c r="L2206" s="403">
        <f t="shared" si="250"/>
        <v>46004</v>
      </c>
      <c r="M2206" s="56" t="str">
        <f t="shared" si="251"/>
        <v>SAT</v>
      </c>
      <c r="O2206" s="383">
        <f t="shared" si="253"/>
        <v>0</v>
      </c>
      <c r="P2206" s="392">
        <f t="shared" si="254"/>
        <v>1</v>
      </c>
    </row>
    <row r="2207" spans="1:16">
      <c r="A2207" s="71"/>
      <c r="B2207" s="176"/>
      <c r="C2207" s="403">
        <f t="shared" si="252"/>
        <v>46005</v>
      </c>
      <c r="D2207" s="56" t="str">
        <f>VLOOKUP(MOD(C2207,7),'CALENDAR INFO'!$G$5:$H$11,2)</f>
        <v>SUN</v>
      </c>
      <c r="E2207" s="165">
        <v>3.64</v>
      </c>
      <c r="F2207" s="336">
        <v>3.67</v>
      </c>
      <c r="G2207" s="411">
        <f t="shared" si="249"/>
        <v>2.9999999999999805E-2</v>
      </c>
      <c r="I2207" s="137"/>
      <c r="J2207" s="150"/>
      <c r="K2207" s="129"/>
      <c r="L2207" s="403">
        <f t="shared" si="250"/>
        <v>46005</v>
      </c>
      <c r="M2207" s="56" t="str">
        <f t="shared" si="251"/>
        <v>SUN</v>
      </c>
      <c r="O2207" s="383">
        <f t="shared" si="253"/>
        <v>0</v>
      </c>
      <c r="P2207" s="392">
        <f t="shared" si="254"/>
        <v>1</v>
      </c>
    </row>
    <row r="2208" spans="1:16">
      <c r="A2208" s="71"/>
      <c r="B2208" s="176"/>
      <c r="C2208" s="403">
        <f t="shared" si="252"/>
        <v>46006</v>
      </c>
      <c r="D2208" s="56" t="str">
        <f>VLOOKUP(MOD(C2208,7),'CALENDAR INFO'!$G$5:$H$11,2)</f>
        <v>MON</v>
      </c>
      <c r="E2208" s="165">
        <v>3.64</v>
      </c>
      <c r="F2208" s="336">
        <v>3.75</v>
      </c>
      <c r="G2208" s="411">
        <f t="shared" si="249"/>
        <v>0.10999999999999988</v>
      </c>
      <c r="I2208" s="137"/>
      <c r="J2208" s="150"/>
      <c r="K2208" s="129"/>
      <c r="L2208" s="403">
        <f t="shared" si="250"/>
        <v>46006</v>
      </c>
      <c r="M2208" s="56" t="str">
        <f t="shared" si="251"/>
        <v>MON</v>
      </c>
      <c r="O2208" s="383">
        <f t="shared" si="253"/>
        <v>1</v>
      </c>
      <c r="P2208" s="392">
        <f t="shared" si="254"/>
        <v>1.0001041666666666</v>
      </c>
    </row>
    <row r="2209" spans="1:16">
      <c r="A2209" s="71"/>
      <c r="B2209" s="176"/>
      <c r="C2209" s="403">
        <f t="shared" si="252"/>
        <v>46007</v>
      </c>
      <c r="D2209" s="56" t="str">
        <f>VLOOKUP(MOD(C2209,7),'CALENDAR INFO'!$G$5:$H$11,2)</f>
        <v>TUE</v>
      </c>
      <c r="E2209" s="165">
        <v>3.64</v>
      </c>
      <c r="F2209" s="336">
        <v>3.69</v>
      </c>
      <c r="G2209" s="411">
        <f t="shared" si="249"/>
        <v>4.9999999999999822E-2</v>
      </c>
      <c r="I2209" s="137"/>
      <c r="J2209" s="150"/>
      <c r="K2209" s="129"/>
      <c r="L2209" s="403">
        <f t="shared" si="250"/>
        <v>46007</v>
      </c>
      <c r="M2209" s="56" t="str">
        <f t="shared" si="251"/>
        <v>TUE</v>
      </c>
      <c r="O2209" s="383">
        <f t="shared" si="253"/>
        <v>1</v>
      </c>
      <c r="P2209" s="392">
        <f t="shared" si="254"/>
        <v>1.0001024999999999</v>
      </c>
    </row>
    <row r="2210" spans="1:16">
      <c r="A2210" s="71"/>
      <c r="B2210" s="176"/>
      <c r="C2210" s="403">
        <f t="shared" si="252"/>
        <v>46008</v>
      </c>
      <c r="D2210" s="56" t="str">
        <f>VLOOKUP(MOD(C2210,7),'CALENDAR INFO'!$G$5:$H$11,2)</f>
        <v>WED</v>
      </c>
      <c r="E2210" s="165">
        <v>3.64</v>
      </c>
      <c r="F2210" s="336">
        <v>3.69</v>
      </c>
      <c r="G2210" s="411">
        <f t="shared" si="249"/>
        <v>4.9999999999999822E-2</v>
      </c>
      <c r="I2210" s="137"/>
      <c r="J2210" s="150"/>
      <c r="K2210" s="129"/>
      <c r="L2210" s="403">
        <f t="shared" si="250"/>
        <v>46008</v>
      </c>
      <c r="M2210" s="56" t="str">
        <f t="shared" si="251"/>
        <v>WED</v>
      </c>
      <c r="O2210" s="383">
        <f t="shared" si="253"/>
        <v>1</v>
      </c>
      <c r="P2210" s="392">
        <f t="shared" si="254"/>
        <v>1.0001024999999999</v>
      </c>
    </row>
    <row r="2211" spans="1:16">
      <c r="A2211" s="71"/>
      <c r="B2211" s="176"/>
      <c r="C2211" s="403">
        <f t="shared" si="252"/>
        <v>46009</v>
      </c>
      <c r="D2211" s="56" t="str">
        <f>VLOOKUP(MOD(C2211,7),'CALENDAR INFO'!$G$5:$H$11,2)</f>
        <v>THU</v>
      </c>
      <c r="E2211" s="165">
        <v>3.64</v>
      </c>
      <c r="F2211" s="336">
        <v>3.66</v>
      </c>
      <c r="G2211" s="411">
        <f t="shared" si="249"/>
        <v>2.0000000000000018E-2</v>
      </c>
      <c r="I2211" s="311"/>
      <c r="J2211" s="312"/>
      <c r="K2211" s="129"/>
      <c r="L2211" s="403">
        <f t="shared" si="250"/>
        <v>46009</v>
      </c>
      <c r="M2211" s="56" t="str">
        <f t="shared" si="251"/>
        <v>THU</v>
      </c>
      <c r="O2211" s="383">
        <f t="shared" si="253"/>
        <v>1</v>
      </c>
      <c r="P2211" s="392">
        <f t="shared" si="254"/>
        <v>1.0001016666666667</v>
      </c>
    </row>
    <row r="2212" spans="1:16">
      <c r="A2212" s="71"/>
      <c r="B2212" s="176"/>
      <c r="C2212" s="403">
        <f t="shared" si="252"/>
        <v>46010</v>
      </c>
      <c r="D2212" s="56" t="str">
        <f>VLOOKUP(MOD(C2212,7),'CALENDAR INFO'!$G$5:$H$11,2)</f>
        <v>FRI</v>
      </c>
      <c r="E2212" s="165">
        <v>3.64</v>
      </c>
      <c r="F2212" s="336">
        <v>3.66</v>
      </c>
      <c r="G2212" s="411">
        <f t="shared" si="249"/>
        <v>2.0000000000000018E-2</v>
      </c>
      <c r="I2212" s="141"/>
      <c r="J2212" s="158"/>
      <c r="K2212" s="129"/>
      <c r="L2212" s="403">
        <f t="shared" si="250"/>
        <v>46010</v>
      </c>
      <c r="M2212" s="56" t="str">
        <f t="shared" si="251"/>
        <v>FRI</v>
      </c>
      <c r="O2212" s="383">
        <f t="shared" si="253"/>
        <v>3</v>
      </c>
      <c r="P2212" s="392">
        <f t="shared" si="254"/>
        <v>1.000305</v>
      </c>
    </row>
    <row r="2213" spans="1:16">
      <c r="A2213" s="71"/>
      <c r="B2213" s="176"/>
      <c r="C2213" s="403">
        <f t="shared" si="252"/>
        <v>46011</v>
      </c>
      <c r="D2213" s="56" t="str">
        <f>VLOOKUP(MOD(C2213,7),'CALENDAR INFO'!$G$5:$H$11,2)</f>
        <v>SAT</v>
      </c>
      <c r="E2213" s="165">
        <v>3.64</v>
      </c>
      <c r="F2213" s="336">
        <v>3.66</v>
      </c>
      <c r="G2213" s="411">
        <f t="shared" si="249"/>
        <v>2.0000000000000018E-2</v>
      </c>
      <c r="K2213" s="129"/>
      <c r="L2213" s="403">
        <f t="shared" si="250"/>
        <v>46011</v>
      </c>
      <c r="M2213" s="56" t="str">
        <f t="shared" si="251"/>
        <v>SAT</v>
      </c>
      <c r="O2213" s="383">
        <f t="shared" si="253"/>
        <v>0</v>
      </c>
      <c r="P2213" s="392">
        <f t="shared" si="254"/>
        <v>1</v>
      </c>
    </row>
    <row r="2214" spans="1:16">
      <c r="A2214" s="71"/>
      <c r="B2214" s="176"/>
      <c r="C2214" s="403">
        <f t="shared" si="252"/>
        <v>46012</v>
      </c>
      <c r="D2214" s="56" t="str">
        <f>VLOOKUP(MOD(C2214,7),'CALENDAR INFO'!$G$5:$H$11,2)</f>
        <v>SUN</v>
      </c>
      <c r="E2214" s="165">
        <v>3.64</v>
      </c>
      <c r="F2214" s="336">
        <v>3.66</v>
      </c>
      <c r="G2214" s="411">
        <f t="shared" si="249"/>
        <v>2.0000000000000018E-2</v>
      </c>
      <c r="K2214" s="129"/>
      <c r="L2214" s="403">
        <f t="shared" si="250"/>
        <v>46012</v>
      </c>
      <c r="M2214" s="56" t="str">
        <f t="shared" si="251"/>
        <v>SUN</v>
      </c>
      <c r="O2214" s="383">
        <f t="shared" si="253"/>
        <v>0</v>
      </c>
      <c r="P2214" s="392">
        <f t="shared" si="254"/>
        <v>1</v>
      </c>
    </row>
    <row r="2215" spans="1:16">
      <c r="A2215" s="71"/>
      <c r="B2215" s="176"/>
      <c r="C2215" s="403">
        <f t="shared" si="252"/>
        <v>46013</v>
      </c>
      <c r="D2215" s="56" t="str">
        <f>VLOOKUP(MOD(C2215,7),'CALENDAR INFO'!$G$5:$H$11,2)</f>
        <v>MON</v>
      </c>
      <c r="E2215" s="165">
        <v>3.64</v>
      </c>
      <c r="F2215" s="336">
        <v>3.68</v>
      </c>
      <c r="G2215" s="411">
        <f t="shared" si="249"/>
        <v>4.0000000000000036E-2</v>
      </c>
      <c r="K2215" s="129"/>
      <c r="L2215" s="403">
        <f t="shared" si="250"/>
        <v>46013</v>
      </c>
      <c r="M2215" s="56" t="str">
        <f t="shared" si="251"/>
        <v>MON</v>
      </c>
      <c r="O2215" s="383">
        <f t="shared" si="253"/>
        <v>1</v>
      </c>
      <c r="P2215" s="392">
        <f t="shared" si="254"/>
        <v>1.0001022222222222</v>
      </c>
    </row>
    <row r="2216" spans="1:16">
      <c r="A2216" s="71"/>
      <c r="B2216" s="176"/>
      <c r="C2216" s="403">
        <f t="shared" si="252"/>
        <v>46014</v>
      </c>
      <c r="D2216" s="56" t="str">
        <f>VLOOKUP(MOD(C2216,7),'CALENDAR INFO'!$G$5:$H$11,2)</f>
        <v>TUE</v>
      </c>
      <c r="E2216" s="165">
        <v>3.64</v>
      </c>
      <c r="F2216" s="336">
        <v>3.66</v>
      </c>
      <c r="G2216" s="411">
        <f t="shared" si="249"/>
        <v>2.0000000000000018E-2</v>
      </c>
      <c r="I2216" s="313"/>
      <c r="J2216" s="314"/>
      <c r="K2216" s="129"/>
      <c r="L2216" s="403">
        <f t="shared" si="250"/>
        <v>46014</v>
      </c>
      <c r="M2216" s="56" t="str">
        <f t="shared" si="251"/>
        <v>TUE</v>
      </c>
      <c r="O2216" s="383">
        <f t="shared" si="253"/>
        <v>1</v>
      </c>
      <c r="P2216" s="392">
        <f t="shared" si="254"/>
        <v>1.0001016666666667</v>
      </c>
    </row>
    <row r="2217" spans="1:16">
      <c r="A2217" s="71"/>
      <c r="B2217" s="176"/>
      <c r="C2217" s="403">
        <f t="shared" si="252"/>
        <v>46015</v>
      </c>
      <c r="D2217" s="56" t="str">
        <f>VLOOKUP(MOD(C2217,7),'CALENDAR INFO'!$G$5:$H$11,2)</f>
        <v>WED</v>
      </c>
      <c r="E2217" s="165">
        <v>3.64</v>
      </c>
      <c r="F2217" s="336">
        <v>3.66</v>
      </c>
      <c r="G2217" s="411">
        <f t="shared" si="249"/>
        <v>2.0000000000000018E-2</v>
      </c>
      <c r="I2217" s="115"/>
      <c r="J2217" s="159"/>
      <c r="K2217" s="129" t="s">
        <v>19</v>
      </c>
      <c r="L2217" s="403">
        <f t="shared" si="250"/>
        <v>46015</v>
      </c>
      <c r="M2217" s="56" t="str">
        <f t="shared" si="251"/>
        <v>WED</v>
      </c>
      <c r="O2217" s="384">
        <v>2</v>
      </c>
      <c r="P2217" s="392">
        <f t="shared" si="254"/>
        <v>1.0002033333333333</v>
      </c>
    </row>
    <row r="2218" spans="1:16">
      <c r="A2218" s="71"/>
      <c r="B2218" s="176"/>
      <c r="C2218" s="403">
        <f t="shared" si="252"/>
        <v>46016</v>
      </c>
      <c r="D2218" s="56" t="str">
        <f>VLOOKUP(MOD(C2218,7),'CALENDAR INFO'!$G$5:$H$11,2)</f>
        <v>THU</v>
      </c>
      <c r="E2218" s="165">
        <v>3.64</v>
      </c>
      <c r="F2218" s="336">
        <v>3.66</v>
      </c>
      <c r="G2218" s="411">
        <f t="shared" si="249"/>
        <v>2.0000000000000018E-2</v>
      </c>
      <c r="I2218" s="137"/>
      <c r="J2218" s="150"/>
      <c r="K2218" s="126" t="s">
        <v>18</v>
      </c>
      <c r="L2218" s="403">
        <f t="shared" si="250"/>
        <v>46016</v>
      </c>
      <c r="M2218" s="56" t="str">
        <f t="shared" si="251"/>
        <v>THU</v>
      </c>
      <c r="N2218" s="132" t="s">
        <v>52</v>
      </c>
      <c r="O2218" s="384">
        <v>0</v>
      </c>
      <c r="P2218" s="392">
        <f t="shared" si="254"/>
        <v>1</v>
      </c>
    </row>
    <row r="2219" spans="1:16">
      <c r="A2219" s="71"/>
      <c r="B2219" s="176"/>
      <c r="C2219" s="403">
        <f t="shared" si="252"/>
        <v>46017</v>
      </c>
      <c r="D2219" s="56" t="str">
        <f>VLOOKUP(MOD(C2219,7),'CALENDAR INFO'!$G$5:$H$11,2)</f>
        <v>FRI</v>
      </c>
      <c r="E2219" s="165">
        <v>3.64</v>
      </c>
      <c r="F2219" s="336">
        <v>3.76</v>
      </c>
      <c r="G2219" s="411">
        <f t="shared" si="249"/>
        <v>0.11999999999999966</v>
      </c>
      <c r="I2219" s="137"/>
      <c r="J2219" s="150"/>
      <c r="K2219" s="126"/>
      <c r="L2219" s="403">
        <f t="shared" si="250"/>
        <v>46017</v>
      </c>
      <c r="M2219" s="56" t="str">
        <f t="shared" si="251"/>
        <v>FRI</v>
      </c>
      <c r="O2219" s="383">
        <f>IF(MOD(C2219,7)&lt;2,0,IF(MOD(C2219,7)=6,3,1))</f>
        <v>3</v>
      </c>
      <c r="P2219" s="392">
        <f t="shared" si="254"/>
        <v>1.0003133333333334</v>
      </c>
    </row>
    <row r="2220" spans="1:16">
      <c r="A2220" s="71"/>
      <c r="B2220" s="176"/>
      <c r="C2220" s="403">
        <f t="shared" si="252"/>
        <v>46018</v>
      </c>
      <c r="D2220" s="56" t="str">
        <f>VLOOKUP(MOD(C2220,7),'CALENDAR INFO'!$G$5:$H$11,2)</f>
        <v>SAT</v>
      </c>
      <c r="E2220" s="165">
        <v>3.64</v>
      </c>
      <c r="F2220" s="336">
        <v>3.76</v>
      </c>
      <c r="G2220" s="411">
        <f t="shared" si="249"/>
        <v>0.11999999999999966</v>
      </c>
      <c r="I2220" s="171"/>
      <c r="J2220" s="172"/>
      <c r="K2220" s="126"/>
      <c r="L2220" s="403">
        <f t="shared" si="250"/>
        <v>46018</v>
      </c>
      <c r="M2220" s="56" t="str">
        <f t="shared" si="251"/>
        <v>SAT</v>
      </c>
      <c r="O2220" s="383">
        <f>IF(MOD(C2220,7)&lt;2,0,IF(MOD(C2220,7)=6,3,1))</f>
        <v>0</v>
      </c>
      <c r="P2220" s="392">
        <f t="shared" si="254"/>
        <v>1</v>
      </c>
    </row>
    <row r="2221" spans="1:16">
      <c r="A2221" s="71"/>
      <c r="B2221" s="176"/>
      <c r="C2221" s="403">
        <f t="shared" si="252"/>
        <v>46019</v>
      </c>
      <c r="D2221" s="56" t="str">
        <f>VLOOKUP(MOD(C2221,7),'CALENDAR INFO'!$G$5:$H$11,2)</f>
        <v>SUN</v>
      </c>
      <c r="E2221" s="165">
        <v>3.64</v>
      </c>
      <c r="F2221" s="336">
        <v>3.76</v>
      </c>
      <c r="G2221" s="411">
        <f t="shared" si="249"/>
        <v>0.11999999999999966</v>
      </c>
      <c r="I2221" s="137"/>
      <c r="J2221" s="150"/>
      <c r="K2221" s="126"/>
      <c r="L2221" s="403">
        <f t="shared" si="250"/>
        <v>46019</v>
      </c>
      <c r="M2221" s="56" t="str">
        <f t="shared" si="251"/>
        <v>SUN</v>
      </c>
      <c r="O2221" s="383">
        <f>IF(MOD(C2221,7)&lt;2,0,IF(MOD(C2221,7)=6,3,1))</f>
        <v>0</v>
      </c>
      <c r="P2221" s="392">
        <f t="shared" si="254"/>
        <v>1</v>
      </c>
    </row>
    <row r="2222" spans="1:16">
      <c r="A2222" s="71"/>
      <c r="B2222" s="176"/>
      <c r="C2222" s="403">
        <f t="shared" si="252"/>
        <v>46020</v>
      </c>
      <c r="D2222" s="56" t="str">
        <f>VLOOKUP(MOD(C2222,7),'CALENDAR INFO'!$G$5:$H$11,2)</f>
        <v>MON</v>
      </c>
      <c r="E2222" s="165">
        <v>3.64</v>
      </c>
      <c r="F2222" s="336">
        <v>3.77</v>
      </c>
      <c r="G2222" s="411">
        <f t="shared" si="249"/>
        <v>0.12999999999999989</v>
      </c>
      <c r="K2222" s="126"/>
      <c r="L2222" s="403">
        <f t="shared" si="250"/>
        <v>46020</v>
      </c>
      <c r="M2222" s="56" t="str">
        <f t="shared" si="251"/>
        <v>MON</v>
      </c>
      <c r="O2222" s="383">
        <f>IF(MOD(C2222,7)&lt;2,0,IF(MOD(C2222,7)=6,3,1))</f>
        <v>1</v>
      </c>
      <c r="P2222" s="392">
        <f t="shared" si="254"/>
        <v>1.0001047222222221</v>
      </c>
    </row>
    <row r="2223" spans="1:16">
      <c r="A2223" s="71"/>
      <c r="B2223" s="176"/>
      <c r="C2223" s="403">
        <f t="shared" si="252"/>
        <v>46021</v>
      </c>
      <c r="D2223" s="56" t="str">
        <f>VLOOKUP(MOD(C2223,7),'CALENDAR INFO'!$G$5:$H$11,2)</f>
        <v>TUE</v>
      </c>
      <c r="E2223" s="165">
        <v>3.64</v>
      </c>
      <c r="F2223" s="336">
        <v>3.71</v>
      </c>
      <c r="G2223" s="411">
        <f t="shared" si="249"/>
        <v>6.999999999999984E-2</v>
      </c>
      <c r="K2223" s="126"/>
      <c r="L2223" s="403">
        <f t="shared" si="250"/>
        <v>46021</v>
      </c>
      <c r="M2223" s="56" t="str">
        <f t="shared" si="251"/>
        <v>TUE</v>
      </c>
      <c r="O2223" s="383">
        <f>IF(MOD(C2223,7)&lt;2,0,IF(MOD(C2223,7)=6,3,1))</f>
        <v>1</v>
      </c>
      <c r="P2223" s="392">
        <f t="shared" si="254"/>
        <v>1.0001030555555555</v>
      </c>
    </row>
    <row r="2224" spans="1:16" ht="15.75" thickBot="1">
      <c r="A2224" s="318"/>
      <c r="B2224" s="319"/>
      <c r="C2224" s="404">
        <f t="shared" si="252"/>
        <v>46022</v>
      </c>
      <c r="D2224" s="64" t="str">
        <f>VLOOKUP(MOD(C2224,7),'CALENDAR INFO'!$G$5:$H$11,2)</f>
        <v>WED</v>
      </c>
      <c r="E2224" s="166">
        <v>3.64</v>
      </c>
      <c r="F2224" s="337">
        <v>3.87</v>
      </c>
      <c r="G2224" s="412">
        <f t="shared" si="249"/>
        <v>0.22999999999999998</v>
      </c>
      <c r="H2224" s="274"/>
      <c r="I2224" s="332"/>
      <c r="J2224" s="333"/>
      <c r="K2224" s="77"/>
      <c r="L2224" s="404">
        <f t="shared" si="250"/>
        <v>46022</v>
      </c>
      <c r="M2224" s="64" t="str">
        <f t="shared" si="251"/>
        <v>WED</v>
      </c>
      <c r="N2224" s="90"/>
      <c r="O2224" s="387">
        <v>2</v>
      </c>
      <c r="P2224" s="388">
        <f t="shared" si="254"/>
        <v>1.0002150000000001</v>
      </c>
    </row>
    <row r="2225" spans="1:16">
      <c r="A2225" s="71"/>
      <c r="B2225" s="176"/>
      <c r="C2225" s="403">
        <f t="shared" si="252"/>
        <v>46023</v>
      </c>
      <c r="D2225" s="56" t="str">
        <f>VLOOKUP(MOD(C2225,7),'CALENDAR INFO'!$G$5:$H$11,2)</f>
        <v>THU</v>
      </c>
      <c r="E2225" s="165">
        <v>3.64</v>
      </c>
      <c r="F2225" s="336">
        <v>3.87</v>
      </c>
      <c r="G2225" s="411">
        <f t="shared" si="249"/>
        <v>0.22999999999999998</v>
      </c>
      <c r="H2225" s="15" t="s">
        <v>149</v>
      </c>
      <c r="I2225" s="15">
        <f>ROW(I2225)</f>
        <v>2225</v>
      </c>
      <c r="J2225" s="138">
        <f>I2225</f>
        <v>2225</v>
      </c>
      <c r="K2225" s="126"/>
      <c r="L2225" s="403">
        <f t="shared" si="250"/>
        <v>46023</v>
      </c>
      <c r="M2225" s="56" t="str">
        <f t="shared" si="251"/>
        <v>THU</v>
      </c>
      <c r="N2225" s="132" t="s">
        <v>114</v>
      </c>
      <c r="O2225" s="384">
        <v>0</v>
      </c>
      <c r="P2225" s="392">
        <f t="shared" si="254"/>
        <v>1</v>
      </c>
    </row>
    <row r="2226" spans="1:16">
      <c r="A2226" s="71"/>
      <c r="B2226" s="176"/>
      <c r="C2226" s="403">
        <f t="shared" si="252"/>
        <v>46024</v>
      </c>
      <c r="D2226" s="56" t="str">
        <f>VLOOKUP(MOD(C2226,7),'CALENDAR INFO'!$G$5:$H$11,2)</f>
        <v>FRI</v>
      </c>
      <c r="E2226" s="165">
        <v>3.64</v>
      </c>
      <c r="F2226" s="336">
        <v>3.75</v>
      </c>
      <c r="G2226" s="411">
        <f t="shared" si="249"/>
        <v>0.10999999999999988</v>
      </c>
      <c r="H2226" s="376" t="s">
        <v>210</v>
      </c>
      <c r="I2226" s="15">
        <f>VLOOKUP(MONTH($C2225),'CALENDAR INFO'!$J$5:$K$16,2)</f>
        <v>31</v>
      </c>
      <c r="J2226" s="138">
        <f>I2226</f>
        <v>31</v>
      </c>
      <c r="K2226" s="126"/>
      <c r="L2226" s="403">
        <f t="shared" si="250"/>
        <v>46024</v>
      </c>
      <c r="M2226" s="56" t="str">
        <f t="shared" si="251"/>
        <v>FRI</v>
      </c>
      <c r="O2226" s="383">
        <f t="shared" ref="O2226:O2239" si="255">IF(MOD(C2226,7)&lt;2,0,IF(MOD(C2226,7)=6,3,1))</f>
        <v>3</v>
      </c>
      <c r="P2226" s="392">
        <f t="shared" si="254"/>
        <v>1.0003124999999999</v>
      </c>
    </row>
    <row r="2227" spans="1:16">
      <c r="A2227" s="71"/>
      <c r="B2227" s="176"/>
      <c r="C2227" s="403">
        <f t="shared" si="252"/>
        <v>46025</v>
      </c>
      <c r="D2227" s="56" t="str">
        <f>VLOOKUP(MOD(C2227,7),'CALENDAR INFO'!$G$5:$H$11,2)</f>
        <v>SAT</v>
      </c>
      <c r="E2227" s="165">
        <v>3.64</v>
      </c>
      <c r="F2227" s="336">
        <v>3.75</v>
      </c>
      <c r="G2227" s="411">
        <f t="shared" si="249"/>
        <v>0.10999999999999988</v>
      </c>
      <c r="H2227" s="376" t="s">
        <v>211</v>
      </c>
      <c r="I2227" s="15">
        <f>I2226+I2225-1</f>
        <v>2255</v>
      </c>
      <c r="J2227" s="138">
        <f>I2227</f>
        <v>2255</v>
      </c>
      <c r="K2227" s="126"/>
      <c r="L2227" s="403">
        <f t="shared" si="250"/>
        <v>46025</v>
      </c>
      <c r="M2227" s="56" t="str">
        <f t="shared" si="251"/>
        <v>SAT</v>
      </c>
      <c r="O2227" s="383">
        <f t="shared" si="255"/>
        <v>0</v>
      </c>
      <c r="P2227" s="392">
        <f t="shared" si="254"/>
        <v>1</v>
      </c>
    </row>
    <row r="2228" spans="1:16">
      <c r="A2228" s="71"/>
      <c r="B2228" s="176"/>
      <c r="C2228" s="403">
        <f t="shared" si="252"/>
        <v>46026</v>
      </c>
      <c r="D2228" s="56" t="str">
        <f>VLOOKUP(MOD(C2228,7),'CALENDAR INFO'!$G$5:$H$11,2)</f>
        <v>SUN</v>
      </c>
      <c r="E2228" s="165">
        <v>3.64</v>
      </c>
      <c r="F2228" s="336">
        <v>3.75</v>
      </c>
      <c r="G2228" s="411">
        <f t="shared" si="249"/>
        <v>0.10999999999999988</v>
      </c>
      <c r="K2228" s="126"/>
      <c r="L2228" s="403">
        <f t="shared" si="250"/>
        <v>46026</v>
      </c>
      <c r="M2228" s="56" t="str">
        <f t="shared" si="251"/>
        <v>SUN</v>
      </c>
      <c r="O2228" s="383">
        <f t="shared" si="255"/>
        <v>0</v>
      </c>
      <c r="P2228" s="392">
        <f t="shared" si="254"/>
        <v>1</v>
      </c>
    </row>
    <row r="2229" spans="1:16">
      <c r="A2229" s="71"/>
      <c r="B2229" s="176"/>
      <c r="C2229" s="403">
        <f t="shared" si="252"/>
        <v>46027</v>
      </c>
      <c r="D2229" s="56" t="str">
        <f>VLOOKUP(MOD(C2229,7),'CALENDAR INFO'!$G$5:$H$11,2)</f>
        <v>MON</v>
      </c>
      <c r="E2229" s="165">
        <v>3.64</v>
      </c>
      <c r="F2229" s="336">
        <v>3.7</v>
      </c>
      <c r="G2229" s="411">
        <f t="shared" si="249"/>
        <v>6.0000000000000053E-2</v>
      </c>
      <c r="H2229" s="15" t="s">
        <v>150</v>
      </c>
      <c r="I2229" s="137" t="str">
        <f>_xlfn.CONCAT(ADDRESS(I2225,5),":",ADDRESS(I2227,5))</f>
        <v>$E$2225:$E$2255</v>
      </c>
      <c r="J2229" s="150" t="str">
        <f>_xlfn.CONCAT(ADDRESS(J2225,6),":",ADDRESS(J2227,6))</f>
        <v>$F$2225:$F$2255</v>
      </c>
      <c r="K2229" s="126"/>
      <c r="L2229" s="403">
        <f t="shared" si="250"/>
        <v>46027</v>
      </c>
      <c r="M2229" s="56" t="str">
        <f t="shared" si="251"/>
        <v>MON</v>
      </c>
      <c r="O2229" s="383">
        <f t="shared" si="255"/>
        <v>1</v>
      </c>
      <c r="P2229" s="392">
        <f t="shared" si="254"/>
        <v>1.0001027777777778</v>
      </c>
    </row>
    <row r="2230" spans="1:16">
      <c r="A2230" s="71"/>
      <c r="B2230" s="176"/>
      <c r="C2230" s="403">
        <f t="shared" si="252"/>
        <v>46028</v>
      </c>
      <c r="D2230" s="56" t="str">
        <f>VLOOKUP(MOD(C2230,7),'CALENDAR INFO'!$G$5:$H$11,2)</f>
        <v>TUE</v>
      </c>
      <c r="E2230" s="165">
        <v>3.64</v>
      </c>
      <c r="F2230" s="336">
        <v>3.66</v>
      </c>
      <c r="G2230" s="411">
        <f t="shared" si="249"/>
        <v>2.0000000000000018E-2</v>
      </c>
      <c r="K2230" s="126"/>
      <c r="L2230" s="403">
        <f t="shared" si="250"/>
        <v>46028</v>
      </c>
      <c r="M2230" s="56" t="str">
        <f t="shared" si="251"/>
        <v>TUE</v>
      </c>
      <c r="O2230" s="383">
        <f t="shared" si="255"/>
        <v>1</v>
      </c>
      <c r="P2230" s="392">
        <f t="shared" si="254"/>
        <v>1.0001016666666667</v>
      </c>
    </row>
    <row r="2231" spans="1:16">
      <c r="A2231" s="71"/>
      <c r="B2231" s="176"/>
      <c r="C2231" s="403">
        <f t="shared" si="252"/>
        <v>46029</v>
      </c>
      <c r="D2231" s="56" t="str">
        <f>VLOOKUP(MOD(C2231,7),'CALENDAR INFO'!$G$5:$H$11,2)</f>
        <v>WED</v>
      </c>
      <c r="E2231" s="165">
        <v>3.64</v>
      </c>
      <c r="F2231" s="336">
        <v>3.65</v>
      </c>
      <c r="G2231" s="411">
        <f t="shared" si="249"/>
        <v>9.9999999999997868E-3</v>
      </c>
      <c r="H2231" s="376" t="s">
        <v>221</v>
      </c>
      <c r="I2231" s="147">
        <f ca="1">AVERAGE(INDIRECT(I2229))</f>
        <v>3.64</v>
      </c>
      <c r="J2231" s="326">
        <f ca="1">AVERAGE(INDIRECT(J2229))</f>
        <v>3.6693548387096779</v>
      </c>
      <c r="K2231" s="126" t="s">
        <v>19</v>
      </c>
      <c r="L2231" s="403">
        <f t="shared" si="250"/>
        <v>46029</v>
      </c>
      <c r="M2231" s="56" t="str">
        <f t="shared" si="251"/>
        <v>WED</v>
      </c>
      <c r="O2231" s="383">
        <f t="shared" si="255"/>
        <v>1</v>
      </c>
      <c r="P2231" s="392">
        <f t="shared" si="254"/>
        <v>1.000101388888889</v>
      </c>
    </row>
    <row r="2232" spans="1:16">
      <c r="A2232" s="71"/>
      <c r="B2232" s="176"/>
      <c r="C2232" s="403">
        <f t="shared" si="252"/>
        <v>46030</v>
      </c>
      <c r="D2232" s="56" t="str">
        <f>VLOOKUP(MOD(C2232,7),'CALENDAR INFO'!$G$5:$H$11,2)</f>
        <v>THU</v>
      </c>
      <c r="E2232" s="165">
        <v>3.64</v>
      </c>
      <c r="F2232" s="336">
        <v>3.64</v>
      </c>
      <c r="G2232" s="411">
        <f t="shared" si="249"/>
        <v>0</v>
      </c>
      <c r="H2232" s="135"/>
      <c r="K2232" s="129" t="s">
        <v>18</v>
      </c>
      <c r="L2232" s="403">
        <f t="shared" si="250"/>
        <v>46030</v>
      </c>
      <c r="M2232" s="56" t="str">
        <f t="shared" si="251"/>
        <v>THU</v>
      </c>
      <c r="O2232" s="383">
        <f t="shared" si="255"/>
        <v>1</v>
      </c>
      <c r="P2232" s="392">
        <f t="shared" si="254"/>
        <v>1.0001011111111111</v>
      </c>
    </row>
    <row r="2233" spans="1:16">
      <c r="A2233" s="71"/>
      <c r="B2233" s="176"/>
      <c r="C2233" s="403">
        <f t="shared" si="252"/>
        <v>46031</v>
      </c>
      <c r="D2233" s="56" t="str">
        <f>VLOOKUP(MOD(C2233,7),'CALENDAR INFO'!$G$5:$H$11,2)</f>
        <v>FRI</v>
      </c>
      <c r="E2233" s="165">
        <v>3.64</v>
      </c>
      <c r="F2233" s="336">
        <v>3.64</v>
      </c>
      <c r="G2233" s="411">
        <f t="shared" si="249"/>
        <v>0</v>
      </c>
      <c r="H2233" s="15" t="s">
        <v>222</v>
      </c>
      <c r="I2233" s="147">
        <f ca="1">100-I2231</f>
        <v>96.36</v>
      </c>
      <c r="J2233" s="326">
        <f ca="1">100-J2231</f>
        <v>96.33064516129032</v>
      </c>
      <c r="K2233" s="129"/>
      <c r="L2233" s="403">
        <f t="shared" si="250"/>
        <v>46031</v>
      </c>
      <c r="M2233" s="56" t="str">
        <f t="shared" si="251"/>
        <v>FRI</v>
      </c>
      <c r="O2233" s="383">
        <f t="shared" si="255"/>
        <v>3</v>
      </c>
      <c r="P2233" s="392">
        <f t="shared" si="254"/>
        <v>1.0003033333333333</v>
      </c>
    </row>
    <row r="2234" spans="1:16">
      <c r="A2234" s="71"/>
      <c r="B2234" s="176"/>
      <c r="C2234" s="403">
        <f t="shared" si="252"/>
        <v>46032</v>
      </c>
      <c r="D2234" s="56" t="str">
        <f>VLOOKUP(MOD(C2234,7),'CALENDAR INFO'!$G$5:$H$11,2)</f>
        <v>SAT</v>
      </c>
      <c r="E2234" s="165">
        <v>3.64</v>
      </c>
      <c r="F2234" s="336">
        <v>3.64</v>
      </c>
      <c r="G2234" s="411">
        <f t="shared" si="249"/>
        <v>0</v>
      </c>
      <c r="I2234" s="171"/>
      <c r="J2234" s="172"/>
      <c r="K2234" s="129"/>
      <c r="L2234" s="403">
        <f t="shared" si="250"/>
        <v>46032</v>
      </c>
      <c r="M2234" s="56" t="str">
        <f t="shared" si="251"/>
        <v>SAT</v>
      </c>
      <c r="O2234" s="383">
        <f t="shared" si="255"/>
        <v>0</v>
      </c>
      <c r="P2234" s="392">
        <f t="shared" si="254"/>
        <v>1</v>
      </c>
    </row>
    <row r="2235" spans="1:16">
      <c r="A2235" s="71"/>
      <c r="B2235" s="176"/>
      <c r="C2235" s="403">
        <f t="shared" si="252"/>
        <v>46033</v>
      </c>
      <c r="D2235" s="56" t="str">
        <f>VLOOKUP(MOD(C2235,7),'CALENDAR INFO'!$G$5:$H$11,2)</f>
        <v>SUN</v>
      </c>
      <c r="E2235" s="165">
        <v>3.64</v>
      </c>
      <c r="F2235" s="336">
        <v>3.64</v>
      </c>
      <c r="G2235" s="411">
        <f t="shared" si="249"/>
        <v>0</v>
      </c>
      <c r="I2235" s="171"/>
      <c r="J2235" s="172"/>
      <c r="K2235" s="129"/>
      <c r="L2235" s="403">
        <f t="shared" si="250"/>
        <v>46033</v>
      </c>
      <c r="M2235" s="56" t="str">
        <f t="shared" si="251"/>
        <v>SUN</v>
      </c>
      <c r="O2235" s="383">
        <f t="shared" si="255"/>
        <v>0</v>
      </c>
      <c r="P2235" s="392">
        <f t="shared" si="254"/>
        <v>1</v>
      </c>
    </row>
    <row r="2236" spans="1:16">
      <c r="A2236" s="71"/>
      <c r="B2236" s="176"/>
      <c r="C2236" s="403">
        <f t="shared" si="252"/>
        <v>46034</v>
      </c>
      <c r="D2236" s="56" t="str">
        <f>VLOOKUP(MOD(C2236,7),'CALENDAR INFO'!$G$5:$H$11,2)</f>
        <v>MON</v>
      </c>
      <c r="E2236" s="165">
        <v>3.64</v>
      </c>
      <c r="F2236" s="336">
        <v>3.64</v>
      </c>
      <c r="G2236" s="411">
        <f t="shared" si="249"/>
        <v>0</v>
      </c>
      <c r="I2236" s="171"/>
      <c r="J2236" s="172"/>
      <c r="K2236" s="129"/>
      <c r="L2236" s="403">
        <f t="shared" si="250"/>
        <v>46034</v>
      </c>
      <c r="M2236" s="56" t="str">
        <f t="shared" si="251"/>
        <v>MON</v>
      </c>
      <c r="O2236" s="383">
        <f t="shared" si="255"/>
        <v>1</v>
      </c>
      <c r="P2236" s="392">
        <f t="shared" si="254"/>
        <v>1.0001011111111111</v>
      </c>
    </row>
    <row r="2237" spans="1:16">
      <c r="A2237" s="71"/>
      <c r="B2237" s="176"/>
      <c r="C2237" s="403">
        <f t="shared" si="252"/>
        <v>46035</v>
      </c>
      <c r="D2237" s="56" t="str">
        <f>VLOOKUP(MOD(C2237,7),'CALENDAR INFO'!$G$5:$H$11,2)</f>
        <v>TUE</v>
      </c>
      <c r="E2237" s="165">
        <v>3.64</v>
      </c>
      <c r="F2237" s="336">
        <v>3.65</v>
      </c>
      <c r="G2237" s="411">
        <f t="shared" si="249"/>
        <v>9.9999999999997868E-3</v>
      </c>
      <c r="I2237" s="171"/>
      <c r="J2237" s="172"/>
      <c r="K2237" s="129"/>
      <c r="L2237" s="403">
        <f t="shared" si="250"/>
        <v>46035</v>
      </c>
      <c r="M2237" s="56" t="str">
        <f t="shared" si="251"/>
        <v>TUE</v>
      </c>
      <c r="O2237" s="383">
        <f t="shared" si="255"/>
        <v>1</v>
      </c>
      <c r="P2237" s="392">
        <f t="shared" si="254"/>
        <v>1.000101388888889</v>
      </c>
    </row>
    <row r="2238" spans="1:16">
      <c r="A2238" s="71"/>
      <c r="B2238" s="176"/>
      <c r="C2238" s="403">
        <f t="shared" si="252"/>
        <v>46036</v>
      </c>
      <c r="D2238" s="56" t="str">
        <f>VLOOKUP(MOD(C2238,7),'CALENDAR INFO'!$G$5:$H$11,2)</f>
        <v>WED</v>
      </c>
      <c r="E2238" s="165">
        <v>3.64</v>
      </c>
      <c r="F2238" s="336">
        <v>3.64</v>
      </c>
      <c r="G2238" s="411">
        <f t="shared" si="249"/>
        <v>0</v>
      </c>
      <c r="I2238" s="137"/>
      <c r="J2238" s="150"/>
      <c r="K2238" s="129"/>
      <c r="L2238" s="403">
        <f t="shared" si="250"/>
        <v>46036</v>
      </c>
      <c r="M2238" s="56" t="str">
        <f t="shared" si="251"/>
        <v>WED</v>
      </c>
      <c r="O2238" s="383">
        <f t="shared" si="255"/>
        <v>1</v>
      </c>
      <c r="P2238" s="392">
        <f t="shared" si="254"/>
        <v>1.0001011111111111</v>
      </c>
    </row>
    <row r="2239" spans="1:16">
      <c r="A2239" s="71"/>
      <c r="B2239" s="176"/>
      <c r="C2239" s="403">
        <f t="shared" si="252"/>
        <v>46037</v>
      </c>
      <c r="D2239" s="56" t="str">
        <f>VLOOKUP(MOD(C2239,7),'CALENDAR INFO'!$G$5:$H$11,2)</f>
        <v>THU</v>
      </c>
      <c r="E2239" s="165">
        <v>3.64</v>
      </c>
      <c r="F2239" s="336">
        <v>3.66</v>
      </c>
      <c r="G2239" s="411">
        <f t="shared" si="249"/>
        <v>2.0000000000000018E-2</v>
      </c>
      <c r="K2239" s="129"/>
      <c r="L2239" s="403">
        <f t="shared" si="250"/>
        <v>46037</v>
      </c>
      <c r="M2239" s="56" t="str">
        <f t="shared" si="251"/>
        <v>THU</v>
      </c>
      <c r="O2239" s="383">
        <f t="shared" si="255"/>
        <v>1</v>
      </c>
      <c r="P2239" s="392">
        <f t="shared" si="254"/>
        <v>1.0001016666666667</v>
      </c>
    </row>
    <row r="2240" spans="1:16">
      <c r="A2240" s="71"/>
      <c r="B2240" s="176"/>
      <c r="C2240" s="403">
        <f t="shared" si="252"/>
        <v>46038</v>
      </c>
      <c r="D2240" s="56" t="str">
        <f>VLOOKUP(MOD(C2240,7),'CALENDAR INFO'!$G$5:$H$11,2)</f>
        <v>FRI</v>
      </c>
      <c r="E2240" s="165">
        <v>3.64</v>
      </c>
      <c r="F2240" s="336">
        <v>3.66</v>
      </c>
      <c r="G2240" s="411">
        <f t="shared" si="249"/>
        <v>2.0000000000000018E-2</v>
      </c>
      <c r="I2240" s="137"/>
      <c r="J2240" s="150"/>
      <c r="K2240" s="129"/>
      <c r="L2240" s="403">
        <f t="shared" si="250"/>
        <v>46038</v>
      </c>
      <c r="M2240" s="56" t="str">
        <f t="shared" si="251"/>
        <v>FRI</v>
      </c>
      <c r="O2240" s="384">
        <v>4</v>
      </c>
      <c r="P2240" s="392">
        <f t="shared" si="254"/>
        <v>1.0004066666666667</v>
      </c>
    </row>
    <row r="2241" spans="1:16">
      <c r="A2241" s="71"/>
      <c r="B2241" s="176"/>
      <c r="C2241" s="403">
        <f t="shared" si="252"/>
        <v>46039</v>
      </c>
      <c r="D2241" s="56" t="str">
        <f>VLOOKUP(MOD(C2241,7),'CALENDAR INFO'!$G$5:$H$11,2)</f>
        <v>SAT</v>
      </c>
      <c r="E2241" s="165">
        <v>3.64</v>
      </c>
      <c r="F2241" s="336">
        <v>3.66</v>
      </c>
      <c r="G2241" s="411">
        <f t="shared" si="249"/>
        <v>2.0000000000000018E-2</v>
      </c>
      <c r="I2241" s="137"/>
      <c r="J2241" s="150"/>
      <c r="K2241" s="129"/>
      <c r="L2241" s="403">
        <f t="shared" si="250"/>
        <v>46039</v>
      </c>
      <c r="M2241" s="56" t="str">
        <f t="shared" si="251"/>
        <v>SAT</v>
      </c>
      <c r="O2241" s="383">
        <f>IF(MOD(C2241,7)&lt;2,0,IF(MOD(C2241,7)=6,3,1))</f>
        <v>0</v>
      </c>
      <c r="P2241" s="392">
        <f t="shared" si="254"/>
        <v>1</v>
      </c>
    </row>
    <row r="2242" spans="1:16">
      <c r="A2242" s="71"/>
      <c r="B2242" s="176"/>
      <c r="C2242" s="403">
        <f t="shared" si="252"/>
        <v>46040</v>
      </c>
      <c r="D2242" s="56" t="str">
        <f>VLOOKUP(MOD(C2242,7),'CALENDAR INFO'!$G$5:$H$11,2)</f>
        <v>SUN</v>
      </c>
      <c r="E2242" s="165">
        <v>3.64</v>
      </c>
      <c r="F2242" s="336">
        <v>3.66</v>
      </c>
      <c r="G2242" s="411">
        <f t="shared" si="249"/>
        <v>2.0000000000000018E-2</v>
      </c>
      <c r="I2242" s="311"/>
      <c r="J2242" s="312"/>
      <c r="K2242" s="129"/>
      <c r="L2242" s="403">
        <f t="shared" si="250"/>
        <v>46040</v>
      </c>
      <c r="M2242" s="56" t="str">
        <f t="shared" si="251"/>
        <v>SUN</v>
      </c>
      <c r="O2242" s="383">
        <f>IF(MOD(C2242,7)&lt;2,0,IF(MOD(C2242,7)=6,3,1))</f>
        <v>0</v>
      </c>
      <c r="P2242" s="392">
        <f t="shared" si="254"/>
        <v>1</v>
      </c>
    </row>
    <row r="2243" spans="1:16">
      <c r="A2243" s="71"/>
      <c r="B2243" s="176"/>
      <c r="C2243" s="403">
        <f t="shared" si="252"/>
        <v>46041</v>
      </c>
      <c r="D2243" s="56" t="str">
        <f>VLOOKUP(MOD(C2243,7),'CALENDAR INFO'!$G$5:$H$11,2)</f>
        <v>MON</v>
      </c>
      <c r="E2243" s="165">
        <v>3.64</v>
      </c>
      <c r="F2243" s="336">
        <v>3.66</v>
      </c>
      <c r="G2243" s="411">
        <f t="shared" ref="G2243:G2306" si="256">F2243-E2243</f>
        <v>2.0000000000000018E-2</v>
      </c>
      <c r="I2243" s="141"/>
      <c r="J2243" s="158"/>
      <c r="K2243" s="129"/>
      <c r="L2243" s="403">
        <f t="shared" ref="L2243:L2306" si="257">C2243</f>
        <v>46041</v>
      </c>
      <c r="M2243" s="56" t="str">
        <f t="shared" ref="M2243:M2306" si="258">D2243</f>
        <v>MON</v>
      </c>
      <c r="N2243" s="132" t="s">
        <v>102</v>
      </c>
      <c r="O2243" s="384">
        <v>0</v>
      </c>
      <c r="P2243" s="392">
        <f t="shared" si="254"/>
        <v>1</v>
      </c>
    </row>
    <row r="2244" spans="1:16">
      <c r="A2244" s="71"/>
      <c r="B2244" s="176"/>
      <c r="C2244" s="403">
        <f t="shared" ref="C2244:C2307" si="259">C2243+1</f>
        <v>46042</v>
      </c>
      <c r="D2244" s="56" t="str">
        <f>VLOOKUP(MOD(C2244,7),'CALENDAR INFO'!$G$5:$H$11,2)</f>
        <v>TUE</v>
      </c>
      <c r="E2244" s="165">
        <v>3.64</v>
      </c>
      <c r="F2244" s="336">
        <v>3.64</v>
      </c>
      <c r="G2244" s="411">
        <f t="shared" si="256"/>
        <v>0</v>
      </c>
      <c r="I2244" s="137"/>
      <c r="J2244" s="150"/>
      <c r="K2244" s="129"/>
      <c r="L2244" s="403">
        <f t="shared" si="257"/>
        <v>46042</v>
      </c>
      <c r="M2244" s="56" t="str">
        <f t="shared" si="258"/>
        <v>TUE</v>
      </c>
      <c r="O2244" s="383">
        <f t="shared" ref="O2244:O2267" si="260">IF(MOD(C2244,7)&lt;2,0,IF(MOD(C2244,7)=6,3,1))</f>
        <v>1</v>
      </c>
      <c r="P2244" s="392">
        <f t="shared" si="254"/>
        <v>1.0001011111111111</v>
      </c>
    </row>
    <row r="2245" spans="1:16">
      <c r="A2245" s="71"/>
      <c r="B2245" s="176"/>
      <c r="C2245" s="403">
        <f t="shared" si="259"/>
        <v>46043</v>
      </c>
      <c r="D2245" s="56" t="str">
        <f>VLOOKUP(MOD(C2245,7),'CALENDAR INFO'!$G$5:$H$11,2)</f>
        <v>WED</v>
      </c>
      <c r="E2245" s="165">
        <v>3.64</v>
      </c>
      <c r="F2245" s="336">
        <v>3.63</v>
      </c>
      <c r="G2245" s="411">
        <f t="shared" si="256"/>
        <v>-1.0000000000000231E-2</v>
      </c>
      <c r="K2245" s="129" t="s">
        <v>19</v>
      </c>
      <c r="L2245" s="403">
        <f t="shared" si="257"/>
        <v>46043</v>
      </c>
      <c r="M2245" s="56" t="str">
        <f t="shared" si="258"/>
        <v>WED</v>
      </c>
      <c r="O2245" s="383">
        <f t="shared" si="260"/>
        <v>1</v>
      </c>
      <c r="P2245" s="392">
        <f t="shared" si="254"/>
        <v>1.0001008333333334</v>
      </c>
    </row>
    <row r="2246" spans="1:16">
      <c r="A2246" s="71"/>
      <c r="B2246" s="176"/>
      <c r="C2246" s="403">
        <f t="shared" si="259"/>
        <v>46044</v>
      </c>
      <c r="D2246" s="56" t="str">
        <f>VLOOKUP(MOD(C2246,7),'CALENDAR INFO'!$G$5:$H$11,2)</f>
        <v>THU</v>
      </c>
      <c r="E2246" s="165">
        <v>3.64</v>
      </c>
      <c r="F2246" s="336">
        <v>3.64</v>
      </c>
      <c r="G2246" s="411">
        <f t="shared" si="256"/>
        <v>0</v>
      </c>
      <c r="K2246" s="126" t="s">
        <v>18</v>
      </c>
      <c r="L2246" s="403">
        <f t="shared" si="257"/>
        <v>46044</v>
      </c>
      <c r="M2246" s="56" t="str">
        <f t="shared" si="258"/>
        <v>THU</v>
      </c>
      <c r="O2246" s="383">
        <f t="shared" si="260"/>
        <v>1</v>
      </c>
      <c r="P2246" s="392">
        <f t="shared" si="254"/>
        <v>1.0001011111111111</v>
      </c>
    </row>
    <row r="2247" spans="1:16">
      <c r="A2247" s="71"/>
      <c r="B2247" s="176"/>
      <c r="C2247" s="403">
        <f t="shared" si="259"/>
        <v>46045</v>
      </c>
      <c r="D2247" s="56" t="str">
        <f>VLOOKUP(MOD(C2247,7),'CALENDAR INFO'!$G$5:$H$11,2)</f>
        <v>FRI</v>
      </c>
      <c r="E2247" s="165">
        <v>3.64</v>
      </c>
      <c r="F2247" s="336">
        <v>3.65</v>
      </c>
      <c r="G2247" s="411">
        <f t="shared" si="256"/>
        <v>9.9999999999997868E-3</v>
      </c>
      <c r="I2247" s="313"/>
      <c r="J2247" s="314"/>
      <c r="K2247" s="126"/>
      <c r="L2247" s="403">
        <f t="shared" si="257"/>
        <v>46045</v>
      </c>
      <c r="M2247" s="56" t="str">
        <f t="shared" si="258"/>
        <v>FRI</v>
      </c>
      <c r="O2247" s="383">
        <f t="shared" si="260"/>
        <v>3</v>
      </c>
      <c r="P2247" s="392">
        <f t="shared" si="254"/>
        <v>1.0003041666666668</v>
      </c>
    </row>
    <row r="2248" spans="1:16">
      <c r="A2248" s="71"/>
      <c r="B2248" s="176"/>
      <c r="C2248" s="403">
        <f t="shared" si="259"/>
        <v>46046</v>
      </c>
      <c r="D2248" s="56" t="str">
        <f>VLOOKUP(MOD(C2248,7),'CALENDAR INFO'!$G$5:$H$11,2)</f>
        <v>SAT</v>
      </c>
      <c r="E2248" s="165">
        <v>3.64</v>
      </c>
      <c r="F2248" s="336">
        <v>3.65</v>
      </c>
      <c r="G2248" s="411">
        <f t="shared" si="256"/>
        <v>9.9999999999997868E-3</v>
      </c>
      <c r="I2248" s="115"/>
      <c r="J2248" s="159"/>
      <c r="K2248" s="126"/>
      <c r="L2248" s="403">
        <f t="shared" si="257"/>
        <v>46046</v>
      </c>
      <c r="M2248" s="56" t="str">
        <f t="shared" si="258"/>
        <v>SAT</v>
      </c>
      <c r="O2248" s="383">
        <f t="shared" si="260"/>
        <v>0</v>
      </c>
      <c r="P2248" s="392">
        <f t="shared" si="254"/>
        <v>1</v>
      </c>
    </row>
    <row r="2249" spans="1:16">
      <c r="A2249" s="71"/>
      <c r="B2249" s="176"/>
      <c r="C2249" s="403">
        <f t="shared" si="259"/>
        <v>46047</v>
      </c>
      <c r="D2249" s="56" t="str">
        <f>VLOOKUP(MOD(C2249,7),'CALENDAR INFO'!$G$5:$H$11,2)</f>
        <v>SUN</v>
      </c>
      <c r="E2249" s="165">
        <v>3.64</v>
      </c>
      <c r="F2249" s="336">
        <v>3.65</v>
      </c>
      <c r="G2249" s="411">
        <f t="shared" si="256"/>
        <v>9.9999999999997868E-3</v>
      </c>
      <c r="I2249" s="137"/>
      <c r="J2249" s="150"/>
      <c r="K2249" s="126"/>
      <c r="L2249" s="403">
        <f t="shared" si="257"/>
        <v>46047</v>
      </c>
      <c r="M2249" s="56" t="str">
        <f t="shared" si="258"/>
        <v>SUN</v>
      </c>
      <c r="O2249" s="383">
        <f t="shared" si="260"/>
        <v>0</v>
      </c>
      <c r="P2249" s="392">
        <f t="shared" si="254"/>
        <v>1</v>
      </c>
    </row>
    <row r="2250" spans="1:16">
      <c r="A2250" s="71"/>
      <c r="B2250" s="176"/>
      <c r="C2250" s="403">
        <f t="shared" si="259"/>
        <v>46048</v>
      </c>
      <c r="D2250" s="56" t="str">
        <f>VLOOKUP(MOD(C2250,7),'CALENDAR INFO'!$G$5:$H$11,2)</f>
        <v>MON</v>
      </c>
      <c r="E2250" s="165">
        <v>3.64</v>
      </c>
      <c r="F2250" s="336">
        <v>3.66</v>
      </c>
      <c r="G2250" s="411">
        <f t="shared" si="256"/>
        <v>2.0000000000000018E-2</v>
      </c>
      <c r="I2250" s="137"/>
      <c r="J2250" s="150"/>
      <c r="K2250" s="126"/>
      <c r="L2250" s="403">
        <f t="shared" si="257"/>
        <v>46048</v>
      </c>
      <c r="M2250" s="56" t="str">
        <f t="shared" si="258"/>
        <v>MON</v>
      </c>
      <c r="O2250" s="383">
        <f t="shared" si="260"/>
        <v>1</v>
      </c>
      <c r="P2250" s="392">
        <f t="shared" si="254"/>
        <v>1.0001016666666667</v>
      </c>
    </row>
    <row r="2251" spans="1:16">
      <c r="A2251" s="71"/>
      <c r="B2251" s="176"/>
      <c r="C2251" s="403">
        <f t="shared" si="259"/>
        <v>46049</v>
      </c>
      <c r="D2251" s="56" t="str">
        <f>VLOOKUP(MOD(C2251,7),'CALENDAR INFO'!$G$5:$H$11,2)</f>
        <v>TUE</v>
      </c>
      <c r="E2251" s="165">
        <v>3.64</v>
      </c>
      <c r="F2251" s="336">
        <v>3.66</v>
      </c>
      <c r="G2251" s="411">
        <f t="shared" si="256"/>
        <v>2.0000000000000018E-2</v>
      </c>
      <c r="I2251" s="171"/>
      <c r="J2251" s="172"/>
      <c r="K2251" s="126"/>
      <c r="L2251" s="403">
        <f t="shared" si="257"/>
        <v>46049</v>
      </c>
      <c r="M2251" s="56" t="str">
        <f t="shared" si="258"/>
        <v>TUE</v>
      </c>
      <c r="N2251" s="116" t="s">
        <v>20</v>
      </c>
      <c r="O2251" s="383">
        <f t="shared" si="260"/>
        <v>1</v>
      </c>
      <c r="P2251" s="392">
        <f t="shared" si="254"/>
        <v>1.0001016666666667</v>
      </c>
    </row>
    <row r="2252" spans="1:16">
      <c r="A2252" s="71"/>
      <c r="B2252" s="176"/>
      <c r="C2252" s="403">
        <f t="shared" si="259"/>
        <v>46050</v>
      </c>
      <c r="D2252" s="56" t="str">
        <f>VLOOKUP(MOD(C2252,7),'CALENDAR INFO'!$G$5:$H$11,2)</f>
        <v>WED</v>
      </c>
      <c r="E2252" s="165">
        <v>3.64</v>
      </c>
      <c r="F2252" s="336">
        <v>3.64</v>
      </c>
      <c r="G2252" s="411">
        <f t="shared" si="256"/>
        <v>0</v>
      </c>
      <c r="I2252" s="137"/>
      <c r="J2252" s="150"/>
      <c r="K2252" s="126"/>
      <c r="L2252" s="403">
        <f t="shared" si="257"/>
        <v>46050</v>
      </c>
      <c r="M2252" s="56" t="str">
        <f t="shared" si="258"/>
        <v>WED</v>
      </c>
      <c r="N2252" s="116" t="s">
        <v>20</v>
      </c>
      <c r="O2252" s="383">
        <f t="shared" si="260"/>
        <v>1</v>
      </c>
      <c r="P2252" s="392">
        <f t="shared" si="254"/>
        <v>1.0001011111111111</v>
      </c>
    </row>
    <row r="2253" spans="1:16">
      <c r="A2253" s="238"/>
      <c r="B2253" s="239"/>
      <c r="C2253" s="403">
        <f t="shared" si="259"/>
        <v>46051</v>
      </c>
      <c r="D2253" s="56" t="str">
        <f>VLOOKUP(MOD(C2253,7),'CALENDAR INFO'!$G$5:$H$11,2)</f>
        <v>THU</v>
      </c>
      <c r="E2253" s="165">
        <v>3.64</v>
      </c>
      <c r="F2253" s="336">
        <v>3.65</v>
      </c>
      <c r="G2253" s="411">
        <f t="shared" si="256"/>
        <v>9.9999999999997868E-3</v>
      </c>
      <c r="K2253" s="126"/>
      <c r="L2253" s="403">
        <f t="shared" si="257"/>
        <v>46051</v>
      </c>
      <c r="M2253" s="56" t="str">
        <f t="shared" si="258"/>
        <v>THU</v>
      </c>
      <c r="O2253" s="383">
        <f t="shared" si="260"/>
        <v>1</v>
      </c>
      <c r="P2253" s="392">
        <f t="shared" si="254"/>
        <v>1.000101388888889</v>
      </c>
    </row>
    <row r="2254" spans="1:16">
      <c r="A2254" s="238"/>
      <c r="B2254" s="239"/>
      <c r="C2254" s="403">
        <f t="shared" si="259"/>
        <v>46052</v>
      </c>
      <c r="D2254" s="56" t="str">
        <f>VLOOKUP(MOD(C2254,7),'CALENDAR INFO'!$G$5:$H$11,2)</f>
        <v>FRI</v>
      </c>
      <c r="E2254" s="165">
        <v>3.64</v>
      </c>
      <c r="F2254" s="336">
        <v>3.68</v>
      </c>
      <c r="G2254" s="411">
        <f t="shared" si="256"/>
        <v>4.0000000000000036E-2</v>
      </c>
      <c r="K2254" s="126"/>
      <c r="L2254" s="403">
        <f t="shared" si="257"/>
        <v>46052</v>
      </c>
      <c r="M2254" s="56" t="str">
        <f t="shared" si="258"/>
        <v>FRI</v>
      </c>
      <c r="O2254" s="383">
        <f t="shared" si="260"/>
        <v>3</v>
      </c>
      <c r="P2254" s="392">
        <f t="shared" si="254"/>
        <v>1.0003066666666667</v>
      </c>
    </row>
    <row r="2255" spans="1:16" ht="15.75" thickBot="1">
      <c r="A2255" s="238"/>
      <c r="B2255" s="239"/>
      <c r="C2255" s="403">
        <f t="shared" si="259"/>
        <v>46053</v>
      </c>
      <c r="D2255" s="56" t="str">
        <f>VLOOKUP(MOD(C2255,7),'CALENDAR INFO'!$G$5:$H$11,2)</f>
        <v>SAT</v>
      </c>
      <c r="E2255" s="165">
        <v>3.64</v>
      </c>
      <c r="F2255" s="336">
        <v>3.68</v>
      </c>
      <c r="G2255" s="411">
        <f t="shared" si="256"/>
        <v>4.0000000000000036E-2</v>
      </c>
      <c r="H2255" s="274"/>
      <c r="I2255" s="332"/>
      <c r="J2255" s="333"/>
      <c r="K2255" s="126"/>
      <c r="L2255" s="403">
        <f t="shared" si="257"/>
        <v>46053</v>
      </c>
      <c r="M2255" s="56" t="str">
        <f t="shared" si="258"/>
        <v>SAT</v>
      </c>
      <c r="O2255" s="383">
        <f t="shared" si="260"/>
        <v>0</v>
      </c>
      <c r="P2255" s="392">
        <f t="shared" si="254"/>
        <v>1</v>
      </c>
    </row>
    <row r="2256" spans="1:16">
      <c r="A2256" s="231"/>
      <c r="B2256" s="232"/>
      <c r="C2256" s="406">
        <f t="shared" si="259"/>
        <v>46054</v>
      </c>
      <c r="D2256" s="86" t="str">
        <f>VLOOKUP(MOD(C2256,7),'CALENDAR INFO'!$G$5:$H$11,2)</f>
        <v>SUN</v>
      </c>
      <c r="E2256" s="168">
        <v>3.64</v>
      </c>
      <c r="F2256" s="340">
        <v>3.68</v>
      </c>
      <c r="G2256" s="414">
        <f t="shared" si="256"/>
        <v>4.0000000000000036E-2</v>
      </c>
      <c r="H2256" s="15" t="s">
        <v>149</v>
      </c>
      <c r="I2256" s="15">
        <f>ROW(I2256)</f>
        <v>2256</v>
      </c>
      <c r="J2256" s="138">
        <f>I2256</f>
        <v>2256</v>
      </c>
      <c r="K2256" s="88"/>
      <c r="L2256" s="406">
        <f t="shared" si="257"/>
        <v>46054</v>
      </c>
      <c r="M2256" s="86" t="str">
        <f t="shared" si="258"/>
        <v>SUN</v>
      </c>
      <c r="N2256" s="89"/>
      <c r="O2256" s="386">
        <f t="shared" si="260"/>
        <v>0</v>
      </c>
      <c r="P2256" s="390">
        <f t="shared" si="254"/>
        <v>1</v>
      </c>
    </row>
    <row r="2257" spans="1:16">
      <c r="A2257" s="71"/>
      <c r="B2257" s="176"/>
      <c r="C2257" s="403">
        <f t="shared" si="259"/>
        <v>46055</v>
      </c>
      <c r="D2257" s="56" t="str">
        <f>VLOOKUP(MOD(C2257,7),'CALENDAR INFO'!$G$5:$H$11,2)</f>
        <v>MON</v>
      </c>
      <c r="E2257" s="165">
        <v>3.64</v>
      </c>
      <c r="F2257" s="336">
        <v>3.69</v>
      </c>
      <c r="G2257" s="411">
        <f t="shared" si="256"/>
        <v>4.9999999999999822E-2</v>
      </c>
      <c r="H2257" s="376" t="s">
        <v>210</v>
      </c>
      <c r="I2257" s="15">
        <f>VLOOKUP(MONTH($C2256),'CALENDAR INFO'!$J$5:$K$16,2)</f>
        <v>28</v>
      </c>
      <c r="J2257" s="138">
        <f>I2257</f>
        <v>28</v>
      </c>
      <c r="K2257" s="126"/>
      <c r="L2257" s="403">
        <f t="shared" si="257"/>
        <v>46055</v>
      </c>
      <c r="M2257" s="56" t="str">
        <f t="shared" si="258"/>
        <v>MON</v>
      </c>
      <c r="O2257" s="383">
        <f t="shared" si="260"/>
        <v>1</v>
      </c>
      <c r="P2257" s="392">
        <f t="shared" si="254"/>
        <v>1.0001024999999999</v>
      </c>
    </row>
    <row r="2258" spans="1:16">
      <c r="A2258" s="71"/>
      <c r="B2258" s="176"/>
      <c r="C2258" s="403">
        <f t="shared" si="259"/>
        <v>46056</v>
      </c>
      <c r="D2258" s="56" t="str">
        <f>VLOOKUP(MOD(C2258,7),'CALENDAR INFO'!$G$5:$H$11,2)</f>
        <v>TUE</v>
      </c>
      <c r="E2258" s="165">
        <v>3.64</v>
      </c>
      <c r="F2258" s="336">
        <v>3.69</v>
      </c>
      <c r="G2258" s="411">
        <f t="shared" si="256"/>
        <v>4.9999999999999822E-2</v>
      </c>
      <c r="H2258" s="376" t="s">
        <v>211</v>
      </c>
      <c r="I2258" s="15">
        <f>I2257+I2256-1</f>
        <v>2283</v>
      </c>
      <c r="J2258" s="138">
        <f>I2258</f>
        <v>2283</v>
      </c>
      <c r="K2258" s="126"/>
      <c r="L2258" s="403">
        <f t="shared" si="257"/>
        <v>46056</v>
      </c>
      <c r="M2258" s="56" t="str">
        <f t="shared" si="258"/>
        <v>TUE</v>
      </c>
      <c r="O2258" s="383">
        <f t="shared" si="260"/>
        <v>1</v>
      </c>
      <c r="P2258" s="392">
        <f t="shared" si="254"/>
        <v>1.0001024999999999</v>
      </c>
    </row>
    <row r="2259" spans="1:16">
      <c r="A2259" s="71"/>
      <c r="B2259" s="176"/>
      <c r="C2259" s="403">
        <f t="shared" si="259"/>
        <v>46057</v>
      </c>
      <c r="D2259" s="56" t="str">
        <f>VLOOKUP(MOD(C2259,7),'CALENDAR INFO'!$G$5:$H$11,2)</f>
        <v>WED</v>
      </c>
      <c r="E2259" s="165">
        <v>3.64</v>
      </c>
      <c r="F2259" s="336">
        <v>3.65</v>
      </c>
      <c r="G2259" s="411">
        <f t="shared" si="256"/>
        <v>9.9999999999997868E-3</v>
      </c>
      <c r="K2259" s="126" t="s">
        <v>19</v>
      </c>
      <c r="L2259" s="403">
        <f t="shared" si="257"/>
        <v>46057</v>
      </c>
      <c r="M2259" s="56" t="str">
        <f t="shared" si="258"/>
        <v>WED</v>
      </c>
      <c r="O2259" s="383">
        <f t="shared" si="260"/>
        <v>1</v>
      </c>
      <c r="P2259" s="392">
        <f t="shared" ref="P2259:P2322" si="261">1+(O2259/360)*(MAX(F2259,B2259)/100)</f>
        <v>1.000101388888889</v>
      </c>
    </row>
    <row r="2260" spans="1:16">
      <c r="A2260" s="71"/>
      <c r="B2260" s="176"/>
      <c r="C2260" s="403">
        <f t="shared" si="259"/>
        <v>46058</v>
      </c>
      <c r="D2260" s="56" t="str">
        <f>VLOOKUP(MOD(C2260,7),'CALENDAR INFO'!$G$5:$H$11,2)</f>
        <v>THU</v>
      </c>
      <c r="E2260" s="165">
        <v>3.64</v>
      </c>
      <c r="F2260" s="336">
        <v>3.65</v>
      </c>
      <c r="G2260" s="411">
        <f t="shared" si="256"/>
        <v>9.9999999999997868E-3</v>
      </c>
      <c r="H2260" s="15" t="s">
        <v>150</v>
      </c>
      <c r="I2260" s="137" t="str">
        <f>_xlfn.CONCAT(ADDRESS(I2256,5),":",ADDRESS(I2258,5))</f>
        <v>$E$2256:$E$2283</v>
      </c>
      <c r="J2260" s="150" t="str">
        <f>_xlfn.CONCAT(ADDRESS(J2256,6),":",ADDRESS(J2258,6))</f>
        <v>$F$2256:$F$2283</v>
      </c>
      <c r="K2260" s="129" t="s">
        <v>18</v>
      </c>
      <c r="L2260" s="403">
        <f t="shared" si="257"/>
        <v>46058</v>
      </c>
      <c r="M2260" s="56" t="str">
        <f t="shared" si="258"/>
        <v>THU</v>
      </c>
      <c r="O2260" s="383">
        <f t="shared" si="260"/>
        <v>1</v>
      </c>
      <c r="P2260" s="392">
        <f t="shared" si="261"/>
        <v>1.000101388888889</v>
      </c>
    </row>
    <row r="2261" spans="1:16">
      <c r="A2261" s="71"/>
      <c r="B2261" s="176"/>
      <c r="C2261" s="403">
        <f t="shared" si="259"/>
        <v>46059</v>
      </c>
      <c r="D2261" s="56" t="str">
        <f>VLOOKUP(MOD(C2261,7),'CALENDAR INFO'!$G$5:$H$11,2)</f>
        <v>FRI</v>
      </c>
      <c r="E2261" s="165">
        <v>3.64</v>
      </c>
      <c r="F2261" s="336">
        <v>3.64</v>
      </c>
      <c r="G2261" s="411">
        <f t="shared" si="256"/>
        <v>0</v>
      </c>
      <c r="K2261" s="129"/>
      <c r="L2261" s="403">
        <f t="shared" si="257"/>
        <v>46059</v>
      </c>
      <c r="M2261" s="56" t="str">
        <f t="shared" si="258"/>
        <v>FRI</v>
      </c>
      <c r="O2261" s="383">
        <f t="shared" si="260"/>
        <v>3</v>
      </c>
      <c r="P2261" s="392">
        <f t="shared" si="261"/>
        <v>1.0003033333333333</v>
      </c>
    </row>
    <row r="2262" spans="1:16">
      <c r="A2262" s="71"/>
      <c r="B2262" s="176"/>
      <c r="C2262" s="403">
        <f t="shared" si="259"/>
        <v>46060</v>
      </c>
      <c r="D2262" s="56" t="str">
        <f>VLOOKUP(MOD(C2262,7),'CALENDAR INFO'!$G$5:$H$11,2)</f>
        <v>SAT</v>
      </c>
      <c r="E2262" s="165">
        <v>3.64</v>
      </c>
      <c r="F2262" s="336">
        <v>3.64</v>
      </c>
      <c r="G2262" s="411">
        <f t="shared" si="256"/>
        <v>0</v>
      </c>
      <c r="H2262" s="376" t="s">
        <v>221</v>
      </c>
      <c r="I2262" s="147">
        <f ca="1">AVERAGE(INDIRECT(I2260))</f>
        <v>3.64</v>
      </c>
      <c r="J2262" s="326">
        <f ca="1">AVERAGE(INDIRECT(J2260))</f>
        <v>3.6649999999999996</v>
      </c>
      <c r="K2262" s="129"/>
      <c r="L2262" s="403">
        <f t="shared" si="257"/>
        <v>46060</v>
      </c>
      <c r="M2262" s="56" t="str">
        <f t="shared" si="258"/>
        <v>SAT</v>
      </c>
      <c r="O2262" s="383">
        <f t="shared" si="260"/>
        <v>0</v>
      </c>
      <c r="P2262" s="392">
        <f t="shared" si="261"/>
        <v>1</v>
      </c>
    </row>
    <row r="2263" spans="1:16">
      <c r="A2263" s="71"/>
      <c r="B2263" s="176"/>
      <c r="C2263" s="403">
        <f t="shared" si="259"/>
        <v>46061</v>
      </c>
      <c r="D2263" s="56" t="str">
        <f>VLOOKUP(MOD(C2263,7),'CALENDAR INFO'!$G$5:$H$11,2)</f>
        <v>SUN</v>
      </c>
      <c r="E2263" s="165">
        <v>3.64</v>
      </c>
      <c r="F2263" s="336">
        <v>3.64</v>
      </c>
      <c r="G2263" s="411">
        <f t="shared" si="256"/>
        <v>0</v>
      </c>
      <c r="H2263" s="135"/>
      <c r="K2263" s="129"/>
      <c r="L2263" s="403">
        <f t="shared" si="257"/>
        <v>46061</v>
      </c>
      <c r="M2263" s="56" t="str">
        <f t="shared" si="258"/>
        <v>SUN</v>
      </c>
      <c r="O2263" s="383">
        <f t="shared" si="260"/>
        <v>0</v>
      </c>
      <c r="P2263" s="392">
        <f t="shared" si="261"/>
        <v>1</v>
      </c>
    </row>
    <row r="2264" spans="1:16">
      <c r="A2264" s="71"/>
      <c r="B2264" s="176"/>
      <c r="C2264" s="403">
        <f t="shared" si="259"/>
        <v>46062</v>
      </c>
      <c r="D2264" s="56" t="str">
        <f>VLOOKUP(MOD(C2264,7),'CALENDAR INFO'!$G$5:$H$11,2)</f>
        <v>MON</v>
      </c>
      <c r="E2264" s="165">
        <v>3.64</v>
      </c>
      <c r="F2264" s="336">
        <v>3.63</v>
      </c>
      <c r="G2264" s="411">
        <f t="shared" si="256"/>
        <v>-1.0000000000000231E-2</v>
      </c>
      <c r="H2264" s="15" t="s">
        <v>222</v>
      </c>
      <c r="I2264" s="147">
        <f ca="1">100-I2262</f>
        <v>96.36</v>
      </c>
      <c r="J2264" s="326">
        <f ca="1">100-J2262</f>
        <v>96.334999999999994</v>
      </c>
      <c r="K2264" s="129"/>
      <c r="L2264" s="403">
        <f t="shared" si="257"/>
        <v>46062</v>
      </c>
      <c r="M2264" s="56" t="str">
        <f t="shared" si="258"/>
        <v>MON</v>
      </c>
      <c r="O2264" s="383">
        <f t="shared" si="260"/>
        <v>1</v>
      </c>
      <c r="P2264" s="392">
        <f t="shared" si="261"/>
        <v>1.0001008333333334</v>
      </c>
    </row>
    <row r="2265" spans="1:16">
      <c r="A2265" s="71"/>
      <c r="B2265" s="176"/>
      <c r="C2265" s="403">
        <f t="shared" si="259"/>
        <v>46063</v>
      </c>
      <c r="D2265" s="56" t="str">
        <f>VLOOKUP(MOD(C2265,7),'CALENDAR INFO'!$G$5:$H$11,2)</f>
        <v>TUE</v>
      </c>
      <c r="E2265" s="165">
        <v>3.64</v>
      </c>
      <c r="F2265" s="336">
        <v>3.65</v>
      </c>
      <c r="G2265" s="411">
        <f t="shared" si="256"/>
        <v>9.9999999999997868E-3</v>
      </c>
      <c r="I2265" s="137"/>
      <c r="J2265" s="150"/>
      <c r="K2265" s="129"/>
      <c r="L2265" s="403">
        <f t="shared" si="257"/>
        <v>46063</v>
      </c>
      <c r="M2265" s="56" t="str">
        <f t="shared" si="258"/>
        <v>TUE</v>
      </c>
      <c r="O2265" s="383">
        <f t="shared" si="260"/>
        <v>1</v>
      </c>
      <c r="P2265" s="392">
        <f t="shared" si="261"/>
        <v>1.000101388888889</v>
      </c>
    </row>
    <row r="2266" spans="1:16">
      <c r="A2266" s="71"/>
      <c r="B2266" s="176"/>
      <c r="C2266" s="403">
        <f t="shared" si="259"/>
        <v>46064</v>
      </c>
      <c r="D2266" s="56" t="str">
        <f>VLOOKUP(MOD(C2266,7),'CALENDAR INFO'!$G$5:$H$11,2)</f>
        <v>WED</v>
      </c>
      <c r="E2266" s="165">
        <v>3.64</v>
      </c>
      <c r="F2266" s="336">
        <v>3.65</v>
      </c>
      <c r="G2266" s="411">
        <f t="shared" si="256"/>
        <v>9.9999999999997868E-3</v>
      </c>
      <c r="I2266" s="171"/>
      <c r="J2266" s="172"/>
      <c r="K2266" s="129"/>
      <c r="L2266" s="403">
        <f t="shared" si="257"/>
        <v>46064</v>
      </c>
      <c r="M2266" s="56" t="str">
        <f t="shared" si="258"/>
        <v>WED</v>
      </c>
      <c r="O2266" s="383">
        <f t="shared" si="260"/>
        <v>1</v>
      </c>
      <c r="P2266" s="392">
        <f t="shared" si="261"/>
        <v>1.000101388888889</v>
      </c>
    </row>
    <row r="2267" spans="1:16">
      <c r="A2267" s="71"/>
      <c r="B2267" s="176"/>
      <c r="C2267" s="403">
        <f t="shared" si="259"/>
        <v>46065</v>
      </c>
      <c r="D2267" s="56" t="str">
        <f>VLOOKUP(MOD(C2267,7),'CALENDAR INFO'!$G$5:$H$11,2)</f>
        <v>THU</v>
      </c>
      <c r="E2267" s="165">
        <v>3.64</v>
      </c>
      <c r="F2267" s="336">
        <v>3.65</v>
      </c>
      <c r="G2267" s="411">
        <f t="shared" si="256"/>
        <v>9.9999999999997868E-3</v>
      </c>
      <c r="I2267" s="171"/>
      <c r="J2267" s="172"/>
      <c r="K2267" s="129"/>
      <c r="L2267" s="403">
        <f t="shared" si="257"/>
        <v>46065</v>
      </c>
      <c r="M2267" s="56" t="str">
        <f t="shared" si="258"/>
        <v>THU</v>
      </c>
      <c r="O2267" s="383">
        <f t="shared" si="260"/>
        <v>1</v>
      </c>
      <c r="P2267" s="392">
        <f t="shared" si="261"/>
        <v>1.000101388888889</v>
      </c>
    </row>
    <row r="2268" spans="1:16">
      <c r="A2268" s="71"/>
      <c r="B2268" s="176"/>
      <c r="C2268" s="403">
        <f t="shared" si="259"/>
        <v>46066</v>
      </c>
      <c r="D2268" s="56" t="str">
        <f>VLOOKUP(MOD(C2268,7),'CALENDAR INFO'!$G$5:$H$11,2)</f>
        <v>FRI</v>
      </c>
      <c r="E2268" s="165">
        <v>3.64</v>
      </c>
      <c r="F2268" s="336">
        <v>3.66</v>
      </c>
      <c r="G2268" s="411">
        <f t="shared" si="256"/>
        <v>2.0000000000000018E-2</v>
      </c>
      <c r="I2268" s="171"/>
      <c r="J2268" s="172"/>
      <c r="K2268" s="129"/>
      <c r="L2268" s="403">
        <f t="shared" si="257"/>
        <v>46066</v>
      </c>
      <c r="M2268" s="56" t="str">
        <f t="shared" si="258"/>
        <v>FRI</v>
      </c>
      <c r="O2268" s="384">
        <v>4</v>
      </c>
      <c r="P2268" s="392">
        <f t="shared" si="261"/>
        <v>1.0004066666666667</v>
      </c>
    </row>
    <row r="2269" spans="1:16">
      <c r="A2269" s="71"/>
      <c r="B2269" s="176"/>
      <c r="C2269" s="403">
        <f t="shared" si="259"/>
        <v>46067</v>
      </c>
      <c r="D2269" s="56" t="str">
        <f>VLOOKUP(MOD(C2269,7),'CALENDAR INFO'!$G$5:$H$11,2)</f>
        <v>SAT</v>
      </c>
      <c r="E2269" s="165">
        <v>3.64</v>
      </c>
      <c r="F2269" s="336">
        <v>3.66</v>
      </c>
      <c r="G2269" s="411">
        <f t="shared" si="256"/>
        <v>2.0000000000000018E-2</v>
      </c>
      <c r="I2269" s="137"/>
      <c r="J2269" s="150"/>
      <c r="K2269" s="129"/>
      <c r="L2269" s="403">
        <f t="shared" si="257"/>
        <v>46067</v>
      </c>
      <c r="M2269" s="56" t="str">
        <f t="shared" si="258"/>
        <v>SAT</v>
      </c>
      <c r="O2269" s="383">
        <f>IF(MOD(C2269,7)&lt;2,0,IF(MOD(C2269,7)=6,3,1))</f>
        <v>0</v>
      </c>
      <c r="P2269" s="392">
        <f t="shared" si="261"/>
        <v>1</v>
      </c>
    </row>
    <row r="2270" spans="1:16">
      <c r="A2270" s="71"/>
      <c r="B2270" s="176"/>
      <c r="C2270" s="403">
        <f t="shared" si="259"/>
        <v>46068</v>
      </c>
      <c r="D2270" s="56" t="str">
        <f>VLOOKUP(MOD(C2270,7),'CALENDAR INFO'!$G$5:$H$11,2)</f>
        <v>SUN</v>
      </c>
      <c r="E2270" s="165">
        <v>3.64</v>
      </c>
      <c r="F2270" s="336">
        <v>3.66</v>
      </c>
      <c r="G2270" s="411">
        <f t="shared" si="256"/>
        <v>2.0000000000000018E-2</v>
      </c>
      <c r="I2270" s="137"/>
      <c r="J2270" s="150"/>
      <c r="K2270" s="129"/>
      <c r="L2270" s="403">
        <f t="shared" si="257"/>
        <v>46068</v>
      </c>
      <c r="M2270" s="56" t="str">
        <f t="shared" si="258"/>
        <v>SUN</v>
      </c>
      <c r="O2270" s="383">
        <f>IF(MOD(C2270,7)&lt;2,0,IF(MOD(C2270,7)=6,3,1))</f>
        <v>0</v>
      </c>
      <c r="P2270" s="392">
        <f t="shared" si="261"/>
        <v>1</v>
      </c>
    </row>
    <row r="2271" spans="1:16">
      <c r="A2271" s="71"/>
      <c r="B2271" s="176"/>
      <c r="C2271" s="403">
        <f t="shared" si="259"/>
        <v>46069</v>
      </c>
      <c r="D2271" s="56" t="str">
        <f>VLOOKUP(MOD(C2271,7),'CALENDAR INFO'!$G$5:$H$11,2)</f>
        <v>MON</v>
      </c>
      <c r="E2271" s="165">
        <v>3.64</v>
      </c>
      <c r="F2271" s="336">
        <v>3.66</v>
      </c>
      <c r="G2271" s="411">
        <f t="shared" si="256"/>
        <v>2.0000000000000018E-2</v>
      </c>
      <c r="I2271" s="137"/>
      <c r="J2271" s="150"/>
      <c r="K2271" s="129"/>
      <c r="L2271" s="403">
        <f t="shared" si="257"/>
        <v>46069</v>
      </c>
      <c r="M2271" s="56" t="str">
        <f t="shared" si="258"/>
        <v>MON</v>
      </c>
      <c r="N2271" s="132" t="s">
        <v>182</v>
      </c>
      <c r="O2271" s="384">
        <v>0</v>
      </c>
      <c r="P2271" s="392">
        <f t="shared" si="261"/>
        <v>1</v>
      </c>
    </row>
    <row r="2272" spans="1:16">
      <c r="A2272" s="71"/>
      <c r="B2272" s="176"/>
      <c r="C2272" s="403">
        <f t="shared" si="259"/>
        <v>46070</v>
      </c>
      <c r="D2272" s="56" t="str">
        <f>VLOOKUP(MOD(C2272,7),'CALENDAR INFO'!$G$5:$H$11,2)</f>
        <v>TUE</v>
      </c>
      <c r="E2272" s="165">
        <v>3.64</v>
      </c>
      <c r="F2272" s="336">
        <v>3.71</v>
      </c>
      <c r="G2272" s="411">
        <f t="shared" si="256"/>
        <v>6.999999999999984E-2</v>
      </c>
      <c r="I2272" s="137"/>
      <c r="J2272" s="150"/>
      <c r="K2272" s="129"/>
      <c r="L2272" s="403">
        <f t="shared" si="257"/>
        <v>46070</v>
      </c>
      <c r="M2272" s="56" t="str">
        <f t="shared" si="258"/>
        <v>TUE</v>
      </c>
      <c r="O2272" s="383">
        <f t="shared" ref="O2272:O2316" si="262">IF(MOD(C2272,7)&lt;2,0,IF(MOD(C2272,7)=6,3,1))</f>
        <v>1</v>
      </c>
      <c r="P2272" s="392">
        <f t="shared" si="261"/>
        <v>1.0001030555555555</v>
      </c>
    </row>
    <row r="2273" spans="1:16">
      <c r="A2273" s="71"/>
      <c r="B2273" s="176"/>
      <c r="C2273" s="403">
        <f t="shared" si="259"/>
        <v>46071</v>
      </c>
      <c r="D2273" s="56" t="str">
        <f>VLOOKUP(MOD(C2273,7),'CALENDAR INFO'!$G$5:$H$11,2)</f>
        <v>WED</v>
      </c>
      <c r="E2273" s="165">
        <v>3.64</v>
      </c>
      <c r="F2273" s="336">
        <v>3.73</v>
      </c>
      <c r="G2273" s="411">
        <f t="shared" si="256"/>
        <v>8.9999999999999858E-2</v>
      </c>
      <c r="I2273" s="311"/>
      <c r="J2273" s="312"/>
      <c r="K2273" s="129" t="s">
        <v>19</v>
      </c>
      <c r="L2273" s="403">
        <f t="shared" si="257"/>
        <v>46071</v>
      </c>
      <c r="M2273" s="56" t="str">
        <f t="shared" si="258"/>
        <v>WED</v>
      </c>
      <c r="O2273" s="383">
        <f t="shared" si="262"/>
        <v>1</v>
      </c>
      <c r="P2273" s="392">
        <f t="shared" si="261"/>
        <v>1.000103611111111</v>
      </c>
    </row>
    <row r="2274" spans="1:16">
      <c r="A2274" s="71"/>
      <c r="B2274" s="176"/>
      <c r="C2274" s="403">
        <f t="shared" si="259"/>
        <v>46072</v>
      </c>
      <c r="D2274" s="56" t="str">
        <f>VLOOKUP(MOD(C2274,7),'CALENDAR INFO'!$G$5:$H$11,2)</f>
        <v>THU</v>
      </c>
      <c r="E2274" s="165">
        <v>3.64</v>
      </c>
      <c r="F2274" s="336">
        <v>3.67</v>
      </c>
      <c r="G2274" s="411">
        <f t="shared" si="256"/>
        <v>2.9999999999999805E-2</v>
      </c>
      <c r="I2274" s="141"/>
      <c r="J2274" s="158"/>
      <c r="K2274" s="126" t="s">
        <v>18</v>
      </c>
      <c r="L2274" s="403">
        <f t="shared" si="257"/>
        <v>46072</v>
      </c>
      <c r="M2274" s="56" t="str">
        <f t="shared" si="258"/>
        <v>THU</v>
      </c>
      <c r="O2274" s="383">
        <f t="shared" si="262"/>
        <v>1</v>
      </c>
      <c r="P2274" s="392">
        <f t="shared" si="261"/>
        <v>1.0001019444444443</v>
      </c>
    </row>
    <row r="2275" spans="1:16">
      <c r="A2275" s="71"/>
      <c r="B2275" s="176"/>
      <c r="C2275" s="403">
        <f t="shared" si="259"/>
        <v>46073</v>
      </c>
      <c r="D2275" s="56" t="str">
        <f>VLOOKUP(MOD(C2275,7),'CALENDAR INFO'!$G$5:$H$11,2)</f>
        <v>FRI</v>
      </c>
      <c r="E2275" s="165">
        <v>3.64</v>
      </c>
      <c r="F2275" s="336">
        <v>3.66</v>
      </c>
      <c r="G2275" s="411">
        <f t="shared" si="256"/>
        <v>2.0000000000000018E-2</v>
      </c>
      <c r="K2275" s="126"/>
      <c r="L2275" s="403">
        <f t="shared" si="257"/>
        <v>46073</v>
      </c>
      <c r="M2275" s="56" t="str">
        <f t="shared" si="258"/>
        <v>FRI</v>
      </c>
      <c r="O2275" s="383">
        <f t="shared" si="262"/>
        <v>3</v>
      </c>
      <c r="P2275" s="392">
        <f t="shared" si="261"/>
        <v>1.000305</v>
      </c>
    </row>
    <row r="2276" spans="1:16">
      <c r="A2276" s="71"/>
      <c r="B2276" s="176"/>
      <c r="C2276" s="403">
        <f t="shared" si="259"/>
        <v>46074</v>
      </c>
      <c r="D2276" s="56" t="str">
        <f>VLOOKUP(MOD(C2276,7),'CALENDAR INFO'!$G$5:$H$11,2)</f>
        <v>SAT</v>
      </c>
      <c r="E2276" s="165">
        <v>3.64</v>
      </c>
      <c r="F2276" s="336">
        <v>3.66</v>
      </c>
      <c r="G2276" s="411">
        <f t="shared" si="256"/>
        <v>2.0000000000000018E-2</v>
      </c>
      <c r="K2276" s="126"/>
      <c r="L2276" s="403">
        <f t="shared" si="257"/>
        <v>46074</v>
      </c>
      <c r="M2276" s="56" t="str">
        <f t="shared" si="258"/>
        <v>SAT</v>
      </c>
      <c r="O2276" s="383">
        <f t="shared" si="262"/>
        <v>0</v>
      </c>
      <c r="P2276" s="392">
        <f t="shared" si="261"/>
        <v>1</v>
      </c>
    </row>
    <row r="2277" spans="1:16">
      <c r="A2277" s="71"/>
      <c r="B2277" s="176"/>
      <c r="C2277" s="403">
        <f t="shared" si="259"/>
        <v>46075</v>
      </c>
      <c r="D2277" s="56" t="str">
        <f>VLOOKUP(MOD(C2277,7),'CALENDAR INFO'!$G$5:$H$11,2)</f>
        <v>SUN</v>
      </c>
      <c r="E2277" s="165">
        <v>3.64</v>
      </c>
      <c r="F2277" s="336">
        <v>3.66</v>
      </c>
      <c r="G2277" s="411">
        <f t="shared" si="256"/>
        <v>2.0000000000000018E-2</v>
      </c>
      <c r="K2277" s="126"/>
      <c r="L2277" s="403">
        <f t="shared" si="257"/>
        <v>46075</v>
      </c>
      <c r="M2277" s="56" t="str">
        <f t="shared" si="258"/>
        <v>SUN</v>
      </c>
      <c r="O2277" s="383">
        <f t="shared" si="262"/>
        <v>0</v>
      </c>
      <c r="P2277" s="392">
        <f t="shared" si="261"/>
        <v>1</v>
      </c>
    </row>
    <row r="2278" spans="1:16">
      <c r="A2278" s="71"/>
      <c r="B2278" s="176"/>
      <c r="C2278" s="403">
        <f t="shared" si="259"/>
        <v>46076</v>
      </c>
      <c r="D2278" s="56" t="str">
        <f>VLOOKUP(MOD(C2278,7),'CALENDAR INFO'!$G$5:$H$11,2)</f>
        <v>MON</v>
      </c>
      <c r="E2278" s="165">
        <v>3.64</v>
      </c>
      <c r="F2278" s="336">
        <v>3.66</v>
      </c>
      <c r="G2278" s="411">
        <f t="shared" si="256"/>
        <v>2.0000000000000018E-2</v>
      </c>
      <c r="I2278" s="313"/>
      <c r="J2278" s="314"/>
      <c r="K2278" s="126"/>
      <c r="L2278" s="403">
        <f t="shared" si="257"/>
        <v>46076</v>
      </c>
      <c r="M2278" s="56" t="str">
        <f t="shared" si="258"/>
        <v>MON</v>
      </c>
      <c r="O2278" s="383">
        <f t="shared" si="262"/>
        <v>1</v>
      </c>
      <c r="P2278" s="392">
        <f t="shared" si="261"/>
        <v>1.0001016666666667</v>
      </c>
    </row>
    <row r="2279" spans="1:16">
      <c r="A2279" s="71"/>
      <c r="B2279" s="176"/>
      <c r="C2279" s="403">
        <f t="shared" si="259"/>
        <v>46077</v>
      </c>
      <c r="D2279" s="56" t="str">
        <f>VLOOKUP(MOD(C2279,7),'CALENDAR INFO'!$G$5:$H$11,2)</f>
        <v>TUE</v>
      </c>
      <c r="E2279" s="165">
        <v>3.64</v>
      </c>
      <c r="F2279" s="336">
        <v>3.67</v>
      </c>
      <c r="G2279" s="411">
        <f t="shared" si="256"/>
        <v>2.9999999999999805E-2</v>
      </c>
      <c r="I2279" s="115"/>
      <c r="J2279" s="159"/>
      <c r="K2279" s="126"/>
      <c r="L2279" s="403">
        <f t="shared" si="257"/>
        <v>46077</v>
      </c>
      <c r="M2279" s="56" t="str">
        <f t="shared" si="258"/>
        <v>TUE</v>
      </c>
      <c r="O2279" s="383">
        <f t="shared" si="262"/>
        <v>1</v>
      </c>
      <c r="P2279" s="392">
        <f t="shared" si="261"/>
        <v>1.0001019444444443</v>
      </c>
    </row>
    <row r="2280" spans="1:16">
      <c r="A2280" s="71"/>
      <c r="B2280" s="176"/>
      <c r="C2280" s="403">
        <f t="shared" si="259"/>
        <v>46078</v>
      </c>
      <c r="D2280" s="56" t="str">
        <f>VLOOKUP(MOD(C2280,7),'CALENDAR INFO'!$G$5:$H$11,2)</f>
        <v>WED</v>
      </c>
      <c r="E2280" s="165">
        <v>3.64</v>
      </c>
      <c r="F2280" s="336">
        <v>3.67</v>
      </c>
      <c r="G2280" s="411">
        <f t="shared" si="256"/>
        <v>2.9999999999999805E-2</v>
      </c>
      <c r="I2280" s="137"/>
      <c r="J2280" s="150"/>
      <c r="K2280" s="126"/>
      <c r="L2280" s="403">
        <f t="shared" si="257"/>
        <v>46078</v>
      </c>
      <c r="M2280" s="56" t="str">
        <f t="shared" si="258"/>
        <v>WED</v>
      </c>
      <c r="O2280" s="383">
        <f t="shared" si="262"/>
        <v>1</v>
      </c>
      <c r="P2280" s="392">
        <f t="shared" si="261"/>
        <v>1.0001019444444443</v>
      </c>
    </row>
    <row r="2281" spans="1:16">
      <c r="A2281" s="71"/>
      <c r="B2281" s="176"/>
      <c r="C2281" s="403">
        <f t="shared" si="259"/>
        <v>46079</v>
      </c>
      <c r="D2281" s="56" t="str">
        <f>VLOOKUP(MOD(C2281,7),'CALENDAR INFO'!$G$5:$H$11,2)</f>
        <v>THU</v>
      </c>
      <c r="E2281" s="165">
        <v>3.64</v>
      </c>
      <c r="F2281" s="336">
        <v>3.67</v>
      </c>
      <c r="G2281" s="411">
        <f t="shared" si="256"/>
        <v>2.9999999999999805E-2</v>
      </c>
      <c r="I2281" s="137"/>
      <c r="J2281" s="150"/>
      <c r="K2281" s="126"/>
      <c r="L2281" s="403">
        <f t="shared" si="257"/>
        <v>46079</v>
      </c>
      <c r="M2281" s="56" t="str">
        <f t="shared" si="258"/>
        <v>THU</v>
      </c>
      <c r="O2281" s="383">
        <f t="shared" si="262"/>
        <v>1</v>
      </c>
      <c r="P2281" s="392">
        <f t="shared" si="261"/>
        <v>1.0001019444444443</v>
      </c>
    </row>
    <row r="2282" spans="1:16">
      <c r="A2282" s="71"/>
      <c r="B2282" s="176"/>
      <c r="C2282" s="403">
        <f t="shared" si="259"/>
        <v>46080</v>
      </c>
      <c r="D2282" s="56" t="str">
        <f>VLOOKUP(MOD(C2282,7),'CALENDAR INFO'!$G$5:$H$11,2)</f>
        <v>FRI</v>
      </c>
      <c r="E2282" s="165">
        <v>3.64</v>
      </c>
      <c r="F2282" s="336">
        <v>3.68</v>
      </c>
      <c r="G2282" s="411">
        <f t="shared" si="256"/>
        <v>4.0000000000000036E-2</v>
      </c>
      <c r="I2282" s="171"/>
      <c r="J2282" s="172"/>
      <c r="K2282" s="126"/>
      <c r="L2282" s="403">
        <f t="shared" si="257"/>
        <v>46080</v>
      </c>
      <c r="M2282" s="56" t="str">
        <f t="shared" si="258"/>
        <v>FRI</v>
      </c>
      <c r="O2282" s="383">
        <f t="shared" si="262"/>
        <v>3</v>
      </c>
      <c r="P2282" s="392">
        <f t="shared" si="261"/>
        <v>1.0003066666666667</v>
      </c>
    </row>
    <row r="2283" spans="1:16" ht="15.75" thickBot="1">
      <c r="A2283" s="71"/>
      <c r="B2283" s="176"/>
      <c r="C2283" s="403">
        <f t="shared" si="259"/>
        <v>46081</v>
      </c>
      <c r="D2283" s="56" t="str">
        <f>VLOOKUP(MOD(C2283,7),'CALENDAR INFO'!$G$5:$H$11,2)</f>
        <v>SAT</v>
      </c>
      <c r="E2283" s="165">
        <v>3.64</v>
      </c>
      <c r="F2283" s="336">
        <v>3.68</v>
      </c>
      <c r="G2283" s="412">
        <f t="shared" si="256"/>
        <v>4.0000000000000036E-2</v>
      </c>
      <c r="H2283" s="274"/>
      <c r="I2283" s="332"/>
      <c r="J2283" s="333"/>
      <c r="K2283" s="126"/>
      <c r="L2283" s="403">
        <f t="shared" si="257"/>
        <v>46081</v>
      </c>
      <c r="M2283" s="56" t="str">
        <f t="shared" si="258"/>
        <v>SAT</v>
      </c>
      <c r="O2283" s="383">
        <f t="shared" si="262"/>
        <v>0</v>
      </c>
      <c r="P2283" s="392">
        <f t="shared" si="261"/>
        <v>1</v>
      </c>
    </row>
    <row r="2284" spans="1:16">
      <c r="A2284" s="83"/>
      <c r="B2284" s="179"/>
      <c r="C2284" s="406">
        <f t="shared" si="259"/>
        <v>46082</v>
      </c>
      <c r="D2284" s="86" t="str">
        <f>VLOOKUP(MOD(C2284,7),'CALENDAR INFO'!$G$5:$H$11,2)</f>
        <v>SUN</v>
      </c>
      <c r="E2284" s="168">
        <v>3.64</v>
      </c>
      <c r="F2284" s="340">
        <v>3.68</v>
      </c>
      <c r="G2284" s="411">
        <f t="shared" si="256"/>
        <v>4.0000000000000036E-2</v>
      </c>
      <c r="H2284" s="15" t="s">
        <v>149</v>
      </c>
      <c r="I2284" s="15">
        <f>ROW(I2284)</f>
        <v>2284</v>
      </c>
      <c r="J2284" s="138">
        <f>I2284</f>
        <v>2284</v>
      </c>
      <c r="K2284" s="88"/>
      <c r="L2284" s="406">
        <f t="shared" si="257"/>
        <v>46082</v>
      </c>
      <c r="M2284" s="86" t="str">
        <f t="shared" si="258"/>
        <v>SUN</v>
      </c>
      <c r="N2284" s="89"/>
      <c r="O2284" s="386">
        <f t="shared" si="262"/>
        <v>0</v>
      </c>
      <c r="P2284" s="390">
        <f t="shared" si="261"/>
        <v>1</v>
      </c>
    </row>
    <row r="2285" spans="1:16">
      <c r="B2285" s="41"/>
      <c r="C2285" s="403">
        <f t="shared" si="259"/>
        <v>46083</v>
      </c>
      <c r="D2285" s="56" t="str">
        <f>VLOOKUP(MOD(C2285,7),'CALENDAR INFO'!$G$5:$H$11,2)</f>
        <v>MON</v>
      </c>
      <c r="E2285" s="165">
        <v>3.64</v>
      </c>
      <c r="F2285" s="336">
        <v>3.71</v>
      </c>
      <c r="G2285" s="411">
        <f t="shared" si="256"/>
        <v>6.999999999999984E-2</v>
      </c>
      <c r="H2285" s="376" t="s">
        <v>210</v>
      </c>
      <c r="I2285" s="15">
        <f>VLOOKUP(MONTH($C2284),'CALENDAR INFO'!$J$5:$K$16,2)</f>
        <v>31</v>
      </c>
      <c r="J2285" s="138">
        <f>I2285</f>
        <v>31</v>
      </c>
      <c r="K2285" s="126"/>
      <c r="L2285" s="403">
        <f t="shared" si="257"/>
        <v>46083</v>
      </c>
      <c r="M2285" s="56" t="str">
        <f t="shared" si="258"/>
        <v>MON</v>
      </c>
      <c r="O2285" s="383">
        <f t="shared" si="262"/>
        <v>1</v>
      </c>
      <c r="P2285" s="392">
        <f t="shared" si="261"/>
        <v>1.0001030555555555</v>
      </c>
    </row>
    <row r="2286" spans="1:16">
      <c r="B2286" s="41"/>
      <c r="C2286" s="403">
        <f t="shared" si="259"/>
        <v>46084</v>
      </c>
      <c r="D2286" s="56" t="str">
        <f>VLOOKUP(MOD(C2286,7),'CALENDAR INFO'!$G$5:$H$11,2)</f>
        <v>TUE</v>
      </c>
      <c r="E2286" s="165">
        <v>3.64</v>
      </c>
      <c r="F2286" s="336">
        <v>3.7</v>
      </c>
      <c r="G2286" s="411">
        <f t="shared" si="256"/>
        <v>6.0000000000000053E-2</v>
      </c>
      <c r="H2286" s="376" t="s">
        <v>211</v>
      </c>
      <c r="I2286" s="15">
        <f>I2285+I2284-1</f>
        <v>2314</v>
      </c>
      <c r="J2286" s="138">
        <f>I2286</f>
        <v>2314</v>
      </c>
      <c r="K2286" s="126"/>
      <c r="L2286" s="403">
        <f t="shared" si="257"/>
        <v>46084</v>
      </c>
      <c r="M2286" s="56" t="str">
        <f t="shared" si="258"/>
        <v>TUE</v>
      </c>
      <c r="O2286" s="383">
        <f t="shared" si="262"/>
        <v>1</v>
      </c>
      <c r="P2286" s="392">
        <f t="shared" si="261"/>
        <v>1.0001027777777778</v>
      </c>
    </row>
    <row r="2287" spans="1:16">
      <c r="B2287" s="41"/>
      <c r="C2287" s="403">
        <f t="shared" si="259"/>
        <v>46085</v>
      </c>
      <c r="D2287" s="56" t="str">
        <f>VLOOKUP(MOD(C2287,7),'CALENDAR INFO'!$G$5:$H$11,2)</f>
        <v>WED</v>
      </c>
      <c r="E2287" s="165">
        <v>3.64</v>
      </c>
      <c r="F2287" s="336">
        <v>3.67</v>
      </c>
      <c r="G2287" s="411">
        <f t="shared" si="256"/>
        <v>2.9999999999999805E-2</v>
      </c>
      <c r="K2287" s="126" t="s">
        <v>19</v>
      </c>
      <c r="L2287" s="403">
        <f t="shared" si="257"/>
        <v>46085</v>
      </c>
      <c r="M2287" s="56" t="str">
        <f t="shared" si="258"/>
        <v>WED</v>
      </c>
      <c r="O2287" s="383">
        <f t="shared" si="262"/>
        <v>1</v>
      </c>
      <c r="P2287" s="392">
        <f t="shared" si="261"/>
        <v>1.0001019444444443</v>
      </c>
    </row>
    <row r="2288" spans="1:16">
      <c r="B2288" s="41"/>
      <c r="C2288" s="403">
        <f t="shared" si="259"/>
        <v>46086</v>
      </c>
      <c r="D2288" s="56" t="str">
        <f>VLOOKUP(MOD(C2288,7),'CALENDAR INFO'!$G$5:$H$11,2)</f>
        <v>THU</v>
      </c>
      <c r="E2288" s="165">
        <v>3.64</v>
      </c>
      <c r="F2288" s="336">
        <v>3.66</v>
      </c>
      <c r="G2288" s="411">
        <f t="shared" si="256"/>
        <v>2.0000000000000018E-2</v>
      </c>
      <c r="H2288" s="15" t="s">
        <v>150</v>
      </c>
      <c r="I2288" s="137" t="str">
        <f>_xlfn.CONCAT(ADDRESS(I2284,5),":",ADDRESS(I2286,5))</f>
        <v>$E$2284:$E$2314</v>
      </c>
      <c r="J2288" s="150" t="str">
        <f>_xlfn.CONCAT(ADDRESS(J2284,6),":",ADDRESS(J2286,6))</f>
        <v>$F$2284:$F$2314</v>
      </c>
      <c r="K2288" s="129" t="s">
        <v>18</v>
      </c>
      <c r="L2288" s="403">
        <f t="shared" si="257"/>
        <v>46086</v>
      </c>
      <c r="M2288" s="56" t="str">
        <f t="shared" si="258"/>
        <v>THU</v>
      </c>
      <c r="O2288" s="383">
        <f t="shared" si="262"/>
        <v>1</v>
      </c>
      <c r="P2288" s="392">
        <f t="shared" si="261"/>
        <v>1.0001016666666667</v>
      </c>
    </row>
    <row r="2289" spans="1:16">
      <c r="B2289" s="41"/>
      <c r="C2289" s="403">
        <f t="shared" si="259"/>
        <v>46087</v>
      </c>
      <c r="D2289" s="56" t="str">
        <f>VLOOKUP(MOD(C2289,7),'CALENDAR INFO'!$G$5:$H$11,2)</f>
        <v>FRI</v>
      </c>
      <c r="E2289" s="165">
        <v>3.64</v>
      </c>
      <c r="F2289" s="336">
        <v>3.65</v>
      </c>
      <c r="G2289" s="411">
        <f t="shared" si="256"/>
        <v>9.9999999999997868E-3</v>
      </c>
      <c r="K2289" s="129"/>
      <c r="L2289" s="403">
        <f t="shared" si="257"/>
        <v>46087</v>
      </c>
      <c r="M2289" s="56" t="str">
        <f t="shared" si="258"/>
        <v>FRI</v>
      </c>
      <c r="O2289" s="383">
        <f t="shared" si="262"/>
        <v>3</v>
      </c>
      <c r="P2289" s="392">
        <f t="shared" si="261"/>
        <v>1.0003041666666668</v>
      </c>
    </row>
    <row r="2290" spans="1:16">
      <c r="B2290" s="41"/>
      <c r="C2290" s="403">
        <f t="shared" si="259"/>
        <v>46088</v>
      </c>
      <c r="D2290" s="56" t="str">
        <f>VLOOKUP(MOD(C2290,7),'CALENDAR INFO'!$G$5:$H$11,2)</f>
        <v>SAT</v>
      </c>
      <c r="E2290" s="165">
        <v>3.64</v>
      </c>
      <c r="F2290" s="336">
        <v>3.65</v>
      </c>
      <c r="G2290" s="411">
        <f t="shared" si="256"/>
        <v>9.9999999999997868E-3</v>
      </c>
      <c r="H2290" s="376" t="s">
        <v>221</v>
      </c>
      <c r="I2290" s="147">
        <f ca="1">AVERAGE(INDIRECT(I2288))</f>
        <v>3.64</v>
      </c>
      <c r="J2290" s="326">
        <f ca="1">AVERAGE(INDIRECT(J2288))</f>
        <v>3.6480645161290322</v>
      </c>
      <c r="K2290" s="129"/>
      <c r="L2290" s="403">
        <f t="shared" si="257"/>
        <v>46088</v>
      </c>
      <c r="M2290" s="56" t="str">
        <f t="shared" si="258"/>
        <v>SAT</v>
      </c>
      <c r="O2290" s="383">
        <f t="shared" si="262"/>
        <v>0</v>
      </c>
      <c r="P2290" s="392">
        <f t="shared" si="261"/>
        <v>1</v>
      </c>
    </row>
    <row r="2291" spans="1:16">
      <c r="B2291" s="41"/>
      <c r="C2291" s="403">
        <f t="shared" si="259"/>
        <v>46089</v>
      </c>
      <c r="D2291" s="56" t="str">
        <f>VLOOKUP(MOD(C2291,7),'CALENDAR INFO'!$G$5:$H$11,2)</f>
        <v>SUN</v>
      </c>
      <c r="E2291" s="165">
        <v>3.64</v>
      </c>
      <c r="F2291" s="336">
        <v>3.65</v>
      </c>
      <c r="G2291" s="411">
        <f t="shared" si="256"/>
        <v>9.9999999999997868E-3</v>
      </c>
      <c r="H2291" s="135"/>
      <c r="K2291" s="129"/>
      <c r="L2291" s="403">
        <f t="shared" si="257"/>
        <v>46089</v>
      </c>
      <c r="M2291" s="56" t="str">
        <f t="shared" si="258"/>
        <v>SUN</v>
      </c>
      <c r="O2291" s="383">
        <f t="shared" si="262"/>
        <v>0</v>
      </c>
      <c r="P2291" s="392">
        <f t="shared" si="261"/>
        <v>1</v>
      </c>
    </row>
    <row r="2292" spans="1:16">
      <c r="B2292" s="41"/>
      <c r="C2292" s="403">
        <f t="shared" si="259"/>
        <v>46090</v>
      </c>
      <c r="D2292" s="56" t="str">
        <f>VLOOKUP(MOD(C2292,7),'CALENDAR INFO'!$G$5:$H$11,2)</f>
        <v>MON</v>
      </c>
      <c r="E2292" s="165">
        <v>3.64</v>
      </c>
      <c r="F2292" s="336">
        <v>3.65</v>
      </c>
      <c r="G2292" s="411">
        <f t="shared" si="256"/>
        <v>9.9999999999997868E-3</v>
      </c>
      <c r="H2292" s="15" t="s">
        <v>222</v>
      </c>
      <c r="I2292" s="147">
        <f ca="1">100-I2290</f>
        <v>96.36</v>
      </c>
      <c r="J2292" s="326">
        <f ca="1">100-J2290</f>
        <v>96.351935483870975</v>
      </c>
      <c r="K2292" s="129"/>
      <c r="L2292" s="403">
        <f t="shared" si="257"/>
        <v>46090</v>
      </c>
      <c r="M2292" s="56" t="str">
        <f t="shared" si="258"/>
        <v>MON</v>
      </c>
      <c r="O2292" s="383">
        <f t="shared" si="262"/>
        <v>1</v>
      </c>
      <c r="P2292" s="392">
        <f t="shared" si="261"/>
        <v>1.000101388888889</v>
      </c>
    </row>
    <row r="2293" spans="1:16">
      <c r="B2293" s="41"/>
      <c r="C2293" s="403">
        <f t="shared" si="259"/>
        <v>46091</v>
      </c>
      <c r="D2293" s="56" t="str">
        <f>VLOOKUP(MOD(C2293,7),'CALENDAR INFO'!$G$5:$H$11,2)</f>
        <v>TUE</v>
      </c>
      <c r="E2293" s="165">
        <v>3.64</v>
      </c>
      <c r="F2293" s="336">
        <v>3.64</v>
      </c>
      <c r="G2293" s="411">
        <f t="shared" si="256"/>
        <v>0</v>
      </c>
      <c r="I2293" s="137"/>
      <c r="J2293" s="150"/>
      <c r="K2293" s="129"/>
      <c r="L2293" s="403">
        <f t="shared" si="257"/>
        <v>46091</v>
      </c>
      <c r="M2293" s="56" t="str">
        <f t="shared" si="258"/>
        <v>TUE</v>
      </c>
      <c r="O2293" s="383">
        <f t="shared" si="262"/>
        <v>1</v>
      </c>
      <c r="P2293" s="392">
        <f t="shared" si="261"/>
        <v>1.0001011111111111</v>
      </c>
    </row>
    <row r="2294" spans="1:16">
      <c r="B2294" s="41"/>
      <c r="C2294" s="403">
        <f t="shared" si="259"/>
        <v>46092</v>
      </c>
      <c r="D2294" s="56" t="str">
        <f>VLOOKUP(MOD(C2294,7),'CALENDAR INFO'!$G$5:$H$11,2)</f>
        <v>WED</v>
      </c>
      <c r="E2294" s="165">
        <v>3.64</v>
      </c>
      <c r="F2294" s="336">
        <v>3.64</v>
      </c>
      <c r="G2294" s="411">
        <f t="shared" si="256"/>
        <v>0</v>
      </c>
      <c r="I2294" s="171"/>
      <c r="J2294" s="172"/>
      <c r="K2294" s="129"/>
      <c r="L2294" s="403">
        <f t="shared" si="257"/>
        <v>46092</v>
      </c>
      <c r="M2294" s="56" t="str">
        <f t="shared" si="258"/>
        <v>WED</v>
      </c>
      <c r="O2294" s="383">
        <f t="shared" si="262"/>
        <v>1</v>
      </c>
      <c r="P2294" s="392">
        <f t="shared" si="261"/>
        <v>1.0001011111111111</v>
      </c>
    </row>
    <row r="2295" spans="1:16">
      <c r="B2295" s="41"/>
      <c r="C2295" s="403">
        <f t="shared" si="259"/>
        <v>46093</v>
      </c>
      <c r="D2295" s="56" t="str">
        <f>VLOOKUP(MOD(C2295,7),'CALENDAR INFO'!$G$5:$H$11,2)</f>
        <v>THU</v>
      </c>
      <c r="E2295" s="165">
        <v>3.64</v>
      </c>
      <c r="F2295" s="336">
        <v>3.65</v>
      </c>
      <c r="G2295" s="411">
        <f t="shared" si="256"/>
        <v>9.9999999999997868E-3</v>
      </c>
      <c r="I2295" s="171"/>
      <c r="J2295" s="172"/>
      <c r="K2295" s="129"/>
      <c r="L2295" s="403">
        <f t="shared" si="257"/>
        <v>46093</v>
      </c>
      <c r="M2295" s="56" t="str">
        <f t="shared" si="258"/>
        <v>THU</v>
      </c>
      <c r="O2295" s="383">
        <f t="shared" si="262"/>
        <v>1</v>
      </c>
      <c r="P2295" s="392">
        <f t="shared" si="261"/>
        <v>1.000101388888889</v>
      </c>
    </row>
    <row r="2296" spans="1:16">
      <c r="B2296" s="41"/>
      <c r="C2296" s="403">
        <f t="shared" si="259"/>
        <v>46094</v>
      </c>
      <c r="D2296" s="56" t="str">
        <f>VLOOKUP(MOD(C2296,7),'CALENDAR INFO'!$G$5:$H$11,2)</f>
        <v>FRI</v>
      </c>
      <c r="E2296" s="165">
        <v>3.64</v>
      </c>
      <c r="F2296" s="336">
        <v>3.65</v>
      </c>
      <c r="G2296" s="411">
        <f t="shared" si="256"/>
        <v>9.9999999999997868E-3</v>
      </c>
      <c r="I2296" s="171"/>
      <c r="J2296" s="172"/>
      <c r="K2296" s="129"/>
      <c r="L2296" s="403">
        <f t="shared" si="257"/>
        <v>46094</v>
      </c>
      <c r="M2296" s="56" t="str">
        <f t="shared" si="258"/>
        <v>FRI</v>
      </c>
      <c r="O2296" s="383">
        <f t="shared" si="262"/>
        <v>3</v>
      </c>
      <c r="P2296" s="392">
        <f t="shared" si="261"/>
        <v>1.0003041666666668</v>
      </c>
    </row>
    <row r="2297" spans="1:16">
      <c r="B2297" s="41"/>
      <c r="C2297" s="403">
        <f t="shared" si="259"/>
        <v>46095</v>
      </c>
      <c r="D2297" s="56" t="str">
        <f>VLOOKUP(MOD(C2297,7),'CALENDAR INFO'!$G$5:$H$11,2)</f>
        <v>SAT</v>
      </c>
      <c r="E2297" s="165">
        <v>3.64</v>
      </c>
      <c r="F2297" s="336">
        <v>3.65</v>
      </c>
      <c r="G2297" s="411">
        <f t="shared" si="256"/>
        <v>9.9999999999997868E-3</v>
      </c>
      <c r="I2297" s="137"/>
      <c r="J2297" s="150"/>
      <c r="K2297" s="129"/>
      <c r="L2297" s="403">
        <f t="shared" si="257"/>
        <v>46095</v>
      </c>
      <c r="M2297" s="56" t="str">
        <f t="shared" si="258"/>
        <v>SAT</v>
      </c>
      <c r="O2297" s="383">
        <f t="shared" si="262"/>
        <v>0</v>
      </c>
      <c r="P2297" s="392">
        <f t="shared" si="261"/>
        <v>1</v>
      </c>
    </row>
    <row r="2298" spans="1:16">
      <c r="B2298" s="41"/>
      <c r="C2298" s="403">
        <f t="shared" si="259"/>
        <v>46096</v>
      </c>
      <c r="D2298" s="56" t="str">
        <f>VLOOKUP(MOD(C2298,7),'CALENDAR INFO'!$G$5:$H$11,2)</f>
        <v>SUN</v>
      </c>
      <c r="E2298" s="165">
        <v>3.64</v>
      </c>
      <c r="F2298" s="336">
        <v>3.65</v>
      </c>
      <c r="G2298" s="411">
        <f t="shared" si="256"/>
        <v>9.9999999999997868E-3</v>
      </c>
      <c r="K2298" s="129"/>
      <c r="L2298" s="403">
        <f t="shared" si="257"/>
        <v>46096</v>
      </c>
      <c r="M2298" s="56" t="str">
        <f t="shared" si="258"/>
        <v>SUN</v>
      </c>
      <c r="O2298" s="383">
        <f t="shared" si="262"/>
        <v>0</v>
      </c>
      <c r="P2298" s="392">
        <f t="shared" si="261"/>
        <v>1</v>
      </c>
    </row>
    <row r="2299" spans="1:16">
      <c r="B2299" s="41"/>
      <c r="C2299" s="403">
        <f t="shared" si="259"/>
        <v>46097</v>
      </c>
      <c r="D2299" s="56" t="str">
        <f>VLOOKUP(MOD(C2299,7),'CALENDAR INFO'!$G$5:$H$11,2)</f>
        <v>MON</v>
      </c>
      <c r="E2299" s="165">
        <v>3.64</v>
      </c>
      <c r="F2299" s="336">
        <v>3.7</v>
      </c>
      <c r="G2299" s="411">
        <f t="shared" si="256"/>
        <v>6.0000000000000053E-2</v>
      </c>
      <c r="I2299" s="137"/>
      <c r="J2299" s="150"/>
      <c r="K2299" s="129"/>
      <c r="L2299" s="403">
        <f t="shared" si="257"/>
        <v>46097</v>
      </c>
      <c r="M2299" s="56" t="str">
        <f t="shared" si="258"/>
        <v>MON</v>
      </c>
      <c r="O2299" s="383">
        <f t="shared" si="262"/>
        <v>1</v>
      </c>
      <c r="P2299" s="392">
        <f t="shared" si="261"/>
        <v>1.0001027777777778</v>
      </c>
    </row>
    <row r="2300" spans="1:16">
      <c r="B2300" s="41"/>
      <c r="C2300" s="403">
        <f t="shared" si="259"/>
        <v>46098</v>
      </c>
      <c r="D2300" s="56" t="str">
        <f>VLOOKUP(MOD(C2300,7),'CALENDAR INFO'!$G$5:$H$11,2)</f>
        <v>TUE</v>
      </c>
      <c r="E2300" s="165">
        <v>3.64</v>
      </c>
      <c r="F2300" s="336">
        <v>3.65</v>
      </c>
      <c r="G2300" s="411">
        <f t="shared" si="256"/>
        <v>9.9999999999997868E-3</v>
      </c>
      <c r="I2300" s="137"/>
      <c r="J2300" s="150"/>
      <c r="K2300" s="129"/>
      <c r="L2300" s="403">
        <f t="shared" si="257"/>
        <v>46098</v>
      </c>
      <c r="M2300" s="56" t="str">
        <f t="shared" si="258"/>
        <v>TUE</v>
      </c>
      <c r="N2300" s="116" t="s">
        <v>20</v>
      </c>
      <c r="O2300" s="383">
        <f t="shared" si="262"/>
        <v>1</v>
      </c>
      <c r="P2300" s="392">
        <f t="shared" si="261"/>
        <v>1.000101388888889</v>
      </c>
    </row>
    <row r="2301" spans="1:16">
      <c r="B2301" s="41"/>
      <c r="C2301" s="403">
        <f t="shared" si="259"/>
        <v>46099</v>
      </c>
      <c r="D2301" s="56" t="str">
        <f>VLOOKUP(MOD(C2301,7),'CALENDAR INFO'!$G$5:$H$11,2)</f>
        <v>WED</v>
      </c>
      <c r="E2301" s="165">
        <v>3.64</v>
      </c>
      <c r="F2301" s="336">
        <v>3.62</v>
      </c>
      <c r="G2301" s="411">
        <f t="shared" si="256"/>
        <v>-2.0000000000000018E-2</v>
      </c>
      <c r="I2301" s="311"/>
      <c r="J2301" s="312"/>
      <c r="K2301" s="129" t="s">
        <v>19</v>
      </c>
      <c r="L2301" s="403">
        <f t="shared" si="257"/>
        <v>46099</v>
      </c>
      <c r="M2301" s="56" t="str">
        <f t="shared" si="258"/>
        <v>WED</v>
      </c>
      <c r="N2301" s="116" t="s">
        <v>20</v>
      </c>
      <c r="O2301" s="383">
        <f t="shared" si="262"/>
        <v>1</v>
      </c>
      <c r="P2301" s="392">
        <f t="shared" si="261"/>
        <v>1.0001005555555555</v>
      </c>
    </row>
    <row r="2302" spans="1:16">
      <c r="A2302" s="238"/>
      <c r="B2302" s="239"/>
      <c r="C2302" s="403">
        <f t="shared" si="259"/>
        <v>46100</v>
      </c>
      <c r="D2302" s="56" t="str">
        <f>VLOOKUP(MOD(C2302,7),'CALENDAR INFO'!$G$5:$H$11,2)</f>
        <v>THU</v>
      </c>
      <c r="E2302" s="165">
        <v>3.64</v>
      </c>
      <c r="F2302" s="336">
        <v>3.62</v>
      </c>
      <c r="G2302" s="411">
        <f t="shared" si="256"/>
        <v>-2.0000000000000018E-2</v>
      </c>
      <c r="I2302" s="141"/>
      <c r="J2302" s="158"/>
      <c r="K2302" s="126" t="s">
        <v>18</v>
      </c>
      <c r="L2302" s="403">
        <f t="shared" si="257"/>
        <v>46100</v>
      </c>
      <c r="M2302" s="56" t="str">
        <f t="shared" si="258"/>
        <v>THU</v>
      </c>
      <c r="O2302" s="383">
        <f t="shared" si="262"/>
        <v>1</v>
      </c>
      <c r="P2302" s="392">
        <f t="shared" si="261"/>
        <v>1.0001005555555555</v>
      </c>
    </row>
    <row r="2303" spans="1:16">
      <c r="A2303" s="238"/>
      <c r="B2303" s="239"/>
      <c r="C2303" s="403">
        <f t="shared" si="259"/>
        <v>46101</v>
      </c>
      <c r="D2303" s="56" t="str">
        <f>VLOOKUP(MOD(C2303,7),'CALENDAR INFO'!$G$5:$H$11,2)</f>
        <v>FRI</v>
      </c>
      <c r="E2303" s="165">
        <v>3.64</v>
      </c>
      <c r="F2303" s="336">
        <v>3.62</v>
      </c>
      <c r="G2303" s="411">
        <f t="shared" si="256"/>
        <v>-2.0000000000000018E-2</v>
      </c>
      <c r="I2303" s="137"/>
      <c r="J2303" s="150"/>
      <c r="K2303" s="126"/>
      <c r="L2303" s="403">
        <f t="shared" si="257"/>
        <v>46101</v>
      </c>
      <c r="M2303" s="56" t="str">
        <f t="shared" si="258"/>
        <v>FRI</v>
      </c>
      <c r="O2303" s="383">
        <f t="shared" si="262"/>
        <v>3</v>
      </c>
      <c r="P2303" s="392">
        <f t="shared" si="261"/>
        <v>1.0003016666666666</v>
      </c>
    </row>
    <row r="2304" spans="1:16">
      <c r="A2304" s="238"/>
      <c r="B2304" s="239"/>
      <c r="C2304" s="403">
        <f t="shared" si="259"/>
        <v>46102</v>
      </c>
      <c r="D2304" s="56" t="str">
        <f>VLOOKUP(MOD(C2304,7),'CALENDAR INFO'!$G$5:$H$11,2)</f>
        <v>SAT</v>
      </c>
      <c r="E2304" s="165">
        <v>3.64</v>
      </c>
      <c r="F2304" s="336">
        <v>3.62</v>
      </c>
      <c r="G2304" s="411">
        <f t="shared" si="256"/>
        <v>-2.0000000000000018E-2</v>
      </c>
      <c r="K2304" s="126"/>
      <c r="L2304" s="403">
        <f t="shared" si="257"/>
        <v>46102</v>
      </c>
      <c r="M2304" s="56" t="str">
        <f t="shared" si="258"/>
        <v>SAT</v>
      </c>
      <c r="O2304" s="383">
        <f t="shared" si="262"/>
        <v>0</v>
      </c>
      <c r="P2304" s="392">
        <f t="shared" si="261"/>
        <v>1</v>
      </c>
    </row>
    <row r="2305" spans="1:16">
      <c r="A2305" s="238"/>
      <c r="B2305" s="239"/>
      <c r="C2305" s="403">
        <f t="shared" si="259"/>
        <v>46103</v>
      </c>
      <c r="D2305" s="56" t="str">
        <f>VLOOKUP(MOD(C2305,7),'CALENDAR INFO'!$G$5:$H$11,2)</f>
        <v>SUN</v>
      </c>
      <c r="E2305" s="165">
        <v>3.64</v>
      </c>
      <c r="F2305" s="336">
        <v>3.62</v>
      </c>
      <c r="G2305" s="411">
        <f t="shared" si="256"/>
        <v>-2.0000000000000018E-2</v>
      </c>
      <c r="K2305" s="126"/>
      <c r="L2305" s="403">
        <f t="shared" si="257"/>
        <v>46103</v>
      </c>
      <c r="M2305" s="56" t="str">
        <f t="shared" si="258"/>
        <v>SUN</v>
      </c>
      <c r="O2305" s="383">
        <f t="shared" si="262"/>
        <v>0</v>
      </c>
      <c r="P2305" s="392">
        <f t="shared" si="261"/>
        <v>1</v>
      </c>
    </row>
    <row r="2306" spans="1:16">
      <c r="A2306" s="238"/>
      <c r="B2306" s="239"/>
      <c r="C2306" s="403">
        <f t="shared" si="259"/>
        <v>46104</v>
      </c>
      <c r="D2306" s="56" t="str">
        <f>VLOOKUP(MOD(C2306,7),'CALENDAR INFO'!$G$5:$H$11,2)</f>
        <v>MON</v>
      </c>
      <c r="E2306" s="165">
        <v>3.64</v>
      </c>
      <c r="F2306" s="336">
        <v>3.62</v>
      </c>
      <c r="G2306" s="411">
        <f t="shared" si="256"/>
        <v>-2.0000000000000018E-2</v>
      </c>
      <c r="I2306" s="313"/>
      <c r="J2306" s="314"/>
      <c r="K2306" s="126"/>
      <c r="L2306" s="403">
        <f t="shared" si="257"/>
        <v>46104</v>
      </c>
      <c r="M2306" s="56" t="str">
        <f t="shared" si="258"/>
        <v>MON</v>
      </c>
      <c r="O2306" s="383">
        <f t="shared" si="262"/>
        <v>1</v>
      </c>
      <c r="P2306" s="392">
        <f t="shared" si="261"/>
        <v>1.0001005555555555</v>
      </c>
    </row>
    <row r="2307" spans="1:16">
      <c r="A2307" s="238"/>
      <c r="B2307" s="239"/>
      <c r="C2307" s="403">
        <f t="shared" si="259"/>
        <v>46105</v>
      </c>
      <c r="D2307" s="56" t="str">
        <f>VLOOKUP(MOD(C2307,7),'CALENDAR INFO'!$G$5:$H$11,2)</f>
        <v>TUE</v>
      </c>
      <c r="E2307" s="165">
        <v>3.64</v>
      </c>
      <c r="F2307" s="336">
        <v>3.63</v>
      </c>
      <c r="G2307" s="411">
        <f t="shared" ref="G2307:G2370" si="263">F2307-E2307</f>
        <v>-1.0000000000000231E-2</v>
      </c>
      <c r="I2307" s="115"/>
      <c r="J2307" s="159"/>
      <c r="K2307" s="126"/>
      <c r="L2307" s="403">
        <f t="shared" ref="L2307:L2370" si="264">C2307</f>
        <v>46105</v>
      </c>
      <c r="M2307" s="56" t="str">
        <f t="shared" ref="M2307:M2370" si="265">D2307</f>
        <v>TUE</v>
      </c>
      <c r="O2307" s="383">
        <f t="shared" si="262"/>
        <v>1</v>
      </c>
      <c r="P2307" s="392">
        <f t="shared" si="261"/>
        <v>1.0001008333333334</v>
      </c>
    </row>
    <row r="2308" spans="1:16">
      <c r="A2308" s="238"/>
      <c r="B2308" s="239"/>
      <c r="C2308" s="403">
        <f t="shared" ref="C2308:C2371" si="266">C2307+1</f>
        <v>46106</v>
      </c>
      <c r="D2308" s="56" t="str">
        <f>VLOOKUP(MOD(C2308,7),'CALENDAR INFO'!$G$5:$H$11,2)</f>
        <v>WED</v>
      </c>
      <c r="E2308" s="165">
        <v>3.64</v>
      </c>
      <c r="F2308" s="336">
        <v>3.64</v>
      </c>
      <c r="G2308" s="411">
        <f t="shared" si="263"/>
        <v>0</v>
      </c>
      <c r="I2308" s="137"/>
      <c r="J2308" s="150"/>
      <c r="K2308" s="126"/>
      <c r="L2308" s="403">
        <f t="shared" si="264"/>
        <v>46106</v>
      </c>
      <c r="M2308" s="56" t="str">
        <f t="shared" si="265"/>
        <v>WED</v>
      </c>
      <c r="O2308" s="383">
        <f t="shared" si="262"/>
        <v>1</v>
      </c>
      <c r="P2308" s="392">
        <f t="shared" si="261"/>
        <v>1.0001011111111111</v>
      </c>
    </row>
    <row r="2309" spans="1:16">
      <c r="A2309" s="238"/>
      <c r="B2309" s="239"/>
      <c r="C2309" s="403">
        <f t="shared" si="266"/>
        <v>46107</v>
      </c>
      <c r="D2309" s="56" t="str">
        <f>VLOOKUP(MOD(C2309,7),'CALENDAR INFO'!$G$5:$H$11,2)</f>
        <v>THU</v>
      </c>
      <c r="E2309" s="165">
        <v>3.64</v>
      </c>
      <c r="F2309" s="336">
        <v>3.65</v>
      </c>
      <c r="G2309" s="411">
        <f t="shared" si="263"/>
        <v>9.9999999999997868E-3</v>
      </c>
      <c r="I2309" s="137"/>
      <c r="J2309" s="150"/>
      <c r="K2309" s="126"/>
      <c r="L2309" s="403">
        <f t="shared" si="264"/>
        <v>46107</v>
      </c>
      <c r="M2309" s="56" t="str">
        <f t="shared" si="265"/>
        <v>THU</v>
      </c>
      <c r="O2309" s="383">
        <f t="shared" si="262"/>
        <v>1</v>
      </c>
      <c r="P2309" s="392">
        <f t="shared" si="261"/>
        <v>1.000101388888889</v>
      </c>
    </row>
    <row r="2310" spans="1:16">
      <c r="A2310" s="238"/>
      <c r="B2310" s="239"/>
      <c r="C2310" s="403">
        <f t="shared" si="266"/>
        <v>46108</v>
      </c>
      <c r="D2310" s="56" t="str">
        <f>VLOOKUP(MOD(C2310,7),'CALENDAR INFO'!$G$5:$H$11,2)</f>
        <v>FRI</v>
      </c>
      <c r="E2310" s="165">
        <v>3.64</v>
      </c>
      <c r="F2310" s="336">
        <v>3.63</v>
      </c>
      <c r="G2310" s="411">
        <f t="shared" si="263"/>
        <v>-1.0000000000000231E-2</v>
      </c>
      <c r="I2310" s="171"/>
      <c r="J2310" s="172"/>
      <c r="K2310" s="126"/>
      <c r="L2310" s="403">
        <f t="shared" si="264"/>
        <v>46108</v>
      </c>
      <c r="M2310" s="56" t="str">
        <f t="shared" si="265"/>
        <v>FRI</v>
      </c>
      <c r="O2310" s="383">
        <f t="shared" si="262"/>
        <v>3</v>
      </c>
      <c r="P2310" s="392">
        <f t="shared" si="261"/>
        <v>1.0003025000000001</v>
      </c>
    </row>
    <row r="2311" spans="1:16">
      <c r="A2311" s="238"/>
      <c r="B2311" s="239"/>
      <c r="C2311" s="403">
        <f t="shared" si="266"/>
        <v>46109</v>
      </c>
      <c r="D2311" s="56" t="str">
        <f>VLOOKUP(MOD(C2311,7),'CALENDAR INFO'!$G$5:$H$11,2)</f>
        <v>SAT</v>
      </c>
      <c r="E2311" s="165">
        <v>3.64</v>
      </c>
      <c r="F2311" s="336">
        <v>3.63</v>
      </c>
      <c r="G2311" s="411">
        <f t="shared" si="263"/>
        <v>-1.0000000000000231E-2</v>
      </c>
      <c r="I2311" s="137"/>
      <c r="J2311" s="150"/>
      <c r="K2311" s="126"/>
      <c r="L2311" s="403">
        <f t="shared" si="264"/>
        <v>46109</v>
      </c>
      <c r="M2311" s="56" t="str">
        <f t="shared" si="265"/>
        <v>SAT</v>
      </c>
      <c r="O2311" s="383">
        <f t="shared" si="262"/>
        <v>0</v>
      </c>
      <c r="P2311" s="392">
        <f t="shared" si="261"/>
        <v>1</v>
      </c>
    </row>
    <row r="2312" spans="1:16">
      <c r="A2312" s="238"/>
      <c r="B2312" s="239"/>
      <c r="C2312" s="403">
        <f t="shared" si="266"/>
        <v>46110</v>
      </c>
      <c r="D2312" s="56" t="str">
        <f>VLOOKUP(MOD(C2312,7),'CALENDAR INFO'!$G$5:$H$11,2)</f>
        <v>SUN</v>
      </c>
      <c r="E2312" s="165">
        <v>3.64</v>
      </c>
      <c r="F2312" s="336">
        <v>3.63</v>
      </c>
      <c r="G2312" s="411">
        <f t="shared" si="263"/>
        <v>-1.0000000000000231E-2</v>
      </c>
      <c r="J2312" s="150"/>
      <c r="K2312" s="126"/>
      <c r="L2312" s="403">
        <f t="shared" si="264"/>
        <v>46110</v>
      </c>
      <c r="M2312" s="56" t="str">
        <f t="shared" si="265"/>
        <v>SUN</v>
      </c>
      <c r="O2312" s="383">
        <f t="shared" si="262"/>
        <v>0</v>
      </c>
      <c r="P2312" s="392">
        <f t="shared" si="261"/>
        <v>1</v>
      </c>
    </row>
    <row r="2313" spans="1:16">
      <c r="A2313" s="238"/>
      <c r="B2313" s="239"/>
      <c r="C2313" s="403">
        <f t="shared" si="266"/>
        <v>46111</v>
      </c>
      <c r="D2313" s="56" t="str">
        <f>VLOOKUP(MOD(C2313,7),'CALENDAR INFO'!$G$5:$H$11,2)</f>
        <v>MON</v>
      </c>
      <c r="E2313" s="165">
        <v>3.64</v>
      </c>
      <c r="F2313" s="336">
        <v>3.63</v>
      </c>
      <c r="G2313" s="411">
        <f t="shared" si="263"/>
        <v>-1.0000000000000231E-2</v>
      </c>
      <c r="I2313" s="147"/>
      <c r="J2313" s="326"/>
      <c r="K2313" s="126"/>
      <c r="L2313" s="403">
        <f t="shared" si="264"/>
        <v>46111</v>
      </c>
      <c r="M2313" s="56" t="str">
        <f t="shared" si="265"/>
        <v>MON</v>
      </c>
      <c r="O2313" s="383">
        <f t="shared" si="262"/>
        <v>1</v>
      </c>
      <c r="P2313" s="392">
        <f t="shared" si="261"/>
        <v>1.0001008333333334</v>
      </c>
    </row>
    <row r="2314" spans="1:16" ht="15.75" thickBot="1">
      <c r="A2314" s="316"/>
      <c r="B2314" s="317"/>
      <c r="C2314" s="404">
        <f t="shared" si="266"/>
        <v>46112</v>
      </c>
      <c r="D2314" s="64" t="str">
        <f>VLOOKUP(MOD(C2314,7),'CALENDAR INFO'!$G$5:$H$11,2)</f>
        <v>TUE</v>
      </c>
      <c r="E2314" s="166">
        <v>3.64</v>
      </c>
      <c r="F2314" s="337">
        <v>3.68</v>
      </c>
      <c r="G2314" s="412">
        <f t="shared" si="263"/>
        <v>4.0000000000000036E-2</v>
      </c>
      <c r="H2314" s="274"/>
      <c r="I2314" s="274"/>
      <c r="J2314" s="275"/>
      <c r="K2314" s="77"/>
      <c r="L2314" s="404">
        <f t="shared" si="264"/>
        <v>46112</v>
      </c>
      <c r="M2314" s="64" t="str">
        <f t="shared" si="265"/>
        <v>TUE</v>
      </c>
      <c r="N2314" s="90"/>
      <c r="O2314" s="382">
        <f t="shared" si="262"/>
        <v>1</v>
      </c>
      <c r="P2314" s="388">
        <f t="shared" si="261"/>
        <v>1.0001022222222222</v>
      </c>
    </row>
    <row r="2315" spans="1:16">
      <c r="B2315" s="41"/>
      <c r="C2315" s="403">
        <f t="shared" si="266"/>
        <v>46113</v>
      </c>
      <c r="D2315" s="56" t="str">
        <f>VLOOKUP(MOD(C2315,7),'CALENDAR INFO'!$G$5:$H$11,2)</f>
        <v>WED</v>
      </c>
      <c r="E2315" s="165">
        <v>3.64</v>
      </c>
      <c r="F2315" s="336">
        <v>3.65</v>
      </c>
      <c r="G2315" s="411">
        <f t="shared" si="263"/>
        <v>9.9999999999997868E-3</v>
      </c>
      <c r="H2315" s="15" t="s">
        <v>149</v>
      </c>
      <c r="I2315" s="15">
        <f>ROW(I2315)</f>
        <v>2315</v>
      </c>
      <c r="J2315" s="138">
        <f>I2315</f>
        <v>2315</v>
      </c>
      <c r="K2315" s="126" t="s">
        <v>19</v>
      </c>
      <c r="L2315" s="403">
        <f t="shared" si="264"/>
        <v>46113</v>
      </c>
      <c r="M2315" s="56" t="str">
        <f t="shared" si="265"/>
        <v>WED</v>
      </c>
      <c r="O2315" s="383">
        <f t="shared" si="262"/>
        <v>1</v>
      </c>
      <c r="P2315" s="392">
        <f t="shared" si="261"/>
        <v>1.000101388888889</v>
      </c>
    </row>
    <row r="2316" spans="1:16">
      <c r="B2316" s="41"/>
      <c r="C2316" s="403">
        <f t="shared" si="266"/>
        <v>46114</v>
      </c>
      <c r="D2316" s="56" t="str">
        <f>VLOOKUP(MOD(C2316,7),'CALENDAR INFO'!$G$5:$H$11,2)</f>
        <v>THU</v>
      </c>
      <c r="E2316" s="165">
        <v>3.64</v>
      </c>
      <c r="F2316" s="336">
        <v>3.66</v>
      </c>
      <c r="G2316" s="411">
        <f t="shared" si="263"/>
        <v>2.0000000000000018E-2</v>
      </c>
      <c r="H2316" s="376" t="s">
        <v>210</v>
      </c>
      <c r="I2316" s="15">
        <f>VLOOKUP(MONTH($C2315),'CALENDAR INFO'!$J$5:$K$16,2)</f>
        <v>30</v>
      </c>
      <c r="J2316" s="138">
        <f>I2316</f>
        <v>30</v>
      </c>
      <c r="K2316" s="129" t="s">
        <v>18</v>
      </c>
      <c r="L2316" s="403">
        <f t="shared" si="264"/>
        <v>46114</v>
      </c>
      <c r="M2316" s="56" t="str">
        <f t="shared" si="265"/>
        <v>THU</v>
      </c>
      <c r="O2316" s="383">
        <f t="shared" si="262"/>
        <v>1</v>
      </c>
      <c r="P2316" s="392">
        <f t="shared" si="261"/>
        <v>1.0001016666666667</v>
      </c>
    </row>
    <row r="2317" spans="1:16">
      <c r="B2317" s="41"/>
      <c r="C2317" s="403">
        <f t="shared" si="266"/>
        <v>46115</v>
      </c>
      <c r="D2317" s="56" t="str">
        <f>VLOOKUP(MOD(C2317,7),'CALENDAR INFO'!$G$5:$H$11,2)</f>
        <v>FRI</v>
      </c>
      <c r="E2317" s="165">
        <v>3.64</v>
      </c>
      <c r="F2317" s="336">
        <v>3.66</v>
      </c>
      <c r="G2317" s="411">
        <f t="shared" si="263"/>
        <v>2.0000000000000018E-2</v>
      </c>
      <c r="H2317" s="376" t="s">
        <v>211</v>
      </c>
      <c r="I2317" s="15">
        <f>I2316+I2315-1</f>
        <v>2344</v>
      </c>
      <c r="J2317" s="138">
        <f>I2317</f>
        <v>2344</v>
      </c>
      <c r="K2317" s="129"/>
      <c r="L2317" s="403">
        <f t="shared" si="264"/>
        <v>46115</v>
      </c>
      <c r="M2317" s="56" t="str">
        <f t="shared" si="265"/>
        <v>FRI</v>
      </c>
      <c r="N2317" s="132" t="s">
        <v>44</v>
      </c>
      <c r="O2317" s="384">
        <v>4</v>
      </c>
      <c r="P2317" s="392">
        <f t="shared" si="261"/>
        <v>1.0004066666666667</v>
      </c>
    </row>
    <row r="2318" spans="1:16">
      <c r="B2318" s="41"/>
      <c r="C2318" s="403">
        <f t="shared" si="266"/>
        <v>46116</v>
      </c>
      <c r="D2318" s="56" t="str">
        <f>VLOOKUP(MOD(C2318,7),'CALENDAR INFO'!$G$5:$H$11,2)</f>
        <v>SAT</v>
      </c>
      <c r="E2318" s="165">
        <v>3.64</v>
      </c>
      <c r="F2318" s="336">
        <v>3.66</v>
      </c>
      <c r="G2318" s="411">
        <f t="shared" si="263"/>
        <v>2.0000000000000018E-2</v>
      </c>
      <c r="K2318" s="129"/>
      <c r="L2318" s="403">
        <f t="shared" si="264"/>
        <v>46116</v>
      </c>
      <c r="M2318" s="56" t="str">
        <f t="shared" si="265"/>
        <v>SAT</v>
      </c>
      <c r="O2318" s="383">
        <f>IF(MOD(C2318,7)&lt;2,0,IF(MOD(C2318,7)=6,3,1))</f>
        <v>0</v>
      </c>
      <c r="P2318" s="392">
        <f t="shared" si="261"/>
        <v>1</v>
      </c>
    </row>
    <row r="2319" spans="1:16">
      <c r="B2319" s="41"/>
      <c r="C2319" s="403">
        <f t="shared" si="266"/>
        <v>46117</v>
      </c>
      <c r="D2319" s="56" t="str">
        <f>VLOOKUP(MOD(C2319,7),'CALENDAR INFO'!$G$5:$H$11,2)</f>
        <v>SUN</v>
      </c>
      <c r="E2319" s="165">
        <v>3.64</v>
      </c>
      <c r="F2319" s="336">
        <v>3.66</v>
      </c>
      <c r="G2319" s="411">
        <f t="shared" si="263"/>
        <v>2.0000000000000018E-2</v>
      </c>
      <c r="H2319" s="15" t="s">
        <v>150</v>
      </c>
      <c r="I2319" s="137" t="str">
        <f>_xlfn.CONCAT(ADDRESS(I2315,5),":",ADDRESS(I2317,5))</f>
        <v>$E$2315:$E$2344</v>
      </c>
      <c r="J2319" s="150" t="str">
        <f>_xlfn.CONCAT(ADDRESS(J2315,6),":",ADDRESS(J2317,6))</f>
        <v>$F$2315:$F$2344</v>
      </c>
      <c r="K2319" s="129"/>
      <c r="L2319" s="403">
        <f t="shared" si="264"/>
        <v>46117</v>
      </c>
      <c r="M2319" s="56" t="str">
        <f t="shared" si="265"/>
        <v>SUN</v>
      </c>
      <c r="O2319" s="383">
        <f>IF(MOD(C2319,7)&lt;2,0,IF(MOD(C2319,7)=6,3,1))</f>
        <v>0</v>
      </c>
      <c r="P2319" s="392">
        <f t="shared" si="261"/>
        <v>1</v>
      </c>
    </row>
    <row r="2320" spans="1:16">
      <c r="B2320" s="41"/>
      <c r="C2320" s="403">
        <f t="shared" si="266"/>
        <v>46118</v>
      </c>
      <c r="D2320" s="56" t="str">
        <f>VLOOKUP(MOD(C2320,7),'CALENDAR INFO'!$G$5:$H$11,2)</f>
        <v>MON</v>
      </c>
      <c r="E2320" s="165">
        <v>3.64</v>
      </c>
      <c r="F2320" s="336">
        <v>3.65</v>
      </c>
      <c r="G2320" s="411">
        <f t="shared" si="263"/>
        <v>9.9999999999997868E-3</v>
      </c>
      <c r="K2320" s="129"/>
      <c r="L2320" s="403">
        <f t="shared" si="264"/>
        <v>46118</v>
      </c>
      <c r="M2320" s="56" t="str">
        <f t="shared" si="265"/>
        <v>MON</v>
      </c>
      <c r="O2320" s="384">
        <v>0</v>
      </c>
      <c r="P2320" s="392">
        <f t="shared" si="261"/>
        <v>1</v>
      </c>
    </row>
    <row r="2321" spans="2:16">
      <c r="B2321" s="41"/>
      <c r="C2321" s="403">
        <f t="shared" si="266"/>
        <v>46119</v>
      </c>
      <c r="D2321" s="56" t="str">
        <f>VLOOKUP(MOD(C2321,7),'CALENDAR INFO'!$G$5:$H$11,2)</f>
        <v>TUE</v>
      </c>
      <c r="E2321" s="165">
        <v>3.64</v>
      </c>
      <c r="F2321" s="336">
        <v>3.62</v>
      </c>
      <c r="G2321" s="411">
        <f t="shared" si="263"/>
        <v>-2.0000000000000018E-2</v>
      </c>
      <c r="H2321" s="376" t="s">
        <v>221</v>
      </c>
      <c r="I2321" s="147">
        <f ca="1">AVERAGE(INDIRECT(I2319))</f>
        <v>3.64</v>
      </c>
      <c r="J2321" s="326">
        <f ca="1">AVERAGE(INDIRECT(J2319))</f>
        <v>3.6433333333333326</v>
      </c>
      <c r="K2321" s="129"/>
      <c r="L2321" s="403">
        <f t="shared" si="264"/>
        <v>46119</v>
      </c>
      <c r="M2321" s="56" t="str">
        <f t="shared" si="265"/>
        <v>TUE</v>
      </c>
      <c r="O2321" s="383">
        <f t="shared" ref="O2321:O2365" si="267">IF(MOD(C2321,7)&lt;2,0,IF(MOD(C2321,7)=6,3,1))</f>
        <v>1</v>
      </c>
      <c r="P2321" s="392">
        <f t="shared" si="261"/>
        <v>1.0001005555555555</v>
      </c>
    </row>
    <row r="2322" spans="2:16">
      <c r="B2322" s="41"/>
      <c r="C2322" s="403">
        <f t="shared" si="266"/>
        <v>46120</v>
      </c>
      <c r="D2322" s="56" t="str">
        <f>VLOOKUP(MOD(C2322,7),'CALENDAR INFO'!$G$5:$H$11,2)</f>
        <v>WED</v>
      </c>
      <c r="E2322" s="165">
        <v>3.64</v>
      </c>
      <c r="F2322" s="336">
        <v>3.59</v>
      </c>
      <c r="G2322" s="411">
        <f t="shared" si="263"/>
        <v>-5.0000000000000266E-2</v>
      </c>
      <c r="H2322" s="135"/>
      <c r="K2322" s="129"/>
      <c r="L2322" s="403">
        <f t="shared" si="264"/>
        <v>46120</v>
      </c>
      <c r="M2322" s="56" t="str">
        <f t="shared" si="265"/>
        <v>WED</v>
      </c>
      <c r="O2322" s="383">
        <f t="shared" si="267"/>
        <v>1</v>
      </c>
      <c r="P2322" s="392">
        <f t="shared" si="261"/>
        <v>1.0000997222222223</v>
      </c>
    </row>
    <row r="2323" spans="2:16">
      <c r="B2323" s="41"/>
      <c r="C2323" s="403">
        <f t="shared" si="266"/>
        <v>46121</v>
      </c>
      <c r="D2323" s="56" t="str">
        <f>VLOOKUP(MOD(C2323,7),'CALENDAR INFO'!$G$5:$H$11,2)</f>
        <v>THU</v>
      </c>
      <c r="E2323" s="165">
        <v>3.64</v>
      </c>
      <c r="F2323" s="336">
        <v>3.57</v>
      </c>
      <c r="G2323" s="411">
        <f t="shared" si="263"/>
        <v>-7.0000000000000284E-2</v>
      </c>
      <c r="H2323" s="15" t="s">
        <v>222</v>
      </c>
      <c r="I2323" s="147">
        <f ca="1">100-I2321</f>
        <v>96.36</v>
      </c>
      <c r="J2323" s="326">
        <f ca="1">100-J2321</f>
        <v>96.356666666666669</v>
      </c>
      <c r="K2323" s="129"/>
      <c r="L2323" s="403">
        <f t="shared" si="264"/>
        <v>46121</v>
      </c>
      <c r="M2323" s="56" t="str">
        <f t="shared" si="265"/>
        <v>THU</v>
      </c>
      <c r="O2323" s="383">
        <f t="shared" si="267"/>
        <v>1</v>
      </c>
      <c r="P2323" s="392">
        <f t="shared" ref="P2323:P2386" si="268">1+(O2323/360)*(MAX(F2323,B2323)/100)</f>
        <v>1.0000991666666668</v>
      </c>
    </row>
    <row r="2324" spans="2:16">
      <c r="B2324" s="41"/>
      <c r="C2324" s="403">
        <f t="shared" si="266"/>
        <v>46122</v>
      </c>
      <c r="D2324" s="56" t="str">
        <f>VLOOKUP(MOD(C2324,7),'CALENDAR INFO'!$G$5:$H$11,2)</f>
        <v>FRI</v>
      </c>
      <c r="E2324" s="165">
        <v>3.64</v>
      </c>
      <c r="F2324" s="336">
        <v>3.61</v>
      </c>
      <c r="G2324" s="411">
        <f t="shared" si="263"/>
        <v>-3.0000000000000249E-2</v>
      </c>
      <c r="I2324" s="137"/>
      <c r="J2324" s="150"/>
      <c r="K2324" s="129"/>
      <c r="L2324" s="403">
        <f t="shared" si="264"/>
        <v>46122</v>
      </c>
      <c r="M2324" s="56" t="str">
        <f t="shared" si="265"/>
        <v>FRI</v>
      </c>
      <c r="O2324" s="383">
        <f t="shared" si="267"/>
        <v>3</v>
      </c>
      <c r="P2324" s="392">
        <f t="shared" si="268"/>
        <v>1.0003008333333334</v>
      </c>
    </row>
    <row r="2325" spans="2:16">
      <c r="B2325" s="41"/>
      <c r="C2325" s="403">
        <f t="shared" si="266"/>
        <v>46123</v>
      </c>
      <c r="D2325" s="56" t="str">
        <f>VLOOKUP(MOD(C2325,7),'CALENDAR INFO'!$G$5:$H$11,2)</f>
        <v>SAT</v>
      </c>
      <c r="E2325" s="165">
        <v>3.64</v>
      </c>
      <c r="F2325" s="336">
        <v>3.61</v>
      </c>
      <c r="G2325" s="411">
        <f t="shared" si="263"/>
        <v>-3.0000000000000249E-2</v>
      </c>
      <c r="I2325" s="171"/>
      <c r="J2325" s="172"/>
      <c r="K2325" s="129"/>
      <c r="L2325" s="403">
        <f t="shared" si="264"/>
        <v>46123</v>
      </c>
      <c r="M2325" s="56" t="str">
        <f t="shared" si="265"/>
        <v>SAT</v>
      </c>
      <c r="O2325" s="383">
        <f t="shared" si="267"/>
        <v>0</v>
      </c>
      <c r="P2325" s="392">
        <f t="shared" si="268"/>
        <v>1</v>
      </c>
    </row>
    <row r="2326" spans="2:16">
      <c r="B2326" s="41"/>
      <c r="C2326" s="403">
        <f t="shared" si="266"/>
        <v>46124</v>
      </c>
      <c r="D2326" s="56" t="str">
        <f>VLOOKUP(MOD(C2326,7),'CALENDAR INFO'!$G$5:$H$11,2)</f>
        <v>SUN</v>
      </c>
      <c r="E2326" s="165">
        <v>3.64</v>
      </c>
      <c r="F2326" s="336">
        <v>3.61</v>
      </c>
      <c r="G2326" s="411">
        <f t="shared" si="263"/>
        <v>-3.0000000000000249E-2</v>
      </c>
      <c r="I2326" s="171"/>
      <c r="J2326" s="172"/>
      <c r="K2326" s="129"/>
      <c r="L2326" s="403">
        <f t="shared" si="264"/>
        <v>46124</v>
      </c>
      <c r="M2326" s="56" t="str">
        <f t="shared" si="265"/>
        <v>SUN</v>
      </c>
      <c r="O2326" s="383">
        <f t="shared" si="267"/>
        <v>0</v>
      </c>
      <c r="P2326" s="392">
        <f t="shared" si="268"/>
        <v>1</v>
      </c>
    </row>
    <row r="2327" spans="2:16">
      <c r="B2327" s="41"/>
      <c r="C2327" s="403">
        <f t="shared" si="266"/>
        <v>46125</v>
      </c>
      <c r="D2327" s="56" t="str">
        <f>VLOOKUP(MOD(C2327,7),'CALENDAR INFO'!$G$5:$H$11,2)</f>
        <v>MON</v>
      </c>
      <c r="E2327" s="165">
        <v>3.64</v>
      </c>
      <c r="F2327" s="336">
        <v>3.63</v>
      </c>
      <c r="G2327" s="411">
        <f t="shared" si="263"/>
        <v>-1.0000000000000231E-2</v>
      </c>
      <c r="I2327" s="171"/>
      <c r="J2327" s="172"/>
      <c r="K2327" s="129"/>
      <c r="L2327" s="403">
        <f t="shared" si="264"/>
        <v>46125</v>
      </c>
      <c r="M2327" s="56" t="str">
        <f t="shared" si="265"/>
        <v>MON</v>
      </c>
      <c r="O2327" s="383">
        <f t="shared" si="267"/>
        <v>1</v>
      </c>
      <c r="P2327" s="392">
        <f t="shared" si="268"/>
        <v>1.0001008333333334</v>
      </c>
    </row>
    <row r="2328" spans="2:16">
      <c r="B2328" s="41"/>
      <c r="C2328" s="403">
        <f t="shared" si="266"/>
        <v>46126</v>
      </c>
      <c r="D2328" s="56" t="str">
        <f>VLOOKUP(MOD(C2328,7),'CALENDAR INFO'!$G$5:$H$11,2)</f>
        <v>TUE</v>
      </c>
      <c r="E2328" s="165">
        <v>3.64</v>
      </c>
      <c r="F2328" s="336">
        <v>3.66</v>
      </c>
      <c r="G2328" s="411">
        <f t="shared" si="263"/>
        <v>2.0000000000000018E-2</v>
      </c>
      <c r="I2328" s="137"/>
      <c r="J2328" s="150"/>
      <c r="K2328" s="129"/>
      <c r="L2328" s="403">
        <f t="shared" si="264"/>
        <v>46126</v>
      </c>
      <c r="M2328" s="56" t="str">
        <f t="shared" si="265"/>
        <v>TUE</v>
      </c>
      <c r="O2328" s="383">
        <f t="shared" si="267"/>
        <v>1</v>
      </c>
      <c r="P2328" s="392">
        <f t="shared" si="268"/>
        <v>1.0001016666666667</v>
      </c>
    </row>
    <row r="2329" spans="2:16">
      <c r="B2329" s="41"/>
      <c r="C2329" s="403">
        <f t="shared" si="266"/>
        <v>46127</v>
      </c>
      <c r="D2329" s="56" t="str">
        <f>VLOOKUP(MOD(C2329,7),'CALENDAR INFO'!$G$5:$H$11,2)</f>
        <v>WED</v>
      </c>
      <c r="E2329" s="165">
        <v>3.64</v>
      </c>
      <c r="F2329" s="336">
        <v>3.72</v>
      </c>
      <c r="G2329" s="411">
        <f t="shared" si="263"/>
        <v>8.0000000000000071E-2</v>
      </c>
      <c r="I2329" s="137"/>
      <c r="J2329" s="150"/>
      <c r="K2329" s="129" t="s">
        <v>19</v>
      </c>
      <c r="L2329" s="403">
        <f t="shared" si="264"/>
        <v>46127</v>
      </c>
      <c r="M2329" s="56" t="str">
        <f t="shared" si="265"/>
        <v>WED</v>
      </c>
      <c r="O2329" s="383">
        <f t="shared" si="267"/>
        <v>1</v>
      </c>
      <c r="P2329" s="392">
        <f t="shared" si="268"/>
        <v>1.0001033333333333</v>
      </c>
    </row>
    <row r="2330" spans="2:16">
      <c r="B2330" s="41"/>
      <c r="C2330" s="403">
        <f t="shared" si="266"/>
        <v>46128</v>
      </c>
      <c r="D2330" s="56" t="str">
        <f>VLOOKUP(MOD(C2330,7),'CALENDAR INFO'!$G$5:$H$11,2)</f>
        <v>THU</v>
      </c>
      <c r="E2330" s="165">
        <v>3.64</v>
      </c>
      <c r="F2330" s="336">
        <v>3.67</v>
      </c>
      <c r="G2330" s="411">
        <f t="shared" si="263"/>
        <v>2.9999999999999805E-2</v>
      </c>
      <c r="I2330" s="137"/>
      <c r="J2330" s="150"/>
      <c r="K2330" s="126" t="s">
        <v>18</v>
      </c>
      <c r="L2330" s="403">
        <f t="shared" si="264"/>
        <v>46128</v>
      </c>
      <c r="M2330" s="56" t="str">
        <f t="shared" si="265"/>
        <v>THU</v>
      </c>
      <c r="O2330" s="383">
        <f t="shared" si="267"/>
        <v>1</v>
      </c>
      <c r="P2330" s="392">
        <f t="shared" si="268"/>
        <v>1.0001019444444443</v>
      </c>
    </row>
    <row r="2331" spans="2:16">
      <c r="B2331" s="41"/>
      <c r="C2331" s="403">
        <f t="shared" si="266"/>
        <v>46129</v>
      </c>
      <c r="D2331" s="56" t="str">
        <f>VLOOKUP(MOD(C2331,7),'CALENDAR INFO'!$G$5:$H$11,2)</f>
        <v>FRI</v>
      </c>
      <c r="E2331" s="165">
        <v>3.64</v>
      </c>
      <c r="F2331" s="336">
        <v>3.65</v>
      </c>
      <c r="G2331" s="411">
        <f t="shared" si="263"/>
        <v>9.9999999999997868E-3</v>
      </c>
      <c r="I2331" s="137"/>
      <c r="J2331" s="150"/>
      <c r="K2331" s="126"/>
      <c r="L2331" s="403">
        <f t="shared" si="264"/>
        <v>46129</v>
      </c>
      <c r="M2331" s="56" t="str">
        <f t="shared" si="265"/>
        <v>FRI</v>
      </c>
      <c r="O2331" s="383">
        <f t="shared" si="267"/>
        <v>3</v>
      </c>
      <c r="P2331" s="392">
        <f t="shared" si="268"/>
        <v>1.0003041666666668</v>
      </c>
    </row>
    <row r="2332" spans="2:16">
      <c r="B2332" s="41"/>
      <c r="C2332" s="403">
        <f t="shared" si="266"/>
        <v>46130</v>
      </c>
      <c r="D2332" s="56" t="str">
        <f>VLOOKUP(MOD(C2332,7),'CALENDAR INFO'!$G$5:$H$11,2)</f>
        <v>SAT</v>
      </c>
      <c r="E2332" s="165">
        <v>3.64</v>
      </c>
      <c r="F2332" s="336">
        <v>3.65</v>
      </c>
      <c r="G2332" s="411">
        <f t="shared" si="263"/>
        <v>9.9999999999997868E-3</v>
      </c>
      <c r="I2332" s="311"/>
      <c r="J2332" s="312"/>
      <c r="K2332" s="126"/>
      <c r="L2332" s="403">
        <f t="shared" si="264"/>
        <v>46130</v>
      </c>
      <c r="M2332" s="56" t="str">
        <f t="shared" si="265"/>
        <v>SAT</v>
      </c>
      <c r="O2332" s="383">
        <f t="shared" si="267"/>
        <v>0</v>
      </c>
      <c r="P2332" s="392">
        <f t="shared" si="268"/>
        <v>1</v>
      </c>
    </row>
    <row r="2333" spans="2:16">
      <c r="B2333" s="41"/>
      <c r="C2333" s="403">
        <f t="shared" si="266"/>
        <v>46131</v>
      </c>
      <c r="D2333" s="56" t="str">
        <f>VLOOKUP(MOD(C2333,7),'CALENDAR INFO'!$G$5:$H$11,2)</f>
        <v>SUN</v>
      </c>
      <c r="E2333" s="165">
        <v>3.64</v>
      </c>
      <c r="F2333" s="336">
        <v>3.65</v>
      </c>
      <c r="G2333" s="411">
        <f t="shared" si="263"/>
        <v>9.9999999999997868E-3</v>
      </c>
      <c r="I2333" s="141"/>
      <c r="J2333" s="158"/>
      <c r="K2333" s="126"/>
      <c r="L2333" s="403">
        <f t="shared" si="264"/>
        <v>46131</v>
      </c>
      <c r="M2333" s="56" t="str">
        <f t="shared" si="265"/>
        <v>SUN</v>
      </c>
      <c r="O2333" s="383">
        <f t="shared" si="267"/>
        <v>0</v>
      </c>
      <c r="P2333" s="392">
        <f t="shared" si="268"/>
        <v>1</v>
      </c>
    </row>
    <row r="2334" spans="2:16">
      <c r="B2334" s="41"/>
      <c r="C2334" s="403">
        <f t="shared" si="266"/>
        <v>46132</v>
      </c>
      <c r="D2334" s="56" t="str">
        <f>VLOOKUP(MOD(C2334,7),'CALENDAR INFO'!$G$5:$H$11,2)</f>
        <v>MON</v>
      </c>
      <c r="E2334" s="165">
        <v>3.64</v>
      </c>
      <c r="F2334" s="336">
        <v>3.63</v>
      </c>
      <c r="G2334" s="411">
        <f t="shared" si="263"/>
        <v>-1.0000000000000231E-2</v>
      </c>
      <c r="K2334" s="126"/>
      <c r="L2334" s="403">
        <f t="shared" si="264"/>
        <v>46132</v>
      </c>
      <c r="M2334" s="56" t="str">
        <f t="shared" si="265"/>
        <v>MON</v>
      </c>
      <c r="O2334" s="383">
        <f t="shared" si="267"/>
        <v>1</v>
      </c>
      <c r="P2334" s="392">
        <f t="shared" si="268"/>
        <v>1.0001008333333334</v>
      </c>
    </row>
    <row r="2335" spans="2:16">
      <c r="B2335" s="41"/>
      <c r="C2335" s="403">
        <f t="shared" si="266"/>
        <v>46133</v>
      </c>
      <c r="D2335" s="56" t="str">
        <f>VLOOKUP(MOD(C2335,7),'CALENDAR INFO'!$G$5:$H$11,2)</f>
        <v>TUE</v>
      </c>
      <c r="E2335" s="165">
        <v>3.64</v>
      </c>
      <c r="F2335" s="336">
        <v>3.63</v>
      </c>
      <c r="G2335" s="411">
        <f t="shared" si="263"/>
        <v>-1.0000000000000231E-2</v>
      </c>
      <c r="K2335" s="126"/>
      <c r="L2335" s="403">
        <f t="shared" si="264"/>
        <v>46133</v>
      </c>
      <c r="M2335" s="56" t="str">
        <f t="shared" si="265"/>
        <v>TUE</v>
      </c>
      <c r="O2335" s="383">
        <f t="shared" si="267"/>
        <v>1</v>
      </c>
      <c r="P2335" s="392">
        <f t="shared" si="268"/>
        <v>1.0001008333333334</v>
      </c>
    </row>
    <row r="2336" spans="2:16">
      <c r="B2336" s="41"/>
      <c r="C2336" s="403">
        <f t="shared" si="266"/>
        <v>46134</v>
      </c>
      <c r="D2336" s="56" t="str">
        <f>VLOOKUP(MOD(C2336,7),'CALENDAR INFO'!$G$5:$H$11,2)</f>
        <v>WED</v>
      </c>
      <c r="E2336" s="165">
        <v>3.64</v>
      </c>
      <c r="F2336" s="336">
        <v>3.64</v>
      </c>
      <c r="G2336" s="411">
        <f t="shared" si="263"/>
        <v>0</v>
      </c>
      <c r="K2336" s="126"/>
      <c r="L2336" s="403">
        <f t="shared" si="264"/>
        <v>46134</v>
      </c>
      <c r="M2336" s="56" t="str">
        <f t="shared" si="265"/>
        <v>WED</v>
      </c>
      <c r="O2336" s="383">
        <f t="shared" si="267"/>
        <v>1</v>
      </c>
      <c r="P2336" s="392">
        <f t="shared" si="268"/>
        <v>1.0001011111111111</v>
      </c>
    </row>
    <row r="2337" spans="1:16">
      <c r="B2337" s="41"/>
      <c r="C2337" s="403">
        <f t="shared" si="266"/>
        <v>46135</v>
      </c>
      <c r="D2337" s="56" t="str">
        <f>VLOOKUP(MOD(C2337,7),'CALENDAR INFO'!$G$5:$H$11,2)</f>
        <v>THU</v>
      </c>
      <c r="E2337" s="165">
        <v>3.64</v>
      </c>
      <c r="F2337" s="336">
        <v>3.65</v>
      </c>
      <c r="G2337" s="411">
        <f t="shared" si="263"/>
        <v>9.9999999999997868E-3</v>
      </c>
      <c r="I2337" s="313"/>
      <c r="J2337" s="314"/>
      <c r="K2337" s="126"/>
      <c r="L2337" s="403">
        <f t="shared" si="264"/>
        <v>46135</v>
      </c>
      <c r="M2337" s="56" t="str">
        <f t="shared" si="265"/>
        <v>THU</v>
      </c>
      <c r="O2337" s="383">
        <f t="shared" si="267"/>
        <v>1</v>
      </c>
      <c r="P2337" s="392">
        <f t="shared" si="268"/>
        <v>1.000101388888889</v>
      </c>
    </row>
    <row r="2338" spans="1:16">
      <c r="B2338" s="41"/>
      <c r="C2338" s="403">
        <f t="shared" si="266"/>
        <v>46136</v>
      </c>
      <c r="D2338" s="56" t="str">
        <f>VLOOKUP(MOD(C2338,7),'CALENDAR INFO'!$G$5:$H$11,2)</f>
        <v>FRI</v>
      </c>
      <c r="E2338" s="165">
        <v>3.64</v>
      </c>
      <c r="F2338" s="336">
        <v>3.66</v>
      </c>
      <c r="G2338" s="411">
        <f t="shared" si="263"/>
        <v>2.0000000000000018E-2</v>
      </c>
      <c r="I2338" s="115"/>
      <c r="J2338" s="159"/>
      <c r="K2338" s="126"/>
      <c r="L2338" s="403">
        <f t="shared" si="264"/>
        <v>46136</v>
      </c>
      <c r="M2338" s="56" t="str">
        <f t="shared" si="265"/>
        <v>FRI</v>
      </c>
      <c r="O2338" s="383">
        <f t="shared" si="267"/>
        <v>3</v>
      </c>
      <c r="P2338" s="392">
        <f t="shared" si="268"/>
        <v>1.000305</v>
      </c>
    </row>
    <row r="2339" spans="1:16">
      <c r="B2339" s="41"/>
      <c r="C2339" s="403">
        <f t="shared" si="266"/>
        <v>46137</v>
      </c>
      <c r="D2339" s="56" t="str">
        <f>VLOOKUP(MOD(C2339,7),'CALENDAR INFO'!$G$5:$H$11,2)</f>
        <v>SAT</v>
      </c>
      <c r="E2339" s="165">
        <v>3.64</v>
      </c>
      <c r="F2339" s="336">
        <v>3.66</v>
      </c>
      <c r="G2339" s="411">
        <f t="shared" si="263"/>
        <v>2.0000000000000018E-2</v>
      </c>
      <c r="I2339" s="137"/>
      <c r="J2339" s="150"/>
      <c r="K2339" s="126"/>
      <c r="L2339" s="403">
        <f t="shared" si="264"/>
        <v>46137</v>
      </c>
      <c r="M2339" s="56" t="str">
        <f t="shared" si="265"/>
        <v>SAT</v>
      </c>
      <c r="O2339" s="383">
        <f t="shared" si="267"/>
        <v>0</v>
      </c>
      <c r="P2339" s="392">
        <f t="shared" si="268"/>
        <v>1</v>
      </c>
    </row>
    <row r="2340" spans="1:16">
      <c r="B2340" s="41"/>
      <c r="C2340" s="403">
        <f t="shared" si="266"/>
        <v>46138</v>
      </c>
      <c r="D2340" s="56" t="str">
        <f>VLOOKUP(MOD(C2340,7),'CALENDAR INFO'!$G$5:$H$11,2)</f>
        <v>SUN</v>
      </c>
      <c r="E2340" s="165">
        <v>3.64</v>
      </c>
      <c r="F2340" s="336">
        <v>3.66</v>
      </c>
      <c r="G2340" s="411">
        <f t="shared" si="263"/>
        <v>2.0000000000000018E-2</v>
      </c>
      <c r="I2340" s="137"/>
      <c r="J2340" s="150"/>
      <c r="K2340" s="126"/>
      <c r="L2340" s="403">
        <f t="shared" si="264"/>
        <v>46138</v>
      </c>
      <c r="M2340" s="56" t="str">
        <f t="shared" si="265"/>
        <v>SUN</v>
      </c>
      <c r="O2340" s="383">
        <f t="shared" si="267"/>
        <v>0</v>
      </c>
      <c r="P2340" s="392">
        <f t="shared" si="268"/>
        <v>1</v>
      </c>
    </row>
    <row r="2341" spans="1:16">
      <c r="B2341" s="41"/>
      <c r="C2341" s="403">
        <f t="shared" si="266"/>
        <v>46139</v>
      </c>
      <c r="D2341" s="56" t="str">
        <f>VLOOKUP(MOD(C2341,7),'CALENDAR INFO'!$G$5:$H$11,2)</f>
        <v>MON</v>
      </c>
      <c r="E2341" s="165">
        <v>3.64</v>
      </c>
      <c r="F2341" s="336">
        <v>3.66</v>
      </c>
      <c r="G2341" s="411">
        <f t="shared" si="263"/>
        <v>2.0000000000000018E-2</v>
      </c>
      <c r="I2341" s="171"/>
      <c r="J2341" s="172"/>
      <c r="K2341" s="126"/>
      <c r="L2341" s="403">
        <f t="shared" si="264"/>
        <v>46139</v>
      </c>
      <c r="M2341" s="56" t="str">
        <f t="shared" si="265"/>
        <v>MON</v>
      </c>
      <c r="O2341" s="383">
        <f t="shared" si="267"/>
        <v>1</v>
      </c>
      <c r="P2341" s="392">
        <f t="shared" si="268"/>
        <v>1.0001016666666667</v>
      </c>
    </row>
    <row r="2342" spans="1:16">
      <c r="B2342" s="41"/>
      <c r="C2342" s="403">
        <f t="shared" si="266"/>
        <v>46140</v>
      </c>
      <c r="D2342" s="56" t="str">
        <f>VLOOKUP(MOD(C2342,7),'CALENDAR INFO'!$G$5:$H$11,2)</f>
        <v>TUE</v>
      </c>
      <c r="E2342" s="165">
        <v>3.64</v>
      </c>
      <c r="F2342" s="336">
        <v>3.64</v>
      </c>
      <c r="G2342" s="411">
        <f t="shared" si="263"/>
        <v>0</v>
      </c>
      <c r="I2342" s="137"/>
      <c r="J2342" s="150"/>
      <c r="K2342" s="126"/>
      <c r="L2342" s="403">
        <f t="shared" si="264"/>
        <v>46140</v>
      </c>
      <c r="M2342" s="56" t="str">
        <f t="shared" si="265"/>
        <v>TUE</v>
      </c>
      <c r="N2342" s="116" t="s">
        <v>20</v>
      </c>
      <c r="O2342" s="383">
        <f t="shared" si="267"/>
        <v>1</v>
      </c>
      <c r="P2342" s="392">
        <f t="shared" si="268"/>
        <v>1.0001011111111111</v>
      </c>
    </row>
    <row r="2343" spans="1:16">
      <c r="B2343" s="41"/>
      <c r="C2343" s="403">
        <f t="shared" si="266"/>
        <v>46141</v>
      </c>
      <c r="D2343" s="56" t="str">
        <f>VLOOKUP(MOD(C2343,7),'CALENDAR INFO'!$G$5:$H$11,2)</f>
        <v>WED</v>
      </c>
      <c r="E2343" s="165">
        <v>3.64</v>
      </c>
      <c r="F2343" s="336">
        <v>3.63</v>
      </c>
      <c r="G2343" s="411">
        <f t="shared" si="263"/>
        <v>-1.0000000000000231E-2</v>
      </c>
      <c r="J2343" s="326"/>
      <c r="K2343" s="126" t="s">
        <v>19</v>
      </c>
      <c r="L2343" s="403">
        <f t="shared" si="264"/>
        <v>46141</v>
      </c>
      <c r="M2343" s="56" t="str">
        <f t="shared" si="265"/>
        <v>WED</v>
      </c>
      <c r="N2343" s="116" t="s">
        <v>20</v>
      </c>
      <c r="O2343" s="383">
        <f t="shared" si="267"/>
        <v>1</v>
      </c>
      <c r="P2343" s="392">
        <f t="shared" si="268"/>
        <v>1.0001008333333334</v>
      </c>
    </row>
    <row r="2344" spans="1:16" ht="15.75" thickBot="1">
      <c r="A2344" s="316"/>
      <c r="B2344" s="317"/>
      <c r="C2344" s="404">
        <f t="shared" si="266"/>
        <v>46142</v>
      </c>
      <c r="D2344" s="64" t="str">
        <f>VLOOKUP(MOD(C2344,7),'CALENDAR INFO'!$G$5:$H$11,2)</f>
        <v>THU</v>
      </c>
      <c r="E2344" s="166">
        <v>3.64</v>
      </c>
      <c r="F2344" s="337">
        <v>3.66</v>
      </c>
      <c r="G2344" s="412">
        <f t="shared" si="263"/>
        <v>2.0000000000000018E-2</v>
      </c>
      <c r="H2344" s="274"/>
      <c r="I2344" s="274"/>
      <c r="J2344" s="275"/>
      <c r="K2344" s="84" t="s">
        <v>18</v>
      </c>
      <c r="L2344" s="404">
        <f t="shared" si="264"/>
        <v>46142</v>
      </c>
      <c r="M2344" s="64" t="str">
        <f t="shared" si="265"/>
        <v>THU</v>
      </c>
      <c r="N2344" s="90"/>
      <c r="O2344" s="382">
        <f t="shared" si="267"/>
        <v>1</v>
      </c>
      <c r="P2344" s="388">
        <f t="shared" si="268"/>
        <v>1.0001016666666667</v>
      </c>
    </row>
    <row r="2345" spans="1:16">
      <c r="A2345" s="238"/>
      <c r="B2345" s="239"/>
      <c r="C2345" s="403">
        <f t="shared" si="266"/>
        <v>46143</v>
      </c>
      <c r="D2345" s="56" t="str">
        <f>VLOOKUP(MOD(C2345,7),'CALENDAR INFO'!$G$5:$H$11,2)</f>
        <v>FRI</v>
      </c>
      <c r="E2345" s="165">
        <v>3.64</v>
      </c>
      <c r="F2345" s="336">
        <v>3.64</v>
      </c>
      <c r="G2345" s="411">
        <f t="shared" si="263"/>
        <v>0</v>
      </c>
      <c r="H2345" s="15" t="s">
        <v>149</v>
      </c>
      <c r="I2345" s="15">
        <f>ROW(I2345)</f>
        <v>2345</v>
      </c>
      <c r="J2345" s="138">
        <f>I2345</f>
        <v>2345</v>
      </c>
      <c r="K2345" s="129"/>
      <c r="L2345" s="403">
        <f t="shared" si="264"/>
        <v>46143</v>
      </c>
      <c r="M2345" s="56" t="str">
        <f t="shared" si="265"/>
        <v>FRI</v>
      </c>
      <c r="O2345" s="383">
        <f t="shared" si="267"/>
        <v>3</v>
      </c>
      <c r="P2345" s="392">
        <f t="shared" si="268"/>
        <v>1.0003033333333333</v>
      </c>
    </row>
    <row r="2346" spans="1:16">
      <c r="A2346" s="71"/>
      <c r="B2346" s="176"/>
      <c r="C2346" s="403">
        <f t="shared" si="266"/>
        <v>46144</v>
      </c>
      <c r="D2346" s="56" t="str">
        <f>VLOOKUP(MOD(C2346,7),'CALENDAR INFO'!$G$5:$H$11,2)</f>
        <v>SAT</v>
      </c>
      <c r="E2346" s="165">
        <v>3.64</v>
      </c>
      <c r="F2346" s="336">
        <v>3.64</v>
      </c>
      <c r="G2346" s="411">
        <f t="shared" si="263"/>
        <v>0</v>
      </c>
      <c r="H2346" s="376" t="s">
        <v>210</v>
      </c>
      <c r="I2346" s="15">
        <f>VLOOKUP(MONTH($C2345),'CALENDAR INFO'!$J$5:$K$16,2)</f>
        <v>31</v>
      </c>
      <c r="J2346" s="138">
        <f>I2346</f>
        <v>31</v>
      </c>
      <c r="K2346" s="129"/>
      <c r="L2346" s="403">
        <f t="shared" si="264"/>
        <v>46144</v>
      </c>
      <c r="M2346" s="56" t="str">
        <f t="shared" si="265"/>
        <v>SAT</v>
      </c>
      <c r="O2346" s="383">
        <f t="shared" si="267"/>
        <v>0</v>
      </c>
      <c r="P2346" s="392">
        <f t="shared" si="268"/>
        <v>1</v>
      </c>
    </row>
    <row r="2347" spans="1:16">
      <c r="A2347" s="71"/>
      <c r="B2347" s="176"/>
      <c r="C2347" s="403">
        <f t="shared" si="266"/>
        <v>46145</v>
      </c>
      <c r="D2347" s="56" t="str">
        <f>VLOOKUP(MOD(C2347,7),'CALENDAR INFO'!$G$5:$H$11,2)</f>
        <v>SUN</v>
      </c>
      <c r="E2347" s="165">
        <v>3.64</v>
      </c>
      <c r="F2347" s="336">
        <v>3.64</v>
      </c>
      <c r="G2347" s="411">
        <f t="shared" si="263"/>
        <v>0</v>
      </c>
      <c r="H2347" s="376" t="s">
        <v>211</v>
      </c>
      <c r="I2347" s="15">
        <f>I2346+I2345-1</f>
        <v>2375</v>
      </c>
      <c r="J2347" s="138">
        <f>I2347</f>
        <v>2375</v>
      </c>
      <c r="K2347" s="129"/>
      <c r="L2347" s="403">
        <f t="shared" si="264"/>
        <v>46145</v>
      </c>
      <c r="M2347" s="56" t="str">
        <f t="shared" si="265"/>
        <v>SUN</v>
      </c>
      <c r="O2347" s="383">
        <f t="shared" si="267"/>
        <v>0</v>
      </c>
      <c r="P2347" s="392">
        <f t="shared" si="268"/>
        <v>1</v>
      </c>
    </row>
    <row r="2348" spans="1:16">
      <c r="A2348" s="71"/>
      <c r="B2348" s="176"/>
      <c r="C2348" s="403">
        <f t="shared" si="266"/>
        <v>46146</v>
      </c>
      <c r="D2348" s="56" t="str">
        <f>VLOOKUP(MOD(C2348,7),'CALENDAR INFO'!$G$5:$H$11,2)</f>
        <v>MON</v>
      </c>
      <c r="E2348" s="165">
        <v>3.64</v>
      </c>
      <c r="F2348" s="336">
        <v>3.63</v>
      </c>
      <c r="G2348" s="411">
        <f t="shared" si="263"/>
        <v>-1.0000000000000231E-2</v>
      </c>
      <c r="K2348" s="129"/>
      <c r="L2348" s="403">
        <f t="shared" si="264"/>
        <v>46146</v>
      </c>
      <c r="M2348" s="56" t="str">
        <f t="shared" si="265"/>
        <v>MON</v>
      </c>
      <c r="O2348" s="383">
        <f t="shared" si="267"/>
        <v>1</v>
      </c>
      <c r="P2348" s="392">
        <f t="shared" si="268"/>
        <v>1.0001008333333334</v>
      </c>
    </row>
    <row r="2349" spans="1:16">
      <c r="A2349" s="71"/>
      <c r="B2349" s="176"/>
      <c r="C2349" s="403">
        <f t="shared" si="266"/>
        <v>46147</v>
      </c>
      <c r="D2349" s="56" t="str">
        <f>VLOOKUP(MOD(C2349,7),'CALENDAR INFO'!$G$5:$H$11,2)</f>
        <v>TUE</v>
      </c>
      <c r="E2349" s="165">
        <v>3.64</v>
      </c>
      <c r="F2349" s="336">
        <v>3.62</v>
      </c>
      <c r="G2349" s="411">
        <f t="shared" si="263"/>
        <v>-2.0000000000000018E-2</v>
      </c>
      <c r="H2349" s="15" t="s">
        <v>150</v>
      </c>
      <c r="I2349" s="137" t="str">
        <f>_xlfn.CONCAT(ADDRESS(I2345,5),":",ADDRESS(I2347,5))</f>
        <v>$E$2345:$E$2375</v>
      </c>
      <c r="J2349" s="150" t="str">
        <f>_xlfn.CONCAT(ADDRESS(J2345,6),":",ADDRESS(J2347,6))</f>
        <v>$F$2345:$F$2375</v>
      </c>
      <c r="K2349" s="129"/>
      <c r="L2349" s="403">
        <f t="shared" si="264"/>
        <v>46147</v>
      </c>
      <c r="M2349" s="56" t="str">
        <f t="shared" si="265"/>
        <v>TUE</v>
      </c>
      <c r="O2349" s="383">
        <f t="shared" si="267"/>
        <v>1</v>
      </c>
      <c r="P2349" s="392">
        <f t="shared" si="268"/>
        <v>1.0001005555555555</v>
      </c>
    </row>
    <row r="2350" spans="1:16">
      <c r="A2350" s="71"/>
      <c r="B2350" s="176"/>
      <c r="C2350" s="403">
        <f t="shared" si="266"/>
        <v>46148</v>
      </c>
      <c r="D2350" s="56" t="str">
        <f>VLOOKUP(MOD(C2350,7),'CALENDAR INFO'!$G$5:$H$11,2)</f>
        <v>WED</v>
      </c>
      <c r="E2350" s="165">
        <v>3.64</v>
      </c>
      <c r="F2350" s="336">
        <v>3.61</v>
      </c>
      <c r="G2350" s="411">
        <f t="shared" si="263"/>
        <v>-3.0000000000000249E-2</v>
      </c>
      <c r="K2350" s="129"/>
      <c r="L2350" s="403">
        <f t="shared" si="264"/>
        <v>46148</v>
      </c>
      <c r="M2350" s="56" t="str">
        <f t="shared" si="265"/>
        <v>WED</v>
      </c>
      <c r="O2350" s="383">
        <f t="shared" si="267"/>
        <v>1</v>
      </c>
      <c r="P2350" s="392">
        <f t="shared" si="268"/>
        <v>1.0001002777777779</v>
      </c>
    </row>
    <row r="2351" spans="1:16">
      <c r="A2351" s="71"/>
      <c r="B2351" s="176"/>
      <c r="C2351" s="403">
        <f t="shared" si="266"/>
        <v>46149</v>
      </c>
      <c r="D2351" s="56" t="str">
        <f>VLOOKUP(MOD(C2351,7),'CALENDAR INFO'!$G$5:$H$11,2)</f>
        <v>THU</v>
      </c>
      <c r="E2351" s="165">
        <v>3.63</v>
      </c>
      <c r="F2351" s="336">
        <v>3.6</v>
      </c>
      <c r="G2351" s="411">
        <f t="shared" si="263"/>
        <v>-2.9999999999999805E-2</v>
      </c>
      <c r="H2351" s="376" t="s">
        <v>221</v>
      </c>
      <c r="I2351" s="147">
        <f ca="1">AVERAGE(INDIRECT(I2349))</f>
        <v>3.6277419354838734</v>
      </c>
      <c r="J2351" s="326">
        <f ca="1">AVERAGE(INDIRECT(J2349))</f>
        <v>3.5870967741935482</v>
      </c>
      <c r="K2351" s="129"/>
      <c r="L2351" s="403">
        <f t="shared" si="264"/>
        <v>46149</v>
      </c>
      <c r="M2351" s="56" t="str">
        <f t="shared" si="265"/>
        <v>THU</v>
      </c>
      <c r="O2351" s="383">
        <f t="shared" si="267"/>
        <v>1</v>
      </c>
      <c r="P2351" s="392">
        <f t="shared" si="268"/>
        <v>1.0001</v>
      </c>
    </row>
    <row r="2352" spans="1:16">
      <c r="A2352" s="71"/>
      <c r="B2352" s="176"/>
      <c r="C2352" s="403">
        <f t="shared" si="266"/>
        <v>46150</v>
      </c>
      <c r="D2352" s="56" t="str">
        <f>VLOOKUP(MOD(C2352,7),'CALENDAR INFO'!$G$5:$H$11,2)</f>
        <v>FRI</v>
      </c>
      <c r="E2352" s="165">
        <v>3.63</v>
      </c>
      <c r="F2352" s="336">
        <v>3.6</v>
      </c>
      <c r="G2352" s="411">
        <f t="shared" si="263"/>
        <v>-2.9999999999999805E-2</v>
      </c>
      <c r="H2352" s="135"/>
      <c r="K2352" s="129"/>
      <c r="L2352" s="403">
        <f t="shared" si="264"/>
        <v>46150</v>
      </c>
      <c r="M2352" s="56" t="str">
        <f t="shared" si="265"/>
        <v>FRI</v>
      </c>
      <c r="O2352" s="383">
        <f t="shared" si="267"/>
        <v>3</v>
      </c>
      <c r="P2352" s="392">
        <f t="shared" si="268"/>
        <v>1.0003</v>
      </c>
    </row>
    <row r="2353" spans="1:16">
      <c r="A2353" s="71"/>
      <c r="B2353" s="176"/>
      <c r="C2353" s="403">
        <f t="shared" si="266"/>
        <v>46151</v>
      </c>
      <c r="D2353" s="56" t="str">
        <f>VLOOKUP(MOD(C2353,7),'CALENDAR INFO'!$G$5:$H$11,2)</f>
        <v>SAT</v>
      </c>
      <c r="E2353" s="165">
        <v>3.63</v>
      </c>
      <c r="F2353" s="336">
        <v>3.6</v>
      </c>
      <c r="G2353" s="411">
        <f t="shared" si="263"/>
        <v>-2.9999999999999805E-2</v>
      </c>
      <c r="H2353" s="15" t="s">
        <v>222</v>
      </c>
      <c r="I2353" s="147">
        <f ca="1">100-I2351</f>
        <v>96.372258064516132</v>
      </c>
      <c r="J2353" s="326">
        <f ca="1">100-J2351</f>
        <v>96.412903225806446</v>
      </c>
      <c r="K2353" s="129"/>
      <c r="L2353" s="403">
        <f t="shared" si="264"/>
        <v>46151</v>
      </c>
      <c r="M2353" s="56" t="str">
        <f t="shared" si="265"/>
        <v>SAT</v>
      </c>
      <c r="O2353" s="383">
        <f t="shared" si="267"/>
        <v>0</v>
      </c>
      <c r="P2353" s="392">
        <f t="shared" si="268"/>
        <v>1</v>
      </c>
    </row>
    <row r="2354" spans="1:16">
      <c r="A2354" s="71"/>
      <c r="B2354" s="176"/>
      <c r="C2354" s="403">
        <f t="shared" si="266"/>
        <v>46152</v>
      </c>
      <c r="D2354" s="56" t="str">
        <f>VLOOKUP(MOD(C2354,7),'CALENDAR INFO'!$G$5:$H$11,2)</f>
        <v>SUN</v>
      </c>
      <c r="E2354" s="165">
        <v>3.63</v>
      </c>
      <c r="F2354" s="336">
        <v>3.6</v>
      </c>
      <c r="G2354" s="411">
        <f t="shared" si="263"/>
        <v>-2.9999999999999805E-2</v>
      </c>
      <c r="I2354" s="137"/>
      <c r="J2354" s="150"/>
      <c r="K2354" s="129"/>
      <c r="L2354" s="403">
        <f t="shared" si="264"/>
        <v>46152</v>
      </c>
      <c r="M2354" s="56" t="str">
        <f t="shared" si="265"/>
        <v>SUN</v>
      </c>
      <c r="O2354" s="383">
        <f t="shared" si="267"/>
        <v>0</v>
      </c>
      <c r="P2354" s="392">
        <f t="shared" si="268"/>
        <v>1</v>
      </c>
    </row>
    <row r="2355" spans="1:16">
      <c r="A2355" s="71"/>
      <c r="B2355" s="176"/>
      <c r="C2355" s="403">
        <f t="shared" si="266"/>
        <v>46153</v>
      </c>
      <c r="D2355" s="56" t="str">
        <f>VLOOKUP(MOD(C2355,7),'CALENDAR INFO'!$G$5:$H$11,2)</f>
        <v>MON</v>
      </c>
      <c r="E2355" s="165">
        <v>3.63</v>
      </c>
      <c r="F2355" s="336">
        <v>3.6</v>
      </c>
      <c r="G2355" s="411">
        <f t="shared" si="263"/>
        <v>-2.9999999999999805E-2</v>
      </c>
      <c r="I2355" s="171"/>
      <c r="J2355" s="172"/>
      <c r="K2355" s="129"/>
      <c r="L2355" s="403">
        <f t="shared" si="264"/>
        <v>46153</v>
      </c>
      <c r="M2355" s="56" t="str">
        <f t="shared" si="265"/>
        <v>MON</v>
      </c>
      <c r="O2355" s="383">
        <f t="shared" si="267"/>
        <v>1</v>
      </c>
      <c r="P2355" s="392">
        <f t="shared" si="268"/>
        <v>1.0001</v>
      </c>
    </row>
    <row r="2356" spans="1:16">
      <c r="A2356" s="71"/>
      <c r="B2356" s="176"/>
      <c r="C2356" s="403">
        <f t="shared" si="266"/>
        <v>46154</v>
      </c>
      <c r="D2356" s="56" t="str">
        <f>VLOOKUP(MOD(C2356,7),'CALENDAR INFO'!$G$5:$H$11,2)</f>
        <v>TUE</v>
      </c>
      <c r="E2356" s="165">
        <v>3.63</v>
      </c>
      <c r="F2356" s="336">
        <v>3.6</v>
      </c>
      <c r="G2356" s="411">
        <f t="shared" si="263"/>
        <v>-2.9999999999999805E-2</v>
      </c>
      <c r="I2356" s="171"/>
      <c r="J2356" s="172"/>
      <c r="K2356" s="129"/>
      <c r="L2356" s="403">
        <f t="shared" si="264"/>
        <v>46154</v>
      </c>
      <c r="M2356" s="56" t="str">
        <f t="shared" si="265"/>
        <v>TUE</v>
      </c>
      <c r="O2356" s="383">
        <f t="shared" si="267"/>
        <v>1</v>
      </c>
      <c r="P2356" s="392">
        <f t="shared" si="268"/>
        <v>1.0001</v>
      </c>
    </row>
    <row r="2357" spans="1:16">
      <c r="A2357" s="71"/>
      <c r="B2357" s="176"/>
      <c r="C2357" s="403">
        <f t="shared" si="266"/>
        <v>46155</v>
      </c>
      <c r="D2357" s="56" t="str">
        <f>VLOOKUP(MOD(C2357,7),'CALENDAR INFO'!$G$5:$H$11,2)</f>
        <v>WED</v>
      </c>
      <c r="E2357" s="165">
        <v>3.63</v>
      </c>
      <c r="F2357" s="336">
        <v>3.59</v>
      </c>
      <c r="G2357" s="411">
        <f t="shared" si="263"/>
        <v>-4.0000000000000036E-2</v>
      </c>
      <c r="I2357" s="171"/>
      <c r="J2357" s="172"/>
      <c r="K2357" s="129" t="s">
        <v>19</v>
      </c>
      <c r="L2357" s="403">
        <f t="shared" si="264"/>
        <v>46155</v>
      </c>
      <c r="M2357" s="56" t="str">
        <f t="shared" si="265"/>
        <v>WED</v>
      </c>
      <c r="O2357" s="383">
        <f t="shared" si="267"/>
        <v>1</v>
      </c>
      <c r="P2357" s="392">
        <f t="shared" si="268"/>
        <v>1.0000997222222223</v>
      </c>
    </row>
    <row r="2358" spans="1:16">
      <c r="A2358" s="71"/>
      <c r="B2358" s="176"/>
      <c r="C2358" s="403">
        <f t="shared" si="266"/>
        <v>46156</v>
      </c>
      <c r="D2358" s="56" t="str">
        <f>VLOOKUP(MOD(C2358,7),'CALENDAR INFO'!$G$5:$H$11,2)</f>
        <v>THU</v>
      </c>
      <c r="E2358" s="165">
        <v>3.63</v>
      </c>
      <c r="F2358" s="336">
        <v>3.56</v>
      </c>
      <c r="G2358" s="411">
        <f t="shared" si="263"/>
        <v>-6.999999999999984E-2</v>
      </c>
      <c r="I2358" s="137"/>
      <c r="J2358" s="150"/>
      <c r="K2358" s="126" t="s">
        <v>18</v>
      </c>
      <c r="L2358" s="403">
        <f t="shared" si="264"/>
        <v>46156</v>
      </c>
      <c r="M2358" s="56" t="str">
        <f t="shared" si="265"/>
        <v>THU</v>
      </c>
      <c r="O2358" s="383">
        <f t="shared" si="267"/>
        <v>1</v>
      </c>
      <c r="P2358" s="392">
        <f t="shared" si="268"/>
        <v>1.0000988888888889</v>
      </c>
    </row>
    <row r="2359" spans="1:16">
      <c r="A2359" s="71"/>
      <c r="B2359" s="176"/>
      <c r="C2359" s="403">
        <f t="shared" si="266"/>
        <v>46157</v>
      </c>
      <c r="D2359" s="56" t="str">
        <f>VLOOKUP(MOD(C2359,7),'CALENDAR INFO'!$G$5:$H$11,2)</f>
        <v>FRI</v>
      </c>
      <c r="E2359" s="165">
        <v>3.63</v>
      </c>
      <c r="F2359" s="336">
        <v>3.55</v>
      </c>
      <c r="G2359" s="411">
        <f t="shared" si="263"/>
        <v>-8.0000000000000071E-2</v>
      </c>
      <c r="K2359" s="126"/>
      <c r="L2359" s="403">
        <f t="shared" si="264"/>
        <v>46157</v>
      </c>
      <c r="M2359" s="56" t="str">
        <f t="shared" si="265"/>
        <v>FRI</v>
      </c>
      <c r="O2359" s="383">
        <f t="shared" si="267"/>
        <v>3</v>
      </c>
      <c r="P2359" s="392">
        <f t="shared" si="268"/>
        <v>1.0002958333333334</v>
      </c>
    </row>
    <row r="2360" spans="1:16">
      <c r="A2360" s="71"/>
      <c r="B2360" s="176"/>
      <c r="C2360" s="403">
        <f t="shared" si="266"/>
        <v>46158</v>
      </c>
      <c r="D2360" s="56" t="str">
        <f>VLOOKUP(MOD(C2360,7),'CALENDAR INFO'!$G$5:$H$11,2)</f>
        <v>SAT</v>
      </c>
      <c r="E2360" s="165">
        <v>3.63</v>
      </c>
      <c r="F2360" s="336">
        <v>3.55</v>
      </c>
      <c r="G2360" s="411">
        <f t="shared" si="263"/>
        <v>-8.0000000000000071E-2</v>
      </c>
      <c r="I2360" s="137"/>
      <c r="J2360" s="150"/>
      <c r="K2360" s="126"/>
      <c r="L2360" s="403">
        <f t="shared" si="264"/>
        <v>46158</v>
      </c>
      <c r="M2360" s="56" t="str">
        <f t="shared" si="265"/>
        <v>SAT</v>
      </c>
      <c r="O2360" s="383">
        <f t="shared" si="267"/>
        <v>0</v>
      </c>
      <c r="P2360" s="392">
        <f t="shared" si="268"/>
        <v>1</v>
      </c>
    </row>
    <row r="2361" spans="1:16">
      <c r="A2361" s="71"/>
      <c r="B2361" s="176"/>
      <c r="C2361" s="403">
        <f t="shared" si="266"/>
        <v>46159</v>
      </c>
      <c r="D2361" s="56" t="str">
        <f>VLOOKUP(MOD(C2361,7),'CALENDAR INFO'!$G$5:$H$11,2)</f>
        <v>SUN</v>
      </c>
      <c r="E2361" s="165">
        <v>3.63</v>
      </c>
      <c r="F2361" s="336">
        <v>3.55</v>
      </c>
      <c r="G2361" s="411">
        <f t="shared" si="263"/>
        <v>-8.0000000000000071E-2</v>
      </c>
      <c r="I2361" s="137"/>
      <c r="J2361" s="150"/>
      <c r="K2361" s="126"/>
      <c r="L2361" s="403">
        <f t="shared" si="264"/>
        <v>46159</v>
      </c>
      <c r="M2361" s="56" t="str">
        <f t="shared" si="265"/>
        <v>SUN</v>
      </c>
      <c r="O2361" s="383">
        <f t="shared" si="267"/>
        <v>0</v>
      </c>
      <c r="P2361" s="392">
        <f t="shared" si="268"/>
        <v>1</v>
      </c>
    </row>
    <row r="2362" spans="1:16">
      <c r="A2362" s="71"/>
      <c r="B2362" s="176"/>
      <c r="C2362" s="403">
        <f t="shared" si="266"/>
        <v>46160</v>
      </c>
      <c r="D2362" s="56" t="str">
        <f>VLOOKUP(MOD(C2362,7),'CALENDAR INFO'!$G$5:$H$11,2)</f>
        <v>MON</v>
      </c>
      <c r="E2362" s="165">
        <v>3.63</v>
      </c>
      <c r="F2362" s="336">
        <v>3.53</v>
      </c>
      <c r="G2362" s="411">
        <f t="shared" si="263"/>
        <v>-0.10000000000000009</v>
      </c>
      <c r="I2362" s="311"/>
      <c r="J2362" s="312"/>
      <c r="K2362" s="126"/>
      <c r="L2362" s="403">
        <f t="shared" si="264"/>
        <v>46160</v>
      </c>
      <c r="M2362" s="56" t="str">
        <f t="shared" si="265"/>
        <v>MON</v>
      </c>
      <c r="O2362" s="383">
        <f t="shared" si="267"/>
        <v>1</v>
      </c>
      <c r="P2362" s="392">
        <f t="shared" si="268"/>
        <v>1.0000980555555556</v>
      </c>
    </row>
    <row r="2363" spans="1:16">
      <c r="A2363" s="71"/>
      <c r="B2363" s="176"/>
      <c r="C2363" s="403">
        <f t="shared" si="266"/>
        <v>46161</v>
      </c>
      <c r="D2363" s="56" t="str">
        <f>VLOOKUP(MOD(C2363,7),'CALENDAR INFO'!$G$5:$H$11,2)</f>
        <v>TUE</v>
      </c>
      <c r="E2363" s="165">
        <v>3.62</v>
      </c>
      <c r="F2363" s="336">
        <v>3.51</v>
      </c>
      <c r="G2363" s="411">
        <f t="shared" si="263"/>
        <v>-0.11000000000000032</v>
      </c>
      <c r="I2363" s="141"/>
      <c r="J2363" s="158"/>
      <c r="K2363" s="126"/>
      <c r="L2363" s="403">
        <f t="shared" si="264"/>
        <v>46161</v>
      </c>
      <c r="M2363" s="56" t="str">
        <f t="shared" si="265"/>
        <v>TUE</v>
      </c>
      <c r="O2363" s="383">
        <f t="shared" si="267"/>
        <v>1</v>
      </c>
      <c r="P2363" s="392">
        <f t="shared" si="268"/>
        <v>1.0000975000000001</v>
      </c>
    </row>
    <row r="2364" spans="1:16">
      <c r="A2364" s="71"/>
      <c r="B2364" s="176"/>
      <c r="C2364" s="403">
        <f t="shared" si="266"/>
        <v>46162</v>
      </c>
      <c r="D2364" s="56" t="str">
        <f>VLOOKUP(MOD(C2364,7),'CALENDAR INFO'!$G$5:$H$11,2)</f>
        <v>WED</v>
      </c>
      <c r="E2364" s="165">
        <v>3.62</v>
      </c>
      <c r="F2364" s="336">
        <v>3.5</v>
      </c>
      <c r="G2364" s="411">
        <f t="shared" si="263"/>
        <v>-0.12000000000000011</v>
      </c>
      <c r="I2364" s="137"/>
      <c r="J2364" s="150"/>
      <c r="K2364" s="126"/>
      <c r="L2364" s="403">
        <f t="shared" si="264"/>
        <v>46162</v>
      </c>
      <c r="M2364" s="56" t="str">
        <f t="shared" si="265"/>
        <v>WED</v>
      </c>
      <c r="O2364" s="383">
        <f t="shared" si="267"/>
        <v>1</v>
      </c>
      <c r="P2364" s="392">
        <f t="shared" si="268"/>
        <v>1.0000972222222222</v>
      </c>
    </row>
    <row r="2365" spans="1:16">
      <c r="A2365" s="71"/>
      <c r="B2365" s="176"/>
      <c r="C2365" s="403">
        <f t="shared" si="266"/>
        <v>46163</v>
      </c>
      <c r="D2365" s="56" t="str">
        <f>VLOOKUP(MOD(C2365,7),'CALENDAR INFO'!$G$5:$H$11,2)</f>
        <v>THU</v>
      </c>
      <c r="E2365" s="165">
        <v>3.62</v>
      </c>
      <c r="F2365" s="336">
        <v>3.51</v>
      </c>
      <c r="G2365" s="411">
        <f t="shared" si="263"/>
        <v>-0.11000000000000032</v>
      </c>
      <c r="K2365" s="126"/>
      <c r="L2365" s="403">
        <f t="shared" si="264"/>
        <v>46163</v>
      </c>
      <c r="M2365" s="56" t="str">
        <f t="shared" si="265"/>
        <v>THU</v>
      </c>
      <c r="O2365" s="383">
        <f t="shared" si="267"/>
        <v>1</v>
      </c>
      <c r="P2365" s="392">
        <f t="shared" si="268"/>
        <v>1.0000975000000001</v>
      </c>
    </row>
    <row r="2366" spans="1:16">
      <c r="A2366" s="71"/>
      <c r="B2366" s="176"/>
      <c r="C2366" s="403">
        <f t="shared" si="266"/>
        <v>46164</v>
      </c>
      <c r="D2366" s="56" t="str">
        <f>VLOOKUP(MOD(C2366,7),'CALENDAR INFO'!$G$5:$H$11,2)</f>
        <v>FRI</v>
      </c>
      <c r="E2366" s="165">
        <v>3.62</v>
      </c>
      <c r="F2366" s="336">
        <v>3.55</v>
      </c>
      <c r="G2366" s="411">
        <f t="shared" si="263"/>
        <v>-7.0000000000000284E-2</v>
      </c>
      <c r="K2366" s="126"/>
      <c r="L2366" s="403">
        <f t="shared" si="264"/>
        <v>46164</v>
      </c>
      <c r="M2366" s="56" t="str">
        <f t="shared" si="265"/>
        <v>FRI</v>
      </c>
      <c r="O2366" s="384">
        <v>4</v>
      </c>
      <c r="P2366" s="392">
        <f t="shared" si="268"/>
        <v>1.0003944444444444</v>
      </c>
    </row>
    <row r="2367" spans="1:16">
      <c r="A2367" s="71"/>
      <c r="B2367" s="176"/>
      <c r="C2367" s="403">
        <f t="shared" si="266"/>
        <v>46165</v>
      </c>
      <c r="D2367" s="56" t="str">
        <f>VLOOKUP(MOD(C2367,7),'CALENDAR INFO'!$G$5:$H$11,2)</f>
        <v>SAT</v>
      </c>
      <c r="E2367" s="165">
        <v>3.62</v>
      </c>
      <c r="F2367" s="336">
        <v>3.55</v>
      </c>
      <c r="G2367" s="411">
        <f t="shared" si="263"/>
        <v>-7.0000000000000284E-2</v>
      </c>
      <c r="I2367" s="313"/>
      <c r="J2367" s="314"/>
      <c r="K2367" s="126"/>
      <c r="L2367" s="403">
        <f t="shared" si="264"/>
        <v>46165</v>
      </c>
      <c r="M2367" s="56" t="str">
        <f t="shared" si="265"/>
        <v>SAT</v>
      </c>
      <c r="O2367" s="383">
        <f>IF(MOD(C2367,7)&lt;2,0,IF(MOD(C2367,7)=6,3,1))</f>
        <v>0</v>
      </c>
      <c r="P2367" s="392">
        <f t="shared" si="268"/>
        <v>1</v>
      </c>
    </row>
    <row r="2368" spans="1:16">
      <c r="A2368" s="71"/>
      <c r="B2368" s="176"/>
      <c r="C2368" s="403">
        <f t="shared" si="266"/>
        <v>46166</v>
      </c>
      <c r="D2368" s="56" t="str">
        <f>VLOOKUP(MOD(C2368,7),'CALENDAR INFO'!$G$5:$H$11,2)</f>
        <v>SUN</v>
      </c>
      <c r="E2368" s="165">
        <v>3.62</v>
      </c>
      <c r="F2368" s="336">
        <v>3.55</v>
      </c>
      <c r="G2368" s="411">
        <f t="shared" si="263"/>
        <v>-7.0000000000000284E-2</v>
      </c>
      <c r="I2368" s="115"/>
      <c r="J2368" s="159"/>
      <c r="K2368" s="126"/>
      <c r="L2368" s="403">
        <f t="shared" si="264"/>
        <v>46166</v>
      </c>
      <c r="M2368" s="56" t="str">
        <f t="shared" si="265"/>
        <v>SUN</v>
      </c>
      <c r="O2368" s="383">
        <f>IF(MOD(C2368,7)&lt;2,0,IF(MOD(C2368,7)=6,3,1))</f>
        <v>0</v>
      </c>
      <c r="P2368" s="392">
        <f t="shared" si="268"/>
        <v>1</v>
      </c>
    </row>
    <row r="2369" spans="1:16">
      <c r="A2369" s="71"/>
      <c r="B2369" s="176"/>
      <c r="C2369" s="403">
        <f t="shared" si="266"/>
        <v>46167</v>
      </c>
      <c r="D2369" s="56" t="str">
        <f>VLOOKUP(MOD(C2369,7),'CALENDAR INFO'!$G$5:$H$11,2)</f>
        <v>MON</v>
      </c>
      <c r="E2369" s="165">
        <v>3.62</v>
      </c>
      <c r="F2369" s="336">
        <v>3.55</v>
      </c>
      <c r="G2369" s="411">
        <f t="shared" si="263"/>
        <v>-7.0000000000000284E-2</v>
      </c>
      <c r="I2369" s="137"/>
      <c r="J2369" s="150"/>
      <c r="K2369" s="126"/>
      <c r="L2369" s="403">
        <f t="shared" si="264"/>
        <v>46167</v>
      </c>
      <c r="M2369" s="56" t="str">
        <f t="shared" si="265"/>
        <v>MON</v>
      </c>
      <c r="N2369" s="132" t="s">
        <v>112</v>
      </c>
      <c r="O2369" s="384">
        <v>0</v>
      </c>
      <c r="P2369" s="392">
        <f t="shared" si="268"/>
        <v>1</v>
      </c>
    </row>
    <row r="2370" spans="1:16">
      <c r="A2370" s="71"/>
      <c r="B2370" s="176"/>
      <c r="C2370" s="403">
        <f t="shared" si="266"/>
        <v>46168</v>
      </c>
      <c r="D2370" s="56" t="str">
        <f>VLOOKUP(MOD(C2370,7),'CALENDAR INFO'!$G$5:$H$11,2)</f>
        <v>TUE</v>
      </c>
      <c r="E2370" s="165">
        <v>3.62</v>
      </c>
      <c r="F2370" s="336">
        <v>3.63</v>
      </c>
      <c r="G2370" s="411">
        <f t="shared" si="263"/>
        <v>9.9999999999997868E-3</v>
      </c>
      <c r="I2370" s="137"/>
      <c r="J2370" s="150"/>
      <c r="K2370" s="126"/>
      <c r="L2370" s="403">
        <f t="shared" si="264"/>
        <v>46168</v>
      </c>
      <c r="M2370" s="56" t="str">
        <f t="shared" si="265"/>
        <v>TUE</v>
      </c>
      <c r="O2370" s="383">
        <f t="shared" ref="O2370:O2392" si="269">IF(MOD(C2370,7)&lt;2,0,IF(MOD(C2370,7)=6,3,1))</f>
        <v>1</v>
      </c>
      <c r="P2370" s="392">
        <f t="shared" si="268"/>
        <v>1.0001008333333334</v>
      </c>
    </row>
    <row r="2371" spans="1:16">
      <c r="A2371" s="71"/>
      <c r="B2371" s="176"/>
      <c r="C2371" s="403">
        <f t="shared" si="266"/>
        <v>46169</v>
      </c>
      <c r="D2371" s="56" t="str">
        <f>VLOOKUP(MOD(C2371,7),'CALENDAR INFO'!$G$5:$H$11,2)</f>
        <v>WED</v>
      </c>
      <c r="E2371" s="165">
        <v>3.62</v>
      </c>
      <c r="F2371" s="336">
        <v>3.63</v>
      </c>
      <c r="G2371" s="411">
        <f t="shared" ref="G2371:G2434" si="270">F2371-E2371</f>
        <v>9.9999999999997868E-3</v>
      </c>
      <c r="I2371" s="171"/>
      <c r="J2371" s="172"/>
      <c r="K2371" s="126" t="s">
        <v>19</v>
      </c>
      <c r="L2371" s="403">
        <f t="shared" ref="L2371:L2434" si="271">C2371</f>
        <v>46169</v>
      </c>
      <c r="M2371" s="56" t="str">
        <f t="shared" ref="M2371:M2434" si="272">D2371</f>
        <v>WED</v>
      </c>
      <c r="O2371" s="383">
        <f t="shared" si="269"/>
        <v>1</v>
      </c>
      <c r="P2371" s="392">
        <f t="shared" si="268"/>
        <v>1.0001008333333334</v>
      </c>
    </row>
    <row r="2372" spans="1:16">
      <c r="A2372" s="71"/>
      <c r="B2372" s="176"/>
      <c r="C2372" s="403">
        <f t="shared" ref="C2372:C2435" si="273">C2371+1</f>
        <v>46170</v>
      </c>
      <c r="D2372" s="56" t="str">
        <f>VLOOKUP(MOD(C2372,7),'CALENDAR INFO'!$G$5:$H$11,2)</f>
        <v>THU</v>
      </c>
      <c r="E2372" s="165">
        <v>3.62</v>
      </c>
      <c r="F2372" s="336">
        <v>3.62</v>
      </c>
      <c r="G2372" s="411">
        <f t="shared" si="270"/>
        <v>0</v>
      </c>
      <c r="I2372" s="137"/>
      <c r="J2372" s="150"/>
      <c r="K2372" s="129" t="s">
        <v>18</v>
      </c>
      <c r="L2372" s="403">
        <f t="shared" si="271"/>
        <v>46170</v>
      </c>
      <c r="M2372" s="56" t="str">
        <f t="shared" si="272"/>
        <v>THU</v>
      </c>
      <c r="O2372" s="383">
        <f t="shared" si="269"/>
        <v>1</v>
      </c>
      <c r="P2372" s="392">
        <f t="shared" si="268"/>
        <v>1.0001005555555555</v>
      </c>
    </row>
    <row r="2373" spans="1:16">
      <c r="A2373" s="71"/>
      <c r="B2373" s="176"/>
      <c r="C2373" s="403">
        <f t="shared" si="273"/>
        <v>46171</v>
      </c>
      <c r="D2373" s="56" t="str">
        <f>VLOOKUP(MOD(C2373,7),'CALENDAR INFO'!$G$5:$H$11,2)</f>
        <v>FRI</v>
      </c>
      <c r="E2373" s="165">
        <v>3.62</v>
      </c>
      <c r="F2373" s="336">
        <v>3.63</v>
      </c>
      <c r="G2373" s="411">
        <f t="shared" si="270"/>
        <v>9.9999999999997868E-3</v>
      </c>
      <c r="K2373" s="129"/>
      <c r="L2373" s="403">
        <f t="shared" si="271"/>
        <v>46171</v>
      </c>
      <c r="M2373" s="56" t="str">
        <f t="shared" si="272"/>
        <v>FRI</v>
      </c>
      <c r="O2373" s="383">
        <f t="shared" si="269"/>
        <v>3</v>
      </c>
      <c r="P2373" s="392">
        <f t="shared" si="268"/>
        <v>1.0003025000000001</v>
      </c>
    </row>
    <row r="2374" spans="1:16">
      <c r="A2374" s="71"/>
      <c r="B2374" s="176"/>
      <c r="C2374" s="403">
        <f t="shared" si="273"/>
        <v>46172</v>
      </c>
      <c r="D2374" s="56" t="str">
        <f>VLOOKUP(MOD(C2374,7),'CALENDAR INFO'!$G$5:$H$11,2)</f>
        <v>SAT</v>
      </c>
      <c r="E2374" s="165">
        <v>3.62</v>
      </c>
      <c r="F2374" s="336">
        <v>3.63</v>
      </c>
      <c r="G2374" s="411">
        <f t="shared" si="270"/>
        <v>9.9999999999997868E-3</v>
      </c>
      <c r="I2374" s="147"/>
      <c r="J2374" s="326"/>
      <c r="K2374" s="129"/>
      <c r="L2374" s="403">
        <f t="shared" si="271"/>
        <v>46172</v>
      </c>
      <c r="M2374" s="56" t="str">
        <f t="shared" si="272"/>
        <v>SAT</v>
      </c>
      <c r="O2374" s="383">
        <f t="shared" si="269"/>
        <v>0</v>
      </c>
      <c r="P2374" s="392">
        <f t="shared" si="268"/>
        <v>1</v>
      </c>
    </row>
    <row r="2375" spans="1:16" ht="15.75" thickBot="1">
      <c r="A2375" s="318"/>
      <c r="B2375" s="319"/>
      <c r="C2375" s="404">
        <f t="shared" si="273"/>
        <v>46173</v>
      </c>
      <c r="D2375" s="64" t="str">
        <f>VLOOKUP(MOD(C2375,7),'CALENDAR INFO'!$G$5:$H$11,2)</f>
        <v>SUN</v>
      </c>
      <c r="E2375" s="166">
        <v>3.62</v>
      </c>
      <c r="F2375" s="337">
        <v>3.63</v>
      </c>
      <c r="G2375" s="412">
        <f t="shared" si="270"/>
        <v>9.9999999999997868E-3</v>
      </c>
      <c r="H2375" s="274"/>
      <c r="I2375" s="344"/>
      <c r="J2375" s="154"/>
      <c r="K2375" s="84"/>
      <c r="L2375" s="404">
        <f t="shared" si="271"/>
        <v>46173</v>
      </c>
      <c r="M2375" s="64" t="str">
        <f t="shared" si="272"/>
        <v>SUN</v>
      </c>
      <c r="N2375" s="90"/>
      <c r="O2375" s="382">
        <f t="shared" si="269"/>
        <v>0</v>
      </c>
      <c r="P2375" s="388">
        <f t="shared" si="268"/>
        <v>1</v>
      </c>
    </row>
    <row r="2376" spans="1:16">
      <c r="B2376" s="41"/>
      <c r="C2376" s="403">
        <f t="shared" si="273"/>
        <v>46174</v>
      </c>
      <c r="D2376" s="56" t="str">
        <f>VLOOKUP(MOD(C2376,7),'CALENDAR INFO'!$G$5:$H$11,2)</f>
        <v>MON</v>
      </c>
      <c r="E2376" s="165">
        <v>3.62</v>
      </c>
      <c r="F2376" s="336">
        <v>3.65</v>
      </c>
      <c r="G2376" s="411">
        <f t="shared" si="270"/>
        <v>2.9999999999999805E-2</v>
      </c>
      <c r="H2376" s="15" t="s">
        <v>149</v>
      </c>
      <c r="I2376" s="15">
        <f>ROW(I2376)</f>
        <v>2376</v>
      </c>
      <c r="J2376" s="138">
        <f>I2376</f>
        <v>2376</v>
      </c>
      <c r="K2376" s="129"/>
      <c r="L2376" s="403">
        <f t="shared" si="271"/>
        <v>46174</v>
      </c>
      <c r="M2376" s="56" t="str">
        <f t="shared" si="272"/>
        <v>MON</v>
      </c>
      <c r="O2376" s="383">
        <f t="shared" si="269"/>
        <v>1</v>
      </c>
      <c r="P2376" s="392">
        <f t="shared" si="268"/>
        <v>1.000101388888889</v>
      </c>
    </row>
    <row r="2377" spans="1:16">
      <c r="B2377" s="41"/>
      <c r="C2377" s="403">
        <f t="shared" si="273"/>
        <v>46175</v>
      </c>
      <c r="D2377" s="56" t="str">
        <f>VLOOKUP(MOD(C2377,7),'CALENDAR INFO'!$G$5:$H$11,2)</f>
        <v>TUE</v>
      </c>
      <c r="E2377" s="165">
        <v>3.62</v>
      </c>
      <c r="F2377" s="336">
        <v>3.63</v>
      </c>
      <c r="G2377" s="411">
        <f t="shared" si="270"/>
        <v>9.9999999999997868E-3</v>
      </c>
      <c r="H2377" s="376" t="s">
        <v>210</v>
      </c>
      <c r="I2377" s="15">
        <f>VLOOKUP(MONTH($C2376),'CALENDAR INFO'!$J$5:$K$16,2)</f>
        <v>30</v>
      </c>
      <c r="J2377" s="138">
        <f>I2377</f>
        <v>30</v>
      </c>
      <c r="K2377" s="129"/>
      <c r="L2377" s="403">
        <f t="shared" si="271"/>
        <v>46175</v>
      </c>
      <c r="M2377" s="56" t="str">
        <f t="shared" si="272"/>
        <v>TUE</v>
      </c>
      <c r="O2377" s="383">
        <f t="shared" si="269"/>
        <v>1</v>
      </c>
      <c r="P2377" s="392">
        <f t="shared" si="268"/>
        <v>1.0001008333333334</v>
      </c>
    </row>
    <row r="2378" spans="1:16">
      <c r="B2378" s="41"/>
      <c r="C2378" s="403">
        <f t="shared" si="273"/>
        <v>46176</v>
      </c>
      <c r="D2378" s="56" t="str">
        <f>VLOOKUP(MOD(C2378,7),'CALENDAR INFO'!$G$5:$H$11,2)</f>
        <v>WED</v>
      </c>
      <c r="E2378" s="165">
        <v>3.62</v>
      </c>
      <c r="F2378" s="336">
        <v>3.61</v>
      </c>
      <c r="G2378" s="411">
        <f t="shared" si="270"/>
        <v>-1.0000000000000231E-2</v>
      </c>
      <c r="H2378" s="376" t="s">
        <v>211</v>
      </c>
      <c r="I2378" s="15">
        <f>I2377+I2376-1</f>
        <v>2405</v>
      </c>
      <c r="J2378" s="138">
        <f>I2378</f>
        <v>2405</v>
      </c>
      <c r="K2378" s="129"/>
      <c r="L2378" s="403">
        <f t="shared" si="271"/>
        <v>46176</v>
      </c>
      <c r="M2378" s="56" t="str">
        <f t="shared" si="272"/>
        <v>WED</v>
      </c>
      <c r="O2378" s="383">
        <f t="shared" si="269"/>
        <v>1</v>
      </c>
      <c r="P2378" s="392">
        <f t="shared" si="268"/>
        <v>1.0001002777777779</v>
      </c>
    </row>
    <row r="2379" spans="1:16">
      <c r="B2379" s="41"/>
      <c r="C2379" s="403">
        <f t="shared" si="273"/>
        <v>46177</v>
      </c>
      <c r="D2379" s="56" t="str">
        <f>VLOOKUP(MOD(C2379,7),'CALENDAR INFO'!$G$5:$H$11,2)</f>
        <v>THU</v>
      </c>
      <c r="E2379" s="165">
        <v>3.62</v>
      </c>
      <c r="F2379" s="336">
        <v>3.62</v>
      </c>
      <c r="G2379" s="411">
        <f t="shared" si="270"/>
        <v>0</v>
      </c>
      <c r="K2379" s="129"/>
      <c r="L2379" s="403">
        <f t="shared" si="271"/>
        <v>46177</v>
      </c>
      <c r="M2379" s="56" t="str">
        <f t="shared" si="272"/>
        <v>THU</v>
      </c>
      <c r="O2379" s="383">
        <f t="shared" si="269"/>
        <v>1</v>
      </c>
      <c r="P2379" s="392">
        <f t="shared" si="268"/>
        <v>1.0001005555555555</v>
      </c>
    </row>
    <row r="2380" spans="1:16">
      <c r="B2380" s="41"/>
      <c r="C2380" s="403">
        <f t="shared" si="273"/>
        <v>46178</v>
      </c>
      <c r="D2380" s="56" t="str">
        <f>VLOOKUP(MOD(C2380,7),'CALENDAR INFO'!$G$5:$H$11,2)</f>
        <v>FRI</v>
      </c>
      <c r="E2380" s="165">
        <v>3.62</v>
      </c>
      <c r="F2380" s="336">
        <v>3.63</v>
      </c>
      <c r="G2380" s="411">
        <f t="shared" si="270"/>
        <v>9.9999999999997868E-3</v>
      </c>
      <c r="H2380" s="15" t="s">
        <v>150</v>
      </c>
      <c r="I2380" s="137" t="str">
        <f>_xlfn.CONCAT(ADDRESS(I2376,5),":",ADDRESS(I2378,5))</f>
        <v>$E$2376:$E$2405</v>
      </c>
      <c r="J2380" s="150" t="str">
        <f>_xlfn.CONCAT(ADDRESS(J2376,6),":",ADDRESS(J2378,6))</f>
        <v>$F$2376:$F$2405</v>
      </c>
      <c r="K2380" s="129"/>
      <c r="L2380" s="403">
        <f t="shared" si="271"/>
        <v>46178</v>
      </c>
      <c r="M2380" s="56" t="str">
        <f t="shared" si="272"/>
        <v>FRI</v>
      </c>
      <c r="O2380" s="383">
        <f t="shared" si="269"/>
        <v>3</v>
      </c>
      <c r="P2380" s="392">
        <f t="shared" si="268"/>
        <v>1.0003025000000001</v>
      </c>
    </row>
    <row r="2381" spans="1:16">
      <c r="B2381" s="41"/>
      <c r="C2381" s="403">
        <f t="shared" si="273"/>
        <v>46179</v>
      </c>
      <c r="D2381" s="56" t="str">
        <f>VLOOKUP(MOD(C2381,7),'CALENDAR INFO'!$G$5:$H$11,2)</f>
        <v>SAT</v>
      </c>
      <c r="E2381" s="165">
        <v>3.62</v>
      </c>
      <c r="F2381" s="336">
        <v>3.63</v>
      </c>
      <c r="G2381" s="411">
        <f t="shared" si="270"/>
        <v>9.9999999999997868E-3</v>
      </c>
      <c r="K2381" s="129"/>
      <c r="L2381" s="403">
        <f t="shared" si="271"/>
        <v>46179</v>
      </c>
      <c r="M2381" s="56" t="str">
        <f t="shared" si="272"/>
        <v>SAT</v>
      </c>
      <c r="O2381" s="383">
        <f t="shared" si="269"/>
        <v>0</v>
      </c>
      <c r="P2381" s="392">
        <f t="shared" si="268"/>
        <v>1</v>
      </c>
    </row>
    <row r="2382" spans="1:16">
      <c r="B2382" s="41"/>
      <c r="C2382" s="403">
        <f t="shared" si="273"/>
        <v>46180</v>
      </c>
      <c r="D2382" s="56" t="str">
        <f>VLOOKUP(MOD(C2382,7),'CALENDAR INFO'!$G$5:$H$11,2)</f>
        <v>SUN</v>
      </c>
      <c r="E2382" s="165">
        <v>3.62</v>
      </c>
      <c r="F2382" s="336">
        <v>3.63</v>
      </c>
      <c r="G2382" s="411">
        <f t="shared" si="270"/>
        <v>9.9999999999997868E-3</v>
      </c>
      <c r="H2382" s="376" t="s">
        <v>221</v>
      </c>
      <c r="I2382" s="147">
        <f ca="1">AVERAGE(INDIRECT(I2380))</f>
        <v>3.6253333333333315</v>
      </c>
      <c r="J2382" s="326">
        <f ca="1">AVERAGE(INDIRECT(J2380))</f>
        <v>3.6283333333333352</v>
      </c>
      <c r="K2382" s="129"/>
      <c r="L2382" s="403">
        <f t="shared" si="271"/>
        <v>46180</v>
      </c>
      <c r="M2382" s="56" t="str">
        <f t="shared" si="272"/>
        <v>SUN</v>
      </c>
      <c r="O2382" s="383">
        <f t="shared" si="269"/>
        <v>0</v>
      </c>
      <c r="P2382" s="392">
        <f t="shared" si="268"/>
        <v>1</v>
      </c>
    </row>
    <row r="2383" spans="1:16">
      <c r="B2383" s="41"/>
      <c r="C2383" s="403">
        <f t="shared" si="273"/>
        <v>46181</v>
      </c>
      <c r="D2383" s="56" t="str">
        <f>VLOOKUP(MOD(C2383,7),'CALENDAR INFO'!$G$5:$H$11,2)</f>
        <v>MON</v>
      </c>
      <c r="E2383" s="165">
        <v>3.62</v>
      </c>
      <c r="F2383" s="336">
        <v>3.63</v>
      </c>
      <c r="G2383" s="411">
        <f t="shared" si="270"/>
        <v>9.9999999999997868E-3</v>
      </c>
      <c r="H2383" s="135"/>
      <c r="K2383" s="129"/>
      <c r="L2383" s="403">
        <f t="shared" si="271"/>
        <v>46181</v>
      </c>
      <c r="M2383" s="56" t="str">
        <f t="shared" si="272"/>
        <v>MON</v>
      </c>
      <c r="O2383" s="383">
        <f t="shared" si="269"/>
        <v>1</v>
      </c>
      <c r="P2383" s="392">
        <f t="shared" si="268"/>
        <v>1.0001008333333334</v>
      </c>
    </row>
    <row r="2384" spans="1:16">
      <c r="B2384" s="41"/>
      <c r="C2384" s="403">
        <f t="shared" si="273"/>
        <v>46182</v>
      </c>
      <c r="D2384" s="56" t="str">
        <f>VLOOKUP(MOD(C2384,7),'CALENDAR INFO'!$G$5:$H$11,2)</f>
        <v>TUE</v>
      </c>
      <c r="E2384" s="165">
        <v>3.62</v>
      </c>
      <c r="F2384" s="336">
        <v>3.6</v>
      </c>
      <c r="G2384" s="411">
        <f t="shared" si="270"/>
        <v>-2.0000000000000018E-2</v>
      </c>
      <c r="H2384" s="15" t="s">
        <v>222</v>
      </c>
      <c r="I2384" s="147">
        <f ca="1">100-I2382</f>
        <v>96.37466666666667</v>
      </c>
      <c r="J2384" s="326">
        <f ca="1">100-J2382</f>
        <v>96.37166666666667</v>
      </c>
      <c r="K2384" s="129"/>
      <c r="L2384" s="403">
        <f t="shared" si="271"/>
        <v>46182</v>
      </c>
      <c r="M2384" s="56" t="str">
        <f t="shared" si="272"/>
        <v>TUE</v>
      </c>
      <c r="O2384" s="383">
        <f t="shared" si="269"/>
        <v>1</v>
      </c>
      <c r="P2384" s="392">
        <f t="shared" si="268"/>
        <v>1.0001</v>
      </c>
    </row>
    <row r="2385" spans="1:16">
      <c r="B2385" s="41"/>
      <c r="C2385" s="403">
        <f t="shared" si="273"/>
        <v>46183</v>
      </c>
      <c r="D2385" s="56" t="str">
        <f>VLOOKUP(MOD(C2385,7),'CALENDAR INFO'!$G$5:$H$11,2)</f>
        <v>WED</v>
      </c>
      <c r="E2385" s="165">
        <v>3.62</v>
      </c>
      <c r="F2385" s="336">
        <v>3.59</v>
      </c>
      <c r="G2385" s="411">
        <f t="shared" si="270"/>
        <v>-3.0000000000000249E-2</v>
      </c>
      <c r="I2385" s="137"/>
      <c r="J2385" s="150"/>
      <c r="K2385" s="129" t="s">
        <v>19</v>
      </c>
      <c r="L2385" s="403">
        <f t="shared" si="271"/>
        <v>46183</v>
      </c>
      <c r="M2385" s="56" t="str">
        <f t="shared" si="272"/>
        <v>WED</v>
      </c>
      <c r="O2385" s="383">
        <f t="shared" si="269"/>
        <v>1</v>
      </c>
      <c r="P2385" s="392">
        <f t="shared" si="268"/>
        <v>1.0000997222222223</v>
      </c>
    </row>
    <row r="2386" spans="1:16">
      <c r="B2386" s="41"/>
      <c r="C2386" s="403">
        <f t="shared" si="273"/>
        <v>46184</v>
      </c>
      <c r="D2386" s="56" t="str">
        <f>VLOOKUP(MOD(C2386,7),'CALENDAR INFO'!$G$5:$H$11,2)</f>
        <v>THU</v>
      </c>
      <c r="E2386" s="165">
        <v>3.62</v>
      </c>
      <c r="F2386" s="336">
        <v>3.6</v>
      </c>
      <c r="G2386" s="411">
        <f t="shared" si="270"/>
        <v>-2.0000000000000018E-2</v>
      </c>
      <c r="I2386" s="171"/>
      <c r="J2386" s="172"/>
      <c r="K2386" s="126" t="s">
        <v>18</v>
      </c>
      <c r="L2386" s="403">
        <f t="shared" si="271"/>
        <v>46184</v>
      </c>
      <c r="M2386" s="56" t="str">
        <f t="shared" si="272"/>
        <v>THU</v>
      </c>
      <c r="O2386" s="383">
        <f t="shared" si="269"/>
        <v>1</v>
      </c>
      <c r="P2386" s="392">
        <f t="shared" si="268"/>
        <v>1.0001</v>
      </c>
    </row>
    <row r="2387" spans="1:16">
      <c r="B2387" s="41"/>
      <c r="C2387" s="403">
        <f t="shared" si="273"/>
        <v>46185</v>
      </c>
      <c r="D2387" s="56" t="str">
        <f>VLOOKUP(MOD(C2387,7),'CALENDAR INFO'!$G$5:$H$11,2)</f>
        <v>FRI</v>
      </c>
      <c r="E2387" s="165">
        <v>3.62</v>
      </c>
      <c r="F2387" s="336">
        <v>3.65</v>
      </c>
      <c r="G2387" s="411">
        <f t="shared" si="270"/>
        <v>2.9999999999999805E-2</v>
      </c>
      <c r="I2387" s="171"/>
      <c r="J2387" s="172"/>
      <c r="K2387" s="126"/>
      <c r="L2387" s="403">
        <f t="shared" si="271"/>
        <v>46185</v>
      </c>
      <c r="M2387" s="56" t="str">
        <f t="shared" si="272"/>
        <v>FRI</v>
      </c>
      <c r="O2387" s="383">
        <f t="shared" si="269"/>
        <v>3</v>
      </c>
      <c r="P2387" s="392">
        <f t="shared" ref="P2387:P2450" si="274">1+(O2387/360)*(MAX(F2387,B2387)/100)</f>
        <v>1.0003041666666668</v>
      </c>
    </row>
    <row r="2388" spans="1:16">
      <c r="B2388" s="41"/>
      <c r="C2388" s="403">
        <f t="shared" si="273"/>
        <v>46186</v>
      </c>
      <c r="D2388" s="56" t="str">
        <f>VLOOKUP(MOD(C2388,7),'CALENDAR INFO'!$G$5:$H$11,2)</f>
        <v>SAT</v>
      </c>
      <c r="E2388" s="165">
        <v>3.62</v>
      </c>
      <c r="F2388" s="336">
        <v>3.65</v>
      </c>
      <c r="G2388" s="411">
        <f t="shared" si="270"/>
        <v>2.9999999999999805E-2</v>
      </c>
      <c r="I2388" s="171"/>
      <c r="J2388" s="172"/>
      <c r="K2388" s="126"/>
      <c r="L2388" s="403">
        <f t="shared" si="271"/>
        <v>46186</v>
      </c>
      <c r="M2388" s="56" t="str">
        <f t="shared" si="272"/>
        <v>SAT</v>
      </c>
      <c r="O2388" s="383">
        <f t="shared" si="269"/>
        <v>0</v>
      </c>
      <c r="P2388" s="392">
        <f t="shared" si="274"/>
        <v>1</v>
      </c>
    </row>
    <row r="2389" spans="1:16">
      <c r="B2389" s="41"/>
      <c r="C2389" s="403">
        <f t="shared" si="273"/>
        <v>46187</v>
      </c>
      <c r="D2389" s="56" t="str">
        <f>VLOOKUP(MOD(C2389,7),'CALENDAR INFO'!$G$5:$H$11,2)</f>
        <v>SUN</v>
      </c>
      <c r="E2389" s="165">
        <v>3.62</v>
      </c>
      <c r="F2389" s="336">
        <v>3.65</v>
      </c>
      <c r="G2389" s="411">
        <f t="shared" si="270"/>
        <v>2.9999999999999805E-2</v>
      </c>
      <c r="I2389" s="137"/>
      <c r="J2389" s="150"/>
      <c r="K2389" s="126"/>
      <c r="L2389" s="403">
        <f t="shared" si="271"/>
        <v>46187</v>
      </c>
      <c r="M2389" s="56" t="str">
        <f t="shared" si="272"/>
        <v>SUN</v>
      </c>
      <c r="O2389" s="383">
        <f t="shared" si="269"/>
        <v>0</v>
      </c>
      <c r="P2389" s="392">
        <f t="shared" si="274"/>
        <v>1</v>
      </c>
    </row>
    <row r="2390" spans="1:16">
      <c r="B2390" s="41"/>
      <c r="C2390" s="403">
        <f t="shared" si="273"/>
        <v>46188</v>
      </c>
      <c r="D2390" s="56" t="str">
        <f>VLOOKUP(MOD(C2390,7),'CALENDAR INFO'!$G$5:$H$11,2)</f>
        <v>MON</v>
      </c>
      <c r="E2390" s="165">
        <v>3.63</v>
      </c>
      <c r="F2390" s="336">
        <v>3.69</v>
      </c>
      <c r="G2390" s="411">
        <f t="shared" si="270"/>
        <v>6.0000000000000053E-2</v>
      </c>
      <c r="I2390" s="137"/>
      <c r="J2390" s="150"/>
      <c r="K2390" s="126"/>
      <c r="L2390" s="403">
        <f t="shared" si="271"/>
        <v>46188</v>
      </c>
      <c r="M2390" s="56" t="str">
        <f t="shared" si="272"/>
        <v>MON</v>
      </c>
      <c r="O2390" s="383">
        <f t="shared" si="269"/>
        <v>1</v>
      </c>
      <c r="P2390" s="392">
        <f t="shared" si="274"/>
        <v>1.0001024999999999</v>
      </c>
    </row>
    <row r="2391" spans="1:16">
      <c r="B2391" s="41"/>
      <c r="C2391" s="403">
        <f t="shared" si="273"/>
        <v>46189</v>
      </c>
      <c r="D2391" s="56" t="str">
        <f>VLOOKUP(MOD(C2391,7),'CALENDAR INFO'!$G$5:$H$11,2)</f>
        <v>TUE</v>
      </c>
      <c r="E2391" s="165">
        <v>3.63</v>
      </c>
      <c r="F2391" s="336">
        <v>3.63</v>
      </c>
      <c r="G2391" s="411">
        <f t="shared" si="270"/>
        <v>0</v>
      </c>
      <c r="I2391" s="137"/>
      <c r="J2391" s="150"/>
      <c r="K2391" s="126"/>
      <c r="L2391" s="403">
        <f t="shared" si="271"/>
        <v>46189</v>
      </c>
      <c r="M2391" s="56" t="str">
        <f t="shared" si="272"/>
        <v>TUE</v>
      </c>
      <c r="N2391" s="116" t="s">
        <v>20</v>
      </c>
      <c r="O2391" s="383">
        <f t="shared" si="269"/>
        <v>1</v>
      </c>
      <c r="P2391" s="392">
        <f t="shared" si="274"/>
        <v>1.0001008333333334</v>
      </c>
    </row>
    <row r="2392" spans="1:16">
      <c r="B2392" s="41"/>
      <c r="C2392" s="403">
        <f t="shared" si="273"/>
        <v>46190</v>
      </c>
      <c r="D2392" s="56" t="str">
        <f>VLOOKUP(MOD(C2392,7),'CALENDAR INFO'!$G$5:$H$11,2)</f>
        <v>WED</v>
      </c>
      <c r="E2392" s="165">
        <v>3.63</v>
      </c>
      <c r="F2392" s="336">
        <v>3.63</v>
      </c>
      <c r="G2392" s="411">
        <f t="shared" si="270"/>
        <v>0</v>
      </c>
      <c r="I2392" s="137"/>
      <c r="J2392" s="150"/>
      <c r="K2392" s="126"/>
      <c r="L2392" s="403">
        <f t="shared" si="271"/>
        <v>46190</v>
      </c>
      <c r="M2392" s="56" t="str">
        <f t="shared" si="272"/>
        <v>WED</v>
      </c>
      <c r="N2392" s="116" t="s">
        <v>20</v>
      </c>
      <c r="O2392" s="383">
        <f t="shared" si="269"/>
        <v>1</v>
      </c>
      <c r="P2392" s="392">
        <f t="shared" si="274"/>
        <v>1.0001008333333334</v>
      </c>
    </row>
    <row r="2393" spans="1:16">
      <c r="A2393" s="238"/>
      <c r="B2393" s="239"/>
      <c r="C2393" s="403">
        <f t="shared" si="273"/>
        <v>46191</v>
      </c>
      <c r="D2393" s="56" t="str">
        <f>VLOOKUP(MOD(C2393,7),'CALENDAR INFO'!$G$5:$H$11,2)</f>
        <v>THU</v>
      </c>
      <c r="E2393" s="165">
        <v>3.63</v>
      </c>
      <c r="F2393" s="336">
        <v>3.62</v>
      </c>
      <c r="G2393" s="411">
        <f t="shared" si="270"/>
        <v>-9.9999999999997868E-3</v>
      </c>
      <c r="I2393" s="311"/>
      <c r="J2393" s="312"/>
      <c r="K2393" s="126"/>
      <c r="L2393" s="403">
        <f t="shared" si="271"/>
        <v>46191</v>
      </c>
      <c r="M2393" s="56" t="str">
        <f t="shared" si="272"/>
        <v>THU</v>
      </c>
      <c r="O2393" s="384">
        <v>4</v>
      </c>
      <c r="P2393" s="392">
        <f t="shared" si="274"/>
        <v>1.0004022222222222</v>
      </c>
    </row>
    <row r="2394" spans="1:16">
      <c r="A2394" s="238"/>
      <c r="B2394" s="239"/>
      <c r="C2394" s="403">
        <f t="shared" si="273"/>
        <v>46192</v>
      </c>
      <c r="D2394" s="56" t="str">
        <f>VLOOKUP(MOD(C2394,7),'CALENDAR INFO'!$G$5:$H$11,2)</f>
        <v>FRI</v>
      </c>
      <c r="E2394" s="165">
        <v>3.63</v>
      </c>
      <c r="F2394" s="336">
        <v>3.62</v>
      </c>
      <c r="G2394" s="411">
        <f t="shared" si="270"/>
        <v>-9.9999999999997868E-3</v>
      </c>
      <c r="I2394" s="141"/>
      <c r="J2394" s="158"/>
      <c r="K2394" s="126"/>
      <c r="L2394" s="403">
        <f t="shared" si="271"/>
        <v>46192</v>
      </c>
      <c r="M2394" s="56" t="str">
        <f t="shared" si="272"/>
        <v>FRI</v>
      </c>
      <c r="N2394" s="132" t="s">
        <v>176</v>
      </c>
      <c r="O2394" s="384">
        <v>0</v>
      </c>
      <c r="P2394" s="392">
        <f t="shared" si="274"/>
        <v>1</v>
      </c>
    </row>
    <row r="2395" spans="1:16">
      <c r="A2395" s="238"/>
      <c r="B2395" s="239"/>
      <c r="C2395" s="403">
        <f t="shared" si="273"/>
        <v>46193</v>
      </c>
      <c r="D2395" s="56" t="str">
        <f>VLOOKUP(MOD(C2395,7),'CALENDAR INFO'!$G$5:$H$11,2)</f>
        <v>SAT</v>
      </c>
      <c r="E2395" s="165">
        <v>3.63</v>
      </c>
      <c r="F2395" s="336">
        <v>3.62</v>
      </c>
      <c r="G2395" s="411">
        <f t="shared" si="270"/>
        <v>-9.9999999999997868E-3</v>
      </c>
      <c r="K2395" s="126"/>
      <c r="L2395" s="403">
        <f t="shared" si="271"/>
        <v>46193</v>
      </c>
      <c r="M2395" s="56" t="str">
        <f t="shared" si="272"/>
        <v>SAT</v>
      </c>
      <c r="O2395" s="383">
        <f t="shared" ref="O2395:O2406" si="275">IF(MOD(C2395,7)&lt;2,0,IF(MOD(C2395,7)=6,3,1))</f>
        <v>0</v>
      </c>
      <c r="P2395" s="392">
        <f t="shared" si="274"/>
        <v>1</v>
      </c>
    </row>
    <row r="2396" spans="1:16">
      <c r="A2396" s="238"/>
      <c r="B2396" s="239"/>
      <c r="C2396" s="403">
        <f t="shared" si="273"/>
        <v>46194</v>
      </c>
      <c r="D2396" s="56" t="str">
        <f>VLOOKUP(MOD(C2396,7),'CALENDAR INFO'!$G$5:$H$11,2)</f>
        <v>SUN</v>
      </c>
      <c r="E2396" s="165">
        <v>3.63</v>
      </c>
      <c r="F2396" s="336">
        <v>3.62</v>
      </c>
      <c r="G2396" s="411">
        <f t="shared" si="270"/>
        <v>-9.9999999999997868E-3</v>
      </c>
      <c r="K2396" s="126"/>
      <c r="L2396" s="403">
        <f t="shared" si="271"/>
        <v>46194</v>
      </c>
      <c r="M2396" s="56" t="str">
        <f t="shared" si="272"/>
        <v>SUN</v>
      </c>
      <c r="O2396" s="383">
        <f t="shared" si="275"/>
        <v>0</v>
      </c>
      <c r="P2396" s="392">
        <f t="shared" si="274"/>
        <v>1</v>
      </c>
    </row>
    <row r="2397" spans="1:16">
      <c r="A2397" s="238"/>
      <c r="B2397" s="239"/>
      <c r="C2397" s="403">
        <f t="shared" si="273"/>
        <v>46195</v>
      </c>
      <c r="D2397" s="56" t="str">
        <f>VLOOKUP(MOD(C2397,7),'CALENDAR INFO'!$G$5:$H$11,2)</f>
        <v>MON</v>
      </c>
      <c r="E2397" s="165">
        <v>3.63</v>
      </c>
      <c r="F2397" s="336">
        <v>3.61</v>
      </c>
      <c r="G2397" s="411">
        <f t="shared" si="270"/>
        <v>-2.0000000000000018E-2</v>
      </c>
      <c r="K2397" s="126"/>
      <c r="L2397" s="403">
        <f t="shared" si="271"/>
        <v>46195</v>
      </c>
      <c r="M2397" s="56" t="str">
        <f t="shared" si="272"/>
        <v>MON</v>
      </c>
      <c r="O2397" s="383">
        <f t="shared" si="275"/>
        <v>1</v>
      </c>
      <c r="P2397" s="392">
        <f t="shared" si="274"/>
        <v>1.0001002777777779</v>
      </c>
    </row>
    <row r="2398" spans="1:16">
      <c r="A2398" s="238"/>
      <c r="B2398" s="239"/>
      <c r="C2398" s="403">
        <f t="shared" si="273"/>
        <v>46196</v>
      </c>
      <c r="D2398" s="56" t="str">
        <f>VLOOKUP(MOD(C2398,7),'CALENDAR INFO'!$G$5:$H$11,2)</f>
        <v>TUE</v>
      </c>
      <c r="E2398" s="165">
        <v>3.63</v>
      </c>
      <c r="F2398" s="336">
        <v>3.62</v>
      </c>
      <c r="G2398" s="411">
        <f t="shared" si="270"/>
        <v>-9.9999999999997868E-3</v>
      </c>
      <c r="I2398" s="313"/>
      <c r="J2398" s="314"/>
      <c r="K2398" s="126"/>
      <c r="L2398" s="403">
        <f t="shared" si="271"/>
        <v>46196</v>
      </c>
      <c r="M2398" s="56" t="str">
        <f t="shared" si="272"/>
        <v>TUE</v>
      </c>
      <c r="O2398" s="383">
        <f t="shared" si="275"/>
        <v>1</v>
      </c>
      <c r="P2398" s="392">
        <f t="shared" si="274"/>
        <v>1.0001005555555555</v>
      </c>
    </row>
    <row r="2399" spans="1:16">
      <c r="A2399" s="238"/>
      <c r="B2399" s="239"/>
      <c r="C2399" s="403">
        <f t="shared" si="273"/>
        <v>46197</v>
      </c>
      <c r="D2399" s="56" t="str">
        <f>VLOOKUP(MOD(C2399,7),'CALENDAR INFO'!$G$5:$H$11,2)</f>
        <v>WED</v>
      </c>
      <c r="E2399" s="165">
        <v>3.63</v>
      </c>
      <c r="F2399" s="336">
        <v>3.62</v>
      </c>
      <c r="G2399" s="411">
        <f t="shared" si="270"/>
        <v>-9.9999999999997868E-3</v>
      </c>
      <c r="I2399" s="115"/>
      <c r="J2399" s="159"/>
      <c r="K2399" s="126" t="s">
        <v>19</v>
      </c>
      <c r="L2399" s="403">
        <f t="shared" si="271"/>
        <v>46197</v>
      </c>
      <c r="M2399" s="56" t="str">
        <f t="shared" si="272"/>
        <v>WED</v>
      </c>
      <c r="O2399" s="383">
        <f t="shared" si="275"/>
        <v>1</v>
      </c>
      <c r="P2399" s="392">
        <f t="shared" si="274"/>
        <v>1.0001005555555555</v>
      </c>
    </row>
    <row r="2400" spans="1:16">
      <c r="A2400" s="238"/>
      <c r="B2400" s="239"/>
      <c r="C2400" s="403">
        <f t="shared" si="273"/>
        <v>46198</v>
      </c>
      <c r="D2400" s="56" t="str">
        <f>VLOOKUP(MOD(C2400,7),'CALENDAR INFO'!$G$5:$H$11,2)</f>
        <v>THU</v>
      </c>
      <c r="E2400" s="165">
        <v>3.63</v>
      </c>
      <c r="F2400" s="336">
        <v>3.64</v>
      </c>
      <c r="G2400" s="411">
        <f t="shared" si="270"/>
        <v>1.0000000000000231E-2</v>
      </c>
      <c r="I2400" s="137"/>
      <c r="J2400" s="150"/>
      <c r="K2400" s="129" t="s">
        <v>18</v>
      </c>
      <c r="L2400" s="403">
        <f t="shared" si="271"/>
        <v>46198</v>
      </c>
      <c r="M2400" s="56" t="str">
        <f t="shared" si="272"/>
        <v>THU</v>
      </c>
      <c r="O2400" s="383">
        <f t="shared" si="275"/>
        <v>1</v>
      </c>
      <c r="P2400" s="392">
        <f t="shared" si="274"/>
        <v>1.0001011111111111</v>
      </c>
    </row>
    <row r="2401" spans="1:16">
      <c r="A2401" s="238"/>
      <c r="B2401" s="239"/>
      <c r="C2401" s="403">
        <f t="shared" si="273"/>
        <v>46199</v>
      </c>
      <c r="D2401" s="56" t="str">
        <f>VLOOKUP(MOD(C2401,7),'CALENDAR INFO'!$G$5:$H$11,2)</f>
        <v>FRI</v>
      </c>
      <c r="E2401" s="165">
        <v>3.63</v>
      </c>
      <c r="F2401" s="336">
        <v>3.62</v>
      </c>
      <c r="G2401" s="411">
        <f t="shared" si="270"/>
        <v>-9.9999999999997868E-3</v>
      </c>
      <c r="I2401" s="137"/>
      <c r="J2401" s="150"/>
      <c r="K2401" s="129"/>
      <c r="L2401" s="403">
        <f t="shared" si="271"/>
        <v>46199</v>
      </c>
      <c r="M2401" s="56" t="str">
        <f t="shared" si="272"/>
        <v>FRI</v>
      </c>
      <c r="O2401" s="383">
        <f t="shared" si="275"/>
        <v>3</v>
      </c>
      <c r="P2401" s="392">
        <f t="shared" si="274"/>
        <v>1.0003016666666666</v>
      </c>
    </row>
    <row r="2402" spans="1:16">
      <c r="A2402" s="238"/>
      <c r="B2402" s="239"/>
      <c r="C2402" s="403">
        <f t="shared" si="273"/>
        <v>46200</v>
      </c>
      <c r="D2402" s="56" t="str">
        <f>VLOOKUP(MOD(C2402,7),'CALENDAR INFO'!$G$5:$H$11,2)</f>
        <v>SAT</v>
      </c>
      <c r="E2402" s="165">
        <v>3.63</v>
      </c>
      <c r="F2402" s="336">
        <v>3.62</v>
      </c>
      <c r="G2402" s="411">
        <f t="shared" si="270"/>
        <v>-9.9999999999997868E-3</v>
      </c>
      <c r="I2402" s="171"/>
      <c r="J2402" s="172"/>
      <c r="K2402" s="129"/>
      <c r="L2402" s="403">
        <f t="shared" si="271"/>
        <v>46200</v>
      </c>
      <c r="M2402" s="56" t="str">
        <f t="shared" si="272"/>
        <v>SAT</v>
      </c>
      <c r="O2402" s="383">
        <f t="shared" si="275"/>
        <v>0</v>
      </c>
      <c r="P2402" s="392">
        <f t="shared" si="274"/>
        <v>1</v>
      </c>
    </row>
    <row r="2403" spans="1:16">
      <c r="A2403" s="238"/>
      <c r="B2403" s="239"/>
      <c r="C2403" s="403">
        <f t="shared" si="273"/>
        <v>46201</v>
      </c>
      <c r="D2403" s="56" t="str">
        <f>VLOOKUP(MOD(C2403,7),'CALENDAR INFO'!$G$5:$H$11,2)</f>
        <v>SUN</v>
      </c>
      <c r="E2403" s="165">
        <v>3.63</v>
      </c>
      <c r="F2403" s="336">
        <v>3.62</v>
      </c>
      <c r="G2403" s="411">
        <f t="shared" si="270"/>
        <v>-9.9999999999997868E-3</v>
      </c>
      <c r="I2403" s="137"/>
      <c r="J2403" s="150"/>
      <c r="K2403" s="129"/>
      <c r="L2403" s="403">
        <f t="shared" si="271"/>
        <v>46201</v>
      </c>
      <c r="M2403" s="56" t="str">
        <f t="shared" si="272"/>
        <v>SUN</v>
      </c>
      <c r="O2403" s="383">
        <f t="shared" si="275"/>
        <v>0</v>
      </c>
      <c r="P2403" s="392">
        <f t="shared" si="274"/>
        <v>1</v>
      </c>
    </row>
    <row r="2404" spans="1:16">
      <c r="A2404" s="238"/>
      <c r="B2404" s="239"/>
      <c r="C2404" s="403">
        <f t="shared" si="273"/>
        <v>46202</v>
      </c>
      <c r="D2404" s="56" t="str">
        <f>VLOOKUP(MOD(C2404,7),'CALENDAR INFO'!$G$5:$H$11,2)</f>
        <v>MON</v>
      </c>
      <c r="E2404" s="165">
        <v>3.63</v>
      </c>
      <c r="F2404" s="336">
        <v>3.62</v>
      </c>
      <c r="G2404" s="411">
        <f t="shared" si="270"/>
        <v>-9.9999999999997868E-3</v>
      </c>
      <c r="I2404" s="147"/>
      <c r="J2404" s="326"/>
      <c r="K2404" s="129"/>
      <c r="L2404" s="403">
        <f t="shared" si="271"/>
        <v>46202</v>
      </c>
      <c r="M2404" s="56" t="str">
        <f t="shared" si="272"/>
        <v>MON</v>
      </c>
      <c r="O2404" s="383">
        <f t="shared" si="275"/>
        <v>1</v>
      </c>
      <c r="P2404" s="392">
        <f t="shared" si="274"/>
        <v>1.0001005555555555</v>
      </c>
    </row>
    <row r="2405" spans="1:16" ht="15.75" thickBot="1">
      <c r="A2405" s="316"/>
      <c r="B2405" s="317"/>
      <c r="C2405" s="404">
        <f t="shared" si="273"/>
        <v>46203</v>
      </c>
      <c r="D2405" s="64" t="str">
        <f>VLOOKUP(MOD(C2405,7),'CALENDAR INFO'!$G$5:$H$11,2)</f>
        <v>TUE</v>
      </c>
      <c r="E2405" s="166">
        <v>3.63</v>
      </c>
      <c r="F2405" s="337">
        <v>3.68</v>
      </c>
      <c r="G2405" s="412">
        <f t="shared" si="270"/>
        <v>5.0000000000000266E-2</v>
      </c>
      <c r="H2405" s="274"/>
      <c r="I2405" s="332"/>
      <c r="J2405" s="333"/>
      <c r="K2405" s="84"/>
      <c r="L2405" s="404">
        <f t="shared" si="271"/>
        <v>46203</v>
      </c>
      <c r="M2405" s="64" t="str">
        <f t="shared" si="272"/>
        <v>TUE</v>
      </c>
      <c r="N2405" s="90"/>
      <c r="O2405" s="382">
        <f t="shared" si="275"/>
        <v>1</v>
      </c>
      <c r="P2405" s="388">
        <f t="shared" si="274"/>
        <v>1.0001022222222222</v>
      </c>
    </row>
    <row r="2406" spans="1:16">
      <c r="B2406" s="41"/>
      <c r="C2406" s="403">
        <f t="shared" si="273"/>
        <v>46204</v>
      </c>
      <c r="D2406" s="56" t="str">
        <f>VLOOKUP(MOD(C2406,7),'CALENDAR INFO'!$G$5:$H$11,2)</f>
        <v>WED</v>
      </c>
      <c r="E2406" s="165">
        <v>3.63</v>
      </c>
      <c r="F2406" s="336">
        <v>3.66</v>
      </c>
      <c r="G2406" s="411">
        <f t="shared" si="270"/>
        <v>3.0000000000000249E-2</v>
      </c>
      <c r="H2406" s="15" t="s">
        <v>149</v>
      </c>
      <c r="I2406" s="15">
        <f>ROW(I2406)</f>
        <v>2406</v>
      </c>
      <c r="J2406" s="138">
        <f>I2406</f>
        <v>2406</v>
      </c>
      <c r="K2406" s="129"/>
      <c r="L2406" s="403">
        <f t="shared" si="271"/>
        <v>46204</v>
      </c>
      <c r="M2406" s="56" t="str">
        <f t="shared" si="272"/>
        <v>WED</v>
      </c>
      <c r="O2406" s="383">
        <f t="shared" si="275"/>
        <v>1</v>
      </c>
      <c r="P2406" s="392">
        <f t="shared" si="274"/>
        <v>1.0001016666666667</v>
      </c>
    </row>
    <row r="2407" spans="1:16">
      <c r="B2407" s="41"/>
      <c r="C2407" s="403">
        <f t="shared" si="273"/>
        <v>46205</v>
      </c>
      <c r="D2407" s="56" t="str">
        <f>VLOOKUP(MOD(C2407,7),'CALENDAR INFO'!$G$5:$H$11,2)</f>
        <v>THU</v>
      </c>
      <c r="E2407" s="165">
        <v>3.63</v>
      </c>
      <c r="F2407" s="336">
        <v>3.64</v>
      </c>
      <c r="G2407" s="411">
        <f t="shared" si="270"/>
        <v>1.0000000000000231E-2</v>
      </c>
      <c r="H2407" s="376" t="s">
        <v>210</v>
      </c>
      <c r="I2407" s="15">
        <f>VLOOKUP(MONTH($C2406),'CALENDAR INFO'!$J$5:$K$16,2)</f>
        <v>31</v>
      </c>
      <c r="J2407" s="138">
        <f>I2407</f>
        <v>31</v>
      </c>
      <c r="K2407" s="129"/>
      <c r="L2407" s="403">
        <f t="shared" si="271"/>
        <v>46205</v>
      </c>
      <c r="M2407" s="56" t="str">
        <f t="shared" si="272"/>
        <v>THU</v>
      </c>
      <c r="O2407" s="384">
        <v>4</v>
      </c>
      <c r="P2407" s="392">
        <f t="shared" si="274"/>
        <v>1.0004044444444444</v>
      </c>
    </row>
    <row r="2408" spans="1:16">
      <c r="B2408" s="41"/>
      <c r="C2408" s="403">
        <f t="shared" si="273"/>
        <v>46206</v>
      </c>
      <c r="D2408" s="56" t="str">
        <f>VLOOKUP(MOD(C2408,7),'CALENDAR INFO'!$G$5:$H$11,2)</f>
        <v>FRI</v>
      </c>
      <c r="E2408" s="165">
        <v>3.63</v>
      </c>
      <c r="F2408" s="336">
        <v>3.64</v>
      </c>
      <c r="G2408" s="411">
        <f t="shared" si="270"/>
        <v>1.0000000000000231E-2</v>
      </c>
      <c r="H2408" s="376" t="s">
        <v>211</v>
      </c>
      <c r="I2408" s="15">
        <f>I2407+I2406-1</f>
        <v>2436</v>
      </c>
      <c r="J2408" s="138">
        <f>I2408</f>
        <v>2436</v>
      </c>
      <c r="K2408" s="129"/>
      <c r="L2408" s="403">
        <f t="shared" si="271"/>
        <v>46206</v>
      </c>
      <c r="M2408" s="56" t="str">
        <f t="shared" si="272"/>
        <v>FRI</v>
      </c>
      <c r="N2408" s="132" t="s">
        <v>49</v>
      </c>
      <c r="O2408" s="384">
        <v>0</v>
      </c>
      <c r="P2408" s="392">
        <f t="shared" si="274"/>
        <v>1</v>
      </c>
    </row>
    <row r="2409" spans="1:16">
      <c r="B2409" s="41"/>
      <c r="C2409" s="403">
        <f t="shared" si="273"/>
        <v>46207</v>
      </c>
      <c r="D2409" s="56" t="str">
        <f>VLOOKUP(MOD(C2409,7),'CALENDAR INFO'!$G$5:$H$11,2)</f>
        <v>SAT</v>
      </c>
      <c r="E2409" s="165">
        <v>3.63</v>
      </c>
      <c r="F2409" s="336">
        <v>3.64</v>
      </c>
      <c r="G2409" s="411">
        <f t="shared" si="270"/>
        <v>1.0000000000000231E-2</v>
      </c>
      <c r="K2409" s="129"/>
      <c r="L2409" s="403">
        <f t="shared" si="271"/>
        <v>46207</v>
      </c>
      <c r="M2409" s="56" t="str">
        <f t="shared" si="272"/>
        <v>SAT</v>
      </c>
      <c r="O2409" s="383">
        <f t="shared" ref="O2409:O2440" si="276">IF(MOD(C2409,7)&lt;2,0,IF(MOD(C2409,7)=6,3,1))</f>
        <v>0</v>
      </c>
      <c r="P2409" s="392">
        <f t="shared" si="274"/>
        <v>1</v>
      </c>
    </row>
    <row r="2410" spans="1:16">
      <c r="B2410" s="41"/>
      <c r="C2410" s="403">
        <f t="shared" si="273"/>
        <v>46208</v>
      </c>
      <c r="D2410" s="56" t="str">
        <f>VLOOKUP(MOD(C2410,7),'CALENDAR INFO'!$G$5:$H$11,2)</f>
        <v>SUN</v>
      </c>
      <c r="E2410" s="165">
        <v>3.63</v>
      </c>
      <c r="F2410" s="336">
        <v>3.64</v>
      </c>
      <c r="G2410" s="411">
        <f t="shared" si="270"/>
        <v>1.0000000000000231E-2</v>
      </c>
      <c r="H2410" s="15" t="s">
        <v>150</v>
      </c>
      <c r="I2410" s="137" t="str">
        <f>_xlfn.CONCAT(ADDRESS(I2406,5),":",ADDRESS(I2408,5))</f>
        <v>$E$2406:$E$2436</v>
      </c>
      <c r="J2410" s="150" t="str">
        <f>_xlfn.CONCAT(ADDRESS(J2406,6),":",ADDRESS(J2408,6))</f>
        <v>$F$2406:$F$2436</v>
      </c>
      <c r="K2410" s="129"/>
      <c r="L2410" s="403">
        <f t="shared" si="271"/>
        <v>46208</v>
      </c>
      <c r="M2410" s="56" t="str">
        <f t="shared" si="272"/>
        <v>SUN</v>
      </c>
      <c r="O2410" s="383">
        <f t="shared" si="276"/>
        <v>0</v>
      </c>
      <c r="P2410" s="392">
        <f t="shared" si="274"/>
        <v>1</v>
      </c>
    </row>
    <row r="2411" spans="1:16">
      <c r="B2411" s="41"/>
      <c r="C2411" s="403">
        <f t="shared" si="273"/>
        <v>46209</v>
      </c>
      <c r="D2411" s="56" t="str">
        <f>VLOOKUP(MOD(C2411,7),'CALENDAR INFO'!$G$5:$H$11,2)</f>
        <v>MON</v>
      </c>
      <c r="E2411" s="165">
        <v>3.63</v>
      </c>
      <c r="F2411" s="336">
        <v>3.63</v>
      </c>
      <c r="G2411" s="411">
        <f t="shared" si="270"/>
        <v>0</v>
      </c>
      <c r="K2411" s="129"/>
      <c r="L2411" s="403">
        <f t="shared" si="271"/>
        <v>46209</v>
      </c>
      <c r="M2411" s="56" t="str">
        <f t="shared" si="272"/>
        <v>MON</v>
      </c>
      <c r="O2411" s="383">
        <f t="shared" si="276"/>
        <v>1</v>
      </c>
      <c r="P2411" s="392">
        <f t="shared" si="274"/>
        <v>1.0001008333333334</v>
      </c>
    </row>
    <row r="2412" spans="1:16">
      <c r="B2412" s="41"/>
      <c r="C2412" s="403">
        <f t="shared" si="273"/>
        <v>46210</v>
      </c>
      <c r="D2412" s="56" t="str">
        <f>VLOOKUP(MOD(C2412,7),'CALENDAR INFO'!$G$5:$H$11,2)</f>
        <v>TUE</v>
      </c>
      <c r="E2412" s="165">
        <v>3.63</v>
      </c>
      <c r="F2412" s="336">
        <v>3.62</v>
      </c>
      <c r="G2412" s="411">
        <f t="shared" si="270"/>
        <v>-9.9999999999997868E-3</v>
      </c>
      <c r="H2412" s="376" t="s">
        <v>221</v>
      </c>
      <c r="I2412" s="147">
        <f ca="1">AVERAGE(INDIRECT(I2410))</f>
        <v>3.6280645161290304</v>
      </c>
      <c r="J2412" s="326">
        <f ca="1">AVERAGE(INDIRECT(J2410))</f>
        <v>3.616129032258065</v>
      </c>
      <c r="K2412" s="129"/>
      <c r="L2412" s="403">
        <f t="shared" si="271"/>
        <v>46210</v>
      </c>
      <c r="M2412" s="56" t="str">
        <f t="shared" si="272"/>
        <v>TUE</v>
      </c>
      <c r="O2412" s="383">
        <f t="shared" si="276"/>
        <v>1</v>
      </c>
      <c r="P2412" s="392">
        <f t="shared" si="274"/>
        <v>1.0001005555555555</v>
      </c>
    </row>
    <row r="2413" spans="1:16">
      <c r="B2413" s="41"/>
      <c r="C2413" s="403">
        <f t="shared" si="273"/>
        <v>46211</v>
      </c>
      <c r="D2413" s="56" t="str">
        <f>VLOOKUP(MOD(C2413,7),'CALENDAR INFO'!$G$5:$H$11,2)</f>
        <v>WED</v>
      </c>
      <c r="E2413" s="165">
        <v>3.62</v>
      </c>
      <c r="F2413" s="336">
        <v>3.58</v>
      </c>
      <c r="G2413" s="411">
        <f t="shared" si="270"/>
        <v>-4.0000000000000036E-2</v>
      </c>
      <c r="H2413" s="135"/>
      <c r="K2413" s="129" t="s">
        <v>19</v>
      </c>
      <c r="L2413" s="403">
        <f t="shared" si="271"/>
        <v>46211</v>
      </c>
      <c r="M2413" s="56" t="str">
        <f t="shared" si="272"/>
        <v>WED</v>
      </c>
      <c r="O2413" s="383">
        <f t="shared" si="276"/>
        <v>1</v>
      </c>
      <c r="P2413" s="392">
        <f t="shared" si="274"/>
        <v>1.0000994444444444</v>
      </c>
    </row>
    <row r="2414" spans="1:16">
      <c r="B2414" s="41"/>
      <c r="C2414" s="403">
        <f t="shared" si="273"/>
        <v>46212</v>
      </c>
      <c r="D2414" s="56" t="str">
        <f>VLOOKUP(MOD(C2414,7),'CALENDAR INFO'!$G$5:$H$11,2)</f>
        <v>THU</v>
      </c>
      <c r="E2414" s="165">
        <v>3.62</v>
      </c>
      <c r="F2414" s="336">
        <v>3.53</v>
      </c>
      <c r="G2414" s="411">
        <f t="shared" si="270"/>
        <v>-9.0000000000000302E-2</v>
      </c>
      <c r="H2414" s="15" t="s">
        <v>222</v>
      </c>
      <c r="I2414" s="147">
        <f ca="1">100-I2412</f>
        <v>96.371935483870971</v>
      </c>
      <c r="J2414" s="326">
        <f ca="1">100-J2412</f>
        <v>96.383870967741942</v>
      </c>
      <c r="K2414" s="126" t="s">
        <v>18</v>
      </c>
      <c r="L2414" s="403">
        <f t="shared" si="271"/>
        <v>46212</v>
      </c>
      <c r="M2414" s="56" t="str">
        <f t="shared" si="272"/>
        <v>THU</v>
      </c>
      <c r="O2414" s="383">
        <f t="shared" si="276"/>
        <v>1</v>
      </c>
      <c r="P2414" s="392">
        <f t="shared" si="274"/>
        <v>1.0000980555555556</v>
      </c>
    </row>
    <row r="2415" spans="1:16">
      <c r="B2415" s="41"/>
      <c r="C2415" s="403">
        <f t="shared" si="273"/>
        <v>46213</v>
      </c>
      <c r="D2415" s="56" t="str">
        <f>VLOOKUP(MOD(C2415,7),'CALENDAR INFO'!$G$5:$H$11,2)</f>
        <v>FRI</v>
      </c>
      <c r="E2415" s="165">
        <v>3.62</v>
      </c>
      <c r="F2415" s="336">
        <v>3.55</v>
      </c>
      <c r="G2415" s="411">
        <f t="shared" si="270"/>
        <v>-7.0000000000000284E-2</v>
      </c>
      <c r="I2415" s="171"/>
      <c r="J2415" s="172"/>
      <c r="K2415" s="126"/>
      <c r="L2415" s="403">
        <f t="shared" si="271"/>
        <v>46213</v>
      </c>
      <c r="M2415" s="56" t="str">
        <f t="shared" si="272"/>
        <v>FRI</v>
      </c>
      <c r="O2415" s="383">
        <f t="shared" si="276"/>
        <v>3</v>
      </c>
      <c r="P2415" s="392">
        <f t="shared" si="274"/>
        <v>1.0002958333333334</v>
      </c>
    </row>
    <row r="2416" spans="1:16">
      <c r="B2416" s="41"/>
      <c r="C2416" s="403">
        <f t="shared" si="273"/>
        <v>46214</v>
      </c>
      <c r="D2416" s="56" t="str">
        <f>VLOOKUP(MOD(C2416,7),'CALENDAR INFO'!$G$5:$H$11,2)</f>
        <v>SAT</v>
      </c>
      <c r="E2416" s="165">
        <v>3.62</v>
      </c>
      <c r="F2416" s="336">
        <v>3.55</v>
      </c>
      <c r="G2416" s="411">
        <f t="shared" si="270"/>
        <v>-7.0000000000000284E-2</v>
      </c>
      <c r="I2416" s="171"/>
      <c r="J2416" s="172"/>
      <c r="K2416" s="126"/>
      <c r="L2416" s="403">
        <f t="shared" si="271"/>
        <v>46214</v>
      </c>
      <c r="M2416" s="56" t="str">
        <f t="shared" si="272"/>
        <v>SAT</v>
      </c>
      <c r="O2416" s="383">
        <f t="shared" si="276"/>
        <v>0</v>
      </c>
      <c r="P2416" s="392">
        <f t="shared" si="274"/>
        <v>1</v>
      </c>
    </row>
    <row r="2417" spans="2:16">
      <c r="B2417" s="41"/>
      <c r="C2417" s="403">
        <f t="shared" si="273"/>
        <v>46215</v>
      </c>
      <c r="D2417" s="56" t="str">
        <f>VLOOKUP(MOD(C2417,7),'CALENDAR INFO'!$G$5:$H$11,2)</f>
        <v>SUN</v>
      </c>
      <c r="E2417" s="165">
        <v>3.62</v>
      </c>
      <c r="F2417" s="336">
        <v>3.55</v>
      </c>
      <c r="G2417" s="411">
        <f t="shared" si="270"/>
        <v>-7.0000000000000284E-2</v>
      </c>
      <c r="I2417" s="171"/>
      <c r="J2417" s="172"/>
      <c r="K2417" s="126"/>
      <c r="L2417" s="403">
        <f t="shared" si="271"/>
        <v>46215</v>
      </c>
      <c r="M2417" s="56" t="str">
        <f t="shared" si="272"/>
        <v>SUN</v>
      </c>
      <c r="O2417" s="383">
        <f t="shared" si="276"/>
        <v>0</v>
      </c>
      <c r="P2417" s="392">
        <f t="shared" si="274"/>
        <v>1</v>
      </c>
    </row>
    <row r="2418" spans="2:16">
      <c r="B2418" s="41"/>
      <c r="C2418" s="403">
        <f t="shared" si="273"/>
        <v>46216</v>
      </c>
      <c r="D2418" s="56" t="str">
        <f>VLOOKUP(MOD(C2418,7),'CALENDAR INFO'!$G$5:$H$11,2)</f>
        <v>MON</v>
      </c>
      <c r="E2418" s="165">
        <v>3.62</v>
      </c>
      <c r="F2418" s="336">
        <v>3.6</v>
      </c>
      <c r="G2418" s="411">
        <f t="shared" si="270"/>
        <v>-2.0000000000000018E-2</v>
      </c>
      <c r="I2418" s="171"/>
      <c r="J2418" s="172"/>
      <c r="K2418" s="126"/>
      <c r="L2418" s="403">
        <f t="shared" si="271"/>
        <v>46216</v>
      </c>
      <c r="M2418" s="56" t="str">
        <f t="shared" si="272"/>
        <v>MON</v>
      </c>
      <c r="O2418" s="383">
        <f t="shared" si="276"/>
        <v>1</v>
      </c>
      <c r="P2418" s="392">
        <f t="shared" si="274"/>
        <v>1.0001</v>
      </c>
    </row>
    <row r="2419" spans="2:16">
      <c r="B2419" s="41"/>
      <c r="C2419" s="403">
        <f t="shared" si="273"/>
        <v>46217</v>
      </c>
      <c r="D2419" s="56" t="str">
        <f>VLOOKUP(MOD(C2419,7),'CALENDAR INFO'!$G$5:$H$11,2)</f>
        <v>TUE</v>
      </c>
      <c r="E2419" s="165">
        <v>3.63</v>
      </c>
      <c r="F2419" s="336">
        <v>3.63</v>
      </c>
      <c r="G2419" s="411">
        <f t="shared" si="270"/>
        <v>0</v>
      </c>
      <c r="I2419" s="137"/>
      <c r="J2419" s="150"/>
      <c r="K2419" s="126"/>
      <c r="L2419" s="403">
        <f t="shared" si="271"/>
        <v>46217</v>
      </c>
      <c r="M2419" s="56" t="str">
        <f t="shared" si="272"/>
        <v>TUE</v>
      </c>
      <c r="O2419" s="383">
        <f t="shared" si="276"/>
        <v>1</v>
      </c>
      <c r="P2419" s="392">
        <f t="shared" si="274"/>
        <v>1.0001008333333334</v>
      </c>
    </row>
    <row r="2420" spans="2:16">
      <c r="B2420" s="41"/>
      <c r="C2420" s="403">
        <f t="shared" si="273"/>
        <v>46218</v>
      </c>
      <c r="D2420" s="56" t="str">
        <f>VLOOKUP(MOD(C2420,7),'CALENDAR INFO'!$G$5:$H$11,2)</f>
        <v>WED</v>
      </c>
      <c r="E2420" s="165">
        <v>3.63</v>
      </c>
      <c r="F2420" s="336">
        <v>3.64</v>
      </c>
      <c r="G2420" s="411">
        <f t="shared" si="270"/>
        <v>1.0000000000000231E-2</v>
      </c>
      <c r="K2420" s="126"/>
      <c r="L2420" s="403">
        <f t="shared" si="271"/>
        <v>46218</v>
      </c>
      <c r="M2420" s="56" t="str">
        <f t="shared" si="272"/>
        <v>WED</v>
      </c>
      <c r="O2420" s="383">
        <f t="shared" si="276"/>
        <v>1</v>
      </c>
      <c r="P2420" s="392">
        <f t="shared" si="274"/>
        <v>1.0001011111111111</v>
      </c>
    </row>
    <row r="2421" spans="2:16">
      <c r="B2421" s="41"/>
      <c r="C2421" s="403">
        <f t="shared" si="273"/>
        <v>46219</v>
      </c>
      <c r="D2421" s="56" t="str">
        <f>VLOOKUP(MOD(C2421,7),'CALENDAR INFO'!$G$5:$H$11,2)</f>
        <v>THU</v>
      </c>
      <c r="E2421" s="165">
        <v>3.63</v>
      </c>
      <c r="F2421" s="336">
        <v>3.62</v>
      </c>
      <c r="G2421" s="411">
        <f t="shared" si="270"/>
        <v>-9.9999999999997868E-3</v>
      </c>
      <c r="I2421" s="137"/>
      <c r="J2421" s="150"/>
      <c r="K2421" s="126"/>
      <c r="L2421" s="403">
        <f t="shared" si="271"/>
        <v>46219</v>
      </c>
      <c r="M2421" s="56" t="str">
        <f t="shared" si="272"/>
        <v>THU</v>
      </c>
      <c r="O2421" s="383">
        <f t="shared" si="276"/>
        <v>1</v>
      </c>
      <c r="P2421" s="392">
        <f t="shared" si="274"/>
        <v>1.0001005555555555</v>
      </c>
    </row>
    <row r="2422" spans="2:16">
      <c r="B2422" s="41"/>
      <c r="C2422" s="403">
        <f t="shared" si="273"/>
        <v>46220</v>
      </c>
      <c r="D2422" s="56" t="str">
        <f>VLOOKUP(MOD(C2422,7),'CALENDAR INFO'!$G$5:$H$11,2)</f>
        <v>FRI</v>
      </c>
      <c r="E2422" s="165">
        <v>3.63</v>
      </c>
      <c r="F2422" s="336">
        <v>3.59</v>
      </c>
      <c r="G2422" s="411">
        <f t="shared" si="270"/>
        <v>-4.0000000000000036E-2</v>
      </c>
      <c r="I2422" s="137"/>
      <c r="J2422" s="150"/>
      <c r="K2422" s="126"/>
      <c r="L2422" s="403">
        <f t="shared" si="271"/>
        <v>46220</v>
      </c>
      <c r="M2422" s="56" t="str">
        <f t="shared" si="272"/>
        <v>FRI</v>
      </c>
      <c r="O2422" s="383">
        <f t="shared" si="276"/>
        <v>3</v>
      </c>
      <c r="P2422" s="392">
        <f t="shared" si="274"/>
        <v>1.0002991666666667</v>
      </c>
    </row>
    <row r="2423" spans="2:16">
      <c r="B2423" s="41"/>
      <c r="C2423" s="403">
        <f t="shared" si="273"/>
        <v>46221</v>
      </c>
      <c r="D2423" s="56" t="str">
        <f>VLOOKUP(MOD(C2423,7),'CALENDAR INFO'!$G$5:$H$11,2)</f>
        <v>SAT</v>
      </c>
      <c r="E2423" s="165">
        <v>3.63</v>
      </c>
      <c r="F2423" s="336">
        <v>3.59</v>
      </c>
      <c r="G2423" s="411">
        <f t="shared" si="270"/>
        <v>-4.0000000000000036E-2</v>
      </c>
      <c r="I2423" s="311"/>
      <c r="J2423" s="312"/>
      <c r="K2423" s="126"/>
      <c r="L2423" s="403">
        <f t="shared" si="271"/>
        <v>46221</v>
      </c>
      <c r="M2423" s="56" t="str">
        <f t="shared" si="272"/>
        <v>SAT</v>
      </c>
      <c r="O2423" s="383">
        <f t="shared" si="276"/>
        <v>0</v>
      </c>
      <c r="P2423" s="392">
        <f t="shared" si="274"/>
        <v>1</v>
      </c>
    </row>
    <row r="2424" spans="2:16">
      <c r="B2424" s="41"/>
      <c r="C2424" s="403">
        <f t="shared" si="273"/>
        <v>46222</v>
      </c>
      <c r="D2424" s="56" t="str">
        <f>VLOOKUP(MOD(C2424,7),'CALENDAR INFO'!$G$5:$H$11,2)</f>
        <v>SUN</v>
      </c>
      <c r="E2424" s="165">
        <v>3.63</v>
      </c>
      <c r="F2424" s="336">
        <v>3.59</v>
      </c>
      <c r="G2424" s="411">
        <f t="shared" si="270"/>
        <v>-4.0000000000000036E-2</v>
      </c>
      <c r="I2424" s="141"/>
      <c r="J2424" s="158"/>
      <c r="K2424" s="126"/>
      <c r="L2424" s="403">
        <f t="shared" si="271"/>
        <v>46222</v>
      </c>
      <c r="M2424" s="56" t="str">
        <f t="shared" si="272"/>
        <v>SUN</v>
      </c>
      <c r="O2424" s="383">
        <f t="shared" si="276"/>
        <v>0</v>
      </c>
      <c r="P2424" s="392">
        <f t="shared" si="274"/>
        <v>1</v>
      </c>
    </row>
    <row r="2425" spans="2:16">
      <c r="B2425" s="41"/>
      <c r="C2425" s="403">
        <f t="shared" si="273"/>
        <v>46223</v>
      </c>
      <c r="D2425" s="56" t="str">
        <f>VLOOKUP(MOD(C2425,7),'CALENDAR INFO'!$G$5:$H$11,2)</f>
        <v>MON</v>
      </c>
      <c r="E2425" s="165">
        <v>3.63</v>
      </c>
      <c r="F2425" s="336">
        <v>3.57</v>
      </c>
      <c r="G2425" s="411">
        <f t="shared" si="270"/>
        <v>-6.0000000000000053E-2</v>
      </c>
      <c r="I2425" s="137"/>
      <c r="J2425" s="150"/>
      <c r="K2425" s="126"/>
      <c r="L2425" s="403">
        <f t="shared" si="271"/>
        <v>46223</v>
      </c>
      <c r="M2425" s="56" t="str">
        <f t="shared" si="272"/>
        <v>MON</v>
      </c>
      <c r="O2425" s="383">
        <f t="shared" si="276"/>
        <v>1</v>
      </c>
      <c r="P2425" s="392">
        <f t="shared" si="274"/>
        <v>1.0000991666666668</v>
      </c>
    </row>
    <row r="2426" spans="2:16">
      <c r="B2426" s="41"/>
      <c r="C2426" s="403">
        <f t="shared" si="273"/>
        <v>46224</v>
      </c>
      <c r="D2426" s="56" t="str">
        <f>VLOOKUP(MOD(C2426,7),'CALENDAR INFO'!$G$5:$H$11,2)</f>
        <v>TUE</v>
      </c>
      <c r="E2426" s="165">
        <v>3.63</v>
      </c>
      <c r="F2426" s="336">
        <v>3.61</v>
      </c>
      <c r="G2426" s="411">
        <f t="shared" si="270"/>
        <v>-2.0000000000000018E-2</v>
      </c>
      <c r="K2426" s="126"/>
      <c r="L2426" s="403">
        <f t="shared" si="271"/>
        <v>46224</v>
      </c>
      <c r="M2426" s="56" t="str">
        <f t="shared" si="272"/>
        <v>TUE</v>
      </c>
      <c r="O2426" s="383">
        <f t="shared" si="276"/>
        <v>1</v>
      </c>
      <c r="P2426" s="392">
        <f t="shared" si="274"/>
        <v>1.0001002777777779</v>
      </c>
    </row>
    <row r="2427" spans="2:16">
      <c r="B2427" s="41"/>
      <c r="C2427" s="403">
        <f t="shared" si="273"/>
        <v>46225</v>
      </c>
      <c r="D2427" s="56" t="str">
        <f>VLOOKUP(MOD(C2427,7),'CALENDAR INFO'!$G$5:$H$11,2)</f>
        <v>WED</v>
      </c>
      <c r="E2427" s="165">
        <v>3.63</v>
      </c>
      <c r="F2427" s="336">
        <v>3.62</v>
      </c>
      <c r="G2427" s="411">
        <f t="shared" si="270"/>
        <v>-9.9999999999997868E-3</v>
      </c>
      <c r="K2427" s="126" t="s">
        <v>19</v>
      </c>
      <c r="L2427" s="403">
        <f t="shared" si="271"/>
        <v>46225</v>
      </c>
      <c r="M2427" s="56" t="str">
        <f t="shared" si="272"/>
        <v>WED</v>
      </c>
      <c r="O2427" s="383">
        <f t="shared" si="276"/>
        <v>1</v>
      </c>
      <c r="P2427" s="392">
        <f t="shared" si="274"/>
        <v>1.0001005555555555</v>
      </c>
    </row>
    <row r="2428" spans="2:16">
      <c r="B2428" s="41"/>
      <c r="C2428" s="403">
        <f t="shared" si="273"/>
        <v>46226</v>
      </c>
      <c r="D2428" s="56" t="str">
        <f>VLOOKUP(MOD(C2428,7),'CALENDAR INFO'!$G$5:$H$11,2)</f>
        <v>THU</v>
      </c>
      <c r="E2428" s="165">
        <v>3.63</v>
      </c>
      <c r="F2428" s="336">
        <v>3.64</v>
      </c>
      <c r="G2428" s="411">
        <f t="shared" si="270"/>
        <v>1.0000000000000231E-2</v>
      </c>
      <c r="I2428" s="313"/>
      <c r="J2428" s="314"/>
      <c r="K2428" s="129" t="s">
        <v>18</v>
      </c>
      <c r="L2428" s="403">
        <f t="shared" si="271"/>
        <v>46226</v>
      </c>
      <c r="M2428" s="56" t="str">
        <f t="shared" si="272"/>
        <v>THU</v>
      </c>
      <c r="O2428" s="383">
        <f t="shared" si="276"/>
        <v>1</v>
      </c>
      <c r="P2428" s="392">
        <f t="shared" si="274"/>
        <v>1.0001011111111111</v>
      </c>
    </row>
    <row r="2429" spans="2:16">
      <c r="B2429" s="41"/>
      <c r="C2429" s="403">
        <f t="shared" si="273"/>
        <v>46227</v>
      </c>
      <c r="D2429" s="56" t="str">
        <f>VLOOKUP(MOD(C2429,7),'CALENDAR INFO'!$G$5:$H$11,2)</f>
        <v>FRI</v>
      </c>
      <c r="E2429" s="165">
        <v>3.63</v>
      </c>
      <c r="F2429" s="336">
        <v>3.64</v>
      </c>
      <c r="G2429" s="411">
        <f t="shared" si="270"/>
        <v>1.0000000000000231E-2</v>
      </c>
      <c r="I2429" s="115"/>
      <c r="J2429" s="159"/>
      <c r="K2429" s="129"/>
      <c r="L2429" s="403">
        <f t="shared" si="271"/>
        <v>46227</v>
      </c>
      <c r="M2429" s="56" t="str">
        <f t="shared" si="272"/>
        <v>FRI</v>
      </c>
      <c r="O2429" s="383">
        <f t="shared" si="276"/>
        <v>3</v>
      </c>
      <c r="P2429" s="392">
        <f t="shared" si="274"/>
        <v>1.0003033333333333</v>
      </c>
    </row>
    <row r="2430" spans="2:16">
      <c r="B2430" s="41"/>
      <c r="C2430" s="403">
        <f t="shared" si="273"/>
        <v>46228</v>
      </c>
      <c r="D2430" s="56" t="str">
        <f>VLOOKUP(MOD(C2430,7),'CALENDAR INFO'!$G$5:$H$11,2)</f>
        <v>SAT</v>
      </c>
      <c r="E2430" s="165">
        <v>3.63</v>
      </c>
      <c r="F2430" s="336">
        <v>3.64</v>
      </c>
      <c r="G2430" s="411">
        <f t="shared" si="270"/>
        <v>1.0000000000000231E-2</v>
      </c>
      <c r="I2430" s="137"/>
      <c r="J2430" s="150"/>
      <c r="K2430" s="129"/>
      <c r="L2430" s="403">
        <f t="shared" si="271"/>
        <v>46228</v>
      </c>
      <c r="M2430" s="56" t="str">
        <f t="shared" si="272"/>
        <v>SAT</v>
      </c>
      <c r="O2430" s="383">
        <f t="shared" si="276"/>
        <v>0</v>
      </c>
      <c r="P2430" s="392">
        <f t="shared" si="274"/>
        <v>1</v>
      </c>
    </row>
    <row r="2431" spans="2:16">
      <c r="B2431" s="41"/>
      <c r="C2431" s="403">
        <f t="shared" si="273"/>
        <v>46229</v>
      </c>
      <c r="D2431" s="56" t="str">
        <f>VLOOKUP(MOD(C2431,7),'CALENDAR INFO'!$G$5:$H$11,2)</f>
        <v>SUN</v>
      </c>
      <c r="E2431" s="165">
        <v>3.63</v>
      </c>
      <c r="F2431" s="336">
        <v>3.64</v>
      </c>
      <c r="G2431" s="411">
        <f t="shared" si="270"/>
        <v>1.0000000000000231E-2</v>
      </c>
      <c r="I2431" s="137"/>
      <c r="J2431" s="150"/>
      <c r="K2431" s="129"/>
      <c r="L2431" s="403">
        <f t="shared" si="271"/>
        <v>46229</v>
      </c>
      <c r="M2431" s="56" t="str">
        <f t="shared" si="272"/>
        <v>SUN</v>
      </c>
      <c r="O2431" s="383">
        <f t="shared" si="276"/>
        <v>0</v>
      </c>
      <c r="P2431" s="392">
        <f t="shared" si="274"/>
        <v>1</v>
      </c>
    </row>
    <row r="2432" spans="2:16">
      <c r="B2432" s="41"/>
      <c r="C2432" s="403">
        <f t="shared" si="273"/>
        <v>46230</v>
      </c>
      <c r="D2432" s="56" t="str">
        <f>VLOOKUP(MOD(C2432,7),'CALENDAR INFO'!$G$5:$H$11,2)</f>
        <v>MON</v>
      </c>
      <c r="E2432" s="165">
        <v>3.63</v>
      </c>
      <c r="F2432" s="336">
        <v>3.64</v>
      </c>
      <c r="G2432" s="411">
        <f t="shared" si="270"/>
        <v>1.0000000000000231E-2</v>
      </c>
      <c r="I2432" s="171"/>
      <c r="J2432" s="172"/>
      <c r="K2432" s="129"/>
      <c r="L2432" s="403">
        <f t="shared" si="271"/>
        <v>46230</v>
      </c>
      <c r="M2432" s="56" t="str">
        <f t="shared" si="272"/>
        <v>MON</v>
      </c>
      <c r="O2432" s="383">
        <f t="shared" si="276"/>
        <v>1</v>
      </c>
      <c r="P2432" s="392">
        <f t="shared" si="274"/>
        <v>1.0001011111111111</v>
      </c>
    </row>
    <row r="2433" spans="1:16">
      <c r="B2433" s="41"/>
      <c r="C2433" s="403">
        <f t="shared" si="273"/>
        <v>46231</v>
      </c>
      <c r="D2433" s="56" t="str">
        <f>VLOOKUP(MOD(C2433,7),'CALENDAR INFO'!$G$5:$H$11,2)</f>
        <v>TUE</v>
      </c>
      <c r="E2433" s="165">
        <v>3.63</v>
      </c>
      <c r="F2433" s="336">
        <v>3.65</v>
      </c>
      <c r="G2433" s="411">
        <f t="shared" si="270"/>
        <v>2.0000000000000018E-2</v>
      </c>
      <c r="I2433" s="137"/>
      <c r="J2433" s="150"/>
      <c r="K2433" s="129"/>
      <c r="L2433" s="403">
        <f t="shared" si="271"/>
        <v>46231</v>
      </c>
      <c r="M2433" s="56" t="str">
        <f t="shared" si="272"/>
        <v>TUE</v>
      </c>
      <c r="N2433" s="116" t="s">
        <v>20</v>
      </c>
      <c r="O2433" s="383">
        <f t="shared" si="276"/>
        <v>1</v>
      </c>
      <c r="P2433" s="392">
        <f t="shared" si="274"/>
        <v>1.000101388888889</v>
      </c>
    </row>
    <row r="2434" spans="1:16">
      <c r="B2434" s="41"/>
      <c r="C2434" s="403">
        <f t="shared" si="273"/>
        <v>46232</v>
      </c>
      <c r="D2434" s="56" t="str">
        <f>VLOOKUP(MOD(C2434,7),'CALENDAR INFO'!$G$5:$H$11,2)</f>
        <v>WED</v>
      </c>
      <c r="E2434" s="165">
        <v>3.63</v>
      </c>
      <c r="F2434" s="336">
        <v>3.65</v>
      </c>
      <c r="G2434" s="411">
        <f t="shared" si="270"/>
        <v>2.0000000000000018E-2</v>
      </c>
      <c r="K2434" s="129"/>
      <c r="L2434" s="403">
        <f t="shared" si="271"/>
        <v>46232</v>
      </c>
      <c r="M2434" s="56" t="str">
        <f t="shared" si="272"/>
        <v>WED</v>
      </c>
      <c r="N2434" s="116" t="s">
        <v>20</v>
      </c>
      <c r="O2434" s="383">
        <f t="shared" si="276"/>
        <v>1</v>
      </c>
      <c r="P2434" s="392">
        <f t="shared" si="274"/>
        <v>1.000101388888889</v>
      </c>
    </row>
    <row r="2435" spans="1:16">
      <c r="A2435" s="238"/>
      <c r="B2435" s="239"/>
      <c r="C2435" s="403">
        <f t="shared" si="273"/>
        <v>46233</v>
      </c>
      <c r="D2435" s="56" t="str">
        <f>VLOOKUP(MOD(C2435,7),'CALENDAR INFO'!$G$5:$H$11,2)</f>
        <v>THU</v>
      </c>
      <c r="E2435" s="165">
        <v>3.63</v>
      </c>
      <c r="F2435" s="336">
        <v>3.65</v>
      </c>
      <c r="G2435" s="411">
        <f t="shared" ref="G2435:G2498" si="277">F2435-E2435</f>
        <v>2.0000000000000018E-2</v>
      </c>
      <c r="K2435" s="129"/>
      <c r="L2435" s="403">
        <f t="shared" ref="L2435:L2498" si="278">C2435</f>
        <v>46233</v>
      </c>
      <c r="M2435" s="56" t="str">
        <f t="shared" ref="M2435:M2498" si="279">D2435</f>
        <v>THU</v>
      </c>
      <c r="O2435" s="383">
        <f t="shared" si="276"/>
        <v>1</v>
      </c>
      <c r="P2435" s="392">
        <f t="shared" si="274"/>
        <v>1.000101388888889</v>
      </c>
    </row>
    <row r="2436" spans="1:16" ht="15.75" thickBot="1">
      <c r="A2436" s="316"/>
      <c r="B2436" s="317"/>
      <c r="C2436" s="404">
        <f t="shared" ref="C2436:C2499" si="280">C2435+1</f>
        <v>46234</v>
      </c>
      <c r="D2436" s="64" t="str">
        <f>VLOOKUP(MOD(C2436,7),'CALENDAR INFO'!$G$5:$H$11,2)</f>
        <v>FRI</v>
      </c>
      <c r="E2436" s="166">
        <v>3.63</v>
      </c>
      <c r="F2436" s="337">
        <v>3.66</v>
      </c>
      <c r="G2436" s="412">
        <f t="shared" si="277"/>
        <v>3.0000000000000249E-2</v>
      </c>
      <c r="H2436" s="274"/>
      <c r="I2436" s="274"/>
      <c r="J2436" s="275"/>
      <c r="K2436" s="84"/>
      <c r="L2436" s="404">
        <f t="shared" si="278"/>
        <v>46234</v>
      </c>
      <c r="M2436" s="64" t="str">
        <f t="shared" si="279"/>
        <v>FRI</v>
      </c>
      <c r="N2436" s="90"/>
      <c r="O2436" s="382">
        <f t="shared" si="276"/>
        <v>3</v>
      </c>
      <c r="P2436" s="388">
        <f t="shared" si="274"/>
        <v>1.000305</v>
      </c>
    </row>
    <row r="2437" spans="1:16">
      <c r="A2437" s="238"/>
      <c r="B2437" s="239"/>
      <c r="C2437" s="403">
        <f t="shared" si="280"/>
        <v>46235</v>
      </c>
      <c r="D2437" s="56" t="str">
        <f>VLOOKUP(MOD(C2437,7),'CALENDAR INFO'!$G$5:$H$11,2)</f>
        <v>SAT</v>
      </c>
      <c r="E2437" s="165">
        <v>3.63</v>
      </c>
      <c r="F2437" s="336">
        <v>3.66</v>
      </c>
      <c r="G2437" s="411">
        <f t="shared" si="277"/>
        <v>3.0000000000000249E-2</v>
      </c>
      <c r="H2437" s="15" t="s">
        <v>149</v>
      </c>
      <c r="I2437" s="15">
        <f>ROW(I2437)</f>
        <v>2437</v>
      </c>
      <c r="J2437" s="138">
        <f>I2437</f>
        <v>2437</v>
      </c>
      <c r="K2437" s="129"/>
      <c r="L2437" s="403">
        <f t="shared" si="278"/>
        <v>46235</v>
      </c>
      <c r="M2437" s="56" t="str">
        <f t="shared" si="279"/>
        <v>SAT</v>
      </c>
      <c r="O2437" s="383">
        <f t="shared" si="276"/>
        <v>0</v>
      </c>
      <c r="P2437" s="392">
        <f t="shared" si="274"/>
        <v>1</v>
      </c>
    </row>
    <row r="2438" spans="1:16">
      <c r="A2438" s="71"/>
      <c r="B2438" s="176"/>
      <c r="C2438" s="403">
        <f t="shared" si="280"/>
        <v>46236</v>
      </c>
      <c r="D2438" s="56" t="str">
        <f>VLOOKUP(MOD(C2438,7),'CALENDAR INFO'!$G$5:$H$11,2)</f>
        <v>SUN</v>
      </c>
      <c r="E2438" s="165">
        <v>3.63</v>
      </c>
      <c r="F2438" s="336">
        <v>3.66</v>
      </c>
      <c r="G2438" s="411">
        <f t="shared" si="277"/>
        <v>3.0000000000000249E-2</v>
      </c>
      <c r="H2438" s="376" t="s">
        <v>210</v>
      </c>
      <c r="I2438" s="15">
        <f>VLOOKUP(MONTH($C2437),'CALENDAR INFO'!$J$5:$K$16,2)</f>
        <v>31</v>
      </c>
      <c r="J2438" s="138">
        <f>I2438</f>
        <v>31</v>
      </c>
      <c r="K2438" s="129"/>
      <c r="L2438" s="403">
        <f t="shared" si="278"/>
        <v>46236</v>
      </c>
      <c r="M2438" s="56" t="str">
        <f t="shared" si="279"/>
        <v>SUN</v>
      </c>
      <c r="O2438" s="383">
        <f t="shared" si="276"/>
        <v>0</v>
      </c>
      <c r="P2438" s="392">
        <f t="shared" si="274"/>
        <v>1</v>
      </c>
    </row>
    <row r="2439" spans="1:16">
      <c r="A2439" s="71"/>
      <c r="B2439" s="176"/>
      <c r="C2439" s="403">
        <f t="shared" si="280"/>
        <v>46237</v>
      </c>
      <c r="D2439" s="56" t="str">
        <f>VLOOKUP(MOD(C2439,7),'CALENDAR INFO'!$G$5:$H$11,2)</f>
        <v>MON</v>
      </c>
      <c r="E2439" s="165">
        <v>3.63</v>
      </c>
      <c r="F2439" s="336">
        <v>3.65</v>
      </c>
      <c r="G2439" s="411">
        <f t="shared" si="277"/>
        <v>2.0000000000000018E-2</v>
      </c>
      <c r="H2439" s="376" t="s">
        <v>211</v>
      </c>
      <c r="I2439" s="15">
        <f>I2438+I2437-1</f>
        <v>2467</v>
      </c>
      <c r="J2439" s="138">
        <f>I2439</f>
        <v>2467</v>
      </c>
      <c r="K2439" s="129"/>
      <c r="L2439" s="403">
        <f t="shared" si="278"/>
        <v>46237</v>
      </c>
      <c r="M2439" s="56" t="str">
        <f t="shared" si="279"/>
        <v>MON</v>
      </c>
      <c r="O2439" s="383">
        <f t="shared" si="276"/>
        <v>1</v>
      </c>
      <c r="P2439" s="392">
        <f t="shared" si="274"/>
        <v>1.000101388888889</v>
      </c>
    </row>
    <row r="2440" spans="1:16">
      <c r="A2440" s="71"/>
      <c r="B2440" s="176"/>
      <c r="C2440" s="403">
        <f t="shared" si="280"/>
        <v>46238</v>
      </c>
      <c r="D2440" s="56" t="str">
        <f>VLOOKUP(MOD(C2440,7),'CALENDAR INFO'!$G$5:$H$11,2)</f>
        <v>TUE</v>
      </c>
      <c r="E2440" s="165">
        <v>3.63</v>
      </c>
      <c r="F2440" s="336">
        <v>3.66</v>
      </c>
      <c r="G2440" s="411">
        <f t="shared" si="277"/>
        <v>3.0000000000000249E-2</v>
      </c>
      <c r="K2440" s="129"/>
      <c r="L2440" s="403">
        <f t="shared" si="278"/>
        <v>46238</v>
      </c>
      <c r="M2440" s="56" t="str">
        <f t="shared" si="279"/>
        <v>TUE</v>
      </c>
      <c r="O2440" s="383">
        <f t="shared" si="276"/>
        <v>1</v>
      </c>
      <c r="P2440" s="392">
        <f t="shared" si="274"/>
        <v>1.0001016666666667</v>
      </c>
    </row>
    <row r="2441" spans="1:16">
      <c r="A2441" s="71"/>
      <c r="B2441" s="176"/>
      <c r="C2441" s="403">
        <f t="shared" si="280"/>
        <v>46239</v>
      </c>
      <c r="D2441" s="56" t="str">
        <f>VLOOKUP(MOD(C2441,7),'CALENDAR INFO'!$G$5:$H$11,2)</f>
        <v>WED</v>
      </c>
      <c r="E2441" s="165">
        <v>3.63</v>
      </c>
      <c r="F2441" s="336">
        <v>3.64</v>
      </c>
      <c r="G2441" s="411">
        <f t="shared" si="277"/>
        <v>1.0000000000000231E-2</v>
      </c>
      <c r="H2441" s="15" t="s">
        <v>150</v>
      </c>
      <c r="I2441" s="137" t="str">
        <f>_xlfn.CONCAT(ADDRESS(I2437,5),":",ADDRESS(I2439,5))</f>
        <v>$E$2437:$E$2467</v>
      </c>
      <c r="J2441" s="150" t="str">
        <f>_xlfn.CONCAT(ADDRESS(J2437,6),":",ADDRESS(J2439,6))</f>
        <v>$F$2437:$F$2467</v>
      </c>
      <c r="K2441" s="129" t="s">
        <v>19</v>
      </c>
      <c r="L2441" s="403">
        <f t="shared" si="278"/>
        <v>46239</v>
      </c>
      <c r="M2441" s="56" t="str">
        <f t="shared" si="279"/>
        <v>WED</v>
      </c>
      <c r="O2441" s="383">
        <f t="shared" ref="O2441:O2470" si="281">IF(MOD(C2441,7)&lt;2,0,IF(MOD(C2441,7)=6,3,1))</f>
        <v>1</v>
      </c>
      <c r="P2441" s="392">
        <f t="shared" si="274"/>
        <v>1.0001011111111111</v>
      </c>
    </row>
    <row r="2442" spans="1:16">
      <c r="A2442" s="71"/>
      <c r="B2442" s="176"/>
      <c r="C2442" s="403">
        <f t="shared" si="280"/>
        <v>46240</v>
      </c>
      <c r="D2442" s="56" t="str">
        <f>VLOOKUP(MOD(C2442,7),'CALENDAR INFO'!$G$5:$H$11,2)</f>
        <v>THU</v>
      </c>
      <c r="E2442" s="165">
        <v>3.63</v>
      </c>
      <c r="F2442" s="336">
        <v>3.65</v>
      </c>
      <c r="G2442" s="411">
        <f t="shared" si="277"/>
        <v>2.0000000000000018E-2</v>
      </c>
      <c r="K2442" s="126" t="s">
        <v>18</v>
      </c>
      <c r="L2442" s="403">
        <f t="shared" si="278"/>
        <v>46240</v>
      </c>
      <c r="M2442" s="56" t="str">
        <f t="shared" si="279"/>
        <v>THU</v>
      </c>
      <c r="O2442" s="383">
        <f t="shared" si="281"/>
        <v>1</v>
      </c>
      <c r="P2442" s="392">
        <f t="shared" si="274"/>
        <v>1.000101388888889</v>
      </c>
    </row>
    <row r="2443" spans="1:16">
      <c r="A2443" s="71"/>
      <c r="B2443" s="176"/>
      <c r="C2443" s="403">
        <f t="shared" si="280"/>
        <v>46241</v>
      </c>
      <c r="D2443" s="56" t="str">
        <f>VLOOKUP(MOD(C2443,7),'CALENDAR INFO'!$G$5:$H$11,2)</f>
        <v>FRI</v>
      </c>
      <c r="E2443" s="165">
        <v>3.63</v>
      </c>
      <c r="F2443" s="336">
        <v>3.62</v>
      </c>
      <c r="G2443" s="411">
        <f t="shared" si="277"/>
        <v>-9.9999999999997868E-3</v>
      </c>
      <c r="H2443" s="376" t="s">
        <v>221</v>
      </c>
      <c r="I2443" s="147">
        <f ca="1">AVERAGE(INDIRECT(I2441))</f>
        <v>3.6299999999999986</v>
      </c>
      <c r="J2443" s="326">
        <f ca="1">AVERAGE(INDIRECT(J2441))</f>
        <v>3.6412903225806463</v>
      </c>
      <c r="K2443" s="126"/>
      <c r="L2443" s="403">
        <f t="shared" si="278"/>
        <v>46241</v>
      </c>
      <c r="M2443" s="56" t="str">
        <f t="shared" si="279"/>
        <v>FRI</v>
      </c>
      <c r="O2443" s="383">
        <f t="shared" si="281"/>
        <v>3</v>
      </c>
      <c r="P2443" s="392">
        <f t="shared" si="274"/>
        <v>1.0003016666666666</v>
      </c>
    </row>
    <row r="2444" spans="1:16">
      <c r="A2444" s="71"/>
      <c r="B2444" s="176"/>
      <c r="C2444" s="403">
        <f t="shared" si="280"/>
        <v>46242</v>
      </c>
      <c r="D2444" s="56" t="str">
        <f>VLOOKUP(MOD(C2444,7),'CALENDAR INFO'!$G$5:$H$11,2)</f>
        <v>SAT</v>
      </c>
      <c r="E2444" s="165">
        <v>3.63</v>
      </c>
      <c r="F2444" s="336">
        <v>3.62</v>
      </c>
      <c r="G2444" s="411">
        <f t="shared" si="277"/>
        <v>-9.9999999999997868E-3</v>
      </c>
      <c r="H2444" s="135"/>
      <c r="K2444" s="126"/>
      <c r="L2444" s="403">
        <f t="shared" si="278"/>
        <v>46242</v>
      </c>
      <c r="M2444" s="56" t="str">
        <f t="shared" si="279"/>
        <v>SAT</v>
      </c>
      <c r="O2444" s="383">
        <f t="shared" si="281"/>
        <v>0</v>
      </c>
      <c r="P2444" s="392">
        <f t="shared" si="274"/>
        <v>1</v>
      </c>
    </row>
    <row r="2445" spans="1:16">
      <c r="A2445" s="71"/>
      <c r="B2445" s="176"/>
      <c r="C2445" s="403">
        <f t="shared" si="280"/>
        <v>46243</v>
      </c>
      <c r="D2445" s="56" t="str">
        <f>VLOOKUP(MOD(C2445,7),'CALENDAR INFO'!$G$5:$H$11,2)</f>
        <v>SUN</v>
      </c>
      <c r="E2445" s="165">
        <v>3.63</v>
      </c>
      <c r="F2445" s="336">
        <v>3.62</v>
      </c>
      <c r="G2445" s="411">
        <f t="shared" si="277"/>
        <v>-9.9999999999997868E-3</v>
      </c>
      <c r="H2445" s="15" t="s">
        <v>222</v>
      </c>
      <c r="I2445" s="147">
        <f ca="1">100-I2443</f>
        <v>96.37</v>
      </c>
      <c r="J2445" s="326">
        <f ca="1">100-J2443</f>
        <v>96.358709677419355</v>
      </c>
      <c r="K2445" s="126"/>
      <c r="L2445" s="403">
        <f t="shared" si="278"/>
        <v>46243</v>
      </c>
      <c r="M2445" s="56" t="str">
        <f t="shared" si="279"/>
        <v>SUN</v>
      </c>
      <c r="O2445" s="383">
        <f t="shared" si="281"/>
        <v>0</v>
      </c>
      <c r="P2445" s="392">
        <f t="shared" si="274"/>
        <v>1</v>
      </c>
    </row>
    <row r="2446" spans="1:16">
      <c r="A2446" s="71"/>
      <c r="B2446" s="176"/>
      <c r="C2446" s="403">
        <f t="shared" si="280"/>
        <v>46244</v>
      </c>
      <c r="D2446" s="56" t="str">
        <f>VLOOKUP(MOD(C2446,7),'CALENDAR INFO'!$G$5:$H$11,2)</f>
        <v>MON</v>
      </c>
      <c r="E2446" s="165">
        <v>3.63</v>
      </c>
      <c r="F2446" s="336">
        <v>3.63</v>
      </c>
      <c r="G2446" s="411">
        <f t="shared" si="277"/>
        <v>0</v>
      </c>
      <c r="I2446" s="137"/>
      <c r="J2446" s="150"/>
      <c r="K2446" s="126"/>
      <c r="L2446" s="403">
        <f t="shared" si="278"/>
        <v>46244</v>
      </c>
      <c r="M2446" s="56" t="str">
        <f t="shared" si="279"/>
        <v>MON</v>
      </c>
      <c r="O2446" s="383">
        <f t="shared" si="281"/>
        <v>1</v>
      </c>
      <c r="P2446" s="392">
        <f t="shared" si="274"/>
        <v>1.0001008333333334</v>
      </c>
    </row>
    <row r="2447" spans="1:16">
      <c r="A2447" s="71"/>
      <c r="B2447" s="176"/>
      <c r="C2447" s="403">
        <f t="shared" si="280"/>
        <v>46245</v>
      </c>
      <c r="D2447" s="56" t="str">
        <f>VLOOKUP(MOD(C2447,7),'CALENDAR INFO'!$G$5:$H$11,2)</f>
        <v>TUE</v>
      </c>
      <c r="E2447" s="165">
        <v>3.63</v>
      </c>
      <c r="F2447" s="336">
        <v>3.64</v>
      </c>
      <c r="G2447" s="411">
        <f t="shared" si="277"/>
        <v>1.0000000000000231E-2</v>
      </c>
      <c r="I2447" s="171"/>
      <c r="J2447" s="172"/>
      <c r="K2447" s="126"/>
      <c r="L2447" s="403">
        <f t="shared" si="278"/>
        <v>46245</v>
      </c>
      <c r="M2447" s="56" t="str">
        <f t="shared" si="279"/>
        <v>TUE</v>
      </c>
      <c r="O2447" s="383">
        <f t="shared" si="281"/>
        <v>1</v>
      </c>
      <c r="P2447" s="392">
        <f t="shared" si="274"/>
        <v>1.0001011111111111</v>
      </c>
    </row>
    <row r="2448" spans="1:16">
      <c r="A2448" s="71"/>
      <c r="B2448" s="176"/>
      <c r="C2448" s="403">
        <f t="shared" si="280"/>
        <v>46246</v>
      </c>
      <c r="D2448" s="56" t="str">
        <f>VLOOKUP(MOD(C2448,7),'CALENDAR INFO'!$G$5:$H$11,2)</f>
        <v>WED</v>
      </c>
      <c r="E2448" s="165">
        <v>3.63</v>
      </c>
      <c r="F2448" s="336">
        <v>3.62</v>
      </c>
      <c r="G2448" s="411">
        <f t="shared" si="277"/>
        <v>-9.9999999999997868E-3</v>
      </c>
      <c r="I2448" s="171"/>
      <c r="J2448" s="172"/>
      <c r="K2448" s="126"/>
      <c r="L2448" s="403">
        <f t="shared" si="278"/>
        <v>46246</v>
      </c>
      <c r="M2448" s="56" t="str">
        <f t="shared" si="279"/>
        <v>WED</v>
      </c>
      <c r="O2448" s="383">
        <f t="shared" si="281"/>
        <v>1</v>
      </c>
      <c r="P2448" s="392">
        <f t="shared" si="274"/>
        <v>1.0001005555555555</v>
      </c>
    </row>
    <row r="2449" spans="1:16">
      <c r="A2449" s="71"/>
      <c r="B2449" s="176"/>
      <c r="C2449" s="403">
        <f t="shared" si="280"/>
        <v>46247</v>
      </c>
      <c r="D2449" s="56" t="str">
        <f>VLOOKUP(MOD(C2449,7),'CALENDAR INFO'!$G$5:$H$11,2)</f>
        <v>THU</v>
      </c>
      <c r="E2449" s="165">
        <v>3.63</v>
      </c>
      <c r="F2449" s="336">
        <v>3.62</v>
      </c>
      <c r="G2449" s="411">
        <f t="shared" si="277"/>
        <v>-9.9999999999997868E-3</v>
      </c>
      <c r="I2449" s="171"/>
      <c r="J2449" s="172"/>
      <c r="K2449" s="126"/>
      <c r="L2449" s="403">
        <f t="shared" si="278"/>
        <v>46247</v>
      </c>
      <c r="M2449" s="56" t="str">
        <f t="shared" si="279"/>
        <v>THU</v>
      </c>
      <c r="O2449" s="383">
        <f t="shared" si="281"/>
        <v>1</v>
      </c>
      <c r="P2449" s="392">
        <f t="shared" si="274"/>
        <v>1.0001005555555555</v>
      </c>
    </row>
    <row r="2450" spans="1:16">
      <c r="A2450" s="71"/>
      <c r="B2450" s="176"/>
      <c r="C2450" s="403">
        <f t="shared" si="280"/>
        <v>46248</v>
      </c>
      <c r="D2450" s="56" t="str">
        <f>VLOOKUP(MOD(C2450,7),'CALENDAR INFO'!$G$5:$H$11,2)</f>
        <v>FRI</v>
      </c>
      <c r="E2450" s="165">
        <v>3.63</v>
      </c>
      <c r="F2450" s="336">
        <v>3.62</v>
      </c>
      <c r="G2450" s="411">
        <f t="shared" si="277"/>
        <v>-9.9999999999997868E-3</v>
      </c>
      <c r="I2450" s="137"/>
      <c r="J2450" s="150"/>
      <c r="K2450" s="126"/>
      <c r="L2450" s="403">
        <f t="shared" si="278"/>
        <v>46248</v>
      </c>
      <c r="M2450" s="56" t="str">
        <f t="shared" si="279"/>
        <v>FRI</v>
      </c>
      <c r="O2450" s="383">
        <f t="shared" si="281"/>
        <v>3</v>
      </c>
      <c r="P2450" s="392">
        <f t="shared" si="274"/>
        <v>1.0003016666666666</v>
      </c>
    </row>
    <row r="2451" spans="1:16">
      <c r="A2451" s="71"/>
      <c r="B2451" s="176"/>
      <c r="C2451" s="403">
        <f t="shared" si="280"/>
        <v>46249</v>
      </c>
      <c r="D2451" s="56" t="str">
        <f>VLOOKUP(MOD(C2451,7),'CALENDAR INFO'!$G$5:$H$11,2)</f>
        <v>SAT</v>
      </c>
      <c r="E2451" s="165">
        <v>3.63</v>
      </c>
      <c r="F2451" s="336">
        <v>3.62</v>
      </c>
      <c r="G2451" s="411">
        <f t="shared" si="277"/>
        <v>-9.9999999999997868E-3</v>
      </c>
      <c r="I2451" s="137"/>
      <c r="J2451" s="150"/>
      <c r="K2451" s="126"/>
      <c r="L2451" s="403">
        <f t="shared" si="278"/>
        <v>46249</v>
      </c>
      <c r="M2451" s="56" t="str">
        <f t="shared" si="279"/>
        <v>SAT</v>
      </c>
      <c r="O2451" s="383">
        <f t="shared" si="281"/>
        <v>0</v>
      </c>
      <c r="P2451" s="392">
        <f t="shared" ref="P2451:P2514" si="282">1+(O2451/360)*(MAX(F2451,B2451)/100)</f>
        <v>1</v>
      </c>
    </row>
    <row r="2452" spans="1:16">
      <c r="A2452" s="71"/>
      <c r="B2452" s="176"/>
      <c r="C2452" s="403">
        <f t="shared" si="280"/>
        <v>46250</v>
      </c>
      <c r="D2452" s="56" t="str">
        <f>VLOOKUP(MOD(C2452,7),'CALENDAR INFO'!$G$5:$H$11,2)</f>
        <v>SUN</v>
      </c>
      <c r="E2452" s="165">
        <v>3.63</v>
      </c>
      <c r="F2452" s="336">
        <v>3.62</v>
      </c>
      <c r="G2452" s="411">
        <f t="shared" si="277"/>
        <v>-9.9999999999997868E-3</v>
      </c>
      <c r="I2452" s="137"/>
      <c r="J2452" s="150"/>
      <c r="K2452" s="126"/>
      <c r="L2452" s="403">
        <f t="shared" si="278"/>
        <v>46250</v>
      </c>
      <c r="M2452" s="56" t="str">
        <f t="shared" si="279"/>
        <v>SUN</v>
      </c>
      <c r="O2452" s="383">
        <f t="shared" si="281"/>
        <v>0</v>
      </c>
      <c r="P2452" s="392">
        <f t="shared" si="282"/>
        <v>1</v>
      </c>
    </row>
    <row r="2453" spans="1:16">
      <c r="A2453" s="71"/>
      <c r="B2453" s="176"/>
      <c r="C2453" s="403">
        <f t="shared" si="280"/>
        <v>46251</v>
      </c>
      <c r="D2453" s="56" t="str">
        <f>VLOOKUP(MOD(C2453,7),'CALENDAR INFO'!$G$5:$H$11,2)</f>
        <v>MON</v>
      </c>
      <c r="E2453" s="165">
        <v>3.63</v>
      </c>
      <c r="F2453" s="336">
        <v>3.66</v>
      </c>
      <c r="G2453" s="411">
        <f t="shared" si="277"/>
        <v>3.0000000000000249E-2</v>
      </c>
      <c r="I2453" s="137"/>
      <c r="J2453" s="150"/>
      <c r="K2453" s="126"/>
      <c r="L2453" s="403">
        <f t="shared" si="278"/>
        <v>46251</v>
      </c>
      <c r="M2453" s="56" t="str">
        <f t="shared" si="279"/>
        <v>MON</v>
      </c>
      <c r="O2453" s="383">
        <f t="shared" si="281"/>
        <v>1</v>
      </c>
      <c r="P2453" s="392">
        <f t="shared" si="282"/>
        <v>1.0001016666666667</v>
      </c>
    </row>
    <row r="2454" spans="1:16">
      <c r="A2454" s="71"/>
      <c r="B2454" s="176"/>
      <c r="C2454" s="403">
        <f t="shared" si="280"/>
        <v>46252</v>
      </c>
      <c r="D2454" s="56" t="str">
        <f>VLOOKUP(MOD(C2454,7),'CALENDAR INFO'!$G$5:$H$11,2)</f>
        <v>TUE</v>
      </c>
      <c r="E2454" s="165">
        <v>3.63</v>
      </c>
      <c r="F2454" s="336">
        <v>3.65</v>
      </c>
      <c r="G2454" s="411">
        <f t="shared" si="277"/>
        <v>2.0000000000000018E-2</v>
      </c>
      <c r="I2454" s="311"/>
      <c r="J2454" s="312"/>
      <c r="K2454" s="126"/>
      <c r="L2454" s="403">
        <f t="shared" si="278"/>
        <v>46252</v>
      </c>
      <c r="M2454" s="56" t="str">
        <f t="shared" si="279"/>
        <v>TUE</v>
      </c>
      <c r="O2454" s="383">
        <f t="shared" si="281"/>
        <v>1</v>
      </c>
      <c r="P2454" s="392">
        <f t="shared" si="282"/>
        <v>1.000101388888889</v>
      </c>
    </row>
    <row r="2455" spans="1:16">
      <c r="A2455" s="71"/>
      <c r="B2455" s="176"/>
      <c r="C2455" s="403">
        <f t="shared" si="280"/>
        <v>46253</v>
      </c>
      <c r="D2455" s="56" t="str">
        <f>VLOOKUP(MOD(C2455,7),'CALENDAR INFO'!$G$5:$H$11,2)</f>
        <v>WED</v>
      </c>
      <c r="E2455" s="165">
        <v>3.63</v>
      </c>
      <c r="F2455" s="336">
        <v>3.62</v>
      </c>
      <c r="G2455" s="411">
        <f t="shared" si="277"/>
        <v>-9.9999999999997868E-3</v>
      </c>
      <c r="I2455" s="141"/>
      <c r="J2455" s="158"/>
      <c r="K2455" s="126" t="s">
        <v>19</v>
      </c>
      <c r="L2455" s="403">
        <f t="shared" si="278"/>
        <v>46253</v>
      </c>
      <c r="M2455" s="56" t="str">
        <f t="shared" si="279"/>
        <v>WED</v>
      </c>
      <c r="O2455" s="383">
        <f t="shared" si="281"/>
        <v>1</v>
      </c>
      <c r="P2455" s="392">
        <f t="shared" si="282"/>
        <v>1.0001005555555555</v>
      </c>
    </row>
    <row r="2456" spans="1:16">
      <c r="A2456" s="71"/>
      <c r="B2456" s="176"/>
      <c r="C2456" s="403">
        <f t="shared" si="280"/>
        <v>46254</v>
      </c>
      <c r="D2456" s="56" t="str">
        <f>VLOOKUP(MOD(C2456,7),'CALENDAR INFO'!$G$5:$H$11,2)</f>
        <v>THU</v>
      </c>
      <c r="E2456" s="165">
        <v>3.63</v>
      </c>
      <c r="F2456" s="336">
        <v>3.63</v>
      </c>
      <c r="G2456" s="411">
        <f t="shared" si="277"/>
        <v>0</v>
      </c>
      <c r="K2456" s="129" t="s">
        <v>18</v>
      </c>
      <c r="L2456" s="403">
        <f t="shared" si="278"/>
        <v>46254</v>
      </c>
      <c r="M2456" s="56" t="str">
        <f t="shared" si="279"/>
        <v>THU</v>
      </c>
      <c r="O2456" s="383">
        <f t="shared" si="281"/>
        <v>1</v>
      </c>
      <c r="P2456" s="392">
        <f t="shared" si="282"/>
        <v>1.0001008333333334</v>
      </c>
    </row>
    <row r="2457" spans="1:16">
      <c r="A2457" s="71"/>
      <c r="B2457" s="176"/>
      <c r="C2457" s="403">
        <f t="shared" si="280"/>
        <v>46255</v>
      </c>
      <c r="D2457" s="56" t="str">
        <f>VLOOKUP(MOD(C2457,7),'CALENDAR INFO'!$G$5:$H$11,2)</f>
        <v>FRI</v>
      </c>
      <c r="E2457" s="165">
        <v>3.63</v>
      </c>
      <c r="F2457" s="336">
        <v>3.65</v>
      </c>
      <c r="G2457" s="411">
        <f t="shared" si="277"/>
        <v>2.0000000000000018E-2</v>
      </c>
      <c r="K2457" s="129"/>
      <c r="L2457" s="403">
        <f t="shared" si="278"/>
        <v>46255</v>
      </c>
      <c r="M2457" s="56" t="str">
        <f t="shared" si="279"/>
        <v>FRI</v>
      </c>
      <c r="O2457" s="383">
        <f t="shared" si="281"/>
        <v>3</v>
      </c>
      <c r="P2457" s="392">
        <f t="shared" si="282"/>
        <v>1.0003041666666668</v>
      </c>
    </row>
    <row r="2458" spans="1:16">
      <c r="A2458" s="71"/>
      <c r="B2458" s="176"/>
      <c r="C2458" s="403">
        <f t="shared" si="280"/>
        <v>46256</v>
      </c>
      <c r="D2458" s="56" t="str">
        <f>VLOOKUP(MOD(C2458,7),'CALENDAR INFO'!$G$5:$H$11,2)</f>
        <v>SAT</v>
      </c>
      <c r="E2458" s="165">
        <v>3.63</v>
      </c>
      <c r="F2458" s="336">
        <v>3.65</v>
      </c>
      <c r="G2458" s="411">
        <f t="shared" si="277"/>
        <v>2.0000000000000018E-2</v>
      </c>
      <c r="K2458" s="129"/>
      <c r="L2458" s="403">
        <f t="shared" si="278"/>
        <v>46256</v>
      </c>
      <c r="M2458" s="56" t="str">
        <f t="shared" si="279"/>
        <v>SAT</v>
      </c>
      <c r="O2458" s="383">
        <f t="shared" si="281"/>
        <v>0</v>
      </c>
      <c r="P2458" s="392">
        <f t="shared" si="282"/>
        <v>1</v>
      </c>
    </row>
    <row r="2459" spans="1:16">
      <c r="A2459" s="71"/>
      <c r="B2459" s="176"/>
      <c r="C2459" s="403">
        <f t="shared" si="280"/>
        <v>46257</v>
      </c>
      <c r="D2459" s="56" t="str">
        <f>VLOOKUP(MOD(C2459,7),'CALENDAR INFO'!$G$5:$H$11,2)</f>
        <v>SUN</v>
      </c>
      <c r="E2459" s="165">
        <v>3.63</v>
      </c>
      <c r="F2459" s="336">
        <v>3.65</v>
      </c>
      <c r="G2459" s="411">
        <f t="shared" si="277"/>
        <v>2.0000000000000018E-2</v>
      </c>
      <c r="I2459" s="313"/>
      <c r="J2459" s="314"/>
      <c r="K2459" s="129"/>
      <c r="L2459" s="403">
        <f t="shared" si="278"/>
        <v>46257</v>
      </c>
      <c r="M2459" s="56" t="str">
        <f t="shared" si="279"/>
        <v>SUN</v>
      </c>
      <c r="O2459" s="383">
        <f t="shared" si="281"/>
        <v>0</v>
      </c>
      <c r="P2459" s="392">
        <f t="shared" si="282"/>
        <v>1</v>
      </c>
    </row>
    <row r="2460" spans="1:16">
      <c r="A2460" s="71"/>
      <c r="B2460" s="176"/>
      <c r="C2460" s="403">
        <f t="shared" si="280"/>
        <v>46258</v>
      </c>
      <c r="D2460" s="56" t="str">
        <f>VLOOKUP(MOD(C2460,7),'CALENDAR INFO'!$G$5:$H$11,2)</f>
        <v>MON</v>
      </c>
      <c r="E2460" s="165">
        <v>3.63</v>
      </c>
      <c r="F2460" s="336">
        <v>3.65</v>
      </c>
      <c r="G2460" s="411">
        <f t="shared" si="277"/>
        <v>2.0000000000000018E-2</v>
      </c>
      <c r="I2460" s="115"/>
      <c r="J2460" s="159"/>
      <c r="K2460" s="129"/>
      <c r="L2460" s="403">
        <f t="shared" si="278"/>
        <v>46258</v>
      </c>
      <c r="M2460" s="56" t="str">
        <f t="shared" si="279"/>
        <v>MON</v>
      </c>
      <c r="O2460" s="383">
        <f t="shared" si="281"/>
        <v>1</v>
      </c>
      <c r="P2460" s="392">
        <f t="shared" si="282"/>
        <v>1.000101388888889</v>
      </c>
    </row>
    <row r="2461" spans="1:16">
      <c r="A2461" s="71"/>
      <c r="B2461" s="176"/>
      <c r="C2461" s="403">
        <f t="shared" si="280"/>
        <v>46259</v>
      </c>
      <c r="D2461" s="56" t="str">
        <f>VLOOKUP(MOD(C2461,7),'CALENDAR INFO'!$G$5:$H$11,2)</f>
        <v>TUE</v>
      </c>
      <c r="E2461" s="165">
        <v>3.63</v>
      </c>
      <c r="F2461" s="336">
        <v>3.66</v>
      </c>
      <c r="G2461" s="411">
        <f t="shared" si="277"/>
        <v>3.0000000000000249E-2</v>
      </c>
      <c r="I2461" s="137"/>
      <c r="J2461" s="150"/>
      <c r="K2461" s="129"/>
      <c r="L2461" s="403">
        <f t="shared" si="278"/>
        <v>46259</v>
      </c>
      <c r="M2461" s="56" t="str">
        <f t="shared" si="279"/>
        <v>TUE</v>
      </c>
      <c r="O2461" s="383">
        <f t="shared" si="281"/>
        <v>1</v>
      </c>
      <c r="P2461" s="392">
        <f t="shared" si="282"/>
        <v>1.0001016666666667</v>
      </c>
    </row>
    <row r="2462" spans="1:16">
      <c r="A2462" s="71"/>
      <c r="B2462" s="176"/>
      <c r="C2462" s="403">
        <f t="shared" si="280"/>
        <v>46260</v>
      </c>
      <c r="D2462" s="56" t="str">
        <f>VLOOKUP(MOD(C2462,7),'CALENDAR INFO'!$G$5:$H$11,2)</f>
        <v>WED</v>
      </c>
      <c r="E2462" s="165">
        <v>3.63</v>
      </c>
      <c r="F2462" s="336">
        <v>3.64</v>
      </c>
      <c r="G2462" s="411">
        <f t="shared" si="277"/>
        <v>1.0000000000000231E-2</v>
      </c>
      <c r="I2462" s="137"/>
      <c r="J2462" s="150"/>
      <c r="K2462" s="129"/>
      <c r="L2462" s="403">
        <f t="shared" si="278"/>
        <v>46260</v>
      </c>
      <c r="M2462" s="56" t="str">
        <f t="shared" si="279"/>
        <v>WED</v>
      </c>
      <c r="O2462" s="383">
        <f t="shared" si="281"/>
        <v>1</v>
      </c>
      <c r="P2462" s="392">
        <f t="shared" si="282"/>
        <v>1.0001011111111111</v>
      </c>
    </row>
    <row r="2463" spans="1:16">
      <c r="A2463" s="71"/>
      <c r="B2463" s="176"/>
      <c r="C2463" s="403">
        <f t="shared" si="280"/>
        <v>46261</v>
      </c>
      <c r="D2463" s="56" t="str">
        <f>VLOOKUP(MOD(C2463,7),'CALENDAR INFO'!$G$5:$H$11,2)</f>
        <v>THU</v>
      </c>
      <c r="E2463" s="165">
        <v>3.63</v>
      </c>
      <c r="F2463" s="336">
        <v>3.64</v>
      </c>
      <c r="G2463" s="411">
        <f t="shared" si="277"/>
        <v>1.0000000000000231E-2</v>
      </c>
      <c r="I2463" s="171"/>
      <c r="J2463" s="172"/>
      <c r="K2463" s="129"/>
      <c r="L2463" s="403">
        <f t="shared" si="278"/>
        <v>46261</v>
      </c>
      <c r="M2463" s="56" t="str">
        <f t="shared" si="279"/>
        <v>THU</v>
      </c>
      <c r="O2463" s="383">
        <f t="shared" si="281"/>
        <v>1</v>
      </c>
      <c r="P2463" s="392">
        <f t="shared" si="282"/>
        <v>1.0001011111111111</v>
      </c>
    </row>
    <row r="2464" spans="1:16">
      <c r="A2464" s="71"/>
      <c r="B2464" s="176"/>
      <c r="C2464" s="403">
        <f t="shared" si="280"/>
        <v>46262</v>
      </c>
      <c r="D2464" s="56" t="str">
        <f>VLOOKUP(MOD(C2464,7),'CALENDAR INFO'!$G$5:$H$11,2)</f>
        <v>FRI</v>
      </c>
      <c r="E2464" s="165">
        <v>3.63</v>
      </c>
      <c r="F2464" s="336">
        <v>3.65</v>
      </c>
      <c r="G2464" s="411">
        <f t="shared" si="277"/>
        <v>2.0000000000000018E-2</v>
      </c>
      <c r="I2464" s="137"/>
      <c r="J2464" s="150"/>
      <c r="K2464" s="129"/>
      <c r="L2464" s="403">
        <f t="shared" si="278"/>
        <v>46262</v>
      </c>
      <c r="M2464" s="56" t="str">
        <f t="shared" si="279"/>
        <v>FRI</v>
      </c>
      <c r="O2464" s="383">
        <f t="shared" si="281"/>
        <v>3</v>
      </c>
      <c r="P2464" s="392">
        <f t="shared" si="282"/>
        <v>1.0003041666666668</v>
      </c>
    </row>
    <row r="2465" spans="1:16">
      <c r="A2465" s="71"/>
      <c r="B2465" s="176"/>
      <c r="C2465" s="403">
        <f t="shared" si="280"/>
        <v>46263</v>
      </c>
      <c r="D2465" s="56" t="str">
        <f>VLOOKUP(MOD(C2465,7),'CALENDAR INFO'!$G$5:$H$11,2)</f>
        <v>SAT</v>
      </c>
      <c r="E2465" s="165">
        <v>3.63</v>
      </c>
      <c r="F2465" s="336">
        <v>3.65</v>
      </c>
      <c r="G2465" s="411">
        <f t="shared" si="277"/>
        <v>2.0000000000000018E-2</v>
      </c>
      <c r="K2465" s="129"/>
      <c r="L2465" s="403">
        <f t="shared" si="278"/>
        <v>46263</v>
      </c>
      <c r="M2465" s="56" t="str">
        <f t="shared" si="279"/>
        <v>SAT</v>
      </c>
      <c r="O2465" s="383">
        <f t="shared" si="281"/>
        <v>0</v>
      </c>
      <c r="P2465" s="392">
        <f t="shared" si="282"/>
        <v>1</v>
      </c>
    </row>
    <row r="2466" spans="1:16">
      <c r="A2466" s="71"/>
      <c r="B2466" s="176"/>
      <c r="C2466" s="403">
        <f t="shared" si="280"/>
        <v>46264</v>
      </c>
      <c r="D2466" s="56" t="str">
        <f>VLOOKUP(MOD(C2466,7),'CALENDAR INFO'!$G$5:$H$11,2)</f>
        <v>SUN</v>
      </c>
      <c r="E2466" s="165">
        <v>3.63</v>
      </c>
      <c r="F2466" s="336">
        <v>3.65</v>
      </c>
      <c r="G2466" s="411">
        <f t="shared" si="277"/>
        <v>2.0000000000000018E-2</v>
      </c>
      <c r="K2466" s="129"/>
      <c r="L2466" s="403">
        <f t="shared" si="278"/>
        <v>46264</v>
      </c>
      <c r="M2466" s="56" t="str">
        <f t="shared" si="279"/>
        <v>SUN</v>
      </c>
      <c r="O2466" s="383">
        <f t="shared" si="281"/>
        <v>0</v>
      </c>
      <c r="P2466" s="392">
        <f t="shared" si="282"/>
        <v>1</v>
      </c>
    </row>
    <row r="2467" spans="1:16" ht="15.75" thickBot="1">
      <c r="A2467" s="318"/>
      <c r="B2467" s="319"/>
      <c r="C2467" s="404">
        <f t="shared" si="280"/>
        <v>46265</v>
      </c>
      <c r="D2467" s="64" t="str">
        <f>VLOOKUP(MOD(C2467,7),'CALENDAR INFO'!$G$5:$H$11,2)</f>
        <v>MON</v>
      </c>
      <c r="E2467" s="166">
        <v>3.63</v>
      </c>
      <c r="F2467" s="337">
        <v>3.68</v>
      </c>
      <c r="G2467" s="412">
        <f t="shared" si="277"/>
        <v>5.0000000000000266E-2</v>
      </c>
      <c r="H2467" s="274"/>
      <c r="I2467" s="274"/>
      <c r="J2467" s="275"/>
      <c r="K2467" s="84"/>
      <c r="L2467" s="404">
        <f t="shared" si="278"/>
        <v>46265</v>
      </c>
      <c r="M2467" s="64" t="str">
        <f t="shared" si="279"/>
        <v>MON</v>
      </c>
      <c r="N2467" s="90"/>
      <c r="O2467" s="382">
        <f t="shared" si="281"/>
        <v>1</v>
      </c>
      <c r="P2467" s="388">
        <f t="shared" si="282"/>
        <v>1.0001022222222222</v>
      </c>
    </row>
    <row r="2468" spans="1:16">
      <c r="B2468" s="41"/>
      <c r="C2468" s="403">
        <f t="shared" si="280"/>
        <v>46266</v>
      </c>
      <c r="D2468" s="56" t="str">
        <f>VLOOKUP(MOD(C2468,7),'CALENDAR INFO'!$G$5:$H$11,2)</f>
        <v>TUE</v>
      </c>
      <c r="E2468" s="165">
        <v>3.63</v>
      </c>
      <c r="F2468" s="336">
        <v>3.66</v>
      </c>
      <c r="G2468" s="411">
        <f t="shared" si="277"/>
        <v>3.0000000000000249E-2</v>
      </c>
      <c r="H2468" s="15" t="s">
        <v>149</v>
      </c>
      <c r="I2468" s="15">
        <f>ROW(I2468)</f>
        <v>2468</v>
      </c>
      <c r="J2468" s="138">
        <f>I2468</f>
        <v>2468</v>
      </c>
      <c r="K2468" s="129"/>
      <c r="L2468" s="403">
        <f t="shared" si="278"/>
        <v>46266</v>
      </c>
      <c r="M2468" s="56" t="str">
        <f t="shared" si="279"/>
        <v>TUE</v>
      </c>
      <c r="O2468" s="383">
        <f t="shared" si="281"/>
        <v>1</v>
      </c>
      <c r="P2468" s="392">
        <f t="shared" si="282"/>
        <v>1.0001016666666667</v>
      </c>
    </row>
    <row r="2469" spans="1:16">
      <c r="B2469" s="41"/>
      <c r="C2469" s="403">
        <f t="shared" si="280"/>
        <v>46267</v>
      </c>
      <c r="D2469" s="56" t="str">
        <f>VLOOKUP(MOD(C2469,7),'CALENDAR INFO'!$G$5:$H$11,2)</f>
        <v>WED</v>
      </c>
      <c r="E2469" s="165">
        <v>3.63</v>
      </c>
      <c r="F2469" s="336">
        <v>3.65</v>
      </c>
      <c r="G2469" s="411">
        <f t="shared" si="277"/>
        <v>2.0000000000000018E-2</v>
      </c>
      <c r="H2469" s="376" t="s">
        <v>210</v>
      </c>
      <c r="I2469" s="15">
        <f>VLOOKUP(MONTH($C2468),'CALENDAR INFO'!$J$5:$K$16,2)</f>
        <v>30</v>
      </c>
      <c r="J2469" s="138">
        <f>I2469</f>
        <v>30</v>
      </c>
      <c r="K2469" s="129" t="s">
        <v>19</v>
      </c>
      <c r="L2469" s="403">
        <f t="shared" si="278"/>
        <v>46267</v>
      </c>
      <c r="M2469" s="56" t="str">
        <f t="shared" si="279"/>
        <v>WED</v>
      </c>
      <c r="O2469" s="383">
        <f t="shared" si="281"/>
        <v>1</v>
      </c>
      <c r="P2469" s="392">
        <f t="shared" si="282"/>
        <v>1.000101388888889</v>
      </c>
    </row>
    <row r="2470" spans="1:16">
      <c r="B2470" s="41"/>
      <c r="C2470" s="403">
        <f t="shared" si="280"/>
        <v>46268</v>
      </c>
      <c r="D2470" s="56" t="str">
        <f>VLOOKUP(MOD(C2470,7),'CALENDAR INFO'!$G$5:$H$11,2)</f>
        <v>THU</v>
      </c>
      <c r="E2470" s="165">
        <v>3.63</v>
      </c>
      <c r="F2470" s="336">
        <v>3.66</v>
      </c>
      <c r="G2470" s="411">
        <f t="shared" si="277"/>
        <v>3.0000000000000249E-2</v>
      </c>
      <c r="H2470" s="376" t="s">
        <v>211</v>
      </c>
      <c r="I2470" s="15">
        <f>I2469+I2468-1</f>
        <v>2497</v>
      </c>
      <c r="J2470" s="138">
        <f>I2470</f>
        <v>2497</v>
      </c>
      <c r="K2470" s="126" t="s">
        <v>18</v>
      </c>
      <c r="L2470" s="403">
        <f t="shared" si="278"/>
        <v>46268</v>
      </c>
      <c r="M2470" s="56" t="str">
        <f t="shared" si="279"/>
        <v>THU</v>
      </c>
      <c r="O2470" s="383">
        <f t="shared" si="281"/>
        <v>1</v>
      </c>
      <c r="P2470" s="392">
        <f t="shared" si="282"/>
        <v>1.0001016666666667</v>
      </c>
    </row>
    <row r="2471" spans="1:16">
      <c r="B2471" s="41"/>
      <c r="C2471" s="403">
        <f t="shared" si="280"/>
        <v>46269</v>
      </c>
      <c r="D2471" s="56" t="str">
        <f>VLOOKUP(MOD(C2471,7),'CALENDAR INFO'!$G$5:$H$11,2)</f>
        <v>FRI</v>
      </c>
      <c r="E2471" s="165">
        <v>3.63</v>
      </c>
      <c r="F2471" s="336">
        <v>3.65</v>
      </c>
      <c r="G2471" s="411">
        <f t="shared" si="277"/>
        <v>2.0000000000000018E-2</v>
      </c>
      <c r="K2471" s="126"/>
      <c r="L2471" s="403">
        <f t="shared" si="278"/>
        <v>46269</v>
      </c>
      <c r="M2471" s="56" t="str">
        <f t="shared" si="279"/>
        <v>FRI</v>
      </c>
      <c r="O2471" s="384">
        <v>4</v>
      </c>
      <c r="P2471" s="392">
        <f t="shared" si="282"/>
        <v>1.0004055555555555</v>
      </c>
    </row>
    <row r="2472" spans="1:16">
      <c r="B2472" s="41"/>
      <c r="C2472" s="403">
        <f t="shared" si="280"/>
        <v>46270</v>
      </c>
      <c r="D2472" s="56" t="str">
        <f>VLOOKUP(MOD(C2472,7),'CALENDAR INFO'!$G$5:$H$11,2)</f>
        <v>SAT</v>
      </c>
      <c r="E2472" s="165">
        <v>3.63</v>
      </c>
      <c r="F2472" s="336">
        <v>3.65</v>
      </c>
      <c r="G2472" s="411">
        <f t="shared" si="277"/>
        <v>2.0000000000000018E-2</v>
      </c>
      <c r="H2472" s="15" t="s">
        <v>150</v>
      </c>
      <c r="I2472" s="137" t="str">
        <f>_xlfn.CONCAT(ADDRESS(I2468,5),":",ADDRESS(I2470,5))</f>
        <v>$E$2468:$E$2497</v>
      </c>
      <c r="J2472" s="150" t="str">
        <f>_xlfn.CONCAT(ADDRESS(J2468,6),":",ADDRESS(J2470,6))</f>
        <v>$F$2468:$F$2497</v>
      </c>
      <c r="K2472" s="126"/>
      <c r="L2472" s="403">
        <f t="shared" si="278"/>
        <v>46270</v>
      </c>
      <c r="M2472" s="56" t="str">
        <f t="shared" si="279"/>
        <v>SAT</v>
      </c>
      <c r="O2472" s="383">
        <f>IF(MOD(C2472,7)&lt;2,0,IF(MOD(C2472,7)=6,3,1))</f>
        <v>0</v>
      </c>
      <c r="P2472" s="392">
        <f t="shared" si="282"/>
        <v>1</v>
      </c>
    </row>
    <row r="2473" spans="1:16">
      <c r="B2473" s="41"/>
      <c r="C2473" s="403">
        <f t="shared" si="280"/>
        <v>46271</v>
      </c>
      <c r="D2473" s="56" t="str">
        <f>VLOOKUP(MOD(C2473,7),'CALENDAR INFO'!$G$5:$H$11,2)</f>
        <v>SUN</v>
      </c>
      <c r="E2473" s="165">
        <v>3.63</v>
      </c>
      <c r="F2473" s="336">
        <v>3.65</v>
      </c>
      <c r="G2473" s="411">
        <f t="shared" si="277"/>
        <v>2.0000000000000018E-2</v>
      </c>
      <c r="K2473" s="126"/>
      <c r="L2473" s="403">
        <f t="shared" si="278"/>
        <v>46271</v>
      </c>
      <c r="M2473" s="56" t="str">
        <f t="shared" si="279"/>
        <v>SUN</v>
      </c>
      <c r="O2473" s="383">
        <f>IF(MOD(C2473,7)&lt;2,0,IF(MOD(C2473,7)=6,3,1))</f>
        <v>0</v>
      </c>
      <c r="P2473" s="392">
        <f t="shared" si="282"/>
        <v>1</v>
      </c>
    </row>
    <row r="2474" spans="1:16">
      <c r="B2474" s="41"/>
      <c r="C2474" s="403">
        <f t="shared" si="280"/>
        <v>46272</v>
      </c>
      <c r="D2474" s="56" t="str">
        <f>VLOOKUP(MOD(C2474,7),'CALENDAR INFO'!$G$5:$H$11,2)</f>
        <v>MON</v>
      </c>
      <c r="E2474" s="165">
        <v>3.63</v>
      </c>
      <c r="F2474" s="336">
        <v>3.65</v>
      </c>
      <c r="G2474" s="411">
        <f t="shared" si="277"/>
        <v>2.0000000000000018E-2</v>
      </c>
      <c r="H2474" s="376" t="s">
        <v>221</v>
      </c>
      <c r="I2474" s="147">
        <f ca="1">AVERAGE(INDIRECT(I2472))</f>
        <v>3.7466666666666653</v>
      </c>
      <c r="J2474" s="326">
        <f ca="1">AVERAGE(INDIRECT(J2472))</f>
        <v>3.7486666666666664</v>
      </c>
      <c r="K2474" s="126"/>
      <c r="L2474" s="403">
        <f t="shared" si="278"/>
        <v>46272</v>
      </c>
      <c r="M2474" s="56" t="str">
        <f t="shared" si="279"/>
        <v>MON</v>
      </c>
      <c r="N2474" s="132" t="s">
        <v>111</v>
      </c>
      <c r="O2474" s="384">
        <v>0</v>
      </c>
      <c r="P2474" s="392">
        <f t="shared" si="282"/>
        <v>1</v>
      </c>
    </row>
    <row r="2475" spans="1:16">
      <c r="B2475" s="41"/>
      <c r="C2475" s="403">
        <f t="shared" si="280"/>
        <v>46273</v>
      </c>
      <c r="D2475" s="56" t="str">
        <f>VLOOKUP(MOD(C2475,7),'CALENDAR INFO'!$G$5:$H$11,2)</f>
        <v>TUE</v>
      </c>
      <c r="E2475" s="165">
        <v>3.63</v>
      </c>
      <c r="F2475" s="336">
        <v>3.64</v>
      </c>
      <c r="G2475" s="411">
        <f t="shared" si="277"/>
        <v>1.0000000000000231E-2</v>
      </c>
      <c r="H2475" s="135"/>
      <c r="K2475" s="126"/>
      <c r="L2475" s="403">
        <f t="shared" si="278"/>
        <v>46273</v>
      </c>
      <c r="M2475" s="56" t="str">
        <f t="shared" si="279"/>
        <v>TUE</v>
      </c>
      <c r="O2475" s="383">
        <f t="shared" ref="O2475:O2505" si="283">IF(MOD(C2475,7)&lt;2,0,IF(MOD(C2475,7)=6,3,1))</f>
        <v>1</v>
      </c>
      <c r="P2475" s="392">
        <f t="shared" si="282"/>
        <v>1.0001011111111111</v>
      </c>
    </row>
    <row r="2476" spans="1:16">
      <c r="B2476" s="41"/>
      <c r="C2476" s="403">
        <f t="shared" si="280"/>
        <v>46274</v>
      </c>
      <c r="D2476" s="56" t="str">
        <f>VLOOKUP(MOD(C2476,7),'CALENDAR INFO'!$G$5:$H$11,2)</f>
        <v>WED</v>
      </c>
      <c r="E2476" s="165">
        <v>3.63</v>
      </c>
      <c r="F2476" s="336">
        <v>3.64</v>
      </c>
      <c r="G2476" s="411">
        <f t="shared" si="277"/>
        <v>1.0000000000000231E-2</v>
      </c>
      <c r="H2476" s="15" t="s">
        <v>222</v>
      </c>
      <c r="I2476" s="147">
        <f ca="1">100-I2474</f>
        <v>96.25333333333333</v>
      </c>
      <c r="J2476" s="326">
        <f ca="1">100-J2474</f>
        <v>96.251333333333335</v>
      </c>
      <c r="K2476" s="126"/>
      <c r="L2476" s="403">
        <f t="shared" si="278"/>
        <v>46274</v>
      </c>
      <c r="M2476" s="56" t="str">
        <f t="shared" si="279"/>
        <v>WED</v>
      </c>
      <c r="O2476" s="383">
        <f t="shared" si="283"/>
        <v>1</v>
      </c>
      <c r="P2476" s="392">
        <f t="shared" si="282"/>
        <v>1.0001011111111111</v>
      </c>
    </row>
    <row r="2477" spans="1:16">
      <c r="B2477" s="41"/>
      <c r="C2477" s="403">
        <f t="shared" si="280"/>
        <v>46275</v>
      </c>
      <c r="D2477" s="56" t="str">
        <f>VLOOKUP(MOD(C2477,7),'CALENDAR INFO'!$G$5:$H$11,2)</f>
        <v>THU</v>
      </c>
      <c r="E2477" s="165">
        <v>3.63</v>
      </c>
      <c r="F2477" s="336">
        <v>3.62</v>
      </c>
      <c r="G2477" s="411">
        <f t="shared" si="277"/>
        <v>-9.9999999999997868E-3</v>
      </c>
      <c r="I2477" s="137"/>
      <c r="J2477" s="150"/>
      <c r="K2477" s="126"/>
      <c r="L2477" s="403">
        <f t="shared" si="278"/>
        <v>46275</v>
      </c>
      <c r="M2477" s="56" t="str">
        <f t="shared" si="279"/>
        <v>THU</v>
      </c>
      <c r="O2477" s="383">
        <f t="shared" si="283"/>
        <v>1</v>
      </c>
      <c r="P2477" s="392">
        <f t="shared" si="282"/>
        <v>1.0001005555555555</v>
      </c>
    </row>
    <row r="2478" spans="1:16">
      <c r="B2478" s="41"/>
      <c r="C2478" s="403">
        <f t="shared" si="280"/>
        <v>46276</v>
      </c>
      <c r="D2478" s="56" t="str">
        <f>VLOOKUP(MOD(C2478,7),'CALENDAR INFO'!$G$5:$H$11,2)</f>
        <v>FRI</v>
      </c>
      <c r="E2478" s="165">
        <v>3.63</v>
      </c>
      <c r="F2478" s="336">
        <v>3.62</v>
      </c>
      <c r="G2478" s="411">
        <f t="shared" si="277"/>
        <v>-9.9999999999997868E-3</v>
      </c>
      <c r="H2478" s="425" t="s">
        <v>97</v>
      </c>
      <c r="I2478" s="419">
        <v>96.253</v>
      </c>
      <c r="J2478" s="426">
        <v>96.251000000000005</v>
      </c>
      <c r="K2478" s="126"/>
      <c r="L2478" s="403">
        <f t="shared" si="278"/>
        <v>46276</v>
      </c>
      <c r="M2478" s="56" t="str">
        <f t="shared" si="279"/>
        <v>FRI</v>
      </c>
      <c r="O2478" s="383">
        <f t="shared" si="283"/>
        <v>3</v>
      </c>
      <c r="P2478" s="392">
        <f t="shared" si="282"/>
        <v>1.0003016666666666</v>
      </c>
    </row>
    <row r="2479" spans="1:16">
      <c r="B2479" s="41"/>
      <c r="C2479" s="403">
        <f t="shared" si="280"/>
        <v>46277</v>
      </c>
      <c r="D2479" s="56" t="str">
        <f>VLOOKUP(MOD(C2479,7),'CALENDAR INFO'!$G$5:$H$11,2)</f>
        <v>SAT</v>
      </c>
      <c r="E2479" s="165">
        <v>3.63</v>
      </c>
      <c r="F2479" s="336">
        <v>3.62</v>
      </c>
      <c r="G2479" s="411">
        <f t="shared" si="277"/>
        <v>-9.9999999999997868E-3</v>
      </c>
      <c r="I2479" s="139"/>
      <c r="J2479" s="151"/>
      <c r="K2479" s="126"/>
      <c r="L2479" s="403">
        <f t="shared" si="278"/>
        <v>46277</v>
      </c>
      <c r="M2479" s="56" t="str">
        <f t="shared" si="279"/>
        <v>SAT</v>
      </c>
      <c r="O2479" s="383">
        <f t="shared" si="283"/>
        <v>0</v>
      </c>
      <c r="P2479" s="392">
        <f t="shared" si="282"/>
        <v>1</v>
      </c>
    </row>
    <row r="2480" spans="1:16">
      <c r="B2480" s="41"/>
      <c r="C2480" s="403">
        <f t="shared" si="280"/>
        <v>46278</v>
      </c>
      <c r="D2480" s="56" t="str">
        <f>VLOOKUP(MOD(C2480,7),'CALENDAR INFO'!$G$5:$H$11,2)</f>
        <v>SUN</v>
      </c>
      <c r="E2480" s="165">
        <v>3.63</v>
      </c>
      <c r="F2480" s="336">
        <v>3.62</v>
      </c>
      <c r="G2480" s="411">
        <f t="shared" si="277"/>
        <v>-9.9999999999997868E-3</v>
      </c>
      <c r="I2480" s="171"/>
      <c r="J2480" s="172"/>
      <c r="K2480" s="126"/>
      <c r="L2480" s="403">
        <f t="shared" si="278"/>
        <v>46278</v>
      </c>
      <c r="M2480" s="56" t="str">
        <f t="shared" si="279"/>
        <v>SUN</v>
      </c>
      <c r="O2480" s="383">
        <f t="shared" si="283"/>
        <v>0</v>
      </c>
      <c r="P2480" s="392">
        <f t="shared" si="282"/>
        <v>1</v>
      </c>
    </row>
    <row r="2481" spans="1:16">
      <c r="B2481" s="41"/>
      <c r="C2481" s="403">
        <f t="shared" si="280"/>
        <v>46279</v>
      </c>
      <c r="D2481" s="56" t="str">
        <f>VLOOKUP(MOD(C2481,7),'CALENDAR INFO'!$G$5:$H$11,2)</f>
        <v>MON</v>
      </c>
      <c r="E2481" s="165">
        <v>3.63</v>
      </c>
      <c r="F2481" s="336">
        <v>3.62</v>
      </c>
      <c r="G2481" s="411">
        <f t="shared" si="277"/>
        <v>-9.9999999999997868E-3</v>
      </c>
      <c r="I2481" s="137"/>
      <c r="J2481" s="150"/>
      <c r="K2481" s="126"/>
      <c r="L2481" s="403">
        <f t="shared" si="278"/>
        <v>46279</v>
      </c>
      <c r="M2481" s="56" t="str">
        <f t="shared" si="279"/>
        <v>MON</v>
      </c>
      <c r="O2481" s="383">
        <f t="shared" si="283"/>
        <v>1</v>
      </c>
      <c r="P2481" s="392">
        <f t="shared" si="282"/>
        <v>1.0001005555555555</v>
      </c>
    </row>
    <row r="2482" spans="1:16">
      <c r="B2482" s="41"/>
      <c r="C2482" s="403">
        <f t="shared" si="280"/>
        <v>46280</v>
      </c>
      <c r="D2482" s="56" t="str">
        <f>VLOOKUP(MOD(C2482,7),'CALENDAR INFO'!$G$5:$H$11,2)</f>
        <v>TUE</v>
      </c>
      <c r="E2482" s="165">
        <v>3.63</v>
      </c>
      <c r="F2482" s="336">
        <v>3.64</v>
      </c>
      <c r="G2482" s="411">
        <f t="shared" si="277"/>
        <v>1.0000000000000231E-2</v>
      </c>
      <c r="K2482" s="126"/>
      <c r="L2482" s="403">
        <f t="shared" si="278"/>
        <v>46280</v>
      </c>
      <c r="M2482" s="56" t="str">
        <f t="shared" si="279"/>
        <v>TUE</v>
      </c>
      <c r="N2482" s="116" t="s">
        <v>20</v>
      </c>
      <c r="O2482" s="383">
        <f t="shared" si="283"/>
        <v>1</v>
      </c>
      <c r="P2482" s="392">
        <f t="shared" si="282"/>
        <v>1.0001011111111111</v>
      </c>
    </row>
    <row r="2483" spans="1:16">
      <c r="B2483" s="41"/>
      <c r="C2483" s="403">
        <f t="shared" si="280"/>
        <v>46281</v>
      </c>
      <c r="D2483" s="56" t="str">
        <f>VLOOKUP(MOD(C2483,7),'CALENDAR INFO'!$G$5:$H$11,2)</f>
        <v>WED</v>
      </c>
      <c r="E2483" s="165">
        <v>3.63</v>
      </c>
      <c r="F2483" s="336">
        <v>3.62</v>
      </c>
      <c r="G2483" s="411">
        <f t="shared" si="277"/>
        <v>-9.9999999999997868E-3</v>
      </c>
      <c r="I2483" s="137"/>
      <c r="J2483" s="150"/>
      <c r="K2483" s="126" t="s">
        <v>19</v>
      </c>
      <c r="L2483" s="403">
        <f t="shared" si="278"/>
        <v>46281</v>
      </c>
      <c r="M2483" s="56" t="str">
        <f t="shared" si="279"/>
        <v>WED</v>
      </c>
      <c r="N2483" s="116" t="s">
        <v>20</v>
      </c>
      <c r="O2483" s="383">
        <f t="shared" si="283"/>
        <v>1</v>
      </c>
      <c r="P2483" s="392">
        <f t="shared" si="282"/>
        <v>1.0001005555555555</v>
      </c>
    </row>
    <row r="2484" spans="1:16">
      <c r="A2484" s="238"/>
      <c r="B2484" s="239"/>
      <c r="C2484" s="403">
        <f t="shared" si="280"/>
        <v>46282</v>
      </c>
      <c r="D2484" s="56" t="str">
        <f>VLOOKUP(MOD(C2484,7),'CALENDAR INFO'!$G$5:$H$11,2)</f>
        <v>THU</v>
      </c>
      <c r="E2484" s="165">
        <v>3.88</v>
      </c>
      <c r="F2484" s="336">
        <v>3.85</v>
      </c>
      <c r="G2484" s="411">
        <f t="shared" si="277"/>
        <v>-2.9999999999999805E-2</v>
      </c>
      <c r="I2484" s="137"/>
      <c r="J2484" s="150"/>
      <c r="K2484" s="129" t="s">
        <v>18</v>
      </c>
      <c r="L2484" s="403">
        <f t="shared" si="278"/>
        <v>46282</v>
      </c>
      <c r="M2484" s="56" t="str">
        <f t="shared" si="279"/>
        <v>THU</v>
      </c>
      <c r="O2484" s="383">
        <f t="shared" si="283"/>
        <v>1</v>
      </c>
      <c r="P2484" s="392">
        <f t="shared" si="282"/>
        <v>1.0001069444444444</v>
      </c>
    </row>
    <row r="2485" spans="1:16">
      <c r="A2485" s="238"/>
      <c r="B2485" s="239"/>
      <c r="C2485" s="403">
        <f t="shared" si="280"/>
        <v>46283</v>
      </c>
      <c r="D2485" s="56" t="str">
        <f>VLOOKUP(MOD(C2485,7),'CALENDAR INFO'!$G$5:$H$11,2)</f>
        <v>FRI</v>
      </c>
      <c r="E2485" s="165">
        <v>3.88</v>
      </c>
      <c r="F2485" s="336">
        <v>3.85</v>
      </c>
      <c r="G2485" s="411">
        <f t="shared" si="277"/>
        <v>-2.9999999999999805E-2</v>
      </c>
      <c r="I2485" s="311"/>
      <c r="J2485" s="312"/>
      <c r="K2485" s="129"/>
      <c r="L2485" s="403">
        <f t="shared" si="278"/>
        <v>46283</v>
      </c>
      <c r="M2485" s="56" t="str">
        <f t="shared" si="279"/>
        <v>FRI</v>
      </c>
      <c r="O2485" s="383">
        <f t="shared" si="283"/>
        <v>3</v>
      </c>
      <c r="P2485" s="392">
        <f t="shared" si="282"/>
        <v>1.0003208333333333</v>
      </c>
    </row>
    <row r="2486" spans="1:16">
      <c r="A2486" s="238"/>
      <c r="B2486" s="239"/>
      <c r="C2486" s="403">
        <f t="shared" si="280"/>
        <v>46284</v>
      </c>
      <c r="D2486" s="56" t="str">
        <f>VLOOKUP(MOD(C2486,7),'CALENDAR INFO'!$G$5:$H$11,2)</f>
        <v>SAT</v>
      </c>
      <c r="E2486" s="165">
        <v>3.88</v>
      </c>
      <c r="F2486" s="336">
        <v>3.85</v>
      </c>
      <c r="G2486" s="411">
        <f t="shared" si="277"/>
        <v>-2.9999999999999805E-2</v>
      </c>
      <c r="I2486" s="141"/>
      <c r="J2486" s="158"/>
      <c r="K2486" s="129"/>
      <c r="L2486" s="403">
        <f t="shared" si="278"/>
        <v>46284</v>
      </c>
      <c r="M2486" s="56" t="str">
        <f t="shared" si="279"/>
        <v>SAT</v>
      </c>
      <c r="O2486" s="383">
        <f t="shared" si="283"/>
        <v>0</v>
      </c>
      <c r="P2486" s="392">
        <f t="shared" si="282"/>
        <v>1</v>
      </c>
    </row>
    <row r="2487" spans="1:16">
      <c r="A2487" s="238"/>
      <c r="B2487" s="239"/>
      <c r="C2487" s="403">
        <f t="shared" si="280"/>
        <v>46285</v>
      </c>
      <c r="D2487" s="56" t="str">
        <f>VLOOKUP(MOD(C2487,7),'CALENDAR INFO'!$G$5:$H$11,2)</f>
        <v>SUN</v>
      </c>
      <c r="E2487" s="165">
        <v>3.88</v>
      </c>
      <c r="F2487" s="336">
        <v>3.85</v>
      </c>
      <c r="G2487" s="411">
        <f t="shared" si="277"/>
        <v>-2.9999999999999805E-2</v>
      </c>
      <c r="I2487" s="137"/>
      <c r="J2487" s="150"/>
      <c r="K2487" s="129"/>
      <c r="L2487" s="403">
        <f t="shared" si="278"/>
        <v>46285</v>
      </c>
      <c r="M2487" s="56" t="str">
        <f t="shared" si="279"/>
        <v>SUN</v>
      </c>
      <c r="O2487" s="383">
        <f t="shared" si="283"/>
        <v>0</v>
      </c>
      <c r="P2487" s="392">
        <f t="shared" si="282"/>
        <v>1</v>
      </c>
    </row>
    <row r="2488" spans="1:16">
      <c r="A2488" s="238"/>
      <c r="B2488" s="239"/>
      <c r="C2488" s="403">
        <f t="shared" si="280"/>
        <v>46286</v>
      </c>
      <c r="D2488" s="56" t="str">
        <f>VLOOKUP(MOD(C2488,7),'CALENDAR INFO'!$G$5:$H$11,2)</f>
        <v>MON</v>
      </c>
      <c r="E2488" s="165">
        <v>3.88</v>
      </c>
      <c r="F2488" s="336">
        <v>3.85</v>
      </c>
      <c r="G2488" s="411">
        <f t="shared" si="277"/>
        <v>-2.9999999999999805E-2</v>
      </c>
      <c r="K2488" s="129"/>
      <c r="L2488" s="403">
        <f t="shared" si="278"/>
        <v>46286</v>
      </c>
      <c r="M2488" s="56" t="str">
        <f t="shared" si="279"/>
        <v>MON</v>
      </c>
      <c r="O2488" s="383">
        <f t="shared" si="283"/>
        <v>1</v>
      </c>
      <c r="P2488" s="392">
        <f t="shared" si="282"/>
        <v>1.0001069444444444</v>
      </c>
    </row>
    <row r="2489" spans="1:16">
      <c r="A2489" s="238"/>
      <c r="B2489" s="239"/>
      <c r="C2489" s="403">
        <f t="shared" si="280"/>
        <v>46287</v>
      </c>
      <c r="D2489" s="56" t="str">
        <f>VLOOKUP(MOD(C2489,7),'CALENDAR INFO'!$G$5:$H$11,2)</f>
        <v>TUE</v>
      </c>
      <c r="E2489" s="165">
        <v>3.88</v>
      </c>
      <c r="F2489" s="336">
        <v>3.87</v>
      </c>
      <c r="G2489" s="411">
        <f t="shared" si="277"/>
        <v>-9.9999999999997868E-3</v>
      </c>
      <c r="K2489" s="129"/>
      <c r="L2489" s="403">
        <f t="shared" si="278"/>
        <v>46287</v>
      </c>
      <c r="M2489" s="56" t="str">
        <f t="shared" si="279"/>
        <v>TUE</v>
      </c>
      <c r="O2489" s="383">
        <f t="shared" si="283"/>
        <v>1</v>
      </c>
      <c r="P2489" s="392">
        <f t="shared" si="282"/>
        <v>1.0001074999999999</v>
      </c>
    </row>
    <row r="2490" spans="1:16">
      <c r="A2490" s="238"/>
      <c r="B2490" s="239"/>
      <c r="C2490" s="403">
        <f t="shared" si="280"/>
        <v>46288</v>
      </c>
      <c r="D2490" s="56" t="str">
        <f>VLOOKUP(MOD(C2490,7),'CALENDAR INFO'!$G$5:$H$11,2)</f>
        <v>WED</v>
      </c>
      <c r="E2490" s="165">
        <v>3.88</v>
      </c>
      <c r="F2490" s="336">
        <v>3.87</v>
      </c>
      <c r="G2490" s="411">
        <f t="shared" si="277"/>
        <v>-9.9999999999997868E-3</v>
      </c>
      <c r="I2490" s="313"/>
      <c r="J2490" s="314"/>
      <c r="K2490" s="129"/>
      <c r="L2490" s="403">
        <f t="shared" si="278"/>
        <v>46288</v>
      </c>
      <c r="M2490" s="56" t="str">
        <f t="shared" si="279"/>
        <v>WED</v>
      </c>
      <c r="O2490" s="383">
        <f t="shared" si="283"/>
        <v>1</v>
      </c>
      <c r="P2490" s="392">
        <f t="shared" si="282"/>
        <v>1.0001074999999999</v>
      </c>
    </row>
    <row r="2491" spans="1:16">
      <c r="A2491" s="238"/>
      <c r="B2491" s="239"/>
      <c r="C2491" s="403">
        <f t="shared" si="280"/>
        <v>46289</v>
      </c>
      <c r="D2491" s="56" t="str">
        <f>VLOOKUP(MOD(C2491,7),'CALENDAR INFO'!$G$5:$H$11,2)</f>
        <v>THU</v>
      </c>
      <c r="E2491" s="165">
        <v>3.88</v>
      </c>
      <c r="F2491" s="336">
        <v>3.88</v>
      </c>
      <c r="G2491" s="411">
        <f t="shared" si="277"/>
        <v>0</v>
      </c>
      <c r="I2491" s="115"/>
      <c r="J2491" s="159"/>
      <c r="K2491" s="129"/>
      <c r="L2491" s="403">
        <f t="shared" si="278"/>
        <v>46289</v>
      </c>
      <c r="M2491" s="56" t="str">
        <f t="shared" si="279"/>
        <v>THU</v>
      </c>
      <c r="O2491" s="383">
        <f t="shared" si="283"/>
        <v>1</v>
      </c>
      <c r="P2491" s="392">
        <f t="shared" si="282"/>
        <v>1.0001077777777778</v>
      </c>
    </row>
    <row r="2492" spans="1:16">
      <c r="A2492" s="238"/>
      <c r="B2492" s="239"/>
      <c r="C2492" s="403">
        <f t="shared" si="280"/>
        <v>46290</v>
      </c>
      <c r="D2492" s="56" t="str">
        <f>VLOOKUP(MOD(C2492,7),'CALENDAR INFO'!$G$5:$H$11,2)</f>
        <v>FRI</v>
      </c>
      <c r="E2492" s="165">
        <v>3.88</v>
      </c>
      <c r="F2492" s="336">
        <v>3.9</v>
      </c>
      <c r="G2492" s="411">
        <f t="shared" si="277"/>
        <v>2.0000000000000018E-2</v>
      </c>
      <c r="I2492" s="137"/>
      <c r="J2492" s="150"/>
      <c r="K2492" s="129"/>
      <c r="L2492" s="403">
        <f t="shared" si="278"/>
        <v>46290</v>
      </c>
      <c r="M2492" s="56" t="str">
        <f t="shared" si="279"/>
        <v>FRI</v>
      </c>
      <c r="O2492" s="383">
        <f t="shared" si="283"/>
        <v>3</v>
      </c>
      <c r="P2492" s="392">
        <f t="shared" si="282"/>
        <v>1.0003249999999999</v>
      </c>
    </row>
    <row r="2493" spans="1:16">
      <c r="A2493" s="238"/>
      <c r="B2493" s="239"/>
      <c r="C2493" s="403">
        <f t="shared" si="280"/>
        <v>46291</v>
      </c>
      <c r="D2493" s="56" t="str">
        <f>VLOOKUP(MOD(C2493,7),'CALENDAR INFO'!$G$5:$H$11,2)</f>
        <v>SAT</v>
      </c>
      <c r="E2493" s="165">
        <v>3.88</v>
      </c>
      <c r="F2493" s="336">
        <v>3.9</v>
      </c>
      <c r="G2493" s="411">
        <f t="shared" si="277"/>
        <v>2.0000000000000018E-2</v>
      </c>
      <c r="I2493" s="137"/>
      <c r="J2493" s="150"/>
      <c r="K2493" s="129"/>
      <c r="L2493" s="403">
        <f t="shared" si="278"/>
        <v>46291</v>
      </c>
      <c r="M2493" s="56" t="str">
        <f t="shared" si="279"/>
        <v>SAT</v>
      </c>
      <c r="O2493" s="383">
        <f t="shared" si="283"/>
        <v>0</v>
      </c>
      <c r="P2493" s="392">
        <f t="shared" si="282"/>
        <v>1</v>
      </c>
    </row>
    <row r="2494" spans="1:16">
      <c r="A2494" s="238"/>
      <c r="B2494" s="239"/>
      <c r="C2494" s="403">
        <f t="shared" si="280"/>
        <v>46292</v>
      </c>
      <c r="D2494" s="56" t="str">
        <f>VLOOKUP(MOD(C2494,7),'CALENDAR INFO'!$G$5:$H$11,2)</f>
        <v>SUN</v>
      </c>
      <c r="E2494" s="165">
        <v>3.88</v>
      </c>
      <c r="F2494" s="336">
        <v>3.9</v>
      </c>
      <c r="G2494" s="411">
        <f t="shared" si="277"/>
        <v>2.0000000000000018E-2</v>
      </c>
      <c r="I2494" s="171"/>
      <c r="J2494" s="172"/>
      <c r="K2494" s="129"/>
      <c r="L2494" s="403">
        <f t="shared" si="278"/>
        <v>46292</v>
      </c>
      <c r="M2494" s="56" t="str">
        <f t="shared" si="279"/>
        <v>SUN</v>
      </c>
      <c r="O2494" s="383">
        <f t="shared" si="283"/>
        <v>0</v>
      </c>
      <c r="P2494" s="392">
        <f t="shared" si="282"/>
        <v>1</v>
      </c>
    </row>
    <row r="2495" spans="1:16">
      <c r="A2495" s="238"/>
      <c r="B2495" s="239"/>
      <c r="C2495" s="403">
        <f t="shared" si="280"/>
        <v>46293</v>
      </c>
      <c r="D2495" s="56" t="str">
        <f>VLOOKUP(MOD(C2495,7),'CALENDAR INFO'!$G$5:$H$11,2)</f>
        <v>MON</v>
      </c>
      <c r="E2495" s="165">
        <v>3.88</v>
      </c>
      <c r="F2495" s="336">
        <v>3.9</v>
      </c>
      <c r="G2495" s="411">
        <f t="shared" si="277"/>
        <v>2.0000000000000018E-2</v>
      </c>
      <c r="I2495" s="137"/>
      <c r="J2495" s="150"/>
      <c r="K2495" s="129"/>
      <c r="L2495" s="403">
        <f t="shared" si="278"/>
        <v>46293</v>
      </c>
      <c r="M2495" s="56" t="str">
        <f t="shared" si="279"/>
        <v>MON</v>
      </c>
      <c r="O2495" s="383">
        <f t="shared" si="283"/>
        <v>1</v>
      </c>
      <c r="P2495" s="392">
        <f t="shared" si="282"/>
        <v>1.0001083333333334</v>
      </c>
    </row>
    <row r="2496" spans="1:16">
      <c r="A2496" s="238"/>
      <c r="B2496" s="239"/>
      <c r="C2496" s="403">
        <f t="shared" si="280"/>
        <v>46294</v>
      </c>
      <c r="D2496" s="56" t="str">
        <f>VLOOKUP(MOD(C2496,7),'CALENDAR INFO'!$G$5:$H$11,2)</f>
        <v>TUE</v>
      </c>
      <c r="E2496" s="165">
        <v>3.88</v>
      </c>
      <c r="F2496" s="336">
        <v>3.88</v>
      </c>
      <c r="G2496" s="411">
        <f t="shared" si="277"/>
        <v>0</v>
      </c>
      <c r="K2496" s="129"/>
      <c r="L2496" s="403">
        <f t="shared" si="278"/>
        <v>46294</v>
      </c>
      <c r="M2496" s="56" t="str">
        <f t="shared" si="279"/>
        <v>TUE</v>
      </c>
      <c r="O2496" s="383">
        <f t="shared" si="283"/>
        <v>1</v>
      </c>
      <c r="P2496" s="392">
        <f t="shared" si="282"/>
        <v>1.0001077777777778</v>
      </c>
    </row>
    <row r="2497" spans="1:17" ht="15.75" thickBot="1">
      <c r="A2497" s="316"/>
      <c r="B2497" s="317"/>
      <c r="C2497" s="404">
        <f t="shared" si="280"/>
        <v>46295</v>
      </c>
      <c r="D2497" s="64" t="str">
        <f>VLOOKUP(MOD(C2497,7),'CALENDAR INFO'!$G$5:$H$11,2)</f>
        <v>WED</v>
      </c>
      <c r="E2497" s="166">
        <v>3.88</v>
      </c>
      <c r="F2497" s="337">
        <v>3.9</v>
      </c>
      <c r="G2497" s="412">
        <f t="shared" si="277"/>
        <v>2.0000000000000018E-2</v>
      </c>
      <c r="H2497" s="274"/>
      <c r="I2497" s="274"/>
      <c r="J2497" s="275"/>
      <c r="K2497" s="84" t="s">
        <v>19</v>
      </c>
      <c r="L2497" s="404">
        <f t="shared" si="278"/>
        <v>46295</v>
      </c>
      <c r="M2497" s="64" t="str">
        <f t="shared" si="279"/>
        <v>WED</v>
      </c>
      <c r="N2497" s="90"/>
      <c r="O2497" s="382">
        <f t="shared" si="283"/>
        <v>1</v>
      </c>
      <c r="P2497" s="388">
        <f t="shared" si="282"/>
        <v>1.0001083333333334</v>
      </c>
    </row>
    <row r="2498" spans="1:17">
      <c r="B2498" s="41"/>
      <c r="C2498" s="403">
        <f t="shared" si="280"/>
        <v>46296</v>
      </c>
      <c r="D2498" s="56" t="str">
        <f>VLOOKUP(MOD(C2498,7),'CALENDAR INFO'!$G$5:$H$11,2)</f>
        <v>THU</v>
      </c>
      <c r="E2498" s="165">
        <v>3.88</v>
      </c>
      <c r="F2498" s="336">
        <v>3.87</v>
      </c>
      <c r="G2498" s="411">
        <f t="shared" si="277"/>
        <v>-9.9999999999997868E-3</v>
      </c>
      <c r="H2498" s="15" t="s">
        <v>149</v>
      </c>
      <c r="I2498" s="15">
        <f>ROW(I2498)</f>
        <v>2498</v>
      </c>
      <c r="K2498" s="126" t="s">
        <v>18</v>
      </c>
      <c r="L2498" s="403">
        <f t="shared" si="278"/>
        <v>46296</v>
      </c>
      <c r="M2498" s="56" t="str">
        <f t="shared" si="279"/>
        <v>THU</v>
      </c>
      <c r="O2498" s="383">
        <f t="shared" si="283"/>
        <v>1</v>
      </c>
      <c r="P2498" s="392">
        <f t="shared" si="282"/>
        <v>1.0001074999999999</v>
      </c>
    </row>
    <row r="2499" spans="1:17">
      <c r="B2499" s="41"/>
      <c r="C2499" s="403">
        <f t="shared" si="280"/>
        <v>46297</v>
      </c>
      <c r="D2499" s="56" t="str">
        <f>VLOOKUP(MOD(C2499,7),'CALENDAR INFO'!$G$5:$H$11,2)</f>
        <v>FRI</v>
      </c>
      <c r="E2499" s="165">
        <v>3.88</v>
      </c>
      <c r="F2499" s="336">
        <v>3.88</v>
      </c>
      <c r="G2499" s="411">
        <f t="shared" ref="G2499:G2562" si="284">F2499-E2499</f>
        <v>0</v>
      </c>
      <c r="H2499" s="376" t="s">
        <v>210</v>
      </c>
      <c r="I2499" s="171">
        <f>VLOOKUP(MONTH($C2498),'CALENDAR INFO'!$J$5:$K$16,2)</f>
        <v>31</v>
      </c>
      <c r="J2499" s="172"/>
      <c r="K2499" s="126"/>
      <c r="L2499" s="403">
        <f t="shared" ref="L2499:L2562" si="285">C2499</f>
        <v>46297</v>
      </c>
      <c r="M2499" s="56" t="str">
        <f t="shared" ref="M2499:M2562" si="286">D2499</f>
        <v>FRI</v>
      </c>
      <c r="O2499" s="383">
        <f t="shared" si="283"/>
        <v>3</v>
      </c>
      <c r="P2499" s="392">
        <f t="shared" si="282"/>
        <v>1.0003233333333332</v>
      </c>
    </row>
    <row r="2500" spans="1:17">
      <c r="B2500" s="41"/>
      <c r="C2500" s="403">
        <f t="shared" ref="C2500:C2563" si="287">C2499+1</f>
        <v>46298</v>
      </c>
      <c r="D2500" s="56" t="str">
        <f>VLOOKUP(MOD(C2500,7),'CALENDAR INFO'!$G$5:$H$11,2)</f>
        <v>SAT</v>
      </c>
      <c r="E2500" s="165">
        <v>3.88</v>
      </c>
      <c r="F2500" s="336">
        <v>3.88</v>
      </c>
      <c r="G2500" s="411">
        <f t="shared" si="284"/>
        <v>0</v>
      </c>
      <c r="H2500" s="376" t="s">
        <v>211</v>
      </c>
      <c r="I2500" s="15">
        <f>I2499+I2498-1</f>
        <v>2528</v>
      </c>
      <c r="K2500" s="126"/>
      <c r="L2500" s="403">
        <f t="shared" si="285"/>
        <v>46298</v>
      </c>
      <c r="M2500" s="56" t="str">
        <f t="shared" si="286"/>
        <v>SAT</v>
      </c>
      <c r="O2500" s="383">
        <f t="shared" si="283"/>
        <v>0</v>
      </c>
      <c r="P2500" s="392">
        <f t="shared" si="282"/>
        <v>1</v>
      </c>
    </row>
    <row r="2501" spans="1:17">
      <c r="B2501" s="41"/>
      <c r="C2501" s="403">
        <f t="shared" si="287"/>
        <v>46299</v>
      </c>
      <c r="D2501" s="56" t="str">
        <f>VLOOKUP(MOD(C2501,7),'CALENDAR INFO'!$G$5:$H$11,2)</f>
        <v>SUN</v>
      </c>
      <c r="E2501" s="165">
        <v>3.88</v>
      </c>
      <c r="F2501" s="336">
        <v>3.88</v>
      </c>
      <c r="G2501" s="411">
        <f t="shared" si="284"/>
        <v>0</v>
      </c>
      <c r="K2501" s="126"/>
      <c r="L2501" s="403">
        <f t="shared" si="285"/>
        <v>46299</v>
      </c>
      <c r="M2501" s="56" t="str">
        <f t="shared" si="286"/>
        <v>SUN</v>
      </c>
      <c r="O2501" s="383">
        <f t="shared" si="283"/>
        <v>0</v>
      </c>
      <c r="P2501" s="392">
        <f t="shared" si="282"/>
        <v>1</v>
      </c>
    </row>
    <row r="2502" spans="1:17">
      <c r="B2502" s="41"/>
      <c r="C2502" s="403">
        <f t="shared" si="287"/>
        <v>46300</v>
      </c>
      <c r="D2502" s="56" t="str">
        <f>VLOOKUP(MOD(C2502,7),'CALENDAR INFO'!$G$5:$H$11,2)</f>
        <v>MON</v>
      </c>
      <c r="E2502" s="165">
        <v>3.88</v>
      </c>
      <c r="F2502" s="336">
        <v>3.89</v>
      </c>
      <c r="G2502" s="411">
        <f t="shared" si="284"/>
        <v>1.0000000000000231E-2</v>
      </c>
      <c r="H2502" s="15" t="s">
        <v>224</v>
      </c>
      <c r="I2502" s="136">
        <v>2525</v>
      </c>
      <c r="K2502" s="126"/>
      <c r="L2502" s="403">
        <f t="shared" si="285"/>
        <v>46300</v>
      </c>
      <c r="M2502" s="56" t="str">
        <f t="shared" si="286"/>
        <v>MON</v>
      </c>
      <c r="O2502" s="383">
        <f t="shared" si="283"/>
        <v>1</v>
      </c>
      <c r="P2502" s="392">
        <f t="shared" si="282"/>
        <v>1.0001080555555555</v>
      </c>
    </row>
    <row r="2503" spans="1:17">
      <c r="B2503" s="41"/>
      <c r="C2503" s="403">
        <f t="shared" si="287"/>
        <v>46301</v>
      </c>
      <c r="D2503" s="56" t="str">
        <f>VLOOKUP(MOD(C2503,7),'CALENDAR INFO'!$G$5:$H$11,2)</f>
        <v>TUE</v>
      </c>
      <c r="E2503" s="165">
        <v>3.88</v>
      </c>
      <c r="F2503" s="336">
        <v>3.9</v>
      </c>
      <c r="G2503" s="411">
        <f t="shared" si="284"/>
        <v>2.0000000000000018E-2</v>
      </c>
      <c r="H2503" s="15" t="s">
        <v>225</v>
      </c>
      <c r="I2503" s="15" t="str">
        <f>_xlfn.CONCAT(ADDRESS(I2498,1),":",ADDRESS(I2502,1))</f>
        <v>$A$2498:$A$2525</v>
      </c>
      <c r="J2503" s="138" t="str">
        <f>_xlfn.CONCAT(ADDRESS(I2498,2),":",ADDRESS(I2502,2))</f>
        <v>$B$2498:$B$2525</v>
      </c>
      <c r="K2503" s="126"/>
      <c r="L2503" s="403">
        <f t="shared" si="285"/>
        <v>46301</v>
      </c>
      <c r="M2503" s="56" t="str">
        <f t="shared" si="286"/>
        <v>TUE</v>
      </c>
      <c r="O2503" s="383">
        <f t="shared" si="283"/>
        <v>1</v>
      </c>
      <c r="P2503" s="392">
        <f t="shared" si="282"/>
        <v>1.0001083333333334</v>
      </c>
    </row>
    <row r="2504" spans="1:17">
      <c r="B2504" s="41"/>
      <c r="C2504" s="403">
        <f t="shared" si="287"/>
        <v>46302</v>
      </c>
      <c r="D2504" s="56" t="str">
        <f>VLOOKUP(MOD(C2504,7),'CALENDAR INFO'!$G$5:$H$11,2)</f>
        <v>WED</v>
      </c>
      <c r="E2504" s="165">
        <v>3.88</v>
      </c>
      <c r="F2504" s="336">
        <v>3.88</v>
      </c>
      <c r="G2504" s="411">
        <f t="shared" si="284"/>
        <v>0</v>
      </c>
      <c r="H2504" s="15" t="s">
        <v>226</v>
      </c>
      <c r="I2504" s="15" t="str">
        <f>_xlfn.CONCAT(ADDRESS(I2502+1,1),":",ADDRESS(I2500,1))</f>
        <v>$A$2526:$A$2528</v>
      </c>
      <c r="J2504" s="138" t="str">
        <f>_xlfn.CONCAT(ADDRESS(I2502+1,2),":",ADDRESS(I2500,2))</f>
        <v>$B$2526:$B$2528</v>
      </c>
      <c r="K2504" s="126"/>
      <c r="L2504" s="403">
        <f t="shared" si="285"/>
        <v>46302</v>
      </c>
      <c r="M2504" s="56" t="str">
        <f t="shared" si="286"/>
        <v>WED</v>
      </c>
      <c r="O2504" s="383">
        <f t="shared" si="283"/>
        <v>1</v>
      </c>
      <c r="P2504" s="392">
        <f t="shared" si="282"/>
        <v>1.0001077777777778</v>
      </c>
    </row>
    <row r="2505" spans="1:17">
      <c r="B2505" s="41"/>
      <c r="C2505" s="403">
        <f t="shared" si="287"/>
        <v>46303</v>
      </c>
      <c r="D2505" s="56" t="str">
        <f>VLOOKUP(MOD(C2505,7),'CALENDAR INFO'!$G$5:$H$11,2)</f>
        <v>THU</v>
      </c>
      <c r="E2505" s="165">
        <v>3.88</v>
      </c>
      <c r="F2505" s="336">
        <v>3.87</v>
      </c>
      <c r="G2505" s="411">
        <f t="shared" si="284"/>
        <v>-9.9999999999997868E-3</v>
      </c>
      <c r="H2505" s="15" t="s">
        <v>150</v>
      </c>
      <c r="I2505" s="15" t="str">
        <f>_xlfn.CONCAT(ADDRESS(I2498,5),":",ADDRESS(I2500,5))</f>
        <v>$E$2498:$E$2528</v>
      </c>
      <c r="J2505" s="138" t="str">
        <f>_xlfn.CONCAT(ADDRESS(I2498,6),":",ADDRESS(I2500,6))</f>
        <v>$F$2498:$F$2528</v>
      </c>
      <c r="K2505" s="126"/>
      <c r="L2505" s="403">
        <f t="shared" si="285"/>
        <v>46303</v>
      </c>
      <c r="M2505" s="56" t="str">
        <f t="shared" si="286"/>
        <v>THU</v>
      </c>
      <c r="O2505" s="383">
        <f t="shared" si="283"/>
        <v>1</v>
      </c>
      <c r="P2505" s="392">
        <f t="shared" si="282"/>
        <v>1.0001074999999999</v>
      </c>
    </row>
    <row r="2506" spans="1:17">
      <c r="B2506" s="41"/>
      <c r="C2506" s="403">
        <f t="shared" si="287"/>
        <v>46304</v>
      </c>
      <c r="D2506" s="56" t="str">
        <f>VLOOKUP(MOD(C2506,7),'CALENDAR INFO'!$G$5:$H$11,2)</f>
        <v>FRI</v>
      </c>
      <c r="E2506" s="165">
        <v>3.88</v>
      </c>
      <c r="F2506" s="336">
        <v>3.87</v>
      </c>
      <c r="G2506" s="411">
        <f t="shared" si="284"/>
        <v>-9.9999999999997868E-3</v>
      </c>
      <c r="K2506" s="126"/>
      <c r="L2506" s="403">
        <f t="shared" si="285"/>
        <v>46304</v>
      </c>
      <c r="M2506" s="56" t="str">
        <f t="shared" si="286"/>
        <v>FRI</v>
      </c>
      <c r="O2506" s="384">
        <v>4</v>
      </c>
      <c r="P2506" s="392">
        <f t="shared" si="282"/>
        <v>1.0004299999999999</v>
      </c>
    </row>
    <row r="2507" spans="1:17">
      <c r="B2507" s="41"/>
      <c r="C2507" s="403">
        <f t="shared" si="287"/>
        <v>46305</v>
      </c>
      <c r="D2507" s="56" t="str">
        <f>VLOOKUP(MOD(C2507,7),'CALENDAR INFO'!$G$5:$H$11,2)</f>
        <v>SAT</v>
      </c>
      <c r="E2507" s="165">
        <v>3.88</v>
      </c>
      <c r="F2507" s="336">
        <v>3.87</v>
      </c>
      <c r="G2507" s="411">
        <f t="shared" si="284"/>
        <v>-9.9999999999997868E-3</v>
      </c>
      <c r="H2507" s="15" t="s">
        <v>175</v>
      </c>
      <c r="I2507" s="139">
        <f>OUTPUT!C6</f>
        <v>3.8824999999999932</v>
      </c>
      <c r="J2507" s="151">
        <f>OUTPUT!F6</f>
        <v>3.9000000000000057</v>
      </c>
      <c r="K2507" s="126"/>
      <c r="L2507" s="403">
        <f t="shared" si="285"/>
        <v>46305</v>
      </c>
      <c r="M2507" s="56" t="str">
        <f t="shared" si="286"/>
        <v>SAT</v>
      </c>
      <c r="O2507" s="383">
        <f>IF(MOD(C2507,7)&lt;2,0,IF(MOD(C2507,7)=6,3,1))</f>
        <v>0</v>
      </c>
      <c r="P2507" s="392">
        <f t="shared" si="282"/>
        <v>1</v>
      </c>
    </row>
    <row r="2508" spans="1:17">
      <c r="B2508" s="41"/>
      <c r="C2508" s="403">
        <f t="shared" si="287"/>
        <v>46306</v>
      </c>
      <c r="D2508" s="56" t="str">
        <f>VLOOKUP(MOD(C2508,7),'CALENDAR INFO'!$G$5:$H$11,2)</f>
        <v>SUN</v>
      </c>
      <c r="E2508" s="165">
        <v>3.88</v>
      </c>
      <c r="F2508" s="336">
        <v>3.87</v>
      </c>
      <c r="G2508" s="411">
        <f t="shared" si="284"/>
        <v>-9.9999999999997868E-3</v>
      </c>
      <c r="H2508" s="15" t="s">
        <v>209</v>
      </c>
      <c r="I2508" s="171">
        <f>I2499</f>
        <v>31</v>
      </c>
      <c r="J2508" s="172">
        <f>I2499</f>
        <v>31</v>
      </c>
      <c r="K2508" s="126"/>
      <c r="L2508" s="403">
        <f t="shared" si="285"/>
        <v>46306</v>
      </c>
      <c r="M2508" s="56" t="str">
        <f t="shared" si="286"/>
        <v>SUN</v>
      </c>
      <c r="O2508" s="383">
        <f>IF(MOD(C2508,7)&lt;2,0,IF(MOD(C2508,7)=6,3,1))</f>
        <v>0</v>
      </c>
      <c r="P2508" s="392">
        <f t="shared" si="282"/>
        <v>1</v>
      </c>
    </row>
    <row r="2509" spans="1:17">
      <c r="B2509" s="41"/>
      <c r="C2509" s="403">
        <f t="shared" si="287"/>
        <v>46307</v>
      </c>
      <c r="D2509" s="56" t="str">
        <f>VLOOKUP(MOD(C2509,7),'CALENDAR INFO'!$G$5:$H$11,2)</f>
        <v>MON</v>
      </c>
      <c r="E2509" s="165">
        <v>3.88</v>
      </c>
      <c r="F2509" s="336">
        <v>3.87</v>
      </c>
      <c r="G2509" s="411">
        <f t="shared" si="284"/>
        <v>-9.9999999999997868E-3</v>
      </c>
      <c r="H2509" s="376" t="s">
        <v>214</v>
      </c>
      <c r="I2509" s="137">
        <f>I2507*I2508</f>
        <v>120.35749999999979</v>
      </c>
      <c r="J2509" s="150">
        <f>J2507*J2508</f>
        <v>120.90000000000018</v>
      </c>
      <c r="K2509" s="126"/>
      <c r="L2509" s="403">
        <f t="shared" si="285"/>
        <v>46307</v>
      </c>
      <c r="M2509" s="56" t="str">
        <f t="shared" si="286"/>
        <v>MON</v>
      </c>
      <c r="N2509" s="132" t="s">
        <v>107</v>
      </c>
      <c r="O2509" s="384">
        <v>0</v>
      </c>
      <c r="P2509" s="392">
        <f t="shared" si="282"/>
        <v>1</v>
      </c>
    </row>
    <row r="2510" spans="1:17" ht="15.75">
      <c r="B2510" s="41"/>
      <c r="C2510" s="403">
        <f t="shared" si="287"/>
        <v>46308</v>
      </c>
      <c r="D2510" s="56" t="str">
        <f>VLOOKUP(MOD(C2510,7),'CALENDAR INFO'!$G$5:$H$11,2)</f>
        <v>TUE</v>
      </c>
      <c r="E2510" s="165">
        <v>3.88</v>
      </c>
      <c r="F2510" s="336">
        <v>3.89</v>
      </c>
      <c r="G2510" s="411">
        <f t="shared" si="284"/>
        <v>1.0000000000000231E-2</v>
      </c>
      <c r="H2510" s="376" t="s">
        <v>215</v>
      </c>
      <c r="I2510" s="163">
        <f ca="1">SUM(INDIRECT(I2505))</f>
        <v>100.87999999999997</v>
      </c>
      <c r="J2510" s="164">
        <f ca="1">SUM(INDIRECT(J2505))</f>
        <v>101.05</v>
      </c>
      <c r="K2510" s="126"/>
      <c r="L2510" s="403">
        <f t="shared" si="285"/>
        <v>46308</v>
      </c>
      <c r="M2510" s="56" t="str">
        <f t="shared" si="286"/>
        <v>TUE</v>
      </c>
      <c r="O2510" s="383">
        <f t="shared" ref="O2510:O2537" si="288">IF(MOD(C2510,7)&lt;2,0,IF(MOD(C2510,7)=6,3,1))</f>
        <v>1</v>
      </c>
      <c r="P2510" s="392">
        <f t="shared" si="282"/>
        <v>1.0001080555555555</v>
      </c>
      <c r="Q2510" s="1" t="s">
        <v>184</v>
      </c>
    </row>
    <row r="2511" spans="1:17" ht="15.75">
      <c r="B2511" s="41"/>
      <c r="C2511" s="403">
        <f t="shared" si="287"/>
        <v>46309</v>
      </c>
      <c r="D2511" s="56" t="str">
        <f>VLOOKUP(MOD(C2511,7),'CALENDAR INFO'!$G$5:$H$11,2)</f>
        <v>WED</v>
      </c>
      <c r="E2511" s="165">
        <v>3.88</v>
      </c>
      <c r="F2511" s="336">
        <v>3.88</v>
      </c>
      <c r="G2511" s="411">
        <f t="shared" si="284"/>
        <v>0</v>
      </c>
      <c r="H2511" s="376" t="s">
        <v>216</v>
      </c>
      <c r="I2511" s="137">
        <f ca="1">I2509-I2510</f>
        <v>19.477499999999822</v>
      </c>
      <c r="J2511" s="150">
        <f ca="1">J2509-J2510</f>
        <v>19.850000000000179</v>
      </c>
      <c r="K2511" s="126" t="s">
        <v>19</v>
      </c>
      <c r="L2511" s="403">
        <f t="shared" si="285"/>
        <v>46309</v>
      </c>
      <c r="M2511" s="56" t="str">
        <f t="shared" si="286"/>
        <v>WED</v>
      </c>
      <c r="O2511" s="383">
        <f t="shared" si="288"/>
        <v>1</v>
      </c>
      <c r="P2511" s="392">
        <f t="shared" si="282"/>
        <v>1.0001077777777778</v>
      </c>
      <c r="Q2511" s="1" t="s">
        <v>183</v>
      </c>
    </row>
    <row r="2512" spans="1:17" ht="15.75">
      <c r="B2512" s="41"/>
      <c r="C2512" s="403">
        <f t="shared" si="287"/>
        <v>46310</v>
      </c>
      <c r="D2512" s="56" t="str">
        <f>VLOOKUP(MOD(C2512,7),'CALENDAR INFO'!$G$5:$H$11,2)</f>
        <v>THU</v>
      </c>
      <c r="E2512" s="165">
        <v>3.88</v>
      </c>
      <c r="F2512" s="336">
        <v>3.89</v>
      </c>
      <c r="G2512" s="411">
        <f t="shared" si="284"/>
        <v>1.0000000000000231E-2</v>
      </c>
      <c r="K2512" s="129" t="s">
        <v>18</v>
      </c>
      <c r="L2512" s="403">
        <f t="shared" si="285"/>
        <v>46310</v>
      </c>
      <c r="M2512" s="56" t="str">
        <f t="shared" si="286"/>
        <v>THU</v>
      </c>
      <c r="O2512" s="383">
        <f t="shared" si="288"/>
        <v>1</v>
      </c>
      <c r="P2512" s="392">
        <f t="shared" si="282"/>
        <v>1.0001080555555555</v>
      </c>
      <c r="Q2512" s="420" t="s">
        <v>37</v>
      </c>
    </row>
    <row r="2513" spans="1:17" ht="15.75">
      <c r="B2513" s="41"/>
      <c r="C2513" s="403">
        <f t="shared" si="287"/>
        <v>46311</v>
      </c>
      <c r="D2513" s="56" t="str">
        <f>VLOOKUP(MOD(C2513,7),'CALENDAR INFO'!$G$5:$H$11,2)</f>
        <v>FRI</v>
      </c>
      <c r="E2513" s="165">
        <v>3.88</v>
      </c>
      <c r="F2513" s="336">
        <v>3.88</v>
      </c>
      <c r="G2513" s="411">
        <f t="shared" si="284"/>
        <v>0</v>
      </c>
      <c r="H2513" s="15" t="s">
        <v>228</v>
      </c>
      <c r="I2513" s="137">
        <f ca="1">IF(COUNT(INDIRECT(I2503))&gt;0,I2539,I2511/(I2499-COUNT(INDIRECT(I2505))))</f>
        <v>3.9050000000000011</v>
      </c>
      <c r="J2513" s="150" t="e">
        <f ca="1">IF(J2518&gt;0,J2539,J2511/J2514)</f>
        <v>#DIV/0!</v>
      </c>
      <c r="K2513" s="129"/>
      <c r="L2513" s="403">
        <f t="shared" si="285"/>
        <v>46311</v>
      </c>
      <c r="M2513" s="56" t="str">
        <f t="shared" si="286"/>
        <v>FRI</v>
      </c>
      <c r="O2513" s="383">
        <f t="shared" si="288"/>
        <v>3</v>
      </c>
      <c r="P2513" s="392">
        <f t="shared" si="282"/>
        <v>1.0003233333333332</v>
      </c>
      <c r="Q2513" s="421" t="s">
        <v>36</v>
      </c>
    </row>
    <row r="2514" spans="1:17">
      <c r="B2514" s="41"/>
      <c r="C2514" s="403">
        <f t="shared" si="287"/>
        <v>46312</v>
      </c>
      <c r="D2514" s="56" t="str">
        <f>VLOOKUP(MOD(C2514,7),'CALENDAR INFO'!$G$5:$H$11,2)</f>
        <v>SAT</v>
      </c>
      <c r="E2514" s="165">
        <v>3.88</v>
      </c>
      <c r="F2514" s="336">
        <v>3.88</v>
      </c>
      <c r="G2514" s="411">
        <f t="shared" si="284"/>
        <v>0</v>
      </c>
      <c r="H2514" s="376"/>
      <c r="I2514" s="171"/>
      <c r="J2514" s="172"/>
      <c r="K2514" s="129"/>
      <c r="L2514" s="403">
        <f t="shared" si="285"/>
        <v>46312</v>
      </c>
      <c r="M2514" s="56" t="str">
        <f t="shared" si="286"/>
        <v>SAT</v>
      </c>
      <c r="O2514" s="383">
        <f t="shared" si="288"/>
        <v>0</v>
      </c>
      <c r="P2514" s="392">
        <f t="shared" si="282"/>
        <v>1</v>
      </c>
    </row>
    <row r="2515" spans="1:17">
      <c r="B2515" s="41"/>
      <c r="C2515" s="403">
        <f t="shared" si="287"/>
        <v>46313</v>
      </c>
      <c r="D2515" s="56" t="str">
        <f>VLOOKUP(MOD(C2515,7),'CALENDAR INFO'!$G$5:$H$11,2)</f>
        <v>SUN</v>
      </c>
      <c r="E2515" s="165">
        <v>3.88</v>
      </c>
      <c r="F2515" s="336">
        <v>3.88</v>
      </c>
      <c r="G2515" s="411">
        <f t="shared" si="284"/>
        <v>0</v>
      </c>
      <c r="H2515" s="15" t="s">
        <v>218</v>
      </c>
      <c r="I2515" s="137">
        <f ca="1">I2511</f>
        <v>19.477499999999822</v>
      </c>
      <c r="J2515" s="150">
        <f ca="1">J2511</f>
        <v>19.850000000000179</v>
      </c>
      <c r="K2515" s="129"/>
      <c r="L2515" s="403">
        <f t="shared" si="285"/>
        <v>46313</v>
      </c>
      <c r="M2515" s="56" t="str">
        <f t="shared" si="286"/>
        <v>SUN</v>
      </c>
      <c r="O2515" s="383">
        <f t="shared" si="288"/>
        <v>0</v>
      </c>
      <c r="P2515" s="392">
        <f t="shared" ref="P2515:P2578" si="289">1+(O2515/360)*(MAX(F2515,B2515)/100)</f>
        <v>1</v>
      </c>
    </row>
    <row r="2516" spans="1:17">
      <c r="B2516" s="41"/>
      <c r="C2516" s="403">
        <f t="shared" si="287"/>
        <v>46314</v>
      </c>
      <c r="D2516" s="56" t="str">
        <f>VLOOKUP(MOD(C2516,7),'CALENDAR INFO'!$G$5:$H$11,2)</f>
        <v>MON</v>
      </c>
      <c r="E2516" s="165">
        <v>3.88</v>
      </c>
      <c r="F2516" s="336">
        <v>3.87</v>
      </c>
      <c r="G2516" s="411">
        <f t="shared" si="284"/>
        <v>-9.9999999999997868E-3</v>
      </c>
      <c r="H2516" s="376" t="s">
        <v>234</v>
      </c>
      <c r="I2516" s="163">
        <f ca="1">SUM(INDIRECT(I2504))</f>
        <v>11.715000000000003</v>
      </c>
      <c r="J2516" s="164" t="e">
        <f>#REF!</f>
        <v>#REF!</v>
      </c>
      <c r="K2516" s="129"/>
      <c r="L2516" s="403">
        <f t="shared" si="285"/>
        <v>46314</v>
      </c>
      <c r="M2516" s="56" t="str">
        <f t="shared" si="286"/>
        <v>MON</v>
      </c>
      <c r="O2516" s="383">
        <f t="shared" si="288"/>
        <v>1</v>
      </c>
      <c r="P2516" s="392">
        <f t="shared" si="289"/>
        <v>1.0001074999999999</v>
      </c>
    </row>
    <row r="2517" spans="1:17">
      <c r="B2517" s="41"/>
      <c r="C2517" s="403">
        <f t="shared" si="287"/>
        <v>46315</v>
      </c>
      <c r="D2517" s="56" t="str">
        <f>VLOOKUP(MOD(C2517,7),'CALENDAR INFO'!$G$5:$H$11,2)</f>
        <v>TUE</v>
      </c>
      <c r="E2517" s="165">
        <v>3.88</v>
      </c>
      <c r="F2517" s="336">
        <v>3.88</v>
      </c>
      <c r="G2517" s="411">
        <f t="shared" si="284"/>
        <v>0</v>
      </c>
      <c r="H2517" s="15" t="s">
        <v>235</v>
      </c>
      <c r="I2517" s="137">
        <f ca="1">I2515-I2516</f>
        <v>7.7624999999998181</v>
      </c>
      <c r="J2517" s="150" t="e">
        <f ca="1">J2515-J2516</f>
        <v>#REF!</v>
      </c>
      <c r="K2517" s="129"/>
      <c r="L2517" s="403">
        <f t="shared" si="285"/>
        <v>46315</v>
      </c>
      <c r="M2517" s="56" t="str">
        <f t="shared" si="286"/>
        <v>TUE</v>
      </c>
      <c r="O2517" s="383">
        <f t="shared" si="288"/>
        <v>1</v>
      </c>
      <c r="P2517" s="392">
        <f t="shared" si="289"/>
        <v>1.0001077777777778</v>
      </c>
      <c r="Q2517" s="72" t="s">
        <v>91</v>
      </c>
    </row>
    <row r="2518" spans="1:17">
      <c r="B2518" s="41"/>
      <c r="C2518" s="403">
        <f t="shared" si="287"/>
        <v>46316</v>
      </c>
      <c r="D2518" s="56" t="str">
        <f>VLOOKUP(MOD(C2518,7),'CALENDAR INFO'!$G$5:$H$11,2)</f>
        <v>WED</v>
      </c>
      <c r="E2518" s="165">
        <v>3.88</v>
      </c>
      <c r="F2518" s="336">
        <v>3.88</v>
      </c>
      <c r="G2518" s="411">
        <f t="shared" si="284"/>
        <v>0</v>
      </c>
      <c r="H2518" s="376" t="s">
        <v>236</v>
      </c>
      <c r="I2518" s="171">
        <f ca="1">COUNT(INDIRECT(I2503))</f>
        <v>2</v>
      </c>
      <c r="J2518" s="172">
        <f ca="1">COUNT(INDIRECT(J2503))</f>
        <v>0</v>
      </c>
      <c r="K2518" s="129"/>
      <c r="L2518" s="403">
        <f t="shared" si="285"/>
        <v>46316</v>
      </c>
      <c r="M2518" s="56" t="str">
        <f t="shared" si="286"/>
        <v>WED</v>
      </c>
      <c r="O2518" s="383">
        <f t="shared" si="288"/>
        <v>1</v>
      </c>
      <c r="P2518" s="392">
        <f t="shared" si="289"/>
        <v>1.0001077777777778</v>
      </c>
      <c r="Q2518" s="422" t="s">
        <v>177</v>
      </c>
    </row>
    <row r="2519" spans="1:17">
      <c r="B2519" s="41"/>
      <c r="C2519" s="403">
        <f t="shared" si="287"/>
        <v>46317</v>
      </c>
      <c r="D2519" s="56" t="str">
        <f>VLOOKUP(MOD(C2519,7),'CALENDAR INFO'!$G$5:$H$11,2)</f>
        <v>THU</v>
      </c>
      <c r="E2519" s="165">
        <v>3.88</v>
      </c>
      <c r="F2519" s="336">
        <v>3.9</v>
      </c>
      <c r="G2519" s="411">
        <f t="shared" si="284"/>
        <v>2.0000000000000018E-2</v>
      </c>
      <c r="H2519" s="15" t="s">
        <v>237</v>
      </c>
      <c r="I2519" s="137">
        <f ca="1">I2517/I2518</f>
        <v>3.8812499999999091</v>
      </c>
      <c r="J2519" s="150" t="e">
        <f ca="1">J2517/J2518</f>
        <v>#REF!</v>
      </c>
      <c r="K2519" s="129"/>
      <c r="L2519" s="403">
        <f t="shared" si="285"/>
        <v>46317</v>
      </c>
      <c r="M2519" s="56" t="str">
        <f t="shared" si="286"/>
        <v>THU</v>
      </c>
      <c r="O2519" s="383">
        <f t="shared" si="288"/>
        <v>1</v>
      </c>
      <c r="P2519" s="392">
        <f t="shared" si="289"/>
        <v>1.0001083333333334</v>
      </c>
    </row>
    <row r="2520" spans="1:17">
      <c r="B2520" s="41"/>
      <c r="C2520" s="403">
        <f t="shared" si="287"/>
        <v>46318</v>
      </c>
      <c r="D2520" s="56" t="str">
        <f>VLOOKUP(MOD(C2520,7),'CALENDAR INFO'!$G$5:$H$11,2)</f>
        <v>FRI</v>
      </c>
      <c r="E2520" s="165">
        <v>3.88</v>
      </c>
      <c r="F2520" s="336">
        <v>3.92</v>
      </c>
      <c r="G2520" s="411">
        <f t="shared" si="284"/>
        <v>4.0000000000000036E-2</v>
      </c>
      <c r="K2520" s="129"/>
      <c r="L2520" s="403">
        <f t="shared" si="285"/>
        <v>46318</v>
      </c>
      <c r="M2520" s="56" t="str">
        <f t="shared" si="286"/>
        <v>FRI</v>
      </c>
      <c r="O2520" s="383">
        <f t="shared" si="288"/>
        <v>3</v>
      </c>
      <c r="P2520" s="392">
        <f t="shared" si="289"/>
        <v>1.0003266666666666</v>
      </c>
    </row>
    <row r="2521" spans="1:17">
      <c r="B2521" s="41"/>
      <c r="C2521" s="403">
        <f t="shared" si="287"/>
        <v>46319</v>
      </c>
      <c r="D2521" s="56" t="str">
        <f>VLOOKUP(MOD(C2521,7),'CALENDAR INFO'!$G$5:$H$11,2)</f>
        <v>SAT</v>
      </c>
      <c r="E2521" s="165">
        <v>3.88</v>
      </c>
      <c r="F2521" s="336">
        <v>3.92</v>
      </c>
      <c r="G2521" s="411">
        <f t="shared" si="284"/>
        <v>4.0000000000000036E-2</v>
      </c>
      <c r="K2521" s="129"/>
      <c r="L2521" s="403">
        <f t="shared" si="285"/>
        <v>46319</v>
      </c>
      <c r="M2521" s="56" t="str">
        <f t="shared" si="286"/>
        <v>SAT</v>
      </c>
      <c r="O2521" s="383">
        <f t="shared" si="288"/>
        <v>0</v>
      </c>
      <c r="P2521" s="392">
        <f t="shared" si="289"/>
        <v>1</v>
      </c>
    </row>
    <row r="2522" spans="1:17">
      <c r="B2522" s="41"/>
      <c r="C2522" s="403">
        <f t="shared" si="287"/>
        <v>46320</v>
      </c>
      <c r="D2522" s="56" t="str">
        <f>VLOOKUP(MOD(C2522,7),'CALENDAR INFO'!$G$5:$H$11,2)</f>
        <v>SUN</v>
      </c>
      <c r="E2522" s="165">
        <v>3.88</v>
      </c>
      <c r="F2522" s="336">
        <v>3.92</v>
      </c>
      <c r="G2522" s="411">
        <f t="shared" si="284"/>
        <v>4.0000000000000036E-2</v>
      </c>
      <c r="K2522" s="129"/>
      <c r="L2522" s="403">
        <f t="shared" si="285"/>
        <v>46320</v>
      </c>
      <c r="M2522" s="56" t="str">
        <f t="shared" si="286"/>
        <v>SUN</v>
      </c>
      <c r="O2522" s="383">
        <f t="shared" si="288"/>
        <v>0</v>
      </c>
      <c r="P2522" s="392">
        <f t="shared" si="289"/>
        <v>1</v>
      </c>
    </row>
    <row r="2523" spans="1:17">
      <c r="B2523" s="41"/>
      <c r="C2523" s="403">
        <f t="shared" si="287"/>
        <v>46321</v>
      </c>
      <c r="D2523" s="56" t="str">
        <f>VLOOKUP(MOD(C2523,7),'CALENDAR INFO'!$G$5:$H$11,2)</f>
        <v>MON</v>
      </c>
      <c r="E2523" s="165">
        <v>3.88</v>
      </c>
      <c r="F2523" s="336">
        <v>3.93</v>
      </c>
      <c r="G2523" s="411">
        <f t="shared" si="284"/>
        <v>5.0000000000000266E-2</v>
      </c>
      <c r="H2523" s="376" t="s">
        <v>221</v>
      </c>
      <c r="I2523" s="147">
        <f ca="1">AVERAGE(INDIRECT(I2505))</f>
        <v>3.8799999999999986</v>
      </c>
      <c r="J2523" s="326">
        <f ca="1">AVERAGE(INDIRECT(J2505))</f>
        <v>3.8865384615384615</v>
      </c>
      <c r="K2523" s="129"/>
      <c r="L2523" s="403">
        <f t="shared" si="285"/>
        <v>46321</v>
      </c>
      <c r="M2523" s="56" t="str">
        <f t="shared" si="286"/>
        <v>MON</v>
      </c>
      <c r="O2523" s="383">
        <f t="shared" si="288"/>
        <v>1</v>
      </c>
      <c r="P2523" s="392">
        <f t="shared" si="289"/>
        <v>1.0001091666666666</v>
      </c>
    </row>
    <row r="2524" spans="1:17">
      <c r="A2524" s="39">
        <v>1</v>
      </c>
      <c r="B2524" s="41"/>
      <c r="C2524" s="403">
        <f t="shared" si="287"/>
        <v>46322</v>
      </c>
      <c r="D2524" s="56" t="str">
        <f>VLOOKUP(MOD(C2524,7),'CALENDAR INFO'!$G$5:$H$11,2)</f>
        <v>TUE</v>
      </c>
      <c r="G2524" s="411">
        <f t="shared" si="284"/>
        <v>0</v>
      </c>
      <c r="H2524" s="15" t="s">
        <v>222</v>
      </c>
      <c r="I2524" s="147">
        <f ca="1">100-I2523</f>
        <v>96.12</v>
      </c>
      <c r="J2524" s="326">
        <f ca="1">100-J2523</f>
        <v>96.113461538461536</v>
      </c>
      <c r="K2524" s="129"/>
      <c r="L2524" s="403">
        <f t="shared" si="285"/>
        <v>46322</v>
      </c>
      <c r="M2524" s="56" t="str">
        <f t="shared" si="286"/>
        <v>TUE</v>
      </c>
      <c r="N2524" s="116" t="s">
        <v>20</v>
      </c>
      <c r="O2524" s="383">
        <f t="shared" si="288"/>
        <v>1</v>
      </c>
      <c r="P2524" s="392">
        <f t="shared" si="289"/>
        <v>1</v>
      </c>
    </row>
    <row r="2525" spans="1:17">
      <c r="A2525" s="39">
        <v>1</v>
      </c>
      <c r="B2525" s="41"/>
      <c r="C2525" s="403">
        <f t="shared" si="287"/>
        <v>46323</v>
      </c>
      <c r="D2525" s="56" t="str">
        <f>VLOOKUP(MOD(C2525,7),'CALENDAR INFO'!$G$5:$H$11,2)</f>
        <v>WED</v>
      </c>
      <c r="G2525" s="411">
        <f t="shared" si="284"/>
        <v>0</v>
      </c>
      <c r="H2525" s="425" t="s">
        <v>97</v>
      </c>
      <c r="I2525" s="419"/>
      <c r="J2525" s="426"/>
      <c r="K2525" s="129" t="s">
        <v>19</v>
      </c>
      <c r="L2525" s="403">
        <f t="shared" si="285"/>
        <v>46323</v>
      </c>
      <c r="M2525" s="56" t="str">
        <f t="shared" si="286"/>
        <v>WED</v>
      </c>
      <c r="N2525" s="116" t="s">
        <v>20</v>
      </c>
      <c r="O2525" s="383">
        <f t="shared" si="288"/>
        <v>1</v>
      </c>
      <c r="P2525" s="392">
        <f t="shared" si="289"/>
        <v>1</v>
      </c>
    </row>
    <row r="2526" spans="1:17">
      <c r="A2526" s="238">
        <f ca="1">I$2513</f>
        <v>3.9050000000000011</v>
      </c>
      <c r="B2526" s="239" t="e">
        <f ca="1">J$2513</f>
        <v>#DIV/0!</v>
      </c>
      <c r="C2526" s="403">
        <f t="shared" si="287"/>
        <v>46324</v>
      </c>
      <c r="D2526" s="56" t="str">
        <f>VLOOKUP(MOD(C2526,7),'CALENDAR INFO'!$G$5:$H$11,2)</f>
        <v>THU</v>
      </c>
      <c r="G2526" s="411">
        <f t="shared" si="284"/>
        <v>0</v>
      </c>
      <c r="K2526" s="126" t="s">
        <v>18</v>
      </c>
      <c r="L2526" s="403">
        <f t="shared" si="285"/>
        <v>46324</v>
      </c>
      <c r="M2526" s="56" t="str">
        <f t="shared" si="286"/>
        <v>THU</v>
      </c>
      <c r="O2526" s="383">
        <f t="shared" si="288"/>
        <v>1</v>
      </c>
      <c r="P2526" s="392" t="e">
        <f t="shared" ca="1" si="289"/>
        <v>#DIV/0!</v>
      </c>
    </row>
    <row r="2527" spans="1:17">
      <c r="A2527" s="238">
        <f t="shared" ref="A2527:A2528" ca="1" si="290">I$2513</f>
        <v>3.9050000000000011</v>
      </c>
      <c r="B2527" s="239" t="e">
        <f t="shared" ref="B2527:B2528" ca="1" si="291">J$2513</f>
        <v>#DIV/0!</v>
      </c>
      <c r="C2527" s="403">
        <f t="shared" si="287"/>
        <v>46325</v>
      </c>
      <c r="D2527" s="56" t="str">
        <f>VLOOKUP(MOD(C2527,7),'CALENDAR INFO'!$G$5:$H$11,2)</f>
        <v>FRI</v>
      </c>
      <c r="G2527" s="411">
        <f t="shared" si="284"/>
        <v>0</v>
      </c>
      <c r="K2527" s="126"/>
      <c r="L2527" s="403">
        <f t="shared" si="285"/>
        <v>46325</v>
      </c>
      <c r="M2527" s="56" t="str">
        <f t="shared" si="286"/>
        <v>FRI</v>
      </c>
      <c r="O2527" s="383">
        <f t="shared" si="288"/>
        <v>3</v>
      </c>
      <c r="P2527" s="392" t="e">
        <f t="shared" ca="1" si="289"/>
        <v>#DIV/0!</v>
      </c>
    </row>
    <row r="2528" spans="1:17" ht="15.75" thickBot="1">
      <c r="A2528" s="316">
        <f t="shared" ca="1" si="290"/>
        <v>3.9050000000000011</v>
      </c>
      <c r="B2528" s="317" t="e">
        <f t="shared" ca="1" si="291"/>
        <v>#DIV/0!</v>
      </c>
      <c r="C2528" s="404">
        <f t="shared" si="287"/>
        <v>46326</v>
      </c>
      <c r="D2528" s="64" t="str">
        <f>VLOOKUP(MOD(C2528,7),'CALENDAR INFO'!$G$5:$H$11,2)</f>
        <v>SAT</v>
      </c>
      <c r="E2528" s="166"/>
      <c r="F2528" s="337"/>
      <c r="G2528" s="412">
        <f t="shared" si="284"/>
        <v>0</v>
      </c>
      <c r="H2528" s="441"/>
      <c r="I2528" s="274"/>
      <c r="J2528" s="275"/>
      <c r="K2528" s="77"/>
      <c r="L2528" s="404">
        <f t="shared" si="285"/>
        <v>46326</v>
      </c>
      <c r="M2528" s="64" t="str">
        <f t="shared" si="286"/>
        <v>SAT</v>
      </c>
      <c r="N2528" s="90"/>
      <c r="O2528" s="382">
        <f t="shared" si="288"/>
        <v>0</v>
      </c>
      <c r="P2528" s="388" t="e">
        <f t="shared" ca="1" si="289"/>
        <v>#DIV/0!</v>
      </c>
    </row>
    <row r="2529" spans="1:16">
      <c r="A2529" s="71">
        <f ca="1">I$2547</f>
        <v>3.9050000000000011</v>
      </c>
      <c r="B2529" s="176">
        <f ca="1">J$2547</f>
        <v>3.9249999999999972</v>
      </c>
      <c r="C2529" s="403">
        <f t="shared" si="287"/>
        <v>46327</v>
      </c>
      <c r="D2529" s="56" t="str">
        <f>VLOOKUP(MOD(C2529,7),'CALENDAR INFO'!$G$5:$H$11,2)</f>
        <v>SUN</v>
      </c>
      <c r="G2529" s="411">
        <f t="shared" si="284"/>
        <v>0</v>
      </c>
      <c r="H2529" s="15" t="s">
        <v>149</v>
      </c>
      <c r="I2529" s="15">
        <f>ROW(I2529)</f>
        <v>2529</v>
      </c>
      <c r="J2529" s="138">
        <f>I2529</f>
        <v>2529</v>
      </c>
      <c r="K2529" s="126"/>
      <c r="L2529" s="403">
        <f t="shared" si="285"/>
        <v>46327</v>
      </c>
      <c r="M2529" s="56" t="str">
        <f t="shared" si="286"/>
        <v>SUN</v>
      </c>
      <c r="O2529" s="383">
        <f t="shared" si="288"/>
        <v>0</v>
      </c>
      <c r="P2529" s="392">
        <f t="shared" ca="1" si="289"/>
        <v>1</v>
      </c>
    </row>
    <row r="2530" spans="1:16">
      <c r="A2530" s="39">
        <f t="shared" ref="A2530:A2558" ca="1" si="292">I$2547</f>
        <v>3.9050000000000011</v>
      </c>
      <c r="B2530" s="41">
        <f t="shared" ref="B2530:B2558" ca="1" si="293">J$2547</f>
        <v>3.9249999999999972</v>
      </c>
      <c r="C2530" s="403">
        <f t="shared" si="287"/>
        <v>46328</v>
      </c>
      <c r="D2530" s="56" t="str">
        <f>VLOOKUP(MOD(C2530,7),'CALENDAR INFO'!$G$5:$H$11,2)</f>
        <v>MON</v>
      </c>
      <c r="G2530" s="411">
        <f t="shared" si="284"/>
        <v>0</v>
      </c>
      <c r="H2530" s="376" t="s">
        <v>210</v>
      </c>
      <c r="I2530" s="171">
        <f>VLOOKUP(MONTH($C2529),'CALENDAR INFO'!$J$5:$K$16,2)</f>
        <v>30</v>
      </c>
      <c r="J2530" s="172">
        <f>I2530</f>
        <v>30</v>
      </c>
      <c r="K2530" s="126"/>
      <c r="L2530" s="403">
        <f t="shared" si="285"/>
        <v>46328</v>
      </c>
      <c r="M2530" s="56" t="str">
        <f t="shared" si="286"/>
        <v>MON</v>
      </c>
      <c r="O2530" s="383">
        <f t="shared" si="288"/>
        <v>1</v>
      </c>
      <c r="P2530" s="392">
        <f t="shared" ca="1" si="289"/>
        <v>1.0001090277777778</v>
      </c>
    </row>
    <row r="2531" spans="1:16">
      <c r="A2531" s="39">
        <f t="shared" ca="1" si="292"/>
        <v>3.9050000000000011</v>
      </c>
      <c r="B2531" s="41">
        <f t="shared" ca="1" si="293"/>
        <v>3.9249999999999972</v>
      </c>
      <c r="C2531" s="403">
        <f t="shared" si="287"/>
        <v>46329</v>
      </c>
      <c r="D2531" s="56" t="str">
        <f>VLOOKUP(MOD(C2531,7),'CALENDAR INFO'!$G$5:$H$11,2)</f>
        <v>TUE</v>
      </c>
      <c r="G2531" s="411">
        <f t="shared" si="284"/>
        <v>0</v>
      </c>
      <c r="H2531" s="376" t="s">
        <v>211</v>
      </c>
      <c r="I2531" s="15">
        <f>I2530+I2529-1</f>
        <v>2558</v>
      </c>
      <c r="J2531" s="138">
        <f>I2531</f>
        <v>2558</v>
      </c>
      <c r="K2531" s="126"/>
      <c r="L2531" s="403">
        <f t="shared" si="285"/>
        <v>46329</v>
      </c>
      <c r="M2531" s="56" t="str">
        <f t="shared" si="286"/>
        <v>TUE</v>
      </c>
      <c r="O2531" s="383">
        <f t="shared" si="288"/>
        <v>1</v>
      </c>
      <c r="P2531" s="392">
        <f t="shared" ca="1" si="289"/>
        <v>1.0001090277777778</v>
      </c>
    </row>
    <row r="2532" spans="1:16">
      <c r="A2532" s="39">
        <f t="shared" ca="1" si="292"/>
        <v>3.9050000000000011</v>
      </c>
      <c r="B2532" s="41">
        <f t="shared" ca="1" si="293"/>
        <v>3.9249999999999972</v>
      </c>
      <c r="C2532" s="403">
        <f t="shared" si="287"/>
        <v>46330</v>
      </c>
      <c r="D2532" s="56" t="str">
        <f>VLOOKUP(MOD(C2532,7),'CALENDAR INFO'!$G$5:$H$11,2)</f>
        <v>WED</v>
      </c>
      <c r="G2532" s="411">
        <f t="shared" si="284"/>
        <v>0</v>
      </c>
      <c r="K2532" s="126"/>
      <c r="L2532" s="403">
        <f t="shared" si="285"/>
        <v>46330</v>
      </c>
      <c r="M2532" s="56" t="str">
        <f t="shared" si="286"/>
        <v>WED</v>
      </c>
      <c r="O2532" s="383">
        <f t="shared" si="288"/>
        <v>1</v>
      </c>
      <c r="P2532" s="392">
        <f t="shared" ca="1" si="289"/>
        <v>1.0001090277777778</v>
      </c>
    </row>
    <row r="2533" spans="1:16">
      <c r="A2533" s="39">
        <f t="shared" ca="1" si="292"/>
        <v>3.9050000000000011</v>
      </c>
      <c r="B2533" s="41">
        <f t="shared" ca="1" si="293"/>
        <v>3.9249999999999972</v>
      </c>
      <c r="C2533" s="403">
        <f t="shared" si="287"/>
        <v>46331</v>
      </c>
      <c r="D2533" s="56" t="str">
        <f>VLOOKUP(MOD(C2533,7),'CALENDAR INFO'!$G$5:$H$11,2)</f>
        <v>THU</v>
      </c>
      <c r="G2533" s="411">
        <f t="shared" si="284"/>
        <v>0</v>
      </c>
      <c r="H2533" s="15" t="s">
        <v>150</v>
      </c>
      <c r="I2533" s="137" t="str">
        <f>_xlfn.CONCAT(ADDRESS(I2529,5),":",ADDRESS(I2531,5))</f>
        <v>$E$2529:$E$2558</v>
      </c>
      <c r="J2533" s="150" t="str">
        <f>_xlfn.CONCAT(ADDRESS(J2529,6),":",ADDRESS(J2531,6))</f>
        <v>$F$2529:$F$2558</v>
      </c>
      <c r="K2533" s="126"/>
      <c r="L2533" s="403">
        <f t="shared" si="285"/>
        <v>46331</v>
      </c>
      <c r="M2533" s="56" t="str">
        <f t="shared" si="286"/>
        <v>THU</v>
      </c>
      <c r="O2533" s="383">
        <f t="shared" si="288"/>
        <v>1</v>
      </c>
      <c r="P2533" s="392">
        <f t="shared" ca="1" si="289"/>
        <v>1.0001090277777778</v>
      </c>
    </row>
    <row r="2534" spans="1:16">
      <c r="A2534" s="39">
        <f t="shared" ca="1" si="292"/>
        <v>3.9050000000000011</v>
      </c>
      <c r="B2534" s="41">
        <f t="shared" ca="1" si="293"/>
        <v>3.9249999999999972</v>
      </c>
      <c r="C2534" s="403">
        <f t="shared" si="287"/>
        <v>46332</v>
      </c>
      <c r="D2534" s="56" t="str">
        <f>VLOOKUP(MOD(C2534,7),'CALENDAR INFO'!$G$5:$H$11,2)</f>
        <v>FRI</v>
      </c>
      <c r="G2534" s="411">
        <f t="shared" si="284"/>
        <v>0</v>
      </c>
      <c r="I2534" s="171"/>
      <c r="J2534" s="172"/>
      <c r="K2534" s="126"/>
      <c r="L2534" s="403">
        <f t="shared" si="285"/>
        <v>46332</v>
      </c>
      <c r="M2534" s="56" t="str">
        <f t="shared" si="286"/>
        <v>FRI</v>
      </c>
      <c r="O2534" s="383">
        <f t="shared" si="288"/>
        <v>3</v>
      </c>
      <c r="P2534" s="392">
        <f t="shared" ca="1" si="289"/>
        <v>1.0003270833333333</v>
      </c>
    </row>
    <row r="2535" spans="1:16">
      <c r="A2535" s="39">
        <f t="shared" ca="1" si="292"/>
        <v>3.9050000000000011</v>
      </c>
      <c r="B2535" s="41">
        <f t="shared" ca="1" si="293"/>
        <v>3.9249999999999972</v>
      </c>
      <c r="C2535" s="403">
        <f t="shared" si="287"/>
        <v>46333</v>
      </c>
      <c r="D2535" s="56" t="str">
        <f>VLOOKUP(MOD(C2535,7),'CALENDAR INFO'!$G$5:$H$11,2)</f>
        <v>SAT</v>
      </c>
      <c r="G2535" s="411">
        <f t="shared" si="284"/>
        <v>0</v>
      </c>
      <c r="H2535" s="376" t="s">
        <v>117</v>
      </c>
      <c r="I2535" s="240">
        <f>I2530</f>
        <v>30</v>
      </c>
      <c r="J2535" s="157">
        <f>J2530</f>
        <v>30</v>
      </c>
      <c r="K2535" s="126"/>
      <c r="L2535" s="403">
        <f t="shared" si="285"/>
        <v>46333</v>
      </c>
      <c r="M2535" s="56" t="str">
        <f t="shared" si="286"/>
        <v>SAT</v>
      </c>
      <c r="O2535" s="383">
        <f t="shared" si="288"/>
        <v>0</v>
      </c>
      <c r="P2535" s="392">
        <f t="shared" ca="1" si="289"/>
        <v>1</v>
      </c>
    </row>
    <row r="2536" spans="1:16">
      <c r="A2536" s="39">
        <f t="shared" ca="1" si="292"/>
        <v>3.9050000000000011</v>
      </c>
      <c r="B2536" s="41">
        <f t="shared" ca="1" si="293"/>
        <v>3.9249999999999972</v>
      </c>
      <c r="C2536" s="403">
        <f t="shared" si="287"/>
        <v>46334</v>
      </c>
      <c r="D2536" s="56" t="str">
        <f>VLOOKUP(MOD(C2536,7),'CALENDAR INFO'!$G$5:$H$11,2)</f>
        <v>SUN</v>
      </c>
      <c r="G2536" s="411">
        <f t="shared" si="284"/>
        <v>0</v>
      </c>
      <c r="H2536" s="15" t="s">
        <v>213</v>
      </c>
      <c r="I2536" s="241">
        <f ca="1">COUNTA(INDIRECT(I2533))</f>
        <v>0</v>
      </c>
      <c r="J2536" s="243">
        <f ca="1">COUNTA(INDIRECT(J2533))</f>
        <v>0</v>
      </c>
      <c r="K2536" s="126"/>
      <c r="L2536" s="403">
        <f t="shared" si="285"/>
        <v>46334</v>
      </c>
      <c r="M2536" s="56" t="str">
        <f t="shared" si="286"/>
        <v>SUN</v>
      </c>
      <c r="O2536" s="383">
        <f t="shared" si="288"/>
        <v>0</v>
      </c>
      <c r="P2536" s="392">
        <f t="shared" ca="1" si="289"/>
        <v>1</v>
      </c>
    </row>
    <row r="2537" spans="1:16">
      <c r="A2537" s="39">
        <f t="shared" ca="1" si="292"/>
        <v>3.9050000000000011</v>
      </c>
      <c r="B2537" s="41">
        <f t="shared" ca="1" si="293"/>
        <v>3.9249999999999972</v>
      </c>
      <c r="C2537" s="403">
        <f t="shared" si="287"/>
        <v>46335</v>
      </c>
      <c r="D2537" s="56" t="str">
        <f>VLOOKUP(MOD(C2537,7),'CALENDAR INFO'!$G$5:$H$11,2)</f>
        <v>MON</v>
      </c>
      <c r="G2537" s="411">
        <f t="shared" si="284"/>
        <v>0</v>
      </c>
      <c r="H2537" s="15" t="s">
        <v>212</v>
      </c>
      <c r="I2537" s="240">
        <f ca="1">I2535-I2536</f>
        <v>30</v>
      </c>
      <c r="J2537" s="157">
        <f ca="1">J2535-J2536</f>
        <v>30</v>
      </c>
      <c r="K2537" s="126"/>
      <c r="L2537" s="403">
        <f t="shared" si="285"/>
        <v>46335</v>
      </c>
      <c r="M2537" s="56" t="str">
        <f t="shared" si="286"/>
        <v>MON</v>
      </c>
      <c r="O2537" s="383">
        <f t="shared" si="288"/>
        <v>1</v>
      </c>
      <c r="P2537" s="392">
        <f t="shared" ca="1" si="289"/>
        <v>1.0001090277777778</v>
      </c>
    </row>
    <row r="2538" spans="1:16">
      <c r="A2538" s="39">
        <f t="shared" ca="1" si="292"/>
        <v>3.9050000000000011</v>
      </c>
      <c r="B2538" s="41">
        <f t="shared" ca="1" si="293"/>
        <v>3.9249999999999972</v>
      </c>
      <c r="C2538" s="403">
        <f t="shared" si="287"/>
        <v>46336</v>
      </c>
      <c r="D2538" s="56" t="str">
        <f>VLOOKUP(MOD(C2538,7),'CALENDAR INFO'!$G$5:$H$11,2)</f>
        <v>TUE</v>
      </c>
      <c r="G2538" s="411">
        <f t="shared" si="284"/>
        <v>0</v>
      </c>
      <c r="K2538" s="126"/>
      <c r="L2538" s="403">
        <f t="shared" si="285"/>
        <v>46336</v>
      </c>
      <c r="M2538" s="56" t="str">
        <f t="shared" si="286"/>
        <v>TUE</v>
      </c>
      <c r="O2538" s="384">
        <v>2</v>
      </c>
      <c r="P2538" s="392">
        <f t="shared" ca="1" si="289"/>
        <v>1.0002180555555555</v>
      </c>
    </row>
    <row r="2539" spans="1:16">
      <c r="A2539" s="39">
        <f t="shared" ca="1" si="292"/>
        <v>3.9050000000000011</v>
      </c>
      <c r="B2539" s="41">
        <f t="shared" ca="1" si="293"/>
        <v>3.9249999999999972</v>
      </c>
      <c r="C2539" s="403">
        <f t="shared" si="287"/>
        <v>46337</v>
      </c>
      <c r="D2539" s="56" t="str">
        <f>VLOOKUP(MOD(C2539,7),'CALENDAR INFO'!$G$5:$H$11,2)</f>
        <v>WED</v>
      </c>
      <c r="G2539" s="411">
        <f t="shared" si="284"/>
        <v>0</v>
      </c>
      <c r="H2539" s="15" t="s">
        <v>175</v>
      </c>
      <c r="I2539" s="139">
        <f>OUTPUT!C7</f>
        <v>3.9050000000000011</v>
      </c>
      <c r="J2539" s="151">
        <f>OUTPUT!F7</f>
        <v>3.9249999999999972</v>
      </c>
      <c r="K2539" s="126" t="s">
        <v>19</v>
      </c>
      <c r="L2539" s="403">
        <f t="shared" si="285"/>
        <v>46337</v>
      </c>
      <c r="M2539" s="56" t="str">
        <f t="shared" si="286"/>
        <v>WED</v>
      </c>
      <c r="N2539" s="132" t="s">
        <v>108</v>
      </c>
      <c r="O2539" s="384">
        <v>0</v>
      </c>
      <c r="P2539" s="392">
        <f t="shared" ca="1" si="289"/>
        <v>1</v>
      </c>
    </row>
    <row r="2540" spans="1:16">
      <c r="A2540" s="39">
        <f t="shared" ca="1" si="292"/>
        <v>3.9050000000000011</v>
      </c>
      <c r="B2540" s="41">
        <f t="shared" ca="1" si="293"/>
        <v>3.9249999999999972</v>
      </c>
      <c r="C2540" s="403">
        <f t="shared" si="287"/>
        <v>46338</v>
      </c>
      <c r="D2540" s="56" t="str">
        <f>VLOOKUP(MOD(C2540,7),'CALENDAR INFO'!$G$5:$H$11,2)</f>
        <v>THU</v>
      </c>
      <c r="G2540" s="411">
        <f t="shared" si="284"/>
        <v>0</v>
      </c>
      <c r="H2540" s="15" t="s">
        <v>209</v>
      </c>
      <c r="I2540" s="171">
        <f>I2530</f>
        <v>30</v>
      </c>
      <c r="J2540" s="172">
        <f>J2530</f>
        <v>30</v>
      </c>
      <c r="K2540" s="129" t="s">
        <v>18</v>
      </c>
      <c r="L2540" s="403">
        <f t="shared" si="285"/>
        <v>46338</v>
      </c>
      <c r="M2540" s="56" t="str">
        <f t="shared" si="286"/>
        <v>THU</v>
      </c>
      <c r="O2540" s="383">
        <f t="shared" ref="O2540:O2552" si="294">IF(MOD(C2540,7)&lt;2,0,IF(MOD(C2540,7)=6,3,1))</f>
        <v>1</v>
      </c>
      <c r="P2540" s="392">
        <f t="shared" ca="1" si="289"/>
        <v>1.0001090277777778</v>
      </c>
    </row>
    <row r="2541" spans="1:16">
      <c r="A2541" s="39">
        <f t="shared" ca="1" si="292"/>
        <v>3.9050000000000011</v>
      </c>
      <c r="B2541" s="41">
        <f t="shared" ca="1" si="293"/>
        <v>3.9249999999999972</v>
      </c>
      <c r="C2541" s="403">
        <f t="shared" si="287"/>
        <v>46339</v>
      </c>
      <c r="D2541" s="56" t="str">
        <f>VLOOKUP(MOD(C2541,7),'CALENDAR INFO'!$G$5:$H$11,2)</f>
        <v>FRI</v>
      </c>
      <c r="G2541" s="411">
        <f t="shared" si="284"/>
        <v>0</v>
      </c>
      <c r="H2541" s="15" t="s">
        <v>214</v>
      </c>
      <c r="I2541" s="137">
        <f>I2539*I2540</f>
        <v>117.15000000000003</v>
      </c>
      <c r="J2541" s="150">
        <f>J2539*J2540</f>
        <v>117.74999999999991</v>
      </c>
      <c r="K2541" s="129"/>
      <c r="L2541" s="403">
        <f t="shared" si="285"/>
        <v>46339</v>
      </c>
      <c r="M2541" s="56" t="str">
        <f t="shared" si="286"/>
        <v>FRI</v>
      </c>
      <c r="O2541" s="383">
        <f t="shared" si="294"/>
        <v>3</v>
      </c>
      <c r="P2541" s="392">
        <f t="shared" ca="1" si="289"/>
        <v>1.0003270833333333</v>
      </c>
    </row>
    <row r="2542" spans="1:16">
      <c r="A2542" s="39">
        <f t="shared" ca="1" si="292"/>
        <v>3.9050000000000011</v>
      </c>
      <c r="B2542" s="41">
        <f t="shared" ca="1" si="293"/>
        <v>3.9249999999999972</v>
      </c>
      <c r="C2542" s="403">
        <f t="shared" si="287"/>
        <v>46340</v>
      </c>
      <c r="D2542" s="56" t="str">
        <f>VLOOKUP(MOD(C2542,7),'CALENDAR INFO'!$G$5:$H$11,2)</f>
        <v>SAT</v>
      </c>
      <c r="G2542" s="411">
        <f t="shared" si="284"/>
        <v>0</v>
      </c>
      <c r="H2542" s="15" t="s">
        <v>215</v>
      </c>
      <c r="I2542" s="393">
        <f ca="1">SUM(INDIRECT(I2533))</f>
        <v>0</v>
      </c>
      <c r="J2542" s="394">
        <f ca="1">SUM(INDIRECT(J2533))</f>
        <v>0</v>
      </c>
      <c r="K2542" s="129"/>
      <c r="L2542" s="403">
        <f t="shared" si="285"/>
        <v>46340</v>
      </c>
      <c r="M2542" s="56" t="str">
        <f t="shared" si="286"/>
        <v>SAT</v>
      </c>
      <c r="O2542" s="383">
        <f t="shared" si="294"/>
        <v>0</v>
      </c>
      <c r="P2542" s="392">
        <f t="shared" ca="1" si="289"/>
        <v>1</v>
      </c>
    </row>
    <row r="2543" spans="1:16">
      <c r="A2543" s="39">
        <f t="shared" ca="1" si="292"/>
        <v>3.9050000000000011</v>
      </c>
      <c r="B2543" s="41">
        <f t="shared" ca="1" si="293"/>
        <v>3.9249999999999972</v>
      </c>
      <c r="C2543" s="403">
        <f t="shared" si="287"/>
        <v>46341</v>
      </c>
      <c r="D2543" s="56" t="str">
        <f>VLOOKUP(MOD(C2543,7),'CALENDAR INFO'!$G$5:$H$11,2)</f>
        <v>SUN</v>
      </c>
      <c r="G2543" s="411">
        <f t="shared" si="284"/>
        <v>0</v>
      </c>
      <c r="H2543" s="15" t="s">
        <v>216</v>
      </c>
      <c r="I2543" s="137">
        <f ca="1">I2541-I2542</f>
        <v>117.15000000000003</v>
      </c>
      <c r="J2543" s="150">
        <f ca="1">J2541-J2542</f>
        <v>117.74999999999991</v>
      </c>
      <c r="K2543" s="129"/>
      <c r="L2543" s="403">
        <f t="shared" si="285"/>
        <v>46341</v>
      </c>
      <c r="M2543" s="56" t="str">
        <f t="shared" si="286"/>
        <v>SUN</v>
      </c>
      <c r="O2543" s="383">
        <f t="shared" si="294"/>
        <v>0</v>
      </c>
      <c r="P2543" s="392">
        <f t="shared" ca="1" si="289"/>
        <v>1</v>
      </c>
    </row>
    <row r="2544" spans="1:16">
      <c r="A2544" s="39">
        <f t="shared" ca="1" si="292"/>
        <v>3.9050000000000011</v>
      </c>
      <c r="B2544" s="41">
        <f t="shared" ca="1" si="293"/>
        <v>3.9249999999999972</v>
      </c>
      <c r="C2544" s="403">
        <f t="shared" si="287"/>
        <v>46342</v>
      </c>
      <c r="D2544" s="56" t="str">
        <f>VLOOKUP(MOD(C2544,7),'CALENDAR INFO'!$G$5:$H$11,2)</f>
        <v>MON</v>
      </c>
      <c r="G2544" s="411">
        <f t="shared" si="284"/>
        <v>0</v>
      </c>
      <c r="K2544" s="129"/>
      <c r="L2544" s="403">
        <f t="shared" si="285"/>
        <v>46342</v>
      </c>
      <c r="M2544" s="56" t="str">
        <f t="shared" si="286"/>
        <v>MON</v>
      </c>
      <c r="O2544" s="383">
        <f t="shared" si="294"/>
        <v>1</v>
      </c>
      <c r="P2544" s="392">
        <f t="shared" ca="1" si="289"/>
        <v>1.0001090277777778</v>
      </c>
    </row>
    <row r="2545" spans="1:16">
      <c r="A2545" s="39">
        <f t="shared" ca="1" si="292"/>
        <v>3.9050000000000011</v>
      </c>
      <c r="B2545" s="41">
        <f t="shared" ca="1" si="293"/>
        <v>3.9249999999999972</v>
      </c>
      <c r="C2545" s="403">
        <f t="shared" si="287"/>
        <v>46343</v>
      </c>
      <c r="D2545" s="56" t="str">
        <f>VLOOKUP(MOD(C2545,7),'CALENDAR INFO'!$G$5:$H$11,2)</f>
        <v>TUE</v>
      </c>
      <c r="G2545" s="411">
        <f t="shared" si="284"/>
        <v>0</v>
      </c>
      <c r="H2545" s="15" t="s">
        <v>218</v>
      </c>
      <c r="I2545" s="137">
        <f ca="1">I2543</f>
        <v>117.15000000000003</v>
      </c>
      <c r="J2545" s="150">
        <f ca="1">J2543</f>
        <v>117.74999999999991</v>
      </c>
      <c r="K2545" s="129"/>
      <c r="L2545" s="403">
        <f t="shared" si="285"/>
        <v>46343</v>
      </c>
      <c r="M2545" s="56" t="str">
        <f t="shared" si="286"/>
        <v>TUE</v>
      </c>
      <c r="O2545" s="383">
        <f t="shared" si="294"/>
        <v>1</v>
      </c>
      <c r="P2545" s="392">
        <f t="shared" ca="1" si="289"/>
        <v>1.0001090277777778</v>
      </c>
    </row>
    <row r="2546" spans="1:16">
      <c r="A2546" s="39">
        <f t="shared" ca="1" si="292"/>
        <v>3.9050000000000011</v>
      </c>
      <c r="B2546" s="41">
        <f t="shared" ca="1" si="293"/>
        <v>3.9249999999999972</v>
      </c>
      <c r="C2546" s="403">
        <f t="shared" si="287"/>
        <v>46344</v>
      </c>
      <c r="D2546" s="56" t="str">
        <f>VLOOKUP(MOD(C2546,7),'CALENDAR INFO'!$G$5:$H$11,2)</f>
        <v>WED</v>
      </c>
      <c r="G2546" s="411">
        <f t="shared" si="284"/>
        <v>0</v>
      </c>
      <c r="H2546" s="15" t="s">
        <v>219</v>
      </c>
      <c r="I2546" s="171">
        <f ca="1">I2537</f>
        <v>30</v>
      </c>
      <c r="J2546" s="172">
        <f ca="1">J2537</f>
        <v>30</v>
      </c>
      <c r="K2546" s="129"/>
      <c r="L2546" s="403">
        <f t="shared" si="285"/>
        <v>46344</v>
      </c>
      <c r="M2546" s="56" t="str">
        <f t="shared" si="286"/>
        <v>WED</v>
      </c>
      <c r="O2546" s="383">
        <f t="shared" si="294"/>
        <v>1</v>
      </c>
      <c r="P2546" s="392">
        <f t="shared" ca="1" si="289"/>
        <v>1.0001090277777778</v>
      </c>
    </row>
    <row r="2547" spans="1:16">
      <c r="A2547" s="39">
        <f t="shared" ca="1" si="292"/>
        <v>3.9050000000000011</v>
      </c>
      <c r="B2547" s="41">
        <f t="shared" ca="1" si="293"/>
        <v>3.9249999999999972</v>
      </c>
      <c r="C2547" s="403">
        <f t="shared" si="287"/>
        <v>46345</v>
      </c>
      <c r="D2547" s="56" t="str">
        <f>VLOOKUP(MOD(C2547,7),'CALENDAR INFO'!$G$5:$H$11,2)</f>
        <v>THU</v>
      </c>
      <c r="G2547" s="411">
        <f t="shared" si="284"/>
        <v>0</v>
      </c>
      <c r="H2547" s="15" t="s">
        <v>220</v>
      </c>
      <c r="I2547" s="141">
        <f ca="1">I2545/I2546</f>
        <v>3.9050000000000011</v>
      </c>
      <c r="J2547" s="158">
        <f ca="1">J2545/J2546</f>
        <v>3.9249999999999972</v>
      </c>
      <c r="K2547" s="129"/>
      <c r="L2547" s="403">
        <f t="shared" si="285"/>
        <v>46345</v>
      </c>
      <c r="M2547" s="56" t="str">
        <f t="shared" si="286"/>
        <v>THU</v>
      </c>
      <c r="O2547" s="383">
        <f t="shared" si="294"/>
        <v>1</v>
      </c>
      <c r="P2547" s="392">
        <f t="shared" ca="1" si="289"/>
        <v>1.0001090277777778</v>
      </c>
    </row>
    <row r="2548" spans="1:16">
      <c r="A2548" s="39">
        <f t="shared" ca="1" si="292"/>
        <v>3.9050000000000011</v>
      </c>
      <c r="B2548" s="41">
        <f t="shared" ca="1" si="293"/>
        <v>3.9249999999999972</v>
      </c>
      <c r="C2548" s="403">
        <f t="shared" si="287"/>
        <v>46346</v>
      </c>
      <c r="D2548" s="56" t="str">
        <f>VLOOKUP(MOD(C2548,7),'CALENDAR INFO'!$G$5:$H$11,2)</f>
        <v>FRI</v>
      </c>
      <c r="G2548" s="411">
        <f t="shared" si="284"/>
        <v>0</v>
      </c>
      <c r="K2548" s="129"/>
      <c r="L2548" s="403">
        <f t="shared" si="285"/>
        <v>46346</v>
      </c>
      <c r="M2548" s="56" t="str">
        <f t="shared" si="286"/>
        <v>FRI</v>
      </c>
      <c r="O2548" s="383">
        <f t="shared" si="294"/>
        <v>3</v>
      </c>
      <c r="P2548" s="392">
        <f t="shared" ca="1" si="289"/>
        <v>1.0003270833333333</v>
      </c>
    </row>
    <row r="2549" spans="1:16">
      <c r="A2549" s="39">
        <f t="shared" ca="1" si="292"/>
        <v>3.9050000000000011</v>
      </c>
      <c r="B2549" s="41">
        <f t="shared" ca="1" si="293"/>
        <v>3.9249999999999972</v>
      </c>
      <c r="C2549" s="403">
        <f t="shared" si="287"/>
        <v>46347</v>
      </c>
      <c r="D2549" s="56" t="str">
        <f>VLOOKUP(MOD(C2549,7),'CALENDAR INFO'!$G$5:$H$11,2)</f>
        <v>SAT</v>
      </c>
      <c r="G2549" s="411">
        <f t="shared" si="284"/>
        <v>0</v>
      </c>
      <c r="H2549" s="376" t="s">
        <v>221</v>
      </c>
      <c r="I2549" s="147" t="e">
        <f ca="1">AVERAGE(INDIRECT(I2533))</f>
        <v>#DIV/0!</v>
      </c>
      <c r="J2549" s="326" t="e">
        <f ca="1">AVERAGE(INDIRECT(J2533))</f>
        <v>#DIV/0!</v>
      </c>
      <c r="K2549" s="129"/>
      <c r="L2549" s="403">
        <f t="shared" si="285"/>
        <v>46347</v>
      </c>
      <c r="M2549" s="56" t="str">
        <f t="shared" si="286"/>
        <v>SAT</v>
      </c>
      <c r="O2549" s="383">
        <f t="shared" si="294"/>
        <v>0</v>
      </c>
      <c r="P2549" s="392">
        <f t="shared" ca="1" si="289"/>
        <v>1</v>
      </c>
    </row>
    <row r="2550" spans="1:16">
      <c r="A2550" s="39">
        <f t="shared" ca="1" si="292"/>
        <v>3.9050000000000011</v>
      </c>
      <c r="B2550" s="41">
        <f t="shared" ca="1" si="293"/>
        <v>3.9249999999999972</v>
      </c>
      <c r="C2550" s="403">
        <f t="shared" si="287"/>
        <v>46348</v>
      </c>
      <c r="D2550" s="56" t="str">
        <f>VLOOKUP(MOD(C2550,7),'CALENDAR INFO'!$G$5:$H$11,2)</f>
        <v>SUN</v>
      </c>
      <c r="G2550" s="411">
        <f t="shared" si="284"/>
        <v>0</v>
      </c>
      <c r="H2550" s="15" t="s">
        <v>222</v>
      </c>
      <c r="I2550" s="147" t="e">
        <f ca="1">100-I2549</f>
        <v>#DIV/0!</v>
      </c>
      <c r="J2550" s="326" t="e">
        <f ca="1">100-J2549</f>
        <v>#DIV/0!</v>
      </c>
      <c r="K2550" s="129"/>
      <c r="L2550" s="403">
        <f t="shared" si="285"/>
        <v>46348</v>
      </c>
      <c r="M2550" s="56" t="str">
        <f t="shared" si="286"/>
        <v>SUN</v>
      </c>
      <c r="O2550" s="383">
        <f t="shared" si="294"/>
        <v>0</v>
      </c>
      <c r="P2550" s="392">
        <f t="shared" ca="1" si="289"/>
        <v>1</v>
      </c>
    </row>
    <row r="2551" spans="1:16">
      <c r="A2551" s="39">
        <f t="shared" ca="1" si="292"/>
        <v>3.9050000000000011</v>
      </c>
      <c r="B2551" s="41">
        <f t="shared" ca="1" si="293"/>
        <v>3.9249999999999972</v>
      </c>
      <c r="C2551" s="403">
        <f t="shared" si="287"/>
        <v>46349</v>
      </c>
      <c r="D2551" s="56" t="str">
        <f>VLOOKUP(MOD(C2551,7),'CALENDAR INFO'!$G$5:$H$11,2)</f>
        <v>MON</v>
      </c>
      <c r="G2551" s="411">
        <f t="shared" si="284"/>
        <v>0</v>
      </c>
      <c r="H2551" s="425" t="s">
        <v>97</v>
      </c>
      <c r="I2551" s="419"/>
      <c r="J2551" s="426"/>
      <c r="K2551" s="129"/>
      <c r="L2551" s="403">
        <f t="shared" si="285"/>
        <v>46349</v>
      </c>
      <c r="M2551" s="56" t="str">
        <f t="shared" si="286"/>
        <v>MON</v>
      </c>
      <c r="O2551" s="383">
        <f t="shared" si="294"/>
        <v>1</v>
      </c>
      <c r="P2551" s="392">
        <f t="shared" ca="1" si="289"/>
        <v>1.0001090277777778</v>
      </c>
    </row>
    <row r="2552" spans="1:16">
      <c r="A2552" s="39">
        <f t="shared" ca="1" si="292"/>
        <v>3.9050000000000011</v>
      </c>
      <c r="B2552" s="41">
        <f t="shared" ca="1" si="293"/>
        <v>3.9249999999999972</v>
      </c>
      <c r="C2552" s="403">
        <f t="shared" si="287"/>
        <v>46350</v>
      </c>
      <c r="D2552" s="56" t="str">
        <f>VLOOKUP(MOD(C2552,7),'CALENDAR INFO'!$G$5:$H$11,2)</f>
        <v>TUE</v>
      </c>
      <c r="G2552" s="411">
        <f t="shared" si="284"/>
        <v>0</v>
      </c>
      <c r="K2552" s="129"/>
      <c r="L2552" s="403">
        <f t="shared" si="285"/>
        <v>46350</v>
      </c>
      <c r="M2552" s="56" t="str">
        <f t="shared" si="286"/>
        <v>TUE</v>
      </c>
      <c r="O2552" s="383">
        <f t="shared" si="294"/>
        <v>1</v>
      </c>
      <c r="P2552" s="392">
        <f t="shared" ca="1" si="289"/>
        <v>1.0001090277777778</v>
      </c>
    </row>
    <row r="2553" spans="1:16">
      <c r="A2553" s="39">
        <f t="shared" ca="1" si="292"/>
        <v>3.9050000000000011</v>
      </c>
      <c r="B2553" s="41">
        <f t="shared" ca="1" si="293"/>
        <v>3.9249999999999972</v>
      </c>
      <c r="C2553" s="403">
        <f t="shared" si="287"/>
        <v>46351</v>
      </c>
      <c r="D2553" s="56" t="str">
        <f>VLOOKUP(MOD(C2553,7),'CALENDAR INFO'!$G$5:$H$11,2)</f>
        <v>WED</v>
      </c>
      <c r="G2553" s="411">
        <f t="shared" si="284"/>
        <v>0</v>
      </c>
      <c r="K2553" s="129" t="s">
        <v>19</v>
      </c>
      <c r="L2553" s="403">
        <f t="shared" si="285"/>
        <v>46351</v>
      </c>
      <c r="M2553" s="56" t="str">
        <f t="shared" si="286"/>
        <v>WED</v>
      </c>
      <c r="O2553" s="384">
        <v>2</v>
      </c>
      <c r="P2553" s="392">
        <f t="shared" ca="1" si="289"/>
        <v>1.0002180555555555</v>
      </c>
    </row>
    <row r="2554" spans="1:16">
      <c r="A2554" s="39">
        <f t="shared" ca="1" si="292"/>
        <v>3.9050000000000011</v>
      </c>
      <c r="B2554" s="41">
        <f t="shared" ca="1" si="293"/>
        <v>3.9249999999999972</v>
      </c>
      <c r="C2554" s="403">
        <f t="shared" si="287"/>
        <v>46352</v>
      </c>
      <c r="D2554" s="56" t="str">
        <f>VLOOKUP(MOD(C2554,7),'CALENDAR INFO'!$G$5:$H$11,2)</f>
        <v>THU</v>
      </c>
      <c r="G2554" s="411">
        <f t="shared" si="284"/>
        <v>0</v>
      </c>
      <c r="K2554" s="126" t="s">
        <v>18</v>
      </c>
      <c r="L2554" s="403">
        <f t="shared" si="285"/>
        <v>46352</v>
      </c>
      <c r="M2554" s="56" t="str">
        <f t="shared" si="286"/>
        <v>THU</v>
      </c>
      <c r="N2554" s="132" t="s">
        <v>109</v>
      </c>
      <c r="O2554" s="384">
        <v>0</v>
      </c>
      <c r="P2554" s="392">
        <f t="shared" ca="1" si="289"/>
        <v>1</v>
      </c>
    </row>
    <row r="2555" spans="1:16">
      <c r="A2555" s="39">
        <f t="shared" ca="1" si="292"/>
        <v>3.9050000000000011</v>
      </c>
      <c r="B2555" s="41">
        <f t="shared" ca="1" si="293"/>
        <v>3.9249999999999972</v>
      </c>
      <c r="C2555" s="403">
        <f t="shared" si="287"/>
        <v>46353</v>
      </c>
      <c r="D2555" s="56" t="str">
        <f>VLOOKUP(MOD(C2555,7),'CALENDAR INFO'!$G$5:$H$11,2)</f>
        <v>FRI</v>
      </c>
      <c r="G2555" s="411">
        <f t="shared" si="284"/>
        <v>0</v>
      </c>
      <c r="K2555" s="126"/>
      <c r="L2555" s="403">
        <f t="shared" si="285"/>
        <v>46353</v>
      </c>
      <c r="M2555" s="56" t="str">
        <f t="shared" si="286"/>
        <v>FRI</v>
      </c>
      <c r="O2555" s="383">
        <f t="shared" ref="O2555:O2581" si="295">IF(MOD(C2555,7)&lt;2,0,IF(MOD(C2555,7)=6,3,1))</f>
        <v>3</v>
      </c>
      <c r="P2555" s="392">
        <f t="shared" ca="1" si="289"/>
        <v>1.0003270833333333</v>
      </c>
    </row>
    <row r="2556" spans="1:16">
      <c r="A2556" s="39">
        <f t="shared" ca="1" si="292"/>
        <v>3.9050000000000011</v>
      </c>
      <c r="B2556" s="41">
        <f t="shared" ca="1" si="293"/>
        <v>3.9249999999999972</v>
      </c>
      <c r="C2556" s="403">
        <f t="shared" si="287"/>
        <v>46354</v>
      </c>
      <c r="D2556" s="56" t="str">
        <f>VLOOKUP(MOD(C2556,7),'CALENDAR INFO'!$G$5:$H$11,2)</f>
        <v>SAT</v>
      </c>
      <c r="G2556" s="411">
        <f t="shared" si="284"/>
        <v>0</v>
      </c>
      <c r="K2556" s="126"/>
      <c r="L2556" s="403">
        <f t="shared" si="285"/>
        <v>46354</v>
      </c>
      <c r="M2556" s="56" t="str">
        <f t="shared" si="286"/>
        <v>SAT</v>
      </c>
      <c r="O2556" s="383">
        <f t="shared" si="295"/>
        <v>0</v>
      </c>
      <c r="P2556" s="392">
        <f t="shared" ca="1" si="289"/>
        <v>1</v>
      </c>
    </row>
    <row r="2557" spans="1:16">
      <c r="A2557" s="39">
        <f t="shared" ca="1" si="292"/>
        <v>3.9050000000000011</v>
      </c>
      <c r="B2557" s="41">
        <f t="shared" ca="1" si="293"/>
        <v>3.9249999999999972</v>
      </c>
      <c r="C2557" s="403">
        <f t="shared" si="287"/>
        <v>46355</v>
      </c>
      <c r="D2557" s="56" t="str">
        <f>VLOOKUP(MOD(C2557,7),'CALENDAR INFO'!$G$5:$H$11,2)</f>
        <v>SUN</v>
      </c>
      <c r="G2557" s="411">
        <f t="shared" si="284"/>
        <v>0</v>
      </c>
      <c r="K2557" s="126"/>
      <c r="L2557" s="403">
        <f t="shared" si="285"/>
        <v>46355</v>
      </c>
      <c r="M2557" s="56" t="str">
        <f t="shared" si="286"/>
        <v>SUN</v>
      </c>
      <c r="O2557" s="383">
        <f t="shared" si="295"/>
        <v>0</v>
      </c>
      <c r="P2557" s="392">
        <f t="shared" ca="1" si="289"/>
        <v>1</v>
      </c>
    </row>
    <row r="2558" spans="1:16" ht="15.75" thickBot="1">
      <c r="A2558" s="81">
        <f t="shared" ca="1" si="292"/>
        <v>3.9050000000000011</v>
      </c>
      <c r="B2558" s="178">
        <f t="shared" ca="1" si="293"/>
        <v>3.9249999999999972</v>
      </c>
      <c r="C2558" s="404">
        <f t="shared" si="287"/>
        <v>46356</v>
      </c>
      <c r="D2558" s="64" t="str">
        <f>VLOOKUP(MOD(C2558,7),'CALENDAR INFO'!$G$5:$H$11,2)</f>
        <v>MON</v>
      </c>
      <c r="E2558" s="166"/>
      <c r="F2558" s="337"/>
      <c r="G2558" s="412">
        <f t="shared" si="284"/>
        <v>0</v>
      </c>
      <c r="H2558" s="274"/>
      <c r="I2558" s="274"/>
      <c r="J2558" s="275"/>
      <c r="K2558" s="77"/>
      <c r="L2558" s="404">
        <f t="shared" si="285"/>
        <v>46356</v>
      </c>
      <c r="M2558" s="64" t="str">
        <f t="shared" si="286"/>
        <v>MON</v>
      </c>
      <c r="N2558" s="90"/>
      <c r="O2558" s="382">
        <f t="shared" si="295"/>
        <v>1</v>
      </c>
      <c r="P2558" s="388">
        <f t="shared" ca="1" si="289"/>
        <v>1.0001090277777778</v>
      </c>
    </row>
    <row r="2559" spans="1:16">
      <c r="A2559" s="238">
        <f t="shared" ref="A2559" ca="1" si="296">MAX(A2558,E2558)</f>
        <v>3.9050000000000011</v>
      </c>
      <c r="B2559" s="239">
        <f t="shared" ref="B2559" ca="1" si="297">MAX(B2558,F2558)</f>
        <v>3.9249999999999972</v>
      </c>
      <c r="C2559" s="403">
        <f t="shared" si="287"/>
        <v>46357</v>
      </c>
      <c r="D2559" s="56" t="str">
        <f>VLOOKUP(MOD(C2559,7),'CALENDAR INFO'!$G$5:$H$11,2)</f>
        <v>TUE</v>
      </c>
      <c r="G2559" s="411">
        <f t="shared" si="284"/>
        <v>0</v>
      </c>
      <c r="H2559" s="15" t="s">
        <v>149</v>
      </c>
      <c r="I2559" s="15">
        <f>ROW(I2559)</f>
        <v>2559</v>
      </c>
      <c r="J2559" s="138">
        <f>I2559</f>
        <v>2559</v>
      </c>
      <c r="K2559" s="126"/>
      <c r="L2559" s="403">
        <f t="shared" si="285"/>
        <v>46357</v>
      </c>
      <c r="M2559" s="56" t="str">
        <f t="shared" si="286"/>
        <v>TUE</v>
      </c>
      <c r="O2559" s="383">
        <f t="shared" si="295"/>
        <v>1</v>
      </c>
      <c r="P2559" s="392">
        <f t="shared" ca="1" si="289"/>
        <v>1.0001090277777778</v>
      </c>
    </row>
    <row r="2560" spans="1:16">
      <c r="A2560" s="238">
        <f t="shared" ref="A2560:A2567" ca="1" si="298">MAX(A2559,E2559)</f>
        <v>3.9050000000000011</v>
      </c>
      <c r="B2560" s="239">
        <f t="shared" ref="B2560:B2567" ca="1" si="299">MAX(B2559,F2559)</f>
        <v>3.9249999999999972</v>
      </c>
      <c r="C2560" s="403">
        <f t="shared" si="287"/>
        <v>46358</v>
      </c>
      <c r="D2560" s="56" t="str">
        <f>VLOOKUP(MOD(C2560,7),'CALENDAR INFO'!$G$5:$H$11,2)</f>
        <v>WED</v>
      </c>
      <c r="G2560" s="411">
        <f t="shared" si="284"/>
        <v>0</v>
      </c>
      <c r="H2560" s="376" t="s">
        <v>210</v>
      </c>
      <c r="I2560" s="171">
        <f>VLOOKUP(MONTH($C2559),'CALENDAR INFO'!$J$5:$K$16,2)</f>
        <v>31</v>
      </c>
      <c r="J2560" s="172">
        <f>I2560</f>
        <v>31</v>
      </c>
      <c r="K2560" s="126"/>
      <c r="L2560" s="403">
        <f t="shared" si="285"/>
        <v>46358</v>
      </c>
      <c r="M2560" s="56" t="str">
        <f t="shared" si="286"/>
        <v>WED</v>
      </c>
      <c r="O2560" s="383">
        <f t="shared" si="295"/>
        <v>1</v>
      </c>
      <c r="P2560" s="392">
        <f t="shared" ca="1" si="289"/>
        <v>1.0001090277777778</v>
      </c>
    </row>
    <row r="2561" spans="1:16">
      <c r="A2561" s="238">
        <f t="shared" ca="1" si="298"/>
        <v>3.9050000000000011</v>
      </c>
      <c r="B2561" s="239">
        <f t="shared" ca="1" si="299"/>
        <v>3.9249999999999972</v>
      </c>
      <c r="C2561" s="403">
        <f t="shared" si="287"/>
        <v>46359</v>
      </c>
      <c r="D2561" s="56" t="str">
        <f>VLOOKUP(MOD(C2561,7),'CALENDAR INFO'!$G$5:$H$11,2)</f>
        <v>THU</v>
      </c>
      <c r="G2561" s="411">
        <f t="shared" si="284"/>
        <v>0</v>
      </c>
      <c r="H2561" s="376" t="s">
        <v>211</v>
      </c>
      <c r="I2561" s="15">
        <f>I2560+I2559-1</f>
        <v>2589</v>
      </c>
      <c r="J2561" s="138">
        <f>I2561</f>
        <v>2589</v>
      </c>
      <c r="K2561" s="126"/>
      <c r="L2561" s="403">
        <f t="shared" si="285"/>
        <v>46359</v>
      </c>
      <c r="M2561" s="56" t="str">
        <f t="shared" si="286"/>
        <v>THU</v>
      </c>
      <c r="O2561" s="383">
        <f t="shared" si="295"/>
        <v>1</v>
      </c>
      <c r="P2561" s="392">
        <f t="shared" ca="1" si="289"/>
        <v>1.0001090277777778</v>
      </c>
    </row>
    <row r="2562" spans="1:16">
      <c r="A2562" s="238">
        <f t="shared" ca="1" si="298"/>
        <v>3.9050000000000011</v>
      </c>
      <c r="B2562" s="239">
        <f t="shared" ca="1" si="299"/>
        <v>3.9249999999999972</v>
      </c>
      <c r="C2562" s="403">
        <f t="shared" si="287"/>
        <v>46360</v>
      </c>
      <c r="D2562" s="56" t="str">
        <f>VLOOKUP(MOD(C2562,7),'CALENDAR INFO'!$G$5:$H$11,2)</f>
        <v>FRI</v>
      </c>
      <c r="G2562" s="411">
        <f t="shared" si="284"/>
        <v>0</v>
      </c>
      <c r="K2562" s="126"/>
      <c r="L2562" s="403">
        <f t="shared" si="285"/>
        <v>46360</v>
      </c>
      <c r="M2562" s="56" t="str">
        <f t="shared" si="286"/>
        <v>FRI</v>
      </c>
      <c r="O2562" s="383">
        <f t="shared" si="295"/>
        <v>3</v>
      </c>
      <c r="P2562" s="392">
        <f t="shared" ca="1" si="289"/>
        <v>1.0003270833333333</v>
      </c>
    </row>
    <row r="2563" spans="1:16">
      <c r="A2563" s="238">
        <f t="shared" ca="1" si="298"/>
        <v>3.9050000000000011</v>
      </c>
      <c r="B2563" s="239">
        <f t="shared" ca="1" si="299"/>
        <v>3.9249999999999972</v>
      </c>
      <c r="C2563" s="403">
        <f t="shared" si="287"/>
        <v>46361</v>
      </c>
      <c r="D2563" s="56" t="str">
        <f>VLOOKUP(MOD(C2563,7),'CALENDAR INFO'!$G$5:$H$11,2)</f>
        <v>SAT</v>
      </c>
      <c r="G2563" s="411">
        <f t="shared" ref="G2563:G2626" si="300">F2563-E2563</f>
        <v>0</v>
      </c>
      <c r="H2563" s="15" t="s">
        <v>224</v>
      </c>
      <c r="I2563" s="136">
        <v>2567</v>
      </c>
      <c r="J2563" s="138">
        <f>I2563</f>
        <v>2567</v>
      </c>
      <c r="K2563" s="126"/>
      <c r="L2563" s="403">
        <f t="shared" ref="L2563:L2626" si="301">C2563</f>
        <v>46361</v>
      </c>
      <c r="M2563" s="56" t="str">
        <f t="shared" ref="M2563:M2626" si="302">D2563</f>
        <v>SAT</v>
      </c>
      <c r="O2563" s="383">
        <f t="shared" si="295"/>
        <v>0</v>
      </c>
      <c r="P2563" s="392">
        <f t="shared" ca="1" si="289"/>
        <v>1</v>
      </c>
    </row>
    <row r="2564" spans="1:16">
      <c r="A2564" s="238">
        <f t="shared" ca="1" si="298"/>
        <v>3.9050000000000011</v>
      </c>
      <c r="B2564" s="239">
        <f t="shared" ca="1" si="299"/>
        <v>3.9249999999999972</v>
      </c>
      <c r="C2564" s="403">
        <f t="shared" ref="C2564:C2627" si="303">C2563+1</f>
        <v>46362</v>
      </c>
      <c r="D2564" s="56" t="str">
        <f>VLOOKUP(MOD(C2564,7),'CALENDAR INFO'!$G$5:$H$11,2)</f>
        <v>SUN</v>
      </c>
      <c r="G2564" s="411">
        <f t="shared" si="300"/>
        <v>0</v>
      </c>
      <c r="H2564" s="15" t="s">
        <v>225</v>
      </c>
      <c r="I2564" s="15" t="str">
        <f>_xlfn.CONCAT(ADDRESS(I2559,1),":",ADDRESS(I2563,1))</f>
        <v>$A$2559:$A$2567</v>
      </c>
      <c r="J2564" s="138" t="str">
        <f>_xlfn.CONCAT(ADDRESS(J2559,2),":",ADDRESS(J2563,2))</f>
        <v>$B$2559:$B$2567</v>
      </c>
      <c r="K2564" s="126"/>
      <c r="L2564" s="403">
        <f t="shared" si="301"/>
        <v>46362</v>
      </c>
      <c r="M2564" s="56" t="str">
        <f t="shared" si="302"/>
        <v>SUN</v>
      </c>
      <c r="O2564" s="383">
        <f t="shared" si="295"/>
        <v>0</v>
      </c>
      <c r="P2564" s="392">
        <f t="shared" ca="1" si="289"/>
        <v>1</v>
      </c>
    </row>
    <row r="2565" spans="1:16">
      <c r="A2565" s="238">
        <f t="shared" ca="1" si="298"/>
        <v>3.9050000000000011</v>
      </c>
      <c r="B2565" s="239">
        <f t="shared" ca="1" si="299"/>
        <v>3.9249999999999972</v>
      </c>
      <c r="C2565" s="403">
        <f t="shared" si="303"/>
        <v>46363</v>
      </c>
      <c r="D2565" s="56" t="str">
        <f>VLOOKUP(MOD(C2565,7),'CALENDAR INFO'!$G$5:$H$11,2)</f>
        <v>MON</v>
      </c>
      <c r="G2565" s="411">
        <f t="shared" si="300"/>
        <v>0</v>
      </c>
      <c r="H2565" s="15" t="s">
        <v>226</v>
      </c>
      <c r="I2565" s="15" t="str">
        <f>_xlfn.CONCAT(ADDRESS(I2563+1,1),":",ADDRESS(I2561,1))</f>
        <v>$A$2568:$A$2589</v>
      </c>
      <c r="J2565" s="138" t="str">
        <f>_xlfn.CONCAT(ADDRESS(J2563+1,2),":",ADDRESS(J2561,2))</f>
        <v>$B$2568:$B$2589</v>
      </c>
      <c r="K2565" s="126"/>
      <c r="L2565" s="403">
        <f t="shared" si="301"/>
        <v>46363</v>
      </c>
      <c r="M2565" s="56" t="str">
        <f t="shared" si="302"/>
        <v>MON</v>
      </c>
      <c r="O2565" s="383">
        <f t="shared" si="295"/>
        <v>1</v>
      </c>
      <c r="P2565" s="392">
        <f t="shared" ca="1" si="289"/>
        <v>1.0001090277777778</v>
      </c>
    </row>
    <row r="2566" spans="1:16">
      <c r="A2566" s="238">
        <f t="shared" ca="1" si="298"/>
        <v>3.9050000000000011</v>
      </c>
      <c r="B2566" s="239">
        <f t="shared" ca="1" si="299"/>
        <v>3.9249999999999972</v>
      </c>
      <c r="C2566" s="403">
        <f t="shared" si="303"/>
        <v>46364</v>
      </c>
      <c r="D2566" s="56" t="str">
        <f>VLOOKUP(MOD(C2566,7),'CALENDAR INFO'!$G$5:$H$11,2)</f>
        <v>TUE</v>
      </c>
      <c r="G2566" s="411">
        <f t="shared" si="300"/>
        <v>0</v>
      </c>
      <c r="H2566" s="15" t="s">
        <v>150</v>
      </c>
      <c r="I2566" s="15" t="str">
        <f>_xlfn.CONCAT(ADDRESS(I2559,5),":",ADDRESS(I2561,5))</f>
        <v>$E$2559:$E$2589</v>
      </c>
      <c r="J2566" s="138" t="str">
        <f>_xlfn.CONCAT(ADDRESS(J2559,6),":",ADDRESS(J2561,6))</f>
        <v>$F$2559:$F$2589</v>
      </c>
      <c r="K2566" s="126"/>
      <c r="L2566" s="403">
        <f t="shared" si="301"/>
        <v>46364</v>
      </c>
      <c r="M2566" s="56" t="str">
        <f t="shared" si="302"/>
        <v>TUE</v>
      </c>
      <c r="N2566" s="116" t="s">
        <v>20</v>
      </c>
      <c r="O2566" s="383">
        <f t="shared" si="295"/>
        <v>1</v>
      </c>
      <c r="P2566" s="392">
        <f t="shared" ca="1" si="289"/>
        <v>1.0001090277777778</v>
      </c>
    </row>
    <row r="2567" spans="1:16">
      <c r="A2567" s="238">
        <f t="shared" ca="1" si="298"/>
        <v>3.9050000000000011</v>
      </c>
      <c r="B2567" s="239">
        <f t="shared" ca="1" si="299"/>
        <v>3.9249999999999972</v>
      </c>
      <c r="C2567" s="403">
        <f t="shared" si="303"/>
        <v>46365</v>
      </c>
      <c r="D2567" s="56" t="str">
        <f>VLOOKUP(MOD(C2567,7),'CALENDAR INFO'!$G$5:$H$11,2)</f>
        <v>WED</v>
      </c>
      <c r="G2567" s="411">
        <f t="shared" si="300"/>
        <v>0</v>
      </c>
      <c r="K2567" s="126" t="s">
        <v>19</v>
      </c>
      <c r="L2567" s="403">
        <f t="shared" si="301"/>
        <v>46365</v>
      </c>
      <c r="M2567" s="56" t="str">
        <f t="shared" si="302"/>
        <v>WED</v>
      </c>
      <c r="N2567" s="116" t="s">
        <v>20</v>
      </c>
      <c r="O2567" s="383">
        <f t="shared" si="295"/>
        <v>1</v>
      </c>
      <c r="P2567" s="392">
        <f t="shared" ca="1" si="289"/>
        <v>1.0001090277777778</v>
      </c>
    </row>
    <row r="2568" spans="1:16">
      <c r="A2568" s="71">
        <f ca="1">I$2582</f>
        <v>4.1093181818181774</v>
      </c>
      <c r="B2568" s="176">
        <f ca="1">J$2582</f>
        <v>4.1363636363636411</v>
      </c>
      <c r="C2568" s="403">
        <f t="shared" si="303"/>
        <v>46366</v>
      </c>
      <c r="D2568" s="56" t="str">
        <f>VLOOKUP(MOD(C2568,7),'CALENDAR INFO'!$G$5:$H$11,2)</f>
        <v>THU</v>
      </c>
      <c r="G2568" s="411">
        <f t="shared" si="300"/>
        <v>0</v>
      </c>
      <c r="H2568" s="15" t="s">
        <v>117</v>
      </c>
      <c r="I2568" s="15">
        <f>I2560</f>
        <v>31</v>
      </c>
      <c r="J2568" s="138">
        <f>J2560</f>
        <v>31</v>
      </c>
      <c r="K2568" s="129" t="s">
        <v>18</v>
      </c>
      <c r="L2568" s="403">
        <f t="shared" si="301"/>
        <v>46366</v>
      </c>
      <c r="M2568" s="56" t="str">
        <f t="shared" si="302"/>
        <v>THU</v>
      </c>
      <c r="O2568" s="383">
        <f t="shared" si="295"/>
        <v>1</v>
      </c>
      <c r="P2568" s="392">
        <f t="shared" ca="1" si="289"/>
        <v>1.0001148989898989</v>
      </c>
    </row>
    <row r="2569" spans="1:16">
      <c r="A2569" s="71">
        <f t="shared" ref="A2569:A2589" ca="1" si="304">I$2582</f>
        <v>4.1093181818181774</v>
      </c>
      <c r="B2569" s="176">
        <f t="shared" ref="B2569:B2589" ca="1" si="305">J$2582</f>
        <v>4.1363636363636411</v>
      </c>
      <c r="C2569" s="403">
        <f t="shared" si="303"/>
        <v>46367</v>
      </c>
      <c r="D2569" s="56" t="str">
        <f>VLOOKUP(MOD(C2569,7),'CALENDAR INFO'!$G$5:$H$11,2)</f>
        <v>FRI</v>
      </c>
      <c r="G2569" s="411">
        <f t="shared" si="300"/>
        <v>0</v>
      </c>
      <c r="H2569" s="376" t="s">
        <v>213</v>
      </c>
      <c r="I2569" s="15">
        <f ca="1">COUNT(INDIRECT(I2566))</f>
        <v>0</v>
      </c>
      <c r="J2569" s="138">
        <f ca="1">COUNT(INDIRECT(J2566))</f>
        <v>0</v>
      </c>
      <c r="K2569" s="129"/>
      <c r="L2569" s="403">
        <f t="shared" si="301"/>
        <v>46367</v>
      </c>
      <c r="M2569" s="56" t="str">
        <f t="shared" si="302"/>
        <v>FRI</v>
      </c>
      <c r="O2569" s="383">
        <f t="shared" si="295"/>
        <v>3</v>
      </c>
      <c r="P2569" s="392">
        <f t="shared" ca="1" si="289"/>
        <v>1.000344696969697</v>
      </c>
    </row>
    <row r="2570" spans="1:16">
      <c r="A2570" s="71">
        <f t="shared" ca="1" si="304"/>
        <v>4.1093181818181774</v>
      </c>
      <c r="B2570" s="176">
        <f t="shared" ca="1" si="305"/>
        <v>4.1363636363636411</v>
      </c>
      <c r="C2570" s="403">
        <f t="shared" si="303"/>
        <v>46368</v>
      </c>
      <c r="D2570" s="56" t="str">
        <f>VLOOKUP(MOD(C2570,7),'CALENDAR INFO'!$G$5:$H$11,2)</f>
        <v>SAT</v>
      </c>
      <c r="G2570" s="411">
        <f t="shared" si="300"/>
        <v>0</v>
      </c>
      <c r="H2570" s="376" t="s">
        <v>229</v>
      </c>
      <c r="I2570" s="171">
        <f ca="1">COUNT(INDIRECT(I2564))</f>
        <v>9</v>
      </c>
      <c r="J2570" s="172">
        <f ca="1">COUNT(INDIRECT(J2564))</f>
        <v>9</v>
      </c>
      <c r="K2570" s="129"/>
      <c r="L2570" s="403">
        <f t="shared" si="301"/>
        <v>46368</v>
      </c>
      <c r="M2570" s="56" t="str">
        <f t="shared" si="302"/>
        <v>SAT</v>
      </c>
      <c r="O2570" s="383">
        <f t="shared" si="295"/>
        <v>0</v>
      </c>
      <c r="P2570" s="392">
        <f t="shared" ca="1" si="289"/>
        <v>1</v>
      </c>
    </row>
    <row r="2571" spans="1:16">
      <c r="A2571" s="71">
        <f t="shared" ca="1" si="304"/>
        <v>4.1093181818181774</v>
      </c>
      <c r="B2571" s="176">
        <f t="shared" ca="1" si="305"/>
        <v>4.1363636363636411</v>
      </c>
      <c r="C2571" s="403">
        <f t="shared" si="303"/>
        <v>46369</v>
      </c>
      <c r="D2571" s="56" t="str">
        <f>VLOOKUP(MOD(C2571,7),'CALENDAR INFO'!$G$5:$H$11,2)</f>
        <v>SUN</v>
      </c>
      <c r="G2571" s="411">
        <f t="shared" si="300"/>
        <v>0</v>
      </c>
      <c r="H2571" s="376" t="s">
        <v>230</v>
      </c>
      <c r="I2571" s="15">
        <f ca="1">I2568-I2569-I2570</f>
        <v>22</v>
      </c>
      <c r="J2571" s="138">
        <f ca="1">J2568-J2569-J2570</f>
        <v>22</v>
      </c>
      <c r="K2571" s="129"/>
      <c r="L2571" s="403">
        <f t="shared" si="301"/>
        <v>46369</v>
      </c>
      <c r="M2571" s="56" t="str">
        <f t="shared" si="302"/>
        <v>SUN</v>
      </c>
      <c r="O2571" s="383">
        <f t="shared" si="295"/>
        <v>0</v>
      </c>
      <c r="P2571" s="392">
        <f t="shared" ca="1" si="289"/>
        <v>1</v>
      </c>
    </row>
    <row r="2572" spans="1:16">
      <c r="A2572" s="71">
        <f t="shared" ca="1" si="304"/>
        <v>4.1093181818181774</v>
      </c>
      <c r="B2572" s="176">
        <f t="shared" ca="1" si="305"/>
        <v>4.1363636363636411</v>
      </c>
      <c r="C2572" s="403">
        <f t="shared" si="303"/>
        <v>46370</v>
      </c>
      <c r="D2572" s="56" t="str">
        <f>VLOOKUP(MOD(C2572,7),'CALENDAR INFO'!$G$5:$H$11,2)</f>
        <v>MON</v>
      </c>
      <c r="G2572" s="411">
        <f t="shared" si="300"/>
        <v>0</v>
      </c>
      <c r="K2572" s="129"/>
      <c r="L2572" s="403">
        <f t="shared" si="301"/>
        <v>46370</v>
      </c>
      <c r="M2572" s="56" t="str">
        <f t="shared" si="302"/>
        <v>MON</v>
      </c>
      <c r="O2572" s="383">
        <f t="shared" si="295"/>
        <v>1</v>
      </c>
      <c r="P2572" s="392">
        <f t="shared" ca="1" si="289"/>
        <v>1.0001148989898989</v>
      </c>
    </row>
    <row r="2573" spans="1:16">
      <c r="A2573" s="71">
        <f t="shared" ca="1" si="304"/>
        <v>4.1093181818181774</v>
      </c>
      <c r="B2573" s="176">
        <f t="shared" ca="1" si="305"/>
        <v>4.1363636363636411</v>
      </c>
      <c r="C2573" s="403">
        <f t="shared" si="303"/>
        <v>46371</v>
      </c>
      <c r="D2573" s="56" t="str">
        <f>VLOOKUP(MOD(C2573,7),'CALENDAR INFO'!$G$5:$H$11,2)</f>
        <v>TUE</v>
      </c>
      <c r="G2573" s="411">
        <f t="shared" si="300"/>
        <v>0</v>
      </c>
      <c r="H2573" s="15" t="s">
        <v>175</v>
      </c>
      <c r="I2573" s="139">
        <f>OUTPUT!C8</f>
        <v>4.0499999999999972</v>
      </c>
      <c r="J2573" s="151">
        <f>OUTPUT!F8</f>
        <v>4.0750000000000028</v>
      </c>
      <c r="K2573" s="129"/>
      <c r="L2573" s="403">
        <f t="shared" si="301"/>
        <v>46371</v>
      </c>
      <c r="M2573" s="56" t="str">
        <f t="shared" si="302"/>
        <v>TUE</v>
      </c>
      <c r="O2573" s="383">
        <f t="shared" si="295"/>
        <v>1</v>
      </c>
      <c r="P2573" s="392">
        <f t="shared" ca="1" si="289"/>
        <v>1.0001148989898989</v>
      </c>
    </row>
    <row r="2574" spans="1:16">
      <c r="A2574" s="71">
        <f t="shared" ca="1" si="304"/>
        <v>4.1093181818181774</v>
      </c>
      <c r="B2574" s="176">
        <f t="shared" ca="1" si="305"/>
        <v>4.1363636363636411</v>
      </c>
      <c r="C2574" s="403">
        <f t="shared" si="303"/>
        <v>46372</v>
      </c>
      <c r="D2574" s="56" t="str">
        <f>VLOOKUP(MOD(C2574,7),'CALENDAR INFO'!$G$5:$H$11,2)</f>
        <v>WED</v>
      </c>
      <c r="G2574" s="411">
        <f t="shared" si="300"/>
        <v>0</v>
      </c>
      <c r="H2574" s="15" t="s">
        <v>209</v>
      </c>
      <c r="I2574" s="171">
        <f>I2560</f>
        <v>31</v>
      </c>
      <c r="J2574" s="172">
        <f>J2560</f>
        <v>31</v>
      </c>
      <c r="K2574" s="129"/>
      <c r="L2574" s="403">
        <f t="shared" si="301"/>
        <v>46372</v>
      </c>
      <c r="M2574" s="56" t="str">
        <f t="shared" si="302"/>
        <v>WED</v>
      </c>
      <c r="O2574" s="383">
        <f t="shared" si="295"/>
        <v>1</v>
      </c>
      <c r="P2574" s="392">
        <f t="shared" ca="1" si="289"/>
        <v>1.0001148989898989</v>
      </c>
    </row>
    <row r="2575" spans="1:16">
      <c r="A2575" s="71">
        <f t="shared" ca="1" si="304"/>
        <v>4.1093181818181774</v>
      </c>
      <c r="B2575" s="176">
        <f t="shared" ca="1" si="305"/>
        <v>4.1363636363636411</v>
      </c>
      <c r="C2575" s="403">
        <f t="shared" si="303"/>
        <v>46373</v>
      </c>
      <c r="D2575" s="56" t="str">
        <f>VLOOKUP(MOD(C2575,7),'CALENDAR INFO'!$G$5:$H$11,2)</f>
        <v>THU</v>
      </c>
      <c r="G2575" s="411">
        <f t="shared" si="300"/>
        <v>0</v>
      </c>
      <c r="H2575" s="376" t="s">
        <v>214</v>
      </c>
      <c r="I2575" s="137">
        <f>I2573*I2574</f>
        <v>125.54999999999991</v>
      </c>
      <c r="J2575" s="150">
        <f>J2573*J2574</f>
        <v>126.32500000000009</v>
      </c>
      <c r="K2575" s="129"/>
      <c r="L2575" s="403">
        <f t="shared" si="301"/>
        <v>46373</v>
      </c>
      <c r="M2575" s="56" t="str">
        <f t="shared" si="302"/>
        <v>THU</v>
      </c>
      <c r="O2575" s="383">
        <f t="shared" si="295"/>
        <v>1</v>
      </c>
      <c r="P2575" s="392">
        <f t="shared" ca="1" si="289"/>
        <v>1.0001148989898989</v>
      </c>
    </row>
    <row r="2576" spans="1:16">
      <c r="A2576" s="71">
        <f t="shared" ca="1" si="304"/>
        <v>4.1093181818181774</v>
      </c>
      <c r="B2576" s="176">
        <f t="shared" ca="1" si="305"/>
        <v>4.1363636363636411</v>
      </c>
      <c r="C2576" s="403">
        <f t="shared" si="303"/>
        <v>46374</v>
      </c>
      <c r="D2576" s="56" t="str">
        <f>VLOOKUP(MOD(C2576,7),'CALENDAR INFO'!$G$5:$H$11,2)</f>
        <v>FRI</v>
      </c>
      <c r="G2576" s="411">
        <f t="shared" si="300"/>
        <v>0</v>
      </c>
      <c r="H2576" s="376" t="s">
        <v>215</v>
      </c>
      <c r="I2576" s="137">
        <f ca="1">SUM(INDIRECT(I2566))</f>
        <v>0</v>
      </c>
      <c r="J2576" s="150">
        <f ca="1">SUM(INDIRECT(J2566))</f>
        <v>0</v>
      </c>
      <c r="K2576" s="129"/>
      <c r="L2576" s="403">
        <f t="shared" si="301"/>
        <v>46374</v>
      </c>
      <c r="M2576" s="56" t="str">
        <f t="shared" si="302"/>
        <v>FRI</v>
      </c>
      <c r="O2576" s="383">
        <f t="shared" si="295"/>
        <v>3</v>
      </c>
      <c r="P2576" s="392">
        <f t="shared" ca="1" si="289"/>
        <v>1.000344696969697</v>
      </c>
    </row>
    <row r="2577" spans="1:16">
      <c r="A2577" s="71">
        <f t="shared" ca="1" si="304"/>
        <v>4.1093181818181774</v>
      </c>
      <c r="B2577" s="176">
        <f t="shared" ca="1" si="305"/>
        <v>4.1363636363636411</v>
      </c>
      <c r="C2577" s="403">
        <f t="shared" si="303"/>
        <v>46375</v>
      </c>
      <c r="D2577" s="56" t="str">
        <f>VLOOKUP(MOD(C2577,7),'CALENDAR INFO'!$G$5:$H$11,2)</f>
        <v>SAT</v>
      </c>
      <c r="G2577" s="411">
        <f t="shared" si="300"/>
        <v>0</v>
      </c>
      <c r="H2577" s="376" t="s">
        <v>231</v>
      </c>
      <c r="I2577" s="163">
        <f ca="1">SUM(INDIRECT(I2564))</f>
        <v>35.14500000000001</v>
      </c>
      <c r="J2577" s="164">
        <f ca="1">SUM(INDIRECT(J2564))</f>
        <v>35.324999999999974</v>
      </c>
      <c r="K2577" s="129"/>
      <c r="L2577" s="403">
        <f t="shared" si="301"/>
        <v>46375</v>
      </c>
      <c r="M2577" s="56" t="str">
        <f t="shared" si="302"/>
        <v>SAT</v>
      </c>
      <c r="O2577" s="383">
        <f t="shared" si="295"/>
        <v>0</v>
      </c>
      <c r="P2577" s="392">
        <f t="shared" ca="1" si="289"/>
        <v>1</v>
      </c>
    </row>
    <row r="2578" spans="1:16">
      <c r="A2578" s="71">
        <f t="shared" ca="1" si="304"/>
        <v>4.1093181818181774</v>
      </c>
      <c r="B2578" s="176">
        <f t="shared" ca="1" si="305"/>
        <v>4.1363636363636411</v>
      </c>
      <c r="C2578" s="403">
        <f t="shared" si="303"/>
        <v>46376</v>
      </c>
      <c r="D2578" s="56" t="str">
        <f>VLOOKUP(MOD(C2578,7),'CALENDAR INFO'!$G$5:$H$11,2)</f>
        <v>SUN</v>
      </c>
      <c r="G2578" s="411">
        <f t="shared" si="300"/>
        <v>0</v>
      </c>
      <c r="H2578" s="376" t="s">
        <v>232</v>
      </c>
      <c r="I2578" s="137">
        <f ca="1">I2575-I2576-I2577</f>
        <v>90.404999999999902</v>
      </c>
      <c r="J2578" s="150">
        <f ca="1">J2575-J2576-J2577</f>
        <v>91.000000000000114</v>
      </c>
      <c r="K2578" s="129"/>
      <c r="L2578" s="403">
        <f t="shared" si="301"/>
        <v>46376</v>
      </c>
      <c r="M2578" s="56" t="str">
        <f t="shared" si="302"/>
        <v>SUN</v>
      </c>
      <c r="O2578" s="383">
        <f t="shared" si="295"/>
        <v>0</v>
      </c>
      <c r="P2578" s="392">
        <f t="shared" ca="1" si="289"/>
        <v>1</v>
      </c>
    </row>
    <row r="2579" spans="1:16">
      <c r="A2579" s="71">
        <f t="shared" ca="1" si="304"/>
        <v>4.1093181818181774</v>
      </c>
      <c r="B2579" s="176">
        <f t="shared" ca="1" si="305"/>
        <v>4.1363636363636411</v>
      </c>
      <c r="C2579" s="403">
        <f t="shared" si="303"/>
        <v>46377</v>
      </c>
      <c r="D2579" s="56" t="str">
        <f>VLOOKUP(MOD(C2579,7),'CALENDAR INFO'!$G$5:$H$11,2)</f>
        <v>MON</v>
      </c>
      <c r="G2579" s="411">
        <f t="shared" si="300"/>
        <v>0</v>
      </c>
      <c r="K2579" s="129"/>
      <c r="L2579" s="403">
        <f t="shared" si="301"/>
        <v>46377</v>
      </c>
      <c r="M2579" s="56" t="str">
        <f t="shared" si="302"/>
        <v>MON</v>
      </c>
      <c r="O2579" s="383">
        <f t="shared" si="295"/>
        <v>1</v>
      </c>
      <c r="P2579" s="392">
        <f t="shared" ref="P2579:P2642" ca="1" si="306">1+(O2579/360)*(MAX(F2579,B2579)/100)</f>
        <v>1.0001148989898989</v>
      </c>
    </row>
    <row r="2580" spans="1:16">
      <c r="A2580" s="71">
        <f t="shared" ca="1" si="304"/>
        <v>4.1093181818181774</v>
      </c>
      <c r="B2580" s="176">
        <f t="shared" ca="1" si="305"/>
        <v>4.1363636363636411</v>
      </c>
      <c r="C2580" s="403">
        <f t="shared" si="303"/>
        <v>46378</v>
      </c>
      <c r="D2580" s="56" t="str">
        <f>VLOOKUP(MOD(C2580,7),'CALENDAR INFO'!$G$5:$H$11,2)</f>
        <v>TUE</v>
      </c>
      <c r="G2580" s="411">
        <f t="shared" si="300"/>
        <v>0</v>
      </c>
      <c r="H2580" s="15" t="s">
        <v>233</v>
      </c>
      <c r="I2580" s="137">
        <f ca="1">I2578</f>
        <v>90.404999999999902</v>
      </c>
      <c r="J2580" s="150">
        <f ca="1">J2578</f>
        <v>91.000000000000114</v>
      </c>
      <c r="K2580" s="129"/>
      <c r="L2580" s="403">
        <f t="shared" si="301"/>
        <v>46378</v>
      </c>
      <c r="M2580" s="56" t="str">
        <f t="shared" si="302"/>
        <v>TUE</v>
      </c>
      <c r="O2580" s="383">
        <f t="shared" si="295"/>
        <v>1</v>
      </c>
      <c r="P2580" s="392">
        <f t="shared" ca="1" si="306"/>
        <v>1.0001148989898989</v>
      </c>
    </row>
    <row r="2581" spans="1:16">
      <c r="A2581" s="71">
        <f t="shared" ca="1" si="304"/>
        <v>4.1093181818181774</v>
      </c>
      <c r="B2581" s="176">
        <f t="shared" ca="1" si="305"/>
        <v>4.1363636363636411</v>
      </c>
      <c r="C2581" s="403">
        <f t="shared" si="303"/>
        <v>46379</v>
      </c>
      <c r="D2581" s="56" t="str">
        <f>VLOOKUP(MOD(C2581,7),'CALENDAR INFO'!$G$5:$H$11,2)</f>
        <v>WED</v>
      </c>
      <c r="G2581" s="411">
        <f t="shared" si="300"/>
        <v>0</v>
      </c>
      <c r="H2581" s="376" t="s">
        <v>227</v>
      </c>
      <c r="I2581" s="171">
        <f ca="1">I2571</f>
        <v>22</v>
      </c>
      <c r="J2581" s="172">
        <f ca="1">J2571</f>
        <v>22</v>
      </c>
      <c r="K2581" s="129" t="s">
        <v>19</v>
      </c>
      <c r="L2581" s="403">
        <f t="shared" si="301"/>
        <v>46379</v>
      </c>
      <c r="M2581" s="56" t="str">
        <f t="shared" si="302"/>
        <v>WED</v>
      </c>
      <c r="O2581" s="383">
        <f t="shared" si="295"/>
        <v>1</v>
      </c>
      <c r="P2581" s="392">
        <f t="shared" ca="1" si="306"/>
        <v>1.0001148989898989</v>
      </c>
    </row>
    <row r="2582" spans="1:16">
      <c r="A2582" s="71">
        <f t="shared" ca="1" si="304"/>
        <v>4.1093181818181774</v>
      </c>
      <c r="B2582" s="176">
        <f t="shared" ca="1" si="305"/>
        <v>4.1363636363636411</v>
      </c>
      <c r="C2582" s="403">
        <f t="shared" si="303"/>
        <v>46380</v>
      </c>
      <c r="D2582" s="56" t="str">
        <f>VLOOKUP(MOD(C2582,7),'CALENDAR INFO'!$G$5:$H$11,2)</f>
        <v>THU</v>
      </c>
      <c r="G2582" s="411">
        <f t="shared" si="300"/>
        <v>0</v>
      </c>
      <c r="H2582" s="15" t="s">
        <v>228</v>
      </c>
      <c r="I2582" s="137">
        <f ca="1">I2580/I2581</f>
        <v>4.1093181818181774</v>
      </c>
      <c r="J2582" s="150">
        <f ca="1">J2580/J2581</f>
        <v>4.1363636363636411</v>
      </c>
      <c r="K2582" s="126" t="s">
        <v>18</v>
      </c>
      <c r="L2582" s="403">
        <f t="shared" si="301"/>
        <v>46380</v>
      </c>
      <c r="M2582" s="56" t="str">
        <f t="shared" si="302"/>
        <v>THU</v>
      </c>
      <c r="O2582" s="384">
        <v>4</v>
      </c>
      <c r="P2582" s="392">
        <f t="shared" ca="1" si="306"/>
        <v>1.0004595959595959</v>
      </c>
    </row>
    <row r="2583" spans="1:16">
      <c r="A2583" s="71">
        <f t="shared" ca="1" si="304"/>
        <v>4.1093181818181774</v>
      </c>
      <c r="B2583" s="176">
        <f t="shared" ca="1" si="305"/>
        <v>4.1363636363636411</v>
      </c>
      <c r="C2583" s="403">
        <f t="shared" si="303"/>
        <v>46381</v>
      </c>
      <c r="D2583" s="56" t="str">
        <f>VLOOKUP(MOD(C2583,7),'CALENDAR INFO'!$G$5:$H$11,2)</f>
        <v>FRI</v>
      </c>
      <c r="G2583" s="411">
        <f t="shared" si="300"/>
        <v>0</v>
      </c>
      <c r="K2583" s="126"/>
      <c r="L2583" s="403">
        <f t="shared" si="301"/>
        <v>46381</v>
      </c>
      <c r="M2583" s="56" t="str">
        <f t="shared" si="302"/>
        <v>FRI</v>
      </c>
      <c r="N2583" s="132" t="s">
        <v>52</v>
      </c>
      <c r="O2583" s="384">
        <v>0</v>
      </c>
      <c r="P2583" s="392">
        <f t="shared" ca="1" si="306"/>
        <v>1</v>
      </c>
    </row>
    <row r="2584" spans="1:16">
      <c r="A2584" s="71">
        <f t="shared" ca="1" si="304"/>
        <v>4.1093181818181774</v>
      </c>
      <c r="B2584" s="176">
        <f t="shared" ca="1" si="305"/>
        <v>4.1363636363636411</v>
      </c>
      <c r="C2584" s="403">
        <f t="shared" si="303"/>
        <v>46382</v>
      </c>
      <c r="D2584" s="56" t="str">
        <f>VLOOKUP(MOD(C2584,7),'CALENDAR INFO'!$G$5:$H$11,2)</f>
        <v>SAT</v>
      </c>
      <c r="G2584" s="411">
        <f t="shared" si="300"/>
        <v>0</v>
      </c>
      <c r="H2584" s="376" t="s">
        <v>221</v>
      </c>
      <c r="I2584" s="147" t="e">
        <f ca="1">AVERAGE(INDIRECT(I2566))</f>
        <v>#DIV/0!</v>
      </c>
      <c r="J2584" s="326" t="e">
        <f ca="1">AVERAGE(INDIRECT(J2566))</f>
        <v>#DIV/0!</v>
      </c>
      <c r="K2584" s="126"/>
      <c r="L2584" s="403">
        <f t="shared" si="301"/>
        <v>46382</v>
      </c>
      <c r="M2584" s="56" t="str">
        <f t="shared" si="302"/>
        <v>SAT</v>
      </c>
      <c r="O2584" s="383">
        <f>IF(MOD(C2584,7)&lt;2,0,IF(MOD(C2584,7)=6,3,1))</f>
        <v>0</v>
      </c>
      <c r="P2584" s="392">
        <f t="shared" ca="1" si="306"/>
        <v>1</v>
      </c>
    </row>
    <row r="2585" spans="1:16">
      <c r="A2585" s="71">
        <f t="shared" ca="1" si="304"/>
        <v>4.1093181818181774</v>
      </c>
      <c r="B2585" s="176">
        <f t="shared" ca="1" si="305"/>
        <v>4.1363636363636411</v>
      </c>
      <c r="C2585" s="403">
        <f t="shared" si="303"/>
        <v>46383</v>
      </c>
      <c r="D2585" s="56" t="str">
        <f>VLOOKUP(MOD(C2585,7),'CALENDAR INFO'!$G$5:$H$11,2)</f>
        <v>SUN</v>
      </c>
      <c r="G2585" s="411">
        <f t="shared" si="300"/>
        <v>0</v>
      </c>
      <c r="H2585" s="15" t="s">
        <v>222</v>
      </c>
      <c r="I2585" s="147" t="e">
        <f ca="1">100-I2584</f>
        <v>#DIV/0!</v>
      </c>
      <c r="J2585" s="326" t="e">
        <f ca="1">100-J2584</f>
        <v>#DIV/0!</v>
      </c>
      <c r="K2585" s="126"/>
      <c r="L2585" s="403">
        <f t="shared" si="301"/>
        <v>46383</v>
      </c>
      <c r="M2585" s="56" t="str">
        <f t="shared" si="302"/>
        <v>SUN</v>
      </c>
      <c r="O2585" s="383">
        <f>IF(MOD(C2585,7)&lt;2,0,IF(MOD(C2585,7)=6,3,1))</f>
        <v>0</v>
      </c>
      <c r="P2585" s="392">
        <f t="shared" ca="1" si="306"/>
        <v>1</v>
      </c>
    </row>
    <row r="2586" spans="1:16">
      <c r="A2586" s="71">
        <f t="shared" ca="1" si="304"/>
        <v>4.1093181818181774</v>
      </c>
      <c r="B2586" s="176">
        <f t="shared" ca="1" si="305"/>
        <v>4.1363636363636411</v>
      </c>
      <c r="C2586" s="403">
        <f t="shared" si="303"/>
        <v>46384</v>
      </c>
      <c r="D2586" s="56" t="str">
        <f>VLOOKUP(MOD(C2586,7),'CALENDAR INFO'!$G$5:$H$11,2)</f>
        <v>MON</v>
      </c>
      <c r="G2586" s="411">
        <f t="shared" si="300"/>
        <v>0</v>
      </c>
      <c r="H2586" s="425" t="s">
        <v>97</v>
      </c>
      <c r="I2586" s="419"/>
      <c r="J2586" s="426"/>
      <c r="K2586" s="126"/>
      <c r="L2586" s="403">
        <f t="shared" si="301"/>
        <v>46384</v>
      </c>
      <c r="M2586" s="56" t="str">
        <f t="shared" si="302"/>
        <v>MON</v>
      </c>
      <c r="O2586" s="383">
        <f>IF(MOD(C2586,7)&lt;2,0,IF(MOD(C2586,7)=6,3,1))</f>
        <v>1</v>
      </c>
      <c r="P2586" s="392">
        <f t="shared" ca="1" si="306"/>
        <v>1.0001148989898989</v>
      </c>
    </row>
    <row r="2587" spans="1:16">
      <c r="A2587" s="71">
        <f t="shared" ca="1" si="304"/>
        <v>4.1093181818181774</v>
      </c>
      <c r="B2587" s="176">
        <f t="shared" ca="1" si="305"/>
        <v>4.1363636363636411</v>
      </c>
      <c r="C2587" s="403">
        <f t="shared" si="303"/>
        <v>46385</v>
      </c>
      <c r="D2587" s="56" t="str">
        <f>VLOOKUP(MOD(C2587,7),'CALENDAR INFO'!$G$5:$H$11,2)</f>
        <v>TUE</v>
      </c>
      <c r="G2587" s="411">
        <f t="shared" si="300"/>
        <v>0</v>
      </c>
      <c r="I2587" s="137"/>
      <c r="J2587" s="150"/>
      <c r="K2587" s="126"/>
      <c r="L2587" s="403">
        <f t="shared" si="301"/>
        <v>46385</v>
      </c>
      <c r="M2587" s="56" t="str">
        <f t="shared" si="302"/>
        <v>TUE</v>
      </c>
      <c r="O2587" s="383">
        <f>IF(MOD(C2587,7)&lt;2,0,IF(MOD(C2587,7)=6,3,1))</f>
        <v>1</v>
      </c>
      <c r="P2587" s="392">
        <f t="shared" ca="1" si="306"/>
        <v>1.0001148989898989</v>
      </c>
    </row>
    <row r="2588" spans="1:16">
      <c r="A2588" s="71">
        <f t="shared" ca="1" si="304"/>
        <v>4.1093181818181774</v>
      </c>
      <c r="B2588" s="176">
        <f t="shared" ca="1" si="305"/>
        <v>4.1363636363636411</v>
      </c>
      <c r="C2588" s="403">
        <f t="shared" si="303"/>
        <v>46386</v>
      </c>
      <c r="D2588" s="56" t="str">
        <f>VLOOKUP(MOD(C2588,7),'CALENDAR INFO'!$G$5:$H$11,2)</f>
        <v>WED</v>
      </c>
      <c r="G2588" s="411">
        <f t="shared" si="300"/>
        <v>0</v>
      </c>
      <c r="I2588" s="137"/>
      <c r="J2588" s="150"/>
      <c r="K2588" s="126"/>
      <c r="L2588" s="403">
        <f t="shared" si="301"/>
        <v>46386</v>
      </c>
      <c r="M2588" s="56" t="str">
        <f t="shared" si="302"/>
        <v>WED</v>
      </c>
      <c r="O2588" s="383">
        <f>IF(MOD(C2588,7)&lt;2,0,IF(MOD(C2588,7)=6,3,1))</f>
        <v>1</v>
      </c>
      <c r="P2588" s="392">
        <f t="shared" ca="1" si="306"/>
        <v>1.0001148989898989</v>
      </c>
    </row>
    <row r="2589" spans="1:16" ht="15.75" thickBot="1">
      <c r="A2589" s="318">
        <f t="shared" ca="1" si="304"/>
        <v>4.1093181818181774</v>
      </c>
      <c r="B2589" s="319">
        <f t="shared" ca="1" si="305"/>
        <v>4.1363636363636411</v>
      </c>
      <c r="C2589" s="404">
        <f t="shared" si="303"/>
        <v>46387</v>
      </c>
      <c r="D2589" s="64" t="str">
        <f>VLOOKUP(MOD(C2589,7),'CALENDAR INFO'!$G$5:$H$11,2)</f>
        <v>THU</v>
      </c>
      <c r="E2589" s="166"/>
      <c r="F2589" s="337"/>
      <c r="G2589" s="412">
        <f t="shared" si="300"/>
        <v>0</v>
      </c>
      <c r="H2589" s="274"/>
      <c r="I2589" s="274"/>
      <c r="J2589" s="275"/>
      <c r="K2589" s="77"/>
      <c r="L2589" s="404">
        <f t="shared" si="301"/>
        <v>46387</v>
      </c>
      <c r="M2589" s="64" t="str">
        <f t="shared" si="302"/>
        <v>THU</v>
      </c>
      <c r="N2589" s="90"/>
      <c r="O2589" s="387">
        <v>4</v>
      </c>
      <c r="P2589" s="388">
        <f t="shared" ca="1" si="306"/>
        <v>1.0004595959595959</v>
      </c>
    </row>
    <row r="2590" spans="1:16">
      <c r="C2590" s="403">
        <f t="shared" si="303"/>
        <v>46388</v>
      </c>
      <c r="D2590" s="56" t="str">
        <f>VLOOKUP(MOD(C2590,7),'CALENDAR INFO'!$G$5:$H$11,2)</f>
        <v>FRI</v>
      </c>
      <c r="G2590" s="411">
        <f t="shared" si="300"/>
        <v>0</v>
      </c>
      <c r="H2590" s="15" t="s">
        <v>149</v>
      </c>
      <c r="I2590" s="15">
        <f>ROW(I2590)</f>
        <v>2590</v>
      </c>
      <c r="J2590" s="138">
        <f>I2590</f>
        <v>2590</v>
      </c>
      <c r="K2590" s="126"/>
      <c r="L2590" s="403">
        <f t="shared" si="301"/>
        <v>46388</v>
      </c>
      <c r="M2590" s="56" t="str">
        <f t="shared" si="302"/>
        <v>FRI</v>
      </c>
      <c r="N2590" s="132" t="s">
        <v>114</v>
      </c>
      <c r="O2590" s="384">
        <v>0</v>
      </c>
      <c r="P2590" s="392">
        <f t="shared" si="306"/>
        <v>1</v>
      </c>
    </row>
    <row r="2591" spans="1:16">
      <c r="C2591" s="403">
        <f t="shared" si="303"/>
        <v>46389</v>
      </c>
      <c r="D2591" s="56" t="str">
        <f>VLOOKUP(MOD(C2591,7),'CALENDAR INFO'!$G$5:$H$11,2)</f>
        <v>SAT</v>
      </c>
      <c r="G2591" s="411">
        <f t="shared" si="300"/>
        <v>0</v>
      </c>
      <c r="H2591" s="376" t="s">
        <v>210</v>
      </c>
      <c r="I2591" s="171">
        <f>VLOOKUP(MONTH($C2590),'CALENDAR INFO'!$J$5:$K$16,2)</f>
        <v>31</v>
      </c>
      <c r="J2591" s="172">
        <f>I2591</f>
        <v>31</v>
      </c>
      <c r="K2591" s="126"/>
      <c r="L2591" s="403">
        <f t="shared" si="301"/>
        <v>46389</v>
      </c>
      <c r="M2591" s="56" t="str">
        <f t="shared" si="302"/>
        <v>SAT</v>
      </c>
      <c r="O2591" s="383">
        <f t="shared" ref="O2591:O2603" si="307">IF(MOD(C2591,7)&lt;2,0,IF(MOD(C2591,7)=6,3,1))</f>
        <v>0</v>
      </c>
      <c r="P2591" s="392">
        <f t="shared" si="306"/>
        <v>1</v>
      </c>
    </row>
    <row r="2592" spans="1:16">
      <c r="C2592" s="403">
        <f t="shared" si="303"/>
        <v>46390</v>
      </c>
      <c r="D2592" s="56" t="str">
        <f>VLOOKUP(MOD(C2592,7),'CALENDAR INFO'!$G$5:$H$11,2)</f>
        <v>SUN</v>
      </c>
      <c r="G2592" s="411">
        <f t="shared" si="300"/>
        <v>0</v>
      </c>
      <c r="H2592" s="376" t="s">
        <v>211</v>
      </c>
      <c r="I2592" s="15">
        <f>I2591+I2590-1</f>
        <v>2620</v>
      </c>
      <c r="J2592" s="138">
        <f>I2592</f>
        <v>2620</v>
      </c>
      <c r="K2592" s="126"/>
      <c r="L2592" s="403">
        <f t="shared" si="301"/>
        <v>46390</v>
      </c>
      <c r="M2592" s="56" t="str">
        <f t="shared" si="302"/>
        <v>SUN</v>
      </c>
      <c r="O2592" s="383">
        <f t="shared" si="307"/>
        <v>0</v>
      </c>
      <c r="P2592" s="392">
        <f t="shared" si="306"/>
        <v>1</v>
      </c>
    </row>
    <row r="2593" spans="3:16">
      <c r="C2593" s="403">
        <f t="shared" si="303"/>
        <v>46391</v>
      </c>
      <c r="D2593" s="56" t="str">
        <f>VLOOKUP(MOD(C2593,7),'CALENDAR INFO'!$G$5:$H$11,2)</f>
        <v>MON</v>
      </c>
      <c r="G2593" s="411">
        <f t="shared" si="300"/>
        <v>0</v>
      </c>
      <c r="K2593" s="126"/>
      <c r="L2593" s="403">
        <f t="shared" si="301"/>
        <v>46391</v>
      </c>
      <c r="M2593" s="56" t="str">
        <f t="shared" si="302"/>
        <v>MON</v>
      </c>
      <c r="O2593" s="383">
        <f t="shared" si="307"/>
        <v>1</v>
      </c>
      <c r="P2593" s="392">
        <f t="shared" si="306"/>
        <v>1</v>
      </c>
    </row>
    <row r="2594" spans="3:16">
      <c r="C2594" s="403">
        <f t="shared" si="303"/>
        <v>46392</v>
      </c>
      <c r="D2594" s="56" t="str">
        <f>VLOOKUP(MOD(C2594,7),'CALENDAR INFO'!$G$5:$H$11,2)</f>
        <v>TUE</v>
      </c>
      <c r="G2594" s="411">
        <f t="shared" si="300"/>
        <v>0</v>
      </c>
      <c r="H2594" s="15" t="s">
        <v>224</v>
      </c>
      <c r="I2594" s="136">
        <v>2616</v>
      </c>
      <c r="J2594" s="138">
        <f>I2594</f>
        <v>2616</v>
      </c>
      <c r="K2594" s="126"/>
      <c r="L2594" s="403">
        <f t="shared" si="301"/>
        <v>46392</v>
      </c>
      <c r="M2594" s="56" t="str">
        <f t="shared" si="302"/>
        <v>TUE</v>
      </c>
      <c r="O2594" s="383">
        <f t="shared" si="307"/>
        <v>1</v>
      </c>
      <c r="P2594" s="392">
        <f t="shared" si="306"/>
        <v>1</v>
      </c>
    </row>
    <row r="2595" spans="3:16">
      <c r="C2595" s="403">
        <f t="shared" si="303"/>
        <v>46393</v>
      </c>
      <c r="D2595" s="56" t="str">
        <f>VLOOKUP(MOD(C2595,7),'CALENDAR INFO'!$G$5:$H$11,2)</f>
        <v>WED</v>
      </c>
      <c r="G2595" s="411">
        <f t="shared" si="300"/>
        <v>0</v>
      </c>
      <c r="H2595" s="15" t="s">
        <v>225</v>
      </c>
      <c r="I2595" s="15" t="str">
        <f>_xlfn.CONCAT(ADDRESS(I2590,1),":",ADDRESS(I2594,1))</f>
        <v>$A$2590:$A$2616</v>
      </c>
      <c r="J2595" s="138" t="str">
        <f>_xlfn.CONCAT(ADDRESS(J2590,2),":",ADDRESS(J2594,2))</f>
        <v>$B$2590:$B$2616</v>
      </c>
      <c r="K2595" s="126" t="s">
        <v>19</v>
      </c>
      <c r="L2595" s="403">
        <f t="shared" si="301"/>
        <v>46393</v>
      </c>
      <c r="M2595" s="56" t="str">
        <f t="shared" si="302"/>
        <v>WED</v>
      </c>
      <c r="O2595" s="383">
        <f t="shared" si="307"/>
        <v>1</v>
      </c>
      <c r="P2595" s="392">
        <f t="shared" si="306"/>
        <v>1</v>
      </c>
    </row>
    <row r="2596" spans="3:16">
      <c r="C2596" s="403">
        <f t="shared" si="303"/>
        <v>46394</v>
      </c>
      <c r="D2596" s="56" t="str">
        <f>VLOOKUP(MOD(C2596,7),'CALENDAR INFO'!$G$5:$H$11,2)</f>
        <v>THU</v>
      </c>
      <c r="G2596" s="411">
        <f t="shared" si="300"/>
        <v>0</v>
      </c>
      <c r="H2596" s="15" t="s">
        <v>226</v>
      </c>
      <c r="I2596" s="15" t="str">
        <f>_xlfn.CONCAT(ADDRESS(I2594+1,1),":",ADDRESS(I2592,1))</f>
        <v>$A$2617:$A$2620</v>
      </c>
      <c r="J2596" s="138" t="str">
        <f>_xlfn.CONCAT(ADDRESS(J2594+1,2),":",ADDRESS(J2592,2))</f>
        <v>$B$2617:$B$2620</v>
      </c>
      <c r="L2596" s="403">
        <f t="shared" si="301"/>
        <v>46394</v>
      </c>
      <c r="M2596" s="56" t="str">
        <f t="shared" si="302"/>
        <v>THU</v>
      </c>
      <c r="O2596" s="383">
        <f t="shared" si="307"/>
        <v>1</v>
      </c>
      <c r="P2596" s="392">
        <f t="shared" si="306"/>
        <v>1</v>
      </c>
    </row>
    <row r="2597" spans="3:16">
      <c r="C2597" s="403">
        <f t="shared" si="303"/>
        <v>46395</v>
      </c>
      <c r="D2597" s="56" t="str">
        <f>VLOOKUP(MOD(C2597,7),'CALENDAR INFO'!$G$5:$H$11,2)</f>
        <v>FRI</v>
      </c>
      <c r="G2597" s="411">
        <f t="shared" si="300"/>
        <v>0</v>
      </c>
      <c r="H2597" s="376" t="s">
        <v>150</v>
      </c>
      <c r="I2597" s="15" t="str">
        <f>_xlfn.CONCAT(ADDRESS(I2590,5),":",ADDRESS(I2592,5))</f>
        <v>$E$2590:$E$2620</v>
      </c>
      <c r="J2597" s="138" t="str">
        <f>_xlfn.CONCAT(ADDRESS(J2590,6),":",ADDRESS(J2592,6))</f>
        <v>$F$2590:$F$2620</v>
      </c>
      <c r="L2597" s="403">
        <f t="shared" si="301"/>
        <v>46395</v>
      </c>
      <c r="M2597" s="56" t="str">
        <f t="shared" si="302"/>
        <v>FRI</v>
      </c>
      <c r="O2597" s="383">
        <f t="shared" si="307"/>
        <v>3</v>
      </c>
      <c r="P2597" s="392">
        <f t="shared" si="306"/>
        <v>1</v>
      </c>
    </row>
    <row r="2598" spans="3:16">
      <c r="C2598" s="403">
        <f t="shared" si="303"/>
        <v>46396</v>
      </c>
      <c r="D2598" s="56" t="str">
        <f>VLOOKUP(MOD(C2598,7),'CALENDAR INFO'!$G$5:$H$11,2)</f>
        <v>SAT</v>
      </c>
      <c r="G2598" s="411">
        <f t="shared" si="300"/>
        <v>0</v>
      </c>
      <c r="H2598" s="376"/>
      <c r="L2598" s="403">
        <f t="shared" si="301"/>
        <v>46396</v>
      </c>
      <c r="M2598" s="56" t="str">
        <f t="shared" si="302"/>
        <v>SAT</v>
      </c>
      <c r="O2598" s="383">
        <f t="shared" si="307"/>
        <v>0</v>
      </c>
      <c r="P2598" s="392">
        <f t="shared" si="306"/>
        <v>1</v>
      </c>
    </row>
    <row r="2599" spans="3:16">
      <c r="C2599" s="403">
        <f t="shared" si="303"/>
        <v>46397</v>
      </c>
      <c r="D2599" s="56" t="str">
        <f>VLOOKUP(MOD(C2599,7),'CALENDAR INFO'!$G$5:$H$11,2)</f>
        <v>SUN</v>
      </c>
      <c r="G2599" s="411">
        <f t="shared" si="300"/>
        <v>0</v>
      </c>
      <c r="H2599" s="15" t="s">
        <v>117</v>
      </c>
      <c r="I2599" s="15">
        <f>I2591</f>
        <v>31</v>
      </c>
      <c r="J2599" s="138">
        <f>J2591</f>
        <v>31</v>
      </c>
      <c r="L2599" s="403">
        <f t="shared" si="301"/>
        <v>46397</v>
      </c>
      <c r="M2599" s="56" t="str">
        <f t="shared" si="302"/>
        <v>SUN</v>
      </c>
      <c r="O2599" s="383">
        <f t="shared" si="307"/>
        <v>0</v>
      </c>
      <c r="P2599" s="392">
        <f t="shared" si="306"/>
        <v>1</v>
      </c>
    </row>
    <row r="2600" spans="3:16">
      <c r="C2600" s="403">
        <f t="shared" si="303"/>
        <v>46398</v>
      </c>
      <c r="D2600" s="56" t="str">
        <f>VLOOKUP(MOD(C2600,7),'CALENDAR INFO'!$G$5:$H$11,2)</f>
        <v>MON</v>
      </c>
      <c r="G2600" s="411">
        <f t="shared" si="300"/>
        <v>0</v>
      </c>
      <c r="H2600" s="15" t="s">
        <v>213</v>
      </c>
      <c r="I2600" s="15">
        <f ca="1">COUNT(INDIRECT(I2597))</f>
        <v>0</v>
      </c>
      <c r="J2600" s="138">
        <f ca="1">COUNT(INDIRECT(J2597))</f>
        <v>0</v>
      </c>
      <c r="L2600" s="403">
        <f t="shared" si="301"/>
        <v>46398</v>
      </c>
      <c r="M2600" s="56" t="str">
        <f t="shared" si="302"/>
        <v>MON</v>
      </c>
      <c r="O2600" s="383">
        <f t="shared" si="307"/>
        <v>1</v>
      </c>
      <c r="P2600" s="392">
        <f t="shared" si="306"/>
        <v>1</v>
      </c>
    </row>
    <row r="2601" spans="3:16">
      <c r="C2601" s="403">
        <f t="shared" si="303"/>
        <v>46399</v>
      </c>
      <c r="D2601" s="56" t="str">
        <f>VLOOKUP(MOD(C2601,7),'CALENDAR INFO'!$G$5:$H$11,2)</f>
        <v>TUE</v>
      </c>
      <c r="G2601" s="411">
        <f t="shared" si="300"/>
        <v>0</v>
      </c>
      <c r="H2601" s="15" t="s">
        <v>229</v>
      </c>
      <c r="I2601" s="171">
        <f ca="1">COUNT(INDIRECT(I2595))</f>
        <v>0</v>
      </c>
      <c r="J2601" s="172">
        <f ca="1">COUNT(INDIRECT(J2595))</f>
        <v>0</v>
      </c>
      <c r="L2601" s="403">
        <f t="shared" si="301"/>
        <v>46399</v>
      </c>
      <c r="M2601" s="56" t="str">
        <f t="shared" si="302"/>
        <v>TUE</v>
      </c>
      <c r="O2601" s="383">
        <f t="shared" si="307"/>
        <v>1</v>
      </c>
      <c r="P2601" s="392">
        <f t="shared" si="306"/>
        <v>1</v>
      </c>
    </row>
    <row r="2602" spans="3:16">
      <c r="C2602" s="403">
        <f t="shared" si="303"/>
        <v>46400</v>
      </c>
      <c r="D2602" s="56" t="str">
        <f>VLOOKUP(MOD(C2602,7),'CALENDAR INFO'!$G$5:$H$11,2)</f>
        <v>WED</v>
      </c>
      <c r="G2602" s="411">
        <f t="shared" si="300"/>
        <v>0</v>
      </c>
      <c r="H2602" s="376" t="s">
        <v>230</v>
      </c>
      <c r="I2602" s="15">
        <f ca="1">I2599-I2600-I2601</f>
        <v>31</v>
      </c>
      <c r="J2602" s="138">
        <f ca="1">J2599-J2600-J2601</f>
        <v>31</v>
      </c>
      <c r="L2602" s="403">
        <f t="shared" si="301"/>
        <v>46400</v>
      </c>
      <c r="M2602" s="56" t="str">
        <f t="shared" si="302"/>
        <v>WED</v>
      </c>
      <c r="O2602" s="383">
        <f t="shared" si="307"/>
        <v>1</v>
      </c>
      <c r="P2602" s="392">
        <f t="shared" si="306"/>
        <v>1</v>
      </c>
    </row>
    <row r="2603" spans="3:16">
      <c r="C2603" s="403">
        <f t="shared" si="303"/>
        <v>46401</v>
      </c>
      <c r="D2603" s="56" t="str">
        <f>VLOOKUP(MOD(C2603,7),'CALENDAR INFO'!$G$5:$H$11,2)</f>
        <v>THU</v>
      </c>
      <c r="G2603" s="411">
        <f t="shared" si="300"/>
        <v>0</v>
      </c>
      <c r="H2603" s="376"/>
      <c r="I2603" s="163"/>
      <c r="J2603" s="164"/>
      <c r="L2603" s="403">
        <f t="shared" si="301"/>
        <v>46401</v>
      </c>
      <c r="M2603" s="56" t="str">
        <f t="shared" si="302"/>
        <v>THU</v>
      </c>
      <c r="O2603" s="383">
        <f t="shared" si="307"/>
        <v>1</v>
      </c>
      <c r="P2603" s="392">
        <f t="shared" si="306"/>
        <v>1</v>
      </c>
    </row>
    <row r="2604" spans="3:16">
      <c r="C2604" s="403">
        <f t="shared" si="303"/>
        <v>46402</v>
      </c>
      <c r="D2604" s="56" t="str">
        <f>VLOOKUP(MOD(C2604,7),'CALENDAR INFO'!$G$5:$H$11,2)</f>
        <v>FRI</v>
      </c>
      <c r="G2604" s="411">
        <f t="shared" si="300"/>
        <v>0</v>
      </c>
      <c r="H2604" s="376" t="s">
        <v>175</v>
      </c>
      <c r="I2604" s="139">
        <f>OUTPUT!C9</f>
        <v>4.1200000000000045</v>
      </c>
      <c r="J2604" s="151">
        <f>OUTPUT!F9</f>
        <v>4.1500000000000057</v>
      </c>
      <c r="L2604" s="403">
        <f t="shared" si="301"/>
        <v>46402</v>
      </c>
      <c r="M2604" s="56" t="str">
        <f t="shared" si="302"/>
        <v>FRI</v>
      </c>
      <c r="O2604" s="384">
        <v>4</v>
      </c>
      <c r="P2604" s="392">
        <f t="shared" si="306"/>
        <v>1</v>
      </c>
    </row>
    <row r="2605" spans="3:16">
      <c r="C2605" s="403">
        <f t="shared" si="303"/>
        <v>46403</v>
      </c>
      <c r="D2605" s="56" t="str">
        <f>VLOOKUP(MOD(C2605,7),'CALENDAR INFO'!$G$5:$H$11,2)</f>
        <v>SAT</v>
      </c>
      <c r="G2605" s="411">
        <f t="shared" si="300"/>
        <v>0</v>
      </c>
      <c r="H2605" s="15" t="s">
        <v>209</v>
      </c>
      <c r="I2605" s="171">
        <f>I2591</f>
        <v>31</v>
      </c>
      <c r="J2605" s="172">
        <f>J2591</f>
        <v>31</v>
      </c>
      <c r="L2605" s="403">
        <f t="shared" si="301"/>
        <v>46403</v>
      </c>
      <c r="M2605" s="56" t="str">
        <f t="shared" si="302"/>
        <v>SAT</v>
      </c>
      <c r="O2605" s="383">
        <f>IF(MOD(C2605,7)&lt;2,0,IF(MOD(C2605,7)=6,3,1))</f>
        <v>0</v>
      </c>
      <c r="P2605" s="392">
        <f t="shared" si="306"/>
        <v>1</v>
      </c>
    </row>
    <row r="2606" spans="3:16">
      <c r="C2606" s="403">
        <f t="shared" si="303"/>
        <v>46404</v>
      </c>
      <c r="D2606" s="56" t="str">
        <f>VLOOKUP(MOD(C2606,7),'CALENDAR INFO'!$G$5:$H$11,2)</f>
        <v>SUN</v>
      </c>
      <c r="G2606" s="411">
        <f t="shared" si="300"/>
        <v>0</v>
      </c>
      <c r="H2606" s="15" t="s">
        <v>214</v>
      </c>
      <c r="I2606" s="137">
        <f>I2604*I2605</f>
        <v>127.72000000000014</v>
      </c>
      <c r="J2606" s="150">
        <f>J2604*J2605</f>
        <v>128.65000000000018</v>
      </c>
      <c r="L2606" s="403">
        <f t="shared" si="301"/>
        <v>46404</v>
      </c>
      <c r="M2606" s="56" t="str">
        <f t="shared" si="302"/>
        <v>SUN</v>
      </c>
      <c r="O2606" s="383">
        <f>IF(MOD(C2606,7)&lt;2,0,IF(MOD(C2606,7)=6,3,1))</f>
        <v>0</v>
      </c>
      <c r="P2606" s="392">
        <f t="shared" si="306"/>
        <v>1</v>
      </c>
    </row>
    <row r="2607" spans="3:16">
      <c r="C2607" s="403">
        <f t="shared" si="303"/>
        <v>46405</v>
      </c>
      <c r="D2607" s="56" t="str">
        <f>VLOOKUP(MOD(C2607,7),'CALENDAR INFO'!$G$5:$H$11,2)</f>
        <v>MON</v>
      </c>
      <c r="G2607" s="411">
        <f t="shared" si="300"/>
        <v>0</v>
      </c>
      <c r="H2607" s="15" t="s">
        <v>215</v>
      </c>
      <c r="I2607" s="137">
        <f ca="1">SUM(INDIRECT(I2597))</f>
        <v>0</v>
      </c>
      <c r="J2607" s="150">
        <f ca="1">SUM(INDIRECT(J2597))</f>
        <v>0</v>
      </c>
      <c r="L2607" s="403">
        <f t="shared" si="301"/>
        <v>46405</v>
      </c>
      <c r="M2607" s="56" t="str">
        <f t="shared" si="302"/>
        <v>MON</v>
      </c>
      <c r="N2607" s="132" t="s">
        <v>102</v>
      </c>
      <c r="O2607" s="384">
        <v>0</v>
      </c>
      <c r="P2607" s="392">
        <f t="shared" si="306"/>
        <v>1</v>
      </c>
    </row>
    <row r="2608" spans="3:16">
      <c r="C2608" s="403">
        <f t="shared" si="303"/>
        <v>46406</v>
      </c>
      <c r="D2608" s="56" t="str">
        <f>VLOOKUP(MOD(C2608,7),'CALENDAR INFO'!$G$5:$H$11,2)</f>
        <v>TUE</v>
      </c>
      <c r="G2608" s="411">
        <f t="shared" si="300"/>
        <v>0</v>
      </c>
      <c r="H2608" s="15" t="s">
        <v>231</v>
      </c>
      <c r="I2608" s="163">
        <f ca="1">SUM(INDIRECT(I2595))</f>
        <v>0</v>
      </c>
      <c r="J2608" s="164">
        <f ca="1">SUM(INDIRECT(J2595))</f>
        <v>0</v>
      </c>
      <c r="L2608" s="403">
        <f t="shared" si="301"/>
        <v>46406</v>
      </c>
      <c r="M2608" s="56" t="str">
        <f t="shared" si="302"/>
        <v>TUE</v>
      </c>
      <c r="O2608" s="383">
        <f t="shared" ref="O2608:O2631" si="308">IF(MOD(C2608,7)&lt;2,0,IF(MOD(C2608,7)=6,3,1))</f>
        <v>1</v>
      </c>
      <c r="P2608" s="392">
        <f t="shared" si="306"/>
        <v>1</v>
      </c>
    </row>
    <row r="2609" spans="1:16">
      <c r="C2609" s="403">
        <f t="shared" si="303"/>
        <v>46407</v>
      </c>
      <c r="D2609" s="56" t="str">
        <f>VLOOKUP(MOD(C2609,7),'CALENDAR INFO'!$G$5:$H$11,2)</f>
        <v>WED</v>
      </c>
      <c r="G2609" s="411">
        <f t="shared" si="300"/>
        <v>0</v>
      </c>
      <c r="H2609" s="15" t="s">
        <v>232</v>
      </c>
      <c r="I2609" s="137">
        <f ca="1">I2606-I2607-I2608</f>
        <v>127.72000000000014</v>
      </c>
      <c r="J2609" s="150">
        <f ca="1">J2606-J2607-J2608</f>
        <v>128.65000000000018</v>
      </c>
      <c r="L2609" s="403">
        <f t="shared" si="301"/>
        <v>46407</v>
      </c>
      <c r="M2609" s="56" t="str">
        <f t="shared" si="302"/>
        <v>WED</v>
      </c>
      <c r="O2609" s="383">
        <f t="shared" si="308"/>
        <v>1</v>
      </c>
      <c r="P2609" s="392">
        <f t="shared" si="306"/>
        <v>1</v>
      </c>
    </row>
    <row r="2610" spans="1:16">
      <c r="C2610" s="403">
        <f t="shared" si="303"/>
        <v>46408</v>
      </c>
      <c r="D2610" s="56" t="str">
        <f>VLOOKUP(MOD(C2610,7),'CALENDAR INFO'!$G$5:$H$11,2)</f>
        <v>THU</v>
      </c>
      <c r="G2610" s="411">
        <f t="shared" si="300"/>
        <v>0</v>
      </c>
      <c r="L2610" s="403">
        <f t="shared" si="301"/>
        <v>46408</v>
      </c>
      <c r="M2610" s="56" t="str">
        <f t="shared" si="302"/>
        <v>THU</v>
      </c>
      <c r="O2610" s="383">
        <f t="shared" si="308"/>
        <v>1</v>
      </c>
      <c r="P2610" s="392">
        <f t="shared" si="306"/>
        <v>1</v>
      </c>
    </row>
    <row r="2611" spans="1:16">
      <c r="C2611" s="403">
        <f t="shared" si="303"/>
        <v>46409</v>
      </c>
      <c r="D2611" s="56" t="str">
        <f>VLOOKUP(MOD(C2611,7),'CALENDAR INFO'!$G$5:$H$11,2)</f>
        <v>FRI</v>
      </c>
      <c r="G2611" s="411">
        <f t="shared" si="300"/>
        <v>0</v>
      </c>
      <c r="H2611" s="15" t="s">
        <v>233</v>
      </c>
      <c r="I2611" s="137">
        <f ca="1">I2609</f>
        <v>127.72000000000014</v>
      </c>
      <c r="J2611" s="150">
        <f ca="1">J2609</f>
        <v>128.65000000000018</v>
      </c>
      <c r="L2611" s="403">
        <f t="shared" si="301"/>
        <v>46409</v>
      </c>
      <c r="M2611" s="56" t="str">
        <f t="shared" si="302"/>
        <v>FRI</v>
      </c>
      <c r="O2611" s="383">
        <f t="shared" si="308"/>
        <v>3</v>
      </c>
      <c r="P2611" s="392">
        <f t="shared" si="306"/>
        <v>1</v>
      </c>
    </row>
    <row r="2612" spans="1:16">
      <c r="C2612" s="403">
        <f t="shared" si="303"/>
        <v>46410</v>
      </c>
      <c r="D2612" s="56" t="str">
        <f>VLOOKUP(MOD(C2612,7),'CALENDAR INFO'!$G$5:$H$11,2)</f>
        <v>SAT</v>
      </c>
      <c r="G2612" s="411">
        <f t="shared" si="300"/>
        <v>0</v>
      </c>
      <c r="H2612" s="15" t="s">
        <v>227</v>
      </c>
      <c r="I2612" s="171">
        <f ca="1">I2602</f>
        <v>31</v>
      </c>
      <c r="J2612" s="172">
        <f ca="1">J2602</f>
        <v>31</v>
      </c>
      <c r="L2612" s="403">
        <f t="shared" si="301"/>
        <v>46410</v>
      </c>
      <c r="M2612" s="56" t="str">
        <f t="shared" si="302"/>
        <v>SAT</v>
      </c>
      <c r="O2612" s="383">
        <f t="shared" si="308"/>
        <v>0</v>
      </c>
      <c r="P2612" s="392">
        <f t="shared" si="306"/>
        <v>1</v>
      </c>
    </row>
    <row r="2613" spans="1:16">
      <c r="C2613" s="403">
        <f t="shared" si="303"/>
        <v>46411</v>
      </c>
      <c r="D2613" s="56" t="str">
        <f>VLOOKUP(MOD(C2613,7),'CALENDAR INFO'!$G$5:$H$11,2)</f>
        <v>SUN</v>
      </c>
      <c r="G2613" s="411">
        <f t="shared" si="300"/>
        <v>0</v>
      </c>
      <c r="H2613" s="15" t="s">
        <v>228</v>
      </c>
      <c r="I2613" s="137">
        <f ca="1">I2611/I2612</f>
        <v>4.1200000000000045</v>
      </c>
      <c r="J2613" s="150">
        <f ca="1">J2611/J2612</f>
        <v>4.1500000000000057</v>
      </c>
      <c r="L2613" s="403">
        <f t="shared" si="301"/>
        <v>46411</v>
      </c>
      <c r="M2613" s="56" t="str">
        <f t="shared" si="302"/>
        <v>SUN</v>
      </c>
      <c r="O2613" s="383">
        <f t="shared" si="308"/>
        <v>0</v>
      </c>
      <c r="P2613" s="392">
        <f t="shared" si="306"/>
        <v>1</v>
      </c>
    </row>
    <row r="2614" spans="1:16">
      <c r="C2614" s="403">
        <f t="shared" si="303"/>
        <v>46412</v>
      </c>
      <c r="D2614" s="56" t="str">
        <f>VLOOKUP(MOD(C2614,7),'CALENDAR INFO'!$G$5:$H$11,2)</f>
        <v>MON</v>
      </c>
      <c r="G2614" s="411">
        <f t="shared" si="300"/>
        <v>0</v>
      </c>
      <c r="L2614" s="403">
        <f t="shared" si="301"/>
        <v>46412</v>
      </c>
      <c r="M2614" s="56" t="str">
        <f t="shared" si="302"/>
        <v>MON</v>
      </c>
      <c r="O2614" s="383">
        <f t="shared" si="308"/>
        <v>1</v>
      </c>
      <c r="P2614" s="392">
        <f t="shared" si="306"/>
        <v>1</v>
      </c>
    </row>
    <row r="2615" spans="1:16">
      <c r="C2615" s="403">
        <f t="shared" si="303"/>
        <v>46413</v>
      </c>
      <c r="D2615" s="56" t="str">
        <f>VLOOKUP(MOD(C2615,7),'CALENDAR INFO'!$G$5:$H$11,2)</f>
        <v>TUE</v>
      </c>
      <c r="G2615" s="411">
        <f t="shared" si="300"/>
        <v>0</v>
      </c>
      <c r="H2615" s="15" t="s">
        <v>221</v>
      </c>
      <c r="I2615" s="15" t="e">
        <f ca="1">AVERAGE(INDIRECT(I2597))</f>
        <v>#DIV/0!</v>
      </c>
      <c r="J2615" s="138" t="e">
        <f ca="1">AVERAGE(INDIRECT(J2597))</f>
        <v>#DIV/0!</v>
      </c>
      <c r="L2615" s="403">
        <f t="shared" si="301"/>
        <v>46413</v>
      </c>
      <c r="M2615" s="56" t="str">
        <f t="shared" si="302"/>
        <v>TUE</v>
      </c>
      <c r="N2615" s="116" t="s">
        <v>20</v>
      </c>
      <c r="O2615" s="383">
        <f t="shared" si="308"/>
        <v>1</v>
      </c>
      <c r="P2615" s="392">
        <f t="shared" si="306"/>
        <v>1</v>
      </c>
    </row>
    <row r="2616" spans="1:16">
      <c r="C2616" s="403">
        <f t="shared" si="303"/>
        <v>46414</v>
      </c>
      <c r="D2616" s="56" t="str">
        <f>VLOOKUP(MOD(C2616,7),'CALENDAR INFO'!$G$5:$H$11,2)</f>
        <v>WED</v>
      </c>
      <c r="G2616" s="411">
        <f t="shared" si="300"/>
        <v>0</v>
      </c>
      <c r="H2616" s="15" t="s">
        <v>222</v>
      </c>
      <c r="I2616" s="15" t="e">
        <f ca="1">100-I2615</f>
        <v>#DIV/0!</v>
      </c>
      <c r="J2616" s="138" t="e">
        <f ca="1">100-J2615</f>
        <v>#DIV/0!</v>
      </c>
      <c r="L2616" s="403">
        <f t="shared" si="301"/>
        <v>46414</v>
      </c>
      <c r="M2616" s="56" t="str">
        <f t="shared" si="302"/>
        <v>WED</v>
      </c>
      <c r="N2616" s="116" t="s">
        <v>20</v>
      </c>
      <c r="O2616" s="383">
        <f t="shared" si="308"/>
        <v>1</v>
      </c>
      <c r="P2616" s="392">
        <f t="shared" si="306"/>
        <v>1</v>
      </c>
    </row>
    <row r="2617" spans="1:16">
      <c r="C2617" s="403">
        <f t="shared" si="303"/>
        <v>46415</v>
      </c>
      <c r="D2617" s="56" t="str">
        <f>VLOOKUP(MOD(C2617,7),'CALENDAR INFO'!$G$5:$H$11,2)</f>
        <v>THU</v>
      </c>
      <c r="G2617" s="411">
        <f t="shared" si="300"/>
        <v>0</v>
      </c>
      <c r="H2617" s="425" t="s">
        <v>97</v>
      </c>
      <c r="I2617" s="419"/>
      <c r="J2617" s="426"/>
      <c r="L2617" s="403">
        <f t="shared" si="301"/>
        <v>46415</v>
      </c>
      <c r="M2617" s="56" t="str">
        <f t="shared" si="302"/>
        <v>THU</v>
      </c>
      <c r="O2617" s="383">
        <f t="shared" si="308"/>
        <v>1</v>
      </c>
      <c r="P2617" s="392">
        <f t="shared" si="306"/>
        <v>1</v>
      </c>
    </row>
    <row r="2618" spans="1:16">
      <c r="C2618" s="403">
        <f t="shared" si="303"/>
        <v>46416</v>
      </c>
      <c r="D2618" s="56" t="str">
        <f>VLOOKUP(MOD(C2618,7),'CALENDAR INFO'!$G$5:$H$11,2)</f>
        <v>FRI</v>
      </c>
      <c r="G2618" s="411">
        <f t="shared" si="300"/>
        <v>0</v>
      </c>
      <c r="L2618" s="403">
        <f t="shared" si="301"/>
        <v>46416</v>
      </c>
      <c r="M2618" s="56" t="str">
        <f t="shared" si="302"/>
        <v>FRI</v>
      </c>
      <c r="O2618" s="383">
        <f t="shared" si="308"/>
        <v>3</v>
      </c>
      <c r="P2618" s="392">
        <f t="shared" si="306"/>
        <v>1</v>
      </c>
    </row>
    <row r="2619" spans="1:16">
      <c r="C2619" s="403">
        <f t="shared" si="303"/>
        <v>46417</v>
      </c>
      <c r="D2619" s="56" t="str">
        <f>VLOOKUP(MOD(C2619,7),'CALENDAR INFO'!$G$5:$H$11,2)</f>
        <v>SAT</v>
      </c>
      <c r="G2619" s="411">
        <f t="shared" si="300"/>
        <v>0</v>
      </c>
      <c r="L2619" s="403">
        <f t="shared" si="301"/>
        <v>46417</v>
      </c>
      <c r="M2619" s="56" t="str">
        <f t="shared" si="302"/>
        <v>SAT</v>
      </c>
      <c r="O2619" s="383">
        <f t="shared" si="308"/>
        <v>0</v>
      </c>
      <c r="P2619" s="392">
        <f t="shared" si="306"/>
        <v>1</v>
      </c>
    </row>
    <row r="2620" spans="1:16">
      <c r="C2620" s="403">
        <f t="shared" si="303"/>
        <v>46418</v>
      </c>
      <c r="D2620" s="56" t="str">
        <f>VLOOKUP(MOD(C2620,7),'CALENDAR INFO'!$G$5:$H$11,2)</f>
        <v>SUN</v>
      </c>
      <c r="G2620" s="411">
        <f t="shared" si="300"/>
        <v>0</v>
      </c>
      <c r="L2620" s="403">
        <f t="shared" si="301"/>
        <v>46418</v>
      </c>
      <c r="M2620" s="56" t="str">
        <f t="shared" si="302"/>
        <v>SUN</v>
      </c>
      <c r="O2620" s="383">
        <f t="shared" si="308"/>
        <v>0</v>
      </c>
      <c r="P2620" s="392">
        <f t="shared" si="306"/>
        <v>1</v>
      </c>
    </row>
    <row r="2621" spans="1:16">
      <c r="A2621" s="39">
        <f ca="1">I$2639</f>
        <v>4.2049999999999983</v>
      </c>
      <c r="B2621" s="41">
        <f ca="1">J$2639</f>
        <v>4.2199999999999989</v>
      </c>
      <c r="C2621" s="403">
        <f t="shared" si="303"/>
        <v>46419</v>
      </c>
      <c r="D2621" s="56" t="str">
        <f>VLOOKUP(MOD(C2621,7),'CALENDAR INFO'!$G$5:$H$11,2)</f>
        <v>MON</v>
      </c>
      <c r="G2621" s="411">
        <f t="shared" si="300"/>
        <v>0</v>
      </c>
      <c r="H2621" s="15" t="s">
        <v>149</v>
      </c>
      <c r="I2621" s="15">
        <f>ROW(I2621)</f>
        <v>2621</v>
      </c>
      <c r="J2621" s="138">
        <f>I2621</f>
        <v>2621</v>
      </c>
      <c r="L2621" s="403">
        <f t="shared" si="301"/>
        <v>46419</v>
      </c>
      <c r="M2621" s="56" t="str">
        <f t="shared" si="302"/>
        <v>MON</v>
      </c>
      <c r="O2621" s="383">
        <f t="shared" si="308"/>
        <v>1</v>
      </c>
      <c r="P2621" s="392">
        <f t="shared" ca="1" si="306"/>
        <v>1.0001172222222223</v>
      </c>
    </row>
    <row r="2622" spans="1:16">
      <c r="A2622" s="39">
        <f t="shared" ref="A2622:A2648" ca="1" si="309">I$2639</f>
        <v>4.2049999999999983</v>
      </c>
      <c r="B2622" s="41">
        <f t="shared" ref="B2622:B2648" ca="1" si="310">J$2639</f>
        <v>4.2199999999999989</v>
      </c>
      <c r="C2622" s="403">
        <f t="shared" si="303"/>
        <v>46420</v>
      </c>
      <c r="D2622" s="56" t="str">
        <f>VLOOKUP(MOD(C2622,7),'CALENDAR INFO'!$G$5:$H$11,2)</f>
        <v>TUE</v>
      </c>
      <c r="G2622" s="411">
        <f t="shared" si="300"/>
        <v>0</v>
      </c>
      <c r="H2622" s="376" t="s">
        <v>210</v>
      </c>
      <c r="I2622" s="171">
        <f>VLOOKUP(MONTH($C2621),'CALENDAR INFO'!$J$5:$K$16,2)</f>
        <v>28</v>
      </c>
      <c r="J2622" s="172">
        <f>I2622</f>
        <v>28</v>
      </c>
      <c r="L2622" s="403">
        <f t="shared" si="301"/>
        <v>46420</v>
      </c>
      <c r="M2622" s="56" t="str">
        <f t="shared" si="302"/>
        <v>TUE</v>
      </c>
      <c r="O2622" s="383">
        <f t="shared" si="308"/>
        <v>1</v>
      </c>
      <c r="P2622" s="392">
        <f t="shared" ca="1" si="306"/>
        <v>1.0001172222222223</v>
      </c>
    </row>
    <row r="2623" spans="1:16">
      <c r="A2623" s="39">
        <f t="shared" ca="1" si="309"/>
        <v>4.2049999999999983</v>
      </c>
      <c r="B2623" s="41">
        <f t="shared" ca="1" si="310"/>
        <v>4.2199999999999989</v>
      </c>
      <c r="C2623" s="403">
        <f t="shared" si="303"/>
        <v>46421</v>
      </c>
      <c r="D2623" s="56" t="str">
        <f>VLOOKUP(MOD(C2623,7),'CALENDAR INFO'!$G$5:$H$11,2)</f>
        <v>WED</v>
      </c>
      <c r="G2623" s="411">
        <f t="shared" si="300"/>
        <v>0</v>
      </c>
      <c r="H2623" s="376" t="s">
        <v>211</v>
      </c>
      <c r="I2623" s="15">
        <f>I2622+I2621-1</f>
        <v>2648</v>
      </c>
      <c r="J2623" s="138">
        <f>I2623</f>
        <v>2648</v>
      </c>
      <c r="L2623" s="403">
        <f t="shared" si="301"/>
        <v>46421</v>
      </c>
      <c r="M2623" s="56" t="str">
        <f t="shared" si="302"/>
        <v>WED</v>
      </c>
      <c r="O2623" s="383">
        <f t="shared" si="308"/>
        <v>1</v>
      </c>
      <c r="P2623" s="392">
        <f t="shared" ca="1" si="306"/>
        <v>1.0001172222222223</v>
      </c>
    </row>
    <row r="2624" spans="1:16">
      <c r="A2624" s="39">
        <f t="shared" ca="1" si="309"/>
        <v>4.2049999999999983</v>
      </c>
      <c r="B2624" s="41">
        <f t="shared" ca="1" si="310"/>
        <v>4.2199999999999989</v>
      </c>
      <c r="C2624" s="403">
        <f t="shared" si="303"/>
        <v>46422</v>
      </c>
      <c r="D2624" s="56" t="str">
        <f>VLOOKUP(MOD(C2624,7),'CALENDAR INFO'!$G$5:$H$11,2)</f>
        <v>THU</v>
      </c>
      <c r="G2624" s="411">
        <f t="shared" si="300"/>
        <v>0</v>
      </c>
      <c r="L2624" s="403">
        <f t="shared" si="301"/>
        <v>46422</v>
      </c>
      <c r="M2624" s="56" t="str">
        <f t="shared" si="302"/>
        <v>THU</v>
      </c>
      <c r="O2624" s="383">
        <f t="shared" si="308"/>
        <v>1</v>
      </c>
      <c r="P2624" s="392">
        <f t="shared" ca="1" si="306"/>
        <v>1.0001172222222223</v>
      </c>
    </row>
    <row r="2625" spans="1:16">
      <c r="A2625" s="39">
        <f t="shared" ca="1" si="309"/>
        <v>4.2049999999999983</v>
      </c>
      <c r="B2625" s="41">
        <f t="shared" ca="1" si="310"/>
        <v>4.2199999999999989</v>
      </c>
      <c r="C2625" s="403">
        <f t="shared" si="303"/>
        <v>46423</v>
      </c>
      <c r="D2625" s="56" t="str">
        <f>VLOOKUP(MOD(C2625,7),'CALENDAR INFO'!$G$5:$H$11,2)</f>
        <v>FRI</v>
      </c>
      <c r="G2625" s="411">
        <f t="shared" si="300"/>
        <v>0</v>
      </c>
      <c r="H2625" s="15" t="s">
        <v>150</v>
      </c>
      <c r="I2625" s="137" t="str">
        <f>_xlfn.CONCAT(ADDRESS(I2621,5),":",ADDRESS(I2623,5))</f>
        <v>$E$2621:$E$2648</v>
      </c>
      <c r="J2625" s="150" t="str">
        <f>_xlfn.CONCAT(ADDRESS(J2621,6),":",ADDRESS(J2623,6))</f>
        <v>$F$2621:$F$2648</v>
      </c>
      <c r="L2625" s="403">
        <f t="shared" si="301"/>
        <v>46423</v>
      </c>
      <c r="M2625" s="56" t="str">
        <f t="shared" si="302"/>
        <v>FRI</v>
      </c>
      <c r="O2625" s="383">
        <f t="shared" si="308"/>
        <v>3</v>
      </c>
      <c r="P2625" s="392">
        <f t="shared" ca="1" si="306"/>
        <v>1.0003516666666668</v>
      </c>
    </row>
    <row r="2626" spans="1:16">
      <c r="A2626" s="39">
        <f t="shared" ca="1" si="309"/>
        <v>4.2049999999999983</v>
      </c>
      <c r="B2626" s="41">
        <f t="shared" ca="1" si="310"/>
        <v>4.2199999999999989</v>
      </c>
      <c r="C2626" s="403">
        <f t="shared" si="303"/>
        <v>46424</v>
      </c>
      <c r="D2626" s="56" t="str">
        <f>VLOOKUP(MOD(C2626,7),'CALENDAR INFO'!$G$5:$H$11,2)</f>
        <v>SAT</v>
      </c>
      <c r="G2626" s="411">
        <f t="shared" si="300"/>
        <v>0</v>
      </c>
      <c r="I2626" s="171"/>
      <c r="J2626" s="172"/>
      <c r="L2626" s="403">
        <f t="shared" si="301"/>
        <v>46424</v>
      </c>
      <c r="M2626" s="56" t="str">
        <f t="shared" si="302"/>
        <v>SAT</v>
      </c>
      <c r="O2626" s="383">
        <f t="shared" si="308"/>
        <v>0</v>
      </c>
      <c r="P2626" s="392">
        <f t="shared" ca="1" si="306"/>
        <v>1</v>
      </c>
    </row>
    <row r="2627" spans="1:16">
      <c r="A2627" s="39">
        <f t="shared" ca="1" si="309"/>
        <v>4.2049999999999983</v>
      </c>
      <c r="B2627" s="41">
        <f t="shared" ca="1" si="310"/>
        <v>4.2199999999999989</v>
      </c>
      <c r="C2627" s="403">
        <f t="shared" si="303"/>
        <v>46425</v>
      </c>
      <c r="D2627" s="56" t="str">
        <f>VLOOKUP(MOD(C2627,7),'CALENDAR INFO'!$G$5:$H$11,2)</f>
        <v>SUN</v>
      </c>
      <c r="G2627" s="411">
        <f t="shared" ref="G2627:G2690" si="311">F2627-E2627</f>
        <v>0</v>
      </c>
      <c r="H2627" s="376" t="s">
        <v>117</v>
      </c>
      <c r="I2627" s="240">
        <f>I2622</f>
        <v>28</v>
      </c>
      <c r="J2627" s="157">
        <f>J2622</f>
        <v>28</v>
      </c>
      <c r="L2627" s="403">
        <f t="shared" ref="L2627:L2690" si="312">C2627</f>
        <v>46425</v>
      </c>
      <c r="M2627" s="56" t="str">
        <f t="shared" ref="M2627:M2690" si="313">D2627</f>
        <v>SUN</v>
      </c>
      <c r="O2627" s="383">
        <f t="shared" si="308"/>
        <v>0</v>
      </c>
      <c r="P2627" s="392">
        <f t="shared" ca="1" si="306"/>
        <v>1</v>
      </c>
    </row>
    <row r="2628" spans="1:16">
      <c r="A2628" s="39">
        <f t="shared" ca="1" si="309"/>
        <v>4.2049999999999983</v>
      </c>
      <c r="B2628" s="41">
        <f t="shared" ca="1" si="310"/>
        <v>4.2199999999999989</v>
      </c>
      <c r="C2628" s="403">
        <f t="shared" ref="C2628:C2691" si="314">C2627+1</f>
        <v>46426</v>
      </c>
      <c r="D2628" s="56" t="str">
        <f>VLOOKUP(MOD(C2628,7),'CALENDAR INFO'!$G$5:$H$11,2)</f>
        <v>MON</v>
      </c>
      <c r="G2628" s="411">
        <f t="shared" si="311"/>
        <v>0</v>
      </c>
      <c r="H2628" s="15" t="s">
        <v>213</v>
      </c>
      <c r="I2628" s="241">
        <f ca="1">COUNTA(INDIRECT(I2625))</f>
        <v>0</v>
      </c>
      <c r="J2628" s="243">
        <f ca="1">COUNTA(INDIRECT(J2625))</f>
        <v>0</v>
      </c>
      <c r="L2628" s="403">
        <f t="shared" si="312"/>
        <v>46426</v>
      </c>
      <c r="M2628" s="56" t="str">
        <f t="shared" si="313"/>
        <v>MON</v>
      </c>
      <c r="O2628" s="383">
        <f t="shared" si="308"/>
        <v>1</v>
      </c>
      <c r="P2628" s="392">
        <f t="shared" ca="1" si="306"/>
        <v>1.0001172222222223</v>
      </c>
    </row>
    <row r="2629" spans="1:16">
      <c r="A2629" s="39">
        <f t="shared" ca="1" si="309"/>
        <v>4.2049999999999983</v>
      </c>
      <c r="B2629" s="41">
        <f t="shared" ca="1" si="310"/>
        <v>4.2199999999999989</v>
      </c>
      <c r="C2629" s="403">
        <f t="shared" si="314"/>
        <v>46427</v>
      </c>
      <c r="D2629" s="56" t="str">
        <f>VLOOKUP(MOD(C2629,7),'CALENDAR INFO'!$G$5:$H$11,2)</f>
        <v>TUE</v>
      </c>
      <c r="G2629" s="411">
        <f t="shared" si="311"/>
        <v>0</v>
      </c>
      <c r="H2629" s="15" t="s">
        <v>212</v>
      </c>
      <c r="I2629" s="240">
        <f ca="1">I2627-I2628</f>
        <v>28</v>
      </c>
      <c r="J2629" s="157">
        <f ca="1">J2627-J2628</f>
        <v>28</v>
      </c>
      <c r="L2629" s="403">
        <f t="shared" si="312"/>
        <v>46427</v>
      </c>
      <c r="M2629" s="56" t="str">
        <f t="shared" si="313"/>
        <v>TUE</v>
      </c>
      <c r="O2629" s="383">
        <f t="shared" si="308"/>
        <v>1</v>
      </c>
      <c r="P2629" s="392">
        <f t="shared" ca="1" si="306"/>
        <v>1.0001172222222223</v>
      </c>
    </row>
    <row r="2630" spans="1:16">
      <c r="A2630" s="39">
        <f t="shared" ca="1" si="309"/>
        <v>4.2049999999999983</v>
      </c>
      <c r="B2630" s="41">
        <f t="shared" ca="1" si="310"/>
        <v>4.2199999999999989</v>
      </c>
      <c r="C2630" s="403">
        <f t="shared" si="314"/>
        <v>46428</v>
      </c>
      <c r="D2630" s="56" t="str">
        <f>VLOOKUP(MOD(C2630,7),'CALENDAR INFO'!$G$5:$H$11,2)</f>
        <v>WED</v>
      </c>
      <c r="G2630" s="411">
        <f t="shared" si="311"/>
        <v>0</v>
      </c>
      <c r="L2630" s="403">
        <f t="shared" si="312"/>
        <v>46428</v>
      </c>
      <c r="M2630" s="56" t="str">
        <f t="shared" si="313"/>
        <v>WED</v>
      </c>
      <c r="O2630" s="383">
        <f t="shared" si="308"/>
        <v>1</v>
      </c>
      <c r="P2630" s="392">
        <f t="shared" ca="1" si="306"/>
        <v>1.0001172222222223</v>
      </c>
    </row>
    <row r="2631" spans="1:16">
      <c r="A2631" s="39">
        <f t="shared" ca="1" si="309"/>
        <v>4.2049999999999983</v>
      </c>
      <c r="B2631" s="41">
        <f t="shared" ca="1" si="310"/>
        <v>4.2199999999999989</v>
      </c>
      <c r="C2631" s="403">
        <f t="shared" si="314"/>
        <v>46429</v>
      </c>
      <c r="D2631" s="56" t="str">
        <f>VLOOKUP(MOD(C2631,7),'CALENDAR INFO'!$G$5:$H$11,2)</f>
        <v>THU</v>
      </c>
      <c r="G2631" s="411">
        <f t="shared" si="311"/>
        <v>0</v>
      </c>
      <c r="H2631" s="15" t="s">
        <v>175</v>
      </c>
      <c r="I2631" s="139">
        <f>OUTPUT!C10</f>
        <v>4.2049999999999983</v>
      </c>
      <c r="J2631" s="151">
        <f>OUTPUT!F10</f>
        <v>4.2199999999999989</v>
      </c>
      <c r="L2631" s="403">
        <f t="shared" si="312"/>
        <v>46429</v>
      </c>
      <c r="M2631" s="56" t="str">
        <f t="shared" si="313"/>
        <v>THU</v>
      </c>
      <c r="O2631" s="383">
        <f t="shared" si="308"/>
        <v>1</v>
      </c>
      <c r="P2631" s="392">
        <f t="shared" ca="1" si="306"/>
        <v>1.0001172222222223</v>
      </c>
    </row>
    <row r="2632" spans="1:16">
      <c r="A2632" s="39">
        <f t="shared" ca="1" si="309"/>
        <v>4.2049999999999983</v>
      </c>
      <c r="B2632" s="41">
        <f t="shared" ca="1" si="310"/>
        <v>4.2199999999999989</v>
      </c>
      <c r="C2632" s="403">
        <f t="shared" si="314"/>
        <v>46430</v>
      </c>
      <c r="D2632" s="56" t="str">
        <f>VLOOKUP(MOD(C2632,7),'CALENDAR INFO'!$G$5:$H$11,2)</f>
        <v>FRI</v>
      </c>
      <c r="G2632" s="411">
        <f t="shared" si="311"/>
        <v>0</v>
      </c>
      <c r="H2632" s="15" t="s">
        <v>209</v>
      </c>
      <c r="I2632" s="171">
        <f>I2622</f>
        <v>28</v>
      </c>
      <c r="J2632" s="172">
        <f>J2622</f>
        <v>28</v>
      </c>
      <c r="L2632" s="403">
        <f t="shared" si="312"/>
        <v>46430</v>
      </c>
      <c r="M2632" s="56" t="str">
        <f t="shared" si="313"/>
        <v>FRI</v>
      </c>
      <c r="O2632" s="384">
        <v>4</v>
      </c>
      <c r="P2632" s="392">
        <f t="shared" ca="1" si="306"/>
        <v>1.0004688888888889</v>
      </c>
    </row>
    <row r="2633" spans="1:16">
      <c r="A2633" s="39">
        <f t="shared" ca="1" si="309"/>
        <v>4.2049999999999983</v>
      </c>
      <c r="B2633" s="41">
        <f t="shared" ca="1" si="310"/>
        <v>4.2199999999999989</v>
      </c>
      <c r="C2633" s="403">
        <f t="shared" si="314"/>
        <v>46431</v>
      </c>
      <c r="D2633" s="56" t="str">
        <f>VLOOKUP(MOD(C2633,7),'CALENDAR INFO'!$G$5:$H$11,2)</f>
        <v>SAT</v>
      </c>
      <c r="G2633" s="411">
        <f t="shared" si="311"/>
        <v>0</v>
      </c>
      <c r="H2633" s="15" t="s">
        <v>214</v>
      </c>
      <c r="I2633" s="137">
        <f>I2631*I2632</f>
        <v>117.73999999999995</v>
      </c>
      <c r="J2633" s="150">
        <f>J2631*J2632</f>
        <v>118.15999999999997</v>
      </c>
      <c r="L2633" s="403">
        <f t="shared" si="312"/>
        <v>46431</v>
      </c>
      <c r="M2633" s="56" t="str">
        <f t="shared" si="313"/>
        <v>SAT</v>
      </c>
      <c r="O2633" s="383">
        <f>IF(MOD(C2633,7)&lt;2,0,IF(MOD(C2633,7)=6,3,1))</f>
        <v>0</v>
      </c>
      <c r="P2633" s="392">
        <f t="shared" ca="1" si="306"/>
        <v>1</v>
      </c>
    </row>
    <row r="2634" spans="1:16">
      <c r="A2634" s="39">
        <f t="shared" ca="1" si="309"/>
        <v>4.2049999999999983</v>
      </c>
      <c r="B2634" s="41">
        <f t="shared" ca="1" si="310"/>
        <v>4.2199999999999989</v>
      </c>
      <c r="C2634" s="403">
        <f t="shared" si="314"/>
        <v>46432</v>
      </c>
      <c r="D2634" s="56" t="str">
        <f>VLOOKUP(MOD(C2634,7),'CALENDAR INFO'!$G$5:$H$11,2)</f>
        <v>SUN</v>
      </c>
      <c r="G2634" s="411">
        <f t="shared" si="311"/>
        <v>0</v>
      </c>
      <c r="H2634" s="15" t="s">
        <v>215</v>
      </c>
      <c r="I2634" s="393">
        <f ca="1">SUM(INDIRECT(I2625))</f>
        <v>0</v>
      </c>
      <c r="J2634" s="394">
        <f ca="1">SUM(INDIRECT(J2625))</f>
        <v>0</v>
      </c>
      <c r="L2634" s="403">
        <f t="shared" si="312"/>
        <v>46432</v>
      </c>
      <c r="M2634" s="56" t="str">
        <f t="shared" si="313"/>
        <v>SUN</v>
      </c>
      <c r="O2634" s="383">
        <f>IF(MOD(C2634,7)&lt;2,0,IF(MOD(C2634,7)=6,3,1))</f>
        <v>0</v>
      </c>
      <c r="P2634" s="392">
        <f t="shared" ca="1" si="306"/>
        <v>1</v>
      </c>
    </row>
    <row r="2635" spans="1:16">
      <c r="A2635" s="39">
        <f t="shared" ca="1" si="309"/>
        <v>4.2049999999999983</v>
      </c>
      <c r="B2635" s="41">
        <f t="shared" ca="1" si="310"/>
        <v>4.2199999999999989</v>
      </c>
      <c r="C2635" s="403">
        <f t="shared" si="314"/>
        <v>46433</v>
      </c>
      <c r="D2635" s="56" t="str">
        <f>VLOOKUP(MOD(C2635,7),'CALENDAR INFO'!$G$5:$H$11,2)</f>
        <v>MON</v>
      </c>
      <c r="G2635" s="411">
        <f t="shared" si="311"/>
        <v>0</v>
      </c>
      <c r="H2635" s="15" t="s">
        <v>216</v>
      </c>
      <c r="I2635" s="137">
        <f ca="1">I2633-I2634</f>
        <v>117.73999999999995</v>
      </c>
      <c r="J2635" s="150">
        <f ca="1">J2633-J2634</f>
        <v>118.15999999999997</v>
      </c>
      <c r="L2635" s="403">
        <f t="shared" si="312"/>
        <v>46433</v>
      </c>
      <c r="M2635" s="56" t="str">
        <f t="shared" si="313"/>
        <v>MON</v>
      </c>
      <c r="N2635" s="132" t="s">
        <v>182</v>
      </c>
      <c r="O2635" s="384">
        <v>0</v>
      </c>
      <c r="P2635" s="392">
        <f t="shared" ca="1" si="306"/>
        <v>1</v>
      </c>
    </row>
    <row r="2636" spans="1:16">
      <c r="A2636" s="39">
        <f t="shared" ca="1" si="309"/>
        <v>4.2049999999999983</v>
      </c>
      <c r="B2636" s="41">
        <f t="shared" ca="1" si="310"/>
        <v>4.2199999999999989</v>
      </c>
      <c r="C2636" s="403">
        <f t="shared" si="314"/>
        <v>46434</v>
      </c>
      <c r="D2636" s="56" t="str">
        <f>VLOOKUP(MOD(C2636,7),'CALENDAR INFO'!$G$5:$H$11,2)</f>
        <v>TUE</v>
      </c>
      <c r="G2636" s="411">
        <f t="shared" si="311"/>
        <v>0</v>
      </c>
      <c r="L2636" s="403">
        <f t="shared" si="312"/>
        <v>46434</v>
      </c>
      <c r="M2636" s="56" t="str">
        <f t="shared" si="313"/>
        <v>TUE</v>
      </c>
      <c r="O2636" s="383">
        <f t="shared" ref="O2636:O2672" si="315">IF(MOD(C2636,7)&lt;2,0,IF(MOD(C2636,7)=6,3,1))</f>
        <v>1</v>
      </c>
      <c r="P2636" s="392">
        <f t="shared" ca="1" si="306"/>
        <v>1.0001172222222223</v>
      </c>
    </row>
    <row r="2637" spans="1:16">
      <c r="A2637" s="39">
        <f t="shared" ca="1" si="309"/>
        <v>4.2049999999999983</v>
      </c>
      <c r="B2637" s="41">
        <f t="shared" ca="1" si="310"/>
        <v>4.2199999999999989</v>
      </c>
      <c r="C2637" s="403">
        <f t="shared" si="314"/>
        <v>46435</v>
      </c>
      <c r="D2637" s="56" t="str">
        <f>VLOOKUP(MOD(C2637,7),'CALENDAR INFO'!$G$5:$H$11,2)</f>
        <v>WED</v>
      </c>
      <c r="G2637" s="411">
        <f t="shared" si="311"/>
        <v>0</v>
      </c>
      <c r="H2637" s="15" t="s">
        <v>218</v>
      </c>
      <c r="I2637" s="137">
        <f ca="1">I2635</f>
        <v>117.73999999999995</v>
      </c>
      <c r="J2637" s="150">
        <f ca="1">J2635</f>
        <v>118.15999999999997</v>
      </c>
      <c r="L2637" s="403">
        <f t="shared" si="312"/>
        <v>46435</v>
      </c>
      <c r="M2637" s="56" t="str">
        <f t="shared" si="313"/>
        <v>WED</v>
      </c>
      <c r="O2637" s="383">
        <f t="shared" si="315"/>
        <v>1</v>
      </c>
      <c r="P2637" s="392">
        <f t="shared" ca="1" si="306"/>
        <v>1.0001172222222223</v>
      </c>
    </row>
    <row r="2638" spans="1:16">
      <c r="A2638" s="39">
        <f t="shared" ca="1" si="309"/>
        <v>4.2049999999999983</v>
      </c>
      <c r="B2638" s="41">
        <f t="shared" ca="1" si="310"/>
        <v>4.2199999999999989</v>
      </c>
      <c r="C2638" s="403">
        <f t="shared" si="314"/>
        <v>46436</v>
      </c>
      <c r="D2638" s="56" t="str">
        <f>VLOOKUP(MOD(C2638,7),'CALENDAR INFO'!$G$5:$H$11,2)</f>
        <v>THU</v>
      </c>
      <c r="G2638" s="411">
        <f t="shared" si="311"/>
        <v>0</v>
      </c>
      <c r="H2638" s="15" t="s">
        <v>219</v>
      </c>
      <c r="I2638" s="171">
        <f ca="1">I2629</f>
        <v>28</v>
      </c>
      <c r="J2638" s="172">
        <f ca="1">J2629</f>
        <v>28</v>
      </c>
      <c r="L2638" s="403">
        <f t="shared" si="312"/>
        <v>46436</v>
      </c>
      <c r="M2638" s="56" t="str">
        <f t="shared" si="313"/>
        <v>THU</v>
      </c>
      <c r="O2638" s="383">
        <f t="shared" si="315"/>
        <v>1</v>
      </c>
      <c r="P2638" s="392">
        <f t="shared" ca="1" si="306"/>
        <v>1.0001172222222223</v>
      </c>
    </row>
    <row r="2639" spans="1:16">
      <c r="A2639" s="39">
        <f t="shared" ca="1" si="309"/>
        <v>4.2049999999999983</v>
      </c>
      <c r="B2639" s="41">
        <f t="shared" ca="1" si="310"/>
        <v>4.2199999999999989</v>
      </c>
      <c r="C2639" s="403">
        <f t="shared" si="314"/>
        <v>46437</v>
      </c>
      <c r="D2639" s="56" t="str">
        <f>VLOOKUP(MOD(C2639,7),'CALENDAR INFO'!$G$5:$H$11,2)</f>
        <v>FRI</v>
      </c>
      <c r="G2639" s="411">
        <f t="shared" si="311"/>
        <v>0</v>
      </c>
      <c r="H2639" s="15" t="s">
        <v>220</v>
      </c>
      <c r="I2639" s="141">
        <f ca="1">I2637/I2638</f>
        <v>4.2049999999999983</v>
      </c>
      <c r="J2639" s="158">
        <f ca="1">J2637/J2638</f>
        <v>4.2199999999999989</v>
      </c>
      <c r="L2639" s="403">
        <f t="shared" si="312"/>
        <v>46437</v>
      </c>
      <c r="M2639" s="56" t="str">
        <f t="shared" si="313"/>
        <v>FRI</v>
      </c>
      <c r="O2639" s="383">
        <f t="shared" si="315"/>
        <v>3</v>
      </c>
      <c r="P2639" s="392">
        <f t="shared" ca="1" si="306"/>
        <v>1.0003516666666668</v>
      </c>
    </row>
    <row r="2640" spans="1:16">
      <c r="A2640" s="39">
        <f t="shared" ca="1" si="309"/>
        <v>4.2049999999999983</v>
      </c>
      <c r="B2640" s="41">
        <f t="shared" ca="1" si="310"/>
        <v>4.2199999999999989</v>
      </c>
      <c r="C2640" s="403">
        <f t="shared" si="314"/>
        <v>46438</v>
      </c>
      <c r="D2640" s="56" t="str">
        <f>VLOOKUP(MOD(C2640,7),'CALENDAR INFO'!$G$5:$H$11,2)</f>
        <v>SAT</v>
      </c>
      <c r="G2640" s="411">
        <f t="shared" si="311"/>
        <v>0</v>
      </c>
      <c r="L2640" s="403">
        <f t="shared" si="312"/>
        <v>46438</v>
      </c>
      <c r="M2640" s="56" t="str">
        <f t="shared" si="313"/>
        <v>SAT</v>
      </c>
      <c r="O2640" s="383">
        <f t="shared" si="315"/>
        <v>0</v>
      </c>
      <c r="P2640" s="392">
        <f t="shared" ca="1" si="306"/>
        <v>1</v>
      </c>
    </row>
    <row r="2641" spans="1:16">
      <c r="A2641" s="39">
        <f t="shared" ca="1" si="309"/>
        <v>4.2049999999999983</v>
      </c>
      <c r="B2641" s="41">
        <f t="shared" ca="1" si="310"/>
        <v>4.2199999999999989</v>
      </c>
      <c r="C2641" s="403">
        <f t="shared" si="314"/>
        <v>46439</v>
      </c>
      <c r="D2641" s="56" t="str">
        <f>VLOOKUP(MOD(C2641,7),'CALENDAR INFO'!$G$5:$H$11,2)</f>
        <v>SUN</v>
      </c>
      <c r="G2641" s="411">
        <f t="shared" si="311"/>
        <v>0</v>
      </c>
      <c r="H2641" s="376" t="s">
        <v>221</v>
      </c>
      <c r="I2641" s="147" t="e">
        <f ca="1">AVERAGE(INDIRECT(I2625))</f>
        <v>#DIV/0!</v>
      </c>
      <c r="J2641" s="326" t="e">
        <f ca="1">AVERAGE(INDIRECT(J2625))</f>
        <v>#DIV/0!</v>
      </c>
      <c r="L2641" s="403">
        <f t="shared" si="312"/>
        <v>46439</v>
      </c>
      <c r="M2641" s="56" t="str">
        <f t="shared" si="313"/>
        <v>SUN</v>
      </c>
      <c r="O2641" s="383">
        <f t="shared" si="315"/>
        <v>0</v>
      </c>
      <c r="P2641" s="392">
        <f t="shared" ca="1" si="306"/>
        <v>1</v>
      </c>
    </row>
    <row r="2642" spans="1:16">
      <c r="A2642" s="39">
        <f t="shared" ca="1" si="309"/>
        <v>4.2049999999999983</v>
      </c>
      <c r="B2642" s="41">
        <f t="shared" ca="1" si="310"/>
        <v>4.2199999999999989</v>
      </c>
      <c r="C2642" s="403">
        <f t="shared" si="314"/>
        <v>46440</v>
      </c>
      <c r="D2642" s="56" t="str">
        <f>VLOOKUP(MOD(C2642,7),'CALENDAR INFO'!$G$5:$H$11,2)</f>
        <v>MON</v>
      </c>
      <c r="G2642" s="411">
        <f t="shared" si="311"/>
        <v>0</v>
      </c>
      <c r="H2642" s="15" t="s">
        <v>222</v>
      </c>
      <c r="I2642" s="147" t="e">
        <f ca="1">100-I2641</f>
        <v>#DIV/0!</v>
      </c>
      <c r="J2642" s="326" t="e">
        <f ca="1">100-J2641</f>
        <v>#DIV/0!</v>
      </c>
      <c r="L2642" s="403">
        <f t="shared" si="312"/>
        <v>46440</v>
      </c>
      <c r="M2642" s="56" t="str">
        <f t="shared" si="313"/>
        <v>MON</v>
      </c>
      <c r="O2642" s="383">
        <f t="shared" si="315"/>
        <v>1</v>
      </c>
      <c r="P2642" s="392">
        <f t="shared" ca="1" si="306"/>
        <v>1.0001172222222223</v>
      </c>
    </row>
    <row r="2643" spans="1:16">
      <c r="A2643" s="39">
        <f t="shared" ca="1" si="309"/>
        <v>4.2049999999999983</v>
      </c>
      <c r="B2643" s="41">
        <f t="shared" ca="1" si="310"/>
        <v>4.2199999999999989</v>
      </c>
      <c r="C2643" s="403">
        <f t="shared" si="314"/>
        <v>46441</v>
      </c>
      <c r="D2643" s="56" t="str">
        <f>VLOOKUP(MOD(C2643,7),'CALENDAR INFO'!$G$5:$H$11,2)</f>
        <v>TUE</v>
      </c>
      <c r="G2643" s="411">
        <f t="shared" si="311"/>
        <v>0</v>
      </c>
      <c r="H2643" s="425" t="s">
        <v>97</v>
      </c>
      <c r="I2643" s="419"/>
      <c r="J2643" s="426"/>
      <c r="L2643" s="403">
        <f t="shared" si="312"/>
        <v>46441</v>
      </c>
      <c r="M2643" s="56" t="str">
        <f t="shared" si="313"/>
        <v>TUE</v>
      </c>
      <c r="O2643" s="383">
        <f t="shared" si="315"/>
        <v>1</v>
      </c>
      <c r="P2643" s="392">
        <f t="shared" ref="P2643:P2706" ca="1" si="316">1+(O2643/360)*(MAX(F2643,B2643)/100)</f>
        <v>1.0001172222222223</v>
      </c>
    </row>
    <row r="2644" spans="1:16">
      <c r="A2644" s="39">
        <f t="shared" ca="1" si="309"/>
        <v>4.2049999999999983</v>
      </c>
      <c r="B2644" s="41">
        <f t="shared" ca="1" si="310"/>
        <v>4.2199999999999989</v>
      </c>
      <c r="C2644" s="403">
        <f t="shared" si="314"/>
        <v>46442</v>
      </c>
      <c r="D2644" s="56" t="str">
        <f>VLOOKUP(MOD(C2644,7),'CALENDAR INFO'!$G$5:$H$11,2)</f>
        <v>WED</v>
      </c>
      <c r="G2644" s="411">
        <f t="shared" si="311"/>
        <v>0</v>
      </c>
      <c r="L2644" s="403">
        <f t="shared" si="312"/>
        <v>46442</v>
      </c>
      <c r="M2644" s="56" t="str">
        <f t="shared" si="313"/>
        <v>WED</v>
      </c>
      <c r="O2644" s="383">
        <f t="shared" si="315"/>
        <v>1</v>
      </c>
      <c r="P2644" s="392">
        <f t="shared" ca="1" si="316"/>
        <v>1.0001172222222223</v>
      </c>
    </row>
    <row r="2645" spans="1:16">
      <c r="A2645" s="39">
        <f t="shared" ca="1" si="309"/>
        <v>4.2049999999999983</v>
      </c>
      <c r="B2645" s="41">
        <f t="shared" ca="1" si="310"/>
        <v>4.2199999999999989</v>
      </c>
      <c r="C2645" s="403">
        <f t="shared" si="314"/>
        <v>46443</v>
      </c>
      <c r="D2645" s="56" t="str">
        <f>VLOOKUP(MOD(C2645,7),'CALENDAR INFO'!$G$5:$H$11,2)</f>
        <v>THU</v>
      </c>
      <c r="G2645" s="411">
        <f t="shared" si="311"/>
        <v>0</v>
      </c>
      <c r="L2645" s="403">
        <f t="shared" si="312"/>
        <v>46443</v>
      </c>
      <c r="M2645" s="56" t="str">
        <f t="shared" si="313"/>
        <v>THU</v>
      </c>
      <c r="O2645" s="383">
        <f t="shared" si="315"/>
        <v>1</v>
      </c>
      <c r="P2645" s="392">
        <f t="shared" ca="1" si="316"/>
        <v>1.0001172222222223</v>
      </c>
    </row>
    <row r="2646" spans="1:16">
      <c r="A2646" s="39">
        <f t="shared" ca="1" si="309"/>
        <v>4.2049999999999983</v>
      </c>
      <c r="B2646" s="41">
        <f t="shared" ca="1" si="310"/>
        <v>4.2199999999999989</v>
      </c>
      <c r="C2646" s="403">
        <f t="shared" si="314"/>
        <v>46444</v>
      </c>
      <c r="D2646" s="56" t="str">
        <f>VLOOKUP(MOD(C2646,7),'CALENDAR INFO'!$G$5:$H$11,2)</f>
        <v>FRI</v>
      </c>
      <c r="G2646" s="411">
        <f t="shared" si="311"/>
        <v>0</v>
      </c>
      <c r="L2646" s="403">
        <f t="shared" si="312"/>
        <v>46444</v>
      </c>
      <c r="M2646" s="56" t="str">
        <f t="shared" si="313"/>
        <v>FRI</v>
      </c>
      <c r="O2646" s="383">
        <f t="shared" si="315"/>
        <v>3</v>
      </c>
      <c r="P2646" s="392">
        <f t="shared" ca="1" si="316"/>
        <v>1.0003516666666668</v>
      </c>
    </row>
    <row r="2647" spans="1:16">
      <c r="A2647" s="39">
        <f t="shared" ca="1" si="309"/>
        <v>4.2049999999999983</v>
      </c>
      <c r="B2647" s="41">
        <f t="shared" ca="1" si="310"/>
        <v>4.2199999999999989</v>
      </c>
      <c r="C2647" s="403">
        <f t="shared" si="314"/>
        <v>46445</v>
      </c>
      <c r="D2647" s="56" t="str">
        <f>VLOOKUP(MOD(C2647,7),'CALENDAR INFO'!$G$5:$H$11,2)</f>
        <v>SAT</v>
      </c>
      <c r="G2647" s="411">
        <f t="shared" si="311"/>
        <v>0</v>
      </c>
      <c r="L2647" s="403">
        <f t="shared" si="312"/>
        <v>46445</v>
      </c>
      <c r="M2647" s="56" t="str">
        <f t="shared" si="313"/>
        <v>SAT</v>
      </c>
      <c r="O2647" s="383">
        <f t="shared" si="315"/>
        <v>0</v>
      </c>
      <c r="P2647" s="392">
        <f t="shared" ca="1" si="316"/>
        <v>1</v>
      </c>
    </row>
    <row r="2648" spans="1:16">
      <c r="A2648" s="39">
        <f t="shared" ca="1" si="309"/>
        <v>4.2049999999999983</v>
      </c>
      <c r="B2648" s="41">
        <f t="shared" ca="1" si="310"/>
        <v>4.2199999999999989</v>
      </c>
      <c r="C2648" s="403">
        <f t="shared" si="314"/>
        <v>46446</v>
      </c>
      <c r="D2648" s="56" t="str">
        <f>VLOOKUP(MOD(C2648,7),'CALENDAR INFO'!$G$5:$H$11,2)</f>
        <v>SUN</v>
      </c>
      <c r="G2648" s="411">
        <f t="shared" si="311"/>
        <v>0</v>
      </c>
      <c r="L2648" s="403">
        <f t="shared" si="312"/>
        <v>46446</v>
      </c>
      <c r="M2648" s="56" t="str">
        <f t="shared" si="313"/>
        <v>SUN</v>
      </c>
      <c r="O2648" s="383">
        <f t="shared" si="315"/>
        <v>0</v>
      </c>
      <c r="P2648" s="392">
        <f t="shared" ca="1" si="316"/>
        <v>1</v>
      </c>
    </row>
    <row r="2649" spans="1:16">
      <c r="C2649" s="403">
        <f t="shared" si="314"/>
        <v>46447</v>
      </c>
      <c r="D2649" s="56" t="str">
        <f>VLOOKUP(MOD(C2649,7),'CALENDAR INFO'!$G$5:$H$11,2)</f>
        <v>MON</v>
      </c>
      <c r="G2649" s="411">
        <f t="shared" si="311"/>
        <v>0</v>
      </c>
      <c r="H2649" s="15" t="s">
        <v>149</v>
      </c>
      <c r="I2649" s="15">
        <f>ROW(I2649)</f>
        <v>2649</v>
      </c>
      <c r="J2649" s="138">
        <f>I2649</f>
        <v>2649</v>
      </c>
      <c r="L2649" s="403">
        <f t="shared" si="312"/>
        <v>46447</v>
      </c>
      <c r="M2649" s="56" t="str">
        <f t="shared" si="313"/>
        <v>MON</v>
      </c>
      <c r="O2649" s="383">
        <f t="shared" si="315"/>
        <v>1</v>
      </c>
      <c r="P2649" s="392">
        <f t="shared" si="316"/>
        <v>1</v>
      </c>
    </row>
    <row r="2650" spans="1:16">
      <c r="C2650" s="403">
        <f t="shared" si="314"/>
        <v>46448</v>
      </c>
      <c r="D2650" s="56" t="str">
        <f>VLOOKUP(MOD(C2650,7),'CALENDAR INFO'!$G$5:$H$11,2)</f>
        <v>TUE</v>
      </c>
      <c r="G2650" s="411">
        <f t="shared" si="311"/>
        <v>0</v>
      </c>
      <c r="H2650" s="376" t="s">
        <v>210</v>
      </c>
      <c r="I2650" s="171">
        <f>VLOOKUP(MONTH($C2649),'CALENDAR INFO'!$J$5:$K$16,2)</f>
        <v>31</v>
      </c>
      <c r="J2650" s="172">
        <f>I2650</f>
        <v>31</v>
      </c>
      <c r="L2650" s="403">
        <f t="shared" si="312"/>
        <v>46448</v>
      </c>
      <c r="M2650" s="56" t="str">
        <f t="shared" si="313"/>
        <v>TUE</v>
      </c>
      <c r="O2650" s="383">
        <f t="shared" si="315"/>
        <v>1</v>
      </c>
      <c r="P2650" s="392">
        <f t="shared" si="316"/>
        <v>1</v>
      </c>
    </row>
    <row r="2651" spans="1:16">
      <c r="C2651" s="403">
        <f t="shared" si="314"/>
        <v>46449</v>
      </c>
      <c r="D2651" s="56" t="str">
        <f>VLOOKUP(MOD(C2651,7),'CALENDAR INFO'!$G$5:$H$11,2)</f>
        <v>WED</v>
      </c>
      <c r="G2651" s="411">
        <f t="shared" si="311"/>
        <v>0</v>
      </c>
      <c r="H2651" s="376" t="s">
        <v>211</v>
      </c>
      <c r="I2651" s="15">
        <f>I2650+I2649-1</f>
        <v>2679</v>
      </c>
      <c r="J2651" s="138">
        <f>I2651</f>
        <v>2679</v>
      </c>
      <c r="L2651" s="403">
        <f t="shared" si="312"/>
        <v>46449</v>
      </c>
      <c r="M2651" s="56" t="str">
        <f t="shared" si="313"/>
        <v>WED</v>
      </c>
      <c r="O2651" s="383">
        <f t="shared" si="315"/>
        <v>1</v>
      </c>
      <c r="P2651" s="392">
        <f t="shared" si="316"/>
        <v>1</v>
      </c>
    </row>
    <row r="2652" spans="1:16">
      <c r="C2652" s="403">
        <f t="shared" si="314"/>
        <v>46450</v>
      </c>
      <c r="D2652" s="56" t="str">
        <f>VLOOKUP(MOD(C2652,7),'CALENDAR INFO'!$G$5:$H$11,2)</f>
        <v>THU</v>
      </c>
      <c r="G2652" s="411">
        <f t="shared" si="311"/>
        <v>0</v>
      </c>
      <c r="L2652" s="403">
        <f t="shared" si="312"/>
        <v>46450</v>
      </c>
      <c r="M2652" s="56" t="str">
        <f t="shared" si="313"/>
        <v>THU</v>
      </c>
      <c r="O2652" s="383">
        <f t="shared" si="315"/>
        <v>1</v>
      </c>
      <c r="P2652" s="392">
        <f t="shared" si="316"/>
        <v>1</v>
      </c>
    </row>
    <row r="2653" spans="1:16">
      <c r="C2653" s="403">
        <f t="shared" si="314"/>
        <v>46451</v>
      </c>
      <c r="D2653" s="56" t="str">
        <f>VLOOKUP(MOD(C2653,7),'CALENDAR INFO'!$G$5:$H$11,2)</f>
        <v>FRI</v>
      </c>
      <c r="G2653" s="411">
        <f t="shared" si="311"/>
        <v>0</v>
      </c>
      <c r="H2653" s="15" t="s">
        <v>224</v>
      </c>
      <c r="I2653" s="136">
        <v>2665</v>
      </c>
      <c r="J2653" s="138">
        <f>I2653</f>
        <v>2665</v>
      </c>
      <c r="L2653" s="403">
        <f t="shared" si="312"/>
        <v>46451</v>
      </c>
      <c r="M2653" s="56" t="str">
        <f t="shared" si="313"/>
        <v>FRI</v>
      </c>
      <c r="O2653" s="383">
        <f t="shared" si="315"/>
        <v>3</v>
      </c>
      <c r="P2653" s="392">
        <f t="shared" si="316"/>
        <v>1</v>
      </c>
    </row>
    <row r="2654" spans="1:16">
      <c r="C2654" s="403">
        <f t="shared" si="314"/>
        <v>46452</v>
      </c>
      <c r="D2654" s="56" t="str">
        <f>VLOOKUP(MOD(C2654,7),'CALENDAR INFO'!$G$5:$H$11,2)</f>
        <v>SAT</v>
      </c>
      <c r="G2654" s="411">
        <f t="shared" si="311"/>
        <v>0</v>
      </c>
      <c r="H2654" s="15" t="s">
        <v>225</v>
      </c>
      <c r="I2654" s="15" t="str">
        <f>_xlfn.CONCAT(ADDRESS(I2649,1),":",ADDRESS(I2653,1))</f>
        <v>$A$2649:$A$2665</v>
      </c>
      <c r="J2654" s="138" t="str">
        <f>_xlfn.CONCAT(ADDRESS(J2649,2),":",ADDRESS(J2653,2))</f>
        <v>$B$2649:$B$2665</v>
      </c>
      <c r="L2654" s="403">
        <f t="shared" si="312"/>
        <v>46452</v>
      </c>
      <c r="M2654" s="56" t="str">
        <f t="shared" si="313"/>
        <v>SAT</v>
      </c>
      <c r="O2654" s="383">
        <f t="shared" si="315"/>
        <v>0</v>
      </c>
      <c r="P2654" s="392">
        <f t="shared" si="316"/>
        <v>1</v>
      </c>
    </row>
    <row r="2655" spans="1:16">
      <c r="C2655" s="403">
        <f t="shared" si="314"/>
        <v>46453</v>
      </c>
      <c r="D2655" s="56" t="str">
        <f>VLOOKUP(MOD(C2655,7),'CALENDAR INFO'!$G$5:$H$11,2)</f>
        <v>SUN</v>
      </c>
      <c r="G2655" s="411">
        <f t="shared" si="311"/>
        <v>0</v>
      </c>
      <c r="H2655" s="15" t="s">
        <v>226</v>
      </c>
      <c r="I2655" s="15" t="str">
        <f>_xlfn.CONCAT(ADDRESS(I2653+1,1),":",ADDRESS(I2651,1))</f>
        <v>$A$2666:$A$2679</v>
      </c>
      <c r="J2655" s="138" t="str">
        <f>_xlfn.CONCAT(ADDRESS(J2653+1,2),":",ADDRESS(J2651,2))</f>
        <v>$B$2666:$B$2679</v>
      </c>
      <c r="L2655" s="403">
        <f t="shared" si="312"/>
        <v>46453</v>
      </c>
      <c r="M2655" s="56" t="str">
        <f t="shared" si="313"/>
        <v>SUN</v>
      </c>
      <c r="O2655" s="383">
        <f t="shared" si="315"/>
        <v>0</v>
      </c>
      <c r="P2655" s="392">
        <f t="shared" si="316"/>
        <v>1</v>
      </c>
    </row>
    <row r="2656" spans="1:16">
      <c r="C2656" s="403">
        <f t="shared" si="314"/>
        <v>46454</v>
      </c>
      <c r="D2656" s="56" t="str">
        <f>VLOOKUP(MOD(C2656,7),'CALENDAR INFO'!$G$5:$H$11,2)</f>
        <v>MON</v>
      </c>
      <c r="G2656" s="411">
        <f t="shared" si="311"/>
        <v>0</v>
      </c>
      <c r="H2656" s="376" t="s">
        <v>150</v>
      </c>
      <c r="I2656" s="15" t="str">
        <f>_xlfn.CONCAT(ADDRESS(I2649,5),":",ADDRESS(I2651,5))</f>
        <v>$E$2649:$E$2679</v>
      </c>
      <c r="J2656" s="138" t="str">
        <f>_xlfn.CONCAT(ADDRESS(J2649,6),":",ADDRESS(J2651,6))</f>
        <v>$F$2649:$F$2679</v>
      </c>
      <c r="L2656" s="403">
        <f t="shared" si="312"/>
        <v>46454</v>
      </c>
      <c r="M2656" s="56" t="str">
        <f t="shared" si="313"/>
        <v>MON</v>
      </c>
      <c r="O2656" s="383">
        <f t="shared" si="315"/>
        <v>1</v>
      </c>
      <c r="P2656" s="392">
        <f t="shared" si="316"/>
        <v>1</v>
      </c>
    </row>
    <row r="2657" spans="3:16">
      <c r="C2657" s="403">
        <f t="shared" si="314"/>
        <v>46455</v>
      </c>
      <c r="D2657" s="56" t="str">
        <f>VLOOKUP(MOD(C2657,7),'CALENDAR INFO'!$G$5:$H$11,2)</f>
        <v>TUE</v>
      </c>
      <c r="G2657" s="411">
        <f t="shared" si="311"/>
        <v>0</v>
      </c>
      <c r="H2657" s="376"/>
      <c r="L2657" s="403">
        <f t="shared" si="312"/>
        <v>46455</v>
      </c>
      <c r="M2657" s="56" t="str">
        <f t="shared" si="313"/>
        <v>TUE</v>
      </c>
      <c r="O2657" s="383">
        <f t="shared" si="315"/>
        <v>1</v>
      </c>
      <c r="P2657" s="392">
        <f t="shared" si="316"/>
        <v>1</v>
      </c>
    </row>
    <row r="2658" spans="3:16">
      <c r="C2658" s="403">
        <f t="shared" si="314"/>
        <v>46456</v>
      </c>
      <c r="D2658" s="56" t="str">
        <f>VLOOKUP(MOD(C2658,7),'CALENDAR INFO'!$G$5:$H$11,2)</f>
        <v>WED</v>
      </c>
      <c r="G2658" s="411">
        <f t="shared" si="311"/>
        <v>0</v>
      </c>
      <c r="H2658" s="15" t="s">
        <v>117</v>
      </c>
      <c r="I2658" s="15">
        <f>I2650</f>
        <v>31</v>
      </c>
      <c r="J2658" s="138">
        <f>J2650</f>
        <v>31</v>
      </c>
      <c r="L2658" s="403">
        <f t="shared" si="312"/>
        <v>46456</v>
      </c>
      <c r="M2658" s="56" t="str">
        <f t="shared" si="313"/>
        <v>WED</v>
      </c>
      <c r="O2658" s="383">
        <f t="shared" si="315"/>
        <v>1</v>
      </c>
      <c r="P2658" s="392">
        <f t="shared" si="316"/>
        <v>1</v>
      </c>
    </row>
    <row r="2659" spans="3:16">
      <c r="C2659" s="403">
        <f t="shared" si="314"/>
        <v>46457</v>
      </c>
      <c r="D2659" s="56" t="str">
        <f>VLOOKUP(MOD(C2659,7),'CALENDAR INFO'!$G$5:$H$11,2)</f>
        <v>THU</v>
      </c>
      <c r="G2659" s="411">
        <f t="shared" si="311"/>
        <v>0</v>
      </c>
      <c r="H2659" s="15" t="s">
        <v>213</v>
      </c>
      <c r="I2659" s="15">
        <f ca="1">COUNT(INDIRECT(I2656))</f>
        <v>0</v>
      </c>
      <c r="J2659" s="138">
        <f ca="1">COUNT(INDIRECT(J2656))</f>
        <v>0</v>
      </c>
      <c r="L2659" s="403">
        <f t="shared" si="312"/>
        <v>46457</v>
      </c>
      <c r="M2659" s="56" t="str">
        <f t="shared" si="313"/>
        <v>THU</v>
      </c>
      <c r="O2659" s="383">
        <f t="shared" si="315"/>
        <v>1</v>
      </c>
      <c r="P2659" s="392">
        <f t="shared" si="316"/>
        <v>1</v>
      </c>
    </row>
    <row r="2660" spans="3:16">
      <c r="C2660" s="403">
        <f t="shared" si="314"/>
        <v>46458</v>
      </c>
      <c r="D2660" s="56" t="str">
        <f>VLOOKUP(MOD(C2660,7),'CALENDAR INFO'!$G$5:$H$11,2)</f>
        <v>FRI</v>
      </c>
      <c r="G2660" s="411">
        <f t="shared" si="311"/>
        <v>0</v>
      </c>
      <c r="H2660" s="15" t="s">
        <v>229</v>
      </c>
      <c r="I2660" s="171">
        <f ca="1">COUNT(INDIRECT(I2654))</f>
        <v>0</v>
      </c>
      <c r="J2660" s="172">
        <f ca="1">COUNT(INDIRECT(J2654))</f>
        <v>0</v>
      </c>
      <c r="L2660" s="403">
        <f t="shared" si="312"/>
        <v>46458</v>
      </c>
      <c r="M2660" s="56" t="str">
        <f t="shared" si="313"/>
        <v>FRI</v>
      </c>
      <c r="O2660" s="383">
        <f t="shared" si="315"/>
        <v>3</v>
      </c>
      <c r="P2660" s="392">
        <f t="shared" si="316"/>
        <v>1</v>
      </c>
    </row>
    <row r="2661" spans="3:16">
      <c r="C2661" s="403">
        <f t="shared" si="314"/>
        <v>46459</v>
      </c>
      <c r="D2661" s="56" t="str">
        <f>VLOOKUP(MOD(C2661,7),'CALENDAR INFO'!$G$5:$H$11,2)</f>
        <v>SAT</v>
      </c>
      <c r="G2661" s="411">
        <f t="shared" si="311"/>
        <v>0</v>
      </c>
      <c r="H2661" s="376" t="s">
        <v>230</v>
      </c>
      <c r="I2661" s="15">
        <f ca="1">I2658-I2659-I2660</f>
        <v>31</v>
      </c>
      <c r="J2661" s="138">
        <f ca="1">J2658-J2659-J2660</f>
        <v>31</v>
      </c>
      <c r="L2661" s="403">
        <f t="shared" si="312"/>
        <v>46459</v>
      </c>
      <c r="M2661" s="56" t="str">
        <f t="shared" si="313"/>
        <v>SAT</v>
      </c>
      <c r="O2661" s="383">
        <f t="shared" si="315"/>
        <v>0</v>
      </c>
      <c r="P2661" s="392">
        <f t="shared" si="316"/>
        <v>1</v>
      </c>
    </row>
    <row r="2662" spans="3:16">
      <c r="C2662" s="403">
        <f t="shared" si="314"/>
        <v>46460</v>
      </c>
      <c r="D2662" s="56" t="str">
        <f>VLOOKUP(MOD(C2662,7),'CALENDAR INFO'!$G$5:$H$11,2)</f>
        <v>SUN</v>
      </c>
      <c r="G2662" s="411">
        <f t="shared" si="311"/>
        <v>0</v>
      </c>
      <c r="H2662" s="376"/>
      <c r="I2662" s="163"/>
      <c r="J2662" s="164"/>
      <c r="L2662" s="403">
        <f t="shared" si="312"/>
        <v>46460</v>
      </c>
      <c r="M2662" s="56" t="str">
        <f t="shared" si="313"/>
        <v>SUN</v>
      </c>
      <c r="O2662" s="383">
        <f t="shared" si="315"/>
        <v>0</v>
      </c>
      <c r="P2662" s="392">
        <f t="shared" si="316"/>
        <v>1</v>
      </c>
    </row>
    <row r="2663" spans="3:16">
      <c r="C2663" s="403">
        <f t="shared" si="314"/>
        <v>46461</v>
      </c>
      <c r="D2663" s="56" t="str">
        <f>VLOOKUP(MOD(C2663,7),'CALENDAR INFO'!$G$5:$H$11,2)</f>
        <v>MON</v>
      </c>
      <c r="G2663" s="411">
        <f t="shared" si="311"/>
        <v>0</v>
      </c>
      <c r="H2663" s="376" t="s">
        <v>175</v>
      </c>
      <c r="I2663" s="139">
        <f>OUTPUT!C11</f>
        <v>4.2800000000000011</v>
      </c>
      <c r="J2663" s="151">
        <f>OUTPUT!F11</f>
        <v>4.2999999999999972</v>
      </c>
      <c r="L2663" s="403">
        <f t="shared" si="312"/>
        <v>46461</v>
      </c>
      <c r="M2663" s="56" t="str">
        <f t="shared" si="313"/>
        <v>MON</v>
      </c>
      <c r="O2663" s="383">
        <f t="shared" si="315"/>
        <v>1</v>
      </c>
      <c r="P2663" s="392">
        <f t="shared" si="316"/>
        <v>1</v>
      </c>
    </row>
    <row r="2664" spans="3:16">
      <c r="C2664" s="403">
        <f t="shared" si="314"/>
        <v>46462</v>
      </c>
      <c r="D2664" s="56" t="str">
        <f>VLOOKUP(MOD(C2664,7),'CALENDAR INFO'!$G$5:$H$11,2)</f>
        <v>TUE</v>
      </c>
      <c r="G2664" s="411">
        <f t="shared" si="311"/>
        <v>0</v>
      </c>
      <c r="H2664" s="15" t="s">
        <v>209</v>
      </c>
      <c r="I2664" s="171">
        <f>I2650</f>
        <v>31</v>
      </c>
      <c r="J2664" s="172">
        <f>J2650</f>
        <v>31</v>
      </c>
      <c r="L2664" s="403">
        <f t="shared" si="312"/>
        <v>46462</v>
      </c>
      <c r="M2664" s="56" t="str">
        <f t="shared" si="313"/>
        <v>TUE</v>
      </c>
      <c r="N2664" s="116" t="s">
        <v>20</v>
      </c>
      <c r="O2664" s="383">
        <f t="shared" si="315"/>
        <v>1</v>
      </c>
      <c r="P2664" s="392">
        <f t="shared" si="316"/>
        <v>1</v>
      </c>
    </row>
    <row r="2665" spans="3:16">
      <c r="C2665" s="403">
        <f t="shared" si="314"/>
        <v>46463</v>
      </c>
      <c r="D2665" s="56" t="str">
        <f>VLOOKUP(MOD(C2665,7),'CALENDAR INFO'!$G$5:$H$11,2)</f>
        <v>WED</v>
      </c>
      <c r="G2665" s="411">
        <f t="shared" si="311"/>
        <v>0</v>
      </c>
      <c r="H2665" s="15" t="s">
        <v>214</v>
      </c>
      <c r="I2665" s="137">
        <f>I2663*I2664</f>
        <v>132.68000000000004</v>
      </c>
      <c r="J2665" s="150">
        <f>J2663*J2664</f>
        <v>133.2999999999999</v>
      </c>
      <c r="L2665" s="403">
        <f t="shared" si="312"/>
        <v>46463</v>
      </c>
      <c r="M2665" s="56" t="str">
        <f t="shared" si="313"/>
        <v>WED</v>
      </c>
      <c r="N2665" s="116" t="s">
        <v>20</v>
      </c>
      <c r="O2665" s="383">
        <f t="shared" si="315"/>
        <v>1</v>
      </c>
      <c r="P2665" s="392">
        <f t="shared" si="316"/>
        <v>1</v>
      </c>
    </row>
    <row r="2666" spans="3:16">
      <c r="C2666" s="403">
        <f t="shared" si="314"/>
        <v>46464</v>
      </c>
      <c r="D2666" s="56" t="str">
        <f>VLOOKUP(MOD(C2666,7),'CALENDAR INFO'!$G$5:$H$11,2)</f>
        <v>THU</v>
      </c>
      <c r="G2666" s="411">
        <f t="shared" si="311"/>
        <v>0</v>
      </c>
      <c r="H2666" s="15" t="s">
        <v>215</v>
      </c>
      <c r="I2666" s="137">
        <f ca="1">SUM(INDIRECT(I2656))</f>
        <v>0</v>
      </c>
      <c r="J2666" s="150">
        <f ca="1">SUM(INDIRECT(J2656))</f>
        <v>0</v>
      </c>
      <c r="L2666" s="403">
        <f t="shared" si="312"/>
        <v>46464</v>
      </c>
      <c r="M2666" s="56" t="str">
        <f t="shared" si="313"/>
        <v>THU</v>
      </c>
      <c r="O2666" s="383">
        <f t="shared" si="315"/>
        <v>1</v>
      </c>
      <c r="P2666" s="392">
        <f t="shared" si="316"/>
        <v>1</v>
      </c>
    </row>
    <row r="2667" spans="3:16">
      <c r="C2667" s="403">
        <f t="shared" si="314"/>
        <v>46465</v>
      </c>
      <c r="D2667" s="56" t="str">
        <f>VLOOKUP(MOD(C2667,7),'CALENDAR INFO'!$G$5:$H$11,2)</f>
        <v>FRI</v>
      </c>
      <c r="G2667" s="411">
        <f t="shared" si="311"/>
        <v>0</v>
      </c>
      <c r="H2667" s="15" t="s">
        <v>231</v>
      </c>
      <c r="I2667" s="163">
        <f ca="1">SUM(INDIRECT(I2654))</f>
        <v>0</v>
      </c>
      <c r="J2667" s="164">
        <f ca="1">SUM(INDIRECT(J2654))</f>
        <v>0</v>
      </c>
      <c r="L2667" s="403">
        <f t="shared" si="312"/>
        <v>46465</v>
      </c>
      <c r="M2667" s="56" t="str">
        <f t="shared" si="313"/>
        <v>FRI</v>
      </c>
      <c r="O2667" s="383">
        <f t="shared" si="315"/>
        <v>3</v>
      </c>
      <c r="P2667" s="392">
        <f t="shared" si="316"/>
        <v>1</v>
      </c>
    </row>
    <row r="2668" spans="3:16">
      <c r="C2668" s="403">
        <f t="shared" si="314"/>
        <v>46466</v>
      </c>
      <c r="D2668" s="56" t="str">
        <f>VLOOKUP(MOD(C2668,7),'CALENDAR INFO'!$G$5:$H$11,2)</f>
        <v>SAT</v>
      </c>
      <c r="G2668" s="411">
        <f t="shared" si="311"/>
        <v>0</v>
      </c>
      <c r="H2668" s="15" t="s">
        <v>232</v>
      </c>
      <c r="I2668" s="137">
        <f ca="1">I2665-I2666-I2667</f>
        <v>132.68000000000004</v>
      </c>
      <c r="J2668" s="150">
        <f ca="1">J2665-J2666-J2667</f>
        <v>133.2999999999999</v>
      </c>
      <c r="L2668" s="403">
        <f t="shared" si="312"/>
        <v>46466</v>
      </c>
      <c r="M2668" s="56" t="str">
        <f t="shared" si="313"/>
        <v>SAT</v>
      </c>
      <c r="O2668" s="383">
        <f t="shared" si="315"/>
        <v>0</v>
      </c>
      <c r="P2668" s="392">
        <f t="shared" si="316"/>
        <v>1</v>
      </c>
    </row>
    <row r="2669" spans="3:16">
      <c r="C2669" s="403">
        <f t="shared" si="314"/>
        <v>46467</v>
      </c>
      <c r="D2669" s="56" t="str">
        <f>VLOOKUP(MOD(C2669,7),'CALENDAR INFO'!$G$5:$H$11,2)</f>
        <v>SUN</v>
      </c>
      <c r="G2669" s="411">
        <f t="shared" si="311"/>
        <v>0</v>
      </c>
      <c r="L2669" s="403">
        <f t="shared" si="312"/>
        <v>46467</v>
      </c>
      <c r="M2669" s="56" t="str">
        <f t="shared" si="313"/>
        <v>SUN</v>
      </c>
      <c r="O2669" s="383">
        <f t="shared" si="315"/>
        <v>0</v>
      </c>
      <c r="P2669" s="392">
        <f t="shared" si="316"/>
        <v>1</v>
      </c>
    </row>
    <row r="2670" spans="3:16">
      <c r="C2670" s="403">
        <f t="shared" si="314"/>
        <v>46468</v>
      </c>
      <c r="D2670" s="56" t="str">
        <f>VLOOKUP(MOD(C2670,7),'CALENDAR INFO'!$G$5:$H$11,2)</f>
        <v>MON</v>
      </c>
      <c r="G2670" s="411">
        <f t="shared" si="311"/>
        <v>0</v>
      </c>
      <c r="H2670" s="15" t="s">
        <v>233</v>
      </c>
      <c r="I2670" s="137">
        <f ca="1">I2668</f>
        <v>132.68000000000004</v>
      </c>
      <c r="J2670" s="150">
        <f ca="1">J2668</f>
        <v>133.2999999999999</v>
      </c>
      <c r="L2670" s="403">
        <f t="shared" si="312"/>
        <v>46468</v>
      </c>
      <c r="M2670" s="56" t="str">
        <f t="shared" si="313"/>
        <v>MON</v>
      </c>
      <c r="O2670" s="383">
        <f t="shared" si="315"/>
        <v>1</v>
      </c>
      <c r="P2670" s="392">
        <f t="shared" si="316"/>
        <v>1</v>
      </c>
    </row>
    <row r="2671" spans="3:16">
      <c r="C2671" s="403">
        <f t="shared" si="314"/>
        <v>46469</v>
      </c>
      <c r="D2671" s="56" t="str">
        <f>VLOOKUP(MOD(C2671,7),'CALENDAR INFO'!$G$5:$H$11,2)</f>
        <v>TUE</v>
      </c>
      <c r="G2671" s="411">
        <f t="shared" si="311"/>
        <v>0</v>
      </c>
      <c r="H2671" s="15" t="s">
        <v>227</v>
      </c>
      <c r="I2671" s="171">
        <f ca="1">I2661</f>
        <v>31</v>
      </c>
      <c r="J2671" s="172">
        <f ca="1">J2661</f>
        <v>31</v>
      </c>
      <c r="L2671" s="403">
        <f t="shared" si="312"/>
        <v>46469</v>
      </c>
      <c r="M2671" s="56" t="str">
        <f t="shared" si="313"/>
        <v>TUE</v>
      </c>
      <c r="O2671" s="383">
        <f t="shared" si="315"/>
        <v>1</v>
      </c>
      <c r="P2671" s="392">
        <f t="shared" si="316"/>
        <v>1</v>
      </c>
    </row>
    <row r="2672" spans="3:16">
      <c r="C2672" s="403">
        <f t="shared" si="314"/>
        <v>46470</v>
      </c>
      <c r="D2672" s="56" t="str">
        <f>VLOOKUP(MOD(C2672,7),'CALENDAR INFO'!$G$5:$H$11,2)</f>
        <v>WED</v>
      </c>
      <c r="G2672" s="411">
        <f t="shared" si="311"/>
        <v>0</v>
      </c>
      <c r="H2672" s="15" t="s">
        <v>228</v>
      </c>
      <c r="I2672" s="137">
        <f ca="1">I2670/I2671</f>
        <v>4.2800000000000011</v>
      </c>
      <c r="J2672" s="150">
        <f ca="1">J2670/J2671</f>
        <v>4.2999999999999963</v>
      </c>
      <c r="L2672" s="403">
        <f t="shared" si="312"/>
        <v>46470</v>
      </c>
      <c r="M2672" s="56" t="str">
        <f t="shared" si="313"/>
        <v>WED</v>
      </c>
      <c r="O2672" s="383">
        <f t="shared" si="315"/>
        <v>1</v>
      </c>
      <c r="P2672" s="392">
        <f t="shared" si="316"/>
        <v>1</v>
      </c>
    </row>
    <row r="2673" spans="3:16">
      <c r="C2673" s="403">
        <f t="shared" si="314"/>
        <v>46471</v>
      </c>
      <c r="D2673" s="56" t="str">
        <f>VLOOKUP(MOD(C2673,7),'CALENDAR INFO'!$G$5:$H$11,2)</f>
        <v>THU</v>
      </c>
      <c r="G2673" s="411">
        <f t="shared" si="311"/>
        <v>0</v>
      </c>
      <c r="L2673" s="403">
        <f t="shared" si="312"/>
        <v>46471</v>
      </c>
      <c r="M2673" s="56" t="str">
        <f t="shared" si="313"/>
        <v>THU</v>
      </c>
      <c r="O2673" s="384">
        <v>4</v>
      </c>
      <c r="P2673" s="392">
        <f t="shared" si="316"/>
        <v>1</v>
      </c>
    </row>
    <row r="2674" spans="3:16">
      <c r="C2674" s="403">
        <f t="shared" si="314"/>
        <v>46472</v>
      </c>
      <c r="D2674" s="56" t="str">
        <f>VLOOKUP(MOD(C2674,7),'CALENDAR INFO'!$G$5:$H$11,2)</f>
        <v>FRI</v>
      </c>
      <c r="G2674" s="411">
        <f t="shared" si="311"/>
        <v>0</v>
      </c>
      <c r="H2674" s="15" t="s">
        <v>221</v>
      </c>
      <c r="I2674" s="15" t="e">
        <f ca="1">AVERAGE(INDIRECT(I2656))</f>
        <v>#DIV/0!</v>
      </c>
      <c r="J2674" s="138" t="e">
        <f ca="1">AVERAGE(INDIRECT(J2656))</f>
        <v>#DIV/0!</v>
      </c>
      <c r="L2674" s="403">
        <f t="shared" si="312"/>
        <v>46472</v>
      </c>
      <c r="M2674" s="56" t="str">
        <f t="shared" si="313"/>
        <v>FRI</v>
      </c>
      <c r="N2674" s="132" t="s">
        <v>44</v>
      </c>
      <c r="O2674" s="384">
        <v>0</v>
      </c>
      <c r="P2674" s="392">
        <f t="shared" si="316"/>
        <v>1</v>
      </c>
    </row>
    <row r="2675" spans="3:16">
      <c r="C2675" s="403">
        <f t="shared" si="314"/>
        <v>46473</v>
      </c>
      <c r="D2675" s="56" t="str">
        <f>VLOOKUP(MOD(C2675,7),'CALENDAR INFO'!$G$5:$H$11,2)</f>
        <v>SAT</v>
      </c>
      <c r="G2675" s="411">
        <f t="shared" si="311"/>
        <v>0</v>
      </c>
      <c r="H2675" s="15" t="s">
        <v>222</v>
      </c>
      <c r="I2675" s="15" t="e">
        <f ca="1">100-I2674</f>
        <v>#DIV/0!</v>
      </c>
      <c r="J2675" s="138" t="e">
        <f ca="1">100-J2674</f>
        <v>#DIV/0!</v>
      </c>
      <c r="L2675" s="403">
        <f t="shared" si="312"/>
        <v>46473</v>
      </c>
      <c r="M2675" s="56" t="str">
        <f t="shared" si="313"/>
        <v>SAT</v>
      </c>
      <c r="O2675" s="383">
        <f t="shared" ref="O2675:O2706" si="317">IF(MOD(C2675,7)&lt;2,0,IF(MOD(C2675,7)=6,3,1))</f>
        <v>0</v>
      </c>
      <c r="P2675" s="392">
        <f t="shared" si="316"/>
        <v>1</v>
      </c>
    </row>
    <row r="2676" spans="3:16">
      <c r="C2676" s="403">
        <f t="shared" si="314"/>
        <v>46474</v>
      </c>
      <c r="D2676" s="56" t="str">
        <f>VLOOKUP(MOD(C2676,7),'CALENDAR INFO'!$G$5:$H$11,2)</f>
        <v>SUN</v>
      </c>
      <c r="G2676" s="411">
        <f t="shared" si="311"/>
        <v>0</v>
      </c>
      <c r="H2676" s="425" t="s">
        <v>97</v>
      </c>
      <c r="I2676" s="419"/>
      <c r="J2676" s="426"/>
      <c r="L2676" s="403">
        <f t="shared" si="312"/>
        <v>46474</v>
      </c>
      <c r="M2676" s="56" t="str">
        <f t="shared" si="313"/>
        <v>SUN</v>
      </c>
      <c r="O2676" s="383">
        <f t="shared" si="317"/>
        <v>0</v>
      </c>
      <c r="P2676" s="392">
        <f t="shared" si="316"/>
        <v>1</v>
      </c>
    </row>
    <row r="2677" spans="3:16">
      <c r="C2677" s="403">
        <f t="shared" si="314"/>
        <v>46475</v>
      </c>
      <c r="D2677" s="56" t="str">
        <f>VLOOKUP(MOD(C2677,7),'CALENDAR INFO'!$G$5:$H$11,2)</f>
        <v>MON</v>
      </c>
      <c r="G2677" s="411">
        <f t="shared" si="311"/>
        <v>0</v>
      </c>
      <c r="L2677" s="403">
        <f t="shared" si="312"/>
        <v>46475</v>
      </c>
      <c r="M2677" s="56" t="str">
        <f t="shared" si="313"/>
        <v>MON</v>
      </c>
      <c r="O2677" s="383">
        <f t="shared" si="317"/>
        <v>1</v>
      </c>
      <c r="P2677" s="392">
        <f t="shared" si="316"/>
        <v>1</v>
      </c>
    </row>
    <row r="2678" spans="3:16">
      <c r="C2678" s="403">
        <f t="shared" si="314"/>
        <v>46476</v>
      </c>
      <c r="D2678" s="56" t="str">
        <f>VLOOKUP(MOD(C2678,7),'CALENDAR INFO'!$G$5:$H$11,2)</f>
        <v>TUE</v>
      </c>
      <c r="G2678" s="411">
        <f t="shared" si="311"/>
        <v>0</v>
      </c>
      <c r="L2678" s="403">
        <f t="shared" si="312"/>
        <v>46476</v>
      </c>
      <c r="M2678" s="56" t="str">
        <f t="shared" si="313"/>
        <v>TUE</v>
      </c>
      <c r="O2678" s="383">
        <f t="shared" si="317"/>
        <v>1</v>
      </c>
      <c r="P2678" s="392">
        <f t="shared" si="316"/>
        <v>1</v>
      </c>
    </row>
    <row r="2679" spans="3:16">
      <c r="C2679" s="403">
        <f t="shared" si="314"/>
        <v>46477</v>
      </c>
      <c r="D2679" s="56" t="str">
        <f>VLOOKUP(MOD(C2679,7),'CALENDAR INFO'!$G$5:$H$11,2)</f>
        <v>WED</v>
      </c>
      <c r="G2679" s="411">
        <f t="shared" si="311"/>
        <v>0</v>
      </c>
      <c r="L2679" s="403">
        <f t="shared" si="312"/>
        <v>46477</v>
      </c>
      <c r="M2679" s="56" t="str">
        <f t="shared" si="313"/>
        <v>WED</v>
      </c>
      <c r="O2679" s="383">
        <f t="shared" si="317"/>
        <v>1</v>
      </c>
      <c r="P2679" s="392">
        <f t="shared" si="316"/>
        <v>1</v>
      </c>
    </row>
    <row r="2680" spans="3:16">
      <c r="C2680" s="403">
        <f t="shared" si="314"/>
        <v>46478</v>
      </c>
      <c r="D2680" s="56" t="str">
        <f>VLOOKUP(MOD(C2680,7),'CALENDAR INFO'!$G$5:$H$11,2)</f>
        <v>THU</v>
      </c>
      <c r="G2680" s="411">
        <f t="shared" si="311"/>
        <v>0</v>
      </c>
      <c r="H2680" s="15" t="s">
        <v>149</v>
      </c>
      <c r="I2680" s="15">
        <f>ROW(I2680)</f>
        <v>2680</v>
      </c>
      <c r="J2680" s="138">
        <f>I2680</f>
        <v>2680</v>
      </c>
      <c r="L2680" s="403">
        <f t="shared" si="312"/>
        <v>46478</v>
      </c>
      <c r="M2680" s="56" t="str">
        <f t="shared" si="313"/>
        <v>THU</v>
      </c>
      <c r="O2680" s="383">
        <f t="shared" si="317"/>
        <v>1</v>
      </c>
      <c r="P2680" s="392">
        <f t="shared" si="316"/>
        <v>1</v>
      </c>
    </row>
    <row r="2681" spans="3:16">
      <c r="C2681" s="403">
        <f t="shared" si="314"/>
        <v>46479</v>
      </c>
      <c r="D2681" s="56" t="str">
        <f>VLOOKUP(MOD(C2681,7),'CALENDAR INFO'!$G$5:$H$11,2)</f>
        <v>FRI</v>
      </c>
      <c r="G2681" s="411">
        <f t="shared" si="311"/>
        <v>0</v>
      </c>
      <c r="H2681" s="376" t="s">
        <v>210</v>
      </c>
      <c r="I2681" s="171">
        <f>VLOOKUP(MONTH($C2680),'CALENDAR INFO'!$J$5:$K$16,2)</f>
        <v>30</v>
      </c>
      <c r="J2681" s="172">
        <f>I2681</f>
        <v>30</v>
      </c>
      <c r="L2681" s="403">
        <f t="shared" si="312"/>
        <v>46479</v>
      </c>
      <c r="M2681" s="56" t="str">
        <f t="shared" si="313"/>
        <v>FRI</v>
      </c>
      <c r="O2681" s="383">
        <f t="shared" si="317"/>
        <v>3</v>
      </c>
      <c r="P2681" s="392">
        <f t="shared" si="316"/>
        <v>1</v>
      </c>
    </row>
    <row r="2682" spans="3:16">
      <c r="C2682" s="403">
        <f t="shared" si="314"/>
        <v>46480</v>
      </c>
      <c r="D2682" s="56" t="str">
        <f>VLOOKUP(MOD(C2682,7),'CALENDAR INFO'!$G$5:$H$11,2)</f>
        <v>SAT</v>
      </c>
      <c r="G2682" s="411">
        <f t="shared" si="311"/>
        <v>0</v>
      </c>
      <c r="H2682" s="376" t="s">
        <v>211</v>
      </c>
      <c r="I2682" s="15">
        <f>I2681+I2680-1</f>
        <v>2709</v>
      </c>
      <c r="J2682" s="138">
        <f>I2682</f>
        <v>2709</v>
      </c>
      <c r="L2682" s="403">
        <f t="shared" si="312"/>
        <v>46480</v>
      </c>
      <c r="M2682" s="56" t="str">
        <f t="shared" si="313"/>
        <v>SAT</v>
      </c>
      <c r="O2682" s="383">
        <f t="shared" si="317"/>
        <v>0</v>
      </c>
      <c r="P2682" s="392">
        <f t="shared" si="316"/>
        <v>1</v>
      </c>
    </row>
    <row r="2683" spans="3:16">
      <c r="C2683" s="403">
        <f t="shared" si="314"/>
        <v>46481</v>
      </c>
      <c r="D2683" s="56" t="str">
        <f>VLOOKUP(MOD(C2683,7),'CALENDAR INFO'!$G$5:$H$11,2)</f>
        <v>SUN</v>
      </c>
      <c r="G2683" s="411">
        <f t="shared" si="311"/>
        <v>0</v>
      </c>
      <c r="L2683" s="403">
        <f t="shared" si="312"/>
        <v>46481</v>
      </c>
      <c r="M2683" s="56" t="str">
        <f t="shared" si="313"/>
        <v>SUN</v>
      </c>
      <c r="O2683" s="383">
        <f t="shared" si="317"/>
        <v>0</v>
      </c>
      <c r="P2683" s="392">
        <f t="shared" si="316"/>
        <v>1</v>
      </c>
    </row>
    <row r="2684" spans="3:16">
      <c r="C2684" s="403">
        <f t="shared" si="314"/>
        <v>46482</v>
      </c>
      <c r="D2684" s="56" t="str">
        <f>VLOOKUP(MOD(C2684,7),'CALENDAR INFO'!$G$5:$H$11,2)</f>
        <v>MON</v>
      </c>
      <c r="G2684" s="411">
        <f t="shared" si="311"/>
        <v>0</v>
      </c>
      <c r="H2684" s="15" t="s">
        <v>224</v>
      </c>
      <c r="I2684" s="136">
        <v>2707</v>
      </c>
      <c r="J2684" s="138">
        <f>I2684</f>
        <v>2707</v>
      </c>
      <c r="L2684" s="403">
        <f t="shared" si="312"/>
        <v>46482</v>
      </c>
      <c r="M2684" s="56" t="str">
        <f t="shared" si="313"/>
        <v>MON</v>
      </c>
      <c r="O2684" s="383">
        <f t="shared" si="317"/>
        <v>1</v>
      </c>
      <c r="P2684" s="392">
        <f t="shared" si="316"/>
        <v>1</v>
      </c>
    </row>
    <row r="2685" spans="3:16">
      <c r="C2685" s="403">
        <f t="shared" si="314"/>
        <v>46483</v>
      </c>
      <c r="D2685" s="56" t="str">
        <f>VLOOKUP(MOD(C2685,7),'CALENDAR INFO'!$G$5:$H$11,2)</f>
        <v>TUE</v>
      </c>
      <c r="G2685" s="411">
        <f t="shared" si="311"/>
        <v>0</v>
      </c>
      <c r="H2685" s="15" t="s">
        <v>225</v>
      </c>
      <c r="I2685" s="15" t="str">
        <f>_xlfn.CONCAT(ADDRESS(I2680,1),":",ADDRESS(I2684,1))</f>
        <v>$A$2680:$A$2707</v>
      </c>
      <c r="J2685" s="138" t="str">
        <f>_xlfn.CONCAT(ADDRESS(J2680,2),":",ADDRESS(J2684,2))</f>
        <v>$B$2680:$B$2707</v>
      </c>
      <c r="L2685" s="403">
        <f t="shared" si="312"/>
        <v>46483</v>
      </c>
      <c r="M2685" s="56" t="str">
        <f t="shared" si="313"/>
        <v>TUE</v>
      </c>
      <c r="O2685" s="383">
        <f t="shared" si="317"/>
        <v>1</v>
      </c>
      <c r="P2685" s="392">
        <f t="shared" si="316"/>
        <v>1</v>
      </c>
    </row>
    <row r="2686" spans="3:16">
      <c r="C2686" s="403">
        <f t="shared" si="314"/>
        <v>46484</v>
      </c>
      <c r="D2686" s="56" t="str">
        <f>VLOOKUP(MOD(C2686,7),'CALENDAR INFO'!$G$5:$H$11,2)</f>
        <v>WED</v>
      </c>
      <c r="G2686" s="411">
        <f t="shared" si="311"/>
        <v>0</v>
      </c>
      <c r="H2686" s="15" t="s">
        <v>226</v>
      </c>
      <c r="I2686" s="15" t="str">
        <f>_xlfn.CONCAT(ADDRESS(I2684+1,1),":",ADDRESS(I2682,1))</f>
        <v>$A$2708:$A$2709</v>
      </c>
      <c r="J2686" s="138" t="str">
        <f>_xlfn.CONCAT(ADDRESS(J2684+1,2),":",ADDRESS(J2682,2))</f>
        <v>$B$2708:$B$2709</v>
      </c>
      <c r="L2686" s="403">
        <f t="shared" si="312"/>
        <v>46484</v>
      </c>
      <c r="M2686" s="56" t="str">
        <f t="shared" si="313"/>
        <v>WED</v>
      </c>
      <c r="O2686" s="383">
        <f t="shared" si="317"/>
        <v>1</v>
      </c>
      <c r="P2686" s="392">
        <f t="shared" si="316"/>
        <v>1</v>
      </c>
    </row>
    <row r="2687" spans="3:16">
      <c r="C2687" s="403">
        <f t="shared" si="314"/>
        <v>46485</v>
      </c>
      <c r="D2687" s="56" t="str">
        <f>VLOOKUP(MOD(C2687,7),'CALENDAR INFO'!$G$5:$H$11,2)</f>
        <v>THU</v>
      </c>
      <c r="G2687" s="411">
        <f t="shared" si="311"/>
        <v>0</v>
      </c>
      <c r="H2687" s="376" t="s">
        <v>150</v>
      </c>
      <c r="I2687" s="15" t="str">
        <f>_xlfn.CONCAT(ADDRESS(I2680,5),":",ADDRESS(I2682,5))</f>
        <v>$E$2680:$E$2709</v>
      </c>
      <c r="J2687" s="138" t="str">
        <f>_xlfn.CONCAT(ADDRESS(J2680,6),":",ADDRESS(J2682,6))</f>
        <v>$F$2680:$F$2709</v>
      </c>
      <c r="L2687" s="403">
        <f t="shared" si="312"/>
        <v>46485</v>
      </c>
      <c r="M2687" s="56" t="str">
        <f t="shared" si="313"/>
        <v>THU</v>
      </c>
      <c r="O2687" s="383">
        <f t="shared" si="317"/>
        <v>1</v>
      </c>
      <c r="P2687" s="392">
        <f t="shared" si="316"/>
        <v>1</v>
      </c>
    </row>
    <row r="2688" spans="3:16">
      <c r="C2688" s="403">
        <f t="shared" si="314"/>
        <v>46486</v>
      </c>
      <c r="D2688" s="56" t="str">
        <f>VLOOKUP(MOD(C2688,7),'CALENDAR INFO'!$G$5:$H$11,2)</f>
        <v>FRI</v>
      </c>
      <c r="G2688" s="411">
        <f t="shared" si="311"/>
        <v>0</v>
      </c>
      <c r="H2688" s="376"/>
      <c r="L2688" s="403">
        <f t="shared" si="312"/>
        <v>46486</v>
      </c>
      <c r="M2688" s="56" t="str">
        <f t="shared" si="313"/>
        <v>FRI</v>
      </c>
      <c r="O2688" s="383">
        <f t="shared" si="317"/>
        <v>3</v>
      </c>
      <c r="P2688" s="392">
        <f t="shared" si="316"/>
        <v>1</v>
      </c>
    </row>
    <row r="2689" spans="3:16">
      <c r="C2689" s="403">
        <f t="shared" si="314"/>
        <v>46487</v>
      </c>
      <c r="D2689" s="56" t="str">
        <f>VLOOKUP(MOD(C2689,7),'CALENDAR INFO'!$G$5:$H$11,2)</f>
        <v>SAT</v>
      </c>
      <c r="G2689" s="411">
        <f t="shared" si="311"/>
        <v>0</v>
      </c>
      <c r="H2689" s="15" t="s">
        <v>117</v>
      </c>
      <c r="I2689" s="15">
        <f>I2681</f>
        <v>30</v>
      </c>
      <c r="J2689" s="138">
        <f>J2681</f>
        <v>30</v>
      </c>
      <c r="L2689" s="403">
        <f t="shared" si="312"/>
        <v>46487</v>
      </c>
      <c r="M2689" s="56" t="str">
        <f t="shared" si="313"/>
        <v>SAT</v>
      </c>
      <c r="O2689" s="383">
        <f t="shared" si="317"/>
        <v>0</v>
      </c>
      <c r="P2689" s="392">
        <f t="shared" si="316"/>
        <v>1</v>
      </c>
    </row>
    <row r="2690" spans="3:16">
      <c r="C2690" s="403">
        <f t="shared" si="314"/>
        <v>46488</v>
      </c>
      <c r="D2690" s="56" t="str">
        <f>VLOOKUP(MOD(C2690,7),'CALENDAR INFO'!$G$5:$H$11,2)</f>
        <v>SUN</v>
      </c>
      <c r="G2690" s="411">
        <f t="shared" si="311"/>
        <v>0</v>
      </c>
      <c r="H2690" s="15" t="s">
        <v>213</v>
      </c>
      <c r="I2690" s="15">
        <f ca="1">COUNT(INDIRECT(I2687))</f>
        <v>0</v>
      </c>
      <c r="J2690" s="138">
        <f ca="1">COUNT(INDIRECT(J2687))</f>
        <v>0</v>
      </c>
      <c r="L2690" s="403">
        <f t="shared" si="312"/>
        <v>46488</v>
      </c>
      <c r="M2690" s="56" t="str">
        <f t="shared" si="313"/>
        <v>SUN</v>
      </c>
      <c r="O2690" s="383">
        <f t="shared" si="317"/>
        <v>0</v>
      </c>
      <c r="P2690" s="392">
        <f t="shared" si="316"/>
        <v>1</v>
      </c>
    </row>
    <row r="2691" spans="3:16">
      <c r="C2691" s="403">
        <f t="shared" si="314"/>
        <v>46489</v>
      </c>
      <c r="D2691" s="56" t="str">
        <f>VLOOKUP(MOD(C2691,7),'CALENDAR INFO'!$G$5:$H$11,2)</f>
        <v>MON</v>
      </c>
      <c r="G2691" s="411">
        <f t="shared" ref="G2691:G2754" si="318">F2691-E2691</f>
        <v>0</v>
      </c>
      <c r="H2691" s="15" t="s">
        <v>229</v>
      </c>
      <c r="I2691" s="171">
        <f ca="1">COUNT(INDIRECT(I2685))</f>
        <v>0</v>
      </c>
      <c r="J2691" s="172">
        <f ca="1">COUNT(INDIRECT(J2685))</f>
        <v>0</v>
      </c>
      <c r="L2691" s="403">
        <f t="shared" ref="L2691:L2754" si="319">C2691</f>
        <v>46489</v>
      </c>
      <c r="M2691" s="56" t="str">
        <f t="shared" ref="M2691:M2754" si="320">D2691</f>
        <v>MON</v>
      </c>
      <c r="O2691" s="383">
        <f t="shared" si="317"/>
        <v>1</v>
      </c>
      <c r="P2691" s="392">
        <f t="shared" si="316"/>
        <v>1</v>
      </c>
    </row>
    <row r="2692" spans="3:16">
      <c r="C2692" s="403">
        <f t="shared" ref="C2692:C2755" si="321">C2691+1</f>
        <v>46490</v>
      </c>
      <c r="D2692" s="56" t="str">
        <f>VLOOKUP(MOD(C2692,7),'CALENDAR INFO'!$G$5:$H$11,2)</f>
        <v>TUE</v>
      </c>
      <c r="G2692" s="411">
        <f t="shared" si="318"/>
        <v>0</v>
      </c>
      <c r="H2692" s="376" t="s">
        <v>230</v>
      </c>
      <c r="I2692" s="15">
        <f ca="1">I2689-I2690-I2691</f>
        <v>30</v>
      </c>
      <c r="J2692" s="138">
        <f ca="1">J2689-J2690-J2691</f>
        <v>30</v>
      </c>
      <c r="L2692" s="403">
        <f t="shared" si="319"/>
        <v>46490</v>
      </c>
      <c r="M2692" s="56" t="str">
        <f t="shared" si="320"/>
        <v>TUE</v>
      </c>
      <c r="O2692" s="383">
        <f t="shared" si="317"/>
        <v>1</v>
      </c>
      <c r="P2692" s="392">
        <f t="shared" si="316"/>
        <v>1</v>
      </c>
    </row>
    <row r="2693" spans="3:16">
      <c r="C2693" s="403">
        <f t="shared" si="321"/>
        <v>46491</v>
      </c>
      <c r="D2693" s="56" t="str">
        <f>VLOOKUP(MOD(C2693,7),'CALENDAR INFO'!$G$5:$H$11,2)</f>
        <v>WED</v>
      </c>
      <c r="G2693" s="411">
        <f t="shared" si="318"/>
        <v>0</v>
      </c>
      <c r="H2693" s="376"/>
      <c r="I2693" s="163"/>
      <c r="J2693" s="164"/>
      <c r="L2693" s="403">
        <f t="shared" si="319"/>
        <v>46491</v>
      </c>
      <c r="M2693" s="56" t="str">
        <f t="shared" si="320"/>
        <v>WED</v>
      </c>
      <c r="O2693" s="383">
        <f t="shared" si="317"/>
        <v>1</v>
      </c>
      <c r="P2693" s="392">
        <f t="shared" si="316"/>
        <v>1</v>
      </c>
    </row>
    <row r="2694" spans="3:16">
      <c r="C2694" s="403">
        <f t="shared" si="321"/>
        <v>46492</v>
      </c>
      <c r="D2694" s="56" t="str">
        <f>VLOOKUP(MOD(C2694,7),'CALENDAR INFO'!$G$5:$H$11,2)</f>
        <v>THU</v>
      </c>
      <c r="G2694" s="411">
        <f t="shared" si="318"/>
        <v>0</v>
      </c>
      <c r="H2694" s="376" t="s">
        <v>175</v>
      </c>
      <c r="I2694" s="139">
        <f>OUTPUT!C12</f>
        <v>4.3799999999999955</v>
      </c>
      <c r="J2694" s="151">
        <f>OUTPUT!F12</f>
        <v>4.394999999999996</v>
      </c>
      <c r="L2694" s="403">
        <f t="shared" si="319"/>
        <v>46492</v>
      </c>
      <c r="M2694" s="56" t="str">
        <f t="shared" si="320"/>
        <v>THU</v>
      </c>
      <c r="O2694" s="383">
        <f t="shared" si="317"/>
        <v>1</v>
      </c>
      <c r="P2694" s="392">
        <f t="shared" si="316"/>
        <v>1</v>
      </c>
    </row>
    <row r="2695" spans="3:16">
      <c r="C2695" s="403">
        <f t="shared" si="321"/>
        <v>46493</v>
      </c>
      <c r="D2695" s="56" t="str">
        <f>VLOOKUP(MOD(C2695,7),'CALENDAR INFO'!$G$5:$H$11,2)</f>
        <v>FRI</v>
      </c>
      <c r="G2695" s="411">
        <f t="shared" si="318"/>
        <v>0</v>
      </c>
      <c r="H2695" s="15" t="s">
        <v>209</v>
      </c>
      <c r="I2695" s="171">
        <f>I2681</f>
        <v>30</v>
      </c>
      <c r="J2695" s="172">
        <f>J2681</f>
        <v>30</v>
      </c>
      <c r="L2695" s="403">
        <f t="shared" si="319"/>
        <v>46493</v>
      </c>
      <c r="M2695" s="56" t="str">
        <f t="shared" si="320"/>
        <v>FRI</v>
      </c>
      <c r="O2695" s="383">
        <f t="shared" si="317"/>
        <v>3</v>
      </c>
      <c r="P2695" s="392">
        <f t="shared" si="316"/>
        <v>1</v>
      </c>
    </row>
    <row r="2696" spans="3:16">
      <c r="C2696" s="403">
        <f t="shared" si="321"/>
        <v>46494</v>
      </c>
      <c r="D2696" s="56" t="str">
        <f>VLOOKUP(MOD(C2696,7),'CALENDAR INFO'!$G$5:$H$11,2)</f>
        <v>SAT</v>
      </c>
      <c r="G2696" s="411">
        <f t="shared" si="318"/>
        <v>0</v>
      </c>
      <c r="H2696" s="15" t="s">
        <v>214</v>
      </c>
      <c r="I2696" s="137">
        <f>I2694*I2695</f>
        <v>131.39999999999986</v>
      </c>
      <c r="J2696" s="150">
        <f>J2694*J2695</f>
        <v>131.84999999999988</v>
      </c>
      <c r="L2696" s="403">
        <f t="shared" si="319"/>
        <v>46494</v>
      </c>
      <c r="M2696" s="56" t="str">
        <f t="shared" si="320"/>
        <v>SAT</v>
      </c>
      <c r="O2696" s="383">
        <f t="shared" si="317"/>
        <v>0</v>
      </c>
      <c r="P2696" s="392">
        <f t="shared" si="316"/>
        <v>1</v>
      </c>
    </row>
    <row r="2697" spans="3:16">
      <c r="C2697" s="403">
        <f t="shared" si="321"/>
        <v>46495</v>
      </c>
      <c r="D2697" s="56" t="str">
        <f>VLOOKUP(MOD(C2697,7),'CALENDAR INFO'!$G$5:$H$11,2)</f>
        <v>SUN</v>
      </c>
      <c r="G2697" s="411">
        <f t="shared" si="318"/>
        <v>0</v>
      </c>
      <c r="H2697" s="15" t="s">
        <v>215</v>
      </c>
      <c r="I2697" s="137">
        <f ca="1">SUM(INDIRECT(I2687))</f>
        <v>0</v>
      </c>
      <c r="J2697" s="150">
        <f ca="1">SUM(INDIRECT(J2687))</f>
        <v>0</v>
      </c>
      <c r="L2697" s="403">
        <f t="shared" si="319"/>
        <v>46495</v>
      </c>
      <c r="M2697" s="56" t="str">
        <f t="shared" si="320"/>
        <v>SUN</v>
      </c>
      <c r="O2697" s="383">
        <f t="shared" si="317"/>
        <v>0</v>
      </c>
      <c r="P2697" s="392">
        <f t="shared" si="316"/>
        <v>1</v>
      </c>
    </row>
    <row r="2698" spans="3:16">
      <c r="C2698" s="403">
        <f t="shared" si="321"/>
        <v>46496</v>
      </c>
      <c r="D2698" s="56" t="str">
        <f>VLOOKUP(MOD(C2698,7),'CALENDAR INFO'!$G$5:$H$11,2)</f>
        <v>MON</v>
      </c>
      <c r="G2698" s="411">
        <f t="shared" si="318"/>
        <v>0</v>
      </c>
      <c r="H2698" s="15" t="s">
        <v>231</v>
      </c>
      <c r="I2698" s="163">
        <f ca="1">SUM(INDIRECT(I2685))</f>
        <v>0</v>
      </c>
      <c r="J2698" s="164">
        <f ca="1">SUM(INDIRECT(J2685))</f>
        <v>0</v>
      </c>
      <c r="L2698" s="403">
        <f t="shared" si="319"/>
        <v>46496</v>
      </c>
      <c r="M2698" s="56" t="str">
        <f t="shared" si="320"/>
        <v>MON</v>
      </c>
      <c r="O2698" s="383">
        <f t="shared" si="317"/>
        <v>1</v>
      </c>
      <c r="P2698" s="392">
        <f t="shared" si="316"/>
        <v>1</v>
      </c>
    </row>
    <row r="2699" spans="3:16">
      <c r="C2699" s="403">
        <f t="shared" si="321"/>
        <v>46497</v>
      </c>
      <c r="D2699" s="56" t="str">
        <f>VLOOKUP(MOD(C2699,7),'CALENDAR INFO'!$G$5:$H$11,2)</f>
        <v>TUE</v>
      </c>
      <c r="G2699" s="411">
        <f t="shared" si="318"/>
        <v>0</v>
      </c>
      <c r="H2699" s="15" t="s">
        <v>232</v>
      </c>
      <c r="I2699" s="137">
        <f ca="1">I2696-I2697-I2698</f>
        <v>131.39999999999986</v>
      </c>
      <c r="J2699" s="150">
        <f ca="1">J2696-J2697-J2698</f>
        <v>131.84999999999988</v>
      </c>
      <c r="L2699" s="403">
        <f t="shared" si="319"/>
        <v>46497</v>
      </c>
      <c r="M2699" s="56" t="str">
        <f t="shared" si="320"/>
        <v>TUE</v>
      </c>
      <c r="O2699" s="383">
        <f t="shared" si="317"/>
        <v>1</v>
      </c>
      <c r="P2699" s="392">
        <f t="shared" si="316"/>
        <v>1</v>
      </c>
    </row>
    <row r="2700" spans="3:16">
      <c r="C2700" s="403">
        <f t="shared" si="321"/>
        <v>46498</v>
      </c>
      <c r="D2700" s="56" t="str">
        <f>VLOOKUP(MOD(C2700,7),'CALENDAR INFO'!$G$5:$H$11,2)</f>
        <v>WED</v>
      </c>
      <c r="G2700" s="411">
        <f t="shared" si="318"/>
        <v>0</v>
      </c>
      <c r="L2700" s="403">
        <f t="shared" si="319"/>
        <v>46498</v>
      </c>
      <c r="M2700" s="56" t="str">
        <f t="shared" si="320"/>
        <v>WED</v>
      </c>
      <c r="O2700" s="383">
        <f t="shared" si="317"/>
        <v>1</v>
      </c>
      <c r="P2700" s="392">
        <f t="shared" si="316"/>
        <v>1</v>
      </c>
    </row>
    <row r="2701" spans="3:16">
      <c r="C2701" s="403">
        <f t="shared" si="321"/>
        <v>46499</v>
      </c>
      <c r="D2701" s="56" t="str">
        <f>VLOOKUP(MOD(C2701,7),'CALENDAR INFO'!$G$5:$H$11,2)</f>
        <v>THU</v>
      </c>
      <c r="G2701" s="411">
        <f t="shared" si="318"/>
        <v>0</v>
      </c>
      <c r="H2701" s="15" t="s">
        <v>233</v>
      </c>
      <c r="I2701" s="137">
        <f ca="1">I2699</f>
        <v>131.39999999999986</v>
      </c>
      <c r="J2701" s="150">
        <f ca="1">J2699</f>
        <v>131.84999999999988</v>
      </c>
      <c r="L2701" s="403">
        <f t="shared" si="319"/>
        <v>46499</v>
      </c>
      <c r="M2701" s="56" t="str">
        <f t="shared" si="320"/>
        <v>THU</v>
      </c>
      <c r="O2701" s="383">
        <f t="shared" si="317"/>
        <v>1</v>
      </c>
      <c r="P2701" s="392">
        <f t="shared" si="316"/>
        <v>1</v>
      </c>
    </row>
    <row r="2702" spans="3:16">
      <c r="C2702" s="403">
        <f t="shared" si="321"/>
        <v>46500</v>
      </c>
      <c r="D2702" s="56" t="str">
        <f>VLOOKUP(MOD(C2702,7),'CALENDAR INFO'!$G$5:$H$11,2)</f>
        <v>FRI</v>
      </c>
      <c r="G2702" s="411">
        <f t="shared" si="318"/>
        <v>0</v>
      </c>
      <c r="H2702" s="15" t="s">
        <v>227</v>
      </c>
      <c r="I2702" s="171">
        <f ca="1">I2692</f>
        <v>30</v>
      </c>
      <c r="J2702" s="172">
        <f ca="1">J2692</f>
        <v>30</v>
      </c>
      <c r="L2702" s="403">
        <f t="shared" si="319"/>
        <v>46500</v>
      </c>
      <c r="M2702" s="56" t="str">
        <f t="shared" si="320"/>
        <v>FRI</v>
      </c>
      <c r="O2702" s="383">
        <f t="shared" si="317"/>
        <v>3</v>
      </c>
      <c r="P2702" s="392">
        <f t="shared" si="316"/>
        <v>1</v>
      </c>
    </row>
    <row r="2703" spans="3:16">
      <c r="C2703" s="403">
        <f t="shared" si="321"/>
        <v>46501</v>
      </c>
      <c r="D2703" s="56" t="str">
        <f>VLOOKUP(MOD(C2703,7),'CALENDAR INFO'!$G$5:$H$11,2)</f>
        <v>SAT</v>
      </c>
      <c r="G2703" s="411">
        <f t="shared" si="318"/>
        <v>0</v>
      </c>
      <c r="H2703" s="15" t="s">
        <v>228</v>
      </c>
      <c r="I2703" s="137">
        <f ca="1">I2701/I2702</f>
        <v>4.3799999999999955</v>
      </c>
      <c r="J2703" s="150">
        <f ca="1">J2701/J2702</f>
        <v>4.394999999999996</v>
      </c>
      <c r="L2703" s="403">
        <f t="shared" si="319"/>
        <v>46501</v>
      </c>
      <c r="M2703" s="56" t="str">
        <f t="shared" si="320"/>
        <v>SAT</v>
      </c>
      <c r="O2703" s="383">
        <f t="shared" si="317"/>
        <v>0</v>
      </c>
      <c r="P2703" s="392">
        <f t="shared" si="316"/>
        <v>1</v>
      </c>
    </row>
    <row r="2704" spans="3:16">
      <c r="C2704" s="403">
        <f t="shared" si="321"/>
        <v>46502</v>
      </c>
      <c r="D2704" s="56" t="str">
        <f>VLOOKUP(MOD(C2704,7),'CALENDAR INFO'!$G$5:$H$11,2)</f>
        <v>SUN</v>
      </c>
      <c r="G2704" s="411">
        <f t="shared" si="318"/>
        <v>0</v>
      </c>
      <c r="L2704" s="403">
        <f t="shared" si="319"/>
        <v>46502</v>
      </c>
      <c r="M2704" s="56" t="str">
        <f t="shared" si="320"/>
        <v>SUN</v>
      </c>
      <c r="O2704" s="383">
        <f t="shared" si="317"/>
        <v>0</v>
      </c>
      <c r="P2704" s="392">
        <f t="shared" si="316"/>
        <v>1</v>
      </c>
    </row>
    <row r="2705" spans="1:16">
      <c r="C2705" s="403">
        <f t="shared" si="321"/>
        <v>46503</v>
      </c>
      <c r="D2705" s="56" t="str">
        <f>VLOOKUP(MOD(C2705,7),'CALENDAR INFO'!$G$5:$H$11,2)</f>
        <v>MON</v>
      </c>
      <c r="G2705" s="411">
        <f t="shared" si="318"/>
        <v>0</v>
      </c>
      <c r="H2705" s="15" t="s">
        <v>221</v>
      </c>
      <c r="I2705" s="15" t="e">
        <f ca="1">AVERAGE(INDIRECT(I2687))</f>
        <v>#DIV/0!</v>
      </c>
      <c r="J2705" s="138" t="e">
        <f ca="1">AVERAGE(INDIRECT(J2687))</f>
        <v>#DIV/0!</v>
      </c>
      <c r="L2705" s="403">
        <f t="shared" si="319"/>
        <v>46503</v>
      </c>
      <c r="M2705" s="56" t="str">
        <f t="shared" si="320"/>
        <v>MON</v>
      </c>
      <c r="O2705" s="383">
        <f t="shared" si="317"/>
        <v>1</v>
      </c>
      <c r="P2705" s="392">
        <f t="shared" si="316"/>
        <v>1</v>
      </c>
    </row>
    <row r="2706" spans="1:16">
      <c r="C2706" s="403">
        <f t="shared" si="321"/>
        <v>46504</v>
      </c>
      <c r="D2706" s="56" t="str">
        <f>VLOOKUP(MOD(C2706,7),'CALENDAR INFO'!$G$5:$H$11,2)</f>
        <v>TUE</v>
      </c>
      <c r="G2706" s="411">
        <f t="shared" si="318"/>
        <v>0</v>
      </c>
      <c r="H2706" s="15" t="s">
        <v>222</v>
      </c>
      <c r="I2706" s="15" t="e">
        <f ca="1">100-I2705</f>
        <v>#DIV/0!</v>
      </c>
      <c r="J2706" s="138" t="e">
        <f ca="1">100-J2705</f>
        <v>#DIV/0!</v>
      </c>
      <c r="L2706" s="403">
        <f t="shared" si="319"/>
        <v>46504</v>
      </c>
      <c r="M2706" s="56" t="str">
        <f t="shared" si="320"/>
        <v>TUE</v>
      </c>
      <c r="N2706" s="116" t="s">
        <v>20</v>
      </c>
      <c r="O2706" s="383">
        <f t="shared" si="317"/>
        <v>1</v>
      </c>
      <c r="P2706" s="392">
        <f t="shared" si="316"/>
        <v>1</v>
      </c>
    </row>
    <row r="2707" spans="1:16">
      <c r="C2707" s="403">
        <f t="shared" si="321"/>
        <v>46505</v>
      </c>
      <c r="D2707" s="56" t="str">
        <f>VLOOKUP(MOD(C2707,7),'CALENDAR INFO'!$G$5:$H$11,2)</f>
        <v>WED</v>
      </c>
      <c r="G2707" s="411">
        <f t="shared" si="318"/>
        <v>0</v>
      </c>
      <c r="H2707" s="425" t="s">
        <v>97</v>
      </c>
      <c r="I2707" s="419"/>
      <c r="J2707" s="426"/>
      <c r="L2707" s="403">
        <f t="shared" si="319"/>
        <v>46505</v>
      </c>
      <c r="M2707" s="56" t="str">
        <f t="shared" si="320"/>
        <v>WED</v>
      </c>
      <c r="N2707" s="116" t="s">
        <v>20</v>
      </c>
      <c r="O2707" s="383">
        <f t="shared" ref="O2707:O2736" si="322">IF(MOD(C2707,7)&lt;2,0,IF(MOD(C2707,7)=6,3,1))</f>
        <v>1</v>
      </c>
      <c r="P2707" s="392">
        <f t="shared" ref="P2707:P2770" si="323">1+(O2707/360)*(MAX(F2707,B2707)/100)</f>
        <v>1</v>
      </c>
    </row>
    <row r="2708" spans="1:16">
      <c r="C2708" s="403">
        <f t="shared" si="321"/>
        <v>46506</v>
      </c>
      <c r="D2708" s="56" t="str">
        <f>VLOOKUP(MOD(C2708,7),'CALENDAR INFO'!$G$5:$H$11,2)</f>
        <v>THU</v>
      </c>
      <c r="G2708" s="411">
        <f t="shared" si="318"/>
        <v>0</v>
      </c>
      <c r="L2708" s="403">
        <f t="shared" si="319"/>
        <v>46506</v>
      </c>
      <c r="M2708" s="56" t="str">
        <f t="shared" si="320"/>
        <v>THU</v>
      </c>
      <c r="O2708" s="383">
        <f t="shared" si="322"/>
        <v>1</v>
      </c>
      <c r="P2708" s="392">
        <f t="shared" si="323"/>
        <v>1</v>
      </c>
    </row>
    <row r="2709" spans="1:16">
      <c r="C2709" s="403">
        <f t="shared" si="321"/>
        <v>46507</v>
      </c>
      <c r="D2709" s="56" t="str">
        <f>VLOOKUP(MOD(C2709,7),'CALENDAR INFO'!$G$5:$H$11,2)</f>
        <v>FRI</v>
      </c>
      <c r="G2709" s="411">
        <f t="shared" si="318"/>
        <v>0</v>
      </c>
      <c r="L2709" s="403">
        <f t="shared" si="319"/>
        <v>46507</v>
      </c>
      <c r="M2709" s="56" t="str">
        <f t="shared" si="320"/>
        <v>FRI</v>
      </c>
      <c r="O2709" s="383">
        <f t="shared" si="322"/>
        <v>3</v>
      </c>
      <c r="P2709" s="392">
        <f t="shared" si="323"/>
        <v>1</v>
      </c>
    </row>
    <row r="2710" spans="1:16">
      <c r="A2710" s="39">
        <f ca="1">I$2728</f>
        <v>4.4650000000000034</v>
      </c>
      <c r="B2710" s="41">
        <f ca="1">J$2728</f>
        <v>4.4800000000000031</v>
      </c>
      <c r="C2710" s="403">
        <f t="shared" si="321"/>
        <v>46508</v>
      </c>
      <c r="D2710" s="56" t="str">
        <f>VLOOKUP(MOD(C2710,7),'CALENDAR INFO'!$G$5:$H$11,2)</f>
        <v>SAT</v>
      </c>
      <c r="G2710" s="411">
        <f t="shared" si="318"/>
        <v>0</v>
      </c>
      <c r="H2710" s="15" t="s">
        <v>149</v>
      </c>
      <c r="I2710" s="15">
        <f>ROW(I2710)</f>
        <v>2710</v>
      </c>
      <c r="J2710" s="138">
        <f>I2710</f>
        <v>2710</v>
      </c>
      <c r="L2710" s="403">
        <f t="shared" si="319"/>
        <v>46508</v>
      </c>
      <c r="M2710" s="56" t="str">
        <f t="shared" si="320"/>
        <v>SAT</v>
      </c>
      <c r="O2710" s="383">
        <f t="shared" si="322"/>
        <v>0</v>
      </c>
      <c r="P2710" s="392">
        <f t="shared" ca="1" si="323"/>
        <v>1</v>
      </c>
    </row>
    <row r="2711" spans="1:16">
      <c r="A2711" s="39">
        <f t="shared" ref="A2711:A2740" ca="1" si="324">I$2728</f>
        <v>4.4650000000000034</v>
      </c>
      <c r="B2711" s="41">
        <f t="shared" ref="B2711:B2740" ca="1" si="325">J$2728</f>
        <v>4.4800000000000031</v>
      </c>
      <c r="C2711" s="403">
        <f t="shared" si="321"/>
        <v>46509</v>
      </c>
      <c r="D2711" s="56" t="str">
        <f>VLOOKUP(MOD(C2711,7),'CALENDAR INFO'!$G$5:$H$11,2)</f>
        <v>SUN</v>
      </c>
      <c r="G2711" s="411">
        <f t="shared" si="318"/>
        <v>0</v>
      </c>
      <c r="H2711" s="376" t="s">
        <v>210</v>
      </c>
      <c r="I2711" s="171">
        <f>VLOOKUP(MONTH($C2710),'CALENDAR INFO'!$J$5:$K$16,2)</f>
        <v>31</v>
      </c>
      <c r="J2711" s="172">
        <f>I2711</f>
        <v>31</v>
      </c>
      <c r="L2711" s="403">
        <f t="shared" si="319"/>
        <v>46509</v>
      </c>
      <c r="M2711" s="56" t="str">
        <f t="shared" si="320"/>
        <v>SUN</v>
      </c>
      <c r="O2711" s="383">
        <f t="shared" si="322"/>
        <v>0</v>
      </c>
      <c r="P2711" s="392">
        <f t="shared" ca="1" si="323"/>
        <v>1</v>
      </c>
    </row>
    <row r="2712" spans="1:16">
      <c r="A2712" s="39">
        <f t="shared" ca="1" si="324"/>
        <v>4.4650000000000034</v>
      </c>
      <c r="B2712" s="41">
        <f t="shared" ca="1" si="325"/>
        <v>4.4800000000000031</v>
      </c>
      <c r="C2712" s="403">
        <f t="shared" si="321"/>
        <v>46510</v>
      </c>
      <c r="D2712" s="56" t="str">
        <f>VLOOKUP(MOD(C2712,7),'CALENDAR INFO'!$G$5:$H$11,2)</f>
        <v>MON</v>
      </c>
      <c r="G2712" s="411">
        <f t="shared" si="318"/>
        <v>0</v>
      </c>
      <c r="H2712" s="376" t="s">
        <v>211</v>
      </c>
      <c r="I2712" s="15">
        <f>I2711+I2710-1</f>
        <v>2740</v>
      </c>
      <c r="J2712" s="138">
        <f>I2712</f>
        <v>2740</v>
      </c>
      <c r="L2712" s="403">
        <f t="shared" si="319"/>
        <v>46510</v>
      </c>
      <c r="M2712" s="56" t="str">
        <f t="shared" si="320"/>
        <v>MON</v>
      </c>
      <c r="O2712" s="383">
        <f t="shared" si="322"/>
        <v>1</v>
      </c>
      <c r="P2712" s="392">
        <f t="shared" ca="1" si="323"/>
        <v>1.0001244444444444</v>
      </c>
    </row>
    <row r="2713" spans="1:16">
      <c r="A2713" s="39">
        <f t="shared" ca="1" si="324"/>
        <v>4.4650000000000034</v>
      </c>
      <c r="B2713" s="41">
        <f t="shared" ca="1" si="325"/>
        <v>4.4800000000000031</v>
      </c>
      <c r="C2713" s="403">
        <f t="shared" si="321"/>
        <v>46511</v>
      </c>
      <c r="D2713" s="56" t="str">
        <f>VLOOKUP(MOD(C2713,7),'CALENDAR INFO'!$G$5:$H$11,2)</f>
        <v>TUE</v>
      </c>
      <c r="G2713" s="411">
        <f t="shared" si="318"/>
        <v>0</v>
      </c>
      <c r="L2713" s="403">
        <f t="shared" si="319"/>
        <v>46511</v>
      </c>
      <c r="M2713" s="56" t="str">
        <f t="shared" si="320"/>
        <v>TUE</v>
      </c>
      <c r="O2713" s="383">
        <f t="shared" si="322"/>
        <v>1</v>
      </c>
      <c r="P2713" s="392">
        <f t="shared" ca="1" si="323"/>
        <v>1.0001244444444444</v>
      </c>
    </row>
    <row r="2714" spans="1:16">
      <c r="A2714" s="39">
        <f t="shared" ca="1" si="324"/>
        <v>4.4650000000000034</v>
      </c>
      <c r="B2714" s="41">
        <f t="shared" ca="1" si="325"/>
        <v>4.4800000000000031</v>
      </c>
      <c r="C2714" s="403">
        <f t="shared" si="321"/>
        <v>46512</v>
      </c>
      <c r="D2714" s="56" t="str">
        <f>VLOOKUP(MOD(C2714,7),'CALENDAR INFO'!$G$5:$H$11,2)</f>
        <v>WED</v>
      </c>
      <c r="G2714" s="411">
        <f t="shared" si="318"/>
        <v>0</v>
      </c>
      <c r="H2714" s="15" t="s">
        <v>150</v>
      </c>
      <c r="I2714" s="137" t="str">
        <f>_xlfn.CONCAT(ADDRESS(I2710,5),":",ADDRESS(I2712,5))</f>
        <v>$E$2710:$E$2740</v>
      </c>
      <c r="J2714" s="150" t="str">
        <f>_xlfn.CONCAT(ADDRESS(J2710,6),":",ADDRESS(J2712,6))</f>
        <v>$F$2710:$F$2740</v>
      </c>
      <c r="L2714" s="403">
        <f t="shared" si="319"/>
        <v>46512</v>
      </c>
      <c r="M2714" s="56" t="str">
        <f t="shared" si="320"/>
        <v>WED</v>
      </c>
      <c r="O2714" s="383">
        <f t="shared" si="322"/>
        <v>1</v>
      </c>
      <c r="P2714" s="392">
        <f t="shared" ca="1" si="323"/>
        <v>1.0001244444444444</v>
      </c>
    </row>
    <row r="2715" spans="1:16">
      <c r="A2715" s="39">
        <f t="shared" ca="1" si="324"/>
        <v>4.4650000000000034</v>
      </c>
      <c r="B2715" s="41">
        <f t="shared" ca="1" si="325"/>
        <v>4.4800000000000031</v>
      </c>
      <c r="C2715" s="403">
        <f t="shared" si="321"/>
        <v>46513</v>
      </c>
      <c r="D2715" s="56" t="str">
        <f>VLOOKUP(MOD(C2715,7),'CALENDAR INFO'!$G$5:$H$11,2)</f>
        <v>THU</v>
      </c>
      <c r="G2715" s="411">
        <f t="shared" si="318"/>
        <v>0</v>
      </c>
      <c r="I2715" s="171"/>
      <c r="J2715" s="172"/>
      <c r="L2715" s="403">
        <f t="shared" si="319"/>
        <v>46513</v>
      </c>
      <c r="M2715" s="56" t="str">
        <f t="shared" si="320"/>
        <v>THU</v>
      </c>
      <c r="O2715" s="383">
        <f t="shared" si="322"/>
        <v>1</v>
      </c>
      <c r="P2715" s="392">
        <f t="shared" ca="1" si="323"/>
        <v>1.0001244444444444</v>
      </c>
    </row>
    <row r="2716" spans="1:16">
      <c r="A2716" s="39">
        <f t="shared" ca="1" si="324"/>
        <v>4.4650000000000034</v>
      </c>
      <c r="B2716" s="41">
        <f t="shared" ca="1" si="325"/>
        <v>4.4800000000000031</v>
      </c>
      <c r="C2716" s="403">
        <f t="shared" si="321"/>
        <v>46514</v>
      </c>
      <c r="D2716" s="56" t="str">
        <f>VLOOKUP(MOD(C2716,7),'CALENDAR INFO'!$G$5:$H$11,2)</f>
        <v>FRI</v>
      </c>
      <c r="G2716" s="411">
        <f t="shared" si="318"/>
        <v>0</v>
      </c>
      <c r="H2716" s="376" t="s">
        <v>117</v>
      </c>
      <c r="I2716" s="240">
        <f>I2711</f>
        <v>31</v>
      </c>
      <c r="J2716" s="157">
        <f>J2711</f>
        <v>31</v>
      </c>
      <c r="L2716" s="403">
        <f t="shared" si="319"/>
        <v>46514</v>
      </c>
      <c r="M2716" s="56" t="str">
        <f t="shared" si="320"/>
        <v>FRI</v>
      </c>
      <c r="O2716" s="383">
        <f t="shared" si="322"/>
        <v>3</v>
      </c>
      <c r="P2716" s="392">
        <f t="shared" ca="1" si="323"/>
        <v>1.0003733333333333</v>
      </c>
    </row>
    <row r="2717" spans="1:16">
      <c r="A2717" s="39">
        <f t="shared" ca="1" si="324"/>
        <v>4.4650000000000034</v>
      </c>
      <c r="B2717" s="41">
        <f t="shared" ca="1" si="325"/>
        <v>4.4800000000000031</v>
      </c>
      <c r="C2717" s="403">
        <f t="shared" si="321"/>
        <v>46515</v>
      </c>
      <c r="D2717" s="56" t="str">
        <f>VLOOKUP(MOD(C2717,7),'CALENDAR INFO'!$G$5:$H$11,2)</f>
        <v>SAT</v>
      </c>
      <c r="G2717" s="411">
        <f t="shared" si="318"/>
        <v>0</v>
      </c>
      <c r="H2717" s="15" t="s">
        <v>213</v>
      </c>
      <c r="I2717" s="241">
        <f ca="1">COUNTA(INDIRECT(I2714))</f>
        <v>0</v>
      </c>
      <c r="J2717" s="243">
        <f ca="1">COUNTA(INDIRECT(J2714))</f>
        <v>0</v>
      </c>
      <c r="L2717" s="403">
        <f t="shared" si="319"/>
        <v>46515</v>
      </c>
      <c r="M2717" s="56" t="str">
        <f t="shared" si="320"/>
        <v>SAT</v>
      </c>
      <c r="O2717" s="383">
        <f t="shared" si="322"/>
        <v>0</v>
      </c>
      <c r="P2717" s="392">
        <f t="shared" ca="1" si="323"/>
        <v>1</v>
      </c>
    </row>
    <row r="2718" spans="1:16">
      <c r="A2718" s="39">
        <f t="shared" ca="1" si="324"/>
        <v>4.4650000000000034</v>
      </c>
      <c r="B2718" s="41">
        <f t="shared" ca="1" si="325"/>
        <v>4.4800000000000031</v>
      </c>
      <c r="C2718" s="403">
        <f t="shared" si="321"/>
        <v>46516</v>
      </c>
      <c r="D2718" s="56" t="str">
        <f>VLOOKUP(MOD(C2718,7),'CALENDAR INFO'!$G$5:$H$11,2)</f>
        <v>SUN</v>
      </c>
      <c r="G2718" s="411">
        <f t="shared" si="318"/>
        <v>0</v>
      </c>
      <c r="H2718" s="15" t="s">
        <v>212</v>
      </c>
      <c r="I2718" s="240">
        <f ca="1">I2716-I2717</f>
        <v>31</v>
      </c>
      <c r="J2718" s="157">
        <f ca="1">J2716-J2717</f>
        <v>31</v>
      </c>
      <c r="L2718" s="403">
        <f t="shared" si="319"/>
        <v>46516</v>
      </c>
      <c r="M2718" s="56" t="str">
        <f t="shared" si="320"/>
        <v>SUN</v>
      </c>
      <c r="O2718" s="383">
        <f t="shared" si="322"/>
        <v>0</v>
      </c>
      <c r="P2718" s="392">
        <f t="shared" ca="1" si="323"/>
        <v>1</v>
      </c>
    </row>
    <row r="2719" spans="1:16">
      <c r="A2719" s="39">
        <f t="shared" ca="1" si="324"/>
        <v>4.4650000000000034</v>
      </c>
      <c r="B2719" s="41">
        <f t="shared" ca="1" si="325"/>
        <v>4.4800000000000031</v>
      </c>
      <c r="C2719" s="403">
        <f t="shared" si="321"/>
        <v>46517</v>
      </c>
      <c r="D2719" s="56" t="str">
        <f>VLOOKUP(MOD(C2719,7),'CALENDAR INFO'!$G$5:$H$11,2)</f>
        <v>MON</v>
      </c>
      <c r="G2719" s="411">
        <f t="shared" si="318"/>
        <v>0</v>
      </c>
      <c r="L2719" s="403">
        <f t="shared" si="319"/>
        <v>46517</v>
      </c>
      <c r="M2719" s="56" t="str">
        <f t="shared" si="320"/>
        <v>MON</v>
      </c>
      <c r="O2719" s="383">
        <f t="shared" si="322"/>
        <v>1</v>
      </c>
      <c r="P2719" s="392">
        <f t="shared" ca="1" si="323"/>
        <v>1.0001244444444444</v>
      </c>
    </row>
    <row r="2720" spans="1:16">
      <c r="A2720" s="39">
        <f t="shared" ca="1" si="324"/>
        <v>4.4650000000000034</v>
      </c>
      <c r="B2720" s="41">
        <f t="shared" ca="1" si="325"/>
        <v>4.4800000000000031</v>
      </c>
      <c r="C2720" s="403">
        <f t="shared" si="321"/>
        <v>46518</v>
      </c>
      <c r="D2720" s="56" t="str">
        <f>VLOOKUP(MOD(C2720,7),'CALENDAR INFO'!$G$5:$H$11,2)</f>
        <v>TUE</v>
      </c>
      <c r="G2720" s="411">
        <f t="shared" si="318"/>
        <v>0</v>
      </c>
      <c r="H2720" s="15" t="s">
        <v>175</v>
      </c>
      <c r="I2720" s="139">
        <f>OUTPUT!C13</f>
        <v>4.4650000000000034</v>
      </c>
      <c r="J2720" s="151">
        <f>OUTPUT!F13</f>
        <v>4.480000000000004</v>
      </c>
      <c r="L2720" s="403">
        <f t="shared" si="319"/>
        <v>46518</v>
      </c>
      <c r="M2720" s="56" t="str">
        <f t="shared" si="320"/>
        <v>TUE</v>
      </c>
      <c r="O2720" s="383">
        <f t="shared" si="322"/>
        <v>1</v>
      </c>
      <c r="P2720" s="392">
        <f t="shared" ca="1" si="323"/>
        <v>1.0001244444444444</v>
      </c>
    </row>
    <row r="2721" spans="1:16">
      <c r="A2721" s="39">
        <f t="shared" ca="1" si="324"/>
        <v>4.4650000000000034</v>
      </c>
      <c r="B2721" s="41">
        <f t="shared" ca="1" si="325"/>
        <v>4.4800000000000031</v>
      </c>
      <c r="C2721" s="403">
        <f t="shared" si="321"/>
        <v>46519</v>
      </c>
      <c r="D2721" s="56" t="str">
        <f>VLOOKUP(MOD(C2721,7),'CALENDAR INFO'!$G$5:$H$11,2)</f>
        <v>WED</v>
      </c>
      <c r="G2721" s="411">
        <f t="shared" si="318"/>
        <v>0</v>
      </c>
      <c r="H2721" s="15" t="s">
        <v>209</v>
      </c>
      <c r="I2721" s="171">
        <f>I2711</f>
        <v>31</v>
      </c>
      <c r="J2721" s="172">
        <f>J2711</f>
        <v>31</v>
      </c>
      <c r="L2721" s="403">
        <f t="shared" si="319"/>
        <v>46519</v>
      </c>
      <c r="M2721" s="56" t="str">
        <f t="shared" si="320"/>
        <v>WED</v>
      </c>
      <c r="O2721" s="383">
        <f t="shared" si="322"/>
        <v>1</v>
      </c>
      <c r="P2721" s="392">
        <f t="shared" ca="1" si="323"/>
        <v>1.0001244444444444</v>
      </c>
    </row>
    <row r="2722" spans="1:16">
      <c r="A2722" s="39">
        <f t="shared" ca="1" si="324"/>
        <v>4.4650000000000034</v>
      </c>
      <c r="B2722" s="41">
        <f t="shared" ca="1" si="325"/>
        <v>4.4800000000000031</v>
      </c>
      <c r="C2722" s="403">
        <f t="shared" si="321"/>
        <v>46520</v>
      </c>
      <c r="D2722" s="56" t="str">
        <f>VLOOKUP(MOD(C2722,7),'CALENDAR INFO'!$G$5:$H$11,2)</f>
        <v>THU</v>
      </c>
      <c r="G2722" s="411">
        <f t="shared" si="318"/>
        <v>0</v>
      </c>
      <c r="H2722" s="15" t="s">
        <v>214</v>
      </c>
      <c r="I2722" s="137">
        <f>I2720*I2721</f>
        <v>138.41500000000011</v>
      </c>
      <c r="J2722" s="150">
        <f>J2720*J2721</f>
        <v>138.88000000000011</v>
      </c>
      <c r="L2722" s="403">
        <f t="shared" si="319"/>
        <v>46520</v>
      </c>
      <c r="M2722" s="56" t="str">
        <f t="shared" si="320"/>
        <v>THU</v>
      </c>
      <c r="O2722" s="383">
        <f t="shared" si="322"/>
        <v>1</v>
      </c>
      <c r="P2722" s="392">
        <f t="shared" ca="1" si="323"/>
        <v>1.0001244444444444</v>
      </c>
    </row>
    <row r="2723" spans="1:16">
      <c r="A2723" s="39">
        <f t="shared" ca="1" si="324"/>
        <v>4.4650000000000034</v>
      </c>
      <c r="B2723" s="41">
        <f t="shared" ca="1" si="325"/>
        <v>4.4800000000000031</v>
      </c>
      <c r="C2723" s="403">
        <f t="shared" si="321"/>
        <v>46521</v>
      </c>
      <c r="D2723" s="56" t="str">
        <f>VLOOKUP(MOD(C2723,7),'CALENDAR INFO'!$G$5:$H$11,2)</f>
        <v>FRI</v>
      </c>
      <c r="G2723" s="411">
        <f t="shared" si="318"/>
        <v>0</v>
      </c>
      <c r="H2723" s="15" t="s">
        <v>215</v>
      </c>
      <c r="I2723" s="393">
        <f ca="1">SUM(INDIRECT(I2714))</f>
        <v>0</v>
      </c>
      <c r="J2723" s="394">
        <f ca="1">SUM(INDIRECT(J2714))</f>
        <v>0</v>
      </c>
      <c r="L2723" s="403">
        <f t="shared" si="319"/>
        <v>46521</v>
      </c>
      <c r="M2723" s="56" t="str">
        <f t="shared" si="320"/>
        <v>FRI</v>
      </c>
      <c r="O2723" s="383">
        <f t="shared" si="322"/>
        <v>3</v>
      </c>
      <c r="P2723" s="392">
        <f t="shared" ca="1" si="323"/>
        <v>1.0003733333333333</v>
      </c>
    </row>
    <row r="2724" spans="1:16">
      <c r="A2724" s="39">
        <f t="shared" ca="1" si="324"/>
        <v>4.4650000000000034</v>
      </c>
      <c r="B2724" s="41">
        <f t="shared" ca="1" si="325"/>
        <v>4.4800000000000031</v>
      </c>
      <c r="C2724" s="403">
        <f t="shared" si="321"/>
        <v>46522</v>
      </c>
      <c r="D2724" s="56" t="str">
        <f>VLOOKUP(MOD(C2724,7),'CALENDAR INFO'!$G$5:$H$11,2)</f>
        <v>SAT</v>
      </c>
      <c r="G2724" s="411">
        <f t="shared" si="318"/>
        <v>0</v>
      </c>
      <c r="H2724" s="15" t="s">
        <v>216</v>
      </c>
      <c r="I2724" s="137">
        <f ca="1">I2722-I2723</f>
        <v>138.41500000000011</v>
      </c>
      <c r="J2724" s="150">
        <f ca="1">J2722-J2723</f>
        <v>138.88000000000011</v>
      </c>
      <c r="L2724" s="403">
        <f t="shared" si="319"/>
        <v>46522</v>
      </c>
      <c r="M2724" s="56" t="str">
        <f t="shared" si="320"/>
        <v>SAT</v>
      </c>
      <c r="O2724" s="383">
        <f t="shared" si="322"/>
        <v>0</v>
      </c>
      <c r="P2724" s="392">
        <f t="shared" ca="1" si="323"/>
        <v>1</v>
      </c>
    </row>
    <row r="2725" spans="1:16">
      <c r="A2725" s="39">
        <f t="shared" ca="1" si="324"/>
        <v>4.4650000000000034</v>
      </c>
      <c r="B2725" s="41">
        <f t="shared" ca="1" si="325"/>
        <v>4.4800000000000031</v>
      </c>
      <c r="C2725" s="403">
        <f t="shared" si="321"/>
        <v>46523</v>
      </c>
      <c r="D2725" s="56" t="str">
        <f>VLOOKUP(MOD(C2725,7),'CALENDAR INFO'!$G$5:$H$11,2)</f>
        <v>SUN</v>
      </c>
      <c r="G2725" s="411">
        <f t="shared" si="318"/>
        <v>0</v>
      </c>
      <c r="L2725" s="403">
        <f t="shared" si="319"/>
        <v>46523</v>
      </c>
      <c r="M2725" s="56" t="str">
        <f t="shared" si="320"/>
        <v>SUN</v>
      </c>
      <c r="O2725" s="383">
        <f t="shared" si="322"/>
        <v>0</v>
      </c>
      <c r="P2725" s="392">
        <f t="shared" ca="1" si="323"/>
        <v>1</v>
      </c>
    </row>
    <row r="2726" spans="1:16">
      <c r="A2726" s="39">
        <f t="shared" ca="1" si="324"/>
        <v>4.4650000000000034</v>
      </c>
      <c r="B2726" s="41">
        <f t="shared" ca="1" si="325"/>
        <v>4.4800000000000031</v>
      </c>
      <c r="C2726" s="403">
        <f t="shared" si="321"/>
        <v>46524</v>
      </c>
      <c r="D2726" s="56" t="str">
        <f>VLOOKUP(MOD(C2726,7),'CALENDAR INFO'!$G$5:$H$11,2)</f>
        <v>MON</v>
      </c>
      <c r="G2726" s="411">
        <f t="shared" si="318"/>
        <v>0</v>
      </c>
      <c r="H2726" s="15" t="s">
        <v>218</v>
      </c>
      <c r="I2726" s="137">
        <f ca="1">I2724</f>
        <v>138.41500000000011</v>
      </c>
      <c r="J2726" s="150">
        <f ca="1">J2724</f>
        <v>138.88000000000011</v>
      </c>
      <c r="L2726" s="403">
        <f t="shared" si="319"/>
        <v>46524</v>
      </c>
      <c r="M2726" s="56" t="str">
        <f t="shared" si="320"/>
        <v>MON</v>
      </c>
      <c r="O2726" s="383">
        <f t="shared" si="322"/>
        <v>1</v>
      </c>
      <c r="P2726" s="392">
        <f t="shared" ca="1" si="323"/>
        <v>1.0001244444444444</v>
      </c>
    </row>
    <row r="2727" spans="1:16">
      <c r="A2727" s="39">
        <f t="shared" ca="1" si="324"/>
        <v>4.4650000000000034</v>
      </c>
      <c r="B2727" s="41">
        <f t="shared" ca="1" si="325"/>
        <v>4.4800000000000031</v>
      </c>
      <c r="C2727" s="403">
        <f t="shared" si="321"/>
        <v>46525</v>
      </c>
      <c r="D2727" s="56" t="str">
        <f>VLOOKUP(MOD(C2727,7),'CALENDAR INFO'!$G$5:$H$11,2)</f>
        <v>TUE</v>
      </c>
      <c r="G2727" s="411">
        <f t="shared" si="318"/>
        <v>0</v>
      </c>
      <c r="H2727" s="15" t="s">
        <v>219</v>
      </c>
      <c r="I2727" s="171">
        <f ca="1">I2718</f>
        <v>31</v>
      </c>
      <c r="J2727" s="172">
        <f ca="1">J2718</f>
        <v>31</v>
      </c>
      <c r="L2727" s="403">
        <f t="shared" si="319"/>
        <v>46525</v>
      </c>
      <c r="M2727" s="56" t="str">
        <f t="shared" si="320"/>
        <v>TUE</v>
      </c>
      <c r="O2727" s="383">
        <f t="shared" si="322"/>
        <v>1</v>
      </c>
      <c r="P2727" s="392">
        <f t="shared" ca="1" si="323"/>
        <v>1.0001244444444444</v>
      </c>
    </row>
    <row r="2728" spans="1:16">
      <c r="A2728" s="39">
        <f t="shared" ca="1" si="324"/>
        <v>4.4650000000000034</v>
      </c>
      <c r="B2728" s="41">
        <f t="shared" ca="1" si="325"/>
        <v>4.4800000000000031</v>
      </c>
      <c r="C2728" s="403">
        <f t="shared" si="321"/>
        <v>46526</v>
      </c>
      <c r="D2728" s="56" t="str">
        <f>VLOOKUP(MOD(C2728,7),'CALENDAR INFO'!$G$5:$H$11,2)</f>
        <v>WED</v>
      </c>
      <c r="G2728" s="411">
        <f t="shared" si="318"/>
        <v>0</v>
      </c>
      <c r="H2728" s="15" t="s">
        <v>220</v>
      </c>
      <c r="I2728" s="141">
        <f ca="1">I2726/I2727</f>
        <v>4.4650000000000034</v>
      </c>
      <c r="J2728" s="158">
        <f ca="1">J2726/J2727</f>
        <v>4.4800000000000031</v>
      </c>
      <c r="L2728" s="403">
        <f t="shared" si="319"/>
        <v>46526</v>
      </c>
      <c r="M2728" s="56" t="str">
        <f t="shared" si="320"/>
        <v>WED</v>
      </c>
      <c r="O2728" s="383">
        <f t="shared" si="322"/>
        <v>1</v>
      </c>
      <c r="P2728" s="392">
        <f t="shared" ca="1" si="323"/>
        <v>1.0001244444444444</v>
      </c>
    </row>
    <row r="2729" spans="1:16">
      <c r="A2729" s="39">
        <f t="shared" ca="1" si="324"/>
        <v>4.4650000000000034</v>
      </c>
      <c r="B2729" s="41">
        <f t="shared" ca="1" si="325"/>
        <v>4.4800000000000031</v>
      </c>
      <c r="C2729" s="403">
        <f t="shared" si="321"/>
        <v>46527</v>
      </c>
      <c r="D2729" s="56" t="str">
        <f>VLOOKUP(MOD(C2729,7),'CALENDAR INFO'!$G$5:$H$11,2)</f>
        <v>THU</v>
      </c>
      <c r="G2729" s="411">
        <f t="shared" si="318"/>
        <v>0</v>
      </c>
      <c r="L2729" s="403">
        <f t="shared" si="319"/>
        <v>46527</v>
      </c>
      <c r="M2729" s="56" t="str">
        <f t="shared" si="320"/>
        <v>THU</v>
      </c>
      <c r="O2729" s="383">
        <f t="shared" si="322"/>
        <v>1</v>
      </c>
      <c r="P2729" s="392">
        <f t="shared" ca="1" si="323"/>
        <v>1.0001244444444444</v>
      </c>
    </row>
    <row r="2730" spans="1:16">
      <c r="A2730" s="39">
        <f t="shared" ca="1" si="324"/>
        <v>4.4650000000000034</v>
      </c>
      <c r="B2730" s="41">
        <f t="shared" ca="1" si="325"/>
        <v>4.4800000000000031</v>
      </c>
      <c r="C2730" s="403">
        <f t="shared" si="321"/>
        <v>46528</v>
      </c>
      <c r="D2730" s="56" t="str">
        <f>VLOOKUP(MOD(C2730,7),'CALENDAR INFO'!$G$5:$H$11,2)</f>
        <v>FRI</v>
      </c>
      <c r="G2730" s="411">
        <f t="shared" si="318"/>
        <v>0</v>
      </c>
      <c r="H2730" s="376" t="s">
        <v>221</v>
      </c>
      <c r="I2730" s="147" t="e">
        <f ca="1">AVERAGE(INDIRECT(I2714))</f>
        <v>#DIV/0!</v>
      </c>
      <c r="J2730" s="326" t="e">
        <f ca="1">AVERAGE(INDIRECT(J2714))</f>
        <v>#DIV/0!</v>
      </c>
      <c r="L2730" s="403">
        <f t="shared" si="319"/>
        <v>46528</v>
      </c>
      <c r="M2730" s="56" t="str">
        <f t="shared" si="320"/>
        <v>FRI</v>
      </c>
      <c r="O2730" s="383">
        <f t="shared" si="322"/>
        <v>3</v>
      </c>
      <c r="P2730" s="392">
        <f t="shared" ca="1" si="323"/>
        <v>1.0003733333333333</v>
      </c>
    </row>
    <row r="2731" spans="1:16">
      <c r="A2731" s="39">
        <f t="shared" ca="1" si="324"/>
        <v>4.4650000000000034</v>
      </c>
      <c r="B2731" s="41">
        <f t="shared" ca="1" si="325"/>
        <v>4.4800000000000031</v>
      </c>
      <c r="C2731" s="403">
        <f t="shared" si="321"/>
        <v>46529</v>
      </c>
      <c r="D2731" s="56" t="str">
        <f>VLOOKUP(MOD(C2731,7),'CALENDAR INFO'!$G$5:$H$11,2)</f>
        <v>SAT</v>
      </c>
      <c r="G2731" s="411">
        <f t="shared" si="318"/>
        <v>0</v>
      </c>
      <c r="H2731" s="15" t="s">
        <v>222</v>
      </c>
      <c r="I2731" s="147" t="e">
        <f ca="1">100-I2730</f>
        <v>#DIV/0!</v>
      </c>
      <c r="J2731" s="326" t="e">
        <f ca="1">100-J2730</f>
        <v>#DIV/0!</v>
      </c>
      <c r="L2731" s="403">
        <f t="shared" si="319"/>
        <v>46529</v>
      </c>
      <c r="M2731" s="56" t="str">
        <f t="shared" si="320"/>
        <v>SAT</v>
      </c>
      <c r="O2731" s="383">
        <f t="shared" si="322"/>
        <v>0</v>
      </c>
      <c r="P2731" s="392">
        <f t="shared" ca="1" si="323"/>
        <v>1</v>
      </c>
    </row>
    <row r="2732" spans="1:16">
      <c r="A2732" s="39">
        <f t="shared" ca="1" si="324"/>
        <v>4.4650000000000034</v>
      </c>
      <c r="B2732" s="41">
        <f t="shared" ca="1" si="325"/>
        <v>4.4800000000000031</v>
      </c>
      <c r="C2732" s="403">
        <f t="shared" si="321"/>
        <v>46530</v>
      </c>
      <c r="D2732" s="56" t="str">
        <f>VLOOKUP(MOD(C2732,7),'CALENDAR INFO'!$G$5:$H$11,2)</f>
        <v>SUN</v>
      </c>
      <c r="G2732" s="411">
        <f t="shared" si="318"/>
        <v>0</v>
      </c>
      <c r="H2732" s="425" t="s">
        <v>97</v>
      </c>
      <c r="I2732" s="419"/>
      <c r="J2732" s="426"/>
      <c r="L2732" s="403">
        <f t="shared" si="319"/>
        <v>46530</v>
      </c>
      <c r="M2732" s="56" t="str">
        <f t="shared" si="320"/>
        <v>SUN</v>
      </c>
      <c r="O2732" s="383">
        <f t="shared" si="322"/>
        <v>0</v>
      </c>
      <c r="P2732" s="392">
        <f t="shared" ca="1" si="323"/>
        <v>1</v>
      </c>
    </row>
    <row r="2733" spans="1:16">
      <c r="A2733" s="39">
        <f t="shared" ca="1" si="324"/>
        <v>4.4650000000000034</v>
      </c>
      <c r="B2733" s="41">
        <f t="shared" ca="1" si="325"/>
        <v>4.4800000000000031</v>
      </c>
      <c r="C2733" s="403">
        <f t="shared" si="321"/>
        <v>46531</v>
      </c>
      <c r="D2733" s="56" t="str">
        <f>VLOOKUP(MOD(C2733,7),'CALENDAR INFO'!$G$5:$H$11,2)</f>
        <v>MON</v>
      </c>
      <c r="G2733" s="411">
        <f t="shared" si="318"/>
        <v>0</v>
      </c>
      <c r="L2733" s="403">
        <f t="shared" si="319"/>
        <v>46531</v>
      </c>
      <c r="M2733" s="56" t="str">
        <f t="shared" si="320"/>
        <v>MON</v>
      </c>
      <c r="O2733" s="383">
        <f t="shared" si="322"/>
        <v>1</v>
      </c>
      <c r="P2733" s="392">
        <f t="shared" ca="1" si="323"/>
        <v>1.0001244444444444</v>
      </c>
    </row>
    <row r="2734" spans="1:16">
      <c r="A2734" s="39">
        <f t="shared" ca="1" si="324"/>
        <v>4.4650000000000034</v>
      </c>
      <c r="B2734" s="41">
        <f t="shared" ca="1" si="325"/>
        <v>4.4800000000000031</v>
      </c>
      <c r="C2734" s="403">
        <f t="shared" si="321"/>
        <v>46532</v>
      </c>
      <c r="D2734" s="56" t="str">
        <f>VLOOKUP(MOD(C2734,7),'CALENDAR INFO'!$G$5:$H$11,2)</f>
        <v>TUE</v>
      </c>
      <c r="G2734" s="411">
        <f t="shared" si="318"/>
        <v>0</v>
      </c>
      <c r="L2734" s="403">
        <f t="shared" si="319"/>
        <v>46532</v>
      </c>
      <c r="M2734" s="56" t="str">
        <f t="shared" si="320"/>
        <v>TUE</v>
      </c>
      <c r="O2734" s="383">
        <f t="shared" si="322"/>
        <v>1</v>
      </c>
      <c r="P2734" s="392">
        <f t="shared" ca="1" si="323"/>
        <v>1.0001244444444444</v>
      </c>
    </row>
    <row r="2735" spans="1:16">
      <c r="A2735" s="39">
        <f t="shared" ca="1" si="324"/>
        <v>4.4650000000000034</v>
      </c>
      <c r="B2735" s="41">
        <f t="shared" ca="1" si="325"/>
        <v>4.4800000000000031</v>
      </c>
      <c r="C2735" s="403">
        <f t="shared" si="321"/>
        <v>46533</v>
      </c>
      <c r="D2735" s="56" t="str">
        <f>VLOOKUP(MOD(C2735,7),'CALENDAR INFO'!$G$5:$H$11,2)</f>
        <v>WED</v>
      </c>
      <c r="G2735" s="411">
        <f t="shared" si="318"/>
        <v>0</v>
      </c>
      <c r="L2735" s="403">
        <f t="shared" si="319"/>
        <v>46533</v>
      </c>
      <c r="M2735" s="56" t="str">
        <f t="shared" si="320"/>
        <v>WED</v>
      </c>
      <c r="O2735" s="383">
        <f t="shared" si="322"/>
        <v>1</v>
      </c>
      <c r="P2735" s="392">
        <f t="shared" ca="1" si="323"/>
        <v>1.0001244444444444</v>
      </c>
    </row>
    <row r="2736" spans="1:16">
      <c r="A2736" s="39">
        <f t="shared" ca="1" si="324"/>
        <v>4.4650000000000034</v>
      </c>
      <c r="B2736" s="41">
        <f t="shared" ca="1" si="325"/>
        <v>4.4800000000000031</v>
      </c>
      <c r="C2736" s="403">
        <f t="shared" si="321"/>
        <v>46534</v>
      </c>
      <c r="D2736" s="56" t="str">
        <f>VLOOKUP(MOD(C2736,7),'CALENDAR INFO'!$G$5:$H$11,2)</f>
        <v>THU</v>
      </c>
      <c r="G2736" s="411">
        <f t="shared" si="318"/>
        <v>0</v>
      </c>
      <c r="L2736" s="403">
        <f t="shared" si="319"/>
        <v>46534</v>
      </c>
      <c r="M2736" s="56" t="str">
        <f t="shared" si="320"/>
        <v>THU</v>
      </c>
      <c r="O2736" s="383">
        <f t="shared" si="322"/>
        <v>1</v>
      </c>
      <c r="P2736" s="392">
        <f t="shared" ca="1" si="323"/>
        <v>1.0001244444444444</v>
      </c>
    </row>
    <row r="2737" spans="1:16">
      <c r="A2737" s="39">
        <f t="shared" ca="1" si="324"/>
        <v>4.4650000000000034</v>
      </c>
      <c r="B2737" s="41">
        <f t="shared" ca="1" si="325"/>
        <v>4.4800000000000031</v>
      </c>
      <c r="C2737" s="403">
        <f t="shared" si="321"/>
        <v>46535</v>
      </c>
      <c r="D2737" s="56" t="str">
        <f>VLOOKUP(MOD(C2737,7),'CALENDAR INFO'!$G$5:$H$11,2)</f>
        <v>FRI</v>
      </c>
      <c r="G2737" s="411">
        <f t="shared" si="318"/>
        <v>0</v>
      </c>
      <c r="L2737" s="403">
        <f t="shared" si="319"/>
        <v>46535</v>
      </c>
      <c r="M2737" s="56" t="str">
        <f t="shared" si="320"/>
        <v>FRI</v>
      </c>
      <c r="O2737" s="384">
        <v>4</v>
      </c>
      <c r="P2737" s="392">
        <f t="shared" ca="1" si="323"/>
        <v>1.0004977777777777</v>
      </c>
    </row>
    <row r="2738" spans="1:16">
      <c r="A2738" s="39">
        <f t="shared" ca="1" si="324"/>
        <v>4.4650000000000034</v>
      </c>
      <c r="B2738" s="41">
        <f t="shared" ca="1" si="325"/>
        <v>4.4800000000000031</v>
      </c>
      <c r="C2738" s="403">
        <f t="shared" si="321"/>
        <v>46536</v>
      </c>
      <c r="D2738" s="56" t="str">
        <f>VLOOKUP(MOD(C2738,7),'CALENDAR INFO'!$G$5:$H$11,2)</f>
        <v>SAT</v>
      </c>
      <c r="G2738" s="411">
        <f t="shared" si="318"/>
        <v>0</v>
      </c>
      <c r="L2738" s="403">
        <f t="shared" si="319"/>
        <v>46536</v>
      </c>
      <c r="M2738" s="56" t="str">
        <f t="shared" si="320"/>
        <v>SAT</v>
      </c>
      <c r="O2738" s="383">
        <f>IF(MOD(C2738,7)&lt;2,0,IF(MOD(C2738,7)=6,3,1))</f>
        <v>0</v>
      </c>
      <c r="P2738" s="392">
        <f t="shared" ca="1" si="323"/>
        <v>1</v>
      </c>
    </row>
    <row r="2739" spans="1:16">
      <c r="A2739" s="39">
        <f t="shared" ca="1" si="324"/>
        <v>4.4650000000000034</v>
      </c>
      <c r="B2739" s="41">
        <f t="shared" ca="1" si="325"/>
        <v>4.4800000000000031</v>
      </c>
      <c r="C2739" s="403">
        <f t="shared" si="321"/>
        <v>46537</v>
      </c>
      <c r="D2739" s="56" t="str">
        <f>VLOOKUP(MOD(C2739,7),'CALENDAR INFO'!$G$5:$H$11,2)</f>
        <v>SUN</v>
      </c>
      <c r="G2739" s="411">
        <f t="shared" si="318"/>
        <v>0</v>
      </c>
      <c r="L2739" s="403">
        <f t="shared" si="319"/>
        <v>46537</v>
      </c>
      <c r="M2739" s="56" t="str">
        <f t="shared" si="320"/>
        <v>SUN</v>
      </c>
      <c r="O2739" s="383">
        <f>IF(MOD(C2739,7)&lt;2,0,IF(MOD(C2739,7)=6,3,1))</f>
        <v>0</v>
      </c>
      <c r="P2739" s="392">
        <f t="shared" ca="1" si="323"/>
        <v>1</v>
      </c>
    </row>
    <row r="2740" spans="1:16">
      <c r="A2740" s="39">
        <f t="shared" ca="1" si="324"/>
        <v>4.4650000000000034</v>
      </c>
      <c r="B2740" s="41">
        <f t="shared" ca="1" si="325"/>
        <v>4.4800000000000031</v>
      </c>
      <c r="C2740" s="403">
        <f t="shared" si="321"/>
        <v>46538</v>
      </c>
      <c r="D2740" s="56" t="str">
        <f>VLOOKUP(MOD(C2740,7),'CALENDAR INFO'!$G$5:$H$11,2)</f>
        <v>MON</v>
      </c>
      <c r="G2740" s="411">
        <f t="shared" si="318"/>
        <v>0</v>
      </c>
      <c r="L2740" s="403">
        <f t="shared" si="319"/>
        <v>46538</v>
      </c>
      <c r="M2740" s="56" t="str">
        <f t="shared" si="320"/>
        <v>MON</v>
      </c>
      <c r="N2740" s="132" t="s">
        <v>112</v>
      </c>
      <c r="O2740" s="384">
        <v>0</v>
      </c>
      <c r="P2740" s="392">
        <f t="shared" ca="1" si="323"/>
        <v>1</v>
      </c>
    </row>
    <row r="2741" spans="1:16">
      <c r="A2741" s="238">
        <f ca="1">MAX(A2740,E2740)</f>
        <v>4.4650000000000034</v>
      </c>
      <c r="B2741" s="239">
        <f t="shared" ref="B2741:B2749" ca="1" si="326">MAX(B2740,F2740)</f>
        <v>4.4800000000000031</v>
      </c>
      <c r="C2741" s="403">
        <f t="shared" si="321"/>
        <v>46539</v>
      </c>
      <c r="D2741" s="56" t="str">
        <f>VLOOKUP(MOD(C2741,7),'CALENDAR INFO'!$G$5:$H$11,2)</f>
        <v>TUE</v>
      </c>
      <c r="G2741" s="411">
        <f t="shared" si="318"/>
        <v>0</v>
      </c>
      <c r="H2741" s="15" t="s">
        <v>149</v>
      </c>
      <c r="I2741" s="15">
        <f>ROW(I2741)</f>
        <v>2741</v>
      </c>
      <c r="J2741" s="138">
        <f>I2741</f>
        <v>2741</v>
      </c>
      <c r="L2741" s="403">
        <f t="shared" si="319"/>
        <v>46539</v>
      </c>
      <c r="M2741" s="56" t="str">
        <f t="shared" si="320"/>
        <v>TUE</v>
      </c>
      <c r="O2741" s="383">
        <f t="shared" ref="O2741:O2756" si="327">IF(MOD(C2741,7)&lt;2,0,IF(MOD(C2741,7)=6,3,1))</f>
        <v>1</v>
      </c>
      <c r="P2741" s="392">
        <f t="shared" ca="1" si="323"/>
        <v>1.0001244444444444</v>
      </c>
    </row>
    <row r="2742" spans="1:16">
      <c r="A2742" s="238">
        <f t="shared" ref="A2742:A2749" ca="1" si="328">MAX(A2741,E2741)</f>
        <v>4.4650000000000034</v>
      </c>
      <c r="B2742" s="239">
        <f t="shared" ca="1" si="326"/>
        <v>4.4800000000000031</v>
      </c>
      <c r="C2742" s="403">
        <f t="shared" si="321"/>
        <v>46540</v>
      </c>
      <c r="D2742" s="56" t="str">
        <f>VLOOKUP(MOD(C2742,7),'CALENDAR INFO'!$G$5:$H$11,2)</f>
        <v>WED</v>
      </c>
      <c r="G2742" s="411">
        <f t="shared" si="318"/>
        <v>0</v>
      </c>
      <c r="H2742" s="376" t="s">
        <v>210</v>
      </c>
      <c r="I2742" s="171">
        <f>VLOOKUP(MONTH($C2741),'CALENDAR INFO'!$J$5:$K$16,2)</f>
        <v>30</v>
      </c>
      <c r="J2742" s="172">
        <f>I2742</f>
        <v>30</v>
      </c>
      <c r="L2742" s="403">
        <f t="shared" si="319"/>
        <v>46540</v>
      </c>
      <c r="M2742" s="56" t="str">
        <f t="shared" si="320"/>
        <v>WED</v>
      </c>
      <c r="O2742" s="383">
        <f t="shared" si="327"/>
        <v>1</v>
      </c>
      <c r="P2742" s="392">
        <f t="shared" ca="1" si="323"/>
        <v>1.0001244444444444</v>
      </c>
    </row>
    <row r="2743" spans="1:16">
      <c r="A2743" s="238">
        <f t="shared" ca="1" si="328"/>
        <v>4.4650000000000034</v>
      </c>
      <c r="B2743" s="239">
        <f t="shared" ca="1" si="326"/>
        <v>4.4800000000000031</v>
      </c>
      <c r="C2743" s="403">
        <f t="shared" si="321"/>
        <v>46541</v>
      </c>
      <c r="D2743" s="56" t="str">
        <f>VLOOKUP(MOD(C2743,7),'CALENDAR INFO'!$G$5:$H$11,2)</f>
        <v>THU</v>
      </c>
      <c r="G2743" s="411">
        <f t="shared" si="318"/>
        <v>0</v>
      </c>
      <c r="H2743" s="376" t="s">
        <v>211</v>
      </c>
      <c r="I2743" s="15">
        <f>I2742+I2741-1</f>
        <v>2770</v>
      </c>
      <c r="J2743" s="138">
        <f>I2743</f>
        <v>2770</v>
      </c>
      <c r="L2743" s="403">
        <f t="shared" si="319"/>
        <v>46541</v>
      </c>
      <c r="M2743" s="56" t="str">
        <f t="shared" si="320"/>
        <v>THU</v>
      </c>
      <c r="O2743" s="383">
        <f t="shared" si="327"/>
        <v>1</v>
      </c>
      <c r="P2743" s="392">
        <f t="shared" ca="1" si="323"/>
        <v>1.0001244444444444</v>
      </c>
    </row>
    <row r="2744" spans="1:16">
      <c r="A2744" s="238">
        <f t="shared" ca="1" si="328"/>
        <v>4.4650000000000034</v>
      </c>
      <c r="B2744" s="239">
        <f t="shared" ca="1" si="326"/>
        <v>4.4800000000000031</v>
      </c>
      <c r="C2744" s="403">
        <f t="shared" si="321"/>
        <v>46542</v>
      </c>
      <c r="D2744" s="56" t="str">
        <f>VLOOKUP(MOD(C2744,7),'CALENDAR INFO'!$G$5:$H$11,2)</f>
        <v>FRI</v>
      </c>
      <c r="G2744" s="411">
        <f t="shared" si="318"/>
        <v>0</v>
      </c>
      <c r="L2744" s="403">
        <f t="shared" si="319"/>
        <v>46542</v>
      </c>
      <c r="M2744" s="56" t="str">
        <f t="shared" si="320"/>
        <v>FRI</v>
      </c>
      <c r="O2744" s="383">
        <f t="shared" si="327"/>
        <v>3</v>
      </c>
      <c r="P2744" s="392">
        <f t="shared" ca="1" si="323"/>
        <v>1.0003733333333333</v>
      </c>
    </row>
    <row r="2745" spans="1:16">
      <c r="A2745" s="238">
        <f t="shared" ca="1" si="328"/>
        <v>4.4650000000000034</v>
      </c>
      <c r="B2745" s="239">
        <f t="shared" ca="1" si="326"/>
        <v>4.4800000000000031</v>
      </c>
      <c r="C2745" s="403">
        <f t="shared" si="321"/>
        <v>46543</v>
      </c>
      <c r="D2745" s="56" t="str">
        <f>VLOOKUP(MOD(C2745,7),'CALENDAR INFO'!$G$5:$H$11,2)</f>
        <v>SAT</v>
      </c>
      <c r="G2745" s="411">
        <f t="shared" si="318"/>
        <v>0</v>
      </c>
      <c r="H2745" s="15" t="s">
        <v>224</v>
      </c>
      <c r="I2745" s="136">
        <v>2749</v>
      </c>
      <c r="J2745" s="138">
        <f>I2745</f>
        <v>2749</v>
      </c>
      <c r="L2745" s="403">
        <f t="shared" si="319"/>
        <v>46543</v>
      </c>
      <c r="M2745" s="56" t="str">
        <f t="shared" si="320"/>
        <v>SAT</v>
      </c>
      <c r="O2745" s="383">
        <f t="shared" si="327"/>
        <v>0</v>
      </c>
      <c r="P2745" s="392">
        <f t="shared" ca="1" si="323"/>
        <v>1</v>
      </c>
    </row>
    <row r="2746" spans="1:16">
      <c r="A2746" s="238">
        <f t="shared" ca="1" si="328"/>
        <v>4.4650000000000034</v>
      </c>
      <c r="B2746" s="239">
        <f t="shared" ca="1" si="326"/>
        <v>4.4800000000000031</v>
      </c>
      <c r="C2746" s="403">
        <f t="shared" si="321"/>
        <v>46544</v>
      </c>
      <c r="D2746" s="56" t="str">
        <f>VLOOKUP(MOD(C2746,7),'CALENDAR INFO'!$G$5:$H$11,2)</f>
        <v>SUN</v>
      </c>
      <c r="G2746" s="411">
        <f t="shared" si="318"/>
        <v>0</v>
      </c>
      <c r="H2746" s="15" t="s">
        <v>225</v>
      </c>
      <c r="I2746" s="15" t="str">
        <f>_xlfn.CONCAT(ADDRESS(I2741,1),":",ADDRESS(I2745,1))</f>
        <v>$A$2741:$A$2749</v>
      </c>
      <c r="J2746" s="138" t="str">
        <f>_xlfn.CONCAT(ADDRESS(J2741,2),":",ADDRESS(J2745,2))</f>
        <v>$B$2741:$B$2749</v>
      </c>
      <c r="L2746" s="403">
        <f t="shared" si="319"/>
        <v>46544</v>
      </c>
      <c r="M2746" s="56" t="str">
        <f t="shared" si="320"/>
        <v>SUN</v>
      </c>
      <c r="O2746" s="383">
        <f t="shared" si="327"/>
        <v>0</v>
      </c>
      <c r="P2746" s="392">
        <f t="shared" ca="1" si="323"/>
        <v>1</v>
      </c>
    </row>
    <row r="2747" spans="1:16">
      <c r="A2747" s="238">
        <f t="shared" ca="1" si="328"/>
        <v>4.4650000000000034</v>
      </c>
      <c r="B2747" s="239">
        <f t="shared" ca="1" si="326"/>
        <v>4.4800000000000031</v>
      </c>
      <c r="C2747" s="403">
        <f t="shared" si="321"/>
        <v>46545</v>
      </c>
      <c r="D2747" s="56" t="str">
        <f>VLOOKUP(MOD(C2747,7),'CALENDAR INFO'!$G$5:$H$11,2)</f>
        <v>MON</v>
      </c>
      <c r="G2747" s="411">
        <f t="shared" si="318"/>
        <v>0</v>
      </c>
      <c r="H2747" s="15" t="s">
        <v>226</v>
      </c>
      <c r="I2747" s="15" t="str">
        <f>_xlfn.CONCAT(ADDRESS(I2745+1,1),":",ADDRESS(I2743,1))</f>
        <v>$A$2750:$A$2770</v>
      </c>
      <c r="J2747" s="138" t="str">
        <f>_xlfn.CONCAT(ADDRESS(J2745+1,2),":",ADDRESS(J2743,2))</f>
        <v>$B$2750:$B$2770</v>
      </c>
      <c r="L2747" s="403">
        <f t="shared" si="319"/>
        <v>46545</v>
      </c>
      <c r="M2747" s="56" t="str">
        <f t="shared" si="320"/>
        <v>MON</v>
      </c>
      <c r="O2747" s="383">
        <f t="shared" si="327"/>
        <v>1</v>
      </c>
      <c r="P2747" s="392">
        <f t="shared" ca="1" si="323"/>
        <v>1.0001244444444444</v>
      </c>
    </row>
    <row r="2748" spans="1:16">
      <c r="A2748" s="238">
        <f t="shared" ca="1" si="328"/>
        <v>4.4650000000000034</v>
      </c>
      <c r="B2748" s="239">
        <f t="shared" ca="1" si="326"/>
        <v>4.4800000000000031</v>
      </c>
      <c r="C2748" s="403">
        <f t="shared" si="321"/>
        <v>46546</v>
      </c>
      <c r="D2748" s="56" t="str">
        <f>VLOOKUP(MOD(C2748,7),'CALENDAR INFO'!$G$5:$H$11,2)</f>
        <v>TUE</v>
      </c>
      <c r="G2748" s="411">
        <f t="shared" si="318"/>
        <v>0</v>
      </c>
      <c r="H2748" s="15" t="s">
        <v>150</v>
      </c>
      <c r="I2748" s="15" t="str">
        <f>_xlfn.CONCAT(ADDRESS(I2741,5),":",ADDRESS(I2743,5))</f>
        <v>$E$2741:$E$2770</v>
      </c>
      <c r="J2748" s="138" t="str">
        <f>_xlfn.CONCAT(ADDRESS(J2741,6),":",ADDRESS(J2743,6))</f>
        <v>$F$2741:$F$2770</v>
      </c>
      <c r="L2748" s="403">
        <f t="shared" si="319"/>
        <v>46546</v>
      </c>
      <c r="M2748" s="56" t="str">
        <f t="shared" si="320"/>
        <v>TUE</v>
      </c>
      <c r="N2748" s="116" t="s">
        <v>20</v>
      </c>
      <c r="O2748" s="383">
        <f t="shared" si="327"/>
        <v>1</v>
      </c>
      <c r="P2748" s="392">
        <f t="shared" ca="1" si="323"/>
        <v>1.0001244444444444</v>
      </c>
    </row>
    <row r="2749" spans="1:16">
      <c r="A2749" s="238">
        <f t="shared" ca="1" si="328"/>
        <v>4.4650000000000034</v>
      </c>
      <c r="B2749" s="239">
        <f t="shared" ca="1" si="326"/>
        <v>4.4800000000000031</v>
      </c>
      <c r="C2749" s="403">
        <f t="shared" si="321"/>
        <v>46547</v>
      </c>
      <c r="D2749" s="56" t="str">
        <f>VLOOKUP(MOD(C2749,7),'CALENDAR INFO'!$G$5:$H$11,2)</f>
        <v>WED</v>
      </c>
      <c r="G2749" s="411">
        <f t="shared" si="318"/>
        <v>0</v>
      </c>
      <c r="L2749" s="403">
        <f t="shared" si="319"/>
        <v>46547</v>
      </c>
      <c r="M2749" s="56" t="str">
        <f t="shared" si="320"/>
        <v>WED</v>
      </c>
      <c r="N2749" s="116" t="s">
        <v>20</v>
      </c>
      <c r="O2749" s="383">
        <f t="shared" si="327"/>
        <v>1</v>
      </c>
      <c r="P2749" s="392">
        <f t="shared" ca="1" si="323"/>
        <v>1.0001244444444444</v>
      </c>
    </row>
    <row r="2750" spans="1:16">
      <c r="A2750" s="39">
        <f ca="1">I$2764</f>
        <v>4.5578571428571433</v>
      </c>
      <c r="B2750" s="41">
        <f ca="1">J$2764</f>
        <v>4.5799999999999947</v>
      </c>
      <c r="C2750" s="403">
        <f t="shared" si="321"/>
        <v>46548</v>
      </c>
      <c r="D2750" s="56" t="str">
        <f>VLOOKUP(MOD(C2750,7),'CALENDAR INFO'!$G$5:$H$11,2)</f>
        <v>THU</v>
      </c>
      <c r="G2750" s="411">
        <f t="shared" si="318"/>
        <v>0</v>
      </c>
      <c r="H2750" s="15" t="s">
        <v>117</v>
      </c>
      <c r="I2750" s="15">
        <f>I2742</f>
        <v>30</v>
      </c>
      <c r="J2750" s="138">
        <f>J2742</f>
        <v>30</v>
      </c>
      <c r="L2750" s="403">
        <f t="shared" si="319"/>
        <v>46548</v>
      </c>
      <c r="M2750" s="56" t="str">
        <f t="shared" si="320"/>
        <v>THU</v>
      </c>
      <c r="O2750" s="383">
        <f t="shared" si="327"/>
        <v>1</v>
      </c>
      <c r="P2750" s="392">
        <f t="shared" ca="1" si="323"/>
        <v>1.0001272222222222</v>
      </c>
    </row>
    <row r="2751" spans="1:16">
      <c r="A2751" s="39">
        <f t="shared" ref="A2751:A2770" ca="1" si="329">I$2764</f>
        <v>4.5578571428571433</v>
      </c>
      <c r="B2751" s="41">
        <f t="shared" ref="B2751:B2770" ca="1" si="330">J$2764</f>
        <v>4.5799999999999947</v>
      </c>
      <c r="C2751" s="403">
        <f t="shared" si="321"/>
        <v>46549</v>
      </c>
      <c r="D2751" s="56" t="str">
        <f>VLOOKUP(MOD(C2751,7),'CALENDAR INFO'!$G$5:$H$11,2)</f>
        <v>FRI</v>
      </c>
      <c r="G2751" s="411">
        <f t="shared" si="318"/>
        <v>0</v>
      </c>
      <c r="H2751" s="376" t="s">
        <v>213</v>
      </c>
      <c r="I2751" s="15">
        <f ca="1">COUNT(INDIRECT(I2748))</f>
        <v>0</v>
      </c>
      <c r="J2751" s="138">
        <f ca="1">COUNT(INDIRECT(J2748))</f>
        <v>0</v>
      </c>
      <c r="L2751" s="403">
        <f t="shared" si="319"/>
        <v>46549</v>
      </c>
      <c r="M2751" s="56" t="str">
        <f t="shared" si="320"/>
        <v>FRI</v>
      </c>
      <c r="O2751" s="383">
        <f t="shared" si="327"/>
        <v>3</v>
      </c>
      <c r="P2751" s="392">
        <f t="shared" ca="1" si="323"/>
        <v>1.0003816666666667</v>
      </c>
    </row>
    <row r="2752" spans="1:16">
      <c r="A2752" s="39">
        <f t="shared" ca="1" si="329"/>
        <v>4.5578571428571433</v>
      </c>
      <c r="B2752" s="41">
        <f t="shared" ca="1" si="330"/>
        <v>4.5799999999999947</v>
      </c>
      <c r="C2752" s="403">
        <f t="shared" si="321"/>
        <v>46550</v>
      </c>
      <c r="D2752" s="56" t="str">
        <f>VLOOKUP(MOD(C2752,7),'CALENDAR INFO'!$G$5:$H$11,2)</f>
        <v>SAT</v>
      </c>
      <c r="G2752" s="411">
        <f t="shared" si="318"/>
        <v>0</v>
      </c>
      <c r="H2752" s="376" t="s">
        <v>229</v>
      </c>
      <c r="I2752" s="171">
        <f ca="1">COUNT(INDIRECT(I2746))</f>
        <v>9</v>
      </c>
      <c r="J2752" s="172">
        <f ca="1">COUNT(INDIRECT(J2746))</f>
        <v>9</v>
      </c>
      <c r="L2752" s="403">
        <f t="shared" si="319"/>
        <v>46550</v>
      </c>
      <c r="M2752" s="56" t="str">
        <f t="shared" si="320"/>
        <v>SAT</v>
      </c>
      <c r="O2752" s="383">
        <f t="shared" si="327"/>
        <v>0</v>
      </c>
      <c r="P2752" s="392">
        <f t="shared" ca="1" si="323"/>
        <v>1</v>
      </c>
    </row>
    <row r="2753" spans="1:16">
      <c r="A2753" s="39">
        <f t="shared" ca="1" si="329"/>
        <v>4.5578571428571433</v>
      </c>
      <c r="B2753" s="41">
        <f t="shared" ca="1" si="330"/>
        <v>4.5799999999999947</v>
      </c>
      <c r="C2753" s="403">
        <f t="shared" si="321"/>
        <v>46551</v>
      </c>
      <c r="D2753" s="56" t="str">
        <f>VLOOKUP(MOD(C2753,7),'CALENDAR INFO'!$G$5:$H$11,2)</f>
        <v>SUN</v>
      </c>
      <c r="G2753" s="411">
        <f t="shared" si="318"/>
        <v>0</v>
      </c>
      <c r="H2753" s="376" t="s">
        <v>230</v>
      </c>
      <c r="I2753" s="15">
        <f ca="1">I2750-I2751-I2752</f>
        <v>21</v>
      </c>
      <c r="J2753" s="138">
        <f ca="1">J2750-J2751-J2752</f>
        <v>21</v>
      </c>
      <c r="L2753" s="403">
        <f t="shared" si="319"/>
        <v>46551</v>
      </c>
      <c r="M2753" s="56" t="str">
        <f t="shared" si="320"/>
        <v>SUN</v>
      </c>
      <c r="O2753" s="383">
        <f t="shared" si="327"/>
        <v>0</v>
      </c>
      <c r="P2753" s="392">
        <f t="shared" ca="1" si="323"/>
        <v>1</v>
      </c>
    </row>
    <row r="2754" spans="1:16">
      <c r="A2754" s="39">
        <f t="shared" ca="1" si="329"/>
        <v>4.5578571428571433</v>
      </c>
      <c r="B2754" s="41">
        <f t="shared" ca="1" si="330"/>
        <v>4.5799999999999947</v>
      </c>
      <c r="C2754" s="403">
        <f t="shared" si="321"/>
        <v>46552</v>
      </c>
      <c r="D2754" s="56" t="str">
        <f>VLOOKUP(MOD(C2754,7),'CALENDAR INFO'!$G$5:$H$11,2)</f>
        <v>MON</v>
      </c>
      <c r="G2754" s="411">
        <f t="shared" si="318"/>
        <v>0</v>
      </c>
      <c r="L2754" s="403">
        <f t="shared" si="319"/>
        <v>46552</v>
      </c>
      <c r="M2754" s="56" t="str">
        <f t="shared" si="320"/>
        <v>MON</v>
      </c>
      <c r="O2754" s="383">
        <f t="shared" si="327"/>
        <v>1</v>
      </c>
      <c r="P2754" s="392">
        <f t="shared" ca="1" si="323"/>
        <v>1.0001272222222222</v>
      </c>
    </row>
    <row r="2755" spans="1:16">
      <c r="A2755" s="39">
        <f t="shared" ca="1" si="329"/>
        <v>4.5578571428571433</v>
      </c>
      <c r="B2755" s="41">
        <f t="shared" ca="1" si="330"/>
        <v>4.5799999999999947</v>
      </c>
      <c r="C2755" s="403">
        <f t="shared" si="321"/>
        <v>46553</v>
      </c>
      <c r="D2755" s="56" t="str">
        <f>VLOOKUP(MOD(C2755,7),'CALENDAR INFO'!$G$5:$H$11,2)</f>
        <v>TUE</v>
      </c>
      <c r="G2755" s="411">
        <f t="shared" ref="G2755:G2818" si="331">F2755-E2755</f>
        <v>0</v>
      </c>
      <c r="H2755" s="15" t="s">
        <v>175</v>
      </c>
      <c r="I2755" s="139">
        <f>OUTPUT!C14</f>
        <v>4.5300000000000011</v>
      </c>
      <c r="J2755" s="151">
        <f>OUTPUT!F14</f>
        <v>4.5499999999999972</v>
      </c>
      <c r="L2755" s="403">
        <f t="shared" ref="L2755:L2818" si="332">C2755</f>
        <v>46553</v>
      </c>
      <c r="M2755" s="56" t="str">
        <f t="shared" ref="M2755:M2818" si="333">D2755</f>
        <v>TUE</v>
      </c>
      <c r="O2755" s="383">
        <f t="shared" si="327"/>
        <v>1</v>
      </c>
      <c r="P2755" s="392">
        <f t="shared" ca="1" si="323"/>
        <v>1.0001272222222222</v>
      </c>
    </row>
    <row r="2756" spans="1:16">
      <c r="A2756" s="39">
        <f t="shared" ca="1" si="329"/>
        <v>4.5578571428571433</v>
      </c>
      <c r="B2756" s="41">
        <f t="shared" ca="1" si="330"/>
        <v>4.5799999999999947</v>
      </c>
      <c r="C2756" s="403">
        <f t="shared" ref="C2756:C2819" si="334">C2755+1</f>
        <v>46554</v>
      </c>
      <c r="D2756" s="56" t="str">
        <f>VLOOKUP(MOD(C2756,7),'CALENDAR INFO'!$G$5:$H$11,2)</f>
        <v>WED</v>
      </c>
      <c r="G2756" s="411">
        <f t="shared" si="331"/>
        <v>0</v>
      </c>
      <c r="H2756" s="15" t="s">
        <v>209</v>
      </c>
      <c r="I2756" s="171">
        <f>I2742</f>
        <v>30</v>
      </c>
      <c r="J2756" s="172">
        <f>J2742</f>
        <v>30</v>
      </c>
      <c r="L2756" s="403">
        <f t="shared" si="332"/>
        <v>46554</v>
      </c>
      <c r="M2756" s="56" t="str">
        <f t="shared" si="333"/>
        <v>WED</v>
      </c>
      <c r="O2756" s="383">
        <f t="shared" si="327"/>
        <v>1</v>
      </c>
      <c r="P2756" s="392">
        <f t="shared" ca="1" si="323"/>
        <v>1.0001272222222222</v>
      </c>
    </row>
    <row r="2757" spans="1:16">
      <c r="A2757" s="39">
        <f t="shared" ca="1" si="329"/>
        <v>4.5578571428571433</v>
      </c>
      <c r="B2757" s="41">
        <f t="shared" ca="1" si="330"/>
        <v>4.5799999999999947</v>
      </c>
      <c r="C2757" s="403">
        <f t="shared" si="334"/>
        <v>46555</v>
      </c>
      <c r="D2757" s="56" t="str">
        <f>VLOOKUP(MOD(C2757,7),'CALENDAR INFO'!$G$5:$H$11,2)</f>
        <v>THU</v>
      </c>
      <c r="G2757" s="411">
        <f t="shared" si="331"/>
        <v>0</v>
      </c>
      <c r="H2757" s="376" t="s">
        <v>214</v>
      </c>
      <c r="I2757" s="137">
        <f>I2755*I2756</f>
        <v>135.90000000000003</v>
      </c>
      <c r="J2757" s="150">
        <f>J2755*J2756</f>
        <v>136.49999999999991</v>
      </c>
      <c r="L2757" s="403">
        <f t="shared" si="332"/>
        <v>46555</v>
      </c>
      <c r="M2757" s="56" t="str">
        <f t="shared" si="333"/>
        <v>THU</v>
      </c>
      <c r="O2757" s="384">
        <v>4</v>
      </c>
      <c r="P2757" s="392">
        <f t="shared" ca="1" si="323"/>
        <v>1.0005088888888889</v>
      </c>
    </row>
    <row r="2758" spans="1:16">
      <c r="A2758" s="39">
        <f t="shared" ca="1" si="329"/>
        <v>4.5578571428571433</v>
      </c>
      <c r="B2758" s="41">
        <f t="shared" ca="1" si="330"/>
        <v>4.5799999999999947</v>
      </c>
      <c r="C2758" s="403">
        <f t="shared" si="334"/>
        <v>46556</v>
      </c>
      <c r="D2758" s="56" t="str">
        <f>VLOOKUP(MOD(C2758,7),'CALENDAR INFO'!$G$5:$H$11,2)</f>
        <v>FRI</v>
      </c>
      <c r="G2758" s="411">
        <f t="shared" si="331"/>
        <v>0</v>
      </c>
      <c r="H2758" s="376" t="s">
        <v>215</v>
      </c>
      <c r="I2758" s="137">
        <f ca="1">SUM(INDIRECT(I2748))</f>
        <v>0</v>
      </c>
      <c r="J2758" s="150">
        <f ca="1">SUM(INDIRECT(J2748))</f>
        <v>0</v>
      </c>
      <c r="L2758" s="403">
        <f t="shared" si="332"/>
        <v>46556</v>
      </c>
      <c r="M2758" s="56" t="str">
        <f t="shared" si="333"/>
        <v>FRI</v>
      </c>
      <c r="N2758" s="132" t="s">
        <v>176</v>
      </c>
      <c r="O2758" s="384">
        <v>0</v>
      </c>
      <c r="P2758" s="392">
        <f t="shared" ca="1" si="323"/>
        <v>1</v>
      </c>
    </row>
    <row r="2759" spans="1:16">
      <c r="A2759" s="39">
        <f t="shared" ca="1" si="329"/>
        <v>4.5578571428571433</v>
      </c>
      <c r="B2759" s="41">
        <f t="shared" ca="1" si="330"/>
        <v>4.5799999999999947</v>
      </c>
      <c r="C2759" s="403">
        <f t="shared" si="334"/>
        <v>46557</v>
      </c>
      <c r="D2759" s="56" t="str">
        <f>VLOOKUP(MOD(C2759,7),'CALENDAR INFO'!$G$5:$H$11,2)</f>
        <v>SAT</v>
      </c>
      <c r="G2759" s="411">
        <f t="shared" si="331"/>
        <v>0</v>
      </c>
      <c r="H2759" s="376" t="s">
        <v>231</v>
      </c>
      <c r="I2759" s="163">
        <f ca="1">SUM(INDIRECT(I2746))</f>
        <v>40.185000000000031</v>
      </c>
      <c r="J2759" s="164">
        <f ca="1">SUM(INDIRECT(J2746))</f>
        <v>40.320000000000029</v>
      </c>
      <c r="L2759" s="403">
        <f t="shared" si="332"/>
        <v>46557</v>
      </c>
      <c r="M2759" s="56" t="str">
        <f t="shared" si="333"/>
        <v>SAT</v>
      </c>
      <c r="O2759" s="383">
        <f t="shared" ref="O2759:O2771" si="335">IF(MOD(C2759,7)&lt;2,0,IF(MOD(C2759,7)=6,3,1))</f>
        <v>0</v>
      </c>
      <c r="P2759" s="392">
        <f t="shared" ca="1" si="323"/>
        <v>1</v>
      </c>
    </row>
    <row r="2760" spans="1:16">
      <c r="A2760" s="39">
        <f t="shared" ca="1" si="329"/>
        <v>4.5578571428571433</v>
      </c>
      <c r="B2760" s="41">
        <f t="shared" ca="1" si="330"/>
        <v>4.5799999999999947</v>
      </c>
      <c r="C2760" s="403">
        <f t="shared" si="334"/>
        <v>46558</v>
      </c>
      <c r="D2760" s="56" t="str">
        <f>VLOOKUP(MOD(C2760,7),'CALENDAR INFO'!$G$5:$H$11,2)</f>
        <v>SUN</v>
      </c>
      <c r="G2760" s="411">
        <f t="shared" si="331"/>
        <v>0</v>
      </c>
      <c r="H2760" s="376" t="s">
        <v>232</v>
      </c>
      <c r="I2760" s="137">
        <f ca="1">I2757-I2758-I2759</f>
        <v>95.715000000000003</v>
      </c>
      <c r="J2760" s="150">
        <f ca="1">J2757-J2758-J2759</f>
        <v>96.179999999999893</v>
      </c>
      <c r="L2760" s="403">
        <f t="shared" si="332"/>
        <v>46558</v>
      </c>
      <c r="M2760" s="56" t="str">
        <f t="shared" si="333"/>
        <v>SUN</v>
      </c>
      <c r="O2760" s="383">
        <f t="shared" si="335"/>
        <v>0</v>
      </c>
      <c r="P2760" s="392">
        <f t="shared" ca="1" si="323"/>
        <v>1</v>
      </c>
    </row>
    <row r="2761" spans="1:16">
      <c r="A2761" s="39">
        <f t="shared" ca="1" si="329"/>
        <v>4.5578571428571433</v>
      </c>
      <c r="B2761" s="41">
        <f t="shared" ca="1" si="330"/>
        <v>4.5799999999999947</v>
      </c>
      <c r="C2761" s="403">
        <f t="shared" si="334"/>
        <v>46559</v>
      </c>
      <c r="D2761" s="56" t="str">
        <f>VLOOKUP(MOD(C2761,7),'CALENDAR INFO'!$G$5:$H$11,2)</f>
        <v>MON</v>
      </c>
      <c r="G2761" s="411">
        <f t="shared" si="331"/>
        <v>0</v>
      </c>
      <c r="L2761" s="403">
        <f t="shared" si="332"/>
        <v>46559</v>
      </c>
      <c r="M2761" s="56" t="str">
        <f t="shared" si="333"/>
        <v>MON</v>
      </c>
      <c r="O2761" s="383">
        <f t="shared" si="335"/>
        <v>1</v>
      </c>
      <c r="P2761" s="392">
        <f t="shared" ca="1" si="323"/>
        <v>1.0001272222222222</v>
      </c>
    </row>
    <row r="2762" spans="1:16">
      <c r="A2762" s="39">
        <f t="shared" ca="1" si="329"/>
        <v>4.5578571428571433</v>
      </c>
      <c r="B2762" s="41">
        <f t="shared" ca="1" si="330"/>
        <v>4.5799999999999947</v>
      </c>
      <c r="C2762" s="403">
        <f t="shared" si="334"/>
        <v>46560</v>
      </c>
      <c r="D2762" s="56" t="str">
        <f>VLOOKUP(MOD(C2762,7),'CALENDAR INFO'!$G$5:$H$11,2)</f>
        <v>TUE</v>
      </c>
      <c r="G2762" s="411">
        <f t="shared" si="331"/>
        <v>0</v>
      </c>
      <c r="H2762" s="15" t="s">
        <v>233</v>
      </c>
      <c r="I2762" s="137">
        <f ca="1">I2760</f>
        <v>95.715000000000003</v>
      </c>
      <c r="J2762" s="150">
        <f ca="1">J2760</f>
        <v>96.179999999999893</v>
      </c>
      <c r="L2762" s="403">
        <f t="shared" si="332"/>
        <v>46560</v>
      </c>
      <c r="M2762" s="56" t="str">
        <f t="shared" si="333"/>
        <v>TUE</v>
      </c>
      <c r="O2762" s="383">
        <f t="shared" si="335"/>
        <v>1</v>
      </c>
      <c r="P2762" s="392">
        <f t="shared" ca="1" si="323"/>
        <v>1.0001272222222222</v>
      </c>
    </row>
    <row r="2763" spans="1:16">
      <c r="A2763" s="39">
        <f t="shared" ca="1" si="329"/>
        <v>4.5578571428571433</v>
      </c>
      <c r="B2763" s="41">
        <f t="shared" ca="1" si="330"/>
        <v>4.5799999999999947</v>
      </c>
      <c r="C2763" s="403">
        <f t="shared" si="334"/>
        <v>46561</v>
      </c>
      <c r="D2763" s="56" t="str">
        <f>VLOOKUP(MOD(C2763,7),'CALENDAR INFO'!$G$5:$H$11,2)</f>
        <v>WED</v>
      </c>
      <c r="G2763" s="411">
        <f t="shared" si="331"/>
        <v>0</v>
      </c>
      <c r="H2763" s="376" t="s">
        <v>227</v>
      </c>
      <c r="I2763" s="171">
        <f ca="1">I2753</f>
        <v>21</v>
      </c>
      <c r="J2763" s="172">
        <f ca="1">J2753</f>
        <v>21</v>
      </c>
      <c r="L2763" s="403">
        <f t="shared" si="332"/>
        <v>46561</v>
      </c>
      <c r="M2763" s="56" t="str">
        <f t="shared" si="333"/>
        <v>WED</v>
      </c>
      <c r="O2763" s="383">
        <f t="shared" si="335"/>
        <v>1</v>
      </c>
      <c r="P2763" s="392">
        <f t="shared" ca="1" si="323"/>
        <v>1.0001272222222222</v>
      </c>
    </row>
    <row r="2764" spans="1:16">
      <c r="A2764" s="39">
        <f t="shared" ca="1" si="329"/>
        <v>4.5578571428571433</v>
      </c>
      <c r="B2764" s="41">
        <f t="shared" ca="1" si="330"/>
        <v>4.5799999999999947</v>
      </c>
      <c r="C2764" s="403">
        <f t="shared" si="334"/>
        <v>46562</v>
      </c>
      <c r="D2764" s="56" t="str">
        <f>VLOOKUP(MOD(C2764,7),'CALENDAR INFO'!$G$5:$H$11,2)</f>
        <v>THU</v>
      </c>
      <c r="G2764" s="411">
        <f t="shared" si="331"/>
        <v>0</v>
      </c>
      <c r="H2764" s="15" t="s">
        <v>228</v>
      </c>
      <c r="I2764" s="137">
        <f ca="1">I2762/I2763</f>
        <v>4.5578571428571433</v>
      </c>
      <c r="J2764" s="150">
        <f ca="1">J2762/J2763</f>
        <v>4.5799999999999947</v>
      </c>
      <c r="L2764" s="403">
        <f t="shared" si="332"/>
        <v>46562</v>
      </c>
      <c r="M2764" s="56" t="str">
        <f t="shared" si="333"/>
        <v>THU</v>
      </c>
      <c r="O2764" s="383">
        <f t="shared" si="335"/>
        <v>1</v>
      </c>
      <c r="P2764" s="392">
        <f t="shared" ca="1" si="323"/>
        <v>1.0001272222222222</v>
      </c>
    </row>
    <row r="2765" spans="1:16">
      <c r="A2765" s="39">
        <f t="shared" ca="1" si="329"/>
        <v>4.5578571428571433</v>
      </c>
      <c r="B2765" s="41">
        <f t="shared" ca="1" si="330"/>
        <v>4.5799999999999947</v>
      </c>
      <c r="C2765" s="403">
        <f t="shared" si="334"/>
        <v>46563</v>
      </c>
      <c r="D2765" s="56" t="str">
        <f>VLOOKUP(MOD(C2765,7),'CALENDAR INFO'!$G$5:$H$11,2)</f>
        <v>FRI</v>
      </c>
      <c r="G2765" s="411">
        <f t="shared" si="331"/>
        <v>0</v>
      </c>
      <c r="L2765" s="403">
        <f t="shared" si="332"/>
        <v>46563</v>
      </c>
      <c r="M2765" s="56" t="str">
        <f t="shared" si="333"/>
        <v>FRI</v>
      </c>
      <c r="O2765" s="383">
        <f t="shared" si="335"/>
        <v>3</v>
      </c>
      <c r="P2765" s="392">
        <f t="shared" ca="1" si="323"/>
        <v>1.0003816666666667</v>
      </c>
    </row>
    <row r="2766" spans="1:16">
      <c r="A2766" s="39">
        <f t="shared" ca="1" si="329"/>
        <v>4.5578571428571433</v>
      </c>
      <c r="B2766" s="41">
        <f t="shared" ca="1" si="330"/>
        <v>4.5799999999999947</v>
      </c>
      <c r="C2766" s="403">
        <f t="shared" si="334"/>
        <v>46564</v>
      </c>
      <c r="D2766" s="56" t="str">
        <f>VLOOKUP(MOD(C2766,7),'CALENDAR INFO'!$G$5:$H$11,2)</f>
        <v>SAT</v>
      </c>
      <c r="G2766" s="411">
        <f t="shared" si="331"/>
        <v>0</v>
      </c>
      <c r="H2766" s="376" t="s">
        <v>221</v>
      </c>
      <c r="I2766" s="147" t="e">
        <f ca="1">AVERAGE(INDIRECT(I2748))</f>
        <v>#DIV/0!</v>
      </c>
      <c r="J2766" s="326" t="e">
        <f ca="1">AVERAGE(INDIRECT(J2748))</f>
        <v>#DIV/0!</v>
      </c>
      <c r="L2766" s="403">
        <f t="shared" si="332"/>
        <v>46564</v>
      </c>
      <c r="M2766" s="56" t="str">
        <f t="shared" si="333"/>
        <v>SAT</v>
      </c>
      <c r="O2766" s="383">
        <f t="shared" si="335"/>
        <v>0</v>
      </c>
      <c r="P2766" s="392">
        <f t="shared" ca="1" si="323"/>
        <v>1</v>
      </c>
    </row>
    <row r="2767" spans="1:16">
      <c r="A2767" s="39">
        <f t="shared" ca="1" si="329"/>
        <v>4.5578571428571433</v>
      </c>
      <c r="B2767" s="41">
        <f t="shared" ca="1" si="330"/>
        <v>4.5799999999999947</v>
      </c>
      <c r="C2767" s="403">
        <f t="shared" si="334"/>
        <v>46565</v>
      </c>
      <c r="D2767" s="56" t="str">
        <f>VLOOKUP(MOD(C2767,7),'CALENDAR INFO'!$G$5:$H$11,2)</f>
        <v>SUN</v>
      </c>
      <c r="G2767" s="411">
        <f t="shared" si="331"/>
        <v>0</v>
      </c>
      <c r="H2767" s="15" t="s">
        <v>222</v>
      </c>
      <c r="I2767" s="147" t="e">
        <f ca="1">100-I2766</f>
        <v>#DIV/0!</v>
      </c>
      <c r="J2767" s="326" t="e">
        <f ca="1">100-J2766</f>
        <v>#DIV/0!</v>
      </c>
      <c r="L2767" s="403">
        <f t="shared" si="332"/>
        <v>46565</v>
      </c>
      <c r="M2767" s="56" t="str">
        <f t="shared" si="333"/>
        <v>SUN</v>
      </c>
      <c r="O2767" s="383">
        <f t="shared" si="335"/>
        <v>0</v>
      </c>
      <c r="P2767" s="392">
        <f t="shared" ca="1" si="323"/>
        <v>1</v>
      </c>
    </row>
    <row r="2768" spans="1:16">
      <c r="A2768" s="39">
        <f t="shared" ca="1" si="329"/>
        <v>4.5578571428571433</v>
      </c>
      <c r="B2768" s="41">
        <f t="shared" ca="1" si="330"/>
        <v>4.5799999999999947</v>
      </c>
      <c r="C2768" s="403">
        <f t="shared" si="334"/>
        <v>46566</v>
      </c>
      <c r="D2768" s="56" t="str">
        <f>VLOOKUP(MOD(C2768,7),'CALENDAR INFO'!$G$5:$H$11,2)</f>
        <v>MON</v>
      </c>
      <c r="G2768" s="411">
        <f t="shared" si="331"/>
        <v>0</v>
      </c>
      <c r="H2768" s="425" t="s">
        <v>97</v>
      </c>
      <c r="I2768" s="419"/>
      <c r="J2768" s="426"/>
      <c r="L2768" s="403">
        <f t="shared" si="332"/>
        <v>46566</v>
      </c>
      <c r="M2768" s="56" t="str">
        <f t="shared" si="333"/>
        <v>MON</v>
      </c>
      <c r="O2768" s="383">
        <f t="shared" si="335"/>
        <v>1</v>
      </c>
      <c r="P2768" s="392">
        <f t="shared" ca="1" si="323"/>
        <v>1.0001272222222222</v>
      </c>
    </row>
    <row r="2769" spans="1:16">
      <c r="A2769" s="39">
        <f t="shared" ca="1" si="329"/>
        <v>4.5578571428571433</v>
      </c>
      <c r="B2769" s="41">
        <f t="shared" ca="1" si="330"/>
        <v>4.5799999999999947</v>
      </c>
      <c r="C2769" s="403">
        <f t="shared" si="334"/>
        <v>46567</v>
      </c>
      <c r="D2769" s="56" t="str">
        <f>VLOOKUP(MOD(C2769,7),'CALENDAR INFO'!$G$5:$H$11,2)</f>
        <v>TUE</v>
      </c>
      <c r="G2769" s="411">
        <f t="shared" si="331"/>
        <v>0</v>
      </c>
      <c r="L2769" s="403">
        <f t="shared" si="332"/>
        <v>46567</v>
      </c>
      <c r="M2769" s="56" t="str">
        <f t="shared" si="333"/>
        <v>TUE</v>
      </c>
      <c r="O2769" s="383">
        <f t="shared" si="335"/>
        <v>1</v>
      </c>
      <c r="P2769" s="392">
        <f t="shared" ca="1" si="323"/>
        <v>1.0001272222222222</v>
      </c>
    </row>
    <row r="2770" spans="1:16">
      <c r="A2770" s="39">
        <f t="shared" ca="1" si="329"/>
        <v>4.5578571428571433</v>
      </c>
      <c r="B2770" s="41">
        <f t="shared" ca="1" si="330"/>
        <v>4.5799999999999947</v>
      </c>
      <c r="C2770" s="403">
        <f t="shared" si="334"/>
        <v>46568</v>
      </c>
      <c r="D2770" s="56" t="str">
        <f>VLOOKUP(MOD(C2770,7),'CALENDAR INFO'!$G$5:$H$11,2)</f>
        <v>WED</v>
      </c>
      <c r="G2770" s="411">
        <f t="shared" si="331"/>
        <v>0</v>
      </c>
      <c r="L2770" s="403">
        <f t="shared" si="332"/>
        <v>46568</v>
      </c>
      <c r="M2770" s="56" t="str">
        <f t="shared" si="333"/>
        <v>WED</v>
      </c>
      <c r="O2770" s="383">
        <f t="shared" si="335"/>
        <v>1</v>
      </c>
      <c r="P2770" s="392">
        <f t="shared" ca="1" si="323"/>
        <v>1.0001272222222222</v>
      </c>
    </row>
    <row r="2771" spans="1:16">
      <c r="C2771" s="403">
        <f t="shared" si="334"/>
        <v>46569</v>
      </c>
      <c r="D2771" s="56" t="str">
        <f>VLOOKUP(MOD(C2771,7),'CALENDAR INFO'!$G$5:$H$11,2)</f>
        <v>THU</v>
      </c>
      <c r="G2771" s="411">
        <f t="shared" si="331"/>
        <v>0</v>
      </c>
      <c r="H2771" s="15" t="s">
        <v>149</v>
      </c>
      <c r="I2771" s="15">
        <f>ROW(I2771)</f>
        <v>2771</v>
      </c>
      <c r="J2771" s="138">
        <f>I2771</f>
        <v>2771</v>
      </c>
      <c r="L2771" s="403">
        <f t="shared" si="332"/>
        <v>46569</v>
      </c>
      <c r="M2771" s="56" t="str">
        <f t="shared" si="333"/>
        <v>THU</v>
      </c>
      <c r="O2771" s="383">
        <f t="shared" si="335"/>
        <v>1</v>
      </c>
      <c r="P2771" s="392">
        <f t="shared" ref="P2771:P2834" si="336">1+(O2771/360)*(MAX(F2771,B2771)/100)</f>
        <v>1</v>
      </c>
    </row>
    <row r="2772" spans="1:16">
      <c r="C2772" s="403">
        <f t="shared" si="334"/>
        <v>46570</v>
      </c>
      <c r="D2772" s="56" t="str">
        <f>VLOOKUP(MOD(C2772,7),'CALENDAR INFO'!$G$5:$H$11,2)</f>
        <v>FRI</v>
      </c>
      <c r="G2772" s="411">
        <f t="shared" si="331"/>
        <v>0</v>
      </c>
      <c r="H2772" s="376" t="s">
        <v>210</v>
      </c>
      <c r="I2772" s="171">
        <f>VLOOKUP(MONTH($C2771),'CALENDAR INFO'!$J$5:$K$16,2)</f>
        <v>31</v>
      </c>
      <c r="J2772" s="172">
        <f>I2772</f>
        <v>31</v>
      </c>
      <c r="L2772" s="403">
        <f t="shared" si="332"/>
        <v>46570</v>
      </c>
      <c r="M2772" s="56" t="str">
        <f t="shared" si="333"/>
        <v>FRI</v>
      </c>
      <c r="O2772" s="384">
        <v>4</v>
      </c>
      <c r="P2772" s="392">
        <f t="shared" si="336"/>
        <v>1</v>
      </c>
    </row>
    <row r="2773" spans="1:16">
      <c r="C2773" s="403">
        <f t="shared" si="334"/>
        <v>46571</v>
      </c>
      <c r="D2773" s="56" t="str">
        <f>VLOOKUP(MOD(C2773,7),'CALENDAR INFO'!$G$5:$H$11,2)</f>
        <v>SAT</v>
      </c>
      <c r="G2773" s="411">
        <f t="shared" si="331"/>
        <v>0</v>
      </c>
      <c r="H2773" s="376" t="s">
        <v>211</v>
      </c>
      <c r="I2773" s="15">
        <f>I2772+I2771-1</f>
        <v>2801</v>
      </c>
      <c r="J2773" s="138">
        <f>I2773</f>
        <v>2801</v>
      </c>
      <c r="L2773" s="403">
        <f t="shared" si="332"/>
        <v>46571</v>
      </c>
      <c r="M2773" s="56" t="str">
        <f t="shared" si="333"/>
        <v>SAT</v>
      </c>
      <c r="O2773" s="383">
        <f>IF(MOD(C2773,7)&lt;2,0,IF(MOD(C2773,7)=6,3,1))</f>
        <v>0</v>
      </c>
      <c r="P2773" s="392">
        <f t="shared" si="336"/>
        <v>1</v>
      </c>
    </row>
    <row r="2774" spans="1:16">
      <c r="C2774" s="403">
        <f t="shared" si="334"/>
        <v>46572</v>
      </c>
      <c r="D2774" s="56" t="str">
        <f>VLOOKUP(MOD(C2774,7),'CALENDAR INFO'!$G$5:$H$11,2)</f>
        <v>SUN</v>
      </c>
      <c r="G2774" s="411">
        <f t="shared" si="331"/>
        <v>0</v>
      </c>
      <c r="L2774" s="403">
        <f t="shared" si="332"/>
        <v>46572</v>
      </c>
      <c r="M2774" s="56" t="str">
        <f t="shared" si="333"/>
        <v>SUN</v>
      </c>
      <c r="O2774" s="383">
        <f>IF(MOD(C2774,7)&lt;2,0,IF(MOD(C2774,7)=6,3,1))</f>
        <v>0</v>
      </c>
      <c r="P2774" s="392">
        <f t="shared" si="336"/>
        <v>1</v>
      </c>
    </row>
    <row r="2775" spans="1:16">
      <c r="C2775" s="403">
        <f t="shared" si="334"/>
        <v>46573</v>
      </c>
      <c r="D2775" s="56" t="str">
        <f>VLOOKUP(MOD(C2775,7),'CALENDAR INFO'!$G$5:$H$11,2)</f>
        <v>MON</v>
      </c>
      <c r="G2775" s="411">
        <f t="shared" si="331"/>
        <v>0</v>
      </c>
      <c r="H2775" s="15" t="s">
        <v>224</v>
      </c>
      <c r="I2775" s="136">
        <v>2798</v>
      </c>
      <c r="J2775" s="138">
        <f>I2775</f>
        <v>2798</v>
      </c>
      <c r="L2775" s="403">
        <f t="shared" si="332"/>
        <v>46573</v>
      </c>
      <c r="M2775" s="56" t="str">
        <f t="shared" si="333"/>
        <v>MON</v>
      </c>
      <c r="N2775" s="132" t="s">
        <v>49</v>
      </c>
      <c r="O2775" s="384">
        <v>0</v>
      </c>
      <c r="P2775" s="392">
        <f t="shared" si="336"/>
        <v>1</v>
      </c>
    </row>
    <row r="2776" spans="1:16">
      <c r="C2776" s="403">
        <f t="shared" si="334"/>
        <v>46574</v>
      </c>
      <c r="D2776" s="56" t="str">
        <f>VLOOKUP(MOD(C2776,7),'CALENDAR INFO'!$G$5:$H$11,2)</f>
        <v>TUE</v>
      </c>
      <c r="G2776" s="411">
        <f t="shared" si="331"/>
        <v>0</v>
      </c>
      <c r="H2776" s="15" t="s">
        <v>225</v>
      </c>
      <c r="I2776" s="15" t="str">
        <f>_xlfn.CONCAT(ADDRESS(I2771,1),":",ADDRESS(I2775,1))</f>
        <v>$A$2771:$A$2798</v>
      </c>
      <c r="J2776" s="138" t="str">
        <f>_xlfn.CONCAT(ADDRESS(J2771,2),":",ADDRESS(J2775,2))</f>
        <v>$B$2771:$B$2798</v>
      </c>
      <c r="L2776" s="403">
        <f t="shared" si="332"/>
        <v>46574</v>
      </c>
      <c r="M2776" s="56" t="str">
        <f t="shared" si="333"/>
        <v>TUE</v>
      </c>
      <c r="O2776" s="383">
        <f t="shared" ref="O2776:O2807" si="337">IF(MOD(C2776,7)&lt;2,0,IF(MOD(C2776,7)=6,3,1))</f>
        <v>1</v>
      </c>
      <c r="P2776" s="392">
        <f t="shared" si="336"/>
        <v>1</v>
      </c>
    </row>
    <row r="2777" spans="1:16">
      <c r="C2777" s="403">
        <f t="shared" si="334"/>
        <v>46575</v>
      </c>
      <c r="D2777" s="56" t="str">
        <f>VLOOKUP(MOD(C2777,7),'CALENDAR INFO'!$G$5:$H$11,2)</f>
        <v>WED</v>
      </c>
      <c r="G2777" s="411">
        <f t="shared" si="331"/>
        <v>0</v>
      </c>
      <c r="H2777" s="15" t="s">
        <v>226</v>
      </c>
      <c r="I2777" s="15" t="str">
        <f>_xlfn.CONCAT(ADDRESS(I2775+1,1),":",ADDRESS(I2773,1))</f>
        <v>$A$2799:$A$2801</v>
      </c>
      <c r="J2777" s="138" t="str">
        <f>_xlfn.CONCAT(ADDRESS(J2775+1,2),":",ADDRESS(J2773,2))</f>
        <v>$B$2799:$B$2801</v>
      </c>
      <c r="L2777" s="403">
        <f t="shared" si="332"/>
        <v>46575</v>
      </c>
      <c r="M2777" s="56" t="str">
        <f t="shared" si="333"/>
        <v>WED</v>
      </c>
      <c r="O2777" s="383">
        <f t="shared" si="337"/>
        <v>1</v>
      </c>
      <c r="P2777" s="392">
        <f t="shared" si="336"/>
        <v>1</v>
      </c>
    </row>
    <row r="2778" spans="1:16">
      <c r="C2778" s="403">
        <f t="shared" si="334"/>
        <v>46576</v>
      </c>
      <c r="D2778" s="56" t="str">
        <f>VLOOKUP(MOD(C2778,7),'CALENDAR INFO'!$G$5:$H$11,2)</f>
        <v>THU</v>
      </c>
      <c r="G2778" s="411">
        <f t="shared" si="331"/>
        <v>0</v>
      </c>
      <c r="H2778" s="15" t="s">
        <v>150</v>
      </c>
      <c r="I2778" s="15" t="str">
        <f>_xlfn.CONCAT(ADDRESS(I2771,5),":",ADDRESS(I2773,5))</f>
        <v>$E$2771:$E$2801</v>
      </c>
      <c r="J2778" s="138" t="str">
        <f>_xlfn.CONCAT(ADDRESS(J2771,6),":",ADDRESS(J2773,6))</f>
        <v>$F$2771:$F$2801</v>
      </c>
      <c r="L2778" s="403">
        <f t="shared" si="332"/>
        <v>46576</v>
      </c>
      <c r="M2778" s="56" t="str">
        <f t="shared" si="333"/>
        <v>THU</v>
      </c>
      <c r="O2778" s="383">
        <f t="shared" si="337"/>
        <v>1</v>
      </c>
      <c r="P2778" s="392">
        <f t="shared" si="336"/>
        <v>1</v>
      </c>
    </row>
    <row r="2779" spans="1:16">
      <c r="C2779" s="403">
        <f t="shared" si="334"/>
        <v>46577</v>
      </c>
      <c r="D2779" s="56" t="str">
        <f>VLOOKUP(MOD(C2779,7),'CALENDAR INFO'!$G$5:$H$11,2)</f>
        <v>FRI</v>
      </c>
      <c r="G2779" s="411">
        <f t="shared" si="331"/>
        <v>0</v>
      </c>
      <c r="L2779" s="403">
        <f t="shared" si="332"/>
        <v>46577</v>
      </c>
      <c r="M2779" s="56" t="str">
        <f t="shared" si="333"/>
        <v>FRI</v>
      </c>
      <c r="O2779" s="383">
        <f t="shared" si="337"/>
        <v>3</v>
      </c>
      <c r="P2779" s="392">
        <f t="shared" si="336"/>
        <v>1</v>
      </c>
    </row>
    <row r="2780" spans="1:16">
      <c r="C2780" s="403">
        <f t="shared" si="334"/>
        <v>46578</v>
      </c>
      <c r="D2780" s="56" t="str">
        <f>VLOOKUP(MOD(C2780,7),'CALENDAR INFO'!$G$5:$H$11,2)</f>
        <v>SAT</v>
      </c>
      <c r="G2780" s="411">
        <f t="shared" si="331"/>
        <v>0</v>
      </c>
      <c r="H2780" s="15" t="s">
        <v>117</v>
      </c>
      <c r="I2780" s="15">
        <f>I2772</f>
        <v>31</v>
      </c>
      <c r="J2780" s="138">
        <f>J2772</f>
        <v>31</v>
      </c>
      <c r="L2780" s="403">
        <f t="shared" si="332"/>
        <v>46578</v>
      </c>
      <c r="M2780" s="56" t="str">
        <f t="shared" si="333"/>
        <v>SAT</v>
      </c>
      <c r="O2780" s="383">
        <f t="shared" si="337"/>
        <v>0</v>
      </c>
      <c r="P2780" s="392">
        <f t="shared" si="336"/>
        <v>1</v>
      </c>
    </row>
    <row r="2781" spans="1:16">
      <c r="C2781" s="403">
        <f t="shared" si="334"/>
        <v>46579</v>
      </c>
      <c r="D2781" s="56" t="str">
        <f>VLOOKUP(MOD(C2781,7),'CALENDAR INFO'!$G$5:$H$11,2)</f>
        <v>SUN</v>
      </c>
      <c r="G2781" s="411">
        <f t="shared" si="331"/>
        <v>0</v>
      </c>
      <c r="H2781" s="376" t="s">
        <v>213</v>
      </c>
      <c r="I2781" s="15">
        <f ca="1">COUNT(INDIRECT(I2778))</f>
        <v>0</v>
      </c>
      <c r="J2781" s="138">
        <f ca="1">COUNT(INDIRECT(J2778))</f>
        <v>0</v>
      </c>
      <c r="L2781" s="403">
        <f t="shared" si="332"/>
        <v>46579</v>
      </c>
      <c r="M2781" s="56" t="str">
        <f t="shared" si="333"/>
        <v>SUN</v>
      </c>
      <c r="O2781" s="383">
        <f t="shared" si="337"/>
        <v>0</v>
      </c>
      <c r="P2781" s="392">
        <f t="shared" si="336"/>
        <v>1</v>
      </c>
    </row>
    <row r="2782" spans="1:16">
      <c r="C2782" s="403">
        <f t="shared" si="334"/>
        <v>46580</v>
      </c>
      <c r="D2782" s="56" t="str">
        <f>VLOOKUP(MOD(C2782,7),'CALENDAR INFO'!$G$5:$H$11,2)</f>
        <v>MON</v>
      </c>
      <c r="G2782" s="411">
        <f t="shared" si="331"/>
        <v>0</v>
      </c>
      <c r="H2782" s="376" t="s">
        <v>229</v>
      </c>
      <c r="I2782" s="171">
        <f ca="1">COUNT(INDIRECT(I2776))</f>
        <v>0</v>
      </c>
      <c r="J2782" s="172">
        <f ca="1">COUNT(INDIRECT(J2776))</f>
        <v>0</v>
      </c>
      <c r="L2782" s="403">
        <f t="shared" si="332"/>
        <v>46580</v>
      </c>
      <c r="M2782" s="56" t="str">
        <f t="shared" si="333"/>
        <v>MON</v>
      </c>
      <c r="O2782" s="383">
        <f t="shared" si="337"/>
        <v>1</v>
      </c>
      <c r="P2782" s="392">
        <f t="shared" si="336"/>
        <v>1</v>
      </c>
    </row>
    <row r="2783" spans="1:16">
      <c r="C2783" s="403">
        <f t="shared" si="334"/>
        <v>46581</v>
      </c>
      <c r="D2783" s="56" t="str">
        <f>VLOOKUP(MOD(C2783,7),'CALENDAR INFO'!$G$5:$H$11,2)</f>
        <v>TUE</v>
      </c>
      <c r="G2783" s="411">
        <f t="shared" si="331"/>
        <v>0</v>
      </c>
      <c r="H2783" s="376" t="s">
        <v>230</v>
      </c>
      <c r="I2783" s="15">
        <f ca="1">I2780-I2781-I2782</f>
        <v>31</v>
      </c>
      <c r="J2783" s="138">
        <f ca="1">J2780-J2781-J2782</f>
        <v>31</v>
      </c>
      <c r="L2783" s="403">
        <f t="shared" si="332"/>
        <v>46581</v>
      </c>
      <c r="M2783" s="56" t="str">
        <f t="shared" si="333"/>
        <v>TUE</v>
      </c>
      <c r="O2783" s="383">
        <f t="shared" si="337"/>
        <v>1</v>
      </c>
      <c r="P2783" s="392">
        <f t="shared" si="336"/>
        <v>1</v>
      </c>
    </row>
    <row r="2784" spans="1:16">
      <c r="C2784" s="403">
        <f t="shared" si="334"/>
        <v>46582</v>
      </c>
      <c r="D2784" s="56" t="str">
        <f>VLOOKUP(MOD(C2784,7),'CALENDAR INFO'!$G$5:$H$11,2)</f>
        <v>WED</v>
      </c>
      <c r="G2784" s="411">
        <f t="shared" si="331"/>
        <v>0</v>
      </c>
      <c r="L2784" s="403">
        <f t="shared" si="332"/>
        <v>46582</v>
      </c>
      <c r="M2784" s="56" t="str">
        <f t="shared" si="333"/>
        <v>WED</v>
      </c>
      <c r="O2784" s="383">
        <f t="shared" si="337"/>
        <v>1</v>
      </c>
      <c r="P2784" s="392">
        <f t="shared" si="336"/>
        <v>1</v>
      </c>
    </row>
    <row r="2785" spans="3:16">
      <c r="C2785" s="403">
        <f t="shared" si="334"/>
        <v>46583</v>
      </c>
      <c r="D2785" s="56" t="str">
        <f>VLOOKUP(MOD(C2785,7),'CALENDAR INFO'!$G$5:$H$11,2)</f>
        <v>THU</v>
      </c>
      <c r="G2785" s="411">
        <f t="shared" si="331"/>
        <v>0</v>
      </c>
      <c r="H2785" s="15" t="s">
        <v>175</v>
      </c>
      <c r="I2785" s="139">
        <f>OUTPUT!C15</f>
        <v>4.5649999999999977</v>
      </c>
      <c r="J2785" s="151">
        <f>OUTPUT!F15</f>
        <v>4.5900000000000034</v>
      </c>
      <c r="L2785" s="403">
        <f t="shared" si="332"/>
        <v>46583</v>
      </c>
      <c r="M2785" s="56" t="str">
        <f t="shared" si="333"/>
        <v>THU</v>
      </c>
      <c r="O2785" s="383">
        <f t="shared" si="337"/>
        <v>1</v>
      </c>
      <c r="P2785" s="392">
        <f t="shared" si="336"/>
        <v>1</v>
      </c>
    </row>
    <row r="2786" spans="3:16">
      <c r="C2786" s="403">
        <f t="shared" si="334"/>
        <v>46584</v>
      </c>
      <c r="D2786" s="56" t="str">
        <f>VLOOKUP(MOD(C2786,7),'CALENDAR INFO'!$G$5:$H$11,2)</f>
        <v>FRI</v>
      </c>
      <c r="G2786" s="411">
        <f t="shared" si="331"/>
        <v>0</v>
      </c>
      <c r="H2786" s="15" t="s">
        <v>209</v>
      </c>
      <c r="I2786" s="171">
        <f>I2772</f>
        <v>31</v>
      </c>
      <c r="J2786" s="172">
        <f>J2772</f>
        <v>31</v>
      </c>
      <c r="L2786" s="403">
        <f t="shared" si="332"/>
        <v>46584</v>
      </c>
      <c r="M2786" s="56" t="str">
        <f t="shared" si="333"/>
        <v>FRI</v>
      </c>
      <c r="O2786" s="383">
        <f t="shared" si="337"/>
        <v>3</v>
      </c>
      <c r="P2786" s="392">
        <f t="shared" si="336"/>
        <v>1</v>
      </c>
    </row>
    <row r="2787" spans="3:16">
      <c r="C2787" s="403">
        <f t="shared" si="334"/>
        <v>46585</v>
      </c>
      <c r="D2787" s="56" t="str">
        <f>VLOOKUP(MOD(C2787,7),'CALENDAR INFO'!$G$5:$H$11,2)</f>
        <v>SAT</v>
      </c>
      <c r="G2787" s="411">
        <f t="shared" si="331"/>
        <v>0</v>
      </c>
      <c r="H2787" s="376" t="s">
        <v>214</v>
      </c>
      <c r="I2787" s="137">
        <f>I2785*I2786</f>
        <v>141.51499999999993</v>
      </c>
      <c r="J2787" s="150">
        <f>J2785*J2786</f>
        <v>142.29000000000011</v>
      </c>
      <c r="L2787" s="403">
        <f t="shared" si="332"/>
        <v>46585</v>
      </c>
      <c r="M2787" s="56" t="str">
        <f t="shared" si="333"/>
        <v>SAT</v>
      </c>
      <c r="O2787" s="383">
        <f t="shared" si="337"/>
        <v>0</v>
      </c>
      <c r="P2787" s="392">
        <f t="shared" si="336"/>
        <v>1</v>
      </c>
    </row>
    <row r="2788" spans="3:16">
      <c r="C2788" s="403">
        <f t="shared" si="334"/>
        <v>46586</v>
      </c>
      <c r="D2788" s="56" t="str">
        <f>VLOOKUP(MOD(C2788,7),'CALENDAR INFO'!$G$5:$H$11,2)</f>
        <v>SUN</v>
      </c>
      <c r="G2788" s="411">
        <f t="shared" si="331"/>
        <v>0</v>
      </c>
      <c r="H2788" s="376" t="s">
        <v>215</v>
      </c>
      <c r="I2788" s="137">
        <f ca="1">SUM(INDIRECT(I2778))</f>
        <v>0</v>
      </c>
      <c r="J2788" s="150">
        <f ca="1">SUM(INDIRECT(J2778))</f>
        <v>0</v>
      </c>
      <c r="L2788" s="403">
        <f t="shared" si="332"/>
        <v>46586</v>
      </c>
      <c r="M2788" s="56" t="str">
        <f t="shared" si="333"/>
        <v>SUN</v>
      </c>
      <c r="O2788" s="383">
        <f t="shared" si="337"/>
        <v>0</v>
      </c>
      <c r="P2788" s="392">
        <f t="shared" si="336"/>
        <v>1</v>
      </c>
    </row>
    <row r="2789" spans="3:16">
      <c r="C2789" s="403">
        <f t="shared" si="334"/>
        <v>46587</v>
      </c>
      <c r="D2789" s="56" t="str">
        <f>VLOOKUP(MOD(C2789,7),'CALENDAR INFO'!$G$5:$H$11,2)</f>
        <v>MON</v>
      </c>
      <c r="G2789" s="411">
        <f t="shared" si="331"/>
        <v>0</v>
      </c>
      <c r="H2789" s="376" t="s">
        <v>231</v>
      </c>
      <c r="I2789" s="163">
        <f ca="1">SUM(INDIRECT(I2776))</f>
        <v>0</v>
      </c>
      <c r="J2789" s="164">
        <f ca="1">SUM(INDIRECT(J2776))</f>
        <v>0</v>
      </c>
      <c r="L2789" s="403">
        <f t="shared" si="332"/>
        <v>46587</v>
      </c>
      <c r="M2789" s="56" t="str">
        <f t="shared" si="333"/>
        <v>MON</v>
      </c>
      <c r="O2789" s="383">
        <f t="shared" si="337"/>
        <v>1</v>
      </c>
      <c r="P2789" s="392">
        <f t="shared" si="336"/>
        <v>1</v>
      </c>
    </row>
    <row r="2790" spans="3:16">
      <c r="C2790" s="403">
        <f t="shared" si="334"/>
        <v>46588</v>
      </c>
      <c r="D2790" s="56" t="str">
        <f>VLOOKUP(MOD(C2790,7),'CALENDAR INFO'!$G$5:$H$11,2)</f>
        <v>TUE</v>
      </c>
      <c r="G2790" s="411">
        <f t="shared" si="331"/>
        <v>0</v>
      </c>
      <c r="H2790" s="376" t="s">
        <v>232</v>
      </c>
      <c r="I2790" s="137">
        <f ca="1">I2787-I2788-I2789</f>
        <v>141.51499999999993</v>
      </c>
      <c r="J2790" s="150">
        <f ca="1">J2787-J2788-J2789</f>
        <v>142.29000000000011</v>
      </c>
      <c r="L2790" s="403">
        <f t="shared" si="332"/>
        <v>46588</v>
      </c>
      <c r="M2790" s="56" t="str">
        <f t="shared" si="333"/>
        <v>TUE</v>
      </c>
      <c r="O2790" s="383">
        <f t="shared" si="337"/>
        <v>1</v>
      </c>
      <c r="P2790" s="392">
        <f t="shared" si="336"/>
        <v>1</v>
      </c>
    </row>
    <row r="2791" spans="3:16">
      <c r="C2791" s="403">
        <f t="shared" si="334"/>
        <v>46589</v>
      </c>
      <c r="D2791" s="56" t="str">
        <f>VLOOKUP(MOD(C2791,7),'CALENDAR INFO'!$G$5:$H$11,2)</f>
        <v>WED</v>
      </c>
      <c r="G2791" s="411">
        <f t="shared" si="331"/>
        <v>0</v>
      </c>
      <c r="L2791" s="403">
        <f t="shared" si="332"/>
        <v>46589</v>
      </c>
      <c r="M2791" s="56" t="str">
        <f t="shared" si="333"/>
        <v>WED</v>
      </c>
      <c r="O2791" s="383">
        <f t="shared" si="337"/>
        <v>1</v>
      </c>
      <c r="P2791" s="392">
        <f t="shared" si="336"/>
        <v>1</v>
      </c>
    </row>
    <row r="2792" spans="3:16">
      <c r="C2792" s="403">
        <f t="shared" si="334"/>
        <v>46590</v>
      </c>
      <c r="D2792" s="56" t="str">
        <f>VLOOKUP(MOD(C2792,7),'CALENDAR INFO'!$G$5:$H$11,2)</f>
        <v>THU</v>
      </c>
      <c r="G2792" s="411">
        <f t="shared" si="331"/>
        <v>0</v>
      </c>
      <c r="H2792" s="15" t="s">
        <v>233</v>
      </c>
      <c r="I2792" s="137">
        <f ca="1">I2790</f>
        <v>141.51499999999993</v>
      </c>
      <c r="J2792" s="150">
        <f ca="1">J2790</f>
        <v>142.29000000000011</v>
      </c>
      <c r="L2792" s="403">
        <f t="shared" si="332"/>
        <v>46590</v>
      </c>
      <c r="M2792" s="56" t="str">
        <f t="shared" si="333"/>
        <v>THU</v>
      </c>
      <c r="O2792" s="383">
        <f t="shared" si="337"/>
        <v>1</v>
      </c>
      <c r="P2792" s="392">
        <f t="shared" si="336"/>
        <v>1</v>
      </c>
    </row>
    <row r="2793" spans="3:16">
      <c r="C2793" s="403">
        <f t="shared" si="334"/>
        <v>46591</v>
      </c>
      <c r="D2793" s="56" t="str">
        <f>VLOOKUP(MOD(C2793,7),'CALENDAR INFO'!$G$5:$H$11,2)</f>
        <v>FRI</v>
      </c>
      <c r="G2793" s="411">
        <f t="shared" si="331"/>
        <v>0</v>
      </c>
      <c r="H2793" s="376" t="s">
        <v>227</v>
      </c>
      <c r="I2793" s="171">
        <f ca="1">I2783</f>
        <v>31</v>
      </c>
      <c r="J2793" s="172">
        <f ca="1">J2783</f>
        <v>31</v>
      </c>
      <c r="L2793" s="403">
        <f t="shared" si="332"/>
        <v>46591</v>
      </c>
      <c r="M2793" s="56" t="str">
        <f t="shared" si="333"/>
        <v>FRI</v>
      </c>
      <c r="O2793" s="383">
        <f t="shared" si="337"/>
        <v>3</v>
      </c>
      <c r="P2793" s="392">
        <f t="shared" si="336"/>
        <v>1</v>
      </c>
    </row>
    <row r="2794" spans="3:16">
      <c r="C2794" s="403">
        <f t="shared" si="334"/>
        <v>46592</v>
      </c>
      <c r="D2794" s="56" t="str">
        <f>VLOOKUP(MOD(C2794,7),'CALENDAR INFO'!$G$5:$H$11,2)</f>
        <v>SAT</v>
      </c>
      <c r="G2794" s="411">
        <f t="shared" si="331"/>
        <v>0</v>
      </c>
      <c r="H2794" s="15" t="s">
        <v>228</v>
      </c>
      <c r="I2794" s="137">
        <f ca="1">I2792/I2793</f>
        <v>4.5649999999999977</v>
      </c>
      <c r="J2794" s="150">
        <f ca="1">J2792/J2793</f>
        <v>4.5900000000000034</v>
      </c>
      <c r="L2794" s="403">
        <f t="shared" si="332"/>
        <v>46592</v>
      </c>
      <c r="M2794" s="56" t="str">
        <f t="shared" si="333"/>
        <v>SAT</v>
      </c>
      <c r="O2794" s="383">
        <f t="shared" si="337"/>
        <v>0</v>
      </c>
      <c r="P2794" s="392">
        <f t="shared" si="336"/>
        <v>1</v>
      </c>
    </row>
    <row r="2795" spans="3:16">
      <c r="C2795" s="403">
        <f t="shared" si="334"/>
        <v>46593</v>
      </c>
      <c r="D2795" s="56" t="str">
        <f>VLOOKUP(MOD(C2795,7),'CALENDAR INFO'!$G$5:$H$11,2)</f>
        <v>SUN</v>
      </c>
      <c r="G2795" s="411">
        <f t="shared" si="331"/>
        <v>0</v>
      </c>
      <c r="L2795" s="403">
        <f t="shared" si="332"/>
        <v>46593</v>
      </c>
      <c r="M2795" s="56" t="str">
        <f t="shared" si="333"/>
        <v>SUN</v>
      </c>
      <c r="O2795" s="383">
        <f t="shared" si="337"/>
        <v>0</v>
      </c>
      <c r="P2795" s="392">
        <f t="shared" si="336"/>
        <v>1</v>
      </c>
    </row>
    <row r="2796" spans="3:16">
      <c r="C2796" s="403">
        <f t="shared" si="334"/>
        <v>46594</v>
      </c>
      <c r="D2796" s="56" t="str">
        <f>VLOOKUP(MOD(C2796,7),'CALENDAR INFO'!$G$5:$H$11,2)</f>
        <v>MON</v>
      </c>
      <c r="G2796" s="411">
        <f t="shared" si="331"/>
        <v>0</v>
      </c>
      <c r="H2796" s="376" t="s">
        <v>221</v>
      </c>
      <c r="I2796" s="147" t="e">
        <f ca="1">AVERAGE(INDIRECT(I2778))</f>
        <v>#DIV/0!</v>
      </c>
      <c r="J2796" s="326" t="e">
        <f ca="1">AVERAGE(INDIRECT(J2778))</f>
        <v>#DIV/0!</v>
      </c>
      <c r="L2796" s="403">
        <f t="shared" si="332"/>
        <v>46594</v>
      </c>
      <c r="M2796" s="56" t="str">
        <f t="shared" si="333"/>
        <v>MON</v>
      </c>
      <c r="O2796" s="383">
        <f t="shared" si="337"/>
        <v>1</v>
      </c>
      <c r="P2796" s="392">
        <f t="shared" si="336"/>
        <v>1</v>
      </c>
    </row>
    <row r="2797" spans="3:16">
      <c r="C2797" s="403">
        <f t="shared" si="334"/>
        <v>46595</v>
      </c>
      <c r="D2797" s="56" t="str">
        <f>VLOOKUP(MOD(C2797,7),'CALENDAR INFO'!$G$5:$H$11,2)</f>
        <v>TUE</v>
      </c>
      <c r="G2797" s="411">
        <f t="shared" si="331"/>
        <v>0</v>
      </c>
      <c r="H2797" s="15" t="s">
        <v>222</v>
      </c>
      <c r="I2797" s="147" t="e">
        <f ca="1">100-I2796</f>
        <v>#DIV/0!</v>
      </c>
      <c r="J2797" s="326" t="e">
        <f ca="1">100-J2796</f>
        <v>#DIV/0!</v>
      </c>
      <c r="L2797" s="403">
        <f t="shared" si="332"/>
        <v>46595</v>
      </c>
      <c r="M2797" s="56" t="str">
        <f t="shared" si="333"/>
        <v>TUE</v>
      </c>
      <c r="N2797" s="116" t="s">
        <v>20</v>
      </c>
      <c r="O2797" s="383">
        <f t="shared" si="337"/>
        <v>1</v>
      </c>
      <c r="P2797" s="392">
        <f t="shared" si="336"/>
        <v>1</v>
      </c>
    </row>
    <row r="2798" spans="3:16">
      <c r="C2798" s="403">
        <f t="shared" si="334"/>
        <v>46596</v>
      </c>
      <c r="D2798" s="56" t="str">
        <f>VLOOKUP(MOD(C2798,7),'CALENDAR INFO'!$G$5:$H$11,2)</f>
        <v>WED</v>
      </c>
      <c r="G2798" s="411">
        <f t="shared" si="331"/>
        <v>0</v>
      </c>
      <c r="H2798" s="425" t="s">
        <v>97</v>
      </c>
      <c r="I2798" s="419"/>
      <c r="J2798" s="426"/>
      <c r="L2798" s="403">
        <f t="shared" si="332"/>
        <v>46596</v>
      </c>
      <c r="M2798" s="56" t="str">
        <f t="shared" si="333"/>
        <v>WED</v>
      </c>
      <c r="N2798" s="116" t="s">
        <v>20</v>
      </c>
      <c r="O2798" s="383">
        <f t="shared" si="337"/>
        <v>1</v>
      </c>
      <c r="P2798" s="392">
        <f t="shared" si="336"/>
        <v>1</v>
      </c>
    </row>
    <row r="2799" spans="3:16">
      <c r="C2799" s="403">
        <f t="shared" si="334"/>
        <v>46597</v>
      </c>
      <c r="D2799" s="56" t="str">
        <f>VLOOKUP(MOD(C2799,7),'CALENDAR INFO'!$G$5:$H$11,2)</f>
        <v>THU</v>
      </c>
      <c r="G2799" s="411">
        <f t="shared" si="331"/>
        <v>0</v>
      </c>
      <c r="L2799" s="403">
        <f t="shared" si="332"/>
        <v>46597</v>
      </c>
      <c r="M2799" s="56" t="str">
        <f t="shared" si="333"/>
        <v>THU</v>
      </c>
      <c r="O2799" s="383">
        <f t="shared" si="337"/>
        <v>1</v>
      </c>
      <c r="P2799" s="392">
        <f t="shared" si="336"/>
        <v>1</v>
      </c>
    </row>
    <row r="2800" spans="3:16">
      <c r="C2800" s="403">
        <f t="shared" si="334"/>
        <v>46598</v>
      </c>
      <c r="D2800" s="56" t="str">
        <f>VLOOKUP(MOD(C2800,7),'CALENDAR INFO'!$G$5:$H$11,2)</f>
        <v>FRI</v>
      </c>
      <c r="G2800" s="411">
        <f t="shared" si="331"/>
        <v>0</v>
      </c>
      <c r="L2800" s="403">
        <f t="shared" si="332"/>
        <v>46598</v>
      </c>
      <c r="M2800" s="56" t="str">
        <f t="shared" si="333"/>
        <v>FRI</v>
      </c>
      <c r="O2800" s="383">
        <f t="shared" si="337"/>
        <v>3</v>
      </c>
      <c r="P2800" s="392">
        <f t="shared" si="336"/>
        <v>1</v>
      </c>
    </row>
    <row r="2801" spans="1:16">
      <c r="C2801" s="403">
        <f t="shared" si="334"/>
        <v>46599</v>
      </c>
      <c r="D2801" s="56" t="str">
        <f>VLOOKUP(MOD(C2801,7),'CALENDAR INFO'!$G$5:$H$11,2)</f>
        <v>SAT</v>
      </c>
      <c r="G2801" s="411">
        <f t="shared" si="331"/>
        <v>0</v>
      </c>
      <c r="L2801" s="403">
        <f t="shared" si="332"/>
        <v>46599</v>
      </c>
      <c r="M2801" s="56" t="str">
        <f t="shared" si="333"/>
        <v>SAT</v>
      </c>
      <c r="O2801" s="383">
        <f t="shared" si="337"/>
        <v>0</v>
      </c>
      <c r="P2801" s="392">
        <f t="shared" si="336"/>
        <v>1</v>
      </c>
    </row>
    <row r="2802" spans="1:16">
      <c r="A2802" s="39">
        <f ca="1">I$2820</f>
        <v>4.5949999999999989</v>
      </c>
      <c r="B2802" s="41">
        <f ca="1">J$2820</f>
        <v>4.6200000000000045</v>
      </c>
      <c r="C2802" s="403">
        <f t="shared" si="334"/>
        <v>46600</v>
      </c>
      <c r="D2802" s="56" t="str">
        <f>VLOOKUP(MOD(C2802,7),'CALENDAR INFO'!$G$5:$H$11,2)</f>
        <v>SUN</v>
      </c>
      <c r="G2802" s="411">
        <f t="shared" si="331"/>
        <v>0</v>
      </c>
      <c r="H2802" s="15" t="s">
        <v>149</v>
      </c>
      <c r="I2802" s="15">
        <f>ROW(I2802)</f>
        <v>2802</v>
      </c>
      <c r="J2802" s="138">
        <f>I2802</f>
        <v>2802</v>
      </c>
      <c r="L2802" s="403">
        <f t="shared" si="332"/>
        <v>46600</v>
      </c>
      <c r="M2802" s="56" t="str">
        <f t="shared" si="333"/>
        <v>SUN</v>
      </c>
      <c r="O2802" s="383">
        <f t="shared" si="337"/>
        <v>0</v>
      </c>
      <c r="P2802" s="392">
        <f t="shared" ca="1" si="336"/>
        <v>1</v>
      </c>
    </row>
    <row r="2803" spans="1:16">
      <c r="A2803" s="39">
        <f t="shared" ref="A2803:A2832" ca="1" si="338">I$2820</f>
        <v>4.5949999999999989</v>
      </c>
      <c r="B2803" s="41">
        <f t="shared" ref="B2803:B2832" ca="1" si="339">J$2820</f>
        <v>4.6200000000000045</v>
      </c>
      <c r="C2803" s="403">
        <f t="shared" si="334"/>
        <v>46601</v>
      </c>
      <c r="D2803" s="56" t="str">
        <f>VLOOKUP(MOD(C2803,7),'CALENDAR INFO'!$G$5:$H$11,2)</f>
        <v>MON</v>
      </c>
      <c r="G2803" s="411">
        <f t="shared" si="331"/>
        <v>0</v>
      </c>
      <c r="H2803" s="376" t="s">
        <v>210</v>
      </c>
      <c r="I2803" s="171">
        <f>VLOOKUP(MONTH($C2802),'CALENDAR INFO'!$J$5:$K$16,2)</f>
        <v>31</v>
      </c>
      <c r="J2803" s="172">
        <f>I2803</f>
        <v>31</v>
      </c>
      <c r="L2803" s="403">
        <f t="shared" si="332"/>
        <v>46601</v>
      </c>
      <c r="M2803" s="56" t="str">
        <f t="shared" si="333"/>
        <v>MON</v>
      </c>
      <c r="O2803" s="383">
        <f t="shared" si="337"/>
        <v>1</v>
      </c>
      <c r="P2803" s="392">
        <f t="shared" ca="1" si="336"/>
        <v>1.0001283333333333</v>
      </c>
    </row>
    <row r="2804" spans="1:16">
      <c r="A2804" s="39">
        <f t="shared" ca="1" si="338"/>
        <v>4.5949999999999989</v>
      </c>
      <c r="B2804" s="41">
        <f t="shared" ca="1" si="339"/>
        <v>4.6200000000000045</v>
      </c>
      <c r="C2804" s="403">
        <f t="shared" si="334"/>
        <v>46602</v>
      </c>
      <c r="D2804" s="56" t="str">
        <f>VLOOKUP(MOD(C2804,7),'CALENDAR INFO'!$G$5:$H$11,2)</f>
        <v>TUE</v>
      </c>
      <c r="G2804" s="411">
        <f t="shared" si="331"/>
        <v>0</v>
      </c>
      <c r="H2804" s="376" t="s">
        <v>211</v>
      </c>
      <c r="I2804" s="15">
        <f>I2803+I2802-1</f>
        <v>2832</v>
      </c>
      <c r="J2804" s="138">
        <f>I2804</f>
        <v>2832</v>
      </c>
      <c r="L2804" s="403">
        <f t="shared" si="332"/>
        <v>46602</v>
      </c>
      <c r="M2804" s="56" t="str">
        <f t="shared" si="333"/>
        <v>TUE</v>
      </c>
      <c r="O2804" s="383">
        <f t="shared" si="337"/>
        <v>1</v>
      </c>
      <c r="P2804" s="392">
        <f t="shared" ca="1" si="336"/>
        <v>1.0001283333333333</v>
      </c>
    </row>
    <row r="2805" spans="1:16">
      <c r="A2805" s="39">
        <f t="shared" ca="1" si="338"/>
        <v>4.5949999999999989</v>
      </c>
      <c r="B2805" s="41">
        <f t="shared" ca="1" si="339"/>
        <v>4.6200000000000045</v>
      </c>
      <c r="C2805" s="403">
        <f t="shared" si="334"/>
        <v>46603</v>
      </c>
      <c r="D2805" s="56" t="str">
        <f>VLOOKUP(MOD(C2805,7),'CALENDAR INFO'!$G$5:$H$11,2)</f>
        <v>WED</v>
      </c>
      <c r="G2805" s="411">
        <f t="shared" si="331"/>
        <v>0</v>
      </c>
      <c r="L2805" s="403">
        <f t="shared" si="332"/>
        <v>46603</v>
      </c>
      <c r="M2805" s="56" t="str">
        <f t="shared" si="333"/>
        <v>WED</v>
      </c>
      <c r="O2805" s="383">
        <f t="shared" si="337"/>
        <v>1</v>
      </c>
      <c r="P2805" s="392">
        <f t="shared" ca="1" si="336"/>
        <v>1.0001283333333333</v>
      </c>
    </row>
    <row r="2806" spans="1:16">
      <c r="A2806" s="39">
        <f t="shared" ca="1" si="338"/>
        <v>4.5949999999999989</v>
      </c>
      <c r="B2806" s="41">
        <f t="shared" ca="1" si="339"/>
        <v>4.6200000000000045</v>
      </c>
      <c r="C2806" s="403">
        <f t="shared" si="334"/>
        <v>46604</v>
      </c>
      <c r="D2806" s="56" t="str">
        <f>VLOOKUP(MOD(C2806,7),'CALENDAR INFO'!$G$5:$H$11,2)</f>
        <v>THU</v>
      </c>
      <c r="G2806" s="411">
        <f t="shared" si="331"/>
        <v>0</v>
      </c>
      <c r="H2806" s="15" t="s">
        <v>150</v>
      </c>
      <c r="I2806" s="137" t="str">
        <f>_xlfn.CONCAT(ADDRESS(I2802,5),":",ADDRESS(I2804,5))</f>
        <v>$E$2802:$E$2832</v>
      </c>
      <c r="J2806" s="150" t="str">
        <f>_xlfn.CONCAT(ADDRESS(J2802,6),":",ADDRESS(J2804,6))</f>
        <v>$F$2802:$F$2832</v>
      </c>
      <c r="L2806" s="403">
        <f t="shared" si="332"/>
        <v>46604</v>
      </c>
      <c r="M2806" s="56" t="str">
        <f t="shared" si="333"/>
        <v>THU</v>
      </c>
      <c r="O2806" s="383">
        <f t="shared" si="337"/>
        <v>1</v>
      </c>
      <c r="P2806" s="392">
        <f t="shared" ca="1" si="336"/>
        <v>1.0001283333333333</v>
      </c>
    </row>
    <row r="2807" spans="1:16">
      <c r="A2807" s="39">
        <f t="shared" ca="1" si="338"/>
        <v>4.5949999999999989</v>
      </c>
      <c r="B2807" s="41">
        <f t="shared" ca="1" si="339"/>
        <v>4.6200000000000045</v>
      </c>
      <c r="C2807" s="403">
        <f t="shared" si="334"/>
        <v>46605</v>
      </c>
      <c r="D2807" s="56" t="str">
        <f>VLOOKUP(MOD(C2807,7),'CALENDAR INFO'!$G$5:$H$11,2)</f>
        <v>FRI</v>
      </c>
      <c r="G2807" s="411">
        <f t="shared" si="331"/>
        <v>0</v>
      </c>
      <c r="I2807" s="171"/>
      <c r="J2807" s="172"/>
      <c r="L2807" s="403">
        <f t="shared" si="332"/>
        <v>46605</v>
      </c>
      <c r="M2807" s="56" t="str">
        <f t="shared" si="333"/>
        <v>FRI</v>
      </c>
      <c r="O2807" s="383">
        <f t="shared" si="337"/>
        <v>3</v>
      </c>
      <c r="P2807" s="392">
        <f t="shared" ca="1" si="336"/>
        <v>1.0003850000000001</v>
      </c>
    </row>
    <row r="2808" spans="1:16">
      <c r="A2808" s="39">
        <f t="shared" ca="1" si="338"/>
        <v>4.5949999999999989</v>
      </c>
      <c r="B2808" s="41">
        <f t="shared" ca="1" si="339"/>
        <v>4.6200000000000045</v>
      </c>
      <c r="C2808" s="403">
        <f t="shared" si="334"/>
        <v>46606</v>
      </c>
      <c r="D2808" s="56" t="str">
        <f>VLOOKUP(MOD(C2808,7),'CALENDAR INFO'!$G$5:$H$11,2)</f>
        <v>SAT</v>
      </c>
      <c r="G2808" s="411">
        <f t="shared" si="331"/>
        <v>0</v>
      </c>
      <c r="H2808" s="376" t="s">
        <v>117</v>
      </c>
      <c r="I2808" s="240">
        <f>I2803</f>
        <v>31</v>
      </c>
      <c r="J2808" s="157">
        <f>J2803</f>
        <v>31</v>
      </c>
      <c r="L2808" s="403">
        <f t="shared" si="332"/>
        <v>46606</v>
      </c>
      <c r="M2808" s="56" t="str">
        <f t="shared" si="333"/>
        <v>SAT</v>
      </c>
      <c r="O2808" s="383">
        <f t="shared" ref="O2808:O2834" si="340">IF(MOD(C2808,7)&lt;2,0,IF(MOD(C2808,7)=6,3,1))</f>
        <v>0</v>
      </c>
      <c r="P2808" s="392">
        <f t="shared" ca="1" si="336"/>
        <v>1</v>
      </c>
    </row>
    <row r="2809" spans="1:16">
      <c r="A2809" s="39">
        <f t="shared" ca="1" si="338"/>
        <v>4.5949999999999989</v>
      </c>
      <c r="B2809" s="41">
        <f t="shared" ca="1" si="339"/>
        <v>4.6200000000000045</v>
      </c>
      <c r="C2809" s="403">
        <f t="shared" si="334"/>
        <v>46607</v>
      </c>
      <c r="D2809" s="56" t="str">
        <f>VLOOKUP(MOD(C2809,7),'CALENDAR INFO'!$G$5:$H$11,2)</f>
        <v>SUN</v>
      </c>
      <c r="G2809" s="411">
        <f t="shared" si="331"/>
        <v>0</v>
      </c>
      <c r="H2809" s="15" t="s">
        <v>213</v>
      </c>
      <c r="I2809" s="241">
        <f ca="1">COUNTA(INDIRECT(I2806))</f>
        <v>0</v>
      </c>
      <c r="J2809" s="243">
        <f ca="1">COUNTA(INDIRECT(J2806))</f>
        <v>0</v>
      </c>
      <c r="L2809" s="403">
        <f t="shared" si="332"/>
        <v>46607</v>
      </c>
      <c r="M2809" s="56" t="str">
        <f t="shared" si="333"/>
        <v>SUN</v>
      </c>
      <c r="O2809" s="383">
        <f t="shared" si="340"/>
        <v>0</v>
      </c>
      <c r="P2809" s="392">
        <f t="shared" ca="1" si="336"/>
        <v>1</v>
      </c>
    </row>
    <row r="2810" spans="1:16">
      <c r="A2810" s="39">
        <f t="shared" ca="1" si="338"/>
        <v>4.5949999999999989</v>
      </c>
      <c r="B2810" s="41">
        <f t="shared" ca="1" si="339"/>
        <v>4.6200000000000045</v>
      </c>
      <c r="C2810" s="403">
        <f t="shared" si="334"/>
        <v>46608</v>
      </c>
      <c r="D2810" s="56" t="str">
        <f>VLOOKUP(MOD(C2810,7),'CALENDAR INFO'!$G$5:$H$11,2)</f>
        <v>MON</v>
      </c>
      <c r="G2810" s="411">
        <f t="shared" si="331"/>
        <v>0</v>
      </c>
      <c r="H2810" s="15" t="s">
        <v>212</v>
      </c>
      <c r="I2810" s="240">
        <f ca="1">I2808-I2809</f>
        <v>31</v>
      </c>
      <c r="J2810" s="157">
        <f ca="1">J2808-J2809</f>
        <v>31</v>
      </c>
      <c r="L2810" s="403">
        <f t="shared" si="332"/>
        <v>46608</v>
      </c>
      <c r="M2810" s="56" t="str">
        <f t="shared" si="333"/>
        <v>MON</v>
      </c>
      <c r="O2810" s="383">
        <f t="shared" si="340"/>
        <v>1</v>
      </c>
      <c r="P2810" s="392">
        <f t="shared" ca="1" si="336"/>
        <v>1.0001283333333333</v>
      </c>
    </row>
    <row r="2811" spans="1:16">
      <c r="A2811" s="39">
        <f t="shared" ca="1" si="338"/>
        <v>4.5949999999999989</v>
      </c>
      <c r="B2811" s="41">
        <f t="shared" ca="1" si="339"/>
        <v>4.6200000000000045</v>
      </c>
      <c r="C2811" s="403">
        <f t="shared" si="334"/>
        <v>46609</v>
      </c>
      <c r="D2811" s="56" t="str">
        <f>VLOOKUP(MOD(C2811,7),'CALENDAR INFO'!$G$5:$H$11,2)</f>
        <v>TUE</v>
      </c>
      <c r="G2811" s="411">
        <f t="shared" si="331"/>
        <v>0</v>
      </c>
      <c r="L2811" s="403">
        <f t="shared" si="332"/>
        <v>46609</v>
      </c>
      <c r="M2811" s="56" t="str">
        <f t="shared" si="333"/>
        <v>TUE</v>
      </c>
      <c r="O2811" s="383">
        <f t="shared" si="340"/>
        <v>1</v>
      </c>
      <c r="P2811" s="392">
        <f t="shared" ca="1" si="336"/>
        <v>1.0001283333333333</v>
      </c>
    </row>
    <row r="2812" spans="1:16">
      <c r="A2812" s="39">
        <f t="shared" ca="1" si="338"/>
        <v>4.5949999999999989</v>
      </c>
      <c r="B2812" s="41">
        <f t="shared" ca="1" si="339"/>
        <v>4.6200000000000045</v>
      </c>
      <c r="C2812" s="403">
        <f t="shared" si="334"/>
        <v>46610</v>
      </c>
      <c r="D2812" s="56" t="str">
        <f>VLOOKUP(MOD(C2812,7),'CALENDAR INFO'!$G$5:$H$11,2)</f>
        <v>WED</v>
      </c>
      <c r="G2812" s="411">
        <f t="shared" si="331"/>
        <v>0</v>
      </c>
      <c r="H2812" s="15" t="s">
        <v>175</v>
      </c>
      <c r="I2812" s="139">
        <f>OUTPUT!C16</f>
        <v>4.5949999999999989</v>
      </c>
      <c r="J2812" s="151">
        <f>OUTPUT!F16</f>
        <v>4.6200000000000045</v>
      </c>
      <c r="L2812" s="403">
        <f t="shared" si="332"/>
        <v>46610</v>
      </c>
      <c r="M2812" s="56" t="str">
        <f t="shared" si="333"/>
        <v>WED</v>
      </c>
      <c r="O2812" s="383">
        <f t="shared" si="340"/>
        <v>1</v>
      </c>
      <c r="P2812" s="392">
        <f t="shared" ca="1" si="336"/>
        <v>1.0001283333333333</v>
      </c>
    </row>
    <row r="2813" spans="1:16">
      <c r="A2813" s="39">
        <f t="shared" ca="1" si="338"/>
        <v>4.5949999999999989</v>
      </c>
      <c r="B2813" s="41">
        <f t="shared" ca="1" si="339"/>
        <v>4.6200000000000045</v>
      </c>
      <c r="C2813" s="403">
        <f t="shared" si="334"/>
        <v>46611</v>
      </c>
      <c r="D2813" s="56" t="str">
        <f>VLOOKUP(MOD(C2813,7),'CALENDAR INFO'!$G$5:$H$11,2)</f>
        <v>THU</v>
      </c>
      <c r="G2813" s="411">
        <f t="shared" si="331"/>
        <v>0</v>
      </c>
      <c r="H2813" s="15" t="s">
        <v>209</v>
      </c>
      <c r="I2813" s="171">
        <f>I2803</f>
        <v>31</v>
      </c>
      <c r="J2813" s="172">
        <f>J2803</f>
        <v>31</v>
      </c>
      <c r="L2813" s="403">
        <f t="shared" si="332"/>
        <v>46611</v>
      </c>
      <c r="M2813" s="56" t="str">
        <f t="shared" si="333"/>
        <v>THU</v>
      </c>
      <c r="O2813" s="383">
        <f t="shared" si="340"/>
        <v>1</v>
      </c>
      <c r="P2813" s="392">
        <f t="shared" ca="1" si="336"/>
        <v>1.0001283333333333</v>
      </c>
    </row>
    <row r="2814" spans="1:16">
      <c r="A2814" s="39">
        <f t="shared" ca="1" si="338"/>
        <v>4.5949999999999989</v>
      </c>
      <c r="B2814" s="41">
        <f t="shared" ca="1" si="339"/>
        <v>4.6200000000000045</v>
      </c>
      <c r="C2814" s="403">
        <f t="shared" si="334"/>
        <v>46612</v>
      </c>
      <c r="D2814" s="56" t="str">
        <f>VLOOKUP(MOD(C2814,7),'CALENDAR INFO'!$G$5:$H$11,2)</f>
        <v>FRI</v>
      </c>
      <c r="G2814" s="411">
        <f t="shared" si="331"/>
        <v>0</v>
      </c>
      <c r="H2814" s="15" t="s">
        <v>214</v>
      </c>
      <c r="I2814" s="137">
        <f>I2812*I2813</f>
        <v>142.44499999999996</v>
      </c>
      <c r="J2814" s="150">
        <f>J2812*J2813</f>
        <v>143.22000000000014</v>
      </c>
      <c r="L2814" s="403">
        <f t="shared" si="332"/>
        <v>46612</v>
      </c>
      <c r="M2814" s="56" t="str">
        <f t="shared" si="333"/>
        <v>FRI</v>
      </c>
      <c r="O2814" s="383">
        <f t="shared" si="340"/>
        <v>3</v>
      </c>
      <c r="P2814" s="392">
        <f t="shared" ca="1" si="336"/>
        <v>1.0003850000000001</v>
      </c>
    </row>
    <row r="2815" spans="1:16">
      <c r="A2815" s="39">
        <f t="shared" ca="1" si="338"/>
        <v>4.5949999999999989</v>
      </c>
      <c r="B2815" s="41">
        <f t="shared" ca="1" si="339"/>
        <v>4.6200000000000045</v>
      </c>
      <c r="C2815" s="403">
        <f t="shared" si="334"/>
        <v>46613</v>
      </c>
      <c r="D2815" s="56" t="str">
        <f>VLOOKUP(MOD(C2815,7),'CALENDAR INFO'!$G$5:$H$11,2)</f>
        <v>SAT</v>
      </c>
      <c r="G2815" s="411">
        <f t="shared" si="331"/>
        <v>0</v>
      </c>
      <c r="H2815" s="15" t="s">
        <v>215</v>
      </c>
      <c r="I2815" s="393">
        <f ca="1">SUM(INDIRECT(I2806))</f>
        <v>0</v>
      </c>
      <c r="J2815" s="394">
        <f ca="1">SUM(INDIRECT(J2806))</f>
        <v>0</v>
      </c>
      <c r="L2815" s="403">
        <f t="shared" si="332"/>
        <v>46613</v>
      </c>
      <c r="M2815" s="56" t="str">
        <f t="shared" si="333"/>
        <v>SAT</v>
      </c>
      <c r="O2815" s="383">
        <f t="shared" si="340"/>
        <v>0</v>
      </c>
      <c r="P2815" s="392">
        <f t="shared" ca="1" si="336"/>
        <v>1</v>
      </c>
    </row>
    <row r="2816" spans="1:16">
      <c r="A2816" s="39">
        <f t="shared" ca="1" si="338"/>
        <v>4.5949999999999989</v>
      </c>
      <c r="B2816" s="41">
        <f t="shared" ca="1" si="339"/>
        <v>4.6200000000000045</v>
      </c>
      <c r="C2816" s="403">
        <f t="shared" si="334"/>
        <v>46614</v>
      </c>
      <c r="D2816" s="56" t="str">
        <f>VLOOKUP(MOD(C2816,7),'CALENDAR INFO'!$G$5:$H$11,2)</f>
        <v>SUN</v>
      </c>
      <c r="G2816" s="411">
        <f t="shared" si="331"/>
        <v>0</v>
      </c>
      <c r="H2816" s="15" t="s">
        <v>216</v>
      </c>
      <c r="I2816" s="137">
        <f ca="1">I2814-I2815</f>
        <v>142.44499999999996</v>
      </c>
      <c r="J2816" s="150">
        <f ca="1">J2814-J2815</f>
        <v>143.22000000000014</v>
      </c>
      <c r="L2816" s="403">
        <f t="shared" si="332"/>
        <v>46614</v>
      </c>
      <c r="M2816" s="56" t="str">
        <f t="shared" si="333"/>
        <v>SUN</v>
      </c>
      <c r="O2816" s="383">
        <f t="shared" si="340"/>
        <v>0</v>
      </c>
      <c r="P2816" s="392">
        <f t="shared" ca="1" si="336"/>
        <v>1</v>
      </c>
    </row>
    <row r="2817" spans="1:16">
      <c r="A2817" s="39">
        <f t="shared" ca="1" si="338"/>
        <v>4.5949999999999989</v>
      </c>
      <c r="B2817" s="41">
        <f t="shared" ca="1" si="339"/>
        <v>4.6200000000000045</v>
      </c>
      <c r="C2817" s="403">
        <f t="shared" si="334"/>
        <v>46615</v>
      </c>
      <c r="D2817" s="56" t="str">
        <f>VLOOKUP(MOD(C2817,7),'CALENDAR INFO'!$G$5:$H$11,2)</f>
        <v>MON</v>
      </c>
      <c r="G2817" s="411">
        <f t="shared" si="331"/>
        <v>0</v>
      </c>
      <c r="L2817" s="403">
        <f t="shared" si="332"/>
        <v>46615</v>
      </c>
      <c r="M2817" s="56" t="str">
        <f t="shared" si="333"/>
        <v>MON</v>
      </c>
      <c r="O2817" s="383">
        <f t="shared" si="340"/>
        <v>1</v>
      </c>
      <c r="P2817" s="392">
        <f t="shared" ca="1" si="336"/>
        <v>1.0001283333333333</v>
      </c>
    </row>
    <row r="2818" spans="1:16">
      <c r="A2818" s="39">
        <f t="shared" ca="1" si="338"/>
        <v>4.5949999999999989</v>
      </c>
      <c r="B2818" s="41">
        <f t="shared" ca="1" si="339"/>
        <v>4.6200000000000045</v>
      </c>
      <c r="C2818" s="403">
        <f t="shared" si="334"/>
        <v>46616</v>
      </c>
      <c r="D2818" s="56" t="str">
        <f>VLOOKUP(MOD(C2818,7),'CALENDAR INFO'!$G$5:$H$11,2)</f>
        <v>TUE</v>
      </c>
      <c r="G2818" s="411">
        <f t="shared" si="331"/>
        <v>0</v>
      </c>
      <c r="H2818" s="15" t="s">
        <v>218</v>
      </c>
      <c r="I2818" s="137">
        <f ca="1">I2816</f>
        <v>142.44499999999996</v>
      </c>
      <c r="J2818" s="150">
        <f ca="1">J2816</f>
        <v>143.22000000000014</v>
      </c>
      <c r="L2818" s="403">
        <f t="shared" si="332"/>
        <v>46616</v>
      </c>
      <c r="M2818" s="56" t="str">
        <f t="shared" si="333"/>
        <v>TUE</v>
      </c>
      <c r="O2818" s="383">
        <f t="shared" si="340"/>
        <v>1</v>
      </c>
      <c r="P2818" s="392">
        <f t="shared" ca="1" si="336"/>
        <v>1.0001283333333333</v>
      </c>
    </row>
    <row r="2819" spans="1:16">
      <c r="A2819" s="39">
        <f t="shared" ca="1" si="338"/>
        <v>4.5949999999999989</v>
      </c>
      <c r="B2819" s="41">
        <f t="shared" ca="1" si="339"/>
        <v>4.6200000000000045</v>
      </c>
      <c r="C2819" s="403">
        <f t="shared" si="334"/>
        <v>46617</v>
      </c>
      <c r="D2819" s="56" t="str">
        <f>VLOOKUP(MOD(C2819,7),'CALENDAR INFO'!$G$5:$H$11,2)</f>
        <v>WED</v>
      </c>
      <c r="G2819" s="411">
        <f t="shared" ref="G2819:G2882" si="341">F2819-E2819</f>
        <v>0</v>
      </c>
      <c r="H2819" s="15" t="s">
        <v>219</v>
      </c>
      <c r="I2819" s="171">
        <f ca="1">I2810</f>
        <v>31</v>
      </c>
      <c r="J2819" s="172">
        <f ca="1">J2810</f>
        <v>31</v>
      </c>
      <c r="L2819" s="403">
        <f t="shared" ref="L2819:L2882" si="342">C2819</f>
        <v>46617</v>
      </c>
      <c r="M2819" s="56" t="str">
        <f t="shared" ref="M2819:M2882" si="343">D2819</f>
        <v>WED</v>
      </c>
      <c r="O2819" s="383">
        <f t="shared" si="340"/>
        <v>1</v>
      </c>
      <c r="P2819" s="392">
        <f t="shared" ca="1" si="336"/>
        <v>1.0001283333333333</v>
      </c>
    </row>
    <row r="2820" spans="1:16">
      <c r="A2820" s="39">
        <f t="shared" ca="1" si="338"/>
        <v>4.5949999999999989</v>
      </c>
      <c r="B2820" s="41">
        <f t="shared" ca="1" si="339"/>
        <v>4.6200000000000045</v>
      </c>
      <c r="C2820" s="403">
        <f t="shared" ref="C2820:C2883" si="344">C2819+1</f>
        <v>46618</v>
      </c>
      <c r="D2820" s="56" t="str">
        <f>VLOOKUP(MOD(C2820,7),'CALENDAR INFO'!$G$5:$H$11,2)</f>
        <v>THU</v>
      </c>
      <c r="G2820" s="411">
        <f t="shared" si="341"/>
        <v>0</v>
      </c>
      <c r="H2820" s="15" t="s">
        <v>220</v>
      </c>
      <c r="I2820" s="141">
        <f ca="1">I2818/I2819</f>
        <v>4.5949999999999989</v>
      </c>
      <c r="J2820" s="158">
        <f ca="1">J2818/J2819</f>
        <v>4.6200000000000045</v>
      </c>
      <c r="L2820" s="403">
        <f t="shared" si="342"/>
        <v>46618</v>
      </c>
      <c r="M2820" s="56" t="str">
        <f t="shared" si="343"/>
        <v>THU</v>
      </c>
      <c r="O2820" s="383">
        <f t="shared" si="340"/>
        <v>1</v>
      </c>
      <c r="P2820" s="392">
        <f t="shared" ca="1" si="336"/>
        <v>1.0001283333333333</v>
      </c>
    </row>
    <row r="2821" spans="1:16">
      <c r="A2821" s="39">
        <f t="shared" ca="1" si="338"/>
        <v>4.5949999999999989</v>
      </c>
      <c r="B2821" s="41">
        <f t="shared" ca="1" si="339"/>
        <v>4.6200000000000045</v>
      </c>
      <c r="C2821" s="403">
        <f t="shared" si="344"/>
        <v>46619</v>
      </c>
      <c r="D2821" s="56" t="str">
        <f>VLOOKUP(MOD(C2821,7),'CALENDAR INFO'!$G$5:$H$11,2)</f>
        <v>FRI</v>
      </c>
      <c r="G2821" s="411">
        <f t="shared" si="341"/>
        <v>0</v>
      </c>
      <c r="L2821" s="403">
        <f t="shared" si="342"/>
        <v>46619</v>
      </c>
      <c r="M2821" s="56" t="str">
        <f t="shared" si="343"/>
        <v>FRI</v>
      </c>
      <c r="O2821" s="383">
        <f t="shared" si="340"/>
        <v>3</v>
      </c>
      <c r="P2821" s="392">
        <f t="shared" ca="1" si="336"/>
        <v>1.0003850000000001</v>
      </c>
    </row>
    <row r="2822" spans="1:16">
      <c r="A2822" s="39">
        <f t="shared" ca="1" si="338"/>
        <v>4.5949999999999989</v>
      </c>
      <c r="B2822" s="41">
        <f t="shared" ca="1" si="339"/>
        <v>4.6200000000000045</v>
      </c>
      <c r="C2822" s="403">
        <f t="shared" si="344"/>
        <v>46620</v>
      </c>
      <c r="D2822" s="56" t="str">
        <f>VLOOKUP(MOD(C2822,7),'CALENDAR INFO'!$G$5:$H$11,2)</f>
        <v>SAT</v>
      </c>
      <c r="G2822" s="411">
        <f t="shared" si="341"/>
        <v>0</v>
      </c>
      <c r="H2822" s="376" t="s">
        <v>221</v>
      </c>
      <c r="I2822" s="147" t="e">
        <f ca="1">AVERAGE(INDIRECT(I2806))</f>
        <v>#DIV/0!</v>
      </c>
      <c r="J2822" s="326" t="e">
        <f ca="1">AVERAGE(INDIRECT(J2806))</f>
        <v>#DIV/0!</v>
      </c>
      <c r="L2822" s="403">
        <f t="shared" si="342"/>
        <v>46620</v>
      </c>
      <c r="M2822" s="56" t="str">
        <f t="shared" si="343"/>
        <v>SAT</v>
      </c>
      <c r="O2822" s="383">
        <f t="shared" si="340"/>
        <v>0</v>
      </c>
      <c r="P2822" s="392">
        <f t="shared" ca="1" si="336"/>
        <v>1</v>
      </c>
    </row>
    <row r="2823" spans="1:16">
      <c r="A2823" s="39">
        <f t="shared" ca="1" si="338"/>
        <v>4.5949999999999989</v>
      </c>
      <c r="B2823" s="41">
        <f t="shared" ca="1" si="339"/>
        <v>4.6200000000000045</v>
      </c>
      <c r="C2823" s="403">
        <f t="shared" si="344"/>
        <v>46621</v>
      </c>
      <c r="D2823" s="56" t="str">
        <f>VLOOKUP(MOD(C2823,7),'CALENDAR INFO'!$G$5:$H$11,2)</f>
        <v>SUN</v>
      </c>
      <c r="G2823" s="411">
        <f t="shared" si="341"/>
        <v>0</v>
      </c>
      <c r="H2823" s="15" t="s">
        <v>222</v>
      </c>
      <c r="I2823" s="147" t="e">
        <f ca="1">100-I2822</f>
        <v>#DIV/0!</v>
      </c>
      <c r="J2823" s="326" t="e">
        <f ca="1">100-J2822</f>
        <v>#DIV/0!</v>
      </c>
      <c r="L2823" s="403">
        <f t="shared" si="342"/>
        <v>46621</v>
      </c>
      <c r="M2823" s="56" t="str">
        <f t="shared" si="343"/>
        <v>SUN</v>
      </c>
      <c r="O2823" s="383">
        <f t="shared" si="340"/>
        <v>0</v>
      </c>
      <c r="P2823" s="392">
        <f t="shared" ca="1" si="336"/>
        <v>1</v>
      </c>
    </row>
    <row r="2824" spans="1:16">
      <c r="A2824" s="39">
        <f t="shared" ca="1" si="338"/>
        <v>4.5949999999999989</v>
      </c>
      <c r="B2824" s="41">
        <f t="shared" ca="1" si="339"/>
        <v>4.6200000000000045</v>
      </c>
      <c r="C2824" s="403">
        <f t="shared" si="344"/>
        <v>46622</v>
      </c>
      <c r="D2824" s="56" t="str">
        <f>VLOOKUP(MOD(C2824,7),'CALENDAR INFO'!$G$5:$H$11,2)</f>
        <v>MON</v>
      </c>
      <c r="G2824" s="411">
        <f t="shared" si="341"/>
        <v>0</v>
      </c>
      <c r="H2824" s="425" t="s">
        <v>97</v>
      </c>
      <c r="I2824" s="419"/>
      <c r="J2824" s="426"/>
      <c r="L2824" s="403">
        <f t="shared" si="342"/>
        <v>46622</v>
      </c>
      <c r="M2824" s="56" t="str">
        <f t="shared" si="343"/>
        <v>MON</v>
      </c>
      <c r="O2824" s="383">
        <f t="shared" si="340"/>
        <v>1</v>
      </c>
      <c r="P2824" s="392">
        <f t="shared" ca="1" si="336"/>
        <v>1.0001283333333333</v>
      </c>
    </row>
    <row r="2825" spans="1:16">
      <c r="A2825" s="39">
        <f t="shared" ca="1" si="338"/>
        <v>4.5949999999999989</v>
      </c>
      <c r="B2825" s="41">
        <f t="shared" ca="1" si="339"/>
        <v>4.6200000000000045</v>
      </c>
      <c r="C2825" s="403">
        <f t="shared" si="344"/>
        <v>46623</v>
      </c>
      <c r="D2825" s="56" t="str">
        <f>VLOOKUP(MOD(C2825,7),'CALENDAR INFO'!$G$5:$H$11,2)</f>
        <v>TUE</v>
      </c>
      <c r="G2825" s="411">
        <f t="shared" si="341"/>
        <v>0</v>
      </c>
      <c r="L2825" s="403">
        <f t="shared" si="342"/>
        <v>46623</v>
      </c>
      <c r="M2825" s="56" t="str">
        <f t="shared" si="343"/>
        <v>TUE</v>
      </c>
      <c r="O2825" s="383">
        <f t="shared" si="340"/>
        <v>1</v>
      </c>
      <c r="P2825" s="392">
        <f t="shared" ca="1" si="336"/>
        <v>1.0001283333333333</v>
      </c>
    </row>
    <row r="2826" spans="1:16">
      <c r="A2826" s="39">
        <f t="shared" ca="1" si="338"/>
        <v>4.5949999999999989</v>
      </c>
      <c r="B2826" s="41">
        <f t="shared" ca="1" si="339"/>
        <v>4.6200000000000045</v>
      </c>
      <c r="C2826" s="403">
        <f t="shared" si="344"/>
        <v>46624</v>
      </c>
      <c r="D2826" s="56" t="str">
        <f>VLOOKUP(MOD(C2826,7),'CALENDAR INFO'!$G$5:$H$11,2)</f>
        <v>WED</v>
      </c>
      <c r="G2826" s="411">
        <f t="shared" si="341"/>
        <v>0</v>
      </c>
      <c r="L2826" s="403">
        <f t="shared" si="342"/>
        <v>46624</v>
      </c>
      <c r="M2826" s="56" t="str">
        <f t="shared" si="343"/>
        <v>WED</v>
      </c>
      <c r="O2826" s="383">
        <f t="shared" si="340"/>
        <v>1</v>
      </c>
      <c r="P2826" s="392">
        <f t="shared" ca="1" si="336"/>
        <v>1.0001283333333333</v>
      </c>
    </row>
    <row r="2827" spans="1:16">
      <c r="A2827" s="39">
        <f t="shared" ca="1" si="338"/>
        <v>4.5949999999999989</v>
      </c>
      <c r="B2827" s="41">
        <f t="shared" ca="1" si="339"/>
        <v>4.6200000000000045</v>
      </c>
      <c r="C2827" s="403">
        <f t="shared" si="344"/>
        <v>46625</v>
      </c>
      <c r="D2827" s="56" t="str">
        <f>VLOOKUP(MOD(C2827,7),'CALENDAR INFO'!$G$5:$H$11,2)</f>
        <v>THU</v>
      </c>
      <c r="G2827" s="411">
        <f t="shared" si="341"/>
        <v>0</v>
      </c>
      <c r="L2827" s="403">
        <f t="shared" si="342"/>
        <v>46625</v>
      </c>
      <c r="M2827" s="56" t="str">
        <f t="shared" si="343"/>
        <v>THU</v>
      </c>
      <c r="O2827" s="383">
        <f t="shared" si="340"/>
        <v>1</v>
      </c>
      <c r="P2827" s="392">
        <f t="shared" ca="1" si="336"/>
        <v>1.0001283333333333</v>
      </c>
    </row>
    <row r="2828" spans="1:16">
      <c r="A2828" s="39">
        <f t="shared" ca="1" si="338"/>
        <v>4.5949999999999989</v>
      </c>
      <c r="B2828" s="41">
        <f t="shared" ca="1" si="339"/>
        <v>4.6200000000000045</v>
      </c>
      <c r="C2828" s="403">
        <f t="shared" si="344"/>
        <v>46626</v>
      </c>
      <c r="D2828" s="56" t="str">
        <f>VLOOKUP(MOD(C2828,7),'CALENDAR INFO'!$G$5:$H$11,2)</f>
        <v>FRI</v>
      </c>
      <c r="G2828" s="411">
        <f t="shared" si="341"/>
        <v>0</v>
      </c>
      <c r="L2828" s="403">
        <f t="shared" si="342"/>
        <v>46626</v>
      </c>
      <c r="M2828" s="56" t="str">
        <f t="shared" si="343"/>
        <v>FRI</v>
      </c>
      <c r="O2828" s="383">
        <f t="shared" si="340"/>
        <v>3</v>
      </c>
      <c r="P2828" s="392">
        <f t="shared" ca="1" si="336"/>
        <v>1.0003850000000001</v>
      </c>
    </row>
    <row r="2829" spans="1:16">
      <c r="A2829" s="39">
        <f t="shared" ca="1" si="338"/>
        <v>4.5949999999999989</v>
      </c>
      <c r="B2829" s="41">
        <f t="shared" ca="1" si="339"/>
        <v>4.6200000000000045</v>
      </c>
      <c r="C2829" s="403">
        <f t="shared" si="344"/>
        <v>46627</v>
      </c>
      <c r="D2829" s="56" t="str">
        <f>VLOOKUP(MOD(C2829,7),'CALENDAR INFO'!$G$5:$H$11,2)</f>
        <v>SAT</v>
      </c>
      <c r="G2829" s="411">
        <f t="shared" si="341"/>
        <v>0</v>
      </c>
      <c r="L2829" s="403">
        <f t="shared" si="342"/>
        <v>46627</v>
      </c>
      <c r="M2829" s="56" t="str">
        <f t="shared" si="343"/>
        <v>SAT</v>
      </c>
      <c r="O2829" s="383">
        <f t="shared" si="340"/>
        <v>0</v>
      </c>
      <c r="P2829" s="392">
        <f t="shared" ca="1" si="336"/>
        <v>1</v>
      </c>
    </row>
    <row r="2830" spans="1:16">
      <c r="A2830" s="39">
        <f t="shared" ca="1" si="338"/>
        <v>4.5949999999999989</v>
      </c>
      <c r="B2830" s="41">
        <f t="shared" ca="1" si="339"/>
        <v>4.6200000000000045</v>
      </c>
      <c r="C2830" s="403">
        <f t="shared" si="344"/>
        <v>46628</v>
      </c>
      <c r="D2830" s="56" t="str">
        <f>VLOOKUP(MOD(C2830,7),'CALENDAR INFO'!$G$5:$H$11,2)</f>
        <v>SUN</v>
      </c>
      <c r="G2830" s="411">
        <f t="shared" si="341"/>
        <v>0</v>
      </c>
      <c r="L2830" s="403">
        <f t="shared" si="342"/>
        <v>46628</v>
      </c>
      <c r="M2830" s="56" t="str">
        <f t="shared" si="343"/>
        <v>SUN</v>
      </c>
      <c r="O2830" s="383">
        <f t="shared" si="340"/>
        <v>0</v>
      </c>
      <c r="P2830" s="392">
        <f t="shared" ca="1" si="336"/>
        <v>1</v>
      </c>
    </row>
    <row r="2831" spans="1:16">
      <c r="A2831" s="39">
        <f t="shared" ca="1" si="338"/>
        <v>4.5949999999999989</v>
      </c>
      <c r="B2831" s="41">
        <f t="shared" ca="1" si="339"/>
        <v>4.6200000000000045</v>
      </c>
      <c r="C2831" s="403">
        <f t="shared" si="344"/>
        <v>46629</v>
      </c>
      <c r="D2831" s="56" t="str">
        <f>VLOOKUP(MOD(C2831,7),'CALENDAR INFO'!$G$5:$H$11,2)</f>
        <v>MON</v>
      </c>
      <c r="G2831" s="411">
        <f t="shared" si="341"/>
        <v>0</v>
      </c>
      <c r="L2831" s="403">
        <f t="shared" si="342"/>
        <v>46629</v>
      </c>
      <c r="M2831" s="56" t="str">
        <f t="shared" si="343"/>
        <v>MON</v>
      </c>
      <c r="O2831" s="383">
        <f t="shared" si="340"/>
        <v>1</v>
      </c>
      <c r="P2831" s="392">
        <f t="shared" ca="1" si="336"/>
        <v>1.0001283333333333</v>
      </c>
    </row>
    <row r="2832" spans="1:16">
      <c r="A2832" s="39">
        <f t="shared" ca="1" si="338"/>
        <v>4.5949999999999989</v>
      </c>
      <c r="B2832" s="41">
        <f t="shared" ca="1" si="339"/>
        <v>4.6200000000000045</v>
      </c>
      <c r="C2832" s="403">
        <f t="shared" si="344"/>
        <v>46630</v>
      </c>
      <c r="D2832" s="56" t="str">
        <f>VLOOKUP(MOD(C2832,7),'CALENDAR INFO'!$G$5:$H$11,2)</f>
        <v>TUE</v>
      </c>
      <c r="G2832" s="411">
        <f t="shared" si="341"/>
        <v>0</v>
      </c>
      <c r="L2832" s="403">
        <f t="shared" si="342"/>
        <v>46630</v>
      </c>
      <c r="M2832" s="56" t="str">
        <f t="shared" si="343"/>
        <v>TUE</v>
      </c>
      <c r="O2832" s="383">
        <f t="shared" si="340"/>
        <v>1</v>
      </c>
      <c r="P2832" s="392">
        <f t="shared" ca="1" si="336"/>
        <v>1.0001283333333333</v>
      </c>
    </row>
    <row r="2833" spans="3:16">
      <c r="C2833" s="403">
        <f t="shared" si="344"/>
        <v>46631</v>
      </c>
      <c r="D2833" s="56" t="str">
        <f>VLOOKUP(MOD(C2833,7),'CALENDAR INFO'!$G$5:$H$11,2)</f>
        <v>WED</v>
      </c>
      <c r="G2833" s="411">
        <f t="shared" si="341"/>
        <v>0</v>
      </c>
      <c r="H2833" s="15" t="s">
        <v>149</v>
      </c>
      <c r="I2833" s="15">
        <f>ROW(I2833)</f>
        <v>2833</v>
      </c>
      <c r="J2833" s="138">
        <f>I2833</f>
        <v>2833</v>
      </c>
      <c r="L2833" s="403">
        <f t="shared" si="342"/>
        <v>46631</v>
      </c>
      <c r="M2833" s="56" t="str">
        <f t="shared" si="343"/>
        <v>WED</v>
      </c>
      <c r="O2833" s="383">
        <f t="shared" si="340"/>
        <v>1</v>
      </c>
      <c r="P2833" s="392">
        <f t="shared" si="336"/>
        <v>1</v>
      </c>
    </row>
    <row r="2834" spans="3:16">
      <c r="C2834" s="403">
        <f t="shared" si="344"/>
        <v>46632</v>
      </c>
      <c r="D2834" s="56" t="str">
        <f>VLOOKUP(MOD(C2834,7),'CALENDAR INFO'!$G$5:$H$11,2)</f>
        <v>THU</v>
      </c>
      <c r="G2834" s="411">
        <f t="shared" si="341"/>
        <v>0</v>
      </c>
      <c r="H2834" s="376" t="s">
        <v>210</v>
      </c>
      <c r="I2834" s="171">
        <f>VLOOKUP(MONTH($C2833),'CALENDAR INFO'!$J$5:$K$16,2)</f>
        <v>30</v>
      </c>
      <c r="J2834" s="172">
        <f>I2834</f>
        <v>30</v>
      </c>
      <c r="L2834" s="403">
        <f t="shared" si="342"/>
        <v>46632</v>
      </c>
      <c r="M2834" s="56" t="str">
        <f t="shared" si="343"/>
        <v>THU</v>
      </c>
      <c r="O2834" s="383">
        <f t="shared" si="340"/>
        <v>1</v>
      </c>
      <c r="P2834" s="392">
        <f t="shared" si="336"/>
        <v>1</v>
      </c>
    </row>
    <row r="2835" spans="3:16">
      <c r="C2835" s="403">
        <f t="shared" si="344"/>
        <v>46633</v>
      </c>
      <c r="D2835" s="56" t="str">
        <f>VLOOKUP(MOD(C2835,7),'CALENDAR INFO'!$G$5:$H$11,2)</f>
        <v>FRI</v>
      </c>
      <c r="G2835" s="411">
        <f t="shared" si="341"/>
        <v>0</v>
      </c>
      <c r="H2835" s="376" t="s">
        <v>211</v>
      </c>
      <c r="I2835" s="15">
        <f>I2834+I2833-1</f>
        <v>2862</v>
      </c>
      <c r="J2835" s="138">
        <f>I2835</f>
        <v>2862</v>
      </c>
      <c r="L2835" s="403">
        <f t="shared" si="342"/>
        <v>46633</v>
      </c>
      <c r="M2835" s="56" t="str">
        <f t="shared" si="343"/>
        <v>FRI</v>
      </c>
      <c r="O2835" s="384">
        <v>4</v>
      </c>
      <c r="P2835" s="392">
        <f t="shared" ref="P2835:P2898" si="345">1+(O2835/360)*(MAX(F2835,B2835)/100)</f>
        <v>1</v>
      </c>
    </row>
    <row r="2836" spans="3:16">
      <c r="C2836" s="403">
        <f t="shared" si="344"/>
        <v>46634</v>
      </c>
      <c r="D2836" s="56" t="str">
        <f>VLOOKUP(MOD(C2836,7),'CALENDAR INFO'!$G$5:$H$11,2)</f>
        <v>SAT</v>
      </c>
      <c r="G2836" s="411">
        <f t="shared" si="341"/>
        <v>0</v>
      </c>
      <c r="L2836" s="403">
        <f t="shared" si="342"/>
        <v>46634</v>
      </c>
      <c r="M2836" s="56" t="str">
        <f t="shared" si="343"/>
        <v>SAT</v>
      </c>
      <c r="O2836" s="383">
        <f>IF(MOD(C2836,7)&lt;2,0,IF(MOD(C2836,7)=6,3,1))</f>
        <v>0</v>
      </c>
      <c r="P2836" s="392">
        <f t="shared" si="345"/>
        <v>1</v>
      </c>
    </row>
    <row r="2837" spans="3:16">
      <c r="C2837" s="403">
        <f t="shared" si="344"/>
        <v>46635</v>
      </c>
      <c r="D2837" s="56" t="str">
        <f>VLOOKUP(MOD(C2837,7),'CALENDAR INFO'!$G$5:$H$11,2)</f>
        <v>SUN</v>
      </c>
      <c r="G2837" s="411">
        <f t="shared" si="341"/>
        <v>0</v>
      </c>
      <c r="H2837" s="15" t="s">
        <v>224</v>
      </c>
      <c r="I2837" s="136">
        <v>2847</v>
      </c>
      <c r="J2837" s="138">
        <f>I2837</f>
        <v>2847</v>
      </c>
      <c r="L2837" s="403">
        <f t="shared" si="342"/>
        <v>46635</v>
      </c>
      <c r="M2837" s="56" t="str">
        <f t="shared" si="343"/>
        <v>SUN</v>
      </c>
      <c r="O2837" s="383">
        <f>IF(MOD(C2837,7)&lt;2,0,IF(MOD(C2837,7)=6,3,1))</f>
        <v>0</v>
      </c>
      <c r="P2837" s="392">
        <f t="shared" si="345"/>
        <v>1</v>
      </c>
    </row>
    <row r="2838" spans="3:16">
      <c r="C2838" s="403">
        <f t="shared" si="344"/>
        <v>46636</v>
      </c>
      <c r="D2838" s="56" t="str">
        <f>VLOOKUP(MOD(C2838,7),'CALENDAR INFO'!$G$5:$H$11,2)</f>
        <v>MON</v>
      </c>
      <c r="G2838" s="411">
        <f t="shared" si="341"/>
        <v>0</v>
      </c>
      <c r="H2838" s="15" t="s">
        <v>225</v>
      </c>
      <c r="I2838" s="15" t="str">
        <f>_xlfn.CONCAT(ADDRESS(I2833,1),":",ADDRESS(I2837,1))</f>
        <v>$A$2833:$A$2847</v>
      </c>
      <c r="J2838" s="138" t="str">
        <f>_xlfn.CONCAT(ADDRESS(J2833,2),":",ADDRESS(J2837,2))</f>
        <v>$B$2833:$B$2847</v>
      </c>
      <c r="L2838" s="403">
        <f t="shared" si="342"/>
        <v>46636</v>
      </c>
      <c r="M2838" s="56" t="str">
        <f t="shared" si="343"/>
        <v>MON</v>
      </c>
      <c r="N2838" s="132" t="s">
        <v>111</v>
      </c>
      <c r="O2838" s="384">
        <v>0</v>
      </c>
      <c r="P2838" s="392">
        <f t="shared" si="345"/>
        <v>1</v>
      </c>
    </row>
    <row r="2839" spans="3:16">
      <c r="C2839" s="403">
        <f t="shared" si="344"/>
        <v>46637</v>
      </c>
      <c r="D2839" s="56" t="str">
        <f>VLOOKUP(MOD(C2839,7),'CALENDAR INFO'!$G$5:$H$11,2)</f>
        <v>TUE</v>
      </c>
      <c r="G2839" s="411">
        <f t="shared" si="341"/>
        <v>0</v>
      </c>
      <c r="H2839" s="15" t="s">
        <v>226</v>
      </c>
      <c r="I2839" s="15" t="str">
        <f>_xlfn.CONCAT(ADDRESS(I2837+1,1),":",ADDRESS(I2835,1))</f>
        <v>$A$2848:$A$2862</v>
      </c>
      <c r="J2839" s="138" t="str">
        <f>_xlfn.CONCAT(ADDRESS(J2837+1,2),":",ADDRESS(J2835,2))</f>
        <v>$B$2848:$B$2862</v>
      </c>
      <c r="L2839" s="403">
        <f t="shared" si="342"/>
        <v>46637</v>
      </c>
      <c r="M2839" s="56" t="str">
        <f t="shared" si="343"/>
        <v>TUE</v>
      </c>
      <c r="O2839" s="383">
        <f t="shared" ref="O2839:O2869" si="346">IF(MOD(C2839,7)&lt;2,0,IF(MOD(C2839,7)=6,3,1))</f>
        <v>1</v>
      </c>
      <c r="P2839" s="392">
        <f t="shared" si="345"/>
        <v>1</v>
      </c>
    </row>
    <row r="2840" spans="3:16">
      <c r="C2840" s="403">
        <f t="shared" si="344"/>
        <v>46638</v>
      </c>
      <c r="D2840" s="56" t="str">
        <f>VLOOKUP(MOD(C2840,7),'CALENDAR INFO'!$G$5:$H$11,2)</f>
        <v>WED</v>
      </c>
      <c r="G2840" s="411">
        <f t="shared" si="341"/>
        <v>0</v>
      </c>
      <c r="H2840" s="15" t="s">
        <v>150</v>
      </c>
      <c r="I2840" s="15" t="str">
        <f>_xlfn.CONCAT(ADDRESS(I2833,5),":",ADDRESS(I2835,5))</f>
        <v>$E$2833:$E$2862</v>
      </c>
      <c r="J2840" s="138" t="str">
        <f>_xlfn.CONCAT(ADDRESS(J2833,6),":",ADDRESS(J2835,6))</f>
        <v>$F$2833:$F$2862</v>
      </c>
      <c r="L2840" s="403">
        <f t="shared" si="342"/>
        <v>46638</v>
      </c>
      <c r="M2840" s="56" t="str">
        <f t="shared" si="343"/>
        <v>WED</v>
      </c>
      <c r="O2840" s="383">
        <f t="shared" si="346"/>
        <v>1</v>
      </c>
      <c r="P2840" s="392">
        <f t="shared" si="345"/>
        <v>1</v>
      </c>
    </row>
    <row r="2841" spans="3:16">
      <c r="C2841" s="403">
        <f t="shared" si="344"/>
        <v>46639</v>
      </c>
      <c r="D2841" s="56" t="str">
        <f>VLOOKUP(MOD(C2841,7),'CALENDAR INFO'!$G$5:$H$11,2)</f>
        <v>THU</v>
      </c>
      <c r="G2841" s="411">
        <f t="shared" si="341"/>
        <v>0</v>
      </c>
      <c r="L2841" s="403">
        <f t="shared" si="342"/>
        <v>46639</v>
      </c>
      <c r="M2841" s="56" t="str">
        <f t="shared" si="343"/>
        <v>THU</v>
      </c>
      <c r="O2841" s="383">
        <f t="shared" si="346"/>
        <v>1</v>
      </c>
      <c r="P2841" s="392">
        <f t="shared" si="345"/>
        <v>1</v>
      </c>
    </row>
    <row r="2842" spans="3:16">
      <c r="C2842" s="403">
        <f t="shared" si="344"/>
        <v>46640</v>
      </c>
      <c r="D2842" s="56" t="str">
        <f>VLOOKUP(MOD(C2842,7),'CALENDAR INFO'!$G$5:$H$11,2)</f>
        <v>FRI</v>
      </c>
      <c r="G2842" s="411">
        <f t="shared" si="341"/>
        <v>0</v>
      </c>
      <c r="H2842" s="15" t="s">
        <v>117</v>
      </c>
      <c r="I2842" s="15">
        <f>I2834</f>
        <v>30</v>
      </c>
      <c r="J2842" s="138">
        <f>J2834</f>
        <v>30</v>
      </c>
      <c r="L2842" s="403">
        <f t="shared" si="342"/>
        <v>46640</v>
      </c>
      <c r="M2842" s="56" t="str">
        <f t="shared" si="343"/>
        <v>FRI</v>
      </c>
      <c r="O2842" s="383">
        <f t="shared" si="346"/>
        <v>3</v>
      </c>
      <c r="P2842" s="392">
        <f t="shared" si="345"/>
        <v>1</v>
      </c>
    </row>
    <row r="2843" spans="3:16">
      <c r="C2843" s="403">
        <f t="shared" si="344"/>
        <v>46641</v>
      </c>
      <c r="D2843" s="56" t="str">
        <f>VLOOKUP(MOD(C2843,7),'CALENDAR INFO'!$G$5:$H$11,2)</f>
        <v>SAT</v>
      </c>
      <c r="G2843" s="411">
        <f t="shared" si="341"/>
        <v>0</v>
      </c>
      <c r="H2843" s="376" t="s">
        <v>213</v>
      </c>
      <c r="I2843" s="15">
        <f ca="1">COUNT(INDIRECT(I2840))</f>
        <v>0</v>
      </c>
      <c r="J2843" s="138">
        <f ca="1">COUNT(INDIRECT(J2840))</f>
        <v>0</v>
      </c>
      <c r="L2843" s="403">
        <f t="shared" si="342"/>
        <v>46641</v>
      </c>
      <c r="M2843" s="56" t="str">
        <f t="shared" si="343"/>
        <v>SAT</v>
      </c>
      <c r="O2843" s="383">
        <f t="shared" si="346"/>
        <v>0</v>
      </c>
      <c r="P2843" s="392">
        <f t="shared" si="345"/>
        <v>1</v>
      </c>
    </row>
    <row r="2844" spans="3:16">
      <c r="C2844" s="403">
        <f t="shared" si="344"/>
        <v>46642</v>
      </c>
      <c r="D2844" s="56" t="str">
        <f>VLOOKUP(MOD(C2844,7),'CALENDAR INFO'!$G$5:$H$11,2)</f>
        <v>SUN</v>
      </c>
      <c r="G2844" s="411">
        <f t="shared" si="341"/>
        <v>0</v>
      </c>
      <c r="H2844" s="376" t="s">
        <v>229</v>
      </c>
      <c r="I2844" s="171">
        <f ca="1">COUNT(INDIRECT(I2838))</f>
        <v>0</v>
      </c>
      <c r="J2844" s="172">
        <f ca="1">COUNT(INDIRECT(J2838))</f>
        <v>0</v>
      </c>
      <c r="L2844" s="403">
        <f t="shared" si="342"/>
        <v>46642</v>
      </c>
      <c r="M2844" s="56" t="str">
        <f t="shared" si="343"/>
        <v>SUN</v>
      </c>
      <c r="O2844" s="383">
        <f t="shared" si="346"/>
        <v>0</v>
      </c>
      <c r="P2844" s="392">
        <f t="shared" si="345"/>
        <v>1</v>
      </c>
    </row>
    <row r="2845" spans="3:16">
      <c r="C2845" s="403">
        <f t="shared" si="344"/>
        <v>46643</v>
      </c>
      <c r="D2845" s="56" t="str">
        <f>VLOOKUP(MOD(C2845,7),'CALENDAR INFO'!$G$5:$H$11,2)</f>
        <v>MON</v>
      </c>
      <c r="G2845" s="411">
        <f t="shared" si="341"/>
        <v>0</v>
      </c>
      <c r="H2845" s="376" t="s">
        <v>230</v>
      </c>
      <c r="I2845" s="15">
        <f ca="1">I2842-I2843-I2844</f>
        <v>30</v>
      </c>
      <c r="J2845" s="138">
        <f ca="1">J2842-J2843-J2844</f>
        <v>30</v>
      </c>
      <c r="L2845" s="403">
        <f t="shared" si="342"/>
        <v>46643</v>
      </c>
      <c r="M2845" s="56" t="str">
        <f t="shared" si="343"/>
        <v>MON</v>
      </c>
      <c r="O2845" s="383">
        <f t="shared" si="346"/>
        <v>1</v>
      </c>
      <c r="P2845" s="392">
        <f t="shared" si="345"/>
        <v>1</v>
      </c>
    </row>
    <row r="2846" spans="3:16">
      <c r="C2846" s="403">
        <f t="shared" si="344"/>
        <v>46644</v>
      </c>
      <c r="D2846" s="56" t="str">
        <f>VLOOKUP(MOD(C2846,7),'CALENDAR INFO'!$G$5:$H$11,2)</f>
        <v>TUE</v>
      </c>
      <c r="G2846" s="411">
        <f t="shared" si="341"/>
        <v>0</v>
      </c>
      <c r="L2846" s="403">
        <f t="shared" si="342"/>
        <v>46644</v>
      </c>
      <c r="M2846" s="56" t="str">
        <f t="shared" si="343"/>
        <v>TUE</v>
      </c>
      <c r="N2846" s="116" t="s">
        <v>20</v>
      </c>
      <c r="O2846" s="383">
        <f t="shared" si="346"/>
        <v>1</v>
      </c>
      <c r="P2846" s="392">
        <f t="shared" si="345"/>
        <v>1</v>
      </c>
    </row>
    <row r="2847" spans="3:16">
      <c r="C2847" s="403">
        <f t="shared" si="344"/>
        <v>46645</v>
      </c>
      <c r="D2847" s="56" t="str">
        <f>VLOOKUP(MOD(C2847,7),'CALENDAR INFO'!$G$5:$H$11,2)</f>
        <v>WED</v>
      </c>
      <c r="G2847" s="411">
        <f t="shared" si="341"/>
        <v>0</v>
      </c>
      <c r="H2847" s="15" t="s">
        <v>175</v>
      </c>
      <c r="I2847" s="139">
        <f>OUTPUT!C17</f>
        <v>4.6099999999999994</v>
      </c>
      <c r="J2847" s="151">
        <f>OUTPUT!F17</f>
        <v>4.6350000000000051</v>
      </c>
      <c r="L2847" s="403">
        <f t="shared" si="342"/>
        <v>46645</v>
      </c>
      <c r="M2847" s="56" t="str">
        <f t="shared" si="343"/>
        <v>WED</v>
      </c>
      <c r="N2847" s="116" t="s">
        <v>20</v>
      </c>
      <c r="O2847" s="383">
        <f t="shared" si="346"/>
        <v>1</v>
      </c>
      <c r="P2847" s="392">
        <f t="shared" si="345"/>
        <v>1</v>
      </c>
    </row>
    <row r="2848" spans="3:16">
      <c r="C2848" s="403">
        <f t="shared" si="344"/>
        <v>46646</v>
      </c>
      <c r="D2848" s="56" t="str">
        <f>VLOOKUP(MOD(C2848,7),'CALENDAR INFO'!$G$5:$H$11,2)</f>
        <v>THU</v>
      </c>
      <c r="G2848" s="411">
        <f t="shared" si="341"/>
        <v>0</v>
      </c>
      <c r="H2848" s="15" t="s">
        <v>209</v>
      </c>
      <c r="I2848" s="171">
        <f>I2834</f>
        <v>30</v>
      </c>
      <c r="J2848" s="172">
        <f>J2834</f>
        <v>30</v>
      </c>
      <c r="L2848" s="403">
        <f t="shared" si="342"/>
        <v>46646</v>
      </c>
      <c r="M2848" s="56" t="str">
        <f t="shared" si="343"/>
        <v>THU</v>
      </c>
      <c r="O2848" s="383">
        <f t="shared" si="346"/>
        <v>1</v>
      </c>
      <c r="P2848" s="392">
        <f t="shared" si="345"/>
        <v>1</v>
      </c>
    </row>
    <row r="2849" spans="3:16">
      <c r="C2849" s="403">
        <f t="shared" si="344"/>
        <v>46647</v>
      </c>
      <c r="D2849" s="56" t="str">
        <f>VLOOKUP(MOD(C2849,7),'CALENDAR INFO'!$G$5:$H$11,2)</f>
        <v>FRI</v>
      </c>
      <c r="G2849" s="411">
        <f t="shared" si="341"/>
        <v>0</v>
      </c>
      <c r="H2849" s="376" t="s">
        <v>214</v>
      </c>
      <c r="I2849" s="137">
        <f>I2847*I2848</f>
        <v>138.29999999999998</v>
      </c>
      <c r="J2849" s="150">
        <f>J2847*J2848</f>
        <v>139.05000000000015</v>
      </c>
      <c r="L2849" s="403">
        <f t="shared" si="342"/>
        <v>46647</v>
      </c>
      <c r="M2849" s="56" t="str">
        <f t="shared" si="343"/>
        <v>FRI</v>
      </c>
      <c r="O2849" s="383">
        <f t="shared" si="346"/>
        <v>3</v>
      </c>
      <c r="P2849" s="392">
        <f t="shared" si="345"/>
        <v>1</v>
      </c>
    </row>
    <row r="2850" spans="3:16">
      <c r="C2850" s="403">
        <f t="shared" si="344"/>
        <v>46648</v>
      </c>
      <c r="D2850" s="56" t="str">
        <f>VLOOKUP(MOD(C2850,7),'CALENDAR INFO'!$G$5:$H$11,2)</f>
        <v>SAT</v>
      </c>
      <c r="G2850" s="411">
        <f t="shared" si="341"/>
        <v>0</v>
      </c>
      <c r="H2850" s="376" t="s">
        <v>215</v>
      </c>
      <c r="I2850" s="137">
        <f ca="1">SUM(INDIRECT(I2840))</f>
        <v>0</v>
      </c>
      <c r="J2850" s="150">
        <f ca="1">SUM(INDIRECT(J2840))</f>
        <v>0</v>
      </c>
      <c r="L2850" s="403">
        <f t="shared" si="342"/>
        <v>46648</v>
      </c>
      <c r="M2850" s="56" t="str">
        <f t="shared" si="343"/>
        <v>SAT</v>
      </c>
      <c r="O2850" s="383">
        <f t="shared" si="346"/>
        <v>0</v>
      </c>
      <c r="P2850" s="392">
        <f t="shared" si="345"/>
        <v>1</v>
      </c>
    </row>
    <row r="2851" spans="3:16">
      <c r="C2851" s="403">
        <f t="shared" si="344"/>
        <v>46649</v>
      </c>
      <c r="D2851" s="56" t="str">
        <f>VLOOKUP(MOD(C2851,7),'CALENDAR INFO'!$G$5:$H$11,2)</f>
        <v>SUN</v>
      </c>
      <c r="G2851" s="411">
        <f t="shared" si="341"/>
        <v>0</v>
      </c>
      <c r="H2851" s="376" t="s">
        <v>231</v>
      </c>
      <c r="I2851" s="163">
        <f ca="1">SUM(INDIRECT(I2838))</f>
        <v>0</v>
      </c>
      <c r="J2851" s="164">
        <f ca="1">SUM(INDIRECT(J2838))</f>
        <v>0</v>
      </c>
      <c r="L2851" s="403">
        <f t="shared" si="342"/>
        <v>46649</v>
      </c>
      <c r="M2851" s="56" t="str">
        <f t="shared" si="343"/>
        <v>SUN</v>
      </c>
      <c r="O2851" s="383">
        <f t="shared" si="346"/>
        <v>0</v>
      </c>
      <c r="P2851" s="392">
        <f t="shared" si="345"/>
        <v>1</v>
      </c>
    </row>
    <row r="2852" spans="3:16">
      <c r="C2852" s="403">
        <f t="shared" si="344"/>
        <v>46650</v>
      </c>
      <c r="D2852" s="56" t="str">
        <f>VLOOKUP(MOD(C2852,7),'CALENDAR INFO'!$G$5:$H$11,2)</f>
        <v>MON</v>
      </c>
      <c r="G2852" s="411">
        <f t="shared" si="341"/>
        <v>0</v>
      </c>
      <c r="H2852" s="376" t="s">
        <v>232</v>
      </c>
      <c r="I2852" s="137">
        <f ca="1">I2849-I2850-I2851</f>
        <v>138.29999999999998</v>
      </c>
      <c r="J2852" s="150">
        <f ca="1">J2849-J2850-J2851</f>
        <v>139.05000000000015</v>
      </c>
      <c r="L2852" s="403">
        <f t="shared" si="342"/>
        <v>46650</v>
      </c>
      <c r="M2852" s="56" t="str">
        <f t="shared" si="343"/>
        <v>MON</v>
      </c>
      <c r="O2852" s="383">
        <f t="shared" si="346"/>
        <v>1</v>
      </c>
      <c r="P2852" s="392">
        <f t="shared" si="345"/>
        <v>1</v>
      </c>
    </row>
    <row r="2853" spans="3:16">
      <c r="C2853" s="403">
        <f t="shared" si="344"/>
        <v>46651</v>
      </c>
      <c r="D2853" s="56" t="str">
        <f>VLOOKUP(MOD(C2853,7),'CALENDAR INFO'!$G$5:$H$11,2)</f>
        <v>TUE</v>
      </c>
      <c r="G2853" s="411">
        <f t="shared" si="341"/>
        <v>0</v>
      </c>
      <c r="L2853" s="403">
        <f t="shared" si="342"/>
        <v>46651</v>
      </c>
      <c r="M2853" s="56" t="str">
        <f t="shared" si="343"/>
        <v>TUE</v>
      </c>
      <c r="O2853" s="383">
        <f t="shared" si="346"/>
        <v>1</v>
      </c>
      <c r="P2853" s="392">
        <f t="shared" si="345"/>
        <v>1</v>
      </c>
    </row>
    <row r="2854" spans="3:16">
      <c r="C2854" s="403">
        <f t="shared" si="344"/>
        <v>46652</v>
      </c>
      <c r="D2854" s="56" t="str">
        <f>VLOOKUP(MOD(C2854,7),'CALENDAR INFO'!$G$5:$H$11,2)</f>
        <v>WED</v>
      </c>
      <c r="G2854" s="411">
        <f t="shared" si="341"/>
        <v>0</v>
      </c>
      <c r="H2854" s="15" t="s">
        <v>233</v>
      </c>
      <c r="I2854" s="137">
        <f ca="1">I2852</f>
        <v>138.29999999999998</v>
      </c>
      <c r="J2854" s="150">
        <f ca="1">J2852</f>
        <v>139.05000000000015</v>
      </c>
      <c r="L2854" s="403">
        <f t="shared" si="342"/>
        <v>46652</v>
      </c>
      <c r="M2854" s="56" t="str">
        <f t="shared" si="343"/>
        <v>WED</v>
      </c>
      <c r="O2854" s="383">
        <f t="shared" si="346"/>
        <v>1</v>
      </c>
      <c r="P2854" s="392">
        <f t="shared" si="345"/>
        <v>1</v>
      </c>
    </row>
    <row r="2855" spans="3:16">
      <c r="C2855" s="403">
        <f t="shared" si="344"/>
        <v>46653</v>
      </c>
      <c r="D2855" s="56" t="str">
        <f>VLOOKUP(MOD(C2855,7),'CALENDAR INFO'!$G$5:$H$11,2)</f>
        <v>THU</v>
      </c>
      <c r="G2855" s="411">
        <f t="shared" si="341"/>
        <v>0</v>
      </c>
      <c r="H2855" s="376" t="s">
        <v>227</v>
      </c>
      <c r="I2855" s="171">
        <f ca="1">I2845</f>
        <v>30</v>
      </c>
      <c r="J2855" s="172">
        <f ca="1">J2845</f>
        <v>30</v>
      </c>
      <c r="L2855" s="403">
        <f t="shared" si="342"/>
        <v>46653</v>
      </c>
      <c r="M2855" s="56" t="str">
        <f t="shared" si="343"/>
        <v>THU</v>
      </c>
      <c r="O2855" s="383">
        <f t="shared" si="346"/>
        <v>1</v>
      </c>
      <c r="P2855" s="392">
        <f t="shared" si="345"/>
        <v>1</v>
      </c>
    </row>
    <row r="2856" spans="3:16">
      <c r="C2856" s="403">
        <f t="shared" si="344"/>
        <v>46654</v>
      </c>
      <c r="D2856" s="56" t="str">
        <f>VLOOKUP(MOD(C2856,7),'CALENDAR INFO'!$G$5:$H$11,2)</f>
        <v>FRI</v>
      </c>
      <c r="G2856" s="411">
        <f t="shared" si="341"/>
        <v>0</v>
      </c>
      <c r="H2856" s="15" t="s">
        <v>228</v>
      </c>
      <c r="I2856" s="137">
        <f ca="1">I2854/I2855</f>
        <v>4.6099999999999994</v>
      </c>
      <c r="J2856" s="150">
        <f ca="1">J2854/J2855</f>
        <v>4.6350000000000051</v>
      </c>
      <c r="L2856" s="403">
        <f t="shared" si="342"/>
        <v>46654</v>
      </c>
      <c r="M2856" s="56" t="str">
        <f t="shared" si="343"/>
        <v>FRI</v>
      </c>
      <c r="O2856" s="383">
        <f t="shared" si="346"/>
        <v>3</v>
      </c>
      <c r="P2856" s="392">
        <f t="shared" si="345"/>
        <v>1</v>
      </c>
    </row>
    <row r="2857" spans="3:16">
      <c r="C2857" s="403">
        <f t="shared" si="344"/>
        <v>46655</v>
      </c>
      <c r="D2857" s="56" t="str">
        <f>VLOOKUP(MOD(C2857,7),'CALENDAR INFO'!$G$5:$H$11,2)</f>
        <v>SAT</v>
      </c>
      <c r="G2857" s="411">
        <f t="shared" si="341"/>
        <v>0</v>
      </c>
      <c r="L2857" s="403">
        <f t="shared" si="342"/>
        <v>46655</v>
      </c>
      <c r="M2857" s="56" t="str">
        <f t="shared" si="343"/>
        <v>SAT</v>
      </c>
      <c r="O2857" s="383">
        <f t="shared" si="346"/>
        <v>0</v>
      </c>
      <c r="P2857" s="392">
        <f t="shared" si="345"/>
        <v>1</v>
      </c>
    </row>
    <row r="2858" spans="3:16">
      <c r="C2858" s="403">
        <f t="shared" si="344"/>
        <v>46656</v>
      </c>
      <c r="D2858" s="56" t="str">
        <f>VLOOKUP(MOD(C2858,7),'CALENDAR INFO'!$G$5:$H$11,2)</f>
        <v>SUN</v>
      </c>
      <c r="G2858" s="411">
        <f t="shared" si="341"/>
        <v>0</v>
      </c>
      <c r="H2858" s="376" t="s">
        <v>221</v>
      </c>
      <c r="I2858" s="147" t="e">
        <f ca="1">AVERAGE(INDIRECT(I2840))</f>
        <v>#DIV/0!</v>
      </c>
      <c r="J2858" s="326" t="e">
        <f ca="1">AVERAGE(INDIRECT(J2840))</f>
        <v>#DIV/0!</v>
      </c>
      <c r="L2858" s="403">
        <f t="shared" si="342"/>
        <v>46656</v>
      </c>
      <c r="M2858" s="56" t="str">
        <f t="shared" si="343"/>
        <v>SUN</v>
      </c>
      <c r="O2858" s="383">
        <f t="shared" si="346"/>
        <v>0</v>
      </c>
      <c r="P2858" s="392">
        <f t="shared" si="345"/>
        <v>1</v>
      </c>
    </row>
    <row r="2859" spans="3:16">
      <c r="C2859" s="403">
        <f t="shared" si="344"/>
        <v>46657</v>
      </c>
      <c r="D2859" s="56" t="str">
        <f>VLOOKUP(MOD(C2859,7),'CALENDAR INFO'!$G$5:$H$11,2)</f>
        <v>MON</v>
      </c>
      <c r="G2859" s="411">
        <f t="shared" si="341"/>
        <v>0</v>
      </c>
      <c r="H2859" s="15" t="s">
        <v>222</v>
      </c>
      <c r="I2859" s="147" t="e">
        <f ca="1">100-I2858</f>
        <v>#DIV/0!</v>
      </c>
      <c r="J2859" s="326" t="e">
        <f ca="1">100-J2858</f>
        <v>#DIV/0!</v>
      </c>
      <c r="L2859" s="403">
        <f t="shared" si="342"/>
        <v>46657</v>
      </c>
      <c r="M2859" s="56" t="str">
        <f t="shared" si="343"/>
        <v>MON</v>
      </c>
      <c r="O2859" s="383">
        <f t="shared" si="346"/>
        <v>1</v>
      </c>
      <c r="P2859" s="392">
        <f t="shared" si="345"/>
        <v>1</v>
      </c>
    </row>
    <row r="2860" spans="3:16">
      <c r="C2860" s="403">
        <f t="shared" si="344"/>
        <v>46658</v>
      </c>
      <c r="D2860" s="56" t="str">
        <f>VLOOKUP(MOD(C2860,7),'CALENDAR INFO'!$G$5:$H$11,2)</f>
        <v>TUE</v>
      </c>
      <c r="G2860" s="411">
        <f t="shared" si="341"/>
        <v>0</v>
      </c>
      <c r="H2860" s="425" t="s">
        <v>97</v>
      </c>
      <c r="I2860" s="419"/>
      <c r="J2860" s="426"/>
      <c r="L2860" s="403">
        <f t="shared" si="342"/>
        <v>46658</v>
      </c>
      <c r="M2860" s="56" t="str">
        <f t="shared" si="343"/>
        <v>TUE</v>
      </c>
      <c r="O2860" s="383">
        <f t="shared" si="346"/>
        <v>1</v>
      </c>
      <c r="P2860" s="392">
        <f t="shared" si="345"/>
        <v>1</v>
      </c>
    </row>
    <row r="2861" spans="3:16">
      <c r="C2861" s="403">
        <f t="shared" si="344"/>
        <v>46659</v>
      </c>
      <c r="D2861" s="56" t="str">
        <f>VLOOKUP(MOD(C2861,7),'CALENDAR INFO'!$G$5:$H$11,2)</f>
        <v>WED</v>
      </c>
      <c r="G2861" s="411">
        <f t="shared" si="341"/>
        <v>0</v>
      </c>
      <c r="L2861" s="403">
        <f t="shared" si="342"/>
        <v>46659</v>
      </c>
      <c r="M2861" s="56" t="str">
        <f t="shared" si="343"/>
        <v>WED</v>
      </c>
      <c r="O2861" s="383">
        <f t="shared" si="346"/>
        <v>1</v>
      </c>
      <c r="P2861" s="392">
        <f t="shared" si="345"/>
        <v>1</v>
      </c>
    </row>
    <row r="2862" spans="3:16">
      <c r="C2862" s="403">
        <f t="shared" si="344"/>
        <v>46660</v>
      </c>
      <c r="D2862" s="56" t="str">
        <f>VLOOKUP(MOD(C2862,7),'CALENDAR INFO'!$G$5:$H$11,2)</f>
        <v>THU</v>
      </c>
      <c r="G2862" s="411">
        <f t="shared" si="341"/>
        <v>0</v>
      </c>
      <c r="L2862" s="403">
        <f t="shared" si="342"/>
        <v>46660</v>
      </c>
      <c r="M2862" s="56" t="str">
        <f t="shared" si="343"/>
        <v>THU</v>
      </c>
      <c r="O2862" s="383">
        <f t="shared" si="346"/>
        <v>1</v>
      </c>
      <c r="P2862" s="392">
        <f t="shared" si="345"/>
        <v>1</v>
      </c>
    </row>
    <row r="2863" spans="3:16">
      <c r="C2863" s="403">
        <f t="shared" si="344"/>
        <v>46661</v>
      </c>
      <c r="D2863" s="56" t="str">
        <f>VLOOKUP(MOD(C2863,7),'CALENDAR INFO'!$G$5:$H$11,2)</f>
        <v>FRI</v>
      </c>
      <c r="G2863" s="411">
        <f t="shared" si="341"/>
        <v>0</v>
      </c>
      <c r="H2863" s="15" t="s">
        <v>149</v>
      </c>
      <c r="I2863" s="15">
        <f>ROW(I2863)</f>
        <v>2863</v>
      </c>
      <c r="J2863" s="138">
        <f>I2863</f>
        <v>2863</v>
      </c>
      <c r="L2863" s="403">
        <f t="shared" si="342"/>
        <v>46661</v>
      </c>
      <c r="M2863" s="56" t="str">
        <f t="shared" si="343"/>
        <v>FRI</v>
      </c>
      <c r="O2863" s="383">
        <f t="shared" si="346"/>
        <v>3</v>
      </c>
      <c r="P2863" s="392">
        <f t="shared" si="345"/>
        <v>1</v>
      </c>
    </row>
    <row r="2864" spans="3:16">
      <c r="C2864" s="403">
        <f t="shared" si="344"/>
        <v>46662</v>
      </c>
      <c r="D2864" s="56" t="str">
        <f>VLOOKUP(MOD(C2864,7),'CALENDAR INFO'!$G$5:$H$11,2)</f>
        <v>SAT</v>
      </c>
      <c r="G2864" s="411">
        <f t="shared" si="341"/>
        <v>0</v>
      </c>
      <c r="H2864" s="376" t="s">
        <v>210</v>
      </c>
      <c r="I2864" s="171">
        <f>VLOOKUP(MONTH($C2863),'CALENDAR INFO'!$J$5:$K$16,2)</f>
        <v>31</v>
      </c>
      <c r="J2864" s="172">
        <f>I2864</f>
        <v>31</v>
      </c>
      <c r="L2864" s="403">
        <f t="shared" si="342"/>
        <v>46662</v>
      </c>
      <c r="M2864" s="56" t="str">
        <f t="shared" si="343"/>
        <v>SAT</v>
      </c>
      <c r="O2864" s="383">
        <f t="shared" si="346"/>
        <v>0</v>
      </c>
      <c r="P2864" s="392">
        <f t="shared" si="345"/>
        <v>1</v>
      </c>
    </row>
    <row r="2865" spans="3:16">
      <c r="C2865" s="403">
        <f t="shared" si="344"/>
        <v>46663</v>
      </c>
      <c r="D2865" s="56" t="str">
        <f>VLOOKUP(MOD(C2865,7),'CALENDAR INFO'!$G$5:$H$11,2)</f>
        <v>SUN</v>
      </c>
      <c r="G2865" s="411">
        <f t="shared" si="341"/>
        <v>0</v>
      </c>
      <c r="H2865" s="376" t="s">
        <v>211</v>
      </c>
      <c r="I2865" s="15">
        <f>I2864+I2863-1</f>
        <v>2893</v>
      </c>
      <c r="J2865" s="138">
        <f>I2865</f>
        <v>2893</v>
      </c>
      <c r="L2865" s="403">
        <f t="shared" si="342"/>
        <v>46663</v>
      </c>
      <c r="M2865" s="56" t="str">
        <f t="shared" si="343"/>
        <v>SUN</v>
      </c>
      <c r="O2865" s="383">
        <f t="shared" si="346"/>
        <v>0</v>
      </c>
      <c r="P2865" s="392">
        <f t="shared" si="345"/>
        <v>1</v>
      </c>
    </row>
    <row r="2866" spans="3:16">
      <c r="C2866" s="403">
        <f t="shared" si="344"/>
        <v>46664</v>
      </c>
      <c r="D2866" s="56" t="str">
        <f>VLOOKUP(MOD(C2866,7),'CALENDAR INFO'!$G$5:$H$11,2)</f>
        <v>MON</v>
      </c>
      <c r="G2866" s="411">
        <f t="shared" si="341"/>
        <v>0</v>
      </c>
      <c r="L2866" s="403">
        <f t="shared" si="342"/>
        <v>46664</v>
      </c>
      <c r="M2866" s="56" t="str">
        <f t="shared" si="343"/>
        <v>MON</v>
      </c>
      <c r="O2866" s="383">
        <f t="shared" si="346"/>
        <v>1</v>
      </c>
      <c r="P2866" s="392">
        <f t="shared" si="345"/>
        <v>1</v>
      </c>
    </row>
    <row r="2867" spans="3:16">
      <c r="C2867" s="403">
        <f t="shared" si="344"/>
        <v>46665</v>
      </c>
      <c r="D2867" s="56" t="str">
        <f>VLOOKUP(MOD(C2867,7),'CALENDAR INFO'!$G$5:$H$11,2)</f>
        <v>TUE</v>
      </c>
      <c r="G2867" s="411">
        <f t="shared" si="341"/>
        <v>0</v>
      </c>
      <c r="H2867" s="15" t="s">
        <v>224</v>
      </c>
      <c r="I2867" s="136">
        <v>2889</v>
      </c>
      <c r="J2867" s="138">
        <f>I2867</f>
        <v>2889</v>
      </c>
      <c r="L2867" s="403">
        <f t="shared" si="342"/>
        <v>46665</v>
      </c>
      <c r="M2867" s="56" t="str">
        <f t="shared" si="343"/>
        <v>TUE</v>
      </c>
      <c r="O2867" s="383">
        <f t="shared" si="346"/>
        <v>1</v>
      </c>
      <c r="P2867" s="392">
        <f t="shared" si="345"/>
        <v>1</v>
      </c>
    </row>
    <row r="2868" spans="3:16">
      <c r="C2868" s="403">
        <f t="shared" si="344"/>
        <v>46666</v>
      </c>
      <c r="D2868" s="56" t="str">
        <f>VLOOKUP(MOD(C2868,7),'CALENDAR INFO'!$G$5:$H$11,2)</f>
        <v>WED</v>
      </c>
      <c r="G2868" s="411">
        <f t="shared" si="341"/>
        <v>0</v>
      </c>
      <c r="H2868" s="15" t="s">
        <v>225</v>
      </c>
      <c r="I2868" s="15" t="str">
        <f>_xlfn.CONCAT(ADDRESS(I2863,1),":",ADDRESS(I2867,1))</f>
        <v>$A$2863:$A$2889</v>
      </c>
      <c r="J2868" s="138" t="str">
        <f>_xlfn.CONCAT(ADDRESS(J2863,2),":",ADDRESS(J2867,2))</f>
        <v>$B$2863:$B$2889</v>
      </c>
      <c r="L2868" s="403">
        <f t="shared" si="342"/>
        <v>46666</v>
      </c>
      <c r="M2868" s="56" t="str">
        <f t="shared" si="343"/>
        <v>WED</v>
      </c>
      <c r="O2868" s="383">
        <f t="shared" si="346"/>
        <v>1</v>
      </c>
      <c r="P2868" s="392">
        <f t="shared" si="345"/>
        <v>1</v>
      </c>
    </row>
    <row r="2869" spans="3:16">
      <c r="C2869" s="403">
        <f t="shared" si="344"/>
        <v>46667</v>
      </c>
      <c r="D2869" s="56" t="str">
        <f>VLOOKUP(MOD(C2869,7),'CALENDAR INFO'!$G$5:$H$11,2)</f>
        <v>THU</v>
      </c>
      <c r="G2869" s="411">
        <f t="shared" si="341"/>
        <v>0</v>
      </c>
      <c r="H2869" s="15" t="s">
        <v>226</v>
      </c>
      <c r="I2869" s="15" t="str">
        <f>_xlfn.CONCAT(ADDRESS(I2867+1,1),":",ADDRESS(I2865,1))</f>
        <v>$A$2890:$A$2893</v>
      </c>
      <c r="J2869" s="138" t="str">
        <f>_xlfn.CONCAT(ADDRESS(J2867+1,2),":",ADDRESS(J2865,2))</f>
        <v>$B$2890:$B$2893</v>
      </c>
      <c r="L2869" s="403">
        <f t="shared" si="342"/>
        <v>46667</v>
      </c>
      <c r="M2869" s="56" t="str">
        <f t="shared" si="343"/>
        <v>THU</v>
      </c>
      <c r="O2869" s="383">
        <f t="shared" si="346"/>
        <v>1</v>
      </c>
      <c r="P2869" s="392">
        <f t="shared" si="345"/>
        <v>1</v>
      </c>
    </row>
    <row r="2870" spans="3:16">
      <c r="C2870" s="403">
        <f t="shared" si="344"/>
        <v>46668</v>
      </c>
      <c r="D2870" s="56" t="str">
        <f>VLOOKUP(MOD(C2870,7),'CALENDAR INFO'!$G$5:$H$11,2)</f>
        <v>FRI</v>
      </c>
      <c r="G2870" s="411">
        <f t="shared" si="341"/>
        <v>0</v>
      </c>
      <c r="H2870" s="15" t="s">
        <v>150</v>
      </c>
      <c r="I2870" s="15" t="str">
        <f>_xlfn.CONCAT(ADDRESS(I2863,5),":",ADDRESS(I2865,5))</f>
        <v>$E$2863:$E$2893</v>
      </c>
      <c r="J2870" s="138" t="str">
        <f>_xlfn.CONCAT(ADDRESS(J2863,6),":",ADDRESS(J2865,6))</f>
        <v>$F$2863:$F$2893</v>
      </c>
      <c r="L2870" s="403">
        <f t="shared" si="342"/>
        <v>46668</v>
      </c>
      <c r="M2870" s="56" t="str">
        <f t="shared" si="343"/>
        <v>FRI</v>
      </c>
      <c r="O2870" s="384">
        <v>4</v>
      </c>
      <c r="P2870" s="392">
        <f t="shared" si="345"/>
        <v>1</v>
      </c>
    </row>
    <row r="2871" spans="3:16">
      <c r="C2871" s="403">
        <f t="shared" si="344"/>
        <v>46669</v>
      </c>
      <c r="D2871" s="56" t="str">
        <f>VLOOKUP(MOD(C2871,7),'CALENDAR INFO'!$G$5:$H$11,2)</f>
        <v>SAT</v>
      </c>
      <c r="G2871" s="411">
        <f t="shared" si="341"/>
        <v>0</v>
      </c>
      <c r="L2871" s="403">
        <f t="shared" si="342"/>
        <v>46669</v>
      </c>
      <c r="M2871" s="56" t="str">
        <f t="shared" si="343"/>
        <v>SAT</v>
      </c>
      <c r="O2871" s="383">
        <f>IF(MOD(C2871,7)&lt;2,0,IF(MOD(C2871,7)=6,3,1))</f>
        <v>0</v>
      </c>
      <c r="P2871" s="392">
        <f t="shared" si="345"/>
        <v>1</v>
      </c>
    </row>
    <row r="2872" spans="3:16">
      <c r="C2872" s="403">
        <f t="shared" si="344"/>
        <v>46670</v>
      </c>
      <c r="D2872" s="56" t="str">
        <f>VLOOKUP(MOD(C2872,7),'CALENDAR INFO'!$G$5:$H$11,2)</f>
        <v>SUN</v>
      </c>
      <c r="G2872" s="411">
        <f t="shared" si="341"/>
        <v>0</v>
      </c>
      <c r="H2872" s="15" t="s">
        <v>117</v>
      </c>
      <c r="I2872" s="15">
        <f>I2864</f>
        <v>31</v>
      </c>
      <c r="J2872" s="138">
        <f>J2864</f>
        <v>31</v>
      </c>
      <c r="L2872" s="403">
        <f t="shared" si="342"/>
        <v>46670</v>
      </c>
      <c r="M2872" s="56" t="str">
        <f t="shared" si="343"/>
        <v>SUN</v>
      </c>
      <c r="O2872" s="383">
        <f>IF(MOD(C2872,7)&lt;2,0,IF(MOD(C2872,7)=6,3,1))</f>
        <v>0</v>
      </c>
      <c r="P2872" s="392">
        <f t="shared" si="345"/>
        <v>1</v>
      </c>
    </row>
    <row r="2873" spans="3:16">
      <c r="C2873" s="403">
        <f t="shared" si="344"/>
        <v>46671</v>
      </c>
      <c r="D2873" s="56" t="str">
        <f>VLOOKUP(MOD(C2873,7),'CALENDAR INFO'!$G$5:$H$11,2)</f>
        <v>MON</v>
      </c>
      <c r="G2873" s="411">
        <f t="shared" si="341"/>
        <v>0</v>
      </c>
      <c r="H2873" s="376" t="s">
        <v>213</v>
      </c>
      <c r="I2873" s="15">
        <f ca="1">COUNT(INDIRECT(I2870))</f>
        <v>0</v>
      </c>
      <c r="J2873" s="138">
        <f ca="1">COUNT(INDIRECT(J2870))</f>
        <v>0</v>
      </c>
      <c r="L2873" s="403">
        <f t="shared" si="342"/>
        <v>46671</v>
      </c>
      <c r="M2873" s="56" t="str">
        <f t="shared" si="343"/>
        <v>MON</v>
      </c>
      <c r="N2873" s="132" t="s">
        <v>107</v>
      </c>
      <c r="O2873" s="384">
        <v>0</v>
      </c>
      <c r="P2873" s="392">
        <f t="shared" si="345"/>
        <v>1</v>
      </c>
    </row>
    <row r="2874" spans="3:16">
      <c r="C2874" s="403">
        <f t="shared" si="344"/>
        <v>46672</v>
      </c>
      <c r="D2874" s="56" t="str">
        <f>VLOOKUP(MOD(C2874,7),'CALENDAR INFO'!$G$5:$H$11,2)</f>
        <v>TUE</v>
      </c>
      <c r="G2874" s="411">
        <f t="shared" si="341"/>
        <v>0</v>
      </c>
      <c r="H2874" s="376" t="s">
        <v>229</v>
      </c>
      <c r="I2874" s="171">
        <f ca="1">COUNT(INDIRECT(I2868))</f>
        <v>0</v>
      </c>
      <c r="J2874" s="172">
        <f ca="1">COUNT(INDIRECT(J2868))</f>
        <v>0</v>
      </c>
      <c r="L2874" s="403">
        <f t="shared" si="342"/>
        <v>46672</v>
      </c>
      <c r="M2874" s="56" t="str">
        <f t="shared" si="343"/>
        <v>TUE</v>
      </c>
      <c r="O2874" s="383">
        <f t="shared" ref="O2874:O2902" si="347">IF(MOD(C2874,7)&lt;2,0,IF(MOD(C2874,7)=6,3,1))</f>
        <v>1</v>
      </c>
      <c r="P2874" s="392">
        <f t="shared" si="345"/>
        <v>1</v>
      </c>
    </row>
    <row r="2875" spans="3:16">
      <c r="C2875" s="403">
        <f t="shared" si="344"/>
        <v>46673</v>
      </c>
      <c r="D2875" s="56" t="str">
        <f>VLOOKUP(MOD(C2875,7),'CALENDAR INFO'!$G$5:$H$11,2)</f>
        <v>WED</v>
      </c>
      <c r="G2875" s="411">
        <f t="shared" si="341"/>
        <v>0</v>
      </c>
      <c r="H2875" s="376" t="s">
        <v>230</v>
      </c>
      <c r="I2875" s="15">
        <f ca="1">I2872-I2873-I2874</f>
        <v>31</v>
      </c>
      <c r="J2875" s="138">
        <f ca="1">J2872-J2873-J2874</f>
        <v>31</v>
      </c>
      <c r="L2875" s="403">
        <f t="shared" si="342"/>
        <v>46673</v>
      </c>
      <c r="M2875" s="56" t="str">
        <f t="shared" si="343"/>
        <v>WED</v>
      </c>
      <c r="O2875" s="383">
        <f t="shared" si="347"/>
        <v>1</v>
      </c>
      <c r="P2875" s="392">
        <f t="shared" si="345"/>
        <v>1</v>
      </c>
    </row>
    <row r="2876" spans="3:16">
      <c r="C2876" s="403">
        <f t="shared" si="344"/>
        <v>46674</v>
      </c>
      <c r="D2876" s="56" t="str">
        <f>VLOOKUP(MOD(C2876,7),'CALENDAR INFO'!$G$5:$H$11,2)</f>
        <v>THU</v>
      </c>
      <c r="G2876" s="411">
        <f t="shared" si="341"/>
        <v>0</v>
      </c>
      <c r="L2876" s="403">
        <f t="shared" si="342"/>
        <v>46674</v>
      </c>
      <c r="M2876" s="56" t="str">
        <f t="shared" si="343"/>
        <v>THU</v>
      </c>
      <c r="O2876" s="383">
        <f t="shared" si="347"/>
        <v>1</v>
      </c>
      <c r="P2876" s="392">
        <f t="shared" si="345"/>
        <v>1</v>
      </c>
    </row>
    <row r="2877" spans="3:16">
      <c r="C2877" s="403">
        <f t="shared" si="344"/>
        <v>46675</v>
      </c>
      <c r="D2877" s="56" t="str">
        <f>VLOOKUP(MOD(C2877,7),'CALENDAR INFO'!$G$5:$H$11,2)</f>
        <v>FRI</v>
      </c>
      <c r="G2877" s="411">
        <f t="shared" si="341"/>
        <v>0</v>
      </c>
      <c r="H2877" s="15" t="s">
        <v>175</v>
      </c>
      <c r="I2877" s="139">
        <f>OUTPUT!C18</f>
        <v>4.6200000000000045</v>
      </c>
      <c r="J2877" s="151">
        <f>OUTPUT!F18</f>
        <v>4.6500000000000057</v>
      </c>
      <c r="L2877" s="403">
        <f t="shared" si="342"/>
        <v>46675</v>
      </c>
      <c r="M2877" s="56" t="str">
        <f t="shared" si="343"/>
        <v>FRI</v>
      </c>
      <c r="O2877" s="383">
        <f t="shared" si="347"/>
        <v>3</v>
      </c>
      <c r="P2877" s="392">
        <f t="shared" si="345"/>
        <v>1</v>
      </c>
    </row>
    <row r="2878" spans="3:16">
      <c r="C2878" s="403">
        <f t="shared" si="344"/>
        <v>46676</v>
      </c>
      <c r="D2878" s="56" t="str">
        <f>VLOOKUP(MOD(C2878,7),'CALENDAR INFO'!$G$5:$H$11,2)</f>
        <v>SAT</v>
      </c>
      <c r="G2878" s="411">
        <f t="shared" si="341"/>
        <v>0</v>
      </c>
      <c r="H2878" s="15" t="s">
        <v>209</v>
      </c>
      <c r="I2878" s="171">
        <f>I2864</f>
        <v>31</v>
      </c>
      <c r="J2878" s="172">
        <f>J2864</f>
        <v>31</v>
      </c>
      <c r="L2878" s="403">
        <f t="shared" si="342"/>
        <v>46676</v>
      </c>
      <c r="M2878" s="56" t="str">
        <f t="shared" si="343"/>
        <v>SAT</v>
      </c>
      <c r="O2878" s="383">
        <f t="shared" si="347"/>
        <v>0</v>
      </c>
      <c r="P2878" s="392">
        <f t="shared" si="345"/>
        <v>1</v>
      </c>
    </row>
    <row r="2879" spans="3:16">
      <c r="C2879" s="403">
        <f t="shared" si="344"/>
        <v>46677</v>
      </c>
      <c r="D2879" s="56" t="str">
        <f>VLOOKUP(MOD(C2879,7),'CALENDAR INFO'!$G$5:$H$11,2)</f>
        <v>SUN</v>
      </c>
      <c r="G2879" s="411">
        <f t="shared" si="341"/>
        <v>0</v>
      </c>
      <c r="H2879" s="376" t="s">
        <v>214</v>
      </c>
      <c r="I2879" s="137">
        <f>I2877*I2878</f>
        <v>143.22000000000014</v>
      </c>
      <c r="J2879" s="150">
        <f>J2877*J2878</f>
        <v>144.15000000000018</v>
      </c>
      <c r="L2879" s="403">
        <f t="shared" si="342"/>
        <v>46677</v>
      </c>
      <c r="M2879" s="56" t="str">
        <f t="shared" si="343"/>
        <v>SUN</v>
      </c>
      <c r="O2879" s="383">
        <f t="shared" si="347"/>
        <v>0</v>
      </c>
      <c r="P2879" s="392">
        <f t="shared" si="345"/>
        <v>1</v>
      </c>
    </row>
    <row r="2880" spans="3:16">
      <c r="C2880" s="403">
        <f t="shared" si="344"/>
        <v>46678</v>
      </c>
      <c r="D2880" s="56" t="str">
        <f>VLOOKUP(MOD(C2880,7),'CALENDAR INFO'!$G$5:$H$11,2)</f>
        <v>MON</v>
      </c>
      <c r="G2880" s="411">
        <f t="shared" si="341"/>
        <v>0</v>
      </c>
      <c r="H2880" s="376" t="s">
        <v>215</v>
      </c>
      <c r="I2880" s="137">
        <f ca="1">SUM(INDIRECT(I2870))</f>
        <v>0</v>
      </c>
      <c r="J2880" s="150">
        <f ca="1">SUM(INDIRECT(J2870))</f>
        <v>0</v>
      </c>
      <c r="L2880" s="403">
        <f t="shared" si="342"/>
        <v>46678</v>
      </c>
      <c r="M2880" s="56" t="str">
        <f t="shared" si="343"/>
        <v>MON</v>
      </c>
      <c r="O2880" s="383">
        <f t="shared" si="347"/>
        <v>1</v>
      </c>
      <c r="P2880" s="392">
        <f t="shared" si="345"/>
        <v>1</v>
      </c>
    </row>
    <row r="2881" spans="1:16">
      <c r="C2881" s="403">
        <f t="shared" si="344"/>
        <v>46679</v>
      </c>
      <c r="D2881" s="56" t="str">
        <f>VLOOKUP(MOD(C2881,7),'CALENDAR INFO'!$G$5:$H$11,2)</f>
        <v>TUE</v>
      </c>
      <c r="G2881" s="411">
        <f t="shared" si="341"/>
        <v>0</v>
      </c>
      <c r="H2881" s="376" t="s">
        <v>231</v>
      </c>
      <c r="I2881" s="163">
        <f ca="1">SUM(INDIRECT(I2868))</f>
        <v>0</v>
      </c>
      <c r="J2881" s="164">
        <f ca="1">SUM(INDIRECT(J2868))</f>
        <v>0</v>
      </c>
      <c r="L2881" s="403">
        <f t="shared" si="342"/>
        <v>46679</v>
      </c>
      <c r="M2881" s="56" t="str">
        <f t="shared" si="343"/>
        <v>TUE</v>
      </c>
      <c r="O2881" s="383">
        <f t="shared" si="347"/>
        <v>1</v>
      </c>
      <c r="P2881" s="392">
        <f t="shared" si="345"/>
        <v>1</v>
      </c>
    </row>
    <row r="2882" spans="1:16">
      <c r="C2882" s="403">
        <f t="shared" si="344"/>
        <v>46680</v>
      </c>
      <c r="D2882" s="56" t="str">
        <f>VLOOKUP(MOD(C2882,7),'CALENDAR INFO'!$G$5:$H$11,2)</f>
        <v>WED</v>
      </c>
      <c r="G2882" s="411">
        <f t="shared" si="341"/>
        <v>0</v>
      </c>
      <c r="H2882" s="376" t="s">
        <v>232</v>
      </c>
      <c r="I2882" s="137">
        <f ca="1">I2879-I2880-I2881</f>
        <v>143.22000000000014</v>
      </c>
      <c r="J2882" s="150">
        <f ca="1">J2879-J2880-J2881</f>
        <v>144.15000000000018</v>
      </c>
      <c r="L2882" s="403">
        <f t="shared" si="342"/>
        <v>46680</v>
      </c>
      <c r="M2882" s="56" t="str">
        <f t="shared" si="343"/>
        <v>WED</v>
      </c>
      <c r="O2882" s="383">
        <f t="shared" si="347"/>
        <v>1</v>
      </c>
      <c r="P2882" s="392">
        <f t="shared" si="345"/>
        <v>1</v>
      </c>
    </row>
    <row r="2883" spans="1:16">
      <c r="C2883" s="403">
        <f t="shared" si="344"/>
        <v>46681</v>
      </c>
      <c r="D2883" s="56" t="str">
        <f>VLOOKUP(MOD(C2883,7),'CALENDAR INFO'!$G$5:$H$11,2)</f>
        <v>THU</v>
      </c>
      <c r="G2883" s="411">
        <f t="shared" ref="G2883:G2946" si="348">F2883-E2883</f>
        <v>0</v>
      </c>
      <c r="L2883" s="403">
        <f t="shared" ref="L2883:L2946" si="349">C2883</f>
        <v>46681</v>
      </c>
      <c r="M2883" s="56" t="str">
        <f t="shared" ref="M2883:M2946" si="350">D2883</f>
        <v>THU</v>
      </c>
      <c r="O2883" s="383">
        <f t="shared" si="347"/>
        <v>1</v>
      </c>
      <c r="P2883" s="392">
        <f t="shared" si="345"/>
        <v>1</v>
      </c>
    </row>
    <row r="2884" spans="1:16">
      <c r="C2884" s="403">
        <f t="shared" ref="C2884:C2947" si="351">C2883+1</f>
        <v>46682</v>
      </c>
      <c r="D2884" s="56" t="str">
        <f>VLOOKUP(MOD(C2884,7),'CALENDAR INFO'!$G$5:$H$11,2)</f>
        <v>FRI</v>
      </c>
      <c r="G2884" s="411">
        <f t="shared" si="348"/>
        <v>0</v>
      </c>
      <c r="H2884" s="15" t="s">
        <v>233</v>
      </c>
      <c r="I2884" s="137">
        <f ca="1">I2882</f>
        <v>143.22000000000014</v>
      </c>
      <c r="J2884" s="150">
        <f ca="1">J2882</f>
        <v>144.15000000000018</v>
      </c>
      <c r="L2884" s="403">
        <f t="shared" si="349"/>
        <v>46682</v>
      </c>
      <c r="M2884" s="56" t="str">
        <f t="shared" si="350"/>
        <v>FRI</v>
      </c>
      <c r="O2884" s="383">
        <f t="shared" si="347"/>
        <v>3</v>
      </c>
      <c r="P2884" s="392">
        <f t="shared" si="345"/>
        <v>1</v>
      </c>
    </row>
    <row r="2885" spans="1:16">
      <c r="C2885" s="403">
        <f t="shared" si="351"/>
        <v>46683</v>
      </c>
      <c r="D2885" s="56" t="str">
        <f>VLOOKUP(MOD(C2885,7),'CALENDAR INFO'!$G$5:$H$11,2)</f>
        <v>SAT</v>
      </c>
      <c r="G2885" s="411">
        <f t="shared" si="348"/>
        <v>0</v>
      </c>
      <c r="H2885" s="376" t="s">
        <v>227</v>
      </c>
      <c r="I2885" s="171">
        <f ca="1">I2875</f>
        <v>31</v>
      </c>
      <c r="J2885" s="172">
        <f ca="1">J2875</f>
        <v>31</v>
      </c>
      <c r="L2885" s="403">
        <f t="shared" si="349"/>
        <v>46683</v>
      </c>
      <c r="M2885" s="56" t="str">
        <f t="shared" si="350"/>
        <v>SAT</v>
      </c>
      <c r="O2885" s="383">
        <f t="shared" si="347"/>
        <v>0</v>
      </c>
      <c r="P2885" s="392">
        <f t="shared" si="345"/>
        <v>1</v>
      </c>
    </row>
    <row r="2886" spans="1:16">
      <c r="C2886" s="403">
        <f t="shared" si="351"/>
        <v>46684</v>
      </c>
      <c r="D2886" s="56" t="str">
        <f>VLOOKUP(MOD(C2886,7),'CALENDAR INFO'!$G$5:$H$11,2)</f>
        <v>SUN</v>
      </c>
      <c r="G2886" s="411">
        <f t="shared" si="348"/>
        <v>0</v>
      </c>
      <c r="H2886" s="15" t="s">
        <v>228</v>
      </c>
      <c r="I2886" s="137">
        <f ca="1">I2884/I2885</f>
        <v>4.6200000000000045</v>
      </c>
      <c r="J2886" s="150">
        <f ca="1">J2884/J2885</f>
        <v>4.6500000000000057</v>
      </c>
      <c r="L2886" s="403">
        <f t="shared" si="349"/>
        <v>46684</v>
      </c>
      <c r="M2886" s="56" t="str">
        <f t="shared" si="350"/>
        <v>SUN</v>
      </c>
      <c r="O2886" s="383">
        <f t="shared" si="347"/>
        <v>0</v>
      </c>
      <c r="P2886" s="392">
        <f t="shared" si="345"/>
        <v>1</v>
      </c>
    </row>
    <row r="2887" spans="1:16">
      <c r="C2887" s="403">
        <f t="shared" si="351"/>
        <v>46685</v>
      </c>
      <c r="D2887" s="56" t="str">
        <f>VLOOKUP(MOD(C2887,7),'CALENDAR INFO'!$G$5:$H$11,2)</f>
        <v>MON</v>
      </c>
      <c r="G2887" s="411">
        <f t="shared" si="348"/>
        <v>0</v>
      </c>
      <c r="L2887" s="403">
        <f t="shared" si="349"/>
        <v>46685</v>
      </c>
      <c r="M2887" s="56" t="str">
        <f t="shared" si="350"/>
        <v>MON</v>
      </c>
      <c r="O2887" s="383">
        <f t="shared" si="347"/>
        <v>1</v>
      </c>
      <c r="P2887" s="392">
        <f t="shared" si="345"/>
        <v>1</v>
      </c>
    </row>
    <row r="2888" spans="1:16">
      <c r="C2888" s="403">
        <f t="shared" si="351"/>
        <v>46686</v>
      </c>
      <c r="D2888" s="56" t="str">
        <f>VLOOKUP(MOD(C2888,7),'CALENDAR INFO'!$G$5:$H$11,2)</f>
        <v>TUE</v>
      </c>
      <c r="G2888" s="411">
        <f t="shared" si="348"/>
        <v>0</v>
      </c>
      <c r="H2888" s="376" t="s">
        <v>221</v>
      </c>
      <c r="I2888" s="147" t="e">
        <f ca="1">AVERAGE(INDIRECT(I2870))</f>
        <v>#DIV/0!</v>
      </c>
      <c r="J2888" s="326" t="e">
        <f ca="1">AVERAGE(INDIRECT(J2870))</f>
        <v>#DIV/0!</v>
      </c>
      <c r="L2888" s="403">
        <f t="shared" si="349"/>
        <v>46686</v>
      </c>
      <c r="M2888" s="56" t="str">
        <f t="shared" si="350"/>
        <v>TUE</v>
      </c>
      <c r="N2888" s="116" t="s">
        <v>20</v>
      </c>
      <c r="O2888" s="383">
        <f t="shared" si="347"/>
        <v>1</v>
      </c>
      <c r="P2888" s="392">
        <f t="shared" si="345"/>
        <v>1</v>
      </c>
    </row>
    <row r="2889" spans="1:16">
      <c r="C2889" s="403">
        <f t="shared" si="351"/>
        <v>46687</v>
      </c>
      <c r="D2889" s="56" t="str">
        <f>VLOOKUP(MOD(C2889,7),'CALENDAR INFO'!$G$5:$H$11,2)</f>
        <v>WED</v>
      </c>
      <c r="G2889" s="411">
        <f t="shared" si="348"/>
        <v>0</v>
      </c>
      <c r="H2889" s="15" t="s">
        <v>222</v>
      </c>
      <c r="I2889" s="147" t="e">
        <f ca="1">100-I2888</f>
        <v>#DIV/0!</v>
      </c>
      <c r="J2889" s="326" t="e">
        <f ca="1">100-J2888</f>
        <v>#DIV/0!</v>
      </c>
      <c r="L2889" s="403">
        <f t="shared" si="349"/>
        <v>46687</v>
      </c>
      <c r="M2889" s="56" t="str">
        <f t="shared" si="350"/>
        <v>WED</v>
      </c>
      <c r="N2889" s="116" t="s">
        <v>20</v>
      </c>
      <c r="O2889" s="383">
        <f t="shared" si="347"/>
        <v>1</v>
      </c>
      <c r="P2889" s="392">
        <f t="shared" si="345"/>
        <v>1</v>
      </c>
    </row>
    <row r="2890" spans="1:16">
      <c r="C2890" s="403">
        <f t="shared" si="351"/>
        <v>46688</v>
      </c>
      <c r="D2890" s="56" t="str">
        <f>VLOOKUP(MOD(C2890,7),'CALENDAR INFO'!$G$5:$H$11,2)</f>
        <v>THU</v>
      </c>
      <c r="G2890" s="411">
        <f t="shared" si="348"/>
        <v>0</v>
      </c>
      <c r="H2890" s="425" t="s">
        <v>97</v>
      </c>
      <c r="I2890" s="419"/>
      <c r="J2890" s="426"/>
      <c r="L2890" s="403">
        <f t="shared" si="349"/>
        <v>46688</v>
      </c>
      <c r="M2890" s="56" t="str">
        <f t="shared" si="350"/>
        <v>THU</v>
      </c>
      <c r="O2890" s="383">
        <f t="shared" si="347"/>
        <v>1</v>
      </c>
      <c r="P2890" s="392">
        <f t="shared" si="345"/>
        <v>1</v>
      </c>
    </row>
    <row r="2891" spans="1:16">
      <c r="C2891" s="403">
        <f t="shared" si="351"/>
        <v>46689</v>
      </c>
      <c r="D2891" s="56" t="str">
        <f>VLOOKUP(MOD(C2891,7),'CALENDAR INFO'!$G$5:$H$11,2)</f>
        <v>FRI</v>
      </c>
      <c r="G2891" s="411">
        <f t="shared" si="348"/>
        <v>0</v>
      </c>
      <c r="L2891" s="403">
        <f t="shared" si="349"/>
        <v>46689</v>
      </c>
      <c r="M2891" s="56" t="str">
        <f t="shared" si="350"/>
        <v>FRI</v>
      </c>
      <c r="O2891" s="383">
        <f t="shared" si="347"/>
        <v>3</v>
      </c>
      <c r="P2891" s="392">
        <f t="shared" si="345"/>
        <v>1</v>
      </c>
    </row>
    <row r="2892" spans="1:16">
      <c r="C2892" s="403">
        <f t="shared" si="351"/>
        <v>46690</v>
      </c>
      <c r="D2892" s="56" t="str">
        <f>VLOOKUP(MOD(C2892,7),'CALENDAR INFO'!$G$5:$H$11,2)</f>
        <v>SAT</v>
      </c>
      <c r="G2892" s="411">
        <f t="shared" si="348"/>
        <v>0</v>
      </c>
      <c r="L2892" s="403">
        <f t="shared" si="349"/>
        <v>46690</v>
      </c>
      <c r="M2892" s="56" t="str">
        <f t="shared" si="350"/>
        <v>SAT</v>
      </c>
      <c r="O2892" s="383">
        <f t="shared" si="347"/>
        <v>0</v>
      </c>
      <c r="P2892" s="392">
        <f t="shared" si="345"/>
        <v>1</v>
      </c>
    </row>
    <row r="2893" spans="1:16">
      <c r="C2893" s="403">
        <f t="shared" si="351"/>
        <v>46691</v>
      </c>
      <c r="D2893" s="56" t="str">
        <f>VLOOKUP(MOD(C2893,7),'CALENDAR INFO'!$G$5:$H$11,2)</f>
        <v>SUN</v>
      </c>
      <c r="G2893" s="411">
        <f t="shared" si="348"/>
        <v>0</v>
      </c>
      <c r="L2893" s="403">
        <f t="shared" si="349"/>
        <v>46691</v>
      </c>
      <c r="M2893" s="56" t="str">
        <f t="shared" si="350"/>
        <v>SUN</v>
      </c>
      <c r="O2893" s="383">
        <f t="shared" si="347"/>
        <v>0</v>
      </c>
      <c r="P2893" s="392">
        <f t="shared" si="345"/>
        <v>1</v>
      </c>
    </row>
    <row r="2894" spans="1:16">
      <c r="A2894" s="39">
        <f ca="1">I$2912</f>
        <v>4.625</v>
      </c>
      <c r="B2894" s="41">
        <f ca="1">J$2912</f>
        <v>4.6500000000000057</v>
      </c>
      <c r="C2894" s="403">
        <f t="shared" si="351"/>
        <v>46692</v>
      </c>
      <c r="D2894" s="56" t="str">
        <f>VLOOKUP(MOD(C2894,7),'CALENDAR INFO'!$G$5:$H$11,2)</f>
        <v>MON</v>
      </c>
      <c r="G2894" s="411">
        <f t="shared" si="348"/>
        <v>0</v>
      </c>
      <c r="H2894" s="15" t="s">
        <v>149</v>
      </c>
      <c r="I2894" s="15">
        <f>ROW(I2894)</f>
        <v>2894</v>
      </c>
      <c r="J2894" s="138">
        <f>I2894</f>
        <v>2894</v>
      </c>
      <c r="L2894" s="403">
        <f t="shared" si="349"/>
        <v>46692</v>
      </c>
      <c r="M2894" s="56" t="str">
        <f t="shared" si="350"/>
        <v>MON</v>
      </c>
      <c r="O2894" s="383">
        <f t="shared" si="347"/>
        <v>1</v>
      </c>
      <c r="P2894" s="392">
        <f t="shared" ca="1" si="345"/>
        <v>1.0001291666666667</v>
      </c>
    </row>
    <row r="2895" spans="1:16">
      <c r="A2895" s="39">
        <f t="shared" ref="A2895:A2923" ca="1" si="352">I$2912</f>
        <v>4.625</v>
      </c>
      <c r="B2895" s="41">
        <f t="shared" ref="B2895:B2923" ca="1" si="353">J$2912</f>
        <v>4.6500000000000057</v>
      </c>
      <c r="C2895" s="403">
        <f t="shared" si="351"/>
        <v>46693</v>
      </c>
      <c r="D2895" s="56" t="str">
        <f>VLOOKUP(MOD(C2895,7),'CALENDAR INFO'!$G$5:$H$11,2)</f>
        <v>TUE</v>
      </c>
      <c r="G2895" s="411">
        <f t="shared" si="348"/>
        <v>0</v>
      </c>
      <c r="H2895" s="376" t="s">
        <v>210</v>
      </c>
      <c r="I2895" s="171">
        <f>VLOOKUP(MONTH($C2894),'CALENDAR INFO'!$J$5:$K$16,2)</f>
        <v>30</v>
      </c>
      <c r="J2895" s="172">
        <f>I2895</f>
        <v>30</v>
      </c>
      <c r="L2895" s="403">
        <f t="shared" si="349"/>
        <v>46693</v>
      </c>
      <c r="M2895" s="56" t="str">
        <f t="shared" si="350"/>
        <v>TUE</v>
      </c>
      <c r="O2895" s="383">
        <f t="shared" si="347"/>
        <v>1</v>
      </c>
      <c r="P2895" s="392">
        <f t="shared" ca="1" si="345"/>
        <v>1.0001291666666667</v>
      </c>
    </row>
    <row r="2896" spans="1:16">
      <c r="A2896" s="39">
        <f t="shared" ca="1" si="352"/>
        <v>4.625</v>
      </c>
      <c r="B2896" s="41">
        <f t="shared" ca="1" si="353"/>
        <v>4.6500000000000057</v>
      </c>
      <c r="C2896" s="403">
        <f t="shared" si="351"/>
        <v>46694</v>
      </c>
      <c r="D2896" s="56" t="str">
        <f>VLOOKUP(MOD(C2896,7),'CALENDAR INFO'!$G$5:$H$11,2)</f>
        <v>WED</v>
      </c>
      <c r="G2896" s="411">
        <f t="shared" si="348"/>
        <v>0</v>
      </c>
      <c r="H2896" s="376" t="s">
        <v>211</v>
      </c>
      <c r="I2896" s="15">
        <f>I2895+I2894-1</f>
        <v>2923</v>
      </c>
      <c r="J2896" s="138">
        <f>I2896</f>
        <v>2923</v>
      </c>
      <c r="L2896" s="403">
        <f t="shared" si="349"/>
        <v>46694</v>
      </c>
      <c r="M2896" s="56" t="str">
        <f t="shared" si="350"/>
        <v>WED</v>
      </c>
      <c r="O2896" s="383">
        <f t="shared" si="347"/>
        <v>1</v>
      </c>
      <c r="P2896" s="392">
        <f t="shared" ca="1" si="345"/>
        <v>1.0001291666666667</v>
      </c>
    </row>
    <row r="2897" spans="1:16">
      <c r="A2897" s="39">
        <f t="shared" ca="1" si="352"/>
        <v>4.625</v>
      </c>
      <c r="B2897" s="41">
        <f t="shared" ca="1" si="353"/>
        <v>4.6500000000000057</v>
      </c>
      <c r="C2897" s="403">
        <f t="shared" si="351"/>
        <v>46695</v>
      </c>
      <c r="D2897" s="56" t="str">
        <f>VLOOKUP(MOD(C2897,7),'CALENDAR INFO'!$G$5:$H$11,2)</f>
        <v>THU</v>
      </c>
      <c r="G2897" s="411">
        <f t="shared" si="348"/>
        <v>0</v>
      </c>
      <c r="L2897" s="403">
        <f t="shared" si="349"/>
        <v>46695</v>
      </c>
      <c r="M2897" s="56" t="str">
        <f t="shared" si="350"/>
        <v>THU</v>
      </c>
      <c r="O2897" s="383">
        <f t="shared" si="347"/>
        <v>1</v>
      </c>
      <c r="P2897" s="392">
        <f t="shared" ca="1" si="345"/>
        <v>1.0001291666666667</v>
      </c>
    </row>
    <row r="2898" spans="1:16">
      <c r="A2898" s="39">
        <f t="shared" ca="1" si="352"/>
        <v>4.625</v>
      </c>
      <c r="B2898" s="41">
        <f t="shared" ca="1" si="353"/>
        <v>4.6500000000000057</v>
      </c>
      <c r="C2898" s="403">
        <f t="shared" si="351"/>
        <v>46696</v>
      </c>
      <c r="D2898" s="56" t="str">
        <f>VLOOKUP(MOD(C2898,7),'CALENDAR INFO'!$G$5:$H$11,2)</f>
        <v>FRI</v>
      </c>
      <c r="G2898" s="411">
        <f t="shared" si="348"/>
        <v>0</v>
      </c>
      <c r="H2898" s="15" t="s">
        <v>150</v>
      </c>
      <c r="I2898" s="137" t="str">
        <f>_xlfn.CONCAT(ADDRESS(I2894,5),":",ADDRESS(I2896,5))</f>
        <v>$E$2894:$E$2923</v>
      </c>
      <c r="J2898" s="150" t="str">
        <f>_xlfn.CONCAT(ADDRESS(J2894,6),":",ADDRESS(J2896,6))</f>
        <v>$F$2894:$F$2923</v>
      </c>
      <c r="L2898" s="403">
        <f t="shared" si="349"/>
        <v>46696</v>
      </c>
      <c r="M2898" s="56" t="str">
        <f t="shared" si="350"/>
        <v>FRI</v>
      </c>
      <c r="O2898" s="383">
        <f t="shared" si="347"/>
        <v>3</v>
      </c>
      <c r="P2898" s="392">
        <f t="shared" ca="1" si="345"/>
        <v>1.0003875</v>
      </c>
    </row>
    <row r="2899" spans="1:16">
      <c r="A2899" s="39">
        <f t="shared" ca="1" si="352"/>
        <v>4.625</v>
      </c>
      <c r="B2899" s="41">
        <f t="shared" ca="1" si="353"/>
        <v>4.6500000000000057</v>
      </c>
      <c r="C2899" s="403">
        <f t="shared" si="351"/>
        <v>46697</v>
      </c>
      <c r="D2899" s="56" t="str">
        <f>VLOOKUP(MOD(C2899,7),'CALENDAR INFO'!$G$5:$H$11,2)</f>
        <v>SAT</v>
      </c>
      <c r="G2899" s="411">
        <f t="shared" si="348"/>
        <v>0</v>
      </c>
      <c r="I2899" s="171"/>
      <c r="J2899" s="172"/>
      <c r="L2899" s="403">
        <f t="shared" si="349"/>
        <v>46697</v>
      </c>
      <c r="M2899" s="56" t="str">
        <f t="shared" si="350"/>
        <v>SAT</v>
      </c>
      <c r="O2899" s="383">
        <f t="shared" si="347"/>
        <v>0</v>
      </c>
      <c r="P2899" s="392">
        <f t="shared" ref="P2899:P2954" ca="1" si="354">1+(O2899/360)*(MAX(F2899,B2899)/100)</f>
        <v>1</v>
      </c>
    </row>
    <row r="2900" spans="1:16">
      <c r="A2900" s="39">
        <f t="shared" ca="1" si="352"/>
        <v>4.625</v>
      </c>
      <c r="B2900" s="41">
        <f t="shared" ca="1" si="353"/>
        <v>4.6500000000000057</v>
      </c>
      <c r="C2900" s="403">
        <f t="shared" si="351"/>
        <v>46698</v>
      </c>
      <c r="D2900" s="56" t="str">
        <f>VLOOKUP(MOD(C2900,7),'CALENDAR INFO'!$G$5:$H$11,2)</f>
        <v>SUN</v>
      </c>
      <c r="G2900" s="411">
        <f t="shared" si="348"/>
        <v>0</v>
      </c>
      <c r="H2900" s="376" t="s">
        <v>117</v>
      </c>
      <c r="I2900" s="240">
        <f>I2895</f>
        <v>30</v>
      </c>
      <c r="J2900" s="157">
        <f>J2895</f>
        <v>30</v>
      </c>
      <c r="L2900" s="403">
        <f t="shared" si="349"/>
        <v>46698</v>
      </c>
      <c r="M2900" s="56" t="str">
        <f t="shared" si="350"/>
        <v>SUN</v>
      </c>
      <c r="O2900" s="383">
        <f t="shared" si="347"/>
        <v>0</v>
      </c>
      <c r="P2900" s="392">
        <f t="shared" ca="1" si="354"/>
        <v>1</v>
      </c>
    </row>
    <row r="2901" spans="1:16">
      <c r="A2901" s="39">
        <f t="shared" ca="1" si="352"/>
        <v>4.625</v>
      </c>
      <c r="B2901" s="41">
        <f t="shared" ca="1" si="353"/>
        <v>4.6500000000000057</v>
      </c>
      <c r="C2901" s="403">
        <f t="shared" si="351"/>
        <v>46699</v>
      </c>
      <c r="D2901" s="56" t="str">
        <f>VLOOKUP(MOD(C2901,7),'CALENDAR INFO'!$G$5:$H$11,2)</f>
        <v>MON</v>
      </c>
      <c r="G2901" s="411">
        <f t="shared" si="348"/>
        <v>0</v>
      </c>
      <c r="H2901" s="15" t="s">
        <v>213</v>
      </c>
      <c r="I2901" s="241">
        <f ca="1">COUNTA(INDIRECT(I2898))</f>
        <v>0</v>
      </c>
      <c r="J2901" s="243">
        <f ca="1">COUNTA(INDIRECT(J2898))</f>
        <v>0</v>
      </c>
      <c r="L2901" s="403">
        <f t="shared" si="349"/>
        <v>46699</v>
      </c>
      <c r="M2901" s="56" t="str">
        <f t="shared" si="350"/>
        <v>MON</v>
      </c>
      <c r="O2901" s="383">
        <f t="shared" si="347"/>
        <v>1</v>
      </c>
      <c r="P2901" s="392">
        <f t="shared" ca="1" si="354"/>
        <v>1.0001291666666667</v>
      </c>
    </row>
    <row r="2902" spans="1:16">
      <c r="A2902" s="39">
        <f t="shared" ca="1" si="352"/>
        <v>4.625</v>
      </c>
      <c r="B2902" s="41">
        <f t="shared" ca="1" si="353"/>
        <v>4.6500000000000057</v>
      </c>
      <c r="C2902" s="403">
        <f t="shared" si="351"/>
        <v>46700</v>
      </c>
      <c r="D2902" s="56" t="str">
        <f>VLOOKUP(MOD(C2902,7),'CALENDAR INFO'!$G$5:$H$11,2)</f>
        <v>TUE</v>
      </c>
      <c r="G2902" s="411">
        <f t="shared" si="348"/>
        <v>0</v>
      </c>
      <c r="H2902" s="15" t="s">
        <v>212</v>
      </c>
      <c r="I2902" s="240">
        <f ca="1">I2900-I2901</f>
        <v>30</v>
      </c>
      <c r="J2902" s="157">
        <f ca="1">J2900-J2901</f>
        <v>30</v>
      </c>
      <c r="L2902" s="403">
        <f t="shared" si="349"/>
        <v>46700</v>
      </c>
      <c r="M2902" s="56" t="str">
        <f t="shared" si="350"/>
        <v>TUE</v>
      </c>
      <c r="O2902" s="383">
        <f t="shared" si="347"/>
        <v>1</v>
      </c>
      <c r="P2902" s="392">
        <f t="shared" ca="1" si="354"/>
        <v>1.0001291666666667</v>
      </c>
    </row>
    <row r="2903" spans="1:16">
      <c r="A2903" s="39">
        <f t="shared" ca="1" si="352"/>
        <v>4.625</v>
      </c>
      <c r="B2903" s="41">
        <f t="shared" ca="1" si="353"/>
        <v>4.6500000000000057</v>
      </c>
      <c r="C2903" s="403">
        <f t="shared" si="351"/>
        <v>46701</v>
      </c>
      <c r="D2903" s="56" t="str">
        <f>VLOOKUP(MOD(C2903,7),'CALENDAR INFO'!$G$5:$H$11,2)</f>
        <v>WED</v>
      </c>
      <c r="G2903" s="411">
        <f t="shared" si="348"/>
        <v>0</v>
      </c>
      <c r="L2903" s="403">
        <f t="shared" si="349"/>
        <v>46701</v>
      </c>
      <c r="M2903" s="56" t="str">
        <f t="shared" si="350"/>
        <v>WED</v>
      </c>
      <c r="O2903" s="384">
        <v>2</v>
      </c>
      <c r="P2903" s="392">
        <f t="shared" ca="1" si="354"/>
        <v>1.0002583333333332</v>
      </c>
    </row>
    <row r="2904" spans="1:16">
      <c r="A2904" s="39">
        <f t="shared" ca="1" si="352"/>
        <v>4.625</v>
      </c>
      <c r="B2904" s="41">
        <f t="shared" ca="1" si="353"/>
        <v>4.6500000000000057</v>
      </c>
      <c r="C2904" s="403">
        <f t="shared" si="351"/>
        <v>46702</v>
      </c>
      <c r="D2904" s="56" t="str">
        <f>VLOOKUP(MOD(C2904,7),'CALENDAR INFO'!$G$5:$H$11,2)</f>
        <v>THU</v>
      </c>
      <c r="G2904" s="411">
        <f t="shared" si="348"/>
        <v>0</v>
      </c>
      <c r="H2904" s="15" t="s">
        <v>175</v>
      </c>
      <c r="I2904" s="139">
        <f>OUTPUT!C19</f>
        <v>4.625</v>
      </c>
      <c r="J2904" s="151">
        <f>OUTPUT!F19</f>
        <v>4.6500000000000057</v>
      </c>
      <c r="L2904" s="403">
        <f t="shared" si="349"/>
        <v>46702</v>
      </c>
      <c r="M2904" s="56" t="str">
        <f t="shared" si="350"/>
        <v>THU</v>
      </c>
      <c r="N2904" s="132" t="s">
        <v>108</v>
      </c>
      <c r="O2904" s="384">
        <v>0</v>
      </c>
      <c r="P2904" s="392">
        <f t="shared" ca="1" si="354"/>
        <v>1</v>
      </c>
    </row>
    <row r="2905" spans="1:16">
      <c r="A2905" s="39">
        <f t="shared" ca="1" si="352"/>
        <v>4.625</v>
      </c>
      <c r="B2905" s="41">
        <f t="shared" ca="1" si="353"/>
        <v>4.6500000000000057</v>
      </c>
      <c r="C2905" s="403">
        <f t="shared" si="351"/>
        <v>46703</v>
      </c>
      <c r="D2905" s="56" t="str">
        <f>VLOOKUP(MOD(C2905,7),'CALENDAR INFO'!$G$5:$H$11,2)</f>
        <v>FRI</v>
      </c>
      <c r="G2905" s="411">
        <f t="shared" si="348"/>
        <v>0</v>
      </c>
      <c r="H2905" s="15" t="s">
        <v>209</v>
      </c>
      <c r="I2905" s="171">
        <f>I2895</f>
        <v>30</v>
      </c>
      <c r="J2905" s="172">
        <f>J2895</f>
        <v>30</v>
      </c>
      <c r="L2905" s="403">
        <f t="shared" si="349"/>
        <v>46703</v>
      </c>
      <c r="M2905" s="56" t="str">
        <f t="shared" si="350"/>
        <v>FRI</v>
      </c>
      <c r="O2905" s="383">
        <f t="shared" ref="O2905:O2916" si="355">IF(MOD(C2905,7)&lt;2,0,IF(MOD(C2905,7)=6,3,1))</f>
        <v>3</v>
      </c>
      <c r="P2905" s="392">
        <f t="shared" ca="1" si="354"/>
        <v>1.0003875</v>
      </c>
    </row>
    <row r="2906" spans="1:16">
      <c r="A2906" s="39">
        <f t="shared" ca="1" si="352"/>
        <v>4.625</v>
      </c>
      <c r="B2906" s="41">
        <f t="shared" ca="1" si="353"/>
        <v>4.6500000000000057</v>
      </c>
      <c r="C2906" s="403">
        <f t="shared" si="351"/>
        <v>46704</v>
      </c>
      <c r="D2906" s="56" t="str">
        <f>VLOOKUP(MOD(C2906,7),'CALENDAR INFO'!$G$5:$H$11,2)</f>
        <v>SAT</v>
      </c>
      <c r="G2906" s="411">
        <f t="shared" si="348"/>
        <v>0</v>
      </c>
      <c r="H2906" s="15" t="s">
        <v>214</v>
      </c>
      <c r="I2906" s="137">
        <f>I2904*I2905</f>
        <v>138.75</v>
      </c>
      <c r="J2906" s="150">
        <f>J2904*J2905</f>
        <v>139.50000000000017</v>
      </c>
      <c r="L2906" s="403">
        <f t="shared" si="349"/>
        <v>46704</v>
      </c>
      <c r="M2906" s="56" t="str">
        <f t="shared" si="350"/>
        <v>SAT</v>
      </c>
      <c r="O2906" s="383">
        <f t="shared" si="355"/>
        <v>0</v>
      </c>
      <c r="P2906" s="392">
        <f t="shared" ca="1" si="354"/>
        <v>1</v>
      </c>
    </row>
    <row r="2907" spans="1:16">
      <c r="A2907" s="39">
        <f t="shared" ca="1" si="352"/>
        <v>4.625</v>
      </c>
      <c r="B2907" s="41">
        <f t="shared" ca="1" si="353"/>
        <v>4.6500000000000057</v>
      </c>
      <c r="C2907" s="403">
        <f t="shared" si="351"/>
        <v>46705</v>
      </c>
      <c r="D2907" s="56" t="str">
        <f>VLOOKUP(MOD(C2907,7),'CALENDAR INFO'!$G$5:$H$11,2)</f>
        <v>SUN</v>
      </c>
      <c r="G2907" s="411">
        <f t="shared" si="348"/>
        <v>0</v>
      </c>
      <c r="H2907" s="15" t="s">
        <v>215</v>
      </c>
      <c r="I2907" s="393">
        <f ca="1">SUM(INDIRECT(I2898))</f>
        <v>0</v>
      </c>
      <c r="J2907" s="394">
        <f ca="1">SUM(INDIRECT(J2898))</f>
        <v>0</v>
      </c>
      <c r="L2907" s="403">
        <f t="shared" si="349"/>
        <v>46705</v>
      </c>
      <c r="M2907" s="56" t="str">
        <f t="shared" si="350"/>
        <v>SUN</v>
      </c>
      <c r="O2907" s="383">
        <f t="shared" si="355"/>
        <v>0</v>
      </c>
      <c r="P2907" s="392">
        <f t="shared" ca="1" si="354"/>
        <v>1</v>
      </c>
    </row>
    <row r="2908" spans="1:16">
      <c r="A2908" s="39">
        <f t="shared" ca="1" si="352"/>
        <v>4.625</v>
      </c>
      <c r="B2908" s="41">
        <f t="shared" ca="1" si="353"/>
        <v>4.6500000000000057</v>
      </c>
      <c r="C2908" s="403">
        <f t="shared" si="351"/>
        <v>46706</v>
      </c>
      <c r="D2908" s="56" t="str">
        <f>VLOOKUP(MOD(C2908,7),'CALENDAR INFO'!$G$5:$H$11,2)</f>
        <v>MON</v>
      </c>
      <c r="G2908" s="411">
        <f t="shared" si="348"/>
        <v>0</v>
      </c>
      <c r="H2908" s="15" t="s">
        <v>216</v>
      </c>
      <c r="I2908" s="137">
        <f ca="1">I2906-I2907</f>
        <v>138.75</v>
      </c>
      <c r="J2908" s="150">
        <f ca="1">J2906-J2907</f>
        <v>139.50000000000017</v>
      </c>
      <c r="L2908" s="403">
        <f t="shared" si="349"/>
        <v>46706</v>
      </c>
      <c r="M2908" s="56" t="str">
        <f t="shared" si="350"/>
        <v>MON</v>
      </c>
      <c r="O2908" s="383">
        <f t="shared" si="355"/>
        <v>1</v>
      </c>
      <c r="P2908" s="392">
        <f t="shared" ca="1" si="354"/>
        <v>1.0001291666666667</v>
      </c>
    </row>
    <row r="2909" spans="1:16">
      <c r="A2909" s="39">
        <f t="shared" ca="1" si="352"/>
        <v>4.625</v>
      </c>
      <c r="B2909" s="41">
        <f t="shared" ca="1" si="353"/>
        <v>4.6500000000000057</v>
      </c>
      <c r="C2909" s="403">
        <f t="shared" si="351"/>
        <v>46707</v>
      </c>
      <c r="D2909" s="56" t="str">
        <f>VLOOKUP(MOD(C2909,7),'CALENDAR INFO'!$G$5:$H$11,2)</f>
        <v>TUE</v>
      </c>
      <c r="G2909" s="411">
        <f t="shared" si="348"/>
        <v>0</v>
      </c>
      <c r="L2909" s="403">
        <f t="shared" si="349"/>
        <v>46707</v>
      </c>
      <c r="M2909" s="56" t="str">
        <f t="shared" si="350"/>
        <v>TUE</v>
      </c>
      <c r="O2909" s="383">
        <f t="shared" si="355"/>
        <v>1</v>
      </c>
      <c r="P2909" s="392">
        <f t="shared" ca="1" si="354"/>
        <v>1.0001291666666667</v>
      </c>
    </row>
    <row r="2910" spans="1:16">
      <c r="A2910" s="39">
        <f t="shared" ca="1" si="352"/>
        <v>4.625</v>
      </c>
      <c r="B2910" s="41">
        <f t="shared" ca="1" si="353"/>
        <v>4.6500000000000057</v>
      </c>
      <c r="C2910" s="403">
        <f t="shared" si="351"/>
        <v>46708</v>
      </c>
      <c r="D2910" s="56" t="str">
        <f>VLOOKUP(MOD(C2910,7),'CALENDAR INFO'!$G$5:$H$11,2)</f>
        <v>WED</v>
      </c>
      <c r="G2910" s="411">
        <f t="shared" si="348"/>
        <v>0</v>
      </c>
      <c r="H2910" s="15" t="s">
        <v>218</v>
      </c>
      <c r="I2910" s="137">
        <f ca="1">I2908</f>
        <v>138.75</v>
      </c>
      <c r="J2910" s="150">
        <f ca="1">J2908</f>
        <v>139.50000000000017</v>
      </c>
      <c r="L2910" s="403">
        <f t="shared" si="349"/>
        <v>46708</v>
      </c>
      <c r="M2910" s="56" t="str">
        <f t="shared" si="350"/>
        <v>WED</v>
      </c>
      <c r="O2910" s="383">
        <f t="shared" si="355"/>
        <v>1</v>
      </c>
      <c r="P2910" s="392">
        <f t="shared" ca="1" si="354"/>
        <v>1.0001291666666667</v>
      </c>
    </row>
    <row r="2911" spans="1:16">
      <c r="A2911" s="39">
        <f t="shared" ca="1" si="352"/>
        <v>4.625</v>
      </c>
      <c r="B2911" s="41">
        <f t="shared" ca="1" si="353"/>
        <v>4.6500000000000057</v>
      </c>
      <c r="C2911" s="403">
        <f t="shared" si="351"/>
        <v>46709</v>
      </c>
      <c r="D2911" s="56" t="str">
        <f>VLOOKUP(MOD(C2911,7),'CALENDAR INFO'!$G$5:$H$11,2)</f>
        <v>THU</v>
      </c>
      <c r="G2911" s="411">
        <f t="shared" si="348"/>
        <v>0</v>
      </c>
      <c r="H2911" s="15" t="s">
        <v>219</v>
      </c>
      <c r="I2911" s="171">
        <f ca="1">I2902</f>
        <v>30</v>
      </c>
      <c r="J2911" s="172">
        <f ca="1">J2902</f>
        <v>30</v>
      </c>
      <c r="L2911" s="403">
        <f t="shared" si="349"/>
        <v>46709</v>
      </c>
      <c r="M2911" s="56" t="str">
        <f t="shared" si="350"/>
        <v>THU</v>
      </c>
      <c r="O2911" s="383">
        <f t="shared" si="355"/>
        <v>1</v>
      </c>
      <c r="P2911" s="392">
        <f t="shared" ca="1" si="354"/>
        <v>1.0001291666666667</v>
      </c>
    </row>
    <row r="2912" spans="1:16">
      <c r="A2912" s="39">
        <f t="shared" ca="1" si="352"/>
        <v>4.625</v>
      </c>
      <c r="B2912" s="41">
        <f t="shared" ca="1" si="353"/>
        <v>4.6500000000000057</v>
      </c>
      <c r="C2912" s="403">
        <f t="shared" si="351"/>
        <v>46710</v>
      </c>
      <c r="D2912" s="56" t="str">
        <f>VLOOKUP(MOD(C2912,7),'CALENDAR INFO'!$G$5:$H$11,2)</f>
        <v>FRI</v>
      </c>
      <c r="G2912" s="411">
        <f t="shared" si="348"/>
        <v>0</v>
      </c>
      <c r="H2912" s="15" t="s">
        <v>220</v>
      </c>
      <c r="I2912" s="141">
        <f ca="1">I2910/I2911</f>
        <v>4.625</v>
      </c>
      <c r="J2912" s="158">
        <f ca="1">J2910/J2911</f>
        <v>4.6500000000000057</v>
      </c>
      <c r="L2912" s="403">
        <f t="shared" si="349"/>
        <v>46710</v>
      </c>
      <c r="M2912" s="56" t="str">
        <f t="shared" si="350"/>
        <v>FRI</v>
      </c>
      <c r="O2912" s="383">
        <f t="shared" si="355"/>
        <v>3</v>
      </c>
      <c r="P2912" s="392">
        <f t="shared" ca="1" si="354"/>
        <v>1.0003875</v>
      </c>
    </row>
    <row r="2913" spans="1:16">
      <c r="A2913" s="39">
        <f t="shared" ca="1" si="352"/>
        <v>4.625</v>
      </c>
      <c r="B2913" s="41">
        <f t="shared" ca="1" si="353"/>
        <v>4.6500000000000057</v>
      </c>
      <c r="C2913" s="403">
        <f t="shared" si="351"/>
        <v>46711</v>
      </c>
      <c r="D2913" s="56" t="str">
        <f>VLOOKUP(MOD(C2913,7),'CALENDAR INFO'!$G$5:$H$11,2)</f>
        <v>SAT</v>
      </c>
      <c r="G2913" s="411">
        <f t="shared" si="348"/>
        <v>0</v>
      </c>
      <c r="L2913" s="403">
        <f t="shared" si="349"/>
        <v>46711</v>
      </c>
      <c r="M2913" s="56" t="str">
        <f t="shared" si="350"/>
        <v>SAT</v>
      </c>
      <c r="O2913" s="383">
        <f t="shared" si="355"/>
        <v>0</v>
      </c>
      <c r="P2913" s="392">
        <f t="shared" ca="1" si="354"/>
        <v>1</v>
      </c>
    </row>
    <row r="2914" spans="1:16">
      <c r="A2914" s="39">
        <f t="shared" ca="1" si="352"/>
        <v>4.625</v>
      </c>
      <c r="B2914" s="41">
        <f t="shared" ca="1" si="353"/>
        <v>4.6500000000000057</v>
      </c>
      <c r="C2914" s="403">
        <f t="shared" si="351"/>
        <v>46712</v>
      </c>
      <c r="D2914" s="56" t="str">
        <f>VLOOKUP(MOD(C2914,7),'CALENDAR INFO'!$G$5:$H$11,2)</f>
        <v>SUN</v>
      </c>
      <c r="G2914" s="411">
        <f t="shared" si="348"/>
        <v>0</v>
      </c>
      <c r="H2914" s="376" t="s">
        <v>221</v>
      </c>
      <c r="I2914" s="147" t="e">
        <f ca="1">AVERAGE(INDIRECT(I2898))</f>
        <v>#DIV/0!</v>
      </c>
      <c r="J2914" s="326" t="e">
        <f ca="1">AVERAGE(INDIRECT(J2898))</f>
        <v>#DIV/0!</v>
      </c>
      <c r="L2914" s="403">
        <f t="shared" si="349"/>
        <v>46712</v>
      </c>
      <c r="M2914" s="56" t="str">
        <f t="shared" si="350"/>
        <v>SUN</v>
      </c>
      <c r="O2914" s="383">
        <f t="shared" si="355"/>
        <v>0</v>
      </c>
      <c r="P2914" s="392">
        <f t="shared" ca="1" si="354"/>
        <v>1</v>
      </c>
    </row>
    <row r="2915" spans="1:16">
      <c r="A2915" s="39">
        <f t="shared" ca="1" si="352"/>
        <v>4.625</v>
      </c>
      <c r="B2915" s="41">
        <f t="shared" ca="1" si="353"/>
        <v>4.6500000000000057</v>
      </c>
      <c r="C2915" s="403">
        <f t="shared" si="351"/>
        <v>46713</v>
      </c>
      <c r="D2915" s="56" t="str">
        <f>VLOOKUP(MOD(C2915,7),'CALENDAR INFO'!$G$5:$H$11,2)</f>
        <v>MON</v>
      </c>
      <c r="G2915" s="411">
        <f t="shared" si="348"/>
        <v>0</v>
      </c>
      <c r="H2915" s="15" t="s">
        <v>222</v>
      </c>
      <c r="I2915" s="147" t="e">
        <f ca="1">100-I2914</f>
        <v>#DIV/0!</v>
      </c>
      <c r="J2915" s="326" t="e">
        <f ca="1">100-J2914</f>
        <v>#DIV/0!</v>
      </c>
      <c r="L2915" s="403">
        <f t="shared" si="349"/>
        <v>46713</v>
      </c>
      <c r="M2915" s="56" t="str">
        <f t="shared" si="350"/>
        <v>MON</v>
      </c>
      <c r="O2915" s="383">
        <f t="shared" si="355"/>
        <v>1</v>
      </c>
      <c r="P2915" s="392">
        <f t="shared" ca="1" si="354"/>
        <v>1.0001291666666667</v>
      </c>
    </row>
    <row r="2916" spans="1:16">
      <c r="A2916" s="39">
        <f t="shared" ca="1" si="352"/>
        <v>4.625</v>
      </c>
      <c r="B2916" s="41">
        <f t="shared" ca="1" si="353"/>
        <v>4.6500000000000057</v>
      </c>
      <c r="C2916" s="403">
        <f t="shared" si="351"/>
        <v>46714</v>
      </c>
      <c r="D2916" s="56" t="str">
        <f>VLOOKUP(MOD(C2916,7),'CALENDAR INFO'!$G$5:$H$11,2)</f>
        <v>TUE</v>
      </c>
      <c r="G2916" s="411">
        <f t="shared" si="348"/>
        <v>0</v>
      </c>
      <c r="H2916" s="425" t="s">
        <v>97</v>
      </c>
      <c r="I2916" s="419"/>
      <c r="J2916" s="426"/>
      <c r="L2916" s="403">
        <f t="shared" si="349"/>
        <v>46714</v>
      </c>
      <c r="M2916" s="56" t="str">
        <f t="shared" si="350"/>
        <v>TUE</v>
      </c>
      <c r="O2916" s="383">
        <f t="shared" si="355"/>
        <v>1</v>
      </c>
      <c r="P2916" s="392">
        <f t="shared" ca="1" si="354"/>
        <v>1.0001291666666667</v>
      </c>
    </row>
    <row r="2917" spans="1:16">
      <c r="A2917" s="39">
        <f t="shared" ca="1" si="352"/>
        <v>4.625</v>
      </c>
      <c r="B2917" s="41">
        <f t="shared" ca="1" si="353"/>
        <v>4.6500000000000057</v>
      </c>
      <c r="C2917" s="403">
        <f t="shared" si="351"/>
        <v>46715</v>
      </c>
      <c r="D2917" s="56" t="str">
        <f>VLOOKUP(MOD(C2917,7),'CALENDAR INFO'!$G$5:$H$11,2)</f>
        <v>WED</v>
      </c>
      <c r="G2917" s="411">
        <f t="shared" si="348"/>
        <v>0</v>
      </c>
      <c r="L2917" s="403">
        <f t="shared" si="349"/>
        <v>46715</v>
      </c>
      <c r="M2917" s="56" t="str">
        <f t="shared" si="350"/>
        <v>WED</v>
      </c>
      <c r="O2917" s="384">
        <v>2</v>
      </c>
      <c r="P2917" s="392">
        <f t="shared" ca="1" si="354"/>
        <v>1.0002583333333332</v>
      </c>
    </row>
    <row r="2918" spans="1:16">
      <c r="A2918" s="39">
        <f t="shared" ca="1" si="352"/>
        <v>4.625</v>
      </c>
      <c r="B2918" s="41">
        <f t="shared" ca="1" si="353"/>
        <v>4.6500000000000057</v>
      </c>
      <c r="C2918" s="403">
        <f t="shared" si="351"/>
        <v>46716</v>
      </c>
      <c r="D2918" s="56" t="str">
        <f>VLOOKUP(MOD(C2918,7),'CALENDAR INFO'!$G$5:$H$11,2)</f>
        <v>THU</v>
      </c>
      <c r="G2918" s="411">
        <f t="shared" si="348"/>
        <v>0</v>
      </c>
      <c r="L2918" s="403">
        <f t="shared" si="349"/>
        <v>46716</v>
      </c>
      <c r="M2918" s="56" t="str">
        <f t="shared" si="350"/>
        <v>THU</v>
      </c>
      <c r="N2918" s="132" t="s">
        <v>109</v>
      </c>
      <c r="O2918" s="384">
        <v>0</v>
      </c>
      <c r="P2918" s="392">
        <f t="shared" ca="1" si="354"/>
        <v>1</v>
      </c>
    </row>
    <row r="2919" spans="1:16">
      <c r="A2919" s="39">
        <f t="shared" ca="1" si="352"/>
        <v>4.625</v>
      </c>
      <c r="B2919" s="41">
        <f t="shared" ca="1" si="353"/>
        <v>4.6500000000000057</v>
      </c>
      <c r="C2919" s="403">
        <f t="shared" si="351"/>
        <v>46717</v>
      </c>
      <c r="D2919" s="56" t="str">
        <f>VLOOKUP(MOD(C2919,7),'CALENDAR INFO'!$G$5:$H$11,2)</f>
        <v>FRI</v>
      </c>
      <c r="G2919" s="411">
        <f t="shared" si="348"/>
        <v>0</v>
      </c>
      <c r="L2919" s="403">
        <f t="shared" si="349"/>
        <v>46717</v>
      </c>
      <c r="M2919" s="56" t="str">
        <f t="shared" si="350"/>
        <v>FRI</v>
      </c>
      <c r="O2919" s="383">
        <f t="shared" ref="O2919:O2954" si="356">IF(MOD(C2919,7)&lt;2,0,IF(MOD(C2919,7)=6,3,1))</f>
        <v>3</v>
      </c>
      <c r="P2919" s="392">
        <f t="shared" ca="1" si="354"/>
        <v>1.0003875</v>
      </c>
    </row>
    <row r="2920" spans="1:16">
      <c r="A2920" s="39">
        <f t="shared" ca="1" si="352"/>
        <v>4.625</v>
      </c>
      <c r="B2920" s="41">
        <f t="shared" ca="1" si="353"/>
        <v>4.6500000000000057</v>
      </c>
      <c r="C2920" s="403">
        <f t="shared" si="351"/>
        <v>46718</v>
      </c>
      <c r="D2920" s="56" t="str">
        <f>VLOOKUP(MOD(C2920,7),'CALENDAR INFO'!$G$5:$H$11,2)</f>
        <v>SAT</v>
      </c>
      <c r="G2920" s="411">
        <f t="shared" si="348"/>
        <v>0</v>
      </c>
      <c r="L2920" s="403">
        <f t="shared" si="349"/>
        <v>46718</v>
      </c>
      <c r="M2920" s="56" t="str">
        <f t="shared" si="350"/>
        <v>SAT</v>
      </c>
      <c r="O2920" s="383">
        <f t="shared" si="356"/>
        <v>0</v>
      </c>
      <c r="P2920" s="392">
        <f t="shared" ca="1" si="354"/>
        <v>1</v>
      </c>
    </row>
    <row r="2921" spans="1:16">
      <c r="A2921" s="39">
        <f t="shared" ca="1" si="352"/>
        <v>4.625</v>
      </c>
      <c r="B2921" s="41">
        <f t="shared" ca="1" si="353"/>
        <v>4.6500000000000057</v>
      </c>
      <c r="C2921" s="403">
        <f t="shared" si="351"/>
        <v>46719</v>
      </c>
      <c r="D2921" s="56" t="str">
        <f>VLOOKUP(MOD(C2921,7),'CALENDAR INFO'!$G$5:$H$11,2)</f>
        <v>SUN</v>
      </c>
      <c r="G2921" s="411">
        <f t="shared" si="348"/>
        <v>0</v>
      </c>
      <c r="L2921" s="403">
        <f t="shared" si="349"/>
        <v>46719</v>
      </c>
      <c r="M2921" s="56" t="str">
        <f t="shared" si="350"/>
        <v>SUN</v>
      </c>
      <c r="O2921" s="383">
        <f t="shared" si="356"/>
        <v>0</v>
      </c>
      <c r="P2921" s="392">
        <f t="shared" ca="1" si="354"/>
        <v>1</v>
      </c>
    </row>
    <row r="2922" spans="1:16">
      <c r="A2922" s="39">
        <f t="shared" ca="1" si="352"/>
        <v>4.625</v>
      </c>
      <c r="B2922" s="41">
        <f t="shared" ca="1" si="353"/>
        <v>4.6500000000000057</v>
      </c>
      <c r="C2922" s="403">
        <f t="shared" si="351"/>
        <v>46720</v>
      </c>
      <c r="D2922" s="56" t="str">
        <f>VLOOKUP(MOD(C2922,7),'CALENDAR INFO'!$G$5:$H$11,2)</f>
        <v>MON</v>
      </c>
      <c r="G2922" s="411">
        <f t="shared" si="348"/>
        <v>0</v>
      </c>
      <c r="L2922" s="403">
        <f t="shared" si="349"/>
        <v>46720</v>
      </c>
      <c r="M2922" s="56" t="str">
        <f t="shared" si="350"/>
        <v>MON</v>
      </c>
      <c r="O2922" s="383">
        <f t="shared" si="356"/>
        <v>1</v>
      </c>
      <c r="P2922" s="392">
        <f t="shared" ca="1" si="354"/>
        <v>1.0001291666666667</v>
      </c>
    </row>
    <row r="2923" spans="1:16">
      <c r="A2923" s="39">
        <f t="shared" ca="1" si="352"/>
        <v>4.625</v>
      </c>
      <c r="B2923" s="41">
        <f t="shared" ca="1" si="353"/>
        <v>4.6500000000000057</v>
      </c>
      <c r="C2923" s="403">
        <f t="shared" si="351"/>
        <v>46721</v>
      </c>
      <c r="D2923" s="56" t="str">
        <f>VLOOKUP(MOD(C2923,7),'CALENDAR INFO'!$G$5:$H$11,2)</f>
        <v>TUE</v>
      </c>
      <c r="G2923" s="411">
        <f t="shared" si="348"/>
        <v>0</v>
      </c>
      <c r="L2923" s="403">
        <f t="shared" si="349"/>
        <v>46721</v>
      </c>
      <c r="M2923" s="56" t="str">
        <f t="shared" si="350"/>
        <v>TUE</v>
      </c>
      <c r="O2923" s="383">
        <f t="shared" si="356"/>
        <v>1</v>
      </c>
      <c r="P2923" s="392">
        <f t="shared" ca="1" si="354"/>
        <v>1.0001291666666667</v>
      </c>
    </row>
    <row r="2924" spans="1:16">
      <c r="A2924" s="238">
        <f t="shared" ref="A2924:A2930" ca="1" si="357">MAX(A2923,E2923)</f>
        <v>4.625</v>
      </c>
      <c r="B2924" s="239">
        <f t="shared" ref="B2924:B2930" ca="1" si="358">MAX(B2923,F2923)</f>
        <v>4.6500000000000057</v>
      </c>
      <c r="C2924" s="403">
        <f t="shared" si="351"/>
        <v>46722</v>
      </c>
      <c r="D2924" s="56" t="str">
        <f>VLOOKUP(MOD(C2924,7),'CALENDAR INFO'!$G$5:$H$11,2)</f>
        <v>WED</v>
      </c>
      <c r="G2924" s="411">
        <f t="shared" si="348"/>
        <v>0</v>
      </c>
      <c r="H2924" s="15" t="s">
        <v>149</v>
      </c>
      <c r="I2924" s="15">
        <f>ROW(I2924)</f>
        <v>2924</v>
      </c>
      <c r="J2924" s="138">
        <f>I2924</f>
        <v>2924</v>
      </c>
      <c r="L2924" s="403">
        <f t="shared" si="349"/>
        <v>46722</v>
      </c>
      <c r="M2924" s="56" t="str">
        <f t="shared" si="350"/>
        <v>WED</v>
      </c>
      <c r="O2924" s="383">
        <f t="shared" si="356"/>
        <v>1</v>
      </c>
      <c r="P2924" s="392">
        <f t="shared" ca="1" si="354"/>
        <v>1.0001291666666667</v>
      </c>
    </row>
    <row r="2925" spans="1:16">
      <c r="A2925" s="238">
        <f t="shared" ca="1" si="357"/>
        <v>4.625</v>
      </c>
      <c r="B2925" s="239">
        <f t="shared" ca="1" si="358"/>
        <v>4.6500000000000057</v>
      </c>
      <c r="C2925" s="403">
        <f t="shared" si="351"/>
        <v>46723</v>
      </c>
      <c r="D2925" s="56" t="str">
        <f>VLOOKUP(MOD(C2925,7),'CALENDAR INFO'!$G$5:$H$11,2)</f>
        <v>THU</v>
      </c>
      <c r="G2925" s="411">
        <f t="shared" si="348"/>
        <v>0</v>
      </c>
      <c r="H2925" s="376" t="s">
        <v>210</v>
      </c>
      <c r="I2925" s="171">
        <f>VLOOKUP(MONTH($C2924),'CALENDAR INFO'!$J$5:$K$16,2)</f>
        <v>31</v>
      </c>
      <c r="J2925" s="172">
        <f>I2925</f>
        <v>31</v>
      </c>
      <c r="L2925" s="403">
        <f t="shared" si="349"/>
        <v>46723</v>
      </c>
      <c r="M2925" s="56" t="str">
        <f t="shared" si="350"/>
        <v>THU</v>
      </c>
      <c r="O2925" s="383">
        <f t="shared" si="356"/>
        <v>1</v>
      </c>
      <c r="P2925" s="392">
        <f t="shared" ca="1" si="354"/>
        <v>1.0001291666666667</v>
      </c>
    </row>
    <row r="2926" spans="1:16">
      <c r="A2926" s="238">
        <f t="shared" ca="1" si="357"/>
        <v>4.625</v>
      </c>
      <c r="B2926" s="239">
        <f t="shared" ca="1" si="358"/>
        <v>4.6500000000000057</v>
      </c>
      <c r="C2926" s="403">
        <f t="shared" si="351"/>
        <v>46724</v>
      </c>
      <c r="D2926" s="56" t="str">
        <f>VLOOKUP(MOD(C2926,7),'CALENDAR INFO'!$G$5:$H$11,2)</f>
        <v>FRI</v>
      </c>
      <c r="G2926" s="411">
        <f t="shared" si="348"/>
        <v>0</v>
      </c>
      <c r="H2926" s="376" t="s">
        <v>211</v>
      </c>
      <c r="I2926" s="15">
        <f>I2925+I2924-1</f>
        <v>2954</v>
      </c>
      <c r="J2926" s="138">
        <f>I2926</f>
        <v>2954</v>
      </c>
      <c r="L2926" s="403">
        <f t="shared" si="349"/>
        <v>46724</v>
      </c>
      <c r="M2926" s="56" t="str">
        <f t="shared" si="350"/>
        <v>FRI</v>
      </c>
      <c r="O2926" s="383">
        <f t="shared" si="356"/>
        <v>3</v>
      </c>
      <c r="P2926" s="392">
        <f t="shared" ca="1" si="354"/>
        <v>1.0003875</v>
      </c>
    </row>
    <row r="2927" spans="1:16">
      <c r="A2927" s="238">
        <f t="shared" ca="1" si="357"/>
        <v>4.625</v>
      </c>
      <c r="B2927" s="239">
        <f t="shared" ca="1" si="358"/>
        <v>4.6500000000000057</v>
      </c>
      <c r="C2927" s="403">
        <f t="shared" si="351"/>
        <v>46725</v>
      </c>
      <c r="D2927" s="56" t="str">
        <f>VLOOKUP(MOD(C2927,7),'CALENDAR INFO'!$G$5:$H$11,2)</f>
        <v>SAT</v>
      </c>
      <c r="G2927" s="411">
        <f t="shared" si="348"/>
        <v>0</v>
      </c>
      <c r="L2927" s="403">
        <f t="shared" si="349"/>
        <v>46725</v>
      </c>
      <c r="M2927" s="56" t="str">
        <f t="shared" si="350"/>
        <v>SAT</v>
      </c>
      <c r="O2927" s="383">
        <f t="shared" si="356"/>
        <v>0</v>
      </c>
      <c r="P2927" s="392">
        <f t="shared" ca="1" si="354"/>
        <v>1</v>
      </c>
    </row>
    <row r="2928" spans="1:16">
      <c r="A2928" s="238">
        <f t="shared" ca="1" si="357"/>
        <v>4.625</v>
      </c>
      <c r="B2928" s="239">
        <f t="shared" ca="1" si="358"/>
        <v>4.6500000000000057</v>
      </c>
      <c r="C2928" s="403">
        <f t="shared" si="351"/>
        <v>46726</v>
      </c>
      <c r="D2928" s="56" t="str">
        <f>VLOOKUP(MOD(C2928,7),'CALENDAR INFO'!$G$5:$H$11,2)</f>
        <v>SUN</v>
      </c>
      <c r="G2928" s="411">
        <f t="shared" si="348"/>
        <v>0</v>
      </c>
      <c r="H2928" s="15" t="s">
        <v>224</v>
      </c>
      <c r="I2928" s="136">
        <v>2931</v>
      </c>
      <c r="J2928" s="138">
        <f>I2928</f>
        <v>2931</v>
      </c>
      <c r="L2928" s="403">
        <f t="shared" si="349"/>
        <v>46726</v>
      </c>
      <c r="M2928" s="56" t="str">
        <f t="shared" si="350"/>
        <v>SUN</v>
      </c>
      <c r="O2928" s="383">
        <f t="shared" si="356"/>
        <v>0</v>
      </c>
      <c r="P2928" s="392">
        <f t="shared" ca="1" si="354"/>
        <v>1</v>
      </c>
    </row>
    <row r="2929" spans="1:16">
      <c r="A2929" s="238">
        <f t="shared" ca="1" si="357"/>
        <v>4.625</v>
      </c>
      <c r="B2929" s="239">
        <f t="shared" ca="1" si="358"/>
        <v>4.6500000000000057</v>
      </c>
      <c r="C2929" s="403">
        <f t="shared" si="351"/>
        <v>46727</v>
      </c>
      <c r="D2929" s="56" t="str">
        <f>VLOOKUP(MOD(C2929,7),'CALENDAR INFO'!$G$5:$H$11,2)</f>
        <v>MON</v>
      </c>
      <c r="G2929" s="411">
        <f t="shared" si="348"/>
        <v>0</v>
      </c>
      <c r="H2929" s="15" t="s">
        <v>225</v>
      </c>
      <c r="I2929" s="15" t="str">
        <f>_xlfn.CONCAT(ADDRESS(I2924,1),":",ADDRESS(I2928,1))</f>
        <v>$A$2924:$A$2931</v>
      </c>
      <c r="J2929" s="138" t="str">
        <f>_xlfn.CONCAT(ADDRESS(J2924,2),":",ADDRESS(J2928,2))</f>
        <v>$B$2924:$B$2931</v>
      </c>
      <c r="L2929" s="403">
        <f t="shared" si="349"/>
        <v>46727</v>
      </c>
      <c r="M2929" s="56" t="str">
        <f t="shared" si="350"/>
        <v>MON</v>
      </c>
      <c r="O2929" s="383">
        <f t="shared" si="356"/>
        <v>1</v>
      </c>
      <c r="P2929" s="392">
        <f t="shared" ca="1" si="354"/>
        <v>1.0001291666666667</v>
      </c>
    </row>
    <row r="2930" spans="1:16">
      <c r="A2930" s="238">
        <f t="shared" ca="1" si="357"/>
        <v>4.625</v>
      </c>
      <c r="B2930" s="239">
        <f t="shared" ca="1" si="358"/>
        <v>4.6500000000000057</v>
      </c>
      <c r="C2930" s="403">
        <f t="shared" si="351"/>
        <v>46728</v>
      </c>
      <c r="D2930" s="56" t="str">
        <f>VLOOKUP(MOD(C2930,7),'CALENDAR INFO'!$G$5:$H$11,2)</f>
        <v>TUE</v>
      </c>
      <c r="G2930" s="411">
        <f t="shared" si="348"/>
        <v>0</v>
      </c>
      <c r="H2930" s="15" t="s">
        <v>226</v>
      </c>
      <c r="I2930" s="15" t="str">
        <f>_xlfn.CONCAT(ADDRESS(I2928+1,1),":",ADDRESS(I2926,1))</f>
        <v>$A$2932:$A$2954</v>
      </c>
      <c r="J2930" s="138" t="str">
        <f>_xlfn.CONCAT(ADDRESS(J2928+1,2),":",ADDRESS(J2926,2))</f>
        <v>$B$2932:$B$2954</v>
      </c>
      <c r="L2930" s="403">
        <f t="shared" si="349"/>
        <v>46728</v>
      </c>
      <c r="M2930" s="56" t="str">
        <f t="shared" si="350"/>
        <v>TUE</v>
      </c>
      <c r="N2930" s="116" t="s">
        <v>20</v>
      </c>
      <c r="O2930" s="383">
        <f t="shared" si="356"/>
        <v>1</v>
      </c>
      <c r="P2930" s="392">
        <f t="shared" ca="1" si="354"/>
        <v>1.0001291666666667</v>
      </c>
    </row>
    <row r="2931" spans="1:16">
      <c r="A2931" s="238">
        <f t="shared" ref="A2931" ca="1" si="359">MAX(A2930,E2930)</f>
        <v>4.625</v>
      </c>
      <c r="B2931" s="239">
        <f t="shared" ref="B2931" ca="1" si="360">MAX(B2930,F2930)</f>
        <v>4.6500000000000057</v>
      </c>
      <c r="C2931" s="403">
        <f t="shared" si="351"/>
        <v>46729</v>
      </c>
      <c r="D2931" s="56" t="str">
        <f>VLOOKUP(MOD(C2931,7),'CALENDAR INFO'!$G$5:$H$11,2)</f>
        <v>WED</v>
      </c>
      <c r="G2931" s="411">
        <f t="shared" si="348"/>
        <v>0</v>
      </c>
      <c r="H2931" s="15" t="s">
        <v>150</v>
      </c>
      <c r="I2931" s="15" t="str">
        <f>_xlfn.CONCAT(ADDRESS(I2924,5),":",ADDRESS(I2926,5))</f>
        <v>$E$2924:$E$2954</v>
      </c>
      <c r="J2931" s="138" t="str">
        <f>_xlfn.CONCAT(ADDRESS(J2924,6),":",ADDRESS(J2926,6))</f>
        <v>$F$2924:$F$2954</v>
      </c>
      <c r="L2931" s="403">
        <f t="shared" si="349"/>
        <v>46729</v>
      </c>
      <c r="M2931" s="56" t="str">
        <f t="shared" si="350"/>
        <v>WED</v>
      </c>
      <c r="N2931" s="116" t="s">
        <v>20</v>
      </c>
      <c r="O2931" s="383">
        <f t="shared" si="356"/>
        <v>1</v>
      </c>
      <c r="P2931" s="392">
        <f t="shared" ca="1" si="354"/>
        <v>1.0001291666666667</v>
      </c>
    </row>
    <row r="2932" spans="1:16">
      <c r="A2932" s="39">
        <f ca="1">I$2947</f>
        <v>4.5778260869565264</v>
      </c>
      <c r="B2932" s="41">
        <f ca="1">J$2947</f>
        <v>4.3939130434782507</v>
      </c>
      <c r="C2932" s="403">
        <f t="shared" si="351"/>
        <v>46730</v>
      </c>
      <c r="D2932" s="56" t="str">
        <f>VLOOKUP(MOD(C2932,7),'CALENDAR INFO'!$G$5:$H$11,2)</f>
        <v>THU</v>
      </c>
      <c r="G2932" s="411">
        <f t="shared" si="348"/>
        <v>0</v>
      </c>
      <c r="L2932" s="403">
        <f t="shared" si="349"/>
        <v>46730</v>
      </c>
      <c r="M2932" s="56" t="str">
        <f t="shared" si="350"/>
        <v>THU</v>
      </c>
      <c r="O2932" s="383">
        <f t="shared" si="356"/>
        <v>1</v>
      </c>
      <c r="P2932" s="392">
        <f t="shared" ca="1" si="354"/>
        <v>1.0001220531400967</v>
      </c>
    </row>
    <row r="2933" spans="1:16">
      <c r="A2933" s="39">
        <f t="shared" ref="A2933:A2954" ca="1" si="361">I$2947</f>
        <v>4.5778260869565264</v>
      </c>
      <c r="B2933" s="41">
        <f t="shared" ref="B2933:B2954" ca="1" si="362">J$2947</f>
        <v>4.3939130434782507</v>
      </c>
      <c r="C2933" s="403">
        <f t="shared" si="351"/>
        <v>46731</v>
      </c>
      <c r="D2933" s="56" t="str">
        <f>VLOOKUP(MOD(C2933,7),'CALENDAR INFO'!$G$5:$H$11,2)</f>
        <v>FRI</v>
      </c>
      <c r="G2933" s="411">
        <f t="shared" si="348"/>
        <v>0</v>
      </c>
      <c r="H2933" s="15" t="s">
        <v>117</v>
      </c>
      <c r="I2933" s="15">
        <f>I2925</f>
        <v>31</v>
      </c>
      <c r="J2933" s="138">
        <f>J2925</f>
        <v>31</v>
      </c>
      <c r="L2933" s="403">
        <f t="shared" si="349"/>
        <v>46731</v>
      </c>
      <c r="M2933" s="56" t="str">
        <f t="shared" si="350"/>
        <v>FRI</v>
      </c>
      <c r="O2933" s="383">
        <f t="shared" si="356"/>
        <v>3</v>
      </c>
      <c r="P2933" s="392">
        <f t="shared" ca="1" si="354"/>
        <v>1.0003661594202899</v>
      </c>
    </row>
    <row r="2934" spans="1:16">
      <c r="A2934" s="39">
        <f t="shared" ca="1" si="361"/>
        <v>4.5778260869565264</v>
      </c>
      <c r="B2934" s="41">
        <f t="shared" ca="1" si="362"/>
        <v>4.3939130434782507</v>
      </c>
      <c r="C2934" s="403">
        <f t="shared" si="351"/>
        <v>46732</v>
      </c>
      <c r="D2934" s="56" t="str">
        <f>VLOOKUP(MOD(C2934,7),'CALENDAR INFO'!$G$5:$H$11,2)</f>
        <v>SAT</v>
      </c>
      <c r="G2934" s="411">
        <f t="shared" si="348"/>
        <v>0</v>
      </c>
      <c r="H2934" s="376" t="s">
        <v>213</v>
      </c>
      <c r="I2934" s="15">
        <f ca="1">COUNT(INDIRECT(I2931))</f>
        <v>0</v>
      </c>
      <c r="J2934" s="138">
        <f ca="1">COUNT(INDIRECT(J2931))</f>
        <v>0</v>
      </c>
      <c r="L2934" s="403">
        <f t="shared" si="349"/>
        <v>46732</v>
      </c>
      <c r="M2934" s="56" t="str">
        <f t="shared" si="350"/>
        <v>SAT</v>
      </c>
      <c r="O2934" s="383">
        <f t="shared" si="356"/>
        <v>0</v>
      </c>
      <c r="P2934" s="392">
        <f t="shared" ca="1" si="354"/>
        <v>1</v>
      </c>
    </row>
    <row r="2935" spans="1:16">
      <c r="A2935" s="39">
        <f t="shared" ca="1" si="361"/>
        <v>4.5778260869565264</v>
      </c>
      <c r="B2935" s="41">
        <f t="shared" ca="1" si="362"/>
        <v>4.3939130434782507</v>
      </c>
      <c r="C2935" s="403">
        <f t="shared" si="351"/>
        <v>46733</v>
      </c>
      <c r="D2935" s="56" t="str">
        <f>VLOOKUP(MOD(C2935,7),'CALENDAR INFO'!$G$5:$H$11,2)</f>
        <v>SUN</v>
      </c>
      <c r="G2935" s="411">
        <f t="shared" si="348"/>
        <v>0</v>
      </c>
      <c r="H2935" s="376" t="s">
        <v>229</v>
      </c>
      <c r="I2935" s="171">
        <f ca="1">COUNT(INDIRECT(I2929))</f>
        <v>8</v>
      </c>
      <c r="J2935" s="172">
        <f ca="1">COUNT(INDIRECT(J2929))</f>
        <v>8</v>
      </c>
      <c r="L2935" s="403">
        <f t="shared" si="349"/>
        <v>46733</v>
      </c>
      <c r="M2935" s="56" t="str">
        <f t="shared" si="350"/>
        <v>SUN</v>
      </c>
      <c r="O2935" s="383">
        <f t="shared" si="356"/>
        <v>0</v>
      </c>
      <c r="P2935" s="392">
        <f t="shared" ca="1" si="354"/>
        <v>1</v>
      </c>
    </row>
    <row r="2936" spans="1:16">
      <c r="A2936" s="39">
        <f t="shared" ca="1" si="361"/>
        <v>4.5778260869565264</v>
      </c>
      <c r="B2936" s="41">
        <f t="shared" ca="1" si="362"/>
        <v>4.3939130434782507</v>
      </c>
      <c r="C2936" s="403">
        <f t="shared" si="351"/>
        <v>46734</v>
      </c>
      <c r="D2936" s="56" t="str">
        <f>VLOOKUP(MOD(C2936,7),'CALENDAR INFO'!$G$5:$H$11,2)</f>
        <v>MON</v>
      </c>
      <c r="G2936" s="411">
        <f t="shared" si="348"/>
        <v>0</v>
      </c>
      <c r="H2936" s="376" t="s">
        <v>230</v>
      </c>
      <c r="I2936" s="15">
        <f ca="1">I2933-I2934-I2935</f>
        <v>23</v>
      </c>
      <c r="J2936" s="138">
        <f ca="1">J2933-J2934-J2935</f>
        <v>23</v>
      </c>
      <c r="L2936" s="403">
        <f t="shared" si="349"/>
        <v>46734</v>
      </c>
      <c r="M2936" s="56" t="str">
        <f t="shared" si="350"/>
        <v>MON</v>
      </c>
      <c r="O2936" s="383">
        <f t="shared" si="356"/>
        <v>1</v>
      </c>
      <c r="P2936" s="392">
        <f t="shared" ca="1" si="354"/>
        <v>1.0001220531400967</v>
      </c>
    </row>
    <row r="2937" spans="1:16">
      <c r="A2937" s="39">
        <f t="shared" ca="1" si="361"/>
        <v>4.5778260869565264</v>
      </c>
      <c r="B2937" s="41">
        <f t="shared" ca="1" si="362"/>
        <v>4.3939130434782507</v>
      </c>
      <c r="C2937" s="403">
        <f t="shared" si="351"/>
        <v>46735</v>
      </c>
      <c r="D2937" s="56" t="str">
        <f>VLOOKUP(MOD(C2937,7),'CALENDAR INFO'!$G$5:$H$11,2)</f>
        <v>TUE</v>
      </c>
      <c r="G2937" s="411">
        <f t="shared" si="348"/>
        <v>0</v>
      </c>
      <c r="L2937" s="403">
        <f t="shared" si="349"/>
        <v>46735</v>
      </c>
      <c r="M2937" s="56" t="str">
        <f t="shared" si="350"/>
        <v>TUE</v>
      </c>
      <c r="O2937" s="383">
        <f t="shared" si="356"/>
        <v>1</v>
      </c>
      <c r="P2937" s="392">
        <f t="shared" ca="1" si="354"/>
        <v>1.0001220531400967</v>
      </c>
    </row>
    <row r="2938" spans="1:16">
      <c r="A2938" s="39">
        <f t="shared" ca="1" si="361"/>
        <v>4.5778260869565264</v>
      </c>
      <c r="B2938" s="41">
        <f t="shared" ca="1" si="362"/>
        <v>4.3939130434782507</v>
      </c>
      <c r="C2938" s="403">
        <f t="shared" si="351"/>
        <v>46736</v>
      </c>
      <c r="D2938" s="56" t="str">
        <f>VLOOKUP(MOD(C2938,7),'CALENDAR INFO'!$G$5:$H$11,2)</f>
        <v>WED</v>
      </c>
      <c r="G2938" s="411">
        <f t="shared" si="348"/>
        <v>0</v>
      </c>
      <c r="H2938" s="15" t="s">
        <v>175</v>
      </c>
      <c r="I2938" s="139">
        <f>OUTPUT!C20</f>
        <v>4.5900000000000034</v>
      </c>
      <c r="J2938" s="151">
        <f>OUTPUT!F20</f>
        <v>4.4599999999999937</v>
      </c>
      <c r="L2938" s="403">
        <f t="shared" si="349"/>
        <v>46736</v>
      </c>
      <c r="M2938" s="56" t="str">
        <f t="shared" si="350"/>
        <v>WED</v>
      </c>
      <c r="O2938" s="383">
        <f t="shared" si="356"/>
        <v>1</v>
      </c>
      <c r="P2938" s="392">
        <f t="shared" ca="1" si="354"/>
        <v>1.0001220531400967</v>
      </c>
    </row>
    <row r="2939" spans="1:16">
      <c r="A2939" s="39">
        <f t="shared" ca="1" si="361"/>
        <v>4.5778260869565264</v>
      </c>
      <c r="B2939" s="41">
        <f t="shared" ca="1" si="362"/>
        <v>4.3939130434782507</v>
      </c>
      <c r="C2939" s="403">
        <f t="shared" si="351"/>
        <v>46737</v>
      </c>
      <c r="D2939" s="56" t="str">
        <f>VLOOKUP(MOD(C2939,7),'CALENDAR INFO'!$G$5:$H$11,2)</f>
        <v>THU</v>
      </c>
      <c r="G2939" s="411">
        <f t="shared" si="348"/>
        <v>0</v>
      </c>
      <c r="H2939" s="15" t="s">
        <v>209</v>
      </c>
      <c r="I2939" s="171">
        <f>I2925</f>
        <v>31</v>
      </c>
      <c r="J2939" s="172">
        <f>J2925</f>
        <v>31</v>
      </c>
      <c r="L2939" s="403">
        <f t="shared" si="349"/>
        <v>46737</v>
      </c>
      <c r="M2939" s="56" t="str">
        <f t="shared" si="350"/>
        <v>THU</v>
      </c>
      <c r="O2939" s="383">
        <f t="shared" si="356"/>
        <v>1</v>
      </c>
      <c r="P2939" s="392">
        <f t="shared" ca="1" si="354"/>
        <v>1.0001220531400967</v>
      </c>
    </row>
    <row r="2940" spans="1:16">
      <c r="A2940" s="39">
        <f t="shared" ca="1" si="361"/>
        <v>4.5778260869565264</v>
      </c>
      <c r="B2940" s="41">
        <f t="shared" ca="1" si="362"/>
        <v>4.3939130434782507</v>
      </c>
      <c r="C2940" s="403">
        <f t="shared" si="351"/>
        <v>46738</v>
      </c>
      <c r="D2940" s="56" t="str">
        <f>VLOOKUP(MOD(C2940,7),'CALENDAR INFO'!$G$5:$H$11,2)</f>
        <v>FRI</v>
      </c>
      <c r="G2940" s="411">
        <f t="shared" si="348"/>
        <v>0</v>
      </c>
      <c r="H2940" s="376" t="s">
        <v>214</v>
      </c>
      <c r="I2940" s="137">
        <f>I2938*I2939</f>
        <v>142.29000000000011</v>
      </c>
      <c r="J2940" s="150">
        <f>J2938*J2939</f>
        <v>138.25999999999982</v>
      </c>
      <c r="L2940" s="403">
        <f t="shared" si="349"/>
        <v>46738</v>
      </c>
      <c r="M2940" s="56" t="str">
        <f t="shared" si="350"/>
        <v>FRI</v>
      </c>
      <c r="O2940" s="383">
        <f t="shared" si="356"/>
        <v>3</v>
      </c>
      <c r="P2940" s="392">
        <f t="shared" ca="1" si="354"/>
        <v>1.0003661594202899</v>
      </c>
    </row>
    <row r="2941" spans="1:16">
      <c r="A2941" s="39">
        <f t="shared" ca="1" si="361"/>
        <v>4.5778260869565264</v>
      </c>
      <c r="B2941" s="41">
        <f t="shared" ca="1" si="362"/>
        <v>4.3939130434782507</v>
      </c>
      <c r="C2941" s="403">
        <f t="shared" si="351"/>
        <v>46739</v>
      </c>
      <c r="D2941" s="56" t="str">
        <f>VLOOKUP(MOD(C2941,7),'CALENDAR INFO'!$G$5:$H$11,2)</f>
        <v>SAT</v>
      </c>
      <c r="G2941" s="411">
        <f t="shared" si="348"/>
        <v>0</v>
      </c>
      <c r="H2941" s="376" t="s">
        <v>215</v>
      </c>
      <c r="I2941" s="137">
        <f ca="1">SUM(INDIRECT(I2931))</f>
        <v>0</v>
      </c>
      <c r="J2941" s="150">
        <f ca="1">SUM(INDIRECT(J2931))</f>
        <v>0</v>
      </c>
      <c r="L2941" s="403">
        <f t="shared" si="349"/>
        <v>46739</v>
      </c>
      <c r="M2941" s="56" t="str">
        <f t="shared" si="350"/>
        <v>SAT</v>
      </c>
      <c r="O2941" s="383">
        <f t="shared" si="356"/>
        <v>0</v>
      </c>
      <c r="P2941" s="392">
        <f t="shared" ca="1" si="354"/>
        <v>1</v>
      </c>
    </row>
    <row r="2942" spans="1:16">
      <c r="A2942" s="39">
        <f t="shared" ca="1" si="361"/>
        <v>4.5778260869565264</v>
      </c>
      <c r="B2942" s="41">
        <f t="shared" ca="1" si="362"/>
        <v>4.3939130434782507</v>
      </c>
      <c r="C2942" s="403">
        <f t="shared" si="351"/>
        <v>46740</v>
      </c>
      <c r="D2942" s="56" t="str">
        <f>VLOOKUP(MOD(C2942,7),'CALENDAR INFO'!$G$5:$H$11,2)</f>
        <v>SUN</v>
      </c>
      <c r="G2942" s="411">
        <f t="shared" si="348"/>
        <v>0</v>
      </c>
      <c r="H2942" s="376" t="s">
        <v>231</v>
      </c>
      <c r="I2942" s="163">
        <f ca="1">SUM(INDIRECT(I2929))</f>
        <v>37</v>
      </c>
      <c r="J2942" s="164">
        <f ca="1">SUM(INDIRECT(J2929))</f>
        <v>37.200000000000045</v>
      </c>
      <c r="L2942" s="403">
        <f t="shared" si="349"/>
        <v>46740</v>
      </c>
      <c r="M2942" s="56" t="str">
        <f t="shared" si="350"/>
        <v>SUN</v>
      </c>
      <c r="O2942" s="383">
        <f t="shared" si="356"/>
        <v>0</v>
      </c>
      <c r="P2942" s="392">
        <f t="shared" ca="1" si="354"/>
        <v>1</v>
      </c>
    </row>
    <row r="2943" spans="1:16">
      <c r="A2943" s="39">
        <f t="shared" ca="1" si="361"/>
        <v>4.5778260869565264</v>
      </c>
      <c r="B2943" s="41">
        <f t="shared" ca="1" si="362"/>
        <v>4.3939130434782507</v>
      </c>
      <c r="C2943" s="403">
        <f t="shared" si="351"/>
        <v>46741</v>
      </c>
      <c r="D2943" s="56" t="str">
        <f>VLOOKUP(MOD(C2943,7),'CALENDAR INFO'!$G$5:$H$11,2)</f>
        <v>MON</v>
      </c>
      <c r="G2943" s="411">
        <f t="shared" si="348"/>
        <v>0</v>
      </c>
      <c r="H2943" s="376" t="s">
        <v>232</v>
      </c>
      <c r="I2943" s="137">
        <f ca="1">I2940-I2941-I2942</f>
        <v>105.29000000000011</v>
      </c>
      <c r="J2943" s="150">
        <f ca="1">J2940-J2941-J2942</f>
        <v>101.05999999999977</v>
      </c>
      <c r="L2943" s="403">
        <f t="shared" si="349"/>
        <v>46741</v>
      </c>
      <c r="M2943" s="56" t="str">
        <f t="shared" si="350"/>
        <v>MON</v>
      </c>
      <c r="O2943" s="383">
        <f t="shared" si="356"/>
        <v>1</v>
      </c>
      <c r="P2943" s="392">
        <f t="shared" ca="1" si="354"/>
        <v>1.0001220531400967</v>
      </c>
    </row>
    <row r="2944" spans="1:16">
      <c r="A2944" s="39">
        <f t="shared" ca="1" si="361"/>
        <v>4.5778260869565264</v>
      </c>
      <c r="B2944" s="41">
        <f t="shared" ca="1" si="362"/>
        <v>4.3939130434782507</v>
      </c>
      <c r="C2944" s="403">
        <f t="shared" si="351"/>
        <v>46742</v>
      </c>
      <c r="D2944" s="56" t="str">
        <f>VLOOKUP(MOD(C2944,7),'CALENDAR INFO'!$G$5:$H$11,2)</f>
        <v>TUE</v>
      </c>
      <c r="G2944" s="411">
        <f t="shared" si="348"/>
        <v>0</v>
      </c>
      <c r="L2944" s="403">
        <f t="shared" si="349"/>
        <v>46742</v>
      </c>
      <c r="M2944" s="56" t="str">
        <f t="shared" si="350"/>
        <v>TUE</v>
      </c>
      <c r="O2944" s="383">
        <f t="shared" si="356"/>
        <v>1</v>
      </c>
      <c r="P2944" s="392">
        <f t="shared" ca="1" si="354"/>
        <v>1.0001220531400967</v>
      </c>
    </row>
    <row r="2945" spans="1:16">
      <c r="A2945" s="39">
        <f t="shared" ca="1" si="361"/>
        <v>4.5778260869565264</v>
      </c>
      <c r="B2945" s="41">
        <f t="shared" ca="1" si="362"/>
        <v>4.3939130434782507</v>
      </c>
      <c r="C2945" s="403">
        <f t="shared" si="351"/>
        <v>46743</v>
      </c>
      <c r="D2945" s="56" t="str">
        <f>VLOOKUP(MOD(C2945,7),'CALENDAR INFO'!$G$5:$H$11,2)</f>
        <v>WED</v>
      </c>
      <c r="G2945" s="411">
        <f t="shared" si="348"/>
        <v>0</v>
      </c>
      <c r="H2945" s="15" t="s">
        <v>233</v>
      </c>
      <c r="I2945" s="137">
        <f ca="1">I2943</f>
        <v>105.29000000000011</v>
      </c>
      <c r="J2945" s="150">
        <f ca="1">J2943</f>
        <v>101.05999999999977</v>
      </c>
      <c r="L2945" s="403">
        <f t="shared" si="349"/>
        <v>46743</v>
      </c>
      <c r="M2945" s="56" t="str">
        <f t="shared" si="350"/>
        <v>WED</v>
      </c>
      <c r="O2945" s="383">
        <f t="shared" si="356"/>
        <v>1</v>
      </c>
      <c r="P2945" s="392">
        <f t="shared" ca="1" si="354"/>
        <v>1.0001220531400967</v>
      </c>
    </row>
    <row r="2946" spans="1:16">
      <c r="A2946" s="39">
        <f t="shared" ca="1" si="361"/>
        <v>4.5778260869565264</v>
      </c>
      <c r="B2946" s="41">
        <f t="shared" ca="1" si="362"/>
        <v>4.3939130434782507</v>
      </c>
      <c r="C2946" s="403">
        <f t="shared" si="351"/>
        <v>46744</v>
      </c>
      <c r="D2946" s="56" t="str">
        <f>VLOOKUP(MOD(C2946,7),'CALENDAR INFO'!$G$5:$H$11,2)</f>
        <v>THU</v>
      </c>
      <c r="G2946" s="411">
        <f t="shared" si="348"/>
        <v>0</v>
      </c>
      <c r="H2946" s="376" t="s">
        <v>227</v>
      </c>
      <c r="I2946" s="171">
        <f ca="1">I2936</f>
        <v>23</v>
      </c>
      <c r="J2946" s="172">
        <f ca="1">J2936</f>
        <v>23</v>
      </c>
      <c r="L2946" s="403">
        <f t="shared" si="349"/>
        <v>46744</v>
      </c>
      <c r="M2946" s="56" t="str">
        <f t="shared" si="350"/>
        <v>THU</v>
      </c>
      <c r="O2946" s="383">
        <f t="shared" si="356"/>
        <v>1</v>
      </c>
      <c r="P2946" s="392">
        <f t="shared" ca="1" si="354"/>
        <v>1.0001220531400967</v>
      </c>
    </row>
    <row r="2947" spans="1:16">
      <c r="A2947" s="39">
        <f t="shared" ca="1" si="361"/>
        <v>4.5778260869565264</v>
      </c>
      <c r="B2947" s="41">
        <f t="shared" ca="1" si="362"/>
        <v>4.3939130434782507</v>
      </c>
      <c r="C2947" s="403">
        <f t="shared" si="351"/>
        <v>46745</v>
      </c>
      <c r="D2947" s="56" t="str">
        <f>VLOOKUP(MOD(C2947,7),'CALENDAR INFO'!$G$5:$H$11,2)</f>
        <v>FRI</v>
      </c>
      <c r="G2947" s="411">
        <f t="shared" ref="G2947:G2954" si="363">F2947-E2947</f>
        <v>0</v>
      </c>
      <c r="H2947" s="15" t="s">
        <v>228</v>
      </c>
      <c r="I2947" s="137">
        <f ca="1">I2945/I2946</f>
        <v>4.5778260869565264</v>
      </c>
      <c r="J2947" s="150">
        <f ca="1">J2945/J2946</f>
        <v>4.3939130434782507</v>
      </c>
      <c r="L2947" s="403">
        <f t="shared" ref="L2947:L2954" si="364">C2947</f>
        <v>46745</v>
      </c>
      <c r="M2947" s="56" t="str">
        <f t="shared" ref="M2947:M2954" si="365">D2947</f>
        <v>FRI</v>
      </c>
      <c r="O2947" s="383">
        <f t="shared" si="356"/>
        <v>3</v>
      </c>
      <c r="P2947" s="392">
        <f t="shared" ca="1" si="354"/>
        <v>1.0003661594202899</v>
      </c>
    </row>
    <row r="2948" spans="1:16">
      <c r="A2948" s="39">
        <f t="shared" ca="1" si="361"/>
        <v>4.5778260869565264</v>
      </c>
      <c r="B2948" s="41">
        <f t="shared" ca="1" si="362"/>
        <v>4.3939130434782507</v>
      </c>
      <c r="C2948" s="403">
        <f t="shared" ref="C2948:C2954" si="366">C2947+1</f>
        <v>46746</v>
      </c>
      <c r="D2948" s="56" t="str">
        <f>VLOOKUP(MOD(C2948,7),'CALENDAR INFO'!$G$5:$H$11,2)</f>
        <v>SAT</v>
      </c>
      <c r="G2948" s="411">
        <f t="shared" si="363"/>
        <v>0</v>
      </c>
      <c r="L2948" s="403">
        <f t="shared" si="364"/>
        <v>46746</v>
      </c>
      <c r="M2948" s="56" t="str">
        <f t="shared" si="365"/>
        <v>SAT</v>
      </c>
      <c r="N2948" s="132" t="s">
        <v>52</v>
      </c>
      <c r="O2948" s="383">
        <f t="shared" si="356"/>
        <v>0</v>
      </c>
      <c r="P2948" s="392">
        <f t="shared" ca="1" si="354"/>
        <v>1</v>
      </c>
    </row>
    <row r="2949" spans="1:16">
      <c r="A2949" s="39">
        <f t="shared" ca="1" si="361"/>
        <v>4.5778260869565264</v>
      </c>
      <c r="B2949" s="41">
        <f t="shared" ca="1" si="362"/>
        <v>4.3939130434782507</v>
      </c>
      <c r="C2949" s="403">
        <f t="shared" si="366"/>
        <v>46747</v>
      </c>
      <c r="D2949" s="56" t="str">
        <f>VLOOKUP(MOD(C2949,7),'CALENDAR INFO'!$G$5:$H$11,2)</f>
        <v>SUN</v>
      </c>
      <c r="G2949" s="411">
        <f t="shared" si="363"/>
        <v>0</v>
      </c>
      <c r="H2949" s="376" t="s">
        <v>221</v>
      </c>
      <c r="I2949" s="147" t="e">
        <f ca="1">AVERAGE(INDIRECT(I2931))</f>
        <v>#DIV/0!</v>
      </c>
      <c r="J2949" s="326" t="e">
        <f ca="1">AVERAGE(INDIRECT(J2931))</f>
        <v>#DIV/0!</v>
      </c>
      <c r="L2949" s="403">
        <f t="shared" si="364"/>
        <v>46747</v>
      </c>
      <c r="M2949" s="56" t="str">
        <f t="shared" si="365"/>
        <v>SUN</v>
      </c>
      <c r="O2949" s="383">
        <f t="shared" si="356"/>
        <v>0</v>
      </c>
      <c r="P2949" s="392">
        <f t="shared" ca="1" si="354"/>
        <v>1</v>
      </c>
    </row>
    <row r="2950" spans="1:16">
      <c r="A2950" s="39">
        <f t="shared" ca="1" si="361"/>
        <v>4.5778260869565264</v>
      </c>
      <c r="B2950" s="41">
        <f t="shared" ca="1" si="362"/>
        <v>4.3939130434782507</v>
      </c>
      <c r="C2950" s="403">
        <f t="shared" si="366"/>
        <v>46748</v>
      </c>
      <c r="D2950" s="56" t="str">
        <f>VLOOKUP(MOD(C2950,7),'CALENDAR INFO'!$G$5:$H$11,2)</f>
        <v>MON</v>
      </c>
      <c r="G2950" s="411">
        <f t="shared" si="363"/>
        <v>0</v>
      </c>
      <c r="H2950" s="15" t="s">
        <v>222</v>
      </c>
      <c r="I2950" s="147" t="e">
        <f ca="1">100-I2949</f>
        <v>#DIV/0!</v>
      </c>
      <c r="J2950" s="326" t="e">
        <f ca="1">100-J2949</f>
        <v>#DIV/0!</v>
      </c>
      <c r="L2950" s="403">
        <f t="shared" si="364"/>
        <v>46748</v>
      </c>
      <c r="M2950" s="56" t="str">
        <f t="shared" si="365"/>
        <v>MON</v>
      </c>
      <c r="O2950" s="383">
        <f t="shared" si="356"/>
        <v>1</v>
      </c>
      <c r="P2950" s="392">
        <f t="shared" ca="1" si="354"/>
        <v>1.0001220531400967</v>
      </c>
    </row>
    <row r="2951" spans="1:16">
      <c r="A2951" s="39">
        <f t="shared" ca="1" si="361"/>
        <v>4.5778260869565264</v>
      </c>
      <c r="B2951" s="41">
        <f t="shared" ca="1" si="362"/>
        <v>4.3939130434782507</v>
      </c>
      <c r="C2951" s="403">
        <f t="shared" si="366"/>
        <v>46749</v>
      </c>
      <c r="D2951" s="56" t="str">
        <f>VLOOKUP(MOD(C2951,7),'CALENDAR INFO'!$G$5:$H$11,2)</f>
        <v>TUE</v>
      </c>
      <c r="G2951" s="411">
        <f t="shared" si="363"/>
        <v>0</v>
      </c>
      <c r="H2951" s="425" t="s">
        <v>97</v>
      </c>
      <c r="I2951" s="419"/>
      <c r="J2951" s="426"/>
      <c r="L2951" s="403">
        <f t="shared" si="364"/>
        <v>46749</v>
      </c>
      <c r="M2951" s="56" t="str">
        <f t="shared" si="365"/>
        <v>TUE</v>
      </c>
      <c r="O2951" s="383">
        <f t="shared" si="356"/>
        <v>1</v>
      </c>
      <c r="P2951" s="392">
        <f t="shared" ca="1" si="354"/>
        <v>1.0001220531400967</v>
      </c>
    </row>
    <row r="2952" spans="1:16">
      <c r="A2952" s="39">
        <f t="shared" ca="1" si="361"/>
        <v>4.5778260869565264</v>
      </c>
      <c r="B2952" s="41">
        <f t="shared" ca="1" si="362"/>
        <v>4.3939130434782507</v>
      </c>
      <c r="C2952" s="403">
        <f t="shared" si="366"/>
        <v>46750</v>
      </c>
      <c r="D2952" s="56" t="str">
        <f>VLOOKUP(MOD(C2952,7),'CALENDAR INFO'!$G$5:$H$11,2)</f>
        <v>WED</v>
      </c>
      <c r="G2952" s="411">
        <f t="shared" si="363"/>
        <v>0</v>
      </c>
      <c r="L2952" s="403">
        <f t="shared" si="364"/>
        <v>46750</v>
      </c>
      <c r="M2952" s="56" t="str">
        <f t="shared" si="365"/>
        <v>WED</v>
      </c>
      <c r="O2952" s="383">
        <f t="shared" si="356"/>
        <v>1</v>
      </c>
      <c r="P2952" s="392">
        <f t="shared" ca="1" si="354"/>
        <v>1.0001220531400967</v>
      </c>
    </row>
    <row r="2953" spans="1:16">
      <c r="A2953" s="39">
        <f t="shared" ca="1" si="361"/>
        <v>4.5778260869565264</v>
      </c>
      <c r="B2953" s="41">
        <f t="shared" ca="1" si="362"/>
        <v>4.3939130434782507</v>
      </c>
      <c r="C2953" s="403">
        <f t="shared" si="366"/>
        <v>46751</v>
      </c>
      <c r="D2953" s="56" t="str">
        <f>VLOOKUP(MOD(C2953,7),'CALENDAR INFO'!$G$5:$H$11,2)</f>
        <v>THU</v>
      </c>
      <c r="G2953" s="411">
        <f t="shared" si="363"/>
        <v>0</v>
      </c>
      <c r="L2953" s="403">
        <f t="shared" si="364"/>
        <v>46751</v>
      </c>
      <c r="M2953" s="56" t="str">
        <f t="shared" si="365"/>
        <v>THU</v>
      </c>
      <c r="O2953" s="383">
        <f t="shared" si="356"/>
        <v>1</v>
      </c>
      <c r="P2953" s="392">
        <f t="shared" ca="1" si="354"/>
        <v>1.0001220531400967</v>
      </c>
    </row>
    <row r="2954" spans="1:16">
      <c r="A2954" s="39">
        <f t="shared" ca="1" si="361"/>
        <v>4.5778260869565264</v>
      </c>
      <c r="B2954" s="41">
        <f t="shared" ca="1" si="362"/>
        <v>4.3939130434782507</v>
      </c>
      <c r="C2954" s="403">
        <f t="shared" si="366"/>
        <v>46752</v>
      </c>
      <c r="D2954" s="56" t="str">
        <f>VLOOKUP(MOD(C2954,7),'CALENDAR INFO'!$G$5:$H$11,2)</f>
        <v>FRI</v>
      </c>
      <c r="G2954" s="411">
        <f t="shared" si="363"/>
        <v>0</v>
      </c>
      <c r="L2954" s="403">
        <f t="shared" si="364"/>
        <v>46752</v>
      </c>
      <c r="M2954" s="56" t="str">
        <f t="shared" si="365"/>
        <v>FRI</v>
      </c>
      <c r="O2954" s="383">
        <f t="shared" si="356"/>
        <v>3</v>
      </c>
      <c r="P2954" s="392">
        <f t="shared" ca="1" si="354"/>
        <v>1.0003661594202899</v>
      </c>
    </row>
  </sheetData>
  <sortState xmlns:xlrd2="http://schemas.microsoft.com/office/spreadsheetml/2017/richdata2" ref="R2136:S2154">
    <sortCondition ref="R2136:R2154"/>
  </sortState>
  <mergeCells count="1">
    <mergeCell ref="O1:P1"/>
  </mergeCells>
  <conditionalFormatting sqref="N1:N1048576">
    <cfRule type="cellIs" dxfId="211" priority="363" operator="equal">
      <formula>"Meeting"</formula>
    </cfRule>
  </conditionalFormatting>
  <conditionalFormatting sqref="D1:D1048576">
    <cfRule type="cellIs" dxfId="210" priority="364" operator="equal">
      <formula>"SUN"</formula>
    </cfRule>
    <cfRule type="cellIs" dxfId="209" priority="365" operator="equal">
      <formula>"SAT"</formula>
    </cfRule>
  </conditionalFormatting>
  <conditionalFormatting sqref="B1:B1048576">
    <cfRule type="expression" dxfId="208" priority="361">
      <formula>ISODD(MONTH(C1))</formula>
    </cfRule>
    <cfRule type="expression" dxfId="207" priority="362">
      <formula>ISEVEN(MONTH(C1))</formula>
    </cfRule>
  </conditionalFormatting>
  <conditionalFormatting sqref="F1:F1048576">
    <cfRule type="expression" dxfId="206" priority="1162">
      <formula>ISODD(MONTH(C1))</formula>
    </cfRule>
    <cfRule type="expression" dxfId="205" priority="2024">
      <formula>ISEVEN(MONTH(C1))</formula>
    </cfRule>
  </conditionalFormatting>
  <conditionalFormatting sqref="J75:K100 K74 J1:K73 K101:K103 J101:J102 J104:K131 K132:K134 J132:J133 J135:K161 K162:K164 J162:J163 J165:K192 K193:K195 J193:J194 J196:K222 K223:K225 J223:J224 J226:K253 K254:K256 J254:J255 J257:K284 K285:K288 J285:J286 J288 J289:K314 J318:K345 K315:K317 J315:J316 J349:K375 K346:K348 J346:J347 J379:K406 K376:K378 J376:J377 J410:K437 K407:K409 J407:J408 J441:K465 K438:K440 J438:J439 J469:K496 K466:K468 J466:J467 K497:K499 J497:J498 K803:K805 J803:J804 K2476:K2478 J2476:J2477 J500:K802 J806:K2475 J2479:K2497 K2563:K2588 J2583:J2584 J2589:K2598 J2587:J2588 J2769:K2770 K2741:K2768 J2741:J2744 J2765:J2766 K2924:K2951 J2924:J2927 J2948:J2949 J2552:K2562 K2549:K2551 J2549 J2644:K2648 K2637:K2643 J2637:J2641 J2733:K2740 K2726:K2732 J2726:J2730 J2825:K2832 K2818:K2824 J2818:J2822 J2917:K2923 K2910:K2916 J2910:J2914 J2603:K2616 K2599:K2602 J2618:K2636 K2617 J2677:K2679 K2649:K2676 J2649:J2657 J2662:J2675 J2708:K2725 K2680:K2707 J2680:J2688 J2693:J2706 J2799:K2817 K2771:K2798 J2771:J2774 J2795:J2796 J2861:K2862 K2833:K2860 J2833:J2836 J2857:J2858 J2891:K2909 K2863:K2890 J2863:J2866 J2887:J2888 J2498:J2501 J2529:K2548 K2498:K2528 J2523 J2952:K1048576">
    <cfRule type="expression" dxfId="204" priority="3623">
      <formula>ISODD(MONTH(C1))</formula>
    </cfRule>
    <cfRule type="expression" dxfId="203" priority="3624">
      <formula>ISEVEN(MONTH(C1))</formula>
    </cfRule>
  </conditionalFormatting>
  <conditionalFormatting sqref="M1:M1048576">
    <cfRule type="cellIs" dxfId="202" priority="355" operator="equal">
      <formula>"SUN"</formula>
    </cfRule>
    <cfRule type="cellIs" dxfId="201" priority="356" operator="equal">
      <formula>"SAT"</formula>
    </cfRule>
  </conditionalFormatting>
  <conditionalFormatting sqref="J1563:J1566 J2566 J2568:J2570">
    <cfRule type="expression" dxfId="200" priority="3641">
      <formula>ISODD(MONTH(C1560))</formula>
    </cfRule>
    <cfRule type="expression" dxfId="199" priority="3642">
      <formula>ISEVEN(MONTH(C1560))</formula>
    </cfRule>
  </conditionalFormatting>
  <conditionalFormatting sqref="J2578">
    <cfRule type="expression" dxfId="198" priority="3669">
      <formula>ISODD(MONTH(C2573))</formula>
    </cfRule>
    <cfRule type="expression" dxfId="197" priority="3670">
      <formula>ISEVEN(MONTH(C2573))</formula>
    </cfRule>
  </conditionalFormatting>
  <conditionalFormatting sqref="J2580">
    <cfRule type="expression" dxfId="196" priority="353">
      <formula>ISODD(MONTH(C2578))</formula>
    </cfRule>
    <cfRule type="expression" dxfId="195" priority="354">
      <formula>ISEVEN(MONTH(C2578))</formula>
    </cfRule>
  </conditionalFormatting>
  <conditionalFormatting sqref="J2582">
    <cfRule type="expression" dxfId="194" priority="3683">
      <formula>ISODD(MONTH(C2579))</formula>
    </cfRule>
    <cfRule type="expression" dxfId="193" priority="3684">
      <formula>ISEVEN(MONTH(C2579))</formula>
    </cfRule>
  </conditionalFormatting>
  <conditionalFormatting sqref="J2571:J2577">
    <cfRule type="expression" dxfId="192" priority="351">
      <formula>ISODD(MONTH(C2567))</formula>
    </cfRule>
    <cfRule type="expression" dxfId="191" priority="352">
      <formula>ISEVEN(MONTH(C2567))</formula>
    </cfRule>
  </conditionalFormatting>
  <conditionalFormatting sqref="J2564:J2565">
    <cfRule type="expression" dxfId="190" priority="3711">
      <formula>ISODD(MONTH(C2575))</formula>
    </cfRule>
    <cfRule type="expression" dxfId="189" priority="3712">
      <formula>ISEVEN(MONTH(C2575))</formula>
    </cfRule>
  </conditionalFormatting>
  <conditionalFormatting sqref="J2563">
    <cfRule type="expression" dxfId="188" priority="3715">
      <formula>ISODD(MONTH(C2575))</formula>
    </cfRule>
    <cfRule type="expression" dxfId="187" priority="3716">
      <formula>ISEVEN(MONTH(C2575))</formula>
    </cfRule>
  </conditionalFormatting>
  <conditionalFormatting sqref="J2567">
    <cfRule type="expression" dxfId="186" priority="345">
      <formula>ISODD(MONTH(C2567))</formula>
    </cfRule>
    <cfRule type="expression" dxfId="185" priority="346">
      <formula>ISEVEN(MONTH(C2567))</formula>
    </cfRule>
  </conditionalFormatting>
  <conditionalFormatting sqref="J2579">
    <cfRule type="expression" dxfId="184" priority="341">
      <formula>ISODD(MONTH(C2579))</formula>
    </cfRule>
    <cfRule type="expression" dxfId="183" priority="342">
      <formula>ISEVEN(MONTH(C2579))</formula>
    </cfRule>
  </conditionalFormatting>
  <conditionalFormatting sqref="J2581">
    <cfRule type="expression" dxfId="182" priority="337">
      <formula>ISODD(MONTH(C2578))</formula>
    </cfRule>
    <cfRule type="expression" dxfId="181" priority="338">
      <formula>ISEVEN(MONTH(C2578))</formula>
    </cfRule>
  </conditionalFormatting>
  <conditionalFormatting sqref="J2585 J2506:J2513">
    <cfRule type="expression" dxfId="180" priority="3739">
      <formula>ISODD(MONTH(C2507))</formula>
    </cfRule>
    <cfRule type="expression" dxfId="179" priority="3740">
      <formula>ISEVEN(MONTH(C2507))</formula>
    </cfRule>
  </conditionalFormatting>
  <conditionalFormatting sqref="J2748 J2750:J2752">
    <cfRule type="expression" dxfId="178" priority="311">
      <formula>ISODD(MONTH(C2745))</formula>
    </cfRule>
    <cfRule type="expression" dxfId="177" priority="312">
      <formula>ISEVEN(MONTH(C2745))</formula>
    </cfRule>
  </conditionalFormatting>
  <conditionalFormatting sqref="J2760">
    <cfRule type="expression" dxfId="176" priority="317">
      <formula>ISODD(MONTH(C2755))</formula>
    </cfRule>
    <cfRule type="expression" dxfId="175" priority="318">
      <formula>ISEVEN(MONTH(C2755))</formula>
    </cfRule>
  </conditionalFormatting>
  <conditionalFormatting sqref="J2762">
    <cfRule type="expression" dxfId="174" priority="307">
      <formula>ISODD(MONTH(C2760))</formula>
    </cfRule>
    <cfRule type="expression" dxfId="173" priority="308">
      <formula>ISEVEN(MONTH(C2760))</formula>
    </cfRule>
  </conditionalFormatting>
  <conditionalFormatting sqref="J2764">
    <cfRule type="expression" dxfId="172" priority="319">
      <formula>ISODD(MONTH(C2761))</formula>
    </cfRule>
    <cfRule type="expression" dxfId="171" priority="320">
      <formula>ISEVEN(MONTH(C2761))</formula>
    </cfRule>
  </conditionalFormatting>
  <conditionalFormatting sqref="J2753:J2759">
    <cfRule type="expression" dxfId="170" priority="305">
      <formula>ISODD(MONTH(C2749))</formula>
    </cfRule>
    <cfRule type="expression" dxfId="169" priority="306">
      <formula>ISEVEN(MONTH(C2749))</formula>
    </cfRule>
  </conditionalFormatting>
  <conditionalFormatting sqref="J2746:J2747">
    <cfRule type="expression" dxfId="168" priority="325">
      <formula>ISODD(MONTH(C2757))</formula>
    </cfRule>
    <cfRule type="expression" dxfId="167" priority="326">
      <formula>ISEVEN(MONTH(C2757))</formula>
    </cfRule>
  </conditionalFormatting>
  <conditionalFormatting sqref="J2745">
    <cfRule type="expression" dxfId="166" priority="327">
      <formula>ISODD(MONTH(C2757))</formula>
    </cfRule>
    <cfRule type="expression" dxfId="165" priority="328">
      <formula>ISEVEN(MONTH(C2757))</formula>
    </cfRule>
  </conditionalFormatting>
  <conditionalFormatting sqref="J2749">
    <cfRule type="expression" dxfId="164" priority="303">
      <formula>ISODD(MONTH(C2749))</formula>
    </cfRule>
    <cfRule type="expression" dxfId="163" priority="304">
      <formula>ISEVEN(MONTH(C2749))</formula>
    </cfRule>
  </conditionalFormatting>
  <conditionalFormatting sqref="J2761">
    <cfRule type="expression" dxfId="162" priority="299">
      <formula>ISODD(MONTH(C2761))</formula>
    </cfRule>
    <cfRule type="expression" dxfId="161" priority="300">
      <formula>ISEVEN(MONTH(C2761))</formula>
    </cfRule>
  </conditionalFormatting>
  <conditionalFormatting sqref="J2763">
    <cfRule type="expression" dxfId="160" priority="295">
      <formula>ISODD(MONTH(C2760))</formula>
    </cfRule>
    <cfRule type="expression" dxfId="159" priority="296">
      <formula>ISEVEN(MONTH(C2760))</formula>
    </cfRule>
  </conditionalFormatting>
  <conditionalFormatting sqref="J2767">
    <cfRule type="expression" dxfId="158" priority="333">
      <formula>ISODD(MONTH(C2768))</formula>
    </cfRule>
    <cfRule type="expression" dxfId="157" priority="334">
      <formula>ISEVEN(MONTH(C2768))</formula>
    </cfRule>
  </conditionalFormatting>
  <conditionalFormatting sqref="J2931 J2933:J2935">
    <cfRule type="expression" dxfId="156" priority="269">
      <formula>ISODD(MONTH(C2928))</formula>
    </cfRule>
    <cfRule type="expression" dxfId="155" priority="270">
      <formula>ISEVEN(MONTH(C2928))</formula>
    </cfRule>
  </conditionalFormatting>
  <conditionalFormatting sqref="J2943">
    <cfRule type="expression" dxfId="154" priority="275">
      <formula>ISODD(MONTH(C2938))</formula>
    </cfRule>
    <cfRule type="expression" dxfId="153" priority="276">
      <formula>ISEVEN(MONTH(C2938))</formula>
    </cfRule>
  </conditionalFormatting>
  <conditionalFormatting sqref="J2945">
    <cfRule type="expression" dxfId="152" priority="265">
      <formula>ISODD(MONTH(C2943))</formula>
    </cfRule>
    <cfRule type="expression" dxfId="151" priority="266">
      <formula>ISEVEN(MONTH(C2943))</formula>
    </cfRule>
  </conditionalFormatting>
  <conditionalFormatting sqref="J2947">
    <cfRule type="expression" dxfId="150" priority="277">
      <formula>ISODD(MONTH(C2944))</formula>
    </cfRule>
    <cfRule type="expression" dxfId="149" priority="278">
      <formula>ISEVEN(MONTH(C2944))</formula>
    </cfRule>
  </conditionalFormatting>
  <conditionalFormatting sqref="J2936:J2942">
    <cfRule type="expression" dxfId="148" priority="263">
      <formula>ISODD(MONTH(C2932))</formula>
    </cfRule>
    <cfRule type="expression" dxfId="147" priority="264">
      <formula>ISEVEN(MONTH(C2932))</formula>
    </cfRule>
  </conditionalFormatting>
  <conditionalFormatting sqref="J2929:J2930">
    <cfRule type="expression" dxfId="146" priority="283">
      <formula>ISODD(MONTH(C2940))</formula>
    </cfRule>
    <cfRule type="expression" dxfId="145" priority="284">
      <formula>ISEVEN(MONTH(C2940))</formula>
    </cfRule>
  </conditionalFormatting>
  <conditionalFormatting sqref="J2928">
    <cfRule type="expression" dxfId="144" priority="285">
      <formula>ISODD(MONTH(C2940))</formula>
    </cfRule>
    <cfRule type="expression" dxfId="143" priority="286">
      <formula>ISEVEN(MONTH(C2940))</formula>
    </cfRule>
  </conditionalFormatting>
  <conditionalFormatting sqref="J2932">
    <cfRule type="expression" dxfId="142" priority="261">
      <formula>ISODD(MONTH(C2932))</formula>
    </cfRule>
    <cfRule type="expression" dxfId="141" priority="262">
      <formula>ISEVEN(MONTH(C2932))</formula>
    </cfRule>
  </conditionalFormatting>
  <conditionalFormatting sqref="J2944">
    <cfRule type="expression" dxfId="140" priority="257">
      <formula>ISODD(MONTH(C2944))</formula>
    </cfRule>
    <cfRule type="expression" dxfId="139" priority="258">
      <formula>ISEVEN(MONTH(C2944))</formula>
    </cfRule>
  </conditionalFormatting>
  <conditionalFormatting sqref="J2946">
    <cfRule type="expression" dxfId="138" priority="253">
      <formula>ISODD(MONTH(C2943))</formula>
    </cfRule>
    <cfRule type="expression" dxfId="137" priority="254">
      <formula>ISEVEN(MONTH(C2943))</formula>
    </cfRule>
  </conditionalFormatting>
  <conditionalFormatting sqref="J2950">
    <cfRule type="expression" dxfId="136" priority="291">
      <formula>ISODD(MONTH(C2951))</formula>
    </cfRule>
    <cfRule type="expression" dxfId="135" priority="292">
      <formula>ISEVEN(MONTH(C2951))</formula>
    </cfRule>
  </conditionalFormatting>
  <conditionalFormatting sqref="J2550">
    <cfRule type="expression" dxfId="134" priority="249">
      <formula>ISODD(MONTH(C2551))</formula>
    </cfRule>
    <cfRule type="expression" dxfId="133" priority="250">
      <formula>ISEVEN(MONTH(C2551))</formula>
    </cfRule>
  </conditionalFormatting>
  <conditionalFormatting sqref="J2642">
    <cfRule type="expression" dxfId="132" priority="245">
      <formula>ISODD(MONTH(C2643))</formula>
    </cfRule>
    <cfRule type="expression" dxfId="131" priority="246">
      <formula>ISEVEN(MONTH(C2643))</formula>
    </cfRule>
  </conditionalFormatting>
  <conditionalFormatting sqref="J2731">
    <cfRule type="expression" dxfId="130" priority="241">
      <formula>ISODD(MONTH(C2732))</formula>
    </cfRule>
    <cfRule type="expression" dxfId="129" priority="242">
      <formula>ISEVEN(MONTH(C2732))</formula>
    </cfRule>
  </conditionalFormatting>
  <conditionalFormatting sqref="J2823">
    <cfRule type="expression" dxfId="128" priority="237">
      <formula>ISODD(MONTH(C2824))</formula>
    </cfRule>
    <cfRule type="expression" dxfId="127" priority="238">
      <formula>ISEVEN(MONTH(C2824))</formula>
    </cfRule>
  </conditionalFormatting>
  <conditionalFormatting sqref="J2915">
    <cfRule type="expression" dxfId="126" priority="233">
      <formula>ISODD(MONTH(C2916))</formula>
    </cfRule>
    <cfRule type="expression" dxfId="125" priority="234">
      <formula>ISEVEN(MONTH(C2916))</formula>
    </cfRule>
  </conditionalFormatting>
  <conditionalFormatting sqref="J2599:J2601">
    <cfRule type="expression" dxfId="124" priority="227">
      <formula>ISODD(MONTH(C2596))</formula>
    </cfRule>
    <cfRule type="expression" dxfId="123" priority="228">
      <formula>ISEVEN(MONTH(C2596))</formula>
    </cfRule>
  </conditionalFormatting>
  <conditionalFormatting sqref="J2602">
    <cfRule type="expression" dxfId="122" priority="223">
      <formula>ISODD(MONTH(C2598))</formula>
    </cfRule>
    <cfRule type="expression" dxfId="121" priority="224">
      <formula>ISEVEN(MONTH(C2598))</formula>
    </cfRule>
  </conditionalFormatting>
  <conditionalFormatting sqref="J2658:J2660">
    <cfRule type="expression" dxfId="120" priority="219">
      <formula>ISODD(MONTH(C2655))</formula>
    </cfRule>
    <cfRule type="expression" dxfId="119" priority="220">
      <formula>ISEVEN(MONTH(C2655))</formula>
    </cfRule>
  </conditionalFormatting>
  <conditionalFormatting sqref="J2661">
    <cfRule type="expression" dxfId="118" priority="215">
      <formula>ISODD(MONTH(C2657))</formula>
    </cfRule>
    <cfRule type="expression" dxfId="117" priority="216">
      <formula>ISEVEN(MONTH(C2657))</formula>
    </cfRule>
  </conditionalFormatting>
  <conditionalFormatting sqref="J2689:J2691">
    <cfRule type="expression" dxfId="116" priority="211">
      <formula>ISODD(MONTH(C2686))</formula>
    </cfRule>
    <cfRule type="expression" dxfId="115" priority="212">
      <formula>ISEVEN(MONTH(C2686))</formula>
    </cfRule>
  </conditionalFormatting>
  <conditionalFormatting sqref="J2692">
    <cfRule type="expression" dxfId="114" priority="207">
      <formula>ISODD(MONTH(C2688))</formula>
    </cfRule>
    <cfRule type="expression" dxfId="113" priority="208">
      <formula>ISEVEN(MONTH(C2688))</formula>
    </cfRule>
  </conditionalFormatting>
  <conditionalFormatting sqref="J2778 J2780:J2782">
    <cfRule type="expression" dxfId="112" priority="183">
      <formula>ISODD(MONTH(C2775))</formula>
    </cfRule>
    <cfRule type="expression" dxfId="111" priority="184">
      <formula>ISEVEN(MONTH(C2775))</formula>
    </cfRule>
  </conditionalFormatting>
  <conditionalFormatting sqref="J2790">
    <cfRule type="expression" dxfId="110" priority="189">
      <formula>ISODD(MONTH(C2785))</formula>
    </cfRule>
    <cfRule type="expression" dxfId="109" priority="190">
      <formula>ISEVEN(MONTH(C2785))</formula>
    </cfRule>
  </conditionalFormatting>
  <conditionalFormatting sqref="J2792">
    <cfRule type="expression" dxfId="108" priority="179">
      <formula>ISODD(MONTH(C2790))</formula>
    </cfRule>
    <cfRule type="expression" dxfId="107" priority="180">
      <formula>ISEVEN(MONTH(C2790))</formula>
    </cfRule>
  </conditionalFormatting>
  <conditionalFormatting sqref="J2794">
    <cfRule type="expression" dxfId="106" priority="191">
      <formula>ISODD(MONTH(C2791))</formula>
    </cfRule>
    <cfRule type="expression" dxfId="105" priority="192">
      <formula>ISEVEN(MONTH(C2791))</formula>
    </cfRule>
  </conditionalFormatting>
  <conditionalFormatting sqref="J2783:J2789">
    <cfRule type="expression" dxfId="104" priority="177">
      <formula>ISODD(MONTH(C2779))</formula>
    </cfRule>
    <cfRule type="expression" dxfId="103" priority="178">
      <formula>ISEVEN(MONTH(C2779))</formula>
    </cfRule>
  </conditionalFormatting>
  <conditionalFormatting sqref="J2776:J2777">
    <cfRule type="expression" dxfId="102" priority="197">
      <formula>ISODD(MONTH(C2787))</formula>
    </cfRule>
    <cfRule type="expression" dxfId="101" priority="198">
      <formula>ISEVEN(MONTH(C2787))</formula>
    </cfRule>
  </conditionalFormatting>
  <conditionalFormatting sqref="J2775">
    <cfRule type="expression" dxfId="100" priority="199">
      <formula>ISODD(MONTH(C2787))</formula>
    </cfRule>
    <cfRule type="expression" dxfId="99" priority="200">
      <formula>ISEVEN(MONTH(C2787))</formula>
    </cfRule>
  </conditionalFormatting>
  <conditionalFormatting sqref="J2779">
    <cfRule type="expression" dxfId="98" priority="175">
      <formula>ISODD(MONTH(C2779))</formula>
    </cfRule>
    <cfRule type="expression" dxfId="97" priority="176">
      <formula>ISEVEN(MONTH(C2779))</formula>
    </cfRule>
  </conditionalFormatting>
  <conditionalFormatting sqref="J2791">
    <cfRule type="expression" dxfId="96" priority="171">
      <formula>ISODD(MONTH(C2791))</formula>
    </cfRule>
    <cfRule type="expression" dxfId="95" priority="172">
      <formula>ISEVEN(MONTH(C2791))</formula>
    </cfRule>
  </conditionalFormatting>
  <conditionalFormatting sqref="J2793">
    <cfRule type="expression" dxfId="94" priority="167">
      <formula>ISODD(MONTH(C2790))</formula>
    </cfRule>
    <cfRule type="expression" dxfId="93" priority="168">
      <formula>ISEVEN(MONTH(C2790))</formula>
    </cfRule>
  </conditionalFormatting>
  <conditionalFormatting sqref="J2797">
    <cfRule type="expression" dxfId="92" priority="205">
      <formula>ISODD(MONTH(C2798))</formula>
    </cfRule>
    <cfRule type="expression" dxfId="91" priority="206">
      <formula>ISEVEN(MONTH(C2798))</formula>
    </cfRule>
  </conditionalFormatting>
  <conditionalFormatting sqref="J2840 J2842:J2844">
    <cfRule type="expression" dxfId="90" priority="141">
      <formula>ISODD(MONTH(C2837))</formula>
    </cfRule>
    <cfRule type="expression" dxfId="89" priority="142">
      <formula>ISEVEN(MONTH(C2837))</formula>
    </cfRule>
  </conditionalFormatting>
  <conditionalFormatting sqref="J2852">
    <cfRule type="expression" dxfId="88" priority="147">
      <formula>ISODD(MONTH(C2847))</formula>
    </cfRule>
    <cfRule type="expression" dxfId="87" priority="148">
      <formula>ISEVEN(MONTH(C2847))</formula>
    </cfRule>
  </conditionalFormatting>
  <conditionalFormatting sqref="J2854">
    <cfRule type="expression" dxfId="86" priority="137">
      <formula>ISODD(MONTH(C2852))</formula>
    </cfRule>
    <cfRule type="expression" dxfId="85" priority="138">
      <formula>ISEVEN(MONTH(C2852))</formula>
    </cfRule>
  </conditionalFormatting>
  <conditionalFormatting sqref="J2856">
    <cfRule type="expression" dxfId="84" priority="149">
      <formula>ISODD(MONTH(C2853))</formula>
    </cfRule>
    <cfRule type="expression" dxfId="83" priority="150">
      <formula>ISEVEN(MONTH(C2853))</formula>
    </cfRule>
  </conditionalFormatting>
  <conditionalFormatting sqref="J2845:J2851">
    <cfRule type="expression" dxfId="82" priority="135">
      <formula>ISODD(MONTH(C2841))</formula>
    </cfRule>
    <cfRule type="expression" dxfId="81" priority="136">
      <formula>ISEVEN(MONTH(C2841))</formula>
    </cfRule>
  </conditionalFormatting>
  <conditionalFormatting sqref="J2838:J2839">
    <cfRule type="expression" dxfId="80" priority="155">
      <formula>ISODD(MONTH(C2849))</formula>
    </cfRule>
    <cfRule type="expression" dxfId="79" priority="156">
      <formula>ISEVEN(MONTH(C2849))</formula>
    </cfRule>
  </conditionalFormatting>
  <conditionalFormatting sqref="J2837">
    <cfRule type="expression" dxfId="78" priority="157">
      <formula>ISODD(MONTH(C2849))</formula>
    </cfRule>
    <cfRule type="expression" dxfId="77" priority="158">
      <formula>ISEVEN(MONTH(C2849))</formula>
    </cfRule>
  </conditionalFormatting>
  <conditionalFormatting sqref="J2841">
    <cfRule type="expression" dxfId="76" priority="133">
      <formula>ISODD(MONTH(C2841))</formula>
    </cfRule>
    <cfRule type="expression" dxfId="75" priority="134">
      <formula>ISEVEN(MONTH(C2841))</formula>
    </cfRule>
  </conditionalFormatting>
  <conditionalFormatting sqref="J2853">
    <cfRule type="expression" dxfId="74" priority="129">
      <formula>ISODD(MONTH(C2853))</formula>
    </cfRule>
    <cfRule type="expression" dxfId="73" priority="130">
      <formula>ISEVEN(MONTH(C2853))</formula>
    </cfRule>
  </conditionalFormatting>
  <conditionalFormatting sqref="J2855">
    <cfRule type="expression" dxfId="72" priority="125">
      <formula>ISODD(MONTH(C2852))</formula>
    </cfRule>
    <cfRule type="expression" dxfId="71" priority="126">
      <formula>ISEVEN(MONTH(C2852))</formula>
    </cfRule>
  </conditionalFormatting>
  <conditionalFormatting sqref="J2859">
    <cfRule type="expression" dxfId="70" priority="163">
      <formula>ISODD(MONTH(C2860))</formula>
    </cfRule>
    <cfRule type="expression" dxfId="69" priority="164">
      <formula>ISEVEN(MONTH(C2860))</formula>
    </cfRule>
  </conditionalFormatting>
  <conditionalFormatting sqref="J2870 J2872:J2874">
    <cfRule type="expression" dxfId="68" priority="99">
      <formula>ISODD(MONTH(C2867))</formula>
    </cfRule>
    <cfRule type="expression" dxfId="67" priority="100">
      <formula>ISEVEN(MONTH(C2867))</formula>
    </cfRule>
  </conditionalFormatting>
  <conditionalFormatting sqref="J2882">
    <cfRule type="expression" dxfId="66" priority="105">
      <formula>ISODD(MONTH(C2877))</formula>
    </cfRule>
    <cfRule type="expression" dxfId="65" priority="106">
      <formula>ISEVEN(MONTH(C2877))</formula>
    </cfRule>
  </conditionalFormatting>
  <conditionalFormatting sqref="J2884">
    <cfRule type="expression" dxfId="64" priority="95">
      <formula>ISODD(MONTH(C2882))</formula>
    </cfRule>
    <cfRule type="expression" dxfId="63" priority="96">
      <formula>ISEVEN(MONTH(C2882))</formula>
    </cfRule>
  </conditionalFormatting>
  <conditionalFormatting sqref="J2886">
    <cfRule type="expression" dxfId="62" priority="107">
      <formula>ISODD(MONTH(C2883))</formula>
    </cfRule>
    <cfRule type="expression" dxfId="61" priority="108">
      <formula>ISEVEN(MONTH(C2883))</formula>
    </cfRule>
  </conditionalFormatting>
  <conditionalFormatting sqref="J2875:J2881">
    <cfRule type="expression" dxfId="60" priority="93">
      <formula>ISODD(MONTH(C2871))</formula>
    </cfRule>
    <cfRule type="expression" dxfId="59" priority="94">
      <formula>ISEVEN(MONTH(C2871))</formula>
    </cfRule>
  </conditionalFormatting>
  <conditionalFormatting sqref="J2868:J2869">
    <cfRule type="expression" dxfId="58" priority="113">
      <formula>ISODD(MONTH(C2879))</formula>
    </cfRule>
    <cfRule type="expression" dxfId="57" priority="114">
      <formula>ISEVEN(MONTH(C2879))</formula>
    </cfRule>
  </conditionalFormatting>
  <conditionalFormatting sqref="J2867">
    <cfRule type="expression" dxfId="56" priority="115">
      <formula>ISODD(MONTH(C2879))</formula>
    </cfRule>
    <cfRule type="expression" dxfId="55" priority="116">
      <formula>ISEVEN(MONTH(C2879))</formula>
    </cfRule>
  </conditionalFormatting>
  <conditionalFormatting sqref="J2871">
    <cfRule type="expression" dxfId="54" priority="91">
      <formula>ISODD(MONTH(C2871))</formula>
    </cfRule>
    <cfRule type="expression" dxfId="53" priority="92">
      <formula>ISEVEN(MONTH(C2871))</formula>
    </cfRule>
  </conditionalFormatting>
  <conditionalFormatting sqref="J2883">
    <cfRule type="expression" dxfId="52" priority="87">
      <formula>ISODD(MONTH(C2883))</formula>
    </cfRule>
    <cfRule type="expression" dxfId="51" priority="88">
      <formula>ISEVEN(MONTH(C2883))</formula>
    </cfRule>
  </conditionalFormatting>
  <conditionalFormatting sqref="J2885">
    <cfRule type="expression" dxfId="50" priority="83">
      <formula>ISODD(MONTH(C2882))</formula>
    </cfRule>
    <cfRule type="expression" dxfId="49" priority="84">
      <formula>ISEVEN(MONTH(C2882))</formula>
    </cfRule>
  </conditionalFormatting>
  <conditionalFormatting sqref="J2889">
    <cfRule type="expression" dxfId="48" priority="121">
      <formula>ISODD(MONTH(C2890))</formula>
    </cfRule>
    <cfRule type="expression" dxfId="47" priority="122">
      <formula>ISEVEN(MONTH(C2890))</formula>
    </cfRule>
  </conditionalFormatting>
  <conditionalFormatting sqref="J2505">
    <cfRule type="expression" dxfId="46" priority="57">
      <formula>ISODD(MONTH(C2502))</formula>
    </cfRule>
    <cfRule type="expression" dxfId="45" priority="58">
      <formula>ISEVEN(MONTH(C2502))</formula>
    </cfRule>
  </conditionalFormatting>
  <conditionalFormatting sqref="J2503:J2504">
    <cfRule type="expression" dxfId="44" priority="71">
      <formula>ISODD(MONTH(C2514))</formula>
    </cfRule>
    <cfRule type="expression" dxfId="43" priority="72">
      <formula>ISEVEN(MONTH(C2514))</formula>
    </cfRule>
  </conditionalFormatting>
  <conditionalFormatting sqref="J2502">
    <cfRule type="expression" dxfId="42" priority="73">
      <formula>ISODD(MONTH(C2514))</formula>
    </cfRule>
    <cfRule type="expression" dxfId="41" priority="74">
      <formula>ISEVEN(MONTH(C2514))</formula>
    </cfRule>
  </conditionalFormatting>
  <conditionalFormatting sqref="J2524">
    <cfRule type="expression" dxfId="40" priority="79">
      <formula>ISODD(MONTH(C2525))</formula>
    </cfRule>
    <cfRule type="expression" dxfId="39" priority="80">
      <formula>ISEVEN(MONTH(C2525))</formula>
    </cfRule>
  </conditionalFormatting>
  <conditionalFormatting sqref="J2514">
    <cfRule type="expression" dxfId="38" priority="3815">
      <formula>ISODD(MONTH(C2507))</formula>
    </cfRule>
    <cfRule type="expression" dxfId="37" priority="3816">
      <formula>ISEVEN(MONTH(C2507))</formula>
    </cfRule>
  </conditionalFormatting>
  <conditionalFormatting sqref="J2518">
    <cfRule type="expression" dxfId="36" priority="29">
      <formula>ISODD(MONTH(C2513))</formula>
    </cfRule>
    <cfRule type="expression" dxfId="35" priority="30">
      <formula>ISEVEN(MONTH(C2513))</formula>
    </cfRule>
  </conditionalFormatting>
  <conditionalFormatting sqref="J2519">
    <cfRule type="expression" dxfId="34" priority="19">
      <formula>ISODD(MONTH(C2522))</formula>
    </cfRule>
    <cfRule type="expression" dxfId="33" priority="20">
      <formula>ISEVEN(MONTH(C2522))</formula>
    </cfRule>
  </conditionalFormatting>
  <conditionalFormatting sqref="J2523:J2525 J2515:J2517">
    <cfRule type="expression" dxfId="32" priority="3833">
      <formula>ISODD(MONTH(C2518))</formula>
    </cfRule>
    <cfRule type="expression" dxfId="31" priority="3834">
      <formula>ISEVEN(MONTH(C2518))</formula>
    </cfRule>
  </conditionalFormatting>
  <conditionalFormatting sqref="J2520:J2522">
    <cfRule type="expression" dxfId="30" priority="15">
      <formula>ISODD(MONTH(C2521))</formula>
    </cfRule>
    <cfRule type="expression" dxfId="29" priority="16">
      <formula>ISEVEN(MONTH(C2521))</formula>
    </cfRule>
  </conditionalFormatting>
  <conditionalFormatting sqref="J2526:J2527">
    <cfRule type="expression" dxfId="28" priority="11">
      <formula>ISODD(MONTH(C2527))</formula>
    </cfRule>
    <cfRule type="expression" dxfId="27" priority="12">
      <formula>ISEVEN(MONTH(C2527))</formula>
    </cfRule>
  </conditionalFormatting>
  <conditionalFormatting sqref="J2528">
    <cfRule type="expression" dxfId="26" priority="3">
      <formula>ISODD(MONTH(C2529))</formula>
    </cfRule>
    <cfRule type="expression" dxfId="25" priority="4">
      <formula>ISEVEN(MONTH(C2529))</formula>
    </cfRule>
  </conditionalFormatting>
  <conditionalFormatting sqref="I2:I3000">
    <cfRule type="expression" dxfId="24" priority="13">
      <formula>ISODD(MONTH(C2))</formula>
    </cfRule>
    <cfRule type="expression" dxfId="23" priority="14">
      <formula>ISEVEN(MONTH(C2))</formula>
    </cfRule>
  </conditionalFormatting>
  <conditionalFormatting sqref="A2:A3000">
    <cfRule type="expression" dxfId="22" priority="2">
      <formula>ISEVEN(MONTH(C2))</formula>
    </cfRule>
    <cfRule type="expression" dxfId="21" priority="1">
      <formula>ISODD(MONTH(C2))</formula>
    </cfRule>
  </conditionalFormatting>
  <conditionalFormatting sqref="E2:E3000">
    <cfRule type="expression" dxfId="20" priority="9">
      <formula>ISODD(MONTH(C2))</formula>
    </cfRule>
    <cfRule type="expression" dxfId="19" priority="10">
      <formula>ISEVEN(MONTH(C2))</formula>
    </cfRule>
  </conditionalFormatting>
  <hyperlinks>
    <hyperlink ref="Q2513" r:id="rId1" xr:uid="{07A42119-6220-AB40-9392-507096F57B7B}"/>
    <hyperlink ref="Q2512" r:id="rId2" xr:uid="{2E7C4D62-29CF-F742-8AEB-6639DAEDFA2C}"/>
    <hyperlink ref="Q2517" r:id="rId3" xr:uid="{BDA5DB5F-5DB3-514C-AC10-F238607F3936}"/>
    <hyperlink ref="Q2511" r:id="rId4" display="https://www.newyorkfed.org/markets/reference-rates/sofr" xr:uid="{F3539AA1-2BC2-4700-81BD-237E3AF03D65}"/>
    <hyperlink ref="Q2510" r:id="rId5" display="https://www.newyorkfed.org/markets/reference-rates/effr" xr:uid="{3740FF81-FA7C-4F0A-ACFE-AB776D28208A}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48" sqref="L48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10"/>
      <c r="B1" s="444" t="s">
        <v>167</v>
      </c>
      <c r="C1" s="445"/>
      <c r="D1" s="444" t="s">
        <v>164</v>
      </c>
      <c r="E1" s="445"/>
      <c r="F1" s="22" t="s">
        <v>168</v>
      </c>
      <c r="G1" s="444" t="s">
        <v>158</v>
      </c>
      <c r="H1" s="445"/>
      <c r="I1" s="22" t="s">
        <v>162</v>
      </c>
      <c r="J1" s="444" t="s">
        <v>160</v>
      </c>
      <c r="K1" s="445"/>
      <c r="L1" s="444" t="s">
        <v>161</v>
      </c>
      <c r="M1" s="445"/>
      <c r="N1" s="296" t="s">
        <v>91</v>
      </c>
    </row>
    <row r="2" spans="1:14">
      <c r="A2" s="211"/>
      <c r="B2" s="24" t="s">
        <v>24</v>
      </c>
      <c r="C2" s="25" t="s">
        <v>25</v>
      </c>
      <c r="D2" s="24" t="s">
        <v>24</v>
      </c>
      <c r="E2" s="25" t="s">
        <v>25</v>
      </c>
      <c r="F2" s="219" t="s">
        <v>70</v>
      </c>
      <c r="G2" s="24" t="s">
        <v>159</v>
      </c>
      <c r="H2" s="25" t="s">
        <v>19</v>
      </c>
      <c r="I2" s="219" t="s">
        <v>163</v>
      </c>
      <c r="J2" s="24" t="s">
        <v>159</v>
      </c>
      <c r="K2" s="25" t="s">
        <v>19</v>
      </c>
      <c r="L2" s="213" t="s">
        <v>165</v>
      </c>
      <c r="M2" s="214" t="s">
        <v>166</v>
      </c>
      <c r="N2" s="276" t="s">
        <v>192</v>
      </c>
    </row>
    <row r="3" spans="1:14">
      <c r="A3" s="300">
        <v>45192</v>
      </c>
      <c r="B3" s="264">
        <v>94.647599999999997</v>
      </c>
      <c r="C3" s="34" t="s">
        <v>178</v>
      </c>
      <c r="D3" s="33">
        <f t="shared" ref="D3:D13" ca="1" si="0">100-E3</f>
        <v>495.60439560439562</v>
      </c>
      <c r="E3" s="34">
        <f t="shared" ref="E3:E13" ca="1" si="1">(M3-1)*(360/I3)*100</f>
        <v>-395.60439560439562</v>
      </c>
      <c r="F3" s="251">
        <f t="shared" ref="F3:F13" ca="1" si="2">D3-B3</f>
        <v>400.95679560439561</v>
      </c>
      <c r="G3" s="199">
        <v>45189</v>
      </c>
      <c r="H3" s="196">
        <v>45280</v>
      </c>
      <c r="I3" s="202">
        <f t="shared" ref="I3:I13" si="3">H3-G3</f>
        <v>91</v>
      </c>
      <c r="J3" s="206">
        <f>MATCH(G3,'DAILY EXTRAPOLATION'!C:C,1)</f>
        <v>1391</v>
      </c>
      <c r="K3" s="207">
        <f>MATCH(H3,'DAILY EXTRAPOLATION'!C:C,1)-1</f>
        <v>1481</v>
      </c>
      <c r="L3" s="216" t="str">
        <f>_xlfn.CONCAT(ADDRESS(J3,14,1,1,"daily extrapolation"),":",ADDRESS(K3,14))</f>
        <v>'daily extrapolation'!$N$1391:$N$1481</v>
      </c>
      <c r="M3" s="217">
        <f t="shared" ref="M3:M13" ca="1" si="4">PRODUCT(INDIRECT(L3))</f>
        <v>0</v>
      </c>
      <c r="N3" s="57"/>
    </row>
    <row r="4" spans="1:14">
      <c r="A4" s="301">
        <v>45222</v>
      </c>
      <c r="B4" s="265">
        <v>94.639799999999994</v>
      </c>
      <c r="C4" s="45" t="s">
        <v>178</v>
      </c>
      <c r="D4" s="40">
        <f t="shared" ca="1" si="0"/>
        <v>495.60439560439562</v>
      </c>
      <c r="E4" s="41">
        <f t="shared" ca="1" si="1"/>
        <v>-395.60439560439562</v>
      </c>
      <c r="F4" s="250">
        <f t="shared" ca="1" si="2"/>
        <v>400.96459560439564</v>
      </c>
      <c r="G4" s="198">
        <v>45217</v>
      </c>
      <c r="H4" s="195">
        <v>45308</v>
      </c>
      <c r="I4" s="201">
        <f t="shared" si="3"/>
        <v>91</v>
      </c>
      <c r="J4" s="204">
        <f>MATCH(G4,'DAILY EXTRAPOLATION'!C:C,1)</f>
        <v>1419</v>
      </c>
      <c r="K4" s="205">
        <f>MATCH(H4,'DAILY EXTRAPOLATION'!C:C,1)-1</f>
        <v>1509</v>
      </c>
      <c r="L4" s="215" t="str">
        <f t="shared" ref="L4:L42" si="5">_xlfn.CONCAT(ADDRESS(J4,14,1,1,"daily extrapolation"),":",ADDRESS(K4,14))</f>
        <v>'daily extrapolation'!$N$1419:$N$1509</v>
      </c>
      <c r="M4" s="49">
        <f t="shared" ca="1" si="4"/>
        <v>0</v>
      </c>
    </row>
    <row r="5" spans="1:14">
      <c r="A5" s="301">
        <v>45231</v>
      </c>
      <c r="B5" s="265">
        <v>94.638800000000003</v>
      </c>
      <c r="C5" s="45" t="s">
        <v>178</v>
      </c>
      <c r="D5" s="40">
        <f t="shared" ca="1" si="0"/>
        <v>467.34693877551024</v>
      </c>
      <c r="E5" s="41">
        <f t="shared" ca="1" si="1"/>
        <v>-367.34693877551024</v>
      </c>
      <c r="F5" s="250">
        <f t="shared" ca="1" si="2"/>
        <v>372.70813877551024</v>
      </c>
      <c r="G5" s="198">
        <v>45245</v>
      </c>
      <c r="H5" s="195">
        <v>45343</v>
      </c>
      <c r="I5" s="201">
        <f t="shared" si="3"/>
        <v>98</v>
      </c>
      <c r="J5" s="204">
        <f>MATCH(G5,'DAILY EXTRAPOLATION'!C:C,1)</f>
        <v>1447</v>
      </c>
      <c r="K5" s="205">
        <f>MATCH(H5,'DAILY EXTRAPOLATION'!C:C,1)-1</f>
        <v>1544</v>
      </c>
      <c r="L5" s="215" t="str">
        <f t="shared" si="5"/>
        <v>'daily extrapolation'!$N$1447:$N$1544</v>
      </c>
      <c r="M5" s="49">
        <f t="shared" ca="1" si="4"/>
        <v>0</v>
      </c>
    </row>
    <row r="6" spans="1:14">
      <c r="A6" s="302">
        <v>45261</v>
      </c>
      <c r="B6" s="269">
        <v>94.646699999999996</v>
      </c>
      <c r="C6" s="51" t="s">
        <v>178</v>
      </c>
      <c r="D6" s="50">
        <f t="shared" ca="1" si="0"/>
        <v>495.60439560439562</v>
      </c>
      <c r="E6" s="51">
        <f t="shared" ca="1" si="1"/>
        <v>-395.60439560439562</v>
      </c>
      <c r="F6" s="270">
        <f t="shared" ca="1" si="2"/>
        <v>400.95769560439561</v>
      </c>
      <c r="G6" s="200">
        <f t="shared" ref="G6:G15" si="6">H3</f>
        <v>45280</v>
      </c>
      <c r="H6" s="197">
        <v>45371</v>
      </c>
      <c r="I6" s="203">
        <f t="shared" si="3"/>
        <v>91</v>
      </c>
      <c r="J6" s="208">
        <f>MATCH(G6,'DAILY EXTRAPOLATION'!C:C,1)</f>
        <v>1482</v>
      </c>
      <c r="K6" s="209">
        <f>MATCH(H6,'DAILY EXTRAPOLATION'!C:C,1)-1</f>
        <v>1572</v>
      </c>
      <c r="L6" s="218" t="str">
        <f t="shared" si="5"/>
        <v>'daily extrapolation'!$N$1482:$N$1572</v>
      </c>
      <c r="M6" s="212">
        <f t="shared" ca="1" si="4"/>
        <v>0</v>
      </c>
    </row>
    <row r="7" spans="1:14">
      <c r="A7" s="301">
        <v>45292</v>
      </c>
      <c r="B7" s="265">
        <v>94.651499999999999</v>
      </c>
      <c r="C7" s="41" t="s">
        <v>178</v>
      </c>
      <c r="D7" s="40">
        <f t="shared" ca="1" si="0"/>
        <v>495.60439560439562</v>
      </c>
      <c r="E7" s="41">
        <f t="shared" ca="1" si="1"/>
        <v>-395.60439560439562</v>
      </c>
      <c r="F7" s="271">
        <f t="shared" ca="1" si="2"/>
        <v>400.95289560439562</v>
      </c>
      <c r="G7" s="198">
        <f t="shared" si="6"/>
        <v>45308</v>
      </c>
      <c r="H7" s="195">
        <v>45399</v>
      </c>
      <c r="I7" s="201">
        <f t="shared" si="3"/>
        <v>91</v>
      </c>
      <c r="J7" s="204">
        <f>MATCH(G7,'DAILY EXTRAPOLATION'!C:C,1)</f>
        <v>1510</v>
      </c>
      <c r="K7" s="205">
        <f>MATCH(H7,'DAILY EXTRAPOLATION'!C:C,1)-1</f>
        <v>1600</v>
      </c>
      <c r="L7" s="215" t="str">
        <f t="shared" si="5"/>
        <v>'daily extrapolation'!$N$1510:$N$1600</v>
      </c>
      <c r="M7" s="49">
        <f t="shared" ca="1" si="4"/>
        <v>0</v>
      </c>
    </row>
    <row r="8" spans="1:14">
      <c r="A8" s="301">
        <v>45323</v>
      </c>
      <c r="B8" s="265">
        <v>94.653599999999997</v>
      </c>
      <c r="C8" s="41" t="s">
        <v>178</v>
      </c>
      <c r="D8" s="40">
        <f t="shared" ca="1" si="0"/>
        <v>528.57142857142856</v>
      </c>
      <c r="E8" s="41">
        <f t="shared" ca="1" si="1"/>
        <v>-428.57142857142856</v>
      </c>
      <c r="F8" s="271">
        <f t="shared" ca="1" si="2"/>
        <v>433.91782857142857</v>
      </c>
      <c r="G8" s="198">
        <f t="shared" si="6"/>
        <v>45343</v>
      </c>
      <c r="H8" s="195">
        <v>45427</v>
      </c>
      <c r="I8" s="201">
        <f t="shared" si="3"/>
        <v>84</v>
      </c>
      <c r="J8" s="204">
        <f>MATCH(G8,'DAILY EXTRAPOLATION'!C:C,1)</f>
        <v>1545</v>
      </c>
      <c r="K8" s="205">
        <f>MATCH(H8,'DAILY EXTRAPOLATION'!C:C,1)-1</f>
        <v>1628</v>
      </c>
      <c r="L8" s="215" t="str">
        <f t="shared" si="5"/>
        <v>'daily extrapolation'!$N$1545:$N$1628</v>
      </c>
      <c r="M8" s="49">
        <f t="shared" ca="1" si="4"/>
        <v>0</v>
      </c>
    </row>
    <row r="9" spans="1:14">
      <c r="A9" s="300">
        <v>45352</v>
      </c>
      <c r="B9" s="265">
        <v>94.646600000000007</v>
      </c>
      <c r="C9" s="34" t="s">
        <v>178</v>
      </c>
      <c r="D9" s="33">
        <f t="shared" ca="1" si="0"/>
        <v>491.30434782608694</v>
      </c>
      <c r="E9" s="34">
        <f t="shared" ca="1" si="1"/>
        <v>-391.30434782608694</v>
      </c>
      <c r="F9" s="273">
        <f t="shared" ca="1" si="2"/>
        <v>396.65774782608696</v>
      </c>
      <c r="G9" s="199">
        <f t="shared" si="6"/>
        <v>45371</v>
      </c>
      <c r="H9" s="196">
        <v>45463</v>
      </c>
      <c r="I9" s="187">
        <f t="shared" si="3"/>
        <v>92</v>
      </c>
      <c r="J9" s="206">
        <f>MATCH(G9,'DAILY EXTRAPOLATION'!C:C,1)</f>
        <v>1573</v>
      </c>
      <c r="K9" s="207">
        <f>MATCH(H9,'DAILY EXTRAPOLATION'!C:C,1)-1</f>
        <v>1664</v>
      </c>
      <c r="L9" s="216" t="str">
        <f t="shared" si="5"/>
        <v>'daily extrapolation'!$N$1573:$N$1664</v>
      </c>
      <c r="M9" s="217">
        <f t="shared" ca="1" si="4"/>
        <v>0</v>
      </c>
      <c r="N9" s="254" t="s">
        <v>176</v>
      </c>
    </row>
    <row r="10" spans="1:14">
      <c r="A10" s="301">
        <v>45383</v>
      </c>
      <c r="B10" s="265">
        <v>94.642700000000005</v>
      </c>
      <c r="C10" s="41" t="s">
        <v>178</v>
      </c>
      <c r="D10" s="40">
        <f t="shared" ca="1" si="0"/>
        <v>495.60439560439562</v>
      </c>
      <c r="E10" s="41">
        <f t="shared" ca="1" si="1"/>
        <v>-395.60439560439562</v>
      </c>
      <c r="F10" s="250">
        <f t="shared" ca="1" si="2"/>
        <v>400.96169560439563</v>
      </c>
      <c r="G10" s="198">
        <f t="shared" si="6"/>
        <v>45399</v>
      </c>
      <c r="H10" s="195">
        <v>45490</v>
      </c>
      <c r="I10" s="201">
        <f t="shared" si="3"/>
        <v>91</v>
      </c>
      <c r="J10" s="204">
        <f>MATCH(G10,'DAILY EXTRAPOLATION'!C:C,1)</f>
        <v>1601</v>
      </c>
      <c r="K10" s="205">
        <f>MATCH(H10,'DAILY EXTRAPOLATION'!C:C,1)-1</f>
        <v>1691</v>
      </c>
      <c r="L10" s="215" t="str">
        <f t="shared" si="5"/>
        <v>'daily extrapolation'!$N$1601:$N$1691</v>
      </c>
      <c r="M10" s="49">
        <f t="shared" ca="1" si="4"/>
        <v>0</v>
      </c>
    </row>
    <row r="11" spans="1:14">
      <c r="A11" s="301">
        <v>45413</v>
      </c>
      <c r="B11" s="265">
        <v>94.631100000000004</v>
      </c>
      <c r="C11" s="41" t="s">
        <v>178</v>
      </c>
      <c r="D11" s="40">
        <f t="shared" ca="1" si="0"/>
        <v>467.34693877551024</v>
      </c>
      <c r="E11" s="41">
        <f t="shared" ca="1" si="1"/>
        <v>-367.34693877551024</v>
      </c>
      <c r="F11" s="250">
        <f t="shared" ca="1" si="2"/>
        <v>372.71583877551024</v>
      </c>
      <c r="G11" s="198">
        <f t="shared" si="6"/>
        <v>45427</v>
      </c>
      <c r="H11" s="195">
        <v>45525</v>
      </c>
      <c r="I11" s="201">
        <f t="shared" si="3"/>
        <v>98</v>
      </c>
      <c r="J11" s="204">
        <f>MATCH(G11,'DAILY EXTRAPOLATION'!C:C,1)</f>
        <v>1629</v>
      </c>
      <c r="K11" s="205">
        <f>MATCH(H11,'DAILY EXTRAPOLATION'!C:C,1)-1</f>
        <v>1726</v>
      </c>
      <c r="L11" s="215" t="str">
        <f t="shared" si="5"/>
        <v>'daily extrapolation'!$N$1629:$N$1726</v>
      </c>
      <c r="M11" s="49">
        <f t="shared" ca="1" si="4"/>
        <v>0</v>
      </c>
    </row>
    <row r="12" spans="1:14">
      <c r="A12" s="300">
        <v>45444</v>
      </c>
      <c r="B12" s="265">
        <v>94.628799999999998</v>
      </c>
      <c r="C12" s="34" t="s">
        <v>178</v>
      </c>
      <c r="D12" s="33">
        <f t="shared" ca="1" si="0"/>
        <v>500</v>
      </c>
      <c r="E12" s="34">
        <f t="shared" ca="1" si="1"/>
        <v>-400</v>
      </c>
      <c r="F12" s="271">
        <f t="shared" ca="1" si="2"/>
        <v>405.37119999999999</v>
      </c>
      <c r="G12" s="199">
        <f t="shared" si="6"/>
        <v>45463</v>
      </c>
      <c r="H12" s="196">
        <v>45553</v>
      </c>
      <c r="I12" s="187">
        <f t="shared" si="3"/>
        <v>90</v>
      </c>
      <c r="J12" s="206">
        <f>MATCH(G12,'DAILY EXTRAPOLATION'!C:C,1)</f>
        <v>1665</v>
      </c>
      <c r="K12" s="207">
        <f>MATCH(H12,'DAILY EXTRAPOLATION'!C:C,1)-1</f>
        <v>1754</v>
      </c>
      <c r="L12" s="216" t="str">
        <f t="shared" si="5"/>
        <v>'daily extrapolation'!$N$1665:$N$1754</v>
      </c>
      <c r="M12" s="217">
        <f t="shared" ca="1" si="4"/>
        <v>0</v>
      </c>
      <c r="N12" s="254" t="s">
        <v>176</v>
      </c>
    </row>
    <row r="13" spans="1:14">
      <c r="A13" s="301">
        <v>45474</v>
      </c>
      <c r="B13" s="265">
        <v>94.774900000000002</v>
      </c>
      <c r="C13" s="41" t="s">
        <v>178</v>
      </c>
      <c r="D13" s="44">
        <f t="shared" ca="1" si="0"/>
        <v>495.60439560439562</v>
      </c>
      <c r="E13" s="45">
        <f t="shared" ca="1" si="1"/>
        <v>-395.60439560439562</v>
      </c>
      <c r="F13" s="250">
        <f t="shared" ca="1" si="2"/>
        <v>400.82949560439562</v>
      </c>
      <c r="G13" s="198">
        <f t="shared" si="6"/>
        <v>45490</v>
      </c>
      <c r="H13" s="195">
        <v>45581</v>
      </c>
      <c r="I13" s="201">
        <f t="shared" si="3"/>
        <v>91</v>
      </c>
      <c r="J13" s="204">
        <f>MATCH(G13,'DAILY EXTRAPOLATION'!C:C,1)</f>
        <v>1692</v>
      </c>
      <c r="K13" s="205">
        <f>MATCH(H13,'DAILY EXTRAPOLATION'!C:C,1)-1</f>
        <v>1782</v>
      </c>
      <c r="L13" s="215" t="str">
        <f t="shared" si="5"/>
        <v>'daily extrapolation'!$N$1692:$N$1782</v>
      </c>
      <c r="M13" s="49">
        <f t="shared" ca="1" si="4"/>
        <v>0</v>
      </c>
    </row>
    <row r="14" spans="1:14">
      <c r="A14" s="301">
        <v>45505</v>
      </c>
      <c r="B14" s="265">
        <v>95.004300000000001</v>
      </c>
      <c r="C14" s="41" t="s">
        <v>178</v>
      </c>
      <c r="D14" s="44">
        <f ca="1">100-E14</f>
        <v>495.60439560439562</v>
      </c>
      <c r="E14" s="45">
        <f ca="1">(M14-1)*(360/I14)*100</f>
        <v>-395.60439560439562</v>
      </c>
      <c r="F14" s="250">
        <f ca="1">D14-B14</f>
        <v>400.60009560439562</v>
      </c>
      <c r="G14" s="198">
        <f t="shared" si="6"/>
        <v>45525</v>
      </c>
      <c r="H14" s="195">
        <v>45616</v>
      </c>
      <c r="I14" s="201">
        <f>H14-G14</f>
        <v>91</v>
      </c>
      <c r="J14" s="204">
        <f>MATCH(G14,'DAILY EXTRAPOLATION'!C:C,1)</f>
        <v>1727</v>
      </c>
      <c r="K14" s="205">
        <f>MATCH(H14,'DAILY EXTRAPOLATION'!C:C,1)-1</f>
        <v>1817</v>
      </c>
      <c r="L14" s="215" t="str">
        <f t="shared" si="5"/>
        <v>'daily extrapolation'!$N$1727:$N$1817</v>
      </c>
      <c r="M14" s="49">
        <f ca="1">PRODUCT(INDIRECT(L14))</f>
        <v>0</v>
      </c>
    </row>
    <row r="15" spans="1:14">
      <c r="A15" s="300">
        <v>45536</v>
      </c>
      <c r="B15" s="265">
        <v>95.233800000000002</v>
      </c>
      <c r="C15" s="34" t="s">
        <v>178</v>
      </c>
      <c r="D15" s="33">
        <f ca="1">100-E15</f>
        <v>495.60439560439562</v>
      </c>
      <c r="E15" s="34">
        <f ca="1">(M15-1)*(360/I15)*100</f>
        <v>-395.60439560439562</v>
      </c>
      <c r="F15" s="251">
        <f ca="1">D15-B15</f>
        <v>400.37059560439559</v>
      </c>
      <c r="G15" s="199">
        <f t="shared" si="6"/>
        <v>45553</v>
      </c>
      <c r="H15" s="196">
        <v>45644</v>
      </c>
      <c r="I15" s="202">
        <f>H15-G15</f>
        <v>91</v>
      </c>
      <c r="J15" s="253">
        <f>MATCH(G15,'DAILY EXTRAPOLATION'!C:C,1)</f>
        <v>1755</v>
      </c>
      <c r="K15" s="207">
        <f>MATCH(H15,'DAILY EXTRAPOLATION'!C:C,1)-1</f>
        <v>1845</v>
      </c>
      <c r="L15" s="216" t="str">
        <f t="shared" si="5"/>
        <v>'daily extrapolation'!$N$1755:$N$1845</v>
      </c>
      <c r="M15" s="217">
        <f ca="1">PRODUCT(INDIRECT(L15))</f>
        <v>0</v>
      </c>
    </row>
    <row r="16" spans="1:14">
      <c r="A16" s="301">
        <v>45566</v>
      </c>
      <c r="B16" s="265">
        <v>95.390699999999995</v>
      </c>
      <c r="C16" s="41" t="s">
        <v>178</v>
      </c>
      <c r="D16" s="44">
        <f t="shared" ref="D16:D30" ca="1" si="7">100-E16</f>
        <v>495.60439560439562</v>
      </c>
      <c r="E16" s="45">
        <f t="shared" ref="E16:E30" ca="1" si="8">(M16-1)*(360/I16)*100</f>
        <v>-395.60439560439562</v>
      </c>
      <c r="F16" s="250">
        <f t="shared" ref="F16:F30" ca="1" si="9">D16-B16</f>
        <v>400.21369560439564</v>
      </c>
      <c r="G16" s="198">
        <f>H13</f>
        <v>45581</v>
      </c>
      <c r="H16" s="195">
        <v>45672</v>
      </c>
      <c r="I16" s="201">
        <f>H16-G16</f>
        <v>91</v>
      </c>
      <c r="J16" s="204">
        <f>MATCH(G16,'DAILY EXTRAPOLATION'!C:C,1)</f>
        <v>1783</v>
      </c>
      <c r="K16" s="205">
        <f>MATCH(H16,'DAILY EXTRAPOLATION'!C:C,1)-1</f>
        <v>1873</v>
      </c>
      <c r="L16" s="215" t="str">
        <f t="shared" si="5"/>
        <v>'daily extrapolation'!$N$1783:$N$1873</v>
      </c>
      <c r="M16" s="49">
        <f t="shared" ref="M16:M30" ca="1" si="10">PRODUCT(INDIRECT(L16))</f>
        <v>0</v>
      </c>
    </row>
    <row r="17" spans="1:13">
      <c r="A17" s="301">
        <v>45597</v>
      </c>
      <c r="B17" s="265">
        <v>95.552700000000002</v>
      </c>
      <c r="C17" s="41" t="s">
        <v>178</v>
      </c>
      <c r="D17" s="44">
        <f t="shared" ca="1" si="7"/>
        <v>495.60439560439562</v>
      </c>
      <c r="E17" s="45">
        <f t="shared" ca="1" si="8"/>
        <v>-395.60439560439562</v>
      </c>
      <c r="F17" s="255">
        <f t="shared" ca="1" si="9"/>
        <v>400.0516956043956</v>
      </c>
      <c r="G17" s="198">
        <f t="shared" ref="G17:G37" si="11">H14</f>
        <v>45616</v>
      </c>
      <c r="H17" s="195">
        <v>45707</v>
      </c>
      <c r="I17" s="201">
        <f>H17-G17</f>
        <v>91</v>
      </c>
      <c r="J17" s="226">
        <f>MATCH(G17,'DAILY EXTRAPOLATION'!C:C,1)</f>
        <v>1818</v>
      </c>
      <c r="K17" s="205">
        <f>MATCH(H17,'DAILY EXTRAPOLATION'!C:C,1)-1</f>
        <v>1908</v>
      </c>
      <c r="L17" s="215" t="str">
        <f t="shared" si="5"/>
        <v>'daily extrapolation'!$N$1818:$N$1908</v>
      </c>
      <c r="M17" s="256">
        <f t="shared" ca="1" si="10"/>
        <v>0</v>
      </c>
    </row>
    <row r="18" spans="1:13">
      <c r="A18" s="302">
        <v>45627</v>
      </c>
      <c r="B18" s="269">
        <v>95.634399999999999</v>
      </c>
      <c r="C18" s="51" t="s">
        <v>178</v>
      </c>
      <c r="D18" s="50">
        <f t="shared" ca="1" si="7"/>
        <v>495.60439560439562</v>
      </c>
      <c r="E18" s="51">
        <f t="shared" ca="1" si="8"/>
        <v>-395.60439560439562</v>
      </c>
      <c r="F18" s="252">
        <f t="shared" ca="1" si="9"/>
        <v>399.96999560439565</v>
      </c>
      <c r="G18" s="200">
        <f t="shared" si="11"/>
        <v>45644</v>
      </c>
      <c r="H18" s="197">
        <v>45735</v>
      </c>
      <c r="I18" s="203">
        <f>H18-G18</f>
        <v>91</v>
      </c>
      <c r="J18" s="208">
        <f>MATCH(G18,'DAILY EXTRAPOLATION'!C:C,1)</f>
        <v>1846</v>
      </c>
      <c r="K18" s="209">
        <f>MATCH(H18,'DAILY EXTRAPOLATION'!C:C,1)-1</f>
        <v>1936</v>
      </c>
      <c r="L18" s="218" t="str">
        <f t="shared" si="5"/>
        <v>'daily extrapolation'!$N$1846:$N$1936</v>
      </c>
      <c r="M18" s="212">
        <f t="shared" ca="1" si="10"/>
        <v>0</v>
      </c>
    </row>
    <row r="19" spans="1:13">
      <c r="A19" s="301">
        <v>45658</v>
      </c>
      <c r="B19" s="265">
        <v>95.638999999999996</v>
      </c>
      <c r="C19" s="41" t="s">
        <v>178</v>
      </c>
      <c r="D19" s="40">
        <f t="shared" ca="1" si="7"/>
        <v>495.60439560439562</v>
      </c>
      <c r="E19" s="41">
        <f t="shared" ca="1" si="8"/>
        <v>-395.60439560439562</v>
      </c>
      <c r="F19" s="250">
        <f t="shared" ca="1" si="9"/>
        <v>399.96539560439561</v>
      </c>
      <c r="G19" s="198">
        <f t="shared" si="11"/>
        <v>45672</v>
      </c>
      <c r="H19" s="195">
        <v>45763</v>
      </c>
      <c r="I19" s="201">
        <f t="shared" ref="I19:I30" si="12">H19-G19</f>
        <v>91</v>
      </c>
      <c r="J19" s="204">
        <f>MATCH(G19,'DAILY EXTRAPOLATION'!C:C,1)</f>
        <v>1874</v>
      </c>
      <c r="K19" s="205">
        <f>MATCH(H19,'DAILY EXTRAPOLATION'!C:C,1)-1</f>
        <v>1964</v>
      </c>
      <c r="L19" s="215" t="str">
        <f t="shared" si="5"/>
        <v>'daily extrapolation'!$N$1874:$N$1964</v>
      </c>
      <c r="M19" s="49">
        <f t="shared" ca="1" si="10"/>
        <v>0</v>
      </c>
    </row>
    <row r="20" spans="1:13">
      <c r="A20" s="301">
        <v>45689</v>
      </c>
      <c r="B20" s="265">
        <v>95.645499999999998</v>
      </c>
      <c r="C20" s="41" t="s">
        <v>178</v>
      </c>
      <c r="D20" s="40">
        <f t="shared" ca="1" si="7"/>
        <v>495.60439560439562</v>
      </c>
      <c r="E20" s="41">
        <f t="shared" ca="1" si="8"/>
        <v>-395.60439560439562</v>
      </c>
      <c r="F20" s="250">
        <f t="shared" ca="1" si="9"/>
        <v>399.95889560439559</v>
      </c>
      <c r="G20" s="198">
        <f>H17</f>
        <v>45707</v>
      </c>
      <c r="H20" s="195">
        <v>45798</v>
      </c>
      <c r="I20" s="201">
        <f t="shared" si="12"/>
        <v>91</v>
      </c>
      <c r="J20" s="204">
        <f>MATCH(G20,'DAILY EXTRAPOLATION'!C:C,1)</f>
        <v>1909</v>
      </c>
      <c r="K20" s="205">
        <f>MATCH(H20,'DAILY EXTRAPOLATION'!C:C,1)-1</f>
        <v>1999</v>
      </c>
      <c r="L20" s="215" t="str">
        <f t="shared" si="5"/>
        <v>'daily extrapolation'!$N$1909:$N$1999</v>
      </c>
      <c r="M20" s="49">
        <f t="shared" ca="1" si="10"/>
        <v>0</v>
      </c>
    </row>
    <row r="21" spans="1:13">
      <c r="A21" s="300">
        <v>45717</v>
      </c>
      <c r="B21" s="265">
        <v>95.657700000000006</v>
      </c>
      <c r="C21" s="34" t="s">
        <v>178</v>
      </c>
      <c r="D21" s="33">
        <f t="shared" ca="1" si="7"/>
        <v>495.60439560439562</v>
      </c>
      <c r="E21" s="34">
        <f t="shared" ca="1" si="8"/>
        <v>-395.60439560439562</v>
      </c>
      <c r="F21" s="251">
        <f t="shared" ca="1" si="9"/>
        <v>399.94669560439559</v>
      </c>
      <c r="G21" s="199">
        <f t="shared" si="11"/>
        <v>45735</v>
      </c>
      <c r="H21" s="196">
        <v>45826</v>
      </c>
      <c r="I21" s="277">
        <f t="shared" si="12"/>
        <v>91</v>
      </c>
      <c r="J21" s="206">
        <f>MATCH(G21,'DAILY EXTRAPOLATION'!C:C,1)</f>
        <v>1937</v>
      </c>
      <c r="K21" s="207">
        <f>MATCH(H21,'DAILY EXTRAPOLATION'!C:C,1)-1</f>
        <v>2027</v>
      </c>
      <c r="L21" s="216" t="str">
        <f t="shared" si="5"/>
        <v>'daily extrapolation'!$N$1937:$N$2027</v>
      </c>
      <c r="M21" s="217">
        <f t="shared" ca="1" si="10"/>
        <v>0</v>
      </c>
    </row>
    <row r="22" spans="1:13">
      <c r="A22" s="301">
        <v>45748</v>
      </c>
      <c r="B22" s="265">
        <v>95.658799999999999</v>
      </c>
      <c r="C22" s="41" t="s">
        <v>178</v>
      </c>
      <c r="D22" s="40">
        <f t="shared" ca="1" si="7"/>
        <v>495.60439560439562</v>
      </c>
      <c r="E22" s="41">
        <f t="shared" ca="1" si="8"/>
        <v>-395.60439560439562</v>
      </c>
      <c r="F22" s="250">
        <f t="shared" ca="1" si="9"/>
        <v>399.94559560439563</v>
      </c>
      <c r="G22" s="198">
        <f t="shared" si="11"/>
        <v>45763</v>
      </c>
      <c r="H22" s="195">
        <v>45854</v>
      </c>
      <c r="I22" s="201">
        <f t="shared" si="12"/>
        <v>91</v>
      </c>
      <c r="J22" s="204">
        <f>MATCH(G22,'DAILY EXTRAPOLATION'!C:C,1)</f>
        <v>1965</v>
      </c>
      <c r="K22" s="205">
        <f>MATCH(H22,'DAILY EXTRAPOLATION'!C:C,1)-1</f>
        <v>2055</v>
      </c>
      <c r="L22" s="215" t="str">
        <f t="shared" si="5"/>
        <v>'daily extrapolation'!$N$1965:$N$2055</v>
      </c>
      <c r="M22" s="49">
        <f t="shared" ca="1" si="10"/>
        <v>0</v>
      </c>
    </row>
    <row r="23" spans="1:13">
      <c r="A23" s="301">
        <v>45778</v>
      </c>
      <c r="B23" s="265">
        <v>95.6511</v>
      </c>
      <c r="C23" s="41" t="s">
        <v>178</v>
      </c>
      <c r="D23" s="40">
        <f t="shared" ca="1" si="7"/>
        <v>495.60439560439562</v>
      </c>
      <c r="E23" s="41">
        <f t="shared" ca="1" si="8"/>
        <v>-395.60439560439562</v>
      </c>
      <c r="F23" s="250">
        <f t="shared" ca="1" si="9"/>
        <v>399.95329560439563</v>
      </c>
      <c r="G23" s="198">
        <f t="shared" si="11"/>
        <v>45798</v>
      </c>
      <c r="H23" s="195">
        <v>45889</v>
      </c>
      <c r="I23" s="201">
        <f t="shared" si="12"/>
        <v>91</v>
      </c>
      <c r="J23" s="204">
        <f>MATCH(G23,'DAILY EXTRAPOLATION'!C:C,1)</f>
        <v>2000</v>
      </c>
      <c r="K23" s="205">
        <f>MATCH(H23,'DAILY EXTRAPOLATION'!C:C,1)-1</f>
        <v>2090</v>
      </c>
      <c r="L23" s="215" t="str">
        <f t="shared" si="5"/>
        <v>'daily extrapolation'!$N$2000:$N$2090</v>
      </c>
      <c r="M23" s="49">
        <f t="shared" ca="1" si="10"/>
        <v>0</v>
      </c>
    </row>
    <row r="24" spans="1:13">
      <c r="A24" s="300">
        <v>45809</v>
      </c>
      <c r="B24" s="33" t="e">
        <f>OUTPUT!#REF!</f>
        <v>#REF!</v>
      </c>
      <c r="C24" s="41" t="s">
        <v>178</v>
      </c>
      <c r="D24" s="33">
        <f t="shared" ca="1" si="7"/>
        <v>495.60439560439562</v>
      </c>
      <c r="E24" s="34">
        <f t="shared" ca="1" si="8"/>
        <v>-395.60439560439562</v>
      </c>
      <c r="F24" s="251" t="e">
        <f t="shared" ca="1" si="9"/>
        <v>#REF!</v>
      </c>
      <c r="G24" s="199">
        <f t="shared" si="11"/>
        <v>45826</v>
      </c>
      <c r="H24" s="196">
        <v>45917</v>
      </c>
      <c r="I24" s="277">
        <f t="shared" si="12"/>
        <v>91</v>
      </c>
      <c r="J24" s="206">
        <f>MATCH(G24,'DAILY EXTRAPOLATION'!C:C,1)</f>
        <v>2028</v>
      </c>
      <c r="K24" s="207">
        <f>MATCH(H24,'DAILY EXTRAPOLATION'!C:C,1)-1</f>
        <v>2118</v>
      </c>
      <c r="L24" s="216" t="str">
        <f t="shared" si="5"/>
        <v>'daily extrapolation'!$N$2028:$N$2118</v>
      </c>
      <c r="M24" s="217">
        <f t="shared" ca="1" si="10"/>
        <v>0</v>
      </c>
    </row>
    <row r="25" spans="1:13">
      <c r="A25" s="301">
        <v>45839</v>
      </c>
      <c r="B25" s="265">
        <v>95.678799999999995</v>
      </c>
      <c r="C25" s="41" t="s">
        <v>178</v>
      </c>
      <c r="D25" s="44">
        <f t="shared" ca="1" si="7"/>
        <v>495.60439560439562</v>
      </c>
      <c r="E25" s="45">
        <f t="shared" ca="1" si="8"/>
        <v>-395.60439560439562</v>
      </c>
      <c r="F25" s="250">
        <f t="shared" ca="1" si="9"/>
        <v>399.92559560439565</v>
      </c>
      <c r="G25" s="198">
        <f t="shared" si="11"/>
        <v>45854</v>
      </c>
      <c r="H25" s="195">
        <v>45945</v>
      </c>
      <c r="I25" s="201">
        <f t="shared" si="12"/>
        <v>91</v>
      </c>
      <c r="J25" s="204">
        <f>MATCH(G25,'DAILY EXTRAPOLATION'!C:C,1)</f>
        <v>2056</v>
      </c>
      <c r="K25" s="205">
        <f>MATCH(H25,'DAILY EXTRAPOLATION'!C:C,1)-1</f>
        <v>2146</v>
      </c>
      <c r="L25" s="215" t="str">
        <f t="shared" si="5"/>
        <v>'daily extrapolation'!$N$2056:$N$2146</v>
      </c>
      <c r="M25" s="49">
        <f t="shared" ca="1" si="10"/>
        <v>0</v>
      </c>
    </row>
    <row r="26" spans="1:13">
      <c r="A26" s="301">
        <v>45870</v>
      </c>
      <c r="B26" s="33" t="e">
        <f>OUTPUT!#REF!</f>
        <v>#REF!</v>
      </c>
      <c r="C26" s="41" t="s">
        <v>178</v>
      </c>
      <c r="D26" s="44">
        <f t="shared" ca="1" si="7"/>
        <v>495.60439560439562</v>
      </c>
      <c r="E26" s="45">
        <f t="shared" ca="1" si="8"/>
        <v>-395.60439560439562</v>
      </c>
      <c r="F26" s="250" t="e">
        <f t="shared" ca="1" si="9"/>
        <v>#REF!</v>
      </c>
      <c r="G26" s="198">
        <f t="shared" si="11"/>
        <v>45889</v>
      </c>
      <c r="H26" s="195">
        <v>45980</v>
      </c>
      <c r="I26" s="201">
        <f t="shared" si="12"/>
        <v>91</v>
      </c>
      <c r="J26" s="204">
        <f>MATCH(G26,'DAILY EXTRAPOLATION'!C:C,1)</f>
        <v>2091</v>
      </c>
      <c r="K26" s="205">
        <f>MATCH(H26,'DAILY EXTRAPOLATION'!C:C,1)-1</f>
        <v>2181</v>
      </c>
      <c r="L26" s="215" t="str">
        <f t="shared" si="5"/>
        <v>'daily extrapolation'!$N$2091:$N$2181</v>
      </c>
      <c r="M26" s="49">
        <f t="shared" ca="1" si="10"/>
        <v>0</v>
      </c>
    </row>
    <row r="27" spans="1:13">
      <c r="A27" s="301">
        <v>45901</v>
      </c>
      <c r="B27" s="265">
        <v>95.913399999999996</v>
      </c>
      <c r="C27" s="41" t="s">
        <v>178</v>
      </c>
      <c r="D27" s="33">
        <f t="shared" ca="1" si="7"/>
        <v>495.60439560439562</v>
      </c>
      <c r="E27" s="34">
        <f t="shared" ca="1" si="8"/>
        <v>-395.60439560439562</v>
      </c>
      <c r="F27" s="251">
        <f t="shared" ca="1" si="9"/>
        <v>399.69099560439565</v>
      </c>
      <c r="G27" s="199">
        <f t="shared" si="11"/>
        <v>45917</v>
      </c>
      <c r="H27" s="196">
        <v>46008</v>
      </c>
      <c r="I27" s="202">
        <f t="shared" si="12"/>
        <v>91</v>
      </c>
      <c r="J27" s="253">
        <f>MATCH(G27,'DAILY EXTRAPOLATION'!C:C,1)</f>
        <v>2119</v>
      </c>
      <c r="K27" s="207">
        <f>MATCH(H27,'DAILY EXTRAPOLATION'!C:C,1)-1</f>
        <v>2209</v>
      </c>
      <c r="L27" s="216" t="str">
        <f t="shared" si="5"/>
        <v>'daily extrapolation'!$N$2119:$N$2209</v>
      </c>
      <c r="M27" s="217">
        <f t="shared" ca="1" si="10"/>
        <v>0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467.34693877551024</v>
      </c>
      <c r="E28" s="45">
        <f t="shared" ca="1" si="8"/>
        <v>-367.34693877551024</v>
      </c>
      <c r="F28" s="250" t="e">
        <f t="shared" ca="1" si="9"/>
        <v>#REF!</v>
      </c>
      <c r="G28" s="198">
        <f t="shared" si="11"/>
        <v>45945</v>
      </c>
      <c r="H28" s="195">
        <v>46043</v>
      </c>
      <c r="I28" s="201">
        <f t="shared" si="12"/>
        <v>98</v>
      </c>
      <c r="J28" s="204">
        <f>MATCH(G28,'DAILY EXTRAPOLATION'!C:C,1)</f>
        <v>2147</v>
      </c>
      <c r="K28" s="205">
        <f>MATCH(H28,'DAILY EXTRAPOLATION'!C:C,1)-1</f>
        <v>2244</v>
      </c>
      <c r="L28" s="215" t="str">
        <f t="shared" si="5"/>
        <v>'daily extrapolation'!$N$2147:$N$2244</v>
      </c>
      <c r="M28" s="49">
        <f t="shared" ca="1" si="10"/>
        <v>0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495.60439560439562</v>
      </c>
      <c r="E29" s="45">
        <f t="shared" ca="1" si="8"/>
        <v>-395.60439560439562</v>
      </c>
      <c r="F29" s="255" t="e">
        <f t="shared" ca="1" si="9"/>
        <v>#REF!</v>
      </c>
      <c r="G29" s="198">
        <f t="shared" si="11"/>
        <v>45980</v>
      </c>
      <c r="H29" s="195">
        <v>46071</v>
      </c>
      <c r="I29" s="201">
        <f t="shared" si="12"/>
        <v>91</v>
      </c>
      <c r="J29" s="226">
        <f>MATCH(G29,'DAILY EXTRAPOLATION'!C:C,1)</f>
        <v>2182</v>
      </c>
      <c r="K29" s="205">
        <f>MATCH(H29,'DAILY EXTRAPOLATION'!C:C,1)-1</f>
        <v>2272</v>
      </c>
      <c r="L29" s="215" t="str">
        <f t="shared" si="5"/>
        <v>'daily extrapolation'!$N$2182:$N$2272</v>
      </c>
      <c r="M29" s="256">
        <f t="shared" ca="1" si="10"/>
        <v>0</v>
      </c>
    </row>
    <row r="30" spans="1:13">
      <c r="A30" s="43">
        <v>45992</v>
      </c>
      <c r="B30" s="360">
        <v>96.3108</v>
      </c>
      <c r="C30" s="51" t="s">
        <v>178</v>
      </c>
      <c r="D30" s="50">
        <f t="shared" ca="1" si="7"/>
        <v>495.60439560439562</v>
      </c>
      <c r="E30" s="51">
        <f t="shared" ca="1" si="8"/>
        <v>-395.60439560439562</v>
      </c>
      <c r="F30" s="270">
        <f t="shared" ca="1" si="9"/>
        <v>399.29359560439559</v>
      </c>
      <c r="G30" s="200">
        <f t="shared" si="11"/>
        <v>46008</v>
      </c>
      <c r="H30" s="197">
        <v>46099</v>
      </c>
      <c r="I30" s="203">
        <f t="shared" si="12"/>
        <v>91</v>
      </c>
      <c r="J30" s="208">
        <f>MATCH(G30,'DAILY EXTRAPOLATION'!C:C,1)</f>
        <v>2210</v>
      </c>
      <c r="K30" s="209">
        <f>MATCH(H30,'DAILY EXTRAPOLATION'!C:C,1)-1</f>
        <v>2300</v>
      </c>
      <c r="L30" s="218" t="str">
        <f t="shared" si="5"/>
        <v>'daily extrapolation'!$N$2210:$N$2300</v>
      </c>
      <c r="M30" s="212">
        <f t="shared" ca="1" si="10"/>
        <v>0</v>
      </c>
    </row>
    <row r="31" spans="1:13">
      <c r="A31" s="38">
        <v>46023</v>
      </c>
      <c r="B31" s="265">
        <v>96.333100000000002</v>
      </c>
      <c r="C31" s="41" t="s">
        <v>178</v>
      </c>
      <c r="D31" s="40">
        <f t="shared" ref="D31:D42" ca="1" si="13">100-E31</f>
        <v>528.57142857142856</v>
      </c>
      <c r="E31" s="41">
        <f t="shared" ref="E31:E42" ca="1" si="14">(M31-1)*(360/I31)*100</f>
        <v>-428.57142857142856</v>
      </c>
      <c r="F31" s="271">
        <f t="shared" ref="F31:F42" ca="1" si="15">D31-B31</f>
        <v>432.23832857142855</v>
      </c>
      <c r="G31" s="198">
        <f t="shared" si="11"/>
        <v>46043</v>
      </c>
      <c r="H31" s="195">
        <v>46127</v>
      </c>
      <c r="I31" s="201">
        <f t="shared" ref="I31:I42" si="16">H31-G31</f>
        <v>84</v>
      </c>
      <c r="J31" s="204">
        <f>MATCH(G31,'DAILY EXTRAPOLATION'!C:C,1)</f>
        <v>2245</v>
      </c>
      <c r="K31" s="205">
        <f>MATCH(H31,'DAILY EXTRAPOLATION'!C:C,1)-1</f>
        <v>2328</v>
      </c>
      <c r="L31" s="215" t="str">
        <f t="shared" si="5"/>
        <v>'daily extrapolation'!$N$2245:$N$2328</v>
      </c>
      <c r="M31" s="49">
        <f t="shared" ref="M31:M42" ca="1" si="17">PRODUCT(INDIRECT(L31))</f>
        <v>0</v>
      </c>
    </row>
    <row r="32" spans="1:13">
      <c r="A32" s="38">
        <v>46054</v>
      </c>
      <c r="B32" s="265">
        <v>96.346000000000004</v>
      </c>
      <c r="C32" s="41" t="s">
        <v>178</v>
      </c>
      <c r="D32" s="40">
        <f t="shared" ca="1" si="13"/>
        <v>495.60439560439562</v>
      </c>
      <c r="E32" s="41">
        <f t="shared" ca="1" si="14"/>
        <v>-395.60439560439562</v>
      </c>
      <c r="F32" s="271">
        <f ca="1">D32-B32</f>
        <v>399.25839560439562</v>
      </c>
      <c r="G32" s="198">
        <f t="shared" si="11"/>
        <v>46071</v>
      </c>
      <c r="H32" s="195">
        <v>46162</v>
      </c>
      <c r="I32" s="201">
        <f t="shared" si="16"/>
        <v>91</v>
      </c>
      <c r="J32" s="204">
        <f>MATCH(G32,'DAILY EXTRAPOLATION'!C:C,1)</f>
        <v>2273</v>
      </c>
      <c r="K32" s="205">
        <f>MATCH(H32,'DAILY EXTRAPOLATION'!C:C,1)-1</f>
        <v>2363</v>
      </c>
      <c r="L32" s="215" t="str">
        <f t="shared" si="5"/>
        <v>'daily extrapolation'!$N$2273:$N$2363</v>
      </c>
      <c r="M32" s="49">
        <f t="shared" ca="1" si="17"/>
        <v>0</v>
      </c>
    </row>
    <row r="33" spans="1:13">
      <c r="A33" s="32">
        <v>46082</v>
      </c>
      <c r="B33" s="265">
        <v>96.363600000000005</v>
      </c>
      <c r="C33" s="41" t="s">
        <v>178</v>
      </c>
      <c r="D33" s="33">
        <f t="shared" ca="1" si="13"/>
        <v>495.60439560439562</v>
      </c>
      <c r="E33" s="34">
        <f t="shared" ca="1" si="14"/>
        <v>-395.60439560439562</v>
      </c>
      <c r="F33" s="271">
        <f t="shared" ca="1" si="15"/>
        <v>399.2407956043956</v>
      </c>
      <c r="G33" s="199">
        <f t="shared" si="11"/>
        <v>46099</v>
      </c>
      <c r="H33" s="196">
        <v>46190</v>
      </c>
      <c r="I33" s="277">
        <f t="shared" si="16"/>
        <v>91</v>
      </c>
      <c r="J33" s="253">
        <f>MATCH(G33,'DAILY EXTRAPOLATION'!C:C,1)</f>
        <v>2301</v>
      </c>
      <c r="K33" s="207">
        <f>MATCH(H33,'DAILY EXTRAPOLATION'!C:C,1)-1</f>
        <v>2391</v>
      </c>
      <c r="L33" s="216" t="str">
        <f>_xlfn.CONCAT(ADDRESS(J33,14,1,1,"daily extrapolation"),":",ADDRESS(K33,14))</f>
        <v>'daily extrapolation'!$N$2301:$N$2391</v>
      </c>
      <c r="M33" s="217">
        <f t="shared" ca="1" si="17"/>
        <v>0</v>
      </c>
    </row>
    <row r="34" spans="1:13">
      <c r="A34" s="38">
        <v>46113</v>
      </c>
      <c r="B34" s="265">
        <v>96.368799999999993</v>
      </c>
      <c r="C34" s="41" t="s">
        <v>178</v>
      </c>
      <c r="D34" s="40">
        <f t="shared" ca="1" si="13"/>
        <v>495.60439560439562</v>
      </c>
      <c r="E34" s="41">
        <f t="shared" ca="1" si="14"/>
        <v>-395.60439560439562</v>
      </c>
      <c r="F34" s="250">
        <f t="shared" ca="1" si="15"/>
        <v>399.2355956043956</v>
      </c>
      <c r="G34" s="198">
        <f t="shared" si="11"/>
        <v>46127</v>
      </c>
      <c r="H34" s="195">
        <v>46218</v>
      </c>
      <c r="I34" s="201">
        <f t="shared" si="16"/>
        <v>91</v>
      </c>
      <c r="J34" s="204">
        <f>MATCH(G34,'DAILY EXTRAPOLATION'!C:C,1)</f>
        <v>2329</v>
      </c>
      <c r="K34" s="205">
        <f>MATCH(H34,'DAILY EXTRAPOLATION'!C:C,1)-1</f>
        <v>2419</v>
      </c>
      <c r="L34" s="215" t="str">
        <f t="shared" si="5"/>
        <v>'daily extrapolation'!$N$2329:$N$2419</v>
      </c>
      <c r="M34" s="49">
        <f t="shared" ca="1" si="17"/>
        <v>0</v>
      </c>
    </row>
    <row r="35" spans="1:13">
      <c r="A35" s="38">
        <v>46143</v>
      </c>
      <c r="B35" s="265">
        <v>96.364099999999993</v>
      </c>
      <c r="C35" s="41" t="s">
        <v>178</v>
      </c>
      <c r="D35" s="40">
        <f t="shared" ca="1" si="13"/>
        <v>495.60439560439562</v>
      </c>
      <c r="E35" s="41">
        <f t="shared" ca="1" si="14"/>
        <v>-395.60439560439562</v>
      </c>
      <c r="F35" s="250">
        <f t="shared" ca="1" si="15"/>
        <v>399.24029560439561</v>
      </c>
      <c r="G35" s="198">
        <f t="shared" si="11"/>
        <v>46162</v>
      </c>
      <c r="H35" s="195">
        <v>46253</v>
      </c>
      <c r="I35" s="201">
        <f t="shared" si="16"/>
        <v>91</v>
      </c>
      <c r="J35" s="204">
        <f>MATCH(G35,'DAILY EXTRAPOLATION'!C:C,1)</f>
        <v>2364</v>
      </c>
      <c r="K35" s="205">
        <f>MATCH(H35,'DAILY EXTRAPOLATION'!C:C,1)-1</f>
        <v>2454</v>
      </c>
      <c r="L35" s="215" t="str">
        <f t="shared" si="5"/>
        <v>'daily extrapolation'!$N$2364:$N$2454</v>
      </c>
      <c r="M35" s="49">
        <f t="shared" ca="1" si="17"/>
        <v>0</v>
      </c>
    </row>
    <row r="36" spans="1:13">
      <c r="A36" s="32">
        <v>46174</v>
      </c>
      <c r="B36" s="265">
        <v>96.353700000000003</v>
      </c>
      <c r="C36" s="41" t="s">
        <v>178</v>
      </c>
      <c r="D36" s="33">
        <f t="shared" ca="1" si="13"/>
        <v>495.60439560439562</v>
      </c>
      <c r="E36" s="34">
        <f t="shared" ca="1" si="14"/>
        <v>-395.60439560439562</v>
      </c>
      <c r="F36" s="251">
        <f t="shared" ca="1" si="15"/>
        <v>399.25069560439562</v>
      </c>
      <c r="G36" s="199">
        <f t="shared" si="11"/>
        <v>46190</v>
      </c>
      <c r="H36" s="196">
        <v>46281</v>
      </c>
      <c r="I36" s="277">
        <f t="shared" si="16"/>
        <v>91</v>
      </c>
      <c r="J36" s="206">
        <f>MATCH(G36,'DAILY EXTRAPOLATION'!C:C,1)</f>
        <v>2392</v>
      </c>
      <c r="K36" s="207">
        <f>MATCH(H36,'DAILY EXTRAPOLATION'!C:C,1)-1</f>
        <v>2482</v>
      </c>
      <c r="L36" s="216" t="str">
        <f t="shared" si="5"/>
        <v>'daily extrapolation'!$N$2392:$N$2482</v>
      </c>
      <c r="M36" s="217">
        <f t="shared" ca="1" si="17"/>
        <v>0</v>
      </c>
    </row>
    <row r="37" spans="1:13">
      <c r="A37" s="38">
        <f>+OUTPUT!A3</f>
        <v>46204</v>
      </c>
      <c r="B37" s="40" t="str">
        <f>OUTPUT!H3</f>
        <v>-</v>
      </c>
      <c r="C37" s="41" t="e">
        <f>OUTPUT!I3</f>
        <v>#VALUE!</v>
      </c>
      <c r="D37" s="44">
        <f t="shared" ca="1" si="13"/>
        <v>467.34693877551024</v>
      </c>
      <c r="E37" s="45">
        <f t="shared" ca="1" si="14"/>
        <v>-367.34693877551024</v>
      </c>
      <c r="F37" s="250" t="e">
        <f t="shared" ca="1" si="15"/>
        <v>#VALUE!</v>
      </c>
      <c r="G37" s="198">
        <f t="shared" si="11"/>
        <v>46218</v>
      </c>
      <c r="H37" s="195">
        <v>46316</v>
      </c>
      <c r="I37" s="201">
        <f t="shared" si="16"/>
        <v>98</v>
      </c>
      <c r="J37" s="204">
        <f>MATCH(G37,'DAILY EXTRAPOLATION'!C:C,1)</f>
        <v>2420</v>
      </c>
      <c r="K37" s="205">
        <f>MATCH(H37,'DAILY EXTRAPOLATION'!C:C,1)-1</f>
        <v>2517</v>
      </c>
      <c r="L37" s="215" t="str">
        <f t="shared" si="5"/>
        <v>'daily extrapolation'!$N$2420:$N$2517</v>
      </c>
      <c r="M37" s="49">
        <f t="shared" ca="1" si="17"/>
        <v>0</v>
      </c>
    </row>
    <row r="38" spans="1:13">
      <c r="A38" s="38">
        <f>+OUTPUT!A4</f>
        <v>46235</v>
      </c>
      <c r="B38" s="40">
        <f>OUTPUT!H4</f>
        <v>96.165000000000006</v>
      </c>
      <c r="C38" s="41">
        <f>OUTPUT!I4</f>
        <v>3.8349999999999937</v>
      </c>
      <c r="D38" s="44">
        <f t="shared" ca="1" si="13"/>
        <v>495.60439560439562</v>
      </c>
      <c r="E38" s="45">
        <f t="shared" ca="1" si="14"/>
        <v>-395.60439560439562</v>
      </c>
      <c r="F38" s="250">
        <f t="shared" ca="1" si="15"/>
        <v>399.4393956043956</v>
      </c>
      <c r="G38" s="198">
        <f t="shared" ref="G38:G42" si="18">H35</f>
        <v>46253</v>
      </c>
      <c r="H38" s="195">
        <v>46344</v>
      </c>
      <c r="I38" s="201">
        <f t="shared" si="16"/>
        <v>91</v>
      </c>
      <c r="J38" s="204">
        <f>MATCH(G38,'DAILY EXTRAPOLATION'!C:C,1)</f>
        <v>2455</v>
      </c>
      <c r="K38" s="205">
        <f>MATCH(H38,'DAILY EXTRAPOLATION'!C:C,1)-1</f>
        <v>2545</v>
      </c>
      <c r="L38" s="215" t="str">
        <f t="shared" si="5"/>
        <v>'daily extrapolation'!$N$2455:$N$2545</v>
      </c>
      <c r="M38" s="49">
        <f t="shared" ca="1" si="17"/>
        <v>0</v>
      </c>
    </row>
    <row r="39" spans="1:13">
      <c r="A39" s="32">
        <f>+OUTPUT!A5</f>
        <v>46266</v>
      </c>
      <c r="B39" s="33">
        <f>OUTPUT!H5</f>
        <v>96.0625</v>
      </c>
      <c r="C39" s="34">
        <f>OUTPUT!I5</f>
        <v>3.9375</v>
      </c>
      <c r="D39" s="33">
        <f t="shared" ca="1" si="13"/>
        <v>495.60439560439562</v>
      </c>
      <c r="E39" s="34">
        <f t="shared" ca="1" si="14"/>
        <v>-395.60439560439562</v>
      </c>
      <c r="F39" s="251">
        <f t="shared" ca="1" si="15"/>
        <v>399.54189560439562</v>
      </c>
      <c r="G39" s="199">
        <f t="shared" si="18"/>
        <v>46281</v>
      </c>
      <c r="H39" s="196">
        <v>46372</v>
      </c>
      <c r="I39" s="202">
        <f t="shared" si="16"/>
        <v>91</v>
      </c>
      <c r="J39" s="253">
        <f>MATCH(G39,'DAILY EXTRAPOLATION'!C:C,1)</f>
        <v>2483</v>
      </c>
      <c r="K39" s="207">
        <f>MATCH(H39,'DAILY EXTRAPOLATION'!C:C,1)-1</f>
        <v>2573</v>
      </c>
      <c r="L39" s="216" t="str">
        <f t="shared" si="5"/>
        <v>'daily extrapolation'!$N$2483:$N$2573</v>
      </c>
      <c r="M39" s="217">
        <f t="shared" ca="1" si="17"/>
        <v>0</v>
      </c>
    </row>
    <row r="40" spans="1:13">
      <c r="A40" s="38">
        <f>+OUTPUT!A6</f>
        <v>46296</v>
      </c>
      <c r="B40" s="40">
        <f>OUTPUT!H6</f>
        <v>95.965000000000003</v>
      </c>
      <c r="C40" s="41">
        <f>OUTPUT!I6</f>
        <v>4.0349999999999966</v>
      </c>
      <c r="D40" s="44">
        <f t="shared" ca="1" si="13"/>
        <v>495.60439560439562</v>
      </c>
      <c r="E40" s="45">
        <f t="shared" ca="1" si="14"/>
        <v>-395.60439560439562</v>
      </c>
      <c r="F40" s="250">
        <f t="shared" ca="1" si="15"/>
        <v>399.63939560439565</v>
      </c>
      <c r="G40" s="198">
        <f t="shared" si="18"/>
        <v>46316</v>
      </c>
      <c r="H40" s="195">
        <v>46407</v>
      </c>
      <c r="I40" s="201">
        <f t="shared" si="16"/>
        <v>91</v>
      </c>
      <c r="J40" s="204">
        <f>MATCH(G40,'DAILY EXTRAPOLATION'!C:C,1)</f>
        <v>2518</v>
      </c>
      <c r="K40" s="205">
        <f>MATCH(H40,'DAILY EXTRAPOLATION'!C:C,1)-1</f>
        <v>2608</v>
      </c>
      <c r="L40" s="215" t="str">
        <f t="shared" si="5"/>
        <v>'daily extrapolation'!$N$2518:$N$2608</v>
      </c>
      <c r="M40" s="49">
        <f t="shared" ca="1" si="17"/>
        <v>0</v>
      </c>
    </row>
    <row r="41" spans="1:13">
      <c r="A41" s="38">
        <f>+OUTPUT!A7</f>
        <v>46327</v>
      </c>
      <c r="B41" s="40">
        <f>OUTPUT!H7</f>
        <v>95.877499999999998</v>
      </c>
      <c r="C41" s="41">
        <f>OUTPUT!I7</f>
        <v>4.1225000000000023</v>
      </c>
      <c r="D41" s="44">
        <f t="shared" ca="1" si="13"/>
        <v>495.60439560439562</v>
      </c>
      <c r="E41" s="45">
        <f t="shared" ca="1" si="14"/>
        <v>-395.60439560439562</v>
      </c>
      <c r="F41" s="255">
        <f t="shared" ca="1" si="15"/>
        <v>399.72689560439562</v>
      </c>
      <c r="G41" s="198">
        <f t="shared" si="18"/>
        <v>46344</v>
      </c>
      <c r="H41" s="195">
        <v>46435</v>
      </c>
      <c r="I41" s="201">
        <f t="shared" si="16"/>
        <v>91</v>
      </c>
      <c r="J41" s="226">
        <f>MATCH(G41,'DAILY EXTRAPOLATION'!C:C,1)</f>
        <v>2546</v>
      </c>
      <c r="K41" s="205">
        <f>MATCH(H41,'DAILY EXTRAPOLATION'!C:C,1)-1</f>
        <v>2636</v>
      </c>
      <c r="L41" s="215" t="str">
        <f t="shared" si="5"/>
        <v>'daily extrapolation'!$N$2546:$N$2636</v>
      </c>
      <c r="M41" s="256">
        <f t="shared" ca="1" si="17"/>
        <v>0</v>
      </c>
    </row>
    <row r="42" spans="1:13">
      <c r="A42" s="43">
        <f>+OUTPUT!A8</f>
        <v>46357</v>
      </c>
      <c r="B42" s="50">
        <f>OUTPUT!H8</f>
        <v>95.795000000000002</v>
      </c>
      <c r="C42" s="51">
        <f>OUTPUT!I8</f>
        <v>4.2049999999999983</v>
      </c>
      <c r="D42" s="50">
        <f t="shared" ca="1" si="13"/>
        <v>495.60439560439562</v>
      </c>
      <c r="E42" s="51">
        <f t="shared" ca="1" si="14"/>
        <v>-395.60439560439562</v>
      </c>
      <c r="F42" s="252">
        <f t="shared" ca="1" si="15"/>
        <v>399.8093956043956</v>
      </c>
      <c r="G42" s="200">
        <f t="shared" si="18"/>
        <v>46372</v>
      </c>
      <c r="H42" s="197">
        <v>46463</v>
      </c>
      <c r="I42" s="203">
        <f t="shared" si="16"/>
        <v>91</v>
      </c>
      <c r="J42" s="208">
        <f>MATCH(G42,'DAILY EXTRAPOLATION'!C:C,1)</f>
        <v>2574</v>
      </c>
      <c r="K42" s="209">
        <f>MATCH(H42,'DAILY EXTRAPOLATION'!C:C,1)-1</f>
        <v>2664</v>
      </c>
      <c r="L42" s="218" t="str">
        <f t="shared" si="5"/>
        <v>'daily extrapolation'!$N$2574:$N$2664</v>
      </c>
      <c r="M42" s="212">
        <f t="shared" ca="1" si="17"/>
        <v>0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49" t="s">
        <v>128</v>
      </c>
      <c r="H46" s="449"/>
      <c r="I46" s="449"/>
      <c r="J46" s="449"/>
      <c r="K46" s="449"/>
    </row>
    <row r="47" spans="1:13" ht="30" customHeight="1">
      <c r="G47" s="449"/>
      <c r="H47" s="449"/>
      <c r="I47" s="449"/>
      <c r="J47" s="449"/>
      <c r="K47" s="449"/>
    </row>
    <row r="48" spans="1:13" ht="30" customHeight="1">
      <c r="G48" s="449"/>
      <c r="H48" s="449"/>
      <c r="I48" s="449"/>
      <c r="J48" s="449"/>
      <c r="K48" s="449"/>
    </row>
    <row r="49" spans="7:11" ht="30" customHeight="1">
      <c r="G49" s="449"/>
      <c r="H49" s="449"/>
      <c r="I49" s="449"/>
      <c r="J49" s="449"/>
      <c r="K49" s="449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K100"/>
  <sheetViews>
    <sheetView zoomScale="75" zoomScaleNormal="75" workbookViewId="0">
      <selection activeCell="N12" sqref="N12"/>
    </sheetView>
  </sheetViews>
  <sheetFormatPr defaultColWidth="19.625" defaultRowHeight="15" customHeight="1"/>
  <cols>
    <col min="1" max="1" width="19.625" style="17"/>
    <col min="2" max="2" width="13.75" style="17" bestFit="1" customWidth="1"/>
    <col min="3" max="3" width="12.125" style="17" bestFit="1" customWidth="1"/>
    <col min="4" max="4" width="18.75" style="17" bestFit="1" customWidth="1"/>
    <col min="5" max="5" width="13.75" style="17" bestFit="1" customWidth="1"/>
    <col min="6" max="6" width="17.875" style="17" customWidth="1"/>
    <col min="7" max="13" width="14" style="17" customWidth="1"/>
    <col min="14" max="16384" width="19.625" style="17"/>
  </cols>
  <sheetData>
    <row r="1" spans="1:11" ht="15" customHeight="1">
      <c r="A1" s="61" t="s">
        <v>41</v>
      </c>
    </row>
    <row r="2" spans="1:11" ht="15" customHeight="1">
      <c r="A2" s="61" t="s">
        <v>42</v>
      </c>
    </row>
    <row r="4" spans="1:11" ht="15" customHeight="1">
      <c r="A4" s="14" t="s">
        <v>147</v>
      </c>
      <c r="B4" s="14"/>
      <c r="C4" s="14"/>
      <c r="D4" s="14" t="s">
        <v>223</v>
      </c>
      <c r="E4" s="118"/>
      <c r="G4" s="438" t="s">
        <v>23</v>
      </c>
      <c r="H4" s="438" t="s">
        <v>0</v>
      </c>
      <c r="J4" s="221" t="s">
        <v>66</v>
      </c>
      <c r="K4" s="221" t="s">
        <v>148</v>
      </c>
    </row>
    <row r="5" spans="1:11" ht="15" customHeight="1">
      <c r="A5" s="395" t="s">
        <v>46</v>
      </c>
      <c r="B5" s="396">
        <v>44197</v>
      </c>
      <c r="D5" s="427" t="s">
        <v>10</v>
      </c>
      <c r="E5" s="428" t="s">
        <v>123</v>
      </c>
      <c r="F5" s="99">
        <v>2021</v>
      </c>
      <c r="G5" s="434">
        <v>0</v>
      </c>
      <c r="H5" s="94" t="s">
        <v>1</v>
      </c>
      <c r="J5" s="210">
        <v>1</v>
      </c>
      <c r="K5" s="437">
        <v>31</v>
      </c>
    </row>
    <row r="6" spans="1:11" ht="15" customHeight="1">
      <c r="A6" s="220" t="s">
        <v>45</v>
      </c>
      <c r="B6" s="397">
        <v>44214</v>
      </c>
      <c r="D6" s="429" t="s">
        <v>130</v>
      </c>
      <c r="E6" s="430"/>
      <c r="G6" s="434">
        <v>1</v>
      </c>
      <c r="H6" s="94" t="s">
        <v>2</v>
      </c>
      <c r="J6" s="434">
        <f>J5+1</f>
        <v>2</v>
      </c>
      <c r="K6" s="94">
        <v>28</v>
      </c>
    </row>
    <row r="7" spans="1:11" ht="15" customHeight="1">
      <c r="A7" s="220" t="s">
        <v>47</v>
      </c>
      <c r="B7" s="397">
        <v>44242</v>
      </c>
      <c r="D7" s="429" t="s">
        <v>138</v>
      </c>
      <c r="E7" s="430" t="s">
        <v>143</v>
      </c>
      <c r="G7" s="434">
        <v>2</v>
      </c>
      <c r="H7" s="94" t="s">
        <v>3</v>
      </c>
      <c r="J7" s="434">
        <f t="shared" ref="J7:J16" si="0">J6+1</f>
        <v>3</v>
      </c>
      <c r="K7" s="94">
        <v>31</v>
      </c>
    </row>
    <row r="8" spans="1:11" ht="15" customHeight="1">
      <c r="A8" s="400" t="s">
        <v>189</v>
      </c>
      <c r="B8" s="401">
        <v>44288</v>
      </c>
      <c r="D8" s="429" t="s">
        <v>12</v>
      </c>
      <c r="E8" s="430" t="s">
        <v>131</v>
      </c>
      <c r="G8" s="434">
        <v>3</v>
      </c>
      <c r="H8" s="94" t="s">
        <v>4</v>
      </c>
      <c r="J8" s="434">
        <f t="shared" si="0"/>
        <v>4</v>
      </c>
      <c r="K8" s="94">
        <v>30</v>
      </c>
    </row>
    <row r="9" spans="1:11" ht="15" customHeight="1">
      <c r="A9" s="220" t="s">
        <v>48</v>
      </c>
      <c r="B9" s="397">
        <v>44347</v>
      </c>
      <c r="D9" s="429" t="s">
        <v>122</v>
      </c>
      <c r="E9" s="430"/>
      <c r="G9" s="434">
        <v>4</v>
      </c>
      <c r="H9" s="94" t="s">
        <v>5</v>
      </c>
      <c r="J9" s="434">
        <f t="shared" si="0"/>
        <v>5</v>
      </c>
      <c r="K9" s="94">
        <v>31</v>
      </c>
    </row>
    <row r="10" spans="1:11" ht="15" customHeight="1">
      <c r="A10" s="220" t="s">
        <v>120</v>
      </c>
      <c r="B10" s="397" t="s">
        <v>119</v>
      </c>
      <c r="D10" s="429" t="s">
        <v>139</v>
      </c>
      <c r="E10" s="430" t="s">
        <v>132</v>
      </c>
      <c r="G10" s="434">
        <v>5</v>
      </c>
      <c r="H10" s="94" t="s">
        <v>6</v>
      </c>
      <c r="J10" s="434">
        <f t="shared" si="0"/>
        <v>6</v>
      </c>
      <c r="K10" s="94">
        <v>30</v>
      </c>
    </row>
    <row r="11" spans="1:11" ht="15" customHeight="1">
      <c r="A11" s="220" t="s">
        <v>49</v>
      </c>
      <c r="B11" s="397">
        <v>44382</v>
      </c>
      <c r="D11" s="429" t="s">
        <v>13</v>
      </c>
      <c r="E11" s="430" t="s">
        <v>131</v>
      </c>
      <c r="G11" s="435">
        <v>6</v>
      </c>
      <c r="H11" s="436" t="s">
        <v>7</v>
      </c>
      <c r="J11" s="434">
        <f t="shared" si="0"/>
        <v>7</v>
      </c>
      <c r="K11" s="94">
        <v>31</v>
      </c>
    </row>
    <row r="12" spans="1:11" ht="15" customHeight="1">
      <c r="A12" s="220" t="s">
        <v>50</v>
      </c>
      <c r="B12" s="397">
        <v>44445</v>
      </c>
      <c r="D12" s="429" t="s">
        <v>133</v>
      </c>
      <c r="E12" s="430"/>
      <c r="J12" s="434">
        <f t="shared" si="0"/>
        <v>8</v>
      </c>
      <c r="K12" s="94">
        <v>31</v>
      </c>
    </row>
    <row r="13" spans="1:11" ht="15" customHeight="1">
      <c r="A13" s="220" t="s">
        <v>55</v>
      </c>
      <c r="B13" s="397">
        <v>44480</v>
      </c>
      <c r="D13" s="429" t="s">
        <v>140</v>
      </c>
      <c r="E13" s="430" t="s">
        <v>134</v>
      </c>
      <c r="J13" s="434">
        <f t="shared" si="0"/>
        <v>9</v>
      </c>
      <c r="K13" s="94">
        <v>30</v>
      </c>
    </row>
    <row r="14" spans="1:11" ht="15" customHeight="1">
      <c r="A14" s="220" t="s">
        <v>54</v>
      </c>
      <c r="B14" s="397">
        <v>44511</v>
      </c>
      <c r="D14" s="429" t="s">
        <v>135</v>
      </c>
      <c r="E14" s="94"/>
      <c r="J14" s="434">
        <f t="shared" si="0"/>
        <v>10</v>
      </c>
      <c r="K14" s="94">
        <v>31</v>
      </c>
    </row>
    <row r="15" spans="1:11" ht="15" customHeight="1">
      <c r="A15" s="220" t="s">
        <v>51</v>
      </c>
      <c r="B15" s="397">
        <v>44525</v>
      </c>
      <c r="D15" s="429" t="s">
        <v>14</v>
      </c>
      <c r="E15" s="431" t="s">
        <v>137</v>
      </c>
      <c r="J15" s="434">
        <f t="shared" si="0"/>
        <v>11</v>
      </c>
      <c r="K15" s="94">
        <v>30</v>
      </c>
    </row>
    <row r="16" spans="1:11" ht="15" customHeight="1">
      <c r="A16" s="398" t="s">
        <v>52</v>
      </c>
      <c r="B16" s="399">
        <v>44554</v>
      </c>
      <c r="D16" s="432" t="s">
        <v>141</v>
      </c>
      <c r="E16" s="433" t="s">
        <v>136</v>
      </c>
      <c r="J16" s="435">
        <f t="shared" si="0"/>
        <v>12</v>
      </c>
      <c r="K16" s="436">
        <v>31</v>
      </c>
    </row>
    <row r="17" spans="1:9" ht="15" customHeight="1">
      <c r="A17" s="395" t="s">
        <v>46</v>
      </c>
      <c r="B17" s="396" t="s">
        <v>119</v>
      </c>
      <c r="D17" s="427" t="s">
        <v>10</v>
      </c>
      <c r="E17" s="428" t="s">
        <v>121</v>
      </c>
      <c r="F17" s="99">
        <v>2022</v>
      </c>
    </row>
    <row r="18" spans="1:9" ht="15" customHeight="1">
      <c r="A18" s="220" t="s">
        <v>45</v>
      </c>
      <c r="B18" s="397">
        <v>44578</v>
      </c>
      <c r="C18" s="303"/>
      <c r="D18" s="429" t="s">
        <v>130</v>
      </c>
      <c r="E18" s="430"/>
    </row>
    <row r="19" spans="1:9" ht="15" customHeight="1">
      <c r="A19" s="220" t="s">
        <v>47</v>
      </c>
      <c r="B19" s="397">
        <v>44613</v>
      </c>
      <c r="D19" s="429" t="s">
        <v>138</v>
      </c>
      <c r="E19" s="430" t="s">
        <v>132</v>
      </c>
    </row>
    <row r="20" spans="1:9" ht="15" customHeight="1">
      <c r="A20" s="400" t="s">
        <v>189</v>
      </c>
      <c r="B20" s="401">
        <v>44666</v>
      </c>
      <c r="D20" s="429" t="s">
        <v>12</v>
      </c>
      <c r="E20" s="430"/>
    </row>
    <row r="21" spans="1:9" ht="15" customHeight="1">
      <c r="A21" s="220" t="s">
        <v>48</v>
      </c>
      <c r="B21" s="397">
        <v>44711</v>
      </c>
      <c r="D21" s="429" t="s">
        <v>122</v>
      </c>
      <c r="E21" s="430" t="s">
        <v>124</v>
      </c>
    </row>
    <row r="22" spans="1:9" ht="15" customHeight="1">
      <c r="A22" s="220" t="s">
        <v>120</v>
      </c>
      <c r="B22" s="397">
        <v>44732</v>
      </c>
      <c r="D22" s="429" t="s">
        <v>139</v>
      </c>
      <c r="E22" s="430" t="s">
        <v>136</v>
      </c>
    </row>
    <row r="23" spans="1:9" ht="15" customHeight="1">
      <c r="A23" s="220" t="s">
        <v>49</v>
      </c>
      <c r="B23" s="397">
        <v>44746</v>
      </c>
      <c r="D23" s="429" t="s">
        <v>13</v>
      </c>
      <c r="E23" s="430" t="s">
        <v>123</v>
      </c>
    </row>
    <row r="24" spans="1:9" ht="15" customHeight="1">
      <c r="A24" s="220" t="s">
        <v>50</v>
      </c>
      <c r="B24" s="397">
        <v>44809</v>
      </c>
      <c r="D24" s="429" t="s">
        <v>133</v>
      </c>
      <c r="E24" s="430"/>
    </row>
    <row r="25" spans="1:9" ht="15" customHeight="1">
      <c r="A25" s="220" t="s">
        <v>55</v>
      </c>
      <c r="B25" s="397">
        <v>44844</v>
      </c>
      <c r="D25" s="429" t="s">
        <v>140</v>
      </c>
      <c r="E25" s="430" t="s">
        <v>144</v>
      </c>
    </row>
    <row r="26" spans="1:9" ht="15" customHeight="1">
      <c r="A26" s="220" t="s">
        <v>54</v>
      </c>
      <c r="B26" s="397">
        <v>44876</v>
      </c>
      <c r="D26" s="429" t="s">
        <v>135</v>
      </c>
      <c r="E26" s="94"/>
    </row>
    <row r="27" spans="1:9" ht="15" customHeight="1">
      <c r="A27" s="220" t="s">
        <v>51</v>
      </c>
      <c r="B27" s="397">
        <v>44889</v>
      </c>
      <c r="D27" s="429" t="s">
        <v>14</v>
      </c>
      <c r="E27" s="431" t="s">
        <v>125</v>
      </c>
      <c r="G27"/>
    </row>
    <row r="28" spans="1:9" ht="15" customHeight="1">
      <c r="A28" s="398" t="s">
        <v>52</v>
      </c>
      <c r="B28" s="399">
        <v>44921</v>
      </c>
      <c r="D28" s="432" t="s">
        <v>141</v>
      </c>
      <c r="E28" s="433" t="s">
        <v>145</v>
      </c>
      <c r="G28"/>
    </row>
    <row r="29" spans="1:9" ht="15" customHeight="1">
      <c r="A29" s="395" t="s">
        <v>46</v>
      </c>
      <c r="B29" s="396">
        <v>44928</v>
      </c>
      <c r="D29" s="427" t="s">
        <v>10</v>
      </c>
      <c r="E29" s="428">
        <v>31</v>
      </c>
      <c r="F29" s="99">
        <v>2023</v>
      </c>
      <c r="G29" s="183"/>
    </row>
    <row r="30" spans="1:9" ht="15" customHeight="1">
      <c r="A30" s="220" t="s">
        <v>45</v>
      </c>
      <c r="B30" s="397">
        <v>44942</v>
      </c>
      <c r="D30" s="429" t="s">
        <v>130</v>
      </c>
      <c r="E30" s="430">
        <v>1</v>
      </c>
      <c r="G30"/>
    </row>
    <row r="31" spans="1:9" ht="15" customHeight="1">
      <c r="A31" s="220" t="s">
        <v>47</v>
      </c>
      <c r="B31" s="397">
        <v>44977</v>
      </c>
      <c r="D31" s="429" t="s">
        <v>138</v>
      </c>
      <c r="E31" s="430" t="s">
        <v>134</v>
      </c>
      <c r="G31" s="259" t="s">
        <v>190</v>
      </c>
      <c r="H31" s="259"/>
      <c r="I31" s="303"/>
    </row>
    <row r="32" spans="1:9" ht="15" customHeight="1">
      <c r="A32" s="400" t="s">
        <v>189</v>
      </c>
      <c r="B32" s="401">
        <v>45023</v>
      </c>
      <c r="D32" s="429" t="s">
        <v>12</v>
      </c>
      <c r="E32" s="430"/>
      <c r="G32" s="96" t="s">
        <v>15</v>
      </c>
    </row>
    <row r="33" spans="1:10" ht="15" customHeight="1">
      <c r="A33" s="220" t="s">
        <v>48</v>
      </c>
      <c r="B33" s="397">
        <v>45075</v>
      </c>
      <c r="D33" s="429" t="s">
        <v>122</v>
      </c>
      <c r="E33" s="430" t="s">
        <v>137</v>
      </c>
      <c r="G33"/>
      <c r="J33" s="276" t="s">
        <v>9</v>
      </c>
    </row>
    <row r="34" spans="1:10" ht="15" customHeight="1">
      <c r="A34" s="220" t="s">
        <v>120</v>
      </c>
      <c r="B34" s="397">
        <v>45096</v>
      </c>
      <c r="D34" s="429" t="s">
        <v>139</v>
      </c>
      <c r="E34" s="430" t="s">
        <v>145</v>
      </c>
      <c r="G34"/>
      <c r="J34" s="276" t="s">
        <v>16</v>
      </c>
    </row>
    <row r="35" spans="1:10" ht="15" customHeight="1">
      <c r="A35" s="220" t="s">
        <v>49</v>
      </c>
      <c r="B35" s="397">
        <v>45111</v>
      </c>
      <c r="D35" s="429" t="s">
        <v>13</v>
      </c>
      <c r="E35" s="430" t="s">
        <v>121</v>
      </c>
      <c r="G35" s="183"/>
      <c r="J35" s="61" t="s">
        <v>17</v>
      </c>
    </row>
    <row r="36" spans="1:10" ht="15" customHeight="1">
      <c r="A36" s="220" t="s">
        <v>50</v>
      </c>
      <c r="B36" s="397">
        <v>45173</v>
      </c>
      <c r="D36" s="429" t="s">
        <v>133</v>
      </c>
      <c r="E36" s="430"/>
      <c r="G36" s="184"/>
    </row>
    <row r="37" spans="1:10" ht="15" customHeight="1">
      <c r="A37" s="220" t="s">
        <v>55</v>
      </c>
      <c r="B37" s="397">
        <v>45208</v>
      </c>
      <c r="D37" s="429" t="s">
        <v>140</v>
      </c>
      <c r="E37" s="430" t="s">
        <v>154</v>
      </c>
      <c r="G37"/>
    </row>
    <row r="38" spans="1:10" ht="15" customHeight="1">
      <c r="A38" s="220" t="s">
        <v>54</v>
      </c>
      <c r="B38" s="397" t="s">
        <v>119</v>
      </c>
      <c r="D38" s="429" t="s">
        <v>135</v>
      </c>
      <c r="E38" s="94">
        <v>31</v>
      </c>
      <c r="G38" s="183"/>
    </row>
    <row r="39" spans="1:10" ht="15" customHeight="1">
      <c r="A39" s="220" t="s">
        <v>51</v>
      </c>
      <c r="B39" s="397">
        <v>45253</v>
      </c>
      <c r="D39" s="429" t="s">
        <v>14</v>
      </c>
      <c r="E39" s="431">
        <v>1</v>
      </c>
      <c r="G39" s="185"/>
    </row>
    <row r="40" spans="1:10" ht="15" customHeight="1">
      <c r="A40" s="398" t="s">
        <v>52</v>
      </c>
      <c r="B40" s="399">
        <v>45285</v>
      </c>
      <c r="D40" s="432" t="s">
        <v>141</v>
      </c>
      <c r="E40" s="433" t="s">
        <v>155</v>
      </c>
    </row>
    <row r="41" spans="1:10" ht="15" customHeight="1">
      <c r="A41" s="395" t="s">
        <v>46</v>
      </c>
      <c r="B41" s="396">
        <v>45292</v>
      </c>
      <c r="D41" s="427" t="s">
        <v>10</v>
      </c>
      <c r="E41" s="428" t="s">
        <v>170</v>
      </c>
      <c r="F41" s="99">
        <v>2024</v>
      </c>
    </row>
    <row r="42" spans="1:10" ht="15" customHeight="1">
      <c r="A42" s="220" t="s">
        <v>45</v>
      </c>
      <c r="B42" s="397">
        <v>45306</v>
      </c>
      <c r="D42" s="429" t="s">
        <v>130</v>
      </c>
      <c r="E42" s="430"/>
    </row>
    <row r="43" spans="1:10" ht="15" customHeight="1">
      <c r="A43" s="220" t="s">
        <v>47</v>
      </c>
      <c r="B43" s="397">
        <v>45341</v>
      </c>
      <c r="D43" s="429" t="s">
        <v>138</v>
      </c>
      <c r="E43" s="430" t="s">
        <v>154</v>
      </c>
    </row>
    <row r="44" spans="1:10" ht="15" customHeight="1">
      <c r="A44" s="400" t="s">
        <v>189</v>
      </c>
      <c r="B44" s="401">
        <v>45380</v>
      </c>
      <c r="D44" s="429" t="s">
        <v>12</v>
      </c>
      <c r="E44" s="430">
        <v>30</v>
      </c>
    </row>
    <row r="45" spans="1:10" ht="15" customHeight="1">
      <c r="A45" s="220" t="s">
        <v>48</v>
      </c>
      <c r="B45" s="397">
        <v>45439</v>
      </c>
      <c r="D45" s="429" t="s">
        <v>122</v>
      </c>
      <c r="E45" s="430">
        <v>1</v>
      </c>
    </row>
    <row r="46" spans="1:10" ht="15" customHeight="1">
      <c r="A46" s="220" t="s">
        <v>120</v>
      </c>
      <c r="B46" s="397">
        <v>45462</v>
      </c>
      <c r="D46" s="429" t="s">
        <v>139</v>
      </c>
      <c r="E46" s="430" t="s">
        <v>169</v>
      </c>
    </row>
    <row r="47" spans="1:10" ht="15" customHeight="1">
      <c r="A47" s="220" t="s">
        <v>49</v>
      </c>
      <c r="B47" s="397">
        <v>45477</v>
      </c>
      <c r="D47" s="429" t="s">
        <v>13</v>
      </c>
      <c r="E47" s="430" t="s">
        <v>170</v>
      </c>
    </row>
    <row r="48" spans="1:10" ht="15" customHeight="1">
      <c r="A48" s="220" t="s">
        <v>50</v>
      </c>
      <c r="B48" s="397">
        <v>45537</v>
      </c>
      <c r="D48" s="429" t="s">
        <v>133</v>
      </c>
      <c r="E48" s="430"/>
    </row>
    <row r="49" spans="1:6" ht="15" customHeight="1">
      <c r="A49" s="220" t="s">
        <v>55</v>
      </c>
      <c r="B49" s="397">
        <v>45579</v>
      </c>
      <c r="D49" s="429" t="s">
        <v>140</v>
      </c>
      <c r="E49" s="430" t="s">
        <v>142</v>
      </c>
    </row>
    <row r="50" spans="1:6" ht="15" customHeight="1">
      <c r="A50" s="220" t="s">
        <v>54</v>
      </c>
      <c r="B50" s="397">
        <v>45607</v>
      </c>
      <c r="D50" s="429" t="s">
        <v>135</v>
      </c>
      <c r="E50" s="94"/>
    </row>
    <row r="51" spans="1:6" ht="15" customHeight="1">
      <c r="A51" s="220" t="s">
        <v>51</v>
      </c>
      <c r="B51" s="397">
        <v>45624</v>
      </c>
      <c r="D51" s="429" t="s">
        <v>14</v>
      </c>
      <c r="E51" s="431" t="s">
        <v>171</v>
      </c>
    </row>
    <row r="52" spans="1:6" ht="15" customHeight="1">
      <c r="A52" s="398" t="s">
        <v>52</v>
      </c>
      <c r="B52" s="399">
        <v>45651</v>
      </c>
      <c r="D52" s="432" t="s">
        <v>141</v>
      </c>
      <c r="E52" s="433" t="s">
        <v>142</v>
      </c>
    </row>
    <row r="53" spans="1:6" ht="15" customHeight="1">
      <c r="A53" s="395" t="s">
        <v>46</v>
      </c>
      <c r="B53" s="396">
        <v>45658</v>
      </c>
      <c r="D53" s="427" t="s">
        <v>10</v>
      </c>
      <c r="E53" s="428" t="s">
        <v>11</v>
      </c>
      <c r="F53" s="99">
        <v>2025</v>
      </c>
    </row>
    <row r="54" spans="1:6" ht="15" customHeight="1">
      <c r="A54" s="220" t="s">
        <v>45</v>
      </c>
      <c r="B54" s="397">
        <v>45677</v>
      </c>
      <c r="D54" s="429" t="s">
        <v>130</v>
      </c>
      <c r="E54" s="430"/>
    </row>
    <row r="55" spans="1:6" ht="15" customHeight="1">
      <c r="A55" s="220" t="s">
        <v>47</v>
      </c>
      <c r="B55" s="397">
        <v>45705</v>
      </c>
      <c r="D55" s="429" t="s">
        <v>138</v>
      </c>
      <c r="E55" s="430" t="s">
        <v>187</v>
      </c>
    </row>
    <row r="56" spans="1:6" ht="15" customHeight="1">
      <c r="A56" s="400" t="s">
        <v>189</v>
      </c>
      <c r="B56" s="401">
        <v>45765</v>
      </c>
      <c r="D56" s="429" t="s">
        <v>12</v>
      </c>
      <c r="E56" s="430"/>
    </row>
    <row r="57" spans="1:6" ht="15" customHeight="1">
      <c r="A57" s="220" t="s">
        <v>48</v>
      </c>
      <c r="B57" s="397">
        <v>45803</v>
      </c>
      <c r="D57" s="429" t="s">
        <v>122</v>
      </c>
      <c r="E57" s="430" t="s">
        <v>171</v>
      </c>
    </row>
    <row r="58" spans="1:6" ht="15" customHeight="1">
      <c r="A58" s="220" t="s">
        <v>120</v>
      </c>
      <c r="B58" s="397">
        <v>45827</v>
      </c>
      <c r="D58" s="429" t="s">
        <v>139</v>
      </c>
      <c r="E58" s="430" t="s">
        <v>142</v>
      </c>
    </row>
    <row r="59" spans="1:6" ht="15" customHeight="1">
      <c r="A59" s="220" t="s">
        <v>49</v>
      </c>
      <c r="B59" s="397">
        <v>45842</v>
      </c>
      <c r="D59" s="429" t="s">
        <v>13</v>
      </c>
      <c r="E59" s="430" t="s">
        <v>185</v>
      </c>
    </row>
    <row r="60" spans="1:6" ht="15" customHeight="1">
      <c r="A60" s="220" t="s">
        <v>50</v>
      </c>
      <c r="B60" s="397">
        <v>45901</v>
      </c>
      <c r="D60" s="429" t="s">
        <v>133</v>
      </c>
      <c r="E60" s="430"/>
    </row>
    <row r="61" spans="1:6" ht="15" customHeight="1">
      <c r="A61" s="220" t="s">
        <v>55</v>
      </c>
      <c r="B61" s="397">
        <v>45943</v>
      </c>
      <c r="D61" s="429" t="s">
        <v>140</v>
      </c>
      <c r="E61" s="430" t="s">
        <v>143</v>
      </c>
    </row>
    <row r="62" spans="1:6" ht="15" customHeight="1">
      <c r="A62" s="220" t="s">
        <v>54</v>
      </c>
      <c r="B62" s="397">
        <v>45972</v>
      </c>
      <c r="D62" s="429" t="s">
        <v>135</v>
      </c>
      <c r="E62" s="94" t="s">
        <v>11</v>
      </c>
    </row>
    <row r="63" spans="1:6" ht="15" customHeight="1">
      <c r="A63" s="220" t="s">
        <v>51</v>
      </c>
      <c r="B63" s="397">
        <v>45988</v>
      </c>
      <c r="D63" s="429" t="s">
        <v>14</v>
      </c>
      <c r="E63" s="431"/>
    </row>
    <row r="64" spans="1:6" ht="15" customHeight="1">
      <c r="A64" s="398" t="s">
        <v>52</v>
      </c>
      <c r="B64" s="399">
        <v>46016</v>
      </c>
      <c r="D64" s="432" t="s">
        <v>141</v>
      </c>
      <c r="E64" s="433" t="s">
        <v>146</v>
      </c>
    </row>
    <row r="65" spans="1:6" ht="15" customHeight="1">
      <c r="A65" s="395" t="s">
        <v>46</v>
      </c>
      <c r="B65" s="396">
        <v>46023</v>
      </c>
      <c r="D65" s="427" t="s">
        <v>10</v>
      </c>
      <c r="E65" s="428" t="s">
        <v>131</v>
      </c>
      <c r="F65" s="99">
        <v>2026</v>
      </c>
    </row>
    <row r="66" spans="1:6" ht="15" customHeight="1">
      <c r="A66" s="220" t="s">
        <v>45</v>
      </c>
      <c r="B66" s="397">
        <v>46041</v>
      </c>
      <c r="D66" s="429" t="s">
        <v>130</v>
      </c>
      <c r="E66" s="430"/>
    </row>
    <row r="67" spans="1:6" ht="15" customHeight="1">
      <c r="A67" s="220" t="s">
        <v>47</v>
      </c>
      <c r="B67" s="397">
        <v>46069</v>
      </c>
      <c r="D67" s="429" t="s">
        <v>138</v>
      </c>
      <c r="E67" s="430" t="s">
        <v>142</v>
      </c>
    </row>
    <row r="68" spans="1:6" ht="15" customHeight="1">
      <c r="A68" s="400" t="s">
        <v>189</v>
      </c>
      <c r="B68" s="401">
        <v>46115</v>
      </c>
      <c r="D68" s="429" t="s">
        <v>12</v>
      </c>
      <c r="E68" s="430" t="s">
        <v>11</v>
      </c>
    </row>
    <row r="69" spans="1:6" ht="15" customHeight="1">
      <c r="A69" s="220" t="s">
        <v>48</v>
      </c>
      <c r="B69" s="397">
        <v>46167</v>
      </c>
      <c r="D69" s="429" t="s">
        <v>122</v>
      </c>
      <c r="E69" s="430"/>
    </row>
    <row r="70" spans="1:6" ht="15" customHeight="1">
      <c r="A70" s="220" t="s">
        <v>120</v>
      </c>
      <c r="B70" s="397">
        <v>46192</v>
      </c>
      <c r="D70" s="429" t="s">
        <v>139</v>
      </c>
      <c r="E70" s="430" t="s">
        <v>143</v>
      </c>
    </row>
    <row r="71" spans="1:6" ht="15" customHeight="1">
      <c r="A71" s="220" t="s">
        <v>49</v>
      </c>
      <c r="B71" s="397">
        <v>46206</v>
      </c>
      <c r="D71" s="429" t="s">
        <v>13</v>
      </c>
      <c r="E71" s="430" t="s">
        <v>11</v>
      </c>
    </row>
    <row r="72" spans="1:6" ht="15" customHeight="1">
      <c r="A72" s="220" t="s">
        <v>50</v>
      </c>
      <c r="B72" s="397">
        <v>46272</v>
      </c>
      <c r="D72" s="429" t="s">
        <v>133</v>
      </c>
      <c r="E72" s="430"/>
    </row>
    <row r="73" spans="1:6" ht="15" customHeight="1">
      <c r="A73" s="220" t="s">
        <v>55</v>
      </c>
      <c r="B73" s="397">
        <v>46307</v>
      </c>
      <c r="D73" s="429" t="s">
        <v>140</v>
      </c>
      <c r="E73" s="430" t="s">
        <v>132</v>
      </c>
    </row>
    <row r="74" spans="1:6" ht="15" customHeight="1">
      <c r="A74" s="220" t="s">
        <v>54</v>
      </c>
      <c r="B74" s="397">
        <v>46337</v>
      </c>
      <c r="D74" s="429" t="s">
        <v>135</v>
      </c>
      <c r="E74" s="94" t="s">
        <v>131</v>
      </c>
    </row>
    <row r="75" spans="1:6" ht="15" customHeight="1">
      <c r="A75" s="220" t="s">
        <v>51</v>
      </c>
      <c r="B75" s="397">
        <v>46352</v>
      </c>
      <c r="D75" s="429" t="s">
        <v>14</v>
      </c>
      <c r="E75" s="431"/>
    </row>
    <row r="76" spans="1:6" ht="15" customHeight="1">
      <c r="A76" s="398" t="s">
        <v>52</v>
      </c>
      <c r="B76" s="399">
        <v>46381</v>
      </c>
      <c r="D76" s="432" t="s">
        <v>141</v>
      </c>
      <c r="E76" s="433" t="s">
        <v>188</v>
      </c>
    </row>
    <row r="77" spans="1:6" ht="15" customHeight="1">
      <c r="A77" s="395" t="s">
        <v>46</v>
      </c>
      <c r="B77" s="396">
        <v>46388</v>
      </c>
      <c r="D77" s="427" t="s">
        <v>10</v>
      </c>
      <c r="E77" s="428" t="s">
        <v>123</v>
      </c>
      <c r="F77" s="99">
        <v>2027</v>
      </c>
    </row>
    <row r="78" spans="1:6" ht="15" customHeight="1">
      <c r="A78" s="220" t="s">
        <v>45</v>
      </c>
      <c r="B78" s="397">
        <v>46405</v>
      </c>
      <c r="D78" s="429" t="s">
        <v>130</v>
      </c>
      <c r="E78" s="430"/>
    </row>
    <row r="79" spans="1:6" ht="15" customHeight="1">
      <c r="A79" s="220" t="s">
        <v>47</v>
      </c>
      <c r="B79" s="397">
        <v>46433</v>
      </c>
      <c r="D79" s="429" t="s">
        <v>138</v>
      </c>
      <c r="E79" s="430" t="s">
        <v>143</v>
      </c>
    </row>
    <row r="80" spans="1:6" ht="15" customHeight="1">
      <c r="A80" s="400" t="s">
        <v>189</v>
      </c>
      <c r="B80" s="401">
        <v>46472</v>
      </c>
      <c r="D80" s="429" t="s">
        <v>12</v>
      </c>
      <c r="E80" s="430" t="s">
        <v>131</v>
      </c>
    </row>
    <row r="81" spans="1:5" ht="15" customHeight="1">
      <c r="A81" s="220" t="s">
        <v>48</v>
      </c>
      <c r="B81" s="397">
        <v>46538</v>
      </c>
      <c r="D81" s="429" t="s">
        <v>122</v>
      </c>
      <c r="E81" s="430"/>
    </row>
    <row r="82" spans="1:5" ht="15" customHeight="1">
      <c r="A82" s="220" t="s">
        <v>120</v>
      </c>
      <c r="B82" s="397">
        <v>46556</v>
      </c>
      <c r="D82" s="429" t="s">
        <v>139</v>
      </c>
      <c r="E82" s="430" t="s">
        <v>188</v>
      </c>
    </row>
    <row r="83" spans="1:5" ht="15" customHeight="1">
      <c r="A83" s="220" t="s">
        <v>49</v>
      </c>
      <c r="B83" s="397">
        <v>46573</v>
      </c>
      <c r="D83" s="429" t="s">
        <v>13</v>
      </c>
      <c r="E83" s="430" t="s">
        <v>131</v>
      </c>
    </row>
    <row r="84" spans="1:5" ht="15" customHeight="1">
      <c r="A84" s="220" t="s">
        <v>50</v>
      </c>
      <c r="B84" s="397">
        <v>46636</v>
      </c>
      <c r="D84" s="429" t="s">
        <v>133</v>
      </c>
      <c r="E84" s="430"/>
    </row>
    <row r="85" spans="1:5" ht="15" customHeight="1">
      <c r="A85" s="220" t="s">
        <v>55</v>
      </c>
      <c r="B85" s="397">
        <v>46671</v>
      </c>
      <c r="D85" s="429" t="s">
        <v>140</v>
      </c>
      <c r="E85" s="430" t="s">
        <v>136</v>
      </c>
    </row>
    <row r="86" spans="1:5" ht="15" customHeight="1">
      <c r="A86" s="220" t="s">
        <v>54</v>
      </c>
      <c r="B86" s="397">
        <v>46702</v>
      </c>
      <c r="D86" s="429" t="s">
        <v>135</v>
      </c>
      <c r="E86" s="94" t="s">
        <v>123</v>
      </c>
    </row>
    <row r="87" spans="1:5" ht="15" customHeight="1">
      <c r="A87" s="220" t="s">
        <v>51</v>
      </c>
      <c r="B87" s="397">
        <v>46716</v>
      </c>
      <c r="D87" s="429" t="s">
        <v>14</v>
      </c>
      <c r="E87" s="431"/>
    </row>
    <row r="88" spans="1:5" ht="15" customHeight="1">
      <c r="A88" s="398" t="s">
        <v>52</v>
      </c>
      <c r="B88" s="399" t="s">
        <v>206</v>
      </c>
      <c r="D88" s="432" t="s">
        <v>141</v>
      </c>
      <c r="E88" s="433" t="s">
        <v>208</v>
      </c>
    </row>
    <row r="89" spans="1:5" ht="15" customHeight="1">
      <c r="A89" s="395" t="s">
        <v>46</v>
      </c>
      <c r="B89" s="396" t="s">
        <v>206</v>
      </c>
    </row>
    <row r="90" spans="1:5" ht="15" customHeight="1">
      <c r="A90" s="220" t="s">
        <v>45</v>
      </c>
      <c r="B90" s="397">
        <v>46769</v>
      </c>
    </row>
    <row r="91" spans="1:5" ht="15" customHeight="1">
      <c r="A91" s="220" t="s">
        <v>47</v>
      </c>
      <c r="B91" s="397">
        <v>46804</v>
      </c>
    </row>
    <row r="92" spans="1:5" ht="15" customHeight="1">
      <c r="A92" s="400" t="s">
        <v>189</v>
      </c>
      <c r="B92" s="401">
        <v>46857</v>
      </c>
    </row>
    <row r="93" spans="1:5" ht="15" customHeight="1">
      <c r="A93" s="220" t="s">
        <v>48</v>
      </c>
      <c r="B93" s="397">
        <v>46902</v>
      </c>
    </row>
    <row r="94" spans="1:5" ht="15" customHeight="1">
      <c r="A94" s="220" t="s">
        <v>120</v>
      </c>
      <c r="B94" s="397">
        <v>46923</v>
      </c>
    </row>
    <row r="95" spans="1:5" ht="15" customHeight="1">
      <c r="A95" s="220" t="s">
        <v>49</v>
      </c>
      <c r="B95" s="397">
        <v>46938</v>
      </c>
    </row>
    <row r="96" spans="1:5" ht="15" customHeight="1">
      <c r="A96" s="220" t="s">
        <v>50</v>
      </c>
      <c r="B96" s="397">
        <v>46542</v>
      </c>
    </row>
    <row r="97" spans="1:2" ht="15" customHeight="1">
      <c r="A97" s="220" t="s">
        <v>55</v>
      </c>
      <c r="B97" s="402"/>
    </row>
    <row r="98" spans="1:2" ht="15" customHeight="1">
      <c r="A98" s="220" t="s">
        <v>54</v>
      </c>
      <c r="B98" s="402"/>
    </row>
    <row r="99" spans="1:2" ht="15" customHeight="1">
      <c r="A99" s="220" t="s">
        <v>51</v>
      </c>
      <c r="B99" s="397">
        <v>47080</v>
      </c>
    </row>
    <row r="100" spans="1:2" ht="15" customHeight="1">
      <c r="A100" s="398" t="s">
        <v>52</v>
      </c>
      <c r="B100" s="399">
        <v>47112</v>
      </c>
    </row>
  </sheetData>
  <phoneticPr fontId="5" type="noConversion"/>
  <hyperlinks>
    <hyperlink ref="J33" r:id="rId1" xr:uid="{F7E2882B-2C7C-3F41-9099-A1249496F3CA}"/>
    <hyperlink ref="J34" r:id="rId2" xr:uid="{3A7E0536-6934-3046-8F8C-70A231D768FF}"/>
    <hyperlink ref="J35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D35" sqref="D35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288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350" customFormat="1">
      <c r="A1" s="347" t="s">
        <v>65</v>
      </c>
      <c r="B1" s="347" t="s">
        <v>71</v>
      </c>
      <c r="C1" s="347" t="s">
        <v>74</v>
      </c>
      <c r="D1" s="348" t="s">
        <v>66</v>
      </c>
      <c r="E1" s="348" t="s">
        <v>67</v>
      </c>
      <c r="F1" s="348" t="s">
        <v>68</v>
      </c>
      <c r="G1" s="349" t="s">
        <v>69</v>
      </c>
      <c r="H1" s="327" t="s">
        <v>72</v>
      </c>
      <c r="I1" s="327" t="s">
        <v>73</v>
      </c>
      <c r="L1" s="115"/>
      <c r="M1" s="351"/>
      <c r="N1" s="112"/>
      <c r="R1" s="112"/>
      <c r="S1" s="112"/>
    </row>
    <row r="2" spans="1:19" s="112" customFormat="1">
      <c r="A2" s="19" t="s">
        <v>64</v>
      </c>
      <c r="B2" s="20" t="s">
        <v>70</v>
      </c>
      <c r="C2" s="20" t="s">
        <v>173</v>
      </c>
      <c r="D2" s="236">
        <v>202609</v>
      </c>
      <c r="E2" s="113" t="s">
        <v>191</v>
      </c>
      <c r="F2" s="113" t="s">
        <v>191</v>
      </c>
      <c r="G2" s="114" t="s">
        <v>191</v>
      </c>
      <c r="H2" s="328" t="str">
        <f t="shared" ref="H2:H5" si="0">IF(F2&lt;G2,F2,IF(E2&gt;G2,E2,G2))</f>
        <v>-</v>
      </c>
      <c r="I2" s="111" t="e">
        <f t="shared" ref="I2:I4" si="1">100-H2</f>
        <v>#VALUE!</v>
      </c>
      <c r="L2" s="115"/>
      <c r="M2" s="116"/>
    </row>
    <row r="3" spans="1:19" s="112" customFormat="1">
      <c r="A3" s="19" t="s">
        <v>64</v>
      </c>
      <c r="B3" s="20" t="s">
        <v>70</v>
      </c>
      <c r="C3" s="20" t="s">
        <v>173</v>
      </c>
      <c r="D3" s="236">
        <v>202610</v>
      </c>
      <c r="E3" s="113">
        <v>96.117500000000007</v>
      </c>
      <c r="F3" s="113">
        <v>96.12</v>
      </c>
      <c r="G3" s="114">
        <v>96.117500000000007</v>
      </c>
      <c r="H3" s="328">
        <f t="shared" si="0"/>
        <v>96.117500000000007</v>
      </c>
      <c r="I3" s="111">
        <f t="shared" si="1"/>
        <v>3.8824999999999932</v>
      </c>
      <c r="L3" s="115"/>
      <c r="M3" s="116"/>
    </row>
    <row r="4" spans="1:19" s="112" customFormat="1">
      <c r="A4" s="19" t="s">
        <v>64</v>
      </c>
      <c r="B4" s="20" t="s">
        <v>70</v>
      </c>
      <c r="C4" s="20" t="s">
        <v>173</v>
      </c>
      <c r="D4" s="236">
        <v>202611</v>
      </c>
      <c r="E4" s="113">
        <v>96.094999999999999</v>
      </c>
      <c r="F4" s="113">
        <v>96.1</v>
      </c>
      <c r="G4" s="114">
        <v>96.094999999999999</v>
      </c>
      <c r="H4" s="328">
        <f t="shared" si="0"/>
        <v>96.094999999999999</v>
      </c>
      <c r="I4" s="111">
        <f t="shared" si="1"/>
        <v>3.9050000000000011</v>
      </c>
      <c r="L4" s="115"/>
      <c r="M4" s="116"/>
    </row>
    <row r="5" spans="1:19" s="112" customFormat="1">
      <c r="A5" s="19" t="s">
        <v>64</v>
      </c>
      <c r="B5" s="20" t="s">
        <v>70</v>
      </c>
      <c r="C5" s="20" t="s">
        <v>173</v>
      </c>
      <c r="D5" s="236">
        <v>202612</v>
      </c>
      <c r="E5" s="113">
        <v>95.944999999999993</v>
      </c>
      <c r="F5" s="113">
        <v>95.954999999999998</v>
      </c>
      <c r="G5" s="114">
        <v>95.95</v>
      </c>
      <c r="H5" s="328">
        <f t="shared" si="0"/>
        <v>95.95</v>
      </c>
      <c r="I5" s="111">
        <f>100-H5</f>
        <v>4.0499999999999972</v>
      </c>
      <c r="L5" s="115"/>
      <c r="M5" s="116"/>
    </row>
    <row r="6" spans="1:19" s="112" customFormat="1">
      <c r="A6" s="19" t="s">
        <v>64</v>
      </c>
      <c r="B6" s="20" t="s">
        <v>70</v>
      </c>
      <c r="C6" s="20" t="s">
        <v>173</v>
      </c>
      <c r="D6" s="236">
        <v>202701</v>
      </c>
      <c r="E6" s="113">
        <v>95.88</v>
      </c>
      <c r="F6" s="113">
        <v>95.885000000000005</v>
      </c>
      <c r="G6" s="114">
        <v>95.88</v>
      </c>
      <c r="H6" s="328">
        <f t="shared" ref="H6:H17" si="2">IF(F6&lt;G6,F6,IF(E6&gt;G6,E6,G6))</f>
        <v>95.88</v>
      </c>
      <c r="I6" s="111">
        <f t="shared" ref="I6:I17" si="3">100-H6</f>
        <v>4.1200000000000045</v>
      </c>
      <c r="L6" s="115"/>
      <c r="M6" s="116"/>
    </row>
    <row r="7" spans="1:19" s="112" customFormat="1">
      <c r="A7" s="19" t="s">
        <v>64</v>
      </c>
      <c r="B7" s="20" t="s">
        <v>70</v>
      </c>
      <c r="C7" s="20" t="s">
        <v>173</v>
      </c>
      <c r="D7" s="236">
        <v>202702</v>
      </c>
      <c r="E7" s="113">
        <v>95.79</v>
      </c>
      <c r="F7" s="113">
        <v>95.795000000000002</v>
      </c>
      <c r="G7" s="114">
        <v>95.795000000000002</v>
      </c>
      <c r="H7" s="328">
        <f t="shared" si="2"/>
        <v>95.795000000000002</v>
      </c>
      <c r="I7" s="111">
        <f t="shared" si="3"/>
        <v>4.2049999999999983</v>
      </c>
      <c r="L7" s="115"/>
      <c r="M7" s="116"/>
    </row>
    <row r="8" spans="1:19" s="112" customFormat="1">
      <c r="A8" s="19" t="s">
        <v>64</v>
      </c>
      <c r="B8" s="20" t="s">
        <v>70</v>
      </c>
      <c r="C8" s="20" t="s">
        <v>173</v>
      </c>
      <c r="D8" s="236">
        <v>202703</v>
      </c>
      <c r="E8" s="113">
        <v>95.715000000000003</v>
      </c>
      <c r="F8" s="113">
        <v>95.72</v>
      </c>
      <c r="G8" s="114">
        <v>95.72</v>
      </c>
      <c r="H8" s="328">
        <f t="shared" si="2"/>
        <v>95.72</v>
      </c>
      <c r="I8" s="111">
        <f t="shared" si="3"/>
        <v>4.2800000000000011</v>
      </c>
      <c r="L8" s="115"/>
      <c r="M8" s="116"/>
    </row>
    <row r="9" spans="1:19" s="112" customFormat="1">
      <c r="A9" s="19" t="s">
        <v>64</v>
      </c>
      <c r="B9" s="20" t="s">
        <v>70</v>
      </c>
      <c r="C9" s="20" t="s">
        <v>173</v>
      </c>
      <c r="D9" s="236">
        <v>202704</v>
      </c>
      <c r="E9" s="113">
        <v>95.614999999999995</v>
      </c>
      <c r="F9" s="113">
        <v>95.62</v>
      </c>
      <c r="G9" s="114">
        <v>95.62</v>
      </c>
      <c r="H9" s="328">
        <f t="shared" si="2"/>
        <v>95.62</v>
      </c>
      <c r="I9" s="111">
        <f t="shared" si="3"/>
        <v>4.3799999999999955</v>
      </c>
      <c r="L9" s="115"/>
      <c r="M9" s="116"/>
    </row>
    <row r="10" spans="1:19" s="112" customFormat="1">
      <c r="A10" s="19" t="s">
        <v>64</v>
      </c>
      <c r="B10" s="20" t="s">
        <v>70</v>
      </c>
      <c r="C10" s="20" t="s">
        <v>173</v>
      </c>
      <c r="D10" s="236">
        <v>202705</v>
      </c>
      <c r="E10" s="113">
        <v>95.53</v>
      </c>
      <c r="F10" s="113">
        <v>95.534999999999997</v>
      </c>
      <c r="G10" s="114">
        <v>95.534999999999997</v>
      </c>
      <c r="H10" s="328">
        <f t="shared" si="2"/>
        <v>95.534999999999997</v>
      </c>
      <c r="I10" s="111">
        <f t="shared" si="3"/>
        <v>4.4650000000000034</v>
      </c>
      <c r="L10" s="115"/>
      <c r="M10" s="116"/>
    </row>
    <row r="11" spans="1:19" s="112" customFormat="1">
      <c r="A11" s="19" t="s">
        <v>64</v>
      </c>
      <c r="B11" s="20" t="s">
        <v>70</v>
      </c>
      <c r="C11" s="20" t="s">
        <v>173</v>
      </c>
      <c r="D11" s="236">
        <v>202706</v>
      </c>
      <c r="E11" s="113">
        <v>95.465000000000003</v>
      </c>
      <c r="F11" s="113">
        <v>95.47</v>
      </c>
      <c r="G11" s="114">
        <v>95.47</v>
      </c>
      <c r="H11" s="328">
        <f t="shared" si="2"/>
        <v>95.47</v>
      </c>
      <c r="I11" s="111">
        <f t="shared" si="3"/>
        <v>4.5300000000000011</v>
      </c>
      <c r="L11" s="115"/>
      <c r="M11" s="116"/>
    </row>
    <row r="12" spans="1:19" s="112" customFormat="1">
      <c r="A12" s="19" t="s">
        <v>64</v>
      </c>
      <c r="B12" s="20" t="s">
        <v>70</v>
      </c>
      <c r="C12" s="20" t="s">
        <v>173</v>
      </c>
      <c r="D12" s="236">
        <v>202707</v>
      </c>
      <c r="E12" s="113">
        <v>95.43</v>
      </c>
      <c r="F12" s="113">
        <v>95.435000000000002</v>
      </c>
      <c r="G12" s="114">
        <v>95.435000000000002</v>
      </c>
      <c r="H12" s="328">
        <f t="shared" si="2"/>
        <v>95.435000000000002</v>
      </c>
      <c r="I12" s="111">
        <f t="shared" si="3"/>
        <v>4.5649999999999977</v>
      </c>
      <c r="L12" s="115"/>
      <c r="M12" s="116"/>
    </row>
    <row r="13" spans="1:19" s="112" customFormat="1">
      <c r="A13" s="19" t="s">
        <v>64</v>
      </c>
      <c r="B13" s="20" t="s">
        <v>70</v>
      </c>
      <c r="C13" s="20" t="s">
        <v>173</v>
      </c>
      <c r="D13" s="236">
        <v>202708</v>
      </c>
      <c r="E13" s="113">
        <v>95.4</v>
      </c>
      <c r="F13" s="113">
        <v>95.41</v>
      </c>
      <c r="G13" s="114">
        <v>95.405000000000001</v>
      </c>
      <c r="H13" s="328">
        <f t="shared" si="2"/>
        <v>95.405000000000001</v>
      </c>
      <c r="I13" s="111">
        <f t="shared" si="3"/>
        <v>4.5949999999999989</v>
      </c>
      <c r="L13" s="115"/>
      <c r="M13" s="116"/>
    </row>
    <row r="14" spans="1:19" s="112" customFormat="1">
      <c r="A14" s="19" t="s">
        <v>64</v>
      </c>
      <c r="B14" s="20" t="s">
        <v>70</v>
      </c>
      <c r="C14" s="20" t="s">
        <v>173</v>
      </c>
      <c r="D14" s="236">
        <v>202709</v>
      </c>
      <c r="E14" s="113">
        <v>95.385000000000005</v>
      </c>
      <c r="F14" s="113">
        <v>95.39</v>
      </c>
      <c r="G14" s="114">
        <v>95.39</v>
      </c>
      <c r="H14" s="328">
        <f t="shared" si="2"/>
        <v>95.39</v>
      </c>
      <c r="I14" s="111">
        <f t="shared" si="3"/>
        <v>4.6099999999999994</v>
      </c>
      <c r="L14" s="115"/>
      <c r="M14" s="116"/>
    </row>
    <row r="15" spans="1:19" s="112" customFormat="1">
      <c r="A15" s="19" t="s">
        <v>64</v>
      </c>
      <c r="B15" s="20" t="s">
        <v>70</v>
      </c>
      <c r="C15" s="20" t="s">
        <v>173</v>
      </c>
      <c r="D15" s="236">
        <v>202710</v>
      </c>
      <c r="E15" s="113">
        <v>95.375</v>
      </c>
      <c r="F15" s="113">
        <v>95.38</v>
      </c>
      <c r="G15" s="114">
        <v>95.38</v>
      </c>
      <c r="H15" s="328">
        <f t="shared" si="2"/>
        <v>95.38</v>
      </c>
      <c r="I15" s="111">
        <f t="shared" si="3"/>
        <v>4.6200000000000045</v>
      </c>
      <c r="L15" s="115"/>
      <c r="M15" s="116"/>
    </row>
    <row r="16" spans="1:19" s="112" customFormat="1">
      <c r="A16" s="19" t="s">
        <v>64</v>
      </c>
      <c r="B16" s="20" t="s">
        <v>70</v>
      </c>
      <c r="C16" s="20" t="s">
        <v>173</v>
      </c>
      <c r="D16" s="236">
        <v>202711</v>
      </c>
      <c r="E16" s="113">
        <v>95.375</v>
      </c>
      <c r="F16" s="113">
        <v>95.385000000000005</v>
      </c>
      <c r="G16" s="114">
        <v>95.375</v>
      </c>
      <c r="H16" s="328">
        <f t="shared" si="2"/>
        <v>95.375</v>
      </c>
      <c r="I16" s="111">
        <f t="shared" si="3"/>
        <v>4.625</v>
      </c>
      <c r="L16" s="115"/>
      <c r="M16" s="116"/>
    </row>
    <row r="17" spans="1:19" s="112" customFormat="1">
      <c r="A17" s="19" t="s">
        <v>64</v>
      </c>
      <c r="B17" s="20" t="s">
        <v>70</v>
      </c>
      <c r="C17" s="20" t="s">
        <v>173</v>
      </c>
      <c r="D17" s="236">
        <v>202712</v>
      </c>
      <c r="E17" s="113">
        <v>95.394999999999996</v>
      </c>
      <c r="F17" s="113">
        <v>95.41</v>
      </c>
      <c r="G17" s="114" t="s">
        <v>191</v>
      </c>
      <c r="H17" s="328">
        <f t="shared" si="2"/>
        <v>95.41</v>
      </c>
      <c r="I17" s="111">
        <f t="shared" si="3"/>
        <v>4.5900000000000034</v>
      </c>
      <c r="L17" s="115"/>
      <c r="M17" s="116"/>
    </row>
    <row r="18" spans="1:19" s="110" customFormat="1">
      <c r="A18" s="306" t="s">
        <v>75</v>
      </c>
      <c r="B18" s="283" t="s">
        <v>70</v>
      </c>
      <c r="C18" s="283" t="s">
        <v>174</v>
      </c>
      <c r="D18" s="307">
        <v>202609</v>
      </c>
      <c r="E18" s="308" t="s">
        <v>191</v>
      </c>
      <c r="F18" s="308" t="s">
        <v>191</v>
      </c>
      <c r="G18" s="309" t="s">
        <v>191</v>
      </c>
      <c r="H18" s="329" t="str">
        <f t="shared" ref="H18:H20" si="4">IF(F18&lt;G18,F18,IF(E18&gt;G18,E18,G18))</f>
        <v>-</v>
      </c>
      <c r="I18" s="279" t="e">
        <f t="shared" ref="I18:I20" si="5">100-H18</f>
        <v>#VALUE!</v>
      </c>
      <c r="J18" s="279"/>
      <c r="K18" s="280"/>
      <c r="L18" s="281"/>
      <c r="M18" s="282"/>
      <c r="N18" s="282"/>
      <c r="O18" s="282"/>
      <c r="P18" s="281"/>
      <c r="Q18" s="282"/>
      <c r="R18" s="282"/>
      <c r="S18" s="281"/>
    </row>
    <row r="19" spans="1:19" s="110" customFormat="1">
      <c r="A19" s="306" t="s">
        <v>75</v>
      </c>
      <c r="B19" s="283" t="s">
        <v>70</v>
      </c>
      <c r="C19" s="283" t="s">
        <v>174</v>
      </c>
      <c r="D19" s="307">
        <v>202610</v>
      </c>
      <c r="E19" s="308">
        <v>96.1</v>
      </c>
      <c r="F19" s="308">
        <v>96.102500000000006</v>
      </c>
      <c r="G19" s="309">
        <v>96.1</v>
      </c>
      <c r="H19" s="329">
        <f t="shared" si="4"/>
        <v>96.1</v>
      </c>
      <c r="I19" s="279">
        <f t="shared" si="5"/>
        <v>3.9000000000000057</v>
      </c>
      <c r="J19" s="279"/>
      <c r="K19" s="280"/>
      <c r="L19" s="281"/>
      <c r="M19" s="282"/>
      <c r="N19" s="282"/>
      <c r="O19" s="282"/>
      <c r="P19" s="281"/>
      <c r="Q19" s="282"/>
      <c r="R19" s="282"/>
      <c r="S19" s="281"/>
    </row>
    <row r="20" spans="1:19" s="110" customFormat="1">
      <c r="A20" s="306" t="s">
        <v>75</v>
      </c>
      <c r="B20" s="283" t="s">
        <v>70</v>
      </c>
      <c r="C20" s="283" t="s">
        <v>174</v>
      </c>
      <c r="D20" s="307">
        <v>202611</v>
      </c>
      <c r="E20" s="308">
        <v>96.07</v>
      </c>
      <c r="F20" s="308">
        <v>96.075000000000003</v>
      </c>
      <c r="G20" s="309">
        <v>96.075000000000003</v>
      </c>
      <c r="H20" s="329">
        <f t="shared" si="4"/>
        <v>96.075000000000003</v>
      </c>
      <c r="I20" s="279">
        <f t="shared" si="5"/>
        <v>3.9249999999999972</v>
      </c>
      <c r="J20" s="279"/>
      <c r="K20" s="280"/>
      <c r="L20" s="281"/>
      <c r="M20" s="282"/>
      <c r="N20" s="282"/>
      <c r="O20" s="282"/>
      <c r="P20" s="281"/>
      <c r="Q20" s="282"/>
      <c r="R20" s="282"/>
      <c r="S20" s="281"/>
    </row>
    <row r="21" spans="1:19" s="110" customFormat="1">
      <c r="A21" s="306" t="s">
        <v>75</v>
      </c>
      <c r="B21" s="283" t="s">
        <v>70</v>
      </c>
      <c r="C21" s="283" t="s">
        <v>174</v>
      </c>
      <c r="D21" s="307">
        <v>202612</v>
      </c>
      <c r="E21" s="308">
        <v>95.92</v>
      </c>
      <c r="F21" s="308">
        <v>95.924999999999997</v>
      </c>
      <c r="G21" s="309">
        <v>95.924999999999997</v>
      </c>
      <c r="H21" s="329">
        <f t="shared" ref="H21:H33" si="6">IF(F21&lt;G21,F21,IF(E21&gt;G21,E21,G21))</f>
        <v>95.924999999999997</v>
      </c>
      <c r="I21" s="279">
        <f t="shared" ref="I21:I33" si="7">100-H21</f>
        <v>4.0750000000000028</v>
      </c>
      <c r="J21" s="279"/>
      <c r="K21" s="280"/>
      <c r="L21" s="281"/>
      <c r="M21" s="282"/>
      <c r="N21" s="282"/>
      <c r="O21" s="282"/>
      <c r="P21" s="281"/>
      <c r="Q21" s="282"/>
      <c r="R21" s="282"/>
      <c r="S21" s="281"/>
    </row>
    <row r="22" spans="1:19" s="110" customFormat="1">
      <c r="A22" s="306" t="s">
        <v>75</v>
      </c>
      <c r="B22" s="283" t="s">
        <v>70</v>
      </c>
      <c r="C22" s="283" t="s">
        <v>174</v>
      </c>
      <c r="D22" s="307">
        <v>202701</v>
      </c>
      <c r="E22" s="308">
        <v>95.844999999999999</v>
      </c>
      <c r="F22" s="308">
        <v>95.85</v>
      </c>
      <c r="G22" s="309">
        <v>95.85</v>
      </c>
      <c r="H22" s="329">
        <f t="shared" si="6"/>
        <v>95.85</v>
      </c>
      <c r="I22" s="279">
        <f t="shared" si="7"/>
        <v>4.1500000000000057</v>
      </c>
      <c r="J22" s="279"/>
      <c r="K22" s="280"/>
      <c r="L22" s="281"/>
      <c r="M22" s="282"/>
      <c r="N22" s="282"/>
      <c r="O22" s="282"/>
      <c r="P22" s="281"/>
      <c r="Q22" s="282"/>
      <c r="R22" s="282"/>
      <c r="S22" s="281"/>
    </row>
    <row r="23" spans="1:19" s="110" customFormat="1">
      <c r="A23" s="306" t="s">
        <v>75</v>
      </c>
      <c r="B23" s="283" t="s">
        <v>70</v>
      </c>
      <c r="C23" s="283" t="s">
        <v>174</v>
      </c>
      <c r="D23" s="307">
        <v>202702</v>
      </c>
      <c r="E23" s="308">
        <v>95.775000000000006</v>
      </c>
      <c r="F23" s="308">
        <v>95.78</v>
      </c>
      <c r="G23" s="309">
        <v>95.78</v>
      </c>
      <c r="H23" s="329">
        <f t="shared" si="6"/>
        <v>95.78</v>
      </c>
      <c r="I23" s="279">
        <f t="shared" si="7"/>
        <v>4.2199999999999989</v>
      </c>
      <c r="J23" s="279"/>
      <c r="K23" s="280"/>
      <c r="L23" s="281"/>
      <c r="M23" s="282"/>
      <c r="N23" s="282"/>
      <c r="O23" s="282"/>
      <c r="P23" s="281"/>
      <c r="Q23" s="282"/>
      <c r="R23" s="282"/>
      <c r="S23" s="281"/>
    </row>
    <row r="24" spans="1:19" s="110" customFormat="1">
      <c r="A24" s="306" t="s">
        <v>75</v>
      </c>
      <c r="B24" s="283" t="s">
        <v>70</v>
      </c>
      <c r="C24" s="283" t="s">
        <v>174</v>
      </c>
      <c r="D24" s="307">
        <v>202703</v>
      </c>
      <c r="E24" s="308">
        <v>95.694999999999993</v>
      </c>
      <c r="F24" s="308">
        <v>95.7</v>
      </c>
      <c r="G24" s="309">
        <v>95.7</v>
      </c>
      <c r="H24" s="329">
        <f t="shared" si="6"/>
        <v>95.7</v>
      </c>
      <c r="I24" s="279">
        <f t="shared" si="7"/>
        <v>4.2999999999999972</v>
      </c>
      <c r="J24" s="279"/>
      <c r="K24" s="280"/>
      <c r="L24" s="281"/>
      <c r="M24" s="282"/>
      <c r="N24" s="282"/>
      <c r="O24" s="282"/>
      <c r="P24" s="281"/>
      <c r="Q24" s="282"/>
      <c r="R24" s="282"/>
      <c r="S24" s="281"/>
    </row>
    <row r="25" spans="1:19" s="110" customFormat="1">
      <c r="A25" s="306" t="s">
        <v>75</v>
      </c>
      <c r="B25" s="283" t="s">
        <v>70</v>
      </c>
      <c r="C25" s="283" t="s">
        <v>174</v>
      </c>
      <c r="D25" s="307">
        <v>202704</v>
      </c>
      <c r="E25" s="308">
        <v>95.6</v>
      </c>
      <c r="F25" s="308">
        <v>95.605000000000004</v>
      </c>
      <c r="G25" s="309">
        <v>95.605000000000004</v>
      </c>
      <c r="H25" s="329">
        <f t="shared" si="6"/>
        <v>95.605000000000004</v>
      </c>
      <c r="I25" s="279">
        <f t="shared" si="7"/>
        <v>4.394999999999996</v>
      </c>
      <c r="J25" s="279"/>
      <c r="K25" s="280"/>
      <c r="L25" s="281"/>
      <c r="M25" s="282"/>
      <c r="N25" s="282"/>
      <c r="O25" s="282"/>
      <c r="P25" s="281"/>
      <c r="Q25" s="282"/>
      <c r="R25" s="282"/>
      <c r="S25" s="281"/>
    </row>
    <row r="26" spans="1:19" s="110" customFormat="1">
      <c r="A26" s="306" t="s">
        <v>75</v>
      </c>
      <c r="B26" s="283" t="s">
        <v>70</v>
      </c>
      <c r="C26" s="283" t="s">
        <v>174</v>
      </c>
      <c r="D26" s="307">
        <v>202705</v>
      </c>
      <c r="E26" s="308">
        <v>95.515000000000001</v>
      </c>
      <c r="F26" s="308">
        <v>95.525000000000006</v>
      </c>
      <c r="G26" s="309">
        <v>95.52</v>
      </c>
      <c r="H26" s="329">
        <f t="shared" si="6"/>
        <v>95.52</v>
      </c>
      <c r="I26" s="279">
        <f t="shared" si="7"/>
        <v>4.480000000000004</v>
      </c>
      <c r="J26" s="279"/>
      <c r="K26" s="280"/>
      <c r="L26" s="281"/>
      <c r="M26" s="282"/>
      <c r="N26" s="282"/>
      <c r="O26" s="282"/>
      <c r="P26" s="281"/>
      <c r="Q26" s="282"/>
      <c r="R26" s="282"/>
      <c r="S26" s="281"/>
    </row>
    <row r="27" spans="1:19" s="110" customFormat="1">
      <c r="A27" s="306" t="s">
        <v>75</v>
      </c>
      <c r="B27" s="283" t="s">
        <v>70</v>
      </c>
      <c r="C27" s="283" t="s">
        <v>174</v>
      </c>
      <c r="D27" s="307">
        <v>202706</v>
      </c>
      <c r="E27" s="308">
        <v>95.444999999999993</v>
      </c>
      <c r="F27" s="308">
        <v>95.45</v>
      </c>
      <c r="G27" s="309">
        <v>95.454999999999998</v>
      </c>
      <c r="H27" s="329">
        <f t="shared" si="6"/>
        <v>95.45</v>
      </c>
      <c r="I27" s="279">
        <f t="shared" si="7"/>
        <v>4.5499999999999972</v>
      </c>
      <c r="J27" s="279"/>
      <c r="K27" s="280"/>
      <c r="L27" s="281"/>
      <c r="M27" s="282"/>
      <c r="N27" s="282"/>
      <c r="O27" s="282"/>
      <c r="P27" s="281"/>
      <c r="Q27" s="282"/>
      <c r="R27" s="282"/>
      <c r="S27" s="281"/>
    </row>
    <row r="28" spans="1:19" s="110" customFormat="1">
      <c r="A28" s="306" t="s">
        <v>75</v>
      </c>
      <c r="B28" s="283" t="s">
        <v>70</v>
      </c>
      <c r="C28" s="283" t="s">
        <v>174</v>
      </c>
      <c r="D28" s="307">
        <v>202707</v>
      </c>
      <c r="E28" s="308">
        <v>95.405000000000001</v>
      </c>
      <c r="F28" s="308">
        <v>95.41</v>
      </c>
      <c r="G28" s="309">
        <v>95.41</v>
      </c>
      <c r="H28" s="329">
        <f t="shared" si="6"/>
        <v>95.41</v>
      </c>
      <c r="I28" s="279">
        <f t="shared" si="7"/>
        <v>4.5900000000000034</v>
      </c>
      <c r="J28" s="279"/>
      <c r="K28" s="280"/>
      <c r="L28" s="281"/>
      <c r="M28" s="282"/>
      <c r="N28" s="282"/>
      <c r="O28" s="282"/>
      <c r="P28" s="281"/>
      <c r="Q28" s="282"/>
      <c r="R28" s="282"/>
      <c r="S28" s="281"/>
    </row>
    <row r="29" spans="1:19" s="110" customFormat="1">
      <c r="A29" s="306" t="s">
        <v>75</v>
      </c>
      <c r="B29" s="283" t="s">
        <v>70</v>
      </c>
      <c r="C29" s="283" t="s">
        <v>174</v>
      </c>
      <c r="D29" s="307">
        <v>202708</v>
      </c>
      <c r="E29" s="308">
        <v>95.38</v>
      </c>
      <c r="F29" s="308">
        <v>95.385000000000005</v>
      </c>
      <c r="G29" s="309">
        <v>95.38</v>
      </c>
      <c r="H29" s="329">
        <f t="shared" si="6"/>
        <v>95.38</v>
      </c>
      <c r="I29" s="279">
        <f t="shared" si="7"/>
        <v>4.6200000000000045</v>
      </c>
      <c r="J29" s="279"/>
      <c r="K29" s="280"/>
      <c r="L29" s="281"/>
      <c r="M29" s="282"/>
      <c r="N29" s="282"/>
      <c r="O29" s="282"/>
      <c r="P29" s="281"/>
      <c r="Q29" s="282"/>
      <c r="R29" s="282"/>
      <c r="S29" s="281"/>
    </row>
    <row r="30" spans="1:19" s="110" customFormat="1">
      <c r="A30" s="306" t="s">
        <v>75</v>
      </c>
      <c r="B30" s="283" t="s">
        <v>70</v>
      </c>
      <c r="C30" s="283" t="s">
        <v>174</v>
      </c>
      <c r="D30" s="307">
        <v>202709</v>
      </c>
      <c r="E30" s="308">
        <v>95.355000000000004</v>
      </c>
      <c r="F30" s="308">
        <v>95.364999999999995</v>
      </c>
      <c r="G30" s="309">
        <v>95.364999999999995</v>
      </c>
      <c r="H30" s="329">
        <f t="shared" si="6"/>
        <v>95.364999999999995</v>
      </c>
      <c r="I30" s="279">
        <f t="shared" si="7"/>
        <v>4.6350000000000051</v>
      </c>
      <c r="J30" s="279"/>
      <c r="K30" s="280"/>
      <c r="L30" s="281"/>
      <c r="M30" s="282"/>
      <c r="N30" s="282"/>
      <c r="O30" s="282"/>
      <c r="P30" s="281"/>
      <c r="Q30" s="282"/>
      <c r="R30" s="282"/>
      <c r="S30" s="281"/>
    </row>
    <row r="31" spans="1:19" s="110" customFormat="1">
      <c r="A31" s="306" t="s">
        <v>75</v>
      </c>
      <c r="B31" s="283" t="s">
        <v>70</v>
      </c>
      <c r="C31" s="283" t="s">
        <v>174</v>
      </c>
      <c r="D31" s="307">
        <v>202710</v>
      </c>
      <c r="E31" s="308">
        <v>95.34</v>
      </c>
      <c r="F31" s="308">
        <v>95.35</v>
      </c>
      <c r="G31" s="309">
        <v>95.35</v>
      </c>
      <c r="H31" s="329">
        <f t="shared" si="6"/>
        <v>95.35</v>
      </c>
      <c r="I31" s="279">
        <f t="shared" si="7"/>
        <v>4.6500000000000057</v>
      </c>
      <c r="J31" s="279"/>
      <c r="K31" s="280"/>
      <c r="L31" s="281"/>
      <c r="M31" s="282"/>
      <c r="N31" s="282"/>
      <c r="O31" s="282"/>
      <c r="P31" s="281"/>
      <c r="Q31" s="282"/>
      <c r="R31" s="282"/>
      <c r="S31" s="281"/>
    </row>
    <row r="32" spans="1:19" s="110" customFormat="1">
      <c r="A32" s="306" t="s">
        <v>75</v>
      </c>
      <c r="B32" s="283" t="s">
        <v>70</v>
      </c>
      <c r="C32" s="283" t="s">
        <v>174</v>
      </c>
      <c r="D32" s="307">
        <v>202711</v>
      </c>
      <c r="E32" s="308">
        <v>95.34</v>
      </c>
      <c r="F32" s="308">
        <v>95.35</v>
      </c>
      <c r="G32" s="309" t="s">
        <v>191</v>
      </c>
      <c r="H32" s="329">
        <f t="shared" si="6"/>
        <v>95.35</v>
      </c>
      <c r="I32" s="279">
        <f t="shared" si="7"/>
        <v>4.6500000000000057</v>
      </c>
      <c r="J32" s="279"/>
      <c r="K32" s="280"/>
      <c r="L32" s="281"/>
      <c r="M32" s="282"/>
      <c r="N32" s="282"/>
      <c r="O32" s="282"/>
      <c r="P32" s="281"/>
      <c r="Q32" s="282"/>
      <c r="R32" s="282"/>
      <c r="S32" s="281"/>
    </row>
    <row r="33" spans="1:19" s="110" customFormat="1">
      <c r="A33" s="306" t="s">
        <v>75</v>
      </c>
      <c r="B33" s="283" t="s">
        <v>70</v>
      </c>
      <c r="C33" s="283" t="s">
        <v>174</v>
      </c>
      <c r="D33" s="307">
        <v>202712</v>
      </c>
      <c r="E33" s="308">
        <v>95.215000000000003</v>
      </c>
      <c r="F33" s="308">
        <v>95.54</v>
      </c>
      <c r="G33" s="309" t="s">
        <v>191</v>
      </c>
      <c r="H33" s="329">
        <f t="shared" si="6"/>
        <v>95.54</v>
      </c>
      <c r="I33" s="279">
        <f t="shared" si="7"/>
        <v>4.4599999999999937</v>
      </c>
      <c r="J33" s="279"/>
      <c r="K33" s="280"/>
      <c r="L33" s="281"/>
      <c r="M33" s="282"/>
      <c r="N33" s="282"/>
      <c r="O33" s="282"/>
      <c r="P33" s="281"/>
      <c r="Q33" s="282"/>
      <c r="R33" s="282"/>
      <c r="S33" s="281"/>
    </row>
    <row r="34" spans="1:19" s="117" customFormat="1">
      <c r="A34" s="105" t="s">
        <v>76</v>
      </c>
      <c r="B34" s="106" t="s">
        <v>70</v>
      </c>
      <c r="C34" s="106" t="s">
        <v>174</v>
      </c>
      <c r="D34" s="237">
        <v>202606</v>
      </c>
      <c r="E34" s="107" t="s">
        <v>191</v>
      </c>
      <c r="F34" s="107" t="s">
        <v>191</v>
      </c>
      <c r="G34" s="108" t="s">
        <v>191</v>
      </c>
      <c r="H34" s="330" t="str">
        <f t="shared" ref="H34:H39" si="8">IF(F34&lt;G34,F34,IF(E34&gt;G34,E34,G34))</f>
        <v>-</v>
      </c>
      <c r="I34" s="109" t="e">
        <f t="shared" ref="I34:I39" si="9">100-H34</f>
        <v>#VALUE!</v>
      </c>
      <c r="K34" s="110"/>
    </row>
    <row r="35" spans="1:19" s="117" customFormat="1">
      <c r="A35" s="105" t="s">
        <v>76</v>
      </c>
      <c r="B35" s="106" t="s">
        <v>70</v>
      </c>
      <c r="C35" s="106" t="s">
        <v>174</v>
      </c>
      <c r="D35" s="237">
        <v>202607</v>
      </c>
      <c r="E35" s="107" t="s">
        <v>191</v>
      </c>
      <c r="F35" s="107" t="s">
        <v>191</v>
      </c>
      <c r="G35" s="108" t="s">
        <v>191</v>
      </c>
      <c r="H35" s="330" t="str">
        <f t="shared" si="8"/>
        <v>-</v>
      </c>
      <c r="I35" s="109" t="e">
        <f t="shared" si="9"/>
        <v>#VALUE!</v>
      </c>
      <c r="K35" s="110"/>
    </row>
    <row r="36" spans="1:19" s="117" customFormat="1">
      <c r="A36" s="105" t="s">
        <v>76</v>
      </c>
      <c r="B36" s="106" t="s">
        <v>70</v>
      </c>
      <c r="C36" s="106" t="s">
        <v>174</v>
      </c>
      <c r="D36" s="237">
        <v>202608</v>
      </c>
      <c r="E36" s="107">
        <v>96.162499999999994</v>
      </c>
      <c r="F36" s="107">
        <v>96.165000000000006</v>
      </c>
      <c r="G36" s="108">
        <v>96.165000000000006</v>
      </c>
      <c r="H36" s="330">
        <f t="shared" si="8"/>
        <v>96.165000000000006</v>
      </c>
      <c r="I36" s="109">
        <f t="shared" si="9"/>
        <v>3.8349999999999937</v>
      </c>
      <c r="K36" s="110"/>
    </row>
    <row r="37" spans="1:19" s="117" customFormat="1">
      <c r="A37" s="105" t="s">
        <v>76</v>
      </c>
      <c r="B37" s="106" t="s">
        <v>70</v>
      </c>
      <c r="C37" s="106" t="s">
        <v>174</v>
      </c>
      <c r="D37" s="237">
        <v>202609</v>
      </c>
      <c r="E37" s="107">
        <v>96.0625</v>
      </c>
      <c r="F37" s="107">
        <v>96.064999999999998</v>
      </c>
      <c r="G37" s="108">
        <v>96.0625</v>
      </c>
      <c r="H37" s="330">
        <f t="shared" si="8"/>
        <v>96.0625</v>
      </c>
      <c r="I37" s="109">
        <f t="shared" si="9"/>
        <v>3.9375</v>
      </c>
      <c r="K37" s="110"/>
    </row>
    <row r="38" spans="1:19" s="117" customFormat="1">
      <c r="A38" s="105" t="s">
        <v>76</v>
      </c>
      <c r="B38" s="106" t="s">
        <v>70</v>
      </c>
      <c r="C38" s="106" t="s">
        <v>174</v>
      </c>
      <c r="D38" s="237">
        <v>202610</v>
      </c>
      <c r="E38" s="107">
        <v>95.957499999999996</v>
      </c>
      <c r="F38" s="107">
        <v>95.965000000000003</v>
      </c>
      <c r="G38" s="108">
        <v>95.97</v>
      </c>
      <c r="H38" s="330">
        <f t="shared" si="8"/>
        <v>95.965000000000003</v>
      </c>
      <c r="I38" s="109">
        <f t="shared" si="9"/>
        <v>4.0349999999999966</v>
      </c>
      <c r="K38" s="110"/>
    </row>
    <row r="39" spans="1:19" s="117" customFormat="1">
      <c r="A39" s="105" t="s">
        <v>76</v>
      </c>
      <c r="B39" s="106" t="s">
        <v>70</v>
      </c>
      <c r="C39" s="106" t="s">
        <v>174</v>
      </c>
      <c r="D39" s="237">
        <v>202611</v>
      </c>
      <c r="E39" s="107">
        <v>95.87</v>
      </c>
      <c r="F39" s="107">
        <v>95.877499999999998</v>
      </c>
      <c r="G39" s="108" t="s">
        <v>191</v>
      </c>
      <c r="H39" s="330">
        <f t="shared" si="8"/>
        <v>95.877499999999998</v>
      </c>
      <c r="I39" s="109">
        <f t="shared" si="9"/>
        <v>4.1225000000000023</v>
      </c>
      <c r="K39" s="110"/>
    </row>
    <row r="40" spans="1:19" s="117" customFormat="1">
      <c r="A40" s="105" t="s">
        <v>76</v>
      </c>
      <c r="B40" s="106" t="s">
        <v>70</v>
      </c>
      <c r="C40" s="106" t="s">
        <v>174</v>
      </c>
      <c r="D40" s="237">
        <v>202612</v>
      </c>
      <c r="E40" s="107">
        <v>95.795000000000002</v>
      </c>
      <c r="F40" s="107">
        <v>95.8</v>
      </c>
      <c r="G40" s="108">
        <v>95.795000000000002</v>
      </c>
      <c r="H40" s="330">
        <f>IF(F40&lt;G40,F40,IF(E40&gt;G40,E40,G40))</f>
        <v>95.795000000000002</v>
      </c>
      <c r="I40" s="109">
        <f>100-H40</f>
        <v>4.2049999999999983</v>
      </c>
      <c r="K40" s="110"/>
    </row>
    <row r="41" spans="1:19" s="117" customFormat="1">
      <c r="A41" s="105" t="s">
        <v>76</v>
      </c>
      <c r="B41" s="106" t="s">
        <v>70</v>
      </c>
      <c r="C41" s="106" t="s">
        <v>174</v>
      </c>
      <c r="D41" s="237">
        <v>202701</v>
      </c>
      <c r="E41" s="107">
        <v>95.694999999999993</v>
      </c>
      <c r="F41" s="107">
        <v>95.704999999999998</v>
      </c>
      <c r="G41" s="108">
        <v>95.715000000000003</v>
      </c>
      <c r="H41" s="330">
        <f t="shared" ref="H41:H49" si="10">IF(F41&lt;G41,F41,IF(E41&gt;G41,E41,G41))</f>
        <v>95.704999999999998</v>
      </c>
      <c r="I41" s="109">
        <f t="shared" ref="I41:I49" si="11">100-H41</f>
        <v>4.2950000000000017</v>
      </c>
      <c r="K41" s="110"/>
    </row>
    <row r="42" spans="1:19" s="112" customFormat="1">
      <c r="A42" s="105" t="s">
        <v>76</v>
      </c>
      <c r="B42" s="106" t="s">
        <v>70</v>
      </c>
      <c r="C42" s="106" t="s">
        <v>174</v>
      </c>
      <c r="D42" s="237">
        <v>202702</v>
      </c>
      <c r="E42" s="107">
        <v>95.614999999999995</v>
      </c>
      <c r="F42" s="107">
        <v>95.625</v>
      </c>
      <c r="G42" s="108" t="s">
        <v>191</v>
      </c>
      <c r="H42" s="330">
        <f t="shared" si="10"/>
        <v>95.625</v>
      </c>
      <c r="I42" s="109">
        <f t="shared" si="11"/>
        <v>4.375</v>
      </c>
    </row>
    <row r="43" spans="1:19" s="112" customFormat="1">
      <c r="A43" s="105" t="s">
        <v>76</v>
      </c>
      <c r="B43" s="106" t="s">
        <v>70</v>
      </c>
      <c r="C43" s="106" t="s">
        <v>174</v>
      </c>
      <c r="D43" s="237">
        <v>202703</v>
      </c>
      <c r="E43" s="107">
        <v>95.53</v>
      </c>
      <c r="F43" s="107">
        <v>95.534999999999997</v>
      </c>
      <c r="G43" s="108">
        <v>95.534999999999997</v>
      </c>
      <c r="H43" s="330">
        <f t="shared" si="10"/>
        <v>95.534999999999997</v>
      </c>
      <c r="I43" s="109">
        <f t="shared" si="11"/>
        <v>4.4650000000000034</v>
      </c>
    </row>
    <row r="44" spans="1:19" s="112" customFormat="1">
      <c r="A44" s="105" t="s">
        <v>76</v>
      </c>
      <c r="B44" s="106" t="s">
        <v>70</v>
      </c>
      <c r="C44" s="106" t="s">
        <v>174</v>
      </c>
      <c r="D44" s="237">
        <v>202704</v>
      </c>
      <c r="E44" s="107">
        <v>95.45</v>
      </c>
      <c r="F44" s="107">
        <v>95.46</v>
      </c>
      <c r="G44" s="108" t="s">
        <v>191</v>
      </c>
      <c r="H44" s="330">
        <f t="shared" si="10"/>
        <v>95.46</v>
      </c>
      <c r="I44" s="109">
        <f t="shared" si="11"/>
        <v>4.5400000000000063</v>
      </c>
    </row>
    <row r="45" spans="1:19" s="112" customFormat="1">
      <c r="A45" s="105" t="s">
        <v>76</v>
      </c>
      <c r="B45" s="106" t="s">
        <v>70</v>
      </c>
      <c r="C45" s="106" t="s">
        <v>174</v>
      </c>
      <c r="D45" s="237">
        <v>202705</v>
      </c>
      <c r="E45" s="107" t="s">
        <v>191</v>
      </c>
      <c r="F45" s="107" t="s">
        <v>191</v>
      </c>
      <c r="G45" s="108" t="s">
        <v>191</v>
      </c>
      <c r="H45" s="330" t="str">
        <f t="shared" si="10"/>
        <v>-</v>
      </c>
      <c r="I45" s="109" t="e">
        <f t="shared" si="11"/>
        <v>#VALUE!</v>
      </c>
    </row>
    <row r="46" spans="1:19" s="112" customFormat="1">
      <c r="A46" s="105" t="s">
        <v>76</v>
      </c>
      <c r="B46" s="106" t="s">
        <v>70</v>
      </c>
      <c r="C46" s="106" t="s">
        <v>174</v>
      </c>
      <c r="D46" s="237">
        <v>202706</v>
      </c>
      <c r="E46" s="107">
        <v>95.364999999999995</v>
      </c>
      <c r="F46" s="107">
        <v>95.37</v>
      </c>
      <c r="G46" s="108">
        <v>95.37</v>
      </c>
      <c r="H46" s="330">
        <f t="shared" si="10"/>
        <v>95.37</v>
      </c>
      <c r="I46" s="109">
        <f t="shared" si="11"/>
        <v>4.6299999999999955</v>
      </c>
    </row>
    <row r="47" spans="1:19" s="112" customFormat="1">
      <c r="A47" s="105" t="s">
        <v>76</v>
      </c>
      <c r="B47" s="106" t="s">
        <v>70</v>
      </c>
      <c r="C47" s="106" t="s">
        <v>174</v>
      </c>
      <c r="D47" s="237">
        <v>202707</v>
      </c>
      <c r="E47" s="107" t="s">
        <v>191</v>
      </c>
      <c r="F47" s="107" t="s">
        <v>191</v>
      </c>
      <c r="G47" s="108" t="s">
        <v>191</v>
      </c>
      <c r="H47" s="330" t="str">
        <f t="shared" si="10"/>
        <v>-</v>
      </c>
      <c r="I47" s="109" t="e">
        <f t="shared" si="11"/>
        <v>#VALUE!</v>
      </c>
      <c r="K47" s="110"/>
    </row>
    <row r="48" spans="1:19" s="112" customFormat="1">
      <c r="A48" s="105" t="s">
        <v>76</v>
      </c>
      <c r="B48" s="106" t="s">
        <v>70</v>
      </c>
      <c r="C48" s="106" t="s">
        <v>174</v>
      </c>
      <c r="D48" s="237">
        <v>202708</v>
      </c>
      <c r="E48" s="107" t="s">
        <v>191</v>
      </c>
      <c r="F48" s="107" t="s">
        <v>191</v>
      </c>
      <c r="G48" s="108" t="s">
        <v>191</v>
      </c>
      <c r="H48" s="330" t="str">
        <f t="shared" si="10"/>
        <v>-</v>
      </c>
      <c r="I48" s="109" t="e">
        <f t="shared" si="11"/>
        <v>#VALUE!</v>
      </c>
      <c r="K48" s="110"/>
    </row>
    <row r="49" spans="1:12" s="112" customFormat="1">
      <c r="A49" s="105" t="s">
        <v>76</v>
      </c>
      <c r="B49" s="106" t="s">
        <v>70</v>
      </c>
      <c r="C49" s="106" t="s">
        <v>174</v>
      </c>
      <c r="D49" s="237">
        <v>202709</v>
      </c>
      <c r="E49" s="107">
        <v>95.32</v>
      </c>
      <c r="F49" s="107">
        <v>95.325000000000003</v>
      </c>
      <c r="G49" s="108">
        <v>95.32</v>
      </c>
      <c r="H49" s="330">
        <f t="shared" si="10"/>
        <v>95.32</v>
      </c>
      <c r="I49" s="109">
        <f t="shared" si="11"/>
        <v>4.6800000000000068</v>
      </c>
      <c r="K49" s="110"/>
    </row>
    <row r="50" spans="1:12" s="112" customFormat="1">
      <c r="A50" s="105" t="s">
        <v>76</v>
      </c>
      <c r="B50" s="106" t="s">
        <v>70</v>
      </c>
      <c r="C50" s="106" t="s">
        <v>174</v>
      </c>
      <c r="D50" s="237">
        <v>202710</v>
      </c>
      <c r="E50" s="368" t="s">
        <v>191</v>
      </c>
      <c r="F50" s="368" t="s">
        <v>191</v>
      </c>
      <c r="G50" s="369" t="s">
        <v>191</v>
      </c>
      <c r="H50" s="330" t="str">
        <f t="shared" ref="H50:H52" si="12">IF(F50&lt;G50,F50,IF(E50&gt;G50,E50,G50))</f>
        <v>-</v>
      </c>
      <c r="I50" s="109" t="e">
        <f t="shared" ref="I50:I52" si="13">100-H50</f>
        <v>#VALUE!</v>
      </c>
      <c r="K50" s="110"/>
    </row>
    <row r="51" spans="1:12" s="112" customFormat="1">
      <c r="A51" s="105" t="s">
        <v>76</v>
      </c>
      <c r="B51" s="106" t="s">
        <v>70</v>
      </c>
      <c r="C51" s="106" t="s">
        <v>174</v>
      </c>
      <c r="D51" s="237">
        <v>202711</v>
      </c>
      <c r="E51" s="368" t="s">
        <v>191</v>
      </c>
      <c r="F51" s="368" t="s">
        <v>191</v>
      </c>
      <c r="G51" s="370" t="s">
        <v>191</v>
      </c>
      <c r="H51" s="330" t="str">
        <f t="shared" si="12"/>
        <v>-</v>
      </c>
      <c r="I51" s="109" t="e">
        <f t="shared" si="13"/>
        <v>#VALUE!</v>
      </c>
      <c r="J51" s="17"/>
      <c r="K51" s="110"/>
    </row>
    <row r="52" spans="1:12">
      <c r="A52" s="105" t="s">
        <v>76</v>
      </c>
      <c r="B52" s="106" t="s">
        <v>70</v>
      </c>
      <c r="C52" s="106" t="s">
        <v>174</v>
      </c>
      <c r="D52" s="237">
        <v>202712</v>
      </c>
      <c r="E52" s="368">
        <v>95.34</v>
      </c>
      <c r="F52" s="368">
        <v>95.344999999999999</v>
      </c>
      <c r="G52" s="370">
        <v>95.344999999999999</v>
      </c>
      <c r="H52" s="330">
        <f t="shared" si="12"/>
        <v>95.344999999999999</v>
      </c>
      <c r="I52" s="109">
        <f t="shared" si="13"/>
        <v>4.6550000000000011</v>
      </c>
      <c r="L52" s="11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203</v>
      </c>
      <c r="B1" s="11" t="s">
        <v>204</v>
      </c>
    </row>
    <row r="2" spans="1:8">
      <c r="A2" s="4" t="s">
        <v>78</v>
      </c>
      <c r="B2" s="7" t="s">
        <v>195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196</v>
      </c>
      <c r="C7" s="9">
        <f>COUNTA(INPUT!A:A)</f>
        <v>52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352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363" t="s">
        <v>207</v>
      </c>
      <c r="B15" s="234"/>
    </row>
    <row r="16" spans="1:8" ht="16.5" thickBot="1">
      <c r="A16" s="233" t="s">
        <v>205</v>
      </c>
      <c r="B16" s="235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19" t="s">
        <v>8</v>
      </c>
    </row>
    <row r="29" spans="1:1">
      <c r="A29" s="119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183" customWidth="1"/>
    <col min="3" max="3" width="14.125" customWidth="1"/>
    <col min="4" max="4" width="15.875" style="183" bestFit="1" customWidth="1"/>
    <col min="5" max="5" width="13.625" style="355" bestFit="1" customWidth="1"/>
  </cols>
  <sheetData>
    <row r="1" spans="1:5" s="183" customFormat="1">
      <c r="A1" s="354" t="s">
        <v>199</v>
      </c>
      <c r="B1" s="354" t="s">
        <v>200</v>
      </c>
      <c r="C1" s="354" t="s">
        <v>198</v>
      </c>
      <c r="D1" s="354" t="s">
        <v>201</v>
      </c>
      <c r="E1" s="354" t="s">
        <v>202</v>
      </c>
    </row>
    <row r="2" spans="1:5">
      <c r="A2" s="357">
        <f>'DAILY EXTRAPOLATION'!C2376</f>
        <v>46174</v>
      </c>
      <c r="B2" s="356">
        <f>A3</f>
        <v>46175</v>
      </c>
      <c r="C2" s="353">
        <f>'DAILY EXTRAPOLATION'!P2376</f>
        <v>1.000101388888889</v>
      </c>
      <c r="D2" s="358">
        <f>1*C2</f>
        <v>1.000101388888889</v>
      </c>
      <c r="E2" s="355">
        <f>(D2/1-1)*360/(B2-A$2)</f>
        <v>3.6500000000039279E-2</v>
      </c>
    </row>
    <row r="3" spans="1:5">
      <c r="A3" s="357">
        <f>'DAILY EXTRAPOLATION'!C2377</f>
        <v>46175</v>
      </c>
      <c r="B3" s="356">
        <f t="shared" ref="B3:B66" si="0">A4</f>
        <v>46176</v>
      </c>
      <c r="C3" s="353">
        <f>'DAILY EXTRAPOLATION'!P2377</f>
        <v>1.0001008333333334</v>
      </c>
      <c r="D3" s="359">
        <f>D2*C3</f>
        <v>1.0002022324456021</v>
      </c>
      <c r="E3" s="355">
        <f>(D3/1-1)*360/(B3-A$2)</f>
        <v>3.6401840208384328E-2</v>
      </c>
    </row>
    <row r="4" spans="1:5">
      <c r="A4" s="357">
        <f>'DAILY EXTRAPOLATION'!C2378</f>
        <v>46176</v>
      </c>
      <c r="B4" s="356">
        <f t="shared" si="0"/>
        <v>46177</v>
      </c>
      <c r="C4" s="353">
        <f>'DAILY EXTRAPOLATION'!P2378</f>
        <v>1.0001002777777779</v>
      </c>
      <c r="D4" s="359">
        <f t="shared" ref="D4:D67" si="1">D3*C4</f>
        <v>1.0003025305028002</v>
      </c>
      <c r="E4" s="355">
        <f t="shared" ref="E4:E67" si="2">(D4/1-1)*360/(B4-A$2)</f>
        <v>3.630366033601895E-2</v>
      </c>
    </row>
    <row r="5" spans="1:5">
      <c r="A5" s="357">
        <f>'DAILY EXTRAPOLATION'!C2379</f>
        <v>46177</v>
      </c>
      <c r="B5" s="356">
        <f t="shared" si="0"/>
        <v>46178</v>
      </c>
      <c r="C5" s="353">
        <f>'DAILY EXTRAPOLATION'!P2379</f>
        <v>1.0001005555555555</v>
      </c>
      <c r="D5" s="359">
        <f t="shared" si="1"/>
        <v>1.0004031164794784</v>
      </c>
      <c r="E5" s="355">
        <f t="shared" si="2"/>
        <v>3.6280483153059429E-2</v>
      </c>
    </row>
    <row r="6" spans="1:5">
      <c r="A6" s="357">
        <f>'DAILY EXTRAPOLATION'!C2380</f>
        <v>46178</v>
      </c>
      <c r="B6" s="356">
        <f t="shared" si="0"/>
        <v>46179</v>
      </c>
      <c r="C6" s="353">
        <f>'DAILY EXTRAPOLATION'!P2380</f>
        <v>1.0003025000000001</v>
      </c>
      <c r="D6" s="359">
        <f t="shared" si="1"/>
        <v>1.0007057384222136</v>
      </c>
      <c r="E6" s="355">
        <f t="shared" si="2"/>
        <v>5.0813166399375831E-2</v>
      </c>
    </row>
    <row r="7" spans="1:5">
      <c r="A7" s="357">
        <f>'DAILY EXTRAPOLATION'!C2381</f>
        <v>46179</v>
      </c>
      <c r="B7" s="356">
        <f t="shared" si="0"/>
        <v>46180</v>
      </c>
      <c r="C7" s="353">
        <f>'DAILY EXTRAPOLATION'!P2381</f>
        <v>1</v>
      </c>
      <c r="D7" s="359">
        <f t="shared" si="1"/>
        <v>1.0007057384222136</v>
      </c>
      <c r="E7" s="355">
        <f t="shared" si="2"/>
        <v>4.2344305332813192E-2</v>
      </c>
    </row>
    <row r="8" spans="1:5">
      <c r="A8" s="357">
        <f>'DAILY EXTRAPOLATION'!C2382</f>
        <v>46180</v>
      </c>
      <c r="B8" s="356">
        <f t="shared" si="0"/>
        <v>46181</v>
      </c>
      <c r="C8" s="353">
        <f>'DAILY EXTRAPOLATION'!P2382</f>
        <v>1</v>
      </c>
      <c r="D8" s="359">
        <f t="shared" si="1"/>
        <v>1.0007057384222136</v>
      </c>
      <c r="E8" s="355">
        <f t="shared" si="2"/>
        <v>3.629511885669702E-2</v>
      </c>
    </row>
    <row r="9" spans="1:5">
      <c r="A9" s="357">
        <f>'DAILY EXTRAPOLATION'!C2383</f>
        <v>46181</v>
      </c>
      <c r="B9" s="356">
        <f t="shared" si="0"/>
        <v>46182</v>
      </c>
      <c r="C9" s="353">
        <f>'DAILY EXTRAPOLATION'!P2383</f>
        <v>1.0001008333333334</v>
      </c>
      <c r="D9" s="359">
        <f t="shared" si="1"/>
        <v>1.0008066429175047</v>
      </c>
      <c r="E9" s="355">
        <f t="shared" si="2"/>
        <v>3.6298931287709335E-2</v>
      </c>
    </row>
    <row r="10" spans="1:5">
      <c r="A10" s="357">
        <f>'DAILY EXTRAPOLATION'!C2384</f>
        <v>46182</v>
      </c>
      <c r="B10" s="356">
        <f t="shared" si="0"/>
        <v>46183</v>
      </c>
      <c r="C10" s="353">
        <f>'DAILY EXTRAPOLATION'!P2384</f>
        <v>1.0001</v>
      </c>
      <c r="D10" s="359">
        <f t="shared" si="1"/>
        <v>1.0009067235817963</v>
      </c>
      <c r="E10" s="355">
        <f t="shared" si="2"/>
        <v>3.626894327185326E-2</v>
      </c>
    </row>
    <row r="11" spans="1:5">
      <c r="A11" s="357">
        <f>'DAILY EXTRAPOLATION'!C2385</f>
        <v>46183</v>
      </c>
      <c r="B11" s="356">
        <f t="shared" si="0"/>
        <v>46184</v>
      </c>
      <c r="C11" s="353">
        <f>'DAILY EXTRAPOLATION'!P2385</f>
        <v>1.0000997222222223</v>
      </c>
      <c r="D11" s="359">
        <f t="shared" si="1"/>
        <v>1.0010065362245091</v>
      </c>
      <c r="E11" s="355">
        <f t="shared" si="2"/>
        <v>3.6235304082326891E-2</v>
      </c>
    </row>
    <row r="12" spans="1:5">
      <c r="A12" s="357">
        <f>'DAILY EXTRAPOLATION'!C2386</f>
        <v>46184</v>
      </c>
      <c r="B12" s="356">
        <f t="shared" si="0"/>
        <v>46185</v>
      </c>
      <c r="C12" s="353">
        <f>'DAILY EXTRAPOLATION'!P2386</f>
        <v>1.0001</v>
      </c>
      <c r="D12" s="359">
        <f t="shared" si="1"/>
        <v>1.0011066368781316</v>
      </c>
      <c r="E12" s="355">
        <f t="shared" si="2"/>
        <v>3.6217206920671104E-2</v>
      </c>
    </row>
    <row r="13" spans="1:5">
      <c r="A13" s="357">
        <f>'DAILY EXTRAPOLATION'!C2387</f>
        <v>46185</v>
      </c>
      <c r="B13" s="356">
        <f t="shared" si="0"/>
        <v>46186</v>
      </c>
      <c r="C13" s="353">
        <f>'DAILY EXTRAPOLATION'!P2387</f>
        <v>1.0003041666666668</v>
      </c>
      <c r="D13" s="359">
        <f t="shared" si="1"/>
        <v>1.0014111401468488</v>
      </c>
      <c r="E13" s="355">
        <f t="shared" si="2"/>
        <v>4.2334204405465314E-2</v>
      </c>
    </row>
    <row r="14" spans="1:5">
      <c r="A14" s="357">
        <f>'DAILY EXTRAPOLATION'!C2388</f>
        <v>46186</v>
      </c>
      <c r="B14" s="356">
        <f t="shared" si="0"/>
        <v>46187</v>
      </c>
      <c r="C14" s="353">
        <f>'DAILY EXTRAPOLATION'!P2388</f>
        <v>1</v>
      </c>
      <c r="D14" s="359">
        <f t="shared" si="1"/>
        <v>1.0014111401468488</v>
      </c>
      <c r="E14" s="355">
        <f t="shared" si="2"/>
        <v>3.9077727143506442E-2</v>
      </c>
    </row>
    <row r="15" spans="1:5">
      <c r="A15" s="357">
        <f>'DAILY EXTRAPOLATION'!C2389</f>
        <v>46187</v>
      </c>
      <c r="B15" s="356">
        <f t="shared" si="0"/>
        <v>46188</v>
      </c>
      <c r="C15" s="353">
        <f>'DAILY EXTRAPOLATION'!P2389</f>
        <v>1</v>
      </c>
      <c r="D15" s="359">
        <f t="shared" si="1"/>
        <v>1.0014111401468488</v>
      </c>
      <c r="E15" s="355">
        <f t="shared" si="2"/>
        <v>3.6286460918970267E-2</v>
      </c>
    </row>
    <row r="16" spans="1:5">
      <c r="A16" s="357">
        <f>'DAILY EXTRAPOLATION'!C2390</f>
        <v>46188</v>
      </c>
      <c r="B16" s="356">
        <f t="shared" si="0"/>
        <v>46189</v>
      </c>
      <c r="C16" s="353">
        <f>'DAILY EXTRAPOLATION'!P2390</f>
        <v>1.0001024999999999</v>
      </c>
      <c r="D16" s="359">
        <f t="shared" si="1"/>
        <v>1.0015137847887139</v>
      </c>
      <c r="E16" s="355">
        <f t="shared" si="2"/>
        <v>3.633083492913336E-2</v>
      </c>
    </row>
    <row r="17" spans="1:5">
      <c r="A17" s="357">
        <f>'DAILY EXTRAPOLATION'!C2391</f>
        <v>46189</v>
      </c>
      <c r="B17" s="356">
        <f t="shared" si="0"/>
        <v>46190</v>
      </c>
      <c r="C17" s="353">
        <f>'DAILY EXTRAPOLATION'!P2391</f>
        <v>1.0001008333333334</v>
      </c>
      <c r="D17" s="359">
        <f t="shared" si="1"/>
        <v>1.0016147707620136</v>
      </c>
      <c r="E17" s="355">
        <f t="shared" si="2"/>
        <v>3.6332342145304897E-2</v>
      </c>
    </row>
    <row r="18" spans="1:5">
      <c r="A18" s="357">
        <f>'DAILY EXTRAPOLATION'!C2392</f>
        <v>46190</v>
      </c>
      <c r="B18" s="356">
        <f t="shared" si="0"/>
        <v>46191</v>
      </c>
      <c r="C18" s="353">
        <f>'DAILY EXTRAPOLATION'!P2392</f>
        <v>1.0001008333333334</v>
      </c>
      <c r="D18" s="359">
        <f t="shared" si="1"/>
        <v>1.0017157669180654</v>
      </c>
      <c r="E18" s="355">
        <f t="shared" si="2"/>
        <v>3.633388767667925E-2</v>
      </c>
    </row>
    <row r="19" spans="1:5">
      <c r="A19" s="357">
        <f>'DAILY EXTRAPOLATION'!C2393</f>
        <v>46191</v>
      </c>
      <c r="B19" s="356">
        <f t="shared" si="0"/>
        <v>46192</v>
      </c>
      <c r="C19" s="353">
        <f>'DAILY EXTRAPOLATION'!P2393</f>
        <v>1.0004022222222222</v>
      </c>
      <c r="D19" s="359">
        <f t="shared" si="1"/>
        <v>1.0021186792598702</v>
      </c>
      <c r="E19" s="355">
        <f t="shared" si="2"/>
        <v>4.2373585197403862E-2</v>
      </c>
    </row>
    <row r="20" spans="1:5">
      <c r="A20" s="357">
        <f>'DAILY EXTRAPOLATION'!C2394</f>
        <v>46192</v>
      </c>
      <c r="B20" s="356">
        <f t="shared" si="0"/>
        <v>46193</v>
      </c>
      <c r="C20" s="353">
        <f>'DAILY EXTRAPOLATION'!P2394</f>
        <v>1</v>
      </c>
      <c r="D20" s="359">
        <f t="shared" si="1"/>
        <v>1.0021186792598702</v>
      </c>
      <c r="E20" s="355">
        <f t="shared" si="2"/>
        <v>4.0143396502803658E-2</v>
      </c>
    </row>
    <row r="21" spans="1:5">
      <c r="A21" s="357">
        <f>'DAILY EXTRAPOLATION'!C2395</f>
        <v>46193</v>
      </c>
      <c r="B21" s="356">
        <f t="shared" si="0"/>
        <v>46194</v>
      </c>
      <c r="C21" s="353">
        <f>'DAILY EXTRAPOLATION'!P2395</f>
        <v>1</v>
      </c>
      <c r="D21" s="359">
        <f t="shared" si="1"/>
        <v>1.0021186792598702</v>
      </c>
      <c r="E21" s="355">
        <f t="shared" si="2"/>
        <v>3.8136226677663476E-2</v>
      </c>
    </row>
    <row r="22" spans="1:5">
      <c r="A22" s="357">
        <f>'DAILY EXTRAPOLATION'!C2396</f>
        <v>46194</v>
      </c>
      <c r="B22" s="356">
        <f t="shared" si="0"/>
        <v>46195</v>
      </c>
      <c r="C22" s="353">
        <f>'DAILY EXTRAPOLATION'!P2396</f>
        <v>1</v>
      </c>
      <c r="D22" s="359">
        <f t="shared" si="1"/>
        <v>1.0021186792598702</v>
      </c>
      <c r="E22" s="355">
        <f t="shared" si="2"/>
        <v>3.6320215883489028E-2</v>
      </c>
    </row>
    <row r="23" spans="1:5">
      <c r="A23" s="357">
        <f>'DAILY EXTRAPOLATION'!C2397</f>
        <v>46195</v>
      </c>
      <c r="B23" s="356">
        <f t="shared" si="0"/>
        <v>46196</v>
      </c>
      <c r="C23" s="353">
        <f>'DAILY EXTRAPOLATION'!P2397</f>
        <v>1.0001002777777779</v>
      </c>
      <c r="D23" s="359">
        <f t="shared" si="1"/>
        <v>1.0022191694940961</v>
      </c>
      <c r="E23" s="355">
        <f t="shared" si="2"/>
        <v>3.6313682630662841E-2</v>
      </c>
    </row>
    <row r="24" spans="1:5">
      <c r="A24" s="357">
        <f>'DAILY EXTRAPOLATION'!C2398</f>
        <v>46196</v>
      </c>
      <c r="B24" s="356">
        <f t="shared" si="0"/>
        <v>46197</v>
      </c>
      <c r="C24" s="353">
        <f>'DAILY EXTRAPOLATION'!P2398</f>
        <v>1.0001005555555555</v>
      </c>
      <c r="D24" s="359">
        <f t="shared" si="1"/>
        <v>1.0023199481994729</v>
      </c>
      <c r="E24" s="355">
        <f t="shared" si="2"/>
        <v>3.6312232687401892E-2</v>
      </c>
    </row>
    <row r="25" spans="1:5">
      <c r="A25" s="357">
        <f>'DAILY EXTRAPOLATION'!C2399</f>
        <v>46197</v>
      </c>
      <c r="B25" s="356">
        <f t="shared" si="0"/>
        <v>46198</v>
      </c>
      <c r="C25" s="353">
        <f>'DAILY EXTRAPOLATION'!P2399</f>
        <v>1.0001005555555555</v>
      </c>
      <c r="D25" s="359">
        <f t="shared" si="1"/>
        <v>1.0024207370387086</v>
      </c>
      <c r="E25" s="355">
        <f t="shared" si="2"/>
        <v>3.631105558062897E-2</v>
      </c>
    </row>
    <row r="26" spans="1:5">
      <c r="A26" s="357">
        <f>'DAILY EXTRAPOLATION'!C2400</f>
        <v>46198</v>
      </c>
      <c r="B26" s="356">
        <f t="shared" si="0"/>
        <v>46199</v>
      </c>
      <c r="C26" s="353">
        <f>'DAILY EXTRAPOLATION'!P2400</f>
        <v>1.0001011111111111</v>
      </c>
      <c r="D26" s="359">
        <f t="shared" si="1"/>
        <v>1.0025220929132315</v>
      </c>
      <c r="E26" s="355">
        <f t="shared" si="2"/>
        <v>3.6318137950533111E-2</v>
      </c>
    </row>
    <row r="27" spans="1:5">
      <c r="A27" s="357">
        <f>'DAILY EXTRAPOLATION'!C2401</f>
        <v>46199</v>
      </c>
      <c r="B27" s="356">
        <f t="shared" si="0"/>
        <v>46200</v>
      </c>
      <c r="C27" s="353">
        <f>'DAILY EXTRAPOLATION'!P2401</f>
        <v>1.0003016666666666</v>
      </c>
      <c r="D27" s="359">
        <f t="shared" si="1"/>
        <v>1.0028245204112602</v>
      </c>
      <c r="E27" s="355">
        <f t="shared" si="2"/>
        <v>3.9108744155911083E-2</v>
      </c>
    </row>
    <row r="28" spans="1:5">
      <c r="A28" s="357">
        <f>'DAILY EXTRAPOLATION'!C2402</f>
        <v>46200</v>
      </c>
      <c r="B28" s="356">
        <f t="shared" si="0"/>
        <v>46201</v>
      </c>
      <c r="C28" s="353">
        <f>'DAILY EXTRAPOLATION'!P2402</f>
        <v>1</v>
      </c>
      <c r="D28" s="359">
        <f t="shared" si="1"/>
        <v>1.0028245204112602</v>
      </c>
      <c r="E28" s="355">
        <f t="shared" si="2"/>
        <v>3.7660272150136599E-2</v>
      </c>
    </row>
    <row r="29" spans="1:5">
      <c r="A29" s="357">
        <f>'DAILY EXTRAPOLATION'!C2403</f>
        <v>46201</v>
      </c>
      <c r="B29" s="356">
        <f t="shared" si="0"/>
        <v>46202</v>
      </c>
      <c r="C29" s="353">
        <f>'DAILY EXTRAPOLATION'!P2403</f>
        <v>1</v>
      </c>
      <c r="D29" s="359">
        <f t="shared" si="1"/>
        <v>1.0028245204112602</v>
      </c>
      <c r="E29" s="355">
        <f t="shared" si="2"/>
        <v>3.6315262430488868E-2</v>
      </c>
    </row>
    <row r="30" spans="1:5">
      <c r="A30" s="357">
        <f>'DAILY EXTRAPOLATION'!C2404</f>
        <v>46202</v>
      </c>
      <c r="B30" s="356">
        <f t="shared" si="0"/>
        <v>46203</v>
      </c>
      <c r="C30" s="353">
        <f>'DAILY EXTRAPOLATION'!P2404</f>
        <v>1.0001005555555555</v>
      </c>
      <c r="D30" s="359">
        <f t="shared" si="1"/>
        <v>1.002925359988035</v>
      </c>
      <c r="E30" s="355">
        <f t="shared" si="2"/>
        <v>3.6314813644572459E-2</v>
      </c>
    </row>
    <row r="31" spans="1:5">
      <c r="A31" s="357">
        <f>'DAILY EXTRAPOLATION'!C2405</f>
        <v>46203</v>
      </c>
      <c r="B31" s="356">
        <f t="shared" si="0"/>
        <v>46204</v>
      </c>
      <c r="C31" s="353">
        <f>'DAILY EXTRAPOLATION'!P2405</f>
        <v>1.0001022222222222</v>
      </c>
      <c r="D31" s="359">
        <f t="shared" si="1"/>
        <v>1.0030278812470561</v>
      </c>
      <c r="E31" s="355">
        <f t="shared" si="2"/>
        <v>3.6334574964673294E-2</v>
      </c>
    </row>
    <row r="32" spans="1:5">
      <c r="A32" s="357">
        <f>'DAILY EXTRAPOLATION'!C2406</f>
        <v>46204</v>
      </c>
      <c r="B32" s="356">
        <f t="shared" si="0"/>
        <v>46205</v>
      </c>
      <c r="C32" s="353">
        <f>'DAILY EXTRAPOLATION'!P2406</f>
        <v>1.0001016666666667</v>
      </c>
      <c r="D32" s="359">
        <f t="shared" si="1"/>
        <v>1.0031298557483161</v>
      </c>
      <c r="E32" s="355">
        <f t="shared" si="2"/>
        <v>3.634671191592944E-2</v>
      </c>
    </row>
    <row r="33" spans="1:5">
      <c r="A33" s="357">
        <f>'DAILY EXTRAPOLATION'!C2407</f>
        <v>46205</v>
      </c>
      <c r="B33" s="356">
        <f t="shared" si="0"/>
        <v>46206</v>
      </c>
      <c r="C33" s="353">
        <f>'DAILY EXTRAPOLATION'!P2407</f>
        <v>1.0004044444444444</v>
      </c>
      <c r="D33" s="359">
        <f t="shared" si="1"/>
        <v>1.0035355660455298</v>
      </c>
      <c r="E33" s="355">
        <f t="shared" si="2"/>
        <v>3.9775118012210786E-2</v>
      </c>
    </row>
    <row r="34" spans="1:5">
      <c r="A34" s="357">
        <f>'DAILY EXTRAPOLATION'!C2408</f>
        <v>46206</v>
      </c>
      <c r="B34" s="356">
        <f t="shared" si="0"/>
        <v>46207</v>
      </c>
      <c r="C34" s="353">
        <f>'DAILY EXTRAPOLATION'!P2408</f>
        <v>1</v>
      </c>
      <c r="D34" s="359">
        <f t="shared" si="1"/>
        <v>1.0035355660455298</v>
      </c>
      <c r="E34" s="355">
        <f t="shared" si="2"/>
        <v>3.8569811405780155E-2</v>
      </c>
    </row>
    <row r="35" spans="1:5">
      <c r="A35" s="357">
        <f>'DAILY EXTRAPOLATION'!C2409</f>
        <v>46207</v>
      </c>
      <c r="B35" s="356">
        <f t="shared" si="0"/>
        <v>46208</v>
      </c>
      <c r="C35" s="353">
        <f>'DAILY EXTRAPOLATION'!P2409</f>
        <v>1</v>
      </c>
      <c r="D35" s="359">
        <f t="shared" si="1"/>
        <v>1.0035355660455298</v>
      </c>
      <c r="E35" s="355">
        <f t="shared" si="2"/>
        <v>3.7435405187963094E-2</v>
      </c>
    </row>
    <row r="36" spans="1:5">
      <c r="A36" s="357">
        <f>'DAILY EXTRAPOLATION'!C2410</f>
        <v>46208</v>
      </c>
      <c r="B36" s="356">
        <f t="shared" si="0"/>
        <v>46209</v>
      </c>
      <c r="C36" s="353">
        <f>'DAILY EXTRAPOLATION'!P2410</f>
        <v>1</v>
      </c>
      <c r="D36" s="359">
        <f t="shared" si="1"/>
        <v>1.0035355660455298</v>
      </c>
      <c r="E36" s="355">
        <f t="shared" si="2"/>
        <v>3.6365822182592718E-2</v>
      </c>
    </row>
    <row r="37" spans="1:5">
      <c r="A37" s="357">
        <f>'DAILY EXTRAPOLATION'!C2411</f>
        <v>46209</v>
      </c>
      <c r="B37" s="356">
        <f t="shared" si="0"/>
        <v>46210</v>
      </c>
      <c r="C37" s="353">
        <f>'DAILY EXTRAPOLATION'!P2411</f>
        <v>1.0001008333333334</v>
      </c>
      <c r="D37" s="359">
        <f t="shared" si="1"/>
        <v>1.0036367558817729</v>
      </c>
      <c r="E37" s="355">
        <f t="shared" si="2"/>
        <v>3.636755881772924E-2</v>
      </c>
    </row>
    <row r="38" spans="1:5">
      <c r="A38" s="357">
        <f>'DAILY EXTRAPOLATION'!C2412</f>
        <v>46210</v>
      </c>
      <c r="B38" s="356">
        <f t="shared" si="0"/>
        <v>46211</v>
      </c>
      <c r="C38" s="353">
        <f>'DAILY EXTRAPOLATION'!P2412</f>
        <v>1.0001005555555555</v>
      </c>
      <c r="D38" s="359">
        <f t="shared" si="1"/>
        <v>1.0037376771333366</v>
      </c>
      <c r="E38" s="355">
        <f t="shared" si="2"/>
        <v>3.6366588324356248E-2</v>
      </c>
    </row>
    <row r="39" spans="1:5">
      <c r="A39" s="357">
        <f>'DAILY EXTRAPOLATION'!C2413</f>
        <v>46211</v>
      </c>
      <c r="B39" s="356">
        <f t="shared" si="0"/>
        <v>46212</v>
      </c>
      <c r="C39" s="353">
        <f>'DAILY EXTRAPOLATION'!P2413</f>
        <v>1.0000994444444444</v>
      </c>
      <c r="D39" s="359">
        <f t="shared" si="1"/>
        <v>1.0038374932690071</v>
      </c>
      <c r="E39" s="355">
        <f t="shared" si="2"/>
        <v>3.6355199390593236E-2</v>
      </c>
    </row>
    <row r="40" spans="1:5">
      <c r="A40" s="357">
        <f>'DAILY EXTRAPOLATION'!C2414</f>
        <v>46212</v>
      </c>
      <c r="B40" s="356">
        <f t="shared" si="0"/>
        <v>46213</v>
      </c>
      <c r="C40" s="353">
        <f>'DAILY EXTRAPOLATION'!P2414</f>
        <v>1.0000980555555556</v>
      </c>
      <c r="D40" s="359">
        <f t="shared" si="1"/>
        <v>1.0039359251120972</v>
      </c>
      <c r="E40" s="355">
        <f t="shared" si="2"/>
        <v>3.633161641935851E-2</v>
      </c>
    </row>
    <row r="41" spans="1:5">
      <c r="A41" s="357">
        <f>'DAILY EXTRAPOLATION'!C2415</f>
        <v>46213</v>
      </c>
      <c r="B41" s="356">
        <f t="shared" si="0"/>
        <v>46214</v>
      </c>
      <c r="C41" s="353">
        <f>'DAILY EXTRAPOLATION'!P2415</f>
        <v>1.0002958333333334</v>
      </c>
      <c r="D41" s="359">
        <f t="shared" si="1"/>
        <v>1.0042329228232763</v>
      </c>
      <c r="E41" s="355">
        <f t="shared" si="2"/>
        <v>3.8096305409486275E-2</v>
      </c>
    </row>
    <row r="42" spans="1:5">
      <c r="A42" s="357">
        <f>'DAILY EXTRAPOLATION'!C2416</f>
        <v>46214</v>
      </c>
      <c r="B42" s="356">
        <f t="shared" si="0"/>
        <v>46215</v>
      </c>
      <c r="C42" s="353">
        <f>'DAILY EXTRAPOLATION'!P2416</f>
        <v>1</v>
      </c>
      <c r="D42" s="359">
        <f t="shared" si="1"/>
        <v>1.0042329228232763</v>
      </c>
      <c r="E42" s="355">
        <f t="shared" si="2"/>
        <v>3.7167127228767097E-2</v>
      </c>
    </row>
    <row r="43" spans="1:5">
      <c r="A43" s="357">
        <f>'DAILY EXTRAPOLATION'!C2417</f>
        <v>46215</v>
      </c>
      <c r="B43" s="356">
        <f t="shared" si="0"/>
        <v>46216</v>
      </c>
      <c r="C43" s="353">
        <f>'DAILY EXTRAPOLATION'!P2417</f>
        <v>1</v>
      </c>
      <c r="D43" s="359">
        <f t="shared" si="1"/>
        <v>1.0042329228232763</v>
      </c>
      <c r="E43" s="355">
        <f t="shared" si="2"/>
        <v>3.6282195628082166E-2</v>
      </c>
    </row>
    <row r="44" spans="1:5">
      <c r="A44" s="357">
        <f>'DAILY EXTRAPOLATION'!C2418</f>
        <v>46216</v>
      </c>
      <c r="B44" s="356">
        <f t="shared" si="0"/>
        <v>46217</v>
      </c>
      <c r="C44" s="353">
        <f>'DAILY EXTRAPOLATION'!P2418</f>
        <v>1.0001</v>
      </c>
      <c r="D44" s="359">
        <f t="shared" si="1"/>
        <v>1.0043333461155586</v>
      </c>
      <c r="E44" s="355">
        <f t="shared" si="2"/>
        <v>3.6279176781420654E-2</v>
      </c>
    </row>
    <row r="45" spans="1:5">
      <c r="A45" s="357">
        <f>'DAILY EXTRAPOLATION'!C2419</f>
        <v>46217</v>
      </c>
      <c r="B45" s="356">
        <f t="shared" si="0"/>
        <v>46218</v>
      </c>
      <c r="C45" s="353">
        <f>'DAILY EXTRAPOLATION'!P2419</f>
        <v>1.0001008333333334</v>
      </c>
      <c r="D45" s="359">
        <f t="shared" si="1"/>
        <v>1.0044346163946254</v>
      </c>
      <c r="E45" s="355">
        <f t="shared" si="2"/>
        <v>3.6283225046935014E-2</v>
      </c>
    </row>
    <row r="46" spans="1:5">
      <c r="A46" s="357">
        <f>'DAILY EXTRAPOLATION'!C2420</f>
        <v>46218</v>
      </c>
      <c r="B46" s="356">
        <f t="shared" si="0"/>
        <v>46219</v>
      </c>
      <c r="C46" s="353">
        <f>'DAILY EXTRAPOLATION'!P2420</f>
        <v>1.0001011111111111</v>
      </c>
      <c r="D46" s="359">
        <f t="shared" si="1"/>
        <v>1.0045361758947275</v>
      </c>
      <c r="E46" s="355">
        <f t="shared" si="2"/>
        <v>3.6289407157820364E-2</v>
      </c>
    </row>
    <row r="47" spans="1:5">
      <c r="A47" s="357">
        <f>'DAILY EXTRAPOLATION'!C2421</f>
        <v>46219</v>
      </c>
      <c r="B47" s="356">
        <f t="shared" si="0"/>
        <v>46220</v>
      </c>
      <c r="C47" s="353">
        <f>'DAILY EXTRAPOLATION'!P2421</f>
        <v>1.0001005555555555</v>
      </c>
      <c r="D47" s="359">
        <f t="shared" si="1"/>
        <v>1.0046371875879703</v>
      </c>
      <c r="E47" s="355">
        <f t="shared" si="2"/>
        <v>3.6291033297158638E-2</v>
      </c>
    </row>
    <row r="48" spans="1:5">
      <c r="A48" s="357">
        <f>'DAILY EXTRAPOLATION'!C2422</f>
        <v>46220</v>
      </c>
      <c r="B48" s="356">
        <f t="shared" si="0"/>
        <v>46221</v>
      </c>
      <c r="C48" s="353">
        <f>'DAILY EXTRAPOLATION'!P2422</f>
        <v>1.0002991666666667</v>
      </c>
      <c r="D48" s="359">
        <f t="shared" si="1"/>
        <v>1.0049377415465903</v>
      </c>
      <c r="E48" s="355">
        <f t="shared" si="2"/>
        <v>3.7820999080266308E-2</v>
      </c>
    </row>
    <row r="49" spans="1:5">
      <c r="A49" s="357">
        <f>'DAILY EXTRAPOLATION'!C2423</f>
        <v>46221</v>
      </c>
      <c r="B49" s="356">
        <f t="shared" si="0"/>
        <v>46222</v>
      </c>
      <c r="C49" s="353">
        <f>'DAILY EXTRAPOLATION'!P2423</f>
        <v>1</v>
      </c>
      <c r="D49" s="359">
        <f t="shared" si="1"/>
        <v>1.0049377415465903</v>
      </c>
      <c r="E49" s="355">
        <f t="shared" si="2"/>
        <v>3.703306159942743E-2</v>
      </c>
    </row>
    <row r="50" spans="1:5">
      <c r="A50" s="357">
        <f>'DAILY EXTRAPOLATION'!C2424</f>
        <v>46222</v>
      </c>
      <c r="B50" s="356">
        <f t="shared" si="0"/>
        <v>46223</v>
      </c>
      <c r="C50" s="353">
        <f>'DAILY EXTRAPOLATION'!P2424</f>
        <v>1</v>
      </c>
      <c r="D50" s="359">
        <f t="shared" si="1"/>
        <v>1.0049377415465903</v>
      </c>
      <c r="E50" s="355">
        <f t="shared" si="2"/>
        <v>3.627728483209218E-2</v>
      </c>
    </row>
    <row r="51" spans="1:5">
      <c r="A51" s="357">
        <f>'DAILY EXTRAPOLATION'!C2425</f>
        <v>46223</v>
      </c>
      <c r="B51" s="356">
        <f t="shared" si="0"/>
        <v>46224</v>
      </c>
      <c r="C51" s="353">
        <f>'DAILY EXTRAPOLATION'!P2425</f>
        <v>1.0000991666666668</v>
      </c>
      <c r="D51" s="359">
        <f t="shared" si="1"/>
        <v>1.005037397872627</v>
      </c>
      <c r="E51" s="355">
        <f t="shared" si="2"/>
        <v>3.6269264682914581E-2</v>
      </c>
    </row>
    <row r="52" spans="1:5">
      <c r="A52" s="357">
        <f>'DAILY EXTRAPOLATION'!C2426</f>
        <v>46224</v>
      </c>
      <c r="B52" s="356">
        <f t="shared" si="0"/>
        <v>46225</v>
      </c>
      <c r="C52" s="353">
        <f>'DAILY EXTRAPOLATION'!P2426</f>
        <v>1.0001002777777779</v>
      </c>
      <c r="D52" s="359">
        <f t="shared" si="1"/>
        <v>1.0051381807894693</v>
      </c>
      <c r="E52" s="355">
        <f t="shared" si="2"/>
        <v>3.6269511455077126E-2</v>
      </c>
    </row>
    <row r="53" spans="1:5">
      <c r="A53" s="357">
        <f>'DAILY EXTRAPOLATION'!C2427</f>
        <v>46225</v>
      </c>
      <c r="B53" s="356">
        <f t="shared" si="0"/>
        <v>46226</v>
      </c>
      <c r="C53" s="353">
        <f>'DAILY EXTRAPOLATION'!P2427</f>
        <v>1.0001005555555555</v>
      </c>
      <c r="D53" s="359">
        <f t="shared" si="1"/>
        <v>1.0052392530176486</v>
      </c>
      <c r="E53" s="355">
        <f t="shared" si="2"/>
        <v>3.6271751660644183E-2</v>
      </c>
    </row>
    <row r="54" spans="1:5">
      <c r="A54" s="357">
        <f>'DAILY EXTRAPOLATION'!C2428</f>
        <v>46226</v>
      </c>
      <c r="B54" s="356">
        <f t="shared" si="0"/>
        <v>46227</v>
      </c>
      <c r="C54" s="353">
        <f>'DAILY EXTRAPOLATION'!P2428</f>
        <v>1.0001011111111111</v>
      </c>
      <c r="D54" s="359">
        <f t="shared" si="1"/>
        <v>1.0053408938754538</v>
      </c>
      <c r="E54" s="355">
        <f t="shared" si="2"/>
        <v>3.6277769720063399E-2</v>
      </c>
    </row>
    <row r="55" spans="1:5">
      <c r="A55" s="357">
        <f>'DAILY EXTRAPOLATION'!C2429</f>
        <v>46227</v>
      </c>
      <c r="B55" s="356">
        <f t="shared" si="0"/>
        <v>46228</v>
      </c>
      <c r="C55" s="353">
        <f>'DAILY EXTRAPOLATION'!P2429</f>
        <v>1.0003033333333333</v>
      </c>
      <c r="D55" s="359">
        <f t="shared" si="1"/>
        <v>1.0056458472799292</v>
      </c>
      <c r="E55" s="355">
        <f t="shared" si="2"/>
        <v>3.7638981866194854E-2</v>
      </c>
    </row>
    <row r="56" spans="1:5">
      <c r="A56" s="357">
        <f>'DAILY EXTRAPOLATION'!C2430</f>
        <v>46228</v>
      </c>
      <c r="B56" s="356">
        <f t="shared" si="0"/>
        <v>46229</v>
      </c>
      <c r="C56" s="353">
        <f>'DAILY EXTRAPOLATION'!P2430</f>
        <v>1</v>
      </c>
      <c r="D56" s="359">
        <f t="shared" si="1"/>
        <v>1.0056458472799292</v>
      </c>
      <c r="E56" s="355">
        <f t="shared" si="2"/>
        <v>3.6954636741354949E-2</v>
      </c>
    </row>
    <row r="57" spans="1:5">
      <c r="A57" s="357">
        <f>'DAILY EXTRAPOLATION'!C2431</f>
        <v>46229</v>
      </c>
      <c r="B57" s="356">
        <f t="shared" si="0"/>
        <v>46230</v>
      </c>
      <c r="C57" s="353">
        <f>'DAILY EXTRAPOLATION'!P2431</f>
        <v>1</v>
      </c>
      <c r="D57" s="359">
        <f t="shared" si="1"/>
        <v>1.0056458472799292</v>
      </c>
      <c r="E57" s="355">
        <f t="shared" si="2"/>
        <v>3.6294732513830752E-2</v>
      </c>
    </row>
    <row r="58" spans="1:5">
      <c r="A58" s="357">
        <f>'DAILY EXTRAPOLATION'!C2432</f>
        <v>46230</v>
      </c>
      <c r="B58" s="356">
        <f t="shared" si="0"/>
        <v>46231</v>
      </c>
      <c r="C58" s="353">
        <f>'DAILY EXTRAPOLATION'!P2432</f>
        <v>1.0001011111111111</v>
      </c>
      <c r="D58" s="359">
        <f t="shared" si="1"/>
        <v>1.005747529248932</v>
      </c>
      <c r="E58" s="355">
        <f t="shared" si="2"/>
        <v>3.6300184730096587E-2</v>
      </c>
    </row>
    <row r="59" spans="1:5">
      <c r="A59" s="357">
        <f>'DAILY EXTRAPOLATION'!C2433</f>
        <v>46231</v>
      </c>
      <c r="B59" s="356">
        <f t="shared" si="0"/>
        <v>46232</v>
      </c>
      <c r="C59" s="353">
        <f>'DAILY EXTRAPOLATION'!P2433</f>
        <v>1.000101388888889</v>
      </c>
      <c r="D59" s="359">
        <f t="shared" si="1"/>
        <v>1.0058495008734254</v>
      </c>
      <c r="E59" s="355">
        <f t="shared" si="2"/>
        <v>3.6307246800571416E-2</v>
      </c>
    </row>
    <row r="60" spans="1:5">
      <c r="A60" s="357">
        <f>'DAILY EXTRAPOLATION'!C2434</f>
        <v>46232</v>
      </c>
      <c r="B60" s="356">
        <f t="shared" si="0"/>
        <v>46233</v>
      </c>
      <c r="C60" s="353">
        <f>'DAILY EXTRAPOLATION'!P2434</f>
        <v>1.000101388888889</v>
      </c>
      <c r="D60" s="359">
        <f t="shared" si="1"/>
        <v>1.0059514828367084</v>
      </c>
      <c r="E60" s="355">
        <f t="shared" si="2"/>
        <v>3.6314132562966707E-2</v>
      </c>
    </row>
    <row r="61" spans="1:5">
      <c r="A61" s="357">
        <f>'DAILY EXTRAPOLATION'!C2435</f>
        <v>46233</v>
      </c>
      <c r="B61" s="356">
        <f t="shared" si="0"/>
        <v>46234</v>
      </c>
      <c r="C61" s="353">
        <f>'DAILY EXTRAPOLATION'!P2435</f>
        <v>1.000101388888889</v>
      </c>
      <c r="D61" s="359">
        <f t="shared" si="1"/>
        <v>1.0060534751398296</v>
      </c>
      <c r="E61" s="355">
        <f t="shared" si="2"/>
        <v>3.6320850838977403E-2</v>
      </c>
    </row>
    <row r="62" spans="1:5">
      <c r="A62" s="357">
        <f>'DAILY EXTRAPOLATION'!C2436</f>
        <v>46234</v>
      </c>
      <c r="B62" s="356">
        <f t="shared" si="0"/>
        <v>46235</v>
      </c>
      <c r="C62" s="353">
        <f>'DAILY EXTRAPOLATION'!P2436</f>
        <v>1.000305</v>
      </c>
      <c r="D62" s="359">
        <f t="shared" si="1"/>
        <v>1.0063603214497472</v>
      </c>
      <c r="E62" s="355">
        <f t="shared" si="2"/>
        <v>3.7536323309983397E-2</v>
      </c>
    </row>
    <row r="63" spans="1:5">
      <c r="A63" s="357">
        <f>'DAILY EXTRAPOLATION'!C2437</f>
        <v>46235</v>
      </c>
      <c r="B63" s="356">
        <f t="shared" si="0"/>
        <v>46236</v>
      </c>
      <c r="C63" s="353">
        <f>'DAILY EXTRAPOLATION'!P2437</f>
        <v>1</v>
      </c>
      <c r="D63" s="359">
        <f t="shared" si="1"/>
        <v>1.0063603214497472</v>
      </c>
      <c r="E63" s="355">
        <f t="shared" si="2"/>
        <v>3.6930898740467531E-2</v>
      </c>
    </row>
    <row r="64" spans="1:5">
      <c r="A64" s="357">
        <f>'DAILY EXTRAPOLATION'!C2438</f>
        <v>46236</v>
      </c>
      <c r="B64" s="356">
        <f t="shared" si="0"/>
        <v>46237</v>
      </c>
      <c r="C64" s="353">
        <f>'DAILY EXTRAPOLATION'!P2438</f>
        <v>1</v>
      </c>
      <c r="D64" s="359">
        <f t="shared" si="1"/>
        <v>1.0063603214497472</v>
      </c>
      <c r="E64" s="355">
        <f t="shared" si="2"/>
        <v>3.6344693998555347E-2</v>
      </c>
    </row>
    <row r="65" spans="1:5">
      <c r="A65" s="357">
        <f>'DAILY EXTRAPOLATION'!C2439</f>
        <v>46237</v>
      </c>
      <c r="B65" s="356">
        <f t="shared" si="0"/>
        <v>46238</v>
      </c>
      <c r="C65" s="353">
        <f>'DAILY EXTRAPOLATION'!P2439</f>
        <v>1.000101388888889</v>
      </c>
      <c r="D65" s="359">
        <f t="shared" si="1"/>
        <v>1.0064623552045608</v>
      </c>
      <c r="E65" s="355">
        <f t="shared" si="2"/>
        <v>3.6350748025654744E-2</v>
      </c>
    </row>
    <row r="66" spans="1:5">
      <c r="A66" s="357">
        <f>'DAILY EXTRAPOLATION'!C2440</f>
        <v>46238</v>
      </c>
      <c r="B66" s="356">
        <f t="shared" si="0"/>
        <v>46239</v>
      </c>
      <c r="C66" s="353">
        <f>'DAILY EXTRAPOLATION'!P2440</f>
        <v>1.0001016666666667</v>
      </c>
      <c r="D66" s="359">
        <f t="shared" si="1"/>
        <v>1.0065646788773399</v>
      </c>
      <c r="E66" s="355">
        <f t="shared" si="2"/>
        <v>3.6358221474497979E-2</v>
      </c>
    </row>
    <row r="67" spans="1:5">
      <c r="A67" s="357">
        <f>'DAILY EXTRAPOLATION'!C2441</f>
        <v>46239</v>
      </c>
      <c r="B67" s="356">
        <f t="shared" ref="B67:B130" si="3">A68</f>
        <v>46240</v>
      </c>
      <c r="C67" s="353">
        <f>'DAILY EXTRAPOLATION'!P2441</f>
        <v>1.0001011111111111</v>
      </c>
      <c r="D67" s="359">
        <f t="shared" si="1"/>
        <v>1.0066664537504264</v>
      </c>
      <c r="E67" s="355">
        <f t="shared" si="2"/>
        <v>3.6362475002325839E-2</v>
      </c>
    </row>
    <row r="68" spans="1:5">
      <c r="A68" s="357">
        <f>'DAILY EXTRAPOLATION'!C2442</f>
        <v>46240</v>
      </c>
      <c r="B68" s="356">
        <f t="shared" si="3"/>
        <v>46241</v>
      </c>
      <c r="C68" s="353">
        <f>'DAILY EXTRAPOLATION'!P2442</f>
        <v>1.000101388888889</v>
      </c>
      <c r="D68" s="359">
        <f t="shared" ref="D68:D131" si="4">D67*C68</f>
        <v>1.0067685185436539</v>
      </c>
      <c r="E68" s="355">
        <f t="shared" ref="E68:E131" si="5">(D68/1-1)*360/(B68-A$2)</f>
        <v>3.6368159339035887E-2</v>
      </c>
    </row>
    <row r="69" spans="1:5">
      <c r="A69" s="357">
        <f>'DAILY EXTRAPOLATION'!C2443</f>
        <v>46241</v>
      </c>
      <c r="B69" s="356">
        <f t="shared" si="3"/>
        <v>46242</v>
      </c>
      <c r="C69" s="353">
        <f>'DAILY EXTRAPOLATION'!P2443</f>
        <v>1.0003016666666666</v>
      </c>
      <c r="D69" s="359">
        <f t="shared" si="4"/>
        <v>1.0070722270467478</v>
      </c>
      <c r="E69" s="355">
        <f t="shared" si="5"/>
        <v>3.7441202012194308E-2</v>
      </c>
    </row>
    <row r="70" spans="1:5">
      <c r="A70" s="357">
        <f>'DAILY EXTRAPOLATION'!C2444</f>
        <v>46242</v>
      </c>
      <c r="B70" s="356">
        <f t="shared" si="3"/>
        <v>46243</v>
      </c>
      <c r="C70" s="353">
        <f>'DAILY EXTRAPOLATION'!P2444</f>
        <v>1</v>
      </c>
      <c r="D70" s="359">
        <f t="shared" si="4"/>
        <v>1.0070722270467478</v>
      </c>
      <c r="E70" s="355">
        <f t="shared" si="5"/>
        <v>3.689857589607555E-2</v>
      </c>
    </row>
    <row r="71" spans="1:5">
      <c r="A71" s="357">
        <f>'DAILY EXTRAPOLATION'!C2445</f>
        <v>46243</v>
      </c>
      <c r="B71" s="356">
        <f t="shared" si="3"/>
        <v>46244</v>
      </c>
      <c r="C71" s="353">
        <f>'DAILY EXTRAPOLATION'!P2445</f>
        <v>1</v>
      </c>
      <c r="D71" s="359">
        <f t="shared" si="4"/>
        <v>1.0070722270467478</v>
      </c>
      <c r="E71" s="355">
        <f t="shared" si="5"/>
        <v>3.6371453383274473E-2</v>
      </c>
    </row>
    <row r="72" spans="1:5">
      <c r="A72" s="357">
        <f>'DAILY EXTRAPOLATION'!C2446</f>
        <v>46244</v>
      </c>
      <c r="B72" s="356">
        <f t="shared" si="3"/>
        <v>46245</v>
      </c>
      <c r="C72" s="353">
        <f>'DAILY EXTRAPOLATION'!P2446</f>
        <v>1.0001008333333334</v>
      </c>
      <c r="D72" s="359">
        <f t="shared" si="4"/>
        <v>1.0071737734963084</v>
      </c>
      <c r="E72" s="355">
        <f t="shared" si="5"/>
        <v>3.6374062798183608E-2</v>
      </c>
    </row>
    <row r="73" spans="1:5">
      <c r="A73" s="357">
        <f>'DAILY EXTRAPOLATION'!C2447</f>
        <v>46245</v>
      </c>
      <c r="B73" s="356">
        <f t="shared" si="3"/>
        <v>46246</v>
      </c>
      <c r="C73" s="353">
        <f>'DAILY EXTRAPOLATION'!P2447</f>
        <v>1.0001011111111111</v>
      </c>
      <c r="D73" s="359">
        <f t="shared" si="4"/>
        <v>1.0072756099556286</v>
      </c>
      <c r="E73" s="355">
        <f t="shared" si="5"/>
        <v>3.6378049778142962E-2</v>
      </c>
    </row>
    <row r="74" spans="1:5">
      <c r="A74" s="357">
        <f>'DAILY EXTRAPOLATION'!C2448</f>
        <v>46246</v>
      </c>
      <c r="B74" s="356">
        <f t="shared" si="3"/>
        <v>46247</v>
      </c>
      <c r="C74" s="353">
        <f>'DAILY EXTRAPOLATION'!P2448</f>
        <v>1.0001005555555555</v>
      </c>
      <c r="D74" s="359">
        <f t="shared" si="4"/>
        <v>1.0073768971141852</v>
      </c>
      <c r="E74" s="355">
        <f t="shared" si="5"/>
        <v>3.6379218645296925E-2</v>
      </c>
    </row>
    <row r="75" spans="1:5">
      <c r="A75" s="357">
        <f>'DAILY EXTRAPOLATION'!C2449</f>
        <v>46247</v>
      </c>
      <c r="B75" s="356">
        <f t="shared" si="3"/>
        <v>46248</v>
      </c>
      <c r="C75" s="353">
        <f>'DAILY EXTRAPOLATION'!P2449</f>
        <v>1.0001005555555555</v>
      </c>
      <c r="D75" s="359">
        <f t="shared" si="4"/>
        <v>1.0074781944577285</v>
      </c>
      <c r="E75" s="355">
        <f t="shared" si="5"/>
        <v>3.6380405470030346E-2</v>
      </c>
    </row>
    <row r="76" spans="1:5">
      <c r="A76" s="357">
        <f>'DAILY EXTRAPOLATION'!C2450</f>
        <v>46248</v>
      </c>
      <c r="B76" s="356">
        <f t="shared" si="3"/>
        <v>46249</v>
      </c>
      <c r="C76" s="353">
        <f>'DAILY EXTRAPOLATION'!P2450</f>
        <v>1.0003016666666666</v>
      </c>
      <c r="D76" s="359">
        <f t="shared" si="4"/>
        <v>1.0077821170463899</v>
      </c>
      <c r="E76" s="355">
        <f t="shared" si="5"/>
        <v>3.7354161822671372E-2</v>
      </c>
    </row>
    <row r="77" spans="1:5">
      <c r="A77" s="357">
        <f>'DAILY EXTRAPOLATION'!C2451</f>
        <v>46249</v>
      </c>
      <c r="B77" s="356">
        <f t="shared" si="3"/>
        <v>46250</v>
      </c>
      <c r="C77" s="353">
        <f>'DAILY EXTRAPOLATION'!P2451</f>
        <v>1</v>
      </c>
      <c r="D77" s="359">
        <f t="shared" si="4"/>
        <v>1.0077821170463899</v>
      </c>
      <c r="E77" s="355">
        <f t="shared" si="5"/>
        <v>3.6862659693425698E-2</v>
      </c>
    </row>
    <row r="78" spans="1:5">
      <c r="A78" s="357">
        <f>'DAILY EXTRAPOLATION'!C2452</f>
        <v>46250</v>
      </c>
      <c r="B78" s="356">
        <f t="shared" si="3"/>
        <v>46251</v>
      </c>
      <c r="C78" s="353">
        <f>'DAILY EXTRAPOLATION'!P2452</f>
        <v>1</v>
      </c>
      <c r="D78" s="359">
        <f t="shared" si="4"/>
        <v>1.0077821170463899</v>
      </c>
      <c r="E78" s="355">
        <f t="shared" si="5"/>
        <v>3.6383923853251336E-2</v>
      </c>
    </row>
    <row r="79" spans="1:5">
      <c r="A79" s="357">
        <f>'DAILY EXTRAPOLATION'!C2453</f>
        <v>46251</v>
      </c>
      <c r="B79" s="356">
        <f t="shared" si="3"/>
        <v>46252</v>
      </c>
      <c r="C79" s="353">
        <f>'DAILY EXTRAPOLATION'!P2453</f>
        <v>1.0001016666666667</v>
      </c>
      <c r="D79" s="359">
        <f t="shared" si="4"/>
        <v>1.0078845748949563</v>
      </c>
      <c r="E79" s="355">
        <f t="shared" si="5"/>
        <v>3.6390345669029114E-2</v>
      </c>
    </row>
    <row r="80" spans="1:5">
      <c r="A80" s="357">
        <f>'DAILY EXTRAPOLATION'!C2454</f>
        <v>46252</v>
      </c>
      <c r="B80" s="356">
        <f t="shared" si="3"/>
        <v>46253</v>
      </c>
      <c r="C80" s="353">
        <f>'DAILY EXTRAPOLATION'!P2454</f>
        <v>1.000101388888889</v>
      </c>
      <c r="D80" s="359">
        <f t="shared" si="4"/>
        <v>1.0079867631921333</v>
      </c>
      <c r="E80" s="355">
        <f t="shared" si="5"/>
        <v>3.6395376571746761E-2</v>
      </c>
    </row>
    <row r="81" spans="1:5">
      <c r="A81" s="357">
        <f>'DAILY EXTRAPOLATION'!C2455</f>
        <v>46253</v>
      </c>
      <c r="B81" s="356">
        <f t="shared" si="3"/>
        <v>46254</v>
      </c>
      <c r="C81" s="353">
        <f>'DAILY EXTRAPOLATION'!P2455</f>
        <v>1.0001005555555555</v>
      </c>
      <c r="D81" s="359">
        <f t="shared" si="4"/>
        <v>1.0080881218610986</v>
      </c>
      <c r="E81" s="355">
        <f t="shared" si="5"/>
        <v>3.6396548374943882E-2</v>
      </c>
    </row>
    <row r="82" spans="1:5">
      <c r="A82" s="357">
        <f>'DAILY EXTRAPOLATION'!C2456</f>
        <v>46254</v>
      </c>
      <c r="B82" s="356">
        <f t="shared" si="3"/>
        <v>46255</v>
      </c>
      <c r="C82" s="353">
        <f>'DAILY EXTRAPOLATION'!P2456</f>
        <v>1.0001008333333334</v>
      </c>
      <c r="D82" s="359">
        <f t="shared" si="4"/>
        <v>1.0081897707467198</v>
      </c>
      <c r="E82" s="355">
        <f t="shared" si="5"/>
        <v>3.6398981096532362E-2</v>
      </c>
    </row>
    <row r="83" spans="1:5">
      <c r="A83" s="357">
        <f>'DAILY EXTRAPOLATION'!C2457</f>
        <v>46255</v>
      </c>
      <c r="B83" s="356">
        <f t="shared" si="3"/>
        <v>46256</v>
      </c>
      <c r="C83" s="353">
        <f>'DAILY EXTRAPOLATION'!P2457</f>
        <v>1.0003041666666668</v>
      </c>
      <c r="D83" s="359">
        <f t="shared" si="4"/>
        <v>1.0084964284686553</v>
      </c>
      <c r="E83" s="355">
        <f t="shared" si="5"/>
        <v>3.7301393277023184E-2</v>
      </c>
    </row>
    <row r="84" spans="1:5">
      <c r="A84" s="357">
        <f>'DAILY EXTRAPOLATION'!C2458</f>
        <v>46256</v>
      </c>
      <c r="B84" s="356">
        <f t="shared" si="3"/>
        <v>46257</v>
      </c>
      <c r="C84" s="353">
        <f>'DAILY EXTRAPOLATION'!P2458</f>
        <v>1</v>
      </c>
      <c r="D84" s="359">
        <f t="shared" si="4"/>
        <v>1.0084964284686553</v>
      </c>
      <c r="E84" s="355">
        <f t="shared" si="5"/>
        <v>3.6851978900191582E-2</v>
      </c>
    </row>
    <row r="85" spans="1:5">
      <c r="A85" s="357">
        <f>'DAILY EXTRAPOLATION'!C2459</f>
        <v>46257</v>
      </c>
      <c r="B85" s="356">
        <f t="shared" si="3"/>
        <v>46258</v>
      </c>
      <c r="C85" s="353">
        <f>'DAILY EXTRAPOLATION'!P2459</f>
        <v>1</v>
      </c>
      <c r="D85" s="359">
        <f t="shared" si="4"/>
        <v>1.0084964284686553</v>
      </c>
      <c r="E85" s="355">
        <f t="shared" si="5"/>
        <v>3.6413264865665491E-2</v>
      </c>
    </row>
    <row r="86" spans="1:5">
      <c r="A86" s="357">
        <f>'DAILY EXTRAPOLATION'!C2460</f>
        <v>46258</v>
      </c>
      <c r="B86" s="356">
        <f t="shared" si="3"/>
        <v>46259</v>
      </c>
      <c r="C86" s="353">
        <f>'DAILY EXTRAPOLATION'!P2460</f>
        <v>1.000101388888889</v>
      </c>
      <c r="D86" s="359">
        <f t="shared" si="4"/>
        <v>1.0085986788009862</v>
      </c>
      <c r="E86" s="355">
        <f t="shared" si="5"/>
        <v>3.6417933745353286E-2</v>
      </c>
    </row>
    <row r="87" spans="1:5">
      <c r="A87" s="357">
        <f>'DAILY EXTRAPOLATION'!C2461</f>
        <v>46259</v>
      </c>
      <c r="B87" s="356">
        <f t="shared" si="3"/>
        <v>46260</v>
      </c>
      <c r="C87" s="353">
        <f>'DAILY EXTRAPOLATION'!P2461</f>
        <v>1.0001016666666667</v>
      </c>
      <c r="D87" s="359">
        <f t="shared" si="4"/>
        <v>1.0087012196666643</v>
      </c>
      <c r="E87" s="355">
        <f t="shared" si="5"/>
        <v>3.6423710232548069E-2</v>
      </c>
    </row>
    <row r="88" spans="1:5">
      <c r="A88" s="357">
        <f>'DAILY EXTRAPOLATION'!C2462</f>
        <v>46260</v>
      </c>
      <c r="B88" s="356">
        <f t="shared" si="3"/>
        <v>46261</v>
      </c>
      <c r="C88" s="353">
        <f>'DAILY EXTRAPOLATION'!P2462</f>
        <v>1.0001011111111111</v>
      </c>
      <c r="D88" s="359">
        <f t="shared" si="4"/>
        <v>1.0088032105677638</v>
      </c>
      <c r="E88" s="355">
        <f t="shared" si="5"/>
        <v>3.6427078211436356E-2</v>
      </c>
    </row>
    <row r="89" spans="1:5">
      <c r="A89" s="357">
        <f>'DAILY EXTRAPOLATION'!C2463</f>
        <v>46261</v>
      </c>
      <c r="B89" s="356">
        <f t="shared" si="3"/>
        <v>46262</v>
      </c>
      <c r="C89" s="353">
        <f>'DAILY EXTRAPOLATION'!P2463</f>
        <v>1.0001011111111111</v>
      </c>
      <c r="D89" s="359">
        <f t="shared" si="4"/>
        <v>1.0089052117812767</v>
      </c>
      <c r="E89" s="355">
        <f t="shared" si="5"/>
        <v>3.6430411832495506E-2</v>
      </c>
    </row>
    <row r="90" spans="1:5">
      <c r="A90" s="357">
        <f>'DAILY EXTRAPOLATION'!C2464</f>
        <v>46262</v>
      </c>
      <c r="B90" s="356">
        <f t="shared" si="3"/>
        <v>46263</v>
      </c>
      <c r="C90" s="353">
        <f>'DAILY EXTRAPOLATION'!P2464</f>
        <v>1.0003041666666668</v>
      </c>
      <c r="D90" s="359">
        <f t="shared" si="4"/>
        <v>1.0092120871165269</v>
      </c>
      <c r="E90" s="355">
        <f t="shared" si="5"/>
        <v>3.7262374853367149E-2</v>
      </c>
    </row>
    <row r="91" spans="1:5">
      <c r="A91" s="357">
        <f>'DAILY EXTRAPOLATION'!C2465</f>
        <v>46263</v>
      </c>
      <c r="B91" s="356">
        <f t="shared" si="3"/>
        <v>46264</v>
      </c>
      <c r="C91" s="353">
        <f>'DAILY EXTRAPOLATION'!P2465</f>
        <v>1</v>
      </c>
      <c r="D91" s="359">
        <f t="shared" si="4"/>
        <v>1.0092120871165269</v>
      </c>
      <c r="E91" s="355">
        <f t="shared" si="5"/>
        <v>3.6848348466107517E-2</v>
      </c>
    </row>
    <row r="92" spans="1:5">
      <c r="A92" s="357">
        <f>'DAILY EXTRAPOLATION'!C2466</f>
        <v>46264</v>
      </c>
      <c r="B92" s="356">
        <f t="shared" si="3"/>
        <v>46265</v>
      </c>
      <c r="C92" s="353">
        <f>'DAILY EXTRAPOLATION'!P2466</f>
        <v>1</v>
      </c>
      <c r="D92" s="359">
        <f t="shared" si="4"/>
        <v>1.0092120871165269</v>
      </c>
      <c r="E92" s="355">
        <f t="shared" si="5"/>
        <v>3.6443421559886557E-2</v>
      </c>
    </row>
    <row r="93" spans="1:5">
      <c r="A93" s="357">
        <f>'DAILY EXTRAPOLATION'!C2467</f>
        <v>46265</v>
      </c>
      <c r="B93" s="356">
        <f t="shared" si="3"/>
        <v>46266</v>
      </c>
      <c r="C93" s="353">
        <f>'DAILY EXTRAPOLATION'!P2467</f>
        <v>1.0001022222222222</v>
      </c>
      <c r="D93" s="359">
        <f t="shared" si="4"/>
        <v>1.0093152510187655</v>
      </c>
      <c r="E93" s="355">
        <f t="shared" si="5"/>
        <v>3.6450982247343312E-2</v>
      </c>
    </row>
    <row r="94" spans="1:5">
      <c r="A94" s="357">
        <f>'DAILY EXTRAPOLATION'!C2468</f>
        <v>46266</v>
      </c>
      <c r="B94" s="356">
        <f t="shared" si="3"/>
        <v>46267</v>
      </c>
      <c r="C94" s="353">
        <f>'DAILY EXTRAPOLATION'!P2468</f>
        <v>1.0001016666666667</v>
      </c>
      <c r="D94" s="359">
        <f t="shared" si="4"/>
        <v>1.0094178647359524</v>
      </c>
      <c r="E94" s="355">
        <f t="shared" si="5"/>
        <v>3.6456250590783515E-2</v>
      </c>
    </row>
    <row r="95" spans="1:5">
      <c r="A95" s="357">
        <f>'DAILY EXTRAPOLATION'!C2469</f>
        <v>46267</v>
      </c>
      <c r="B95" s="356">
        <f t="shared" si="3"/>
        <v>46268</v>
      </c>
      <c r="C95" s="353">
        <f>'DAILY EXTRAPOLATION'!P2469</f>
        <v>1.000101388888889</v>
      </c>
      <c r="D95" s="359">
        <f t="shared" si="4"/>
        <v>1.0095202084916828</v>
      </c>
      <c r="E95" s="355">
        <f t="shared" si="5"/>
        <v>3.6460372946870219E-2</v>
      </c>
    </row>
    <row r="96" spans="1:5">
      <c r="A96" s="357">
        <f>'DAILY EXTRAPOLATION'!C2470</f>
        <v>46268</v>
      </c>
      <c r="B96" s="356">
        <f t="shared" si="3"/>
        <v>46269</v>
      </c>
      <c r="C96" s="353">
        <f>'DAILY EXTRAPOLATION'!P2470</f>
        <v>1.0001016666666667</v>
      </c>
      <c r="D96" s="359">
        <f t="shared" si="4"/>
        <v>1.0096228430462129</v>
      </c>
      <c r="E96" s="355">
        <f t="shared" si="5"/>
        <v>3.6465510490911887E-2</v>
      </c>
    </row>
    <row r="97" spans="1:5">
      <c r="A97" s="357">
        <f>'DAILY EXTRAPOLATION'!C2471</f>
        <v>46269</v>
      </c>
      <c r="B97" s="356">
        <f t="shared" si="3"/>
        <v>46270</v>
      </c>
      <c r="C97" s="353">
        <f>'DAILY EXTRAPOLATION'!P2471</f>
        <v>1.0004055555555555</v>
      </c>
      <c r="D97" s="359">
        <f t="shared" si="4"/>
        <v>1.010032301199226</v>
      </c>
      <c r="E97" s="355">
        <f t="shared" si="5"/>
        <v>3.7621129497097672E-2</v>
      </c>
    </row>
    <row r="98" spans="1:5">
      <c r="A98" s="357">
        <f>'DAILY EXTRAPOLATION'!C2472</f>
        <v>46270</v>
      </c>
      <c r="B98" s="356">
        <f t="shared" si="3"/>
        <v>46271</v>
      </c>
      <c r="C98" s="353">
        <f>'DAILY EXTRAPOLATION'!P2472</f>
        <v>1</v>
      </c>
      <c r="D98" s="359">
        <f t="shared" si="4"/>
        <v>1.010032301199226</v>
      </c>
      <c r="E98" s="355">
        <f t="shared" si="5"/>
        <v>3.7233282801251301E-2</v>
      </c>
    </row>
    <row r="99" spans="1:5">
      <c r="A99" s="357">
        <f>'DAILY EXTRAPOLATION'!C2473</f>
        <v>46271</v>
      </c>
      <c r="B99" s="356">
        <f t="shared" si="3"/>
        <v>46272</v>
      </c>
      <c r="C99" s="353">
        <f>'DAILY EXTRAPOLATION'!P2473</f>
        <v>1</v>
      </c>
      <c r="D99" s="359">
        <f t="shared" si="4"/>
        <v>1.010032301199226</v>
      </c>
      <c r="E99" s="355">
        <f t="shared" si="5"/>
        <v>3.6853351344095675E-2</v>
      </c>
    </row>
    <row r="100" spans="1:5">
      <c r="A100" s="357">
        <f>'DAILY EXTRAPOLATION'!C2474</f>
        <v>46272</v>
      </c>
      <c r="B100" s="356">
        <f t="shared" si="3"/>
        <v>46273</v>
      </c>
      <c r="C100" s="353">
        <f>'DAILY EXTRAPOLATION'!P2474</f>
        <v>1</v>
      </c>
      <c r="D100" s="359">
        <f t="shared" si="4"/>
        <v>1.010032301199226</v>
      </c>
      <c r="E100" s="355">
        <f t="shared" si="5"/>
        <v>3.6481095269912896E-2</v>
      </c>
    </row>
    <row r="101" spans="1:5">
      <c r="A101" s="357">
        <f>'DAILY EXTRAPOLATION'!C2475</f>
        <v>46273</v>
      </c>
      <c r="B101" s="356">
        <f t="shared" si="3"/>
        <v>46274</v>
      </c>
      <c r="C101" s="353">
        <f>'DAILY EXTRAPOLATION'!P2475</f>
        <v>1.0001011111111111</v>
      </c>
      <c r="D101" s="359">
        <f t="shared" si="4"/>
        <v>1.0101344266874583</v>
      </c>
      <c r="E101" s="355">
        <f t="shared" si="5"/>
        <v>3.648393607485003E-2</v>
      </c>
    </row>
    <row r="102" spans="1:5">
      <c r="A102" s="357">
        <f>'DAILY EXTRAPOLATION'!C2476</f>
        <v>46274</v>
      </c>
      <c r="B102" s="356">
        <f t="shared" si="3"/>
        <v>46275</v>
      </c>
      <c r="C102" s="353">
        <f>'DAILY EXTRAPOLATION'!P2476</f>
        <v>1.0001011111111111</v>
      </c>
      <c r="D102" s="359">
        <f t="shared" si="4"/>
        <v>1.0102365625017122</v>
      </c>
      <c r="E102" s="355">
        <f t="shared" si="5"/>
        <v>3.6486757431845582E-2</v>
      </c>
    </row>
    <row r="103" spans="1:5">
      <c r="A103" s="357">
        <f>'DAILY EXTRAPOLATION'!C2477</f>
        <v>46275</v>
      </c>
      <c r="B103" s="356">
        <f t="shared" si="3"/>
        <v>46276</v>
      </c>
      <c r="C103" s="353">
        <f>'DAILY EXTRAPOLATION'!P2477</f>
        <v>1.0001005555555555</v>
      </c>
      <c r="D103" s="359">
        <f t="shared" si="4"/>
        <v>1.0103381474004971</v>
      </c>
      <c r="E103" s="355">
        <f t="shared" si="5"/>
        <v>3.6487579060578E-2</v>
      </c>
    </row>
    <row r="104" spans="1:5">
      <c r="A104" s="357">
        <f>'DAILY EXTRAPOLATION'!C2478</f>
        <v>46276</v>
      </c>
      <c r="B104" s="356">
        <f t="shared" si="3"/>
        <v>46277</v>
      </c>
      <c r="C104" s="353">
        <f>'DAILY EXTRAPOLATION'!P2478</f>
        <v>1.0003016666666666</v>
      </c>
      <c r="D104" s="359">
        <f t="shared" si="4"/>
        <v>1.0106429327416295</v>
      </c>
      <c r="E104" s="355">
        <f t="shared" si="5"/>
        <v>3.7198599873656604E-2</v>
      </c>
    </row>
    <row r="105" spans="1:5">
      <c r="A105" s="357">
        <f>'DAILY EXTRAPOLATION'!C2479</f>
        <v>46277</v>
      </c>
      <c r="B105" s="356">
        <f t="shared" si="3"/>
        <v>46278</v>
      </c>
      <c r="C105" s="353">
        <f>'DAILY EXTRAPOLATION'!P2479</f>
        <v>1</v>
      </c>
      <c r="D105" s="359">
        <f t="shared" si="4"/>
        <v>1.0106429327416295</v>
      </c>
      <c r="E105" s="355">
        <f t="shared" si="5"/>
        <v>3.6840921028717603E-2</v>
      </c>
    </row>
    <row r="106" spans="1:5">
      <c r="A106" s="357">
        <f>'DAILY EXTRAPOLATION'!C2480</f>
        <v>46278</v>
      </c>
      <c r="B106" s="356">
        <f t="shared" si="3"/>
        <v>46279</v>
      </c>
      <c r="C106" s="353">
        <f>'DAILY EXTRAPOLATION'!P2480</f>
        <v>1</v>
      </c>
      <c r="D106" s="359">
        <f t="shared" si="4"/>
        <v>1.0106429327416295</v>
      </c>
      <c r="E106" s="355">
        <f t="shared" si="5"/>
        <v>3.6490055114158385E-2</v>
      </c>
    </row>
    <row r="107" spans="1:5">
      <c r="A107" s="357">
        <f>'DAILY EXTRAPOLATION'!C2481</f>
        <v>46279</v>
      </c>
      <c r="B107" s="356">
        <f t="shared" si="3"/>
        <v>46280</v>
      </c>
      <c r="C107" s="353">
        <f>'DAILY EXTRAPOLATION'!P2481</f>
        <v>1.0001005555555555</v>
      </c>
      <c r="D107" s="359">
        <f t="shared" si="4"/>
        <v>1.0107445585031996</v>
      </c>
      <c r="E107" s="355">
        <f t="shared" si="5"/>
        <v>3.6490953407092817E-2</v>
      </c>
    </row>
    <row r="108" spans="1:5">
      <c r="A108" s="357">
        <f>'DAILY EXTRAPOLATION'!C2482</f>
        <v>46280</v>
      </c>
      <c r="B108" s="356">
        <f t="shared" si="3"/>
        <v>46281</v>
      </c>
      <c r="C108" s="353">
        <f>'DAILY EXTRAPOLATION'!P2482</f>
        <v>1.0001011111111111</v>
      </c>
      <c r="D108" s="359">
        <f t="shared" si="4"/>
        <v>1.0108467560085592</v>
      </c>
      <c r="E108" s="355">
        <f t="shared" si="5"/>
        <v>3.6493758533470276E-2</v>
      </c>
    </row>
    <row r="109" spans="1:5">
      <c r="A109" s="357">
        <f>'DAILY EXTRAPOLATION'!C2483</f>
        <v>46281</v>
      </c>
      <c r="B109" s="356">
        <f t="shared" si="3"/>
        <v>46282</v>
      </c>
      <c r="C109" s="353">
        <f>'DAILY EXTRAPOLATION'!P2483</f>
        <v>1.0001005555555555</v>
      </c>
      <c r="D109" s="359">
        <f t="shared" si="4"/>
        <v>1.0109484022656912</v>
      </c>
      <c r="E109" s="355">
        <f t="shared" si="5"/>
        <v>3.6494674218970534E-2</v>
      </c>
    </row>
    <row r="110" spans="1:5">
      <c r="A110" s="357">
        <f>'DAILY EXTRAPOLATION'!C2484</f>
        <v>46282</v>
      </c>
      <c r="B110" s="356">
        <f t="shared" si="3"/>
        <v>46283</v>
      </c>
      <c r="C110" s="353">
        <f>'DAILY EXTRAPOLATION'!P2484</f>
        <v>1.0001069444444444</v>
      </c>
      <c r="D110" s="359">
        <f t="shared" si="4"/>
        <v>1.0110565175809334</v>
      </c>
      <c r="E110" s="355">
        <f t="shared" si="5"/>
        <v>3.6516938799413062E-2</v>
      </c>
    </row>
    <row r="111" spans="1:5">
      <c r="A111" s="357">
        <f>'DAILY EXTRAPOLATION'!C2485</f>
        <v>46283</v>
      </c>
      <c r="B111" s="356">
        <f t="shared" si="3"/>
        <v>46284</v>
      </c>
      <c r="C111" s="353">
        <f>'DAILY EXTRAPOLATION'!P2485</f>
        <v>1.0003208333333333</v>
      </c>
      <c r="D111" s="359">
        <f t="shared" si="4"/>
        <v>1.0113808982136572</v>
      </c>
      <c r="E111" s="355">
        <f t="shared" si="5"/>
        <v>3.724657597196894E-2</v>
      </c>
    </row>
    <row r="112" spans="1:5">
      <c r="A112" s="357">
        <f>'DAILY EXTRAPOLATION'!C2486</f>
        <v>46284</v>
      </c>
      <c r="B112" s="356">
        <f t="shared" si="3"/>
        <v>46285</v>
      </c>
      <c r="C112" s="353">
        <f>'DAILY EXTRAPOLATION'!P2486</f>
        <v>1</v>
      </c>
      <c r="D112" s="359">
        <f t="shared" si="4"/>
        <v>1.0113808982136572</v>
      </c>
      <c r="E112" s="355">
        <f t="shared" si="5"/>
        <v>3.6911021233482735E-2</v>
      </c>
    </row>
    <row r="113" spans="1:5">
      <c r="A113" s="357">
        <f>'DAILY EXTRAPOLATION'!C2487</f>
        <v>46285</v>
      </c>
      <c r="B113" s="356">
        <f t="shared" si="3"/>
        <v>46286</v>
      </c>
      <c r="C113" s="353">
        <f>'DAILY EXTRAPOLATION'!P2487</f>
        <v>1</v>
      </c>
      <c r="D113" s="359">
        <f t="shared" si="4"/>
        <v>1.0113808982136572</v>
      </c>
      <c r="E113" s="355">
        <f t="shared" si="5"/>
        <v>3.6581458543898063E-2</v>
      </c>
    </row>
    <row r="114" spans="1:5">
      <c r="A114" s="357">
        <f>'DAILY EXTRAPOLATION'!C2488</f>
        <v>46286</v>
      </c>
      <c r="B114" s="356">
        <f t="shared" si="3"/>
        <v>46287</v>
      </c>
      <c r="C114" s="353">
        <f>'DAILY EXTRAPOLATION'!P2488</f>
        <v>1.0001069444444444</v>
      </c>
      <c r="D114" s="359">
        <f t="shared" si="4"/>
        <v>1.0114890597819384</v>
      </c>
      <c r="E114" s="355">
        <f t="shared" si="5"/>
        <v>3.6602314349538173E-2</v>
      </c>
    </row>
    <row r="115" spans="1:5">
      <c r="A115" s="357">
        <f>'DAILY EXTRAPOLATION'!C2489</f>
        <v>46287</v>
      </c>
      <c r="B115" s="356">
        <f t="shared" si="3"/>
        <v>46288</v>
      </c>
      <c r="C115" s="353">
        <f>'DAILY EXTRAPOLATION'!P2489</f>
        <v>1.0001074999999999</v>
      </c>
      <c r="D115" s="359">
        <f t="shared" si="4"/>
        <v>1.0115977948558648</v>
      </c>
      <c r="E115" s="355">
        <f t="shared" si="5"/>
        <v>3.6624615334309774E-2</v>
      </c>
    </row>
    <row r="116" spans="1:5">
      <c r="A116" s="357">
        <f>'DAILY EXTRAPOLATION'!C2490</f>
        <v>46288</v>
      </c>
      <c r="B116" s="356">
        <f t="shared" si="3"/>
        <v>46289</v>
      </c>
      <c r="C116" s="353">
        <f>'DAILY EXTRAPOLATION'!P2490</f>
        <v>1.0001074999999999</v>
      </c>
      <c r="D116" s="359">
        <f t="shared" si="4"/>
        <v>1.0117065416188118</v>
      </c>
      <c r="E116" s="355">
        <f t="shared" si="5"/>
        <v>3.6646565067584749E-2</v>
      </c>
    </row>
    <row r="117" spans="1:5">
      <c r="A117" s="357">
        <f>'DAILY EXTRAPOLATION'!C2491</f>
        <v>46289</v>
      </c>
      <c r="B117" s="356">
        <f t="shared" si="3"/>
        <v>46290</v>
      </c>
      <c r="C117" s="353">
        <f>'DAILY EXTRAPOLATION'!P2491</f>
        <v>1.0001077777777778</v>
      </c>
      <c r="D117" s="359">
        <f t="shared" si="4"/>
        <v>1.0118155811016307</v>
      </c>
      <c r="E117" s="355">
        <f t="shared" si="5"/>
        <v>3.666904479816431E-2</v>
      </c>
    </row>
    <row r="118" spans="1:5">
      <c r="A118" s="357">
        <f>'DAILY EXTRAPOLATION'!C2492</f>
        <v>46290</v>
      </c>
      <c r="B118" s="356">
        <f t="shared" si="3"/>
        <v>46291</v>
      </c>
      <c r="C118" s="353">
        <f>'DAILY EXTRAPOLATION'!P2492</f>
        <v>1.0003249999999999</v>
      </c>
      <c r="D118" s="359">
        <f t="shared" si="4"/>
        <v>1.0121444211654886</v>
      </c>
      <c r="E118" s="355">
        <f t="shared" si="5"/>
        <v>3.7367449739965045E-2</v>
      </c>
    </row>
    <row r="119" spans="1:5">
      <c r="A119" s="357">
        <f>'DAILY EXTRAPOLATION'!C2493</f>
        <v>46291</v>
      </c>
      <c r="B119" s="356">
        <f t="shared" si="3"/>
        <v>46292</v>
      </c>
      <c r="C119" s="353">
        <f>'DAILY EXTRAPOLATION'!P2493</f>
        <v>1</v>
      </c>
      <c r="D119" s="359">
        <f t="shared" si="4"/>
        <v>1.0121444211654886</v>
      </c>
      <c r="E119" s="355">
        <f t="shared" si="5"/>
        <v>3.7050776437083981E-2</v>
      </c>
    </row>
    <row r="120" spans="1:5">
      <c r="A120" s="357">
        <f>'DAILY EXTRAPOLATION'!C2494</f>
        <v>46292</v>
      </c>
      <c r="B120" s="356">
        <f t="shared" si="3"/>
        <v>46293</v>
      </c>
      <c r="C120" s="353">
        <f>'DAILY EXTRAPOLATION'!P2494</f>
        <v>1</v>
      </c>
      <c r="D120" s="359">
        <f t="shared" si="4"/>
        <v>1.0121444211654886</v>
      </c>
      <c r="E120" s="355">
        <f t="shared" si="5"/>
        <v>3.6739425374587478E-2</v>
      </c>
    </row>
    <row r="121" spans="1:5">
      <c r="A121" s="357">
        <f>'DAILY EXTRAPOLATION'!C2495</f>
        <v>46293</v>
      </c>
      <c r="B121" s="356">
        <f t="shared" si="3"/>
        <v>46294</v>
      </c>
      <c r="C121" s="353">
        <f>'DAILY EXTRAPOLATION'!P2495</f>
        <v>1.0001083333333334</v>
      </c>
      <c r="D121" s="359">
        <f t="shared" si="4"/>
        <v>1.0122540701444482</v>
      </c>
      <c r="E121" s="355">
        <f t="shared" si="5"/>
        <v>3.6762210433344711E-2</v>
      </c>
    </row>
    <row r="122" spans="1:5">
      <c r="A122" s="357">
        <f>'DAILY EXTRAPOLATION'!C2496</f>
        <v>46294</v>
      </c>
      <c r="B122" s="356">
        <f t="shared" si="3"/>
        <v>46295</v>
      </c>
      <c r="C122" s="353">
        <f>'DAILY EXTRAPOLATION'!P2496</f>
        <v>1.0001077777777778</v>
      </c>
      <c r="D122" s="359">
        <f t="shared" si="4"/>
        <v>1.0123631686386749</v>
      </c>
      <c r="E122" s="355">
        <f t="shared" si="5"/>
        <v>3.678298107374358E-2</v>
      </c>
    </row>
    <row r="123" spans="1:5">
      <c r="A123" s="357">
        <f>'DAILY EXTRAPOLATION'!C2497</f>
        <v>46295</v>
      </c>
      <c r="B123" s="356">
        <f t="shared" si="3"/>
        <v>46296</v>
      </c>
      <c r="C123" s="353">
        <f>'DAILY EXTRAPOLATION'!P2497</f>
        <v>1.0001083333333334</v>
      </c>
      <c r="D123" s="359">
        <f t="shared" si="4"/>
        <v>1.0124728413152775</v>
      </c>
      <c r="E123" s="355">
        <f t="shared" si="5"/>
        <v>3.6805105520490933E-2</v>
      </c>
    </row>
    <row r="124" spans="1:5">
      <c r="A124" s="357">
        <f>'DAILY EXTRAPOLATION'!C2498</f>
        <v>46296</v>
      </c>
      <c r="B124" s="356">
        <f t="shared" si="3"/>
        <v>46297</v>
      </c>
      <c r="C124" s="353">
        <f>'DAILY EXTRAPOLATION'!P2498</f>
        <v>1.0001074999999999</v>
      </c>
      <c r="D124" s="359">
        <f t="shared" si="4"/>
        <v>1.0125816821457188</v>
      </c>
      <c r="E124" s="355">
        <f t="shared" si="5"/>
        <v>3.6824435548445132E-2</v>
      </c>
    </row>
    <row r="125" spans="1:5">
      <c r="A125" s="357">
        <f>'DAILY EXTRAPOLATION'!C2499</f>
        <v>46297</v>
      </c>
      <c r="B125" s="356">
        <f t="shared" si="3"/>
        <v>46298</v>
      </c>
      <c r="C125" s="353">
        <f>'DAILY EXTRAPOLATION'!P2499</f>
        <v>1.0003233333333332</v>
      </c>
      <c r="D125" s="359">
        <f t="shared" si="4"/>
        <v>1.0129090835562791</v>
      </c>
      <c r="E125" s="355">
        <f t="shared" si="5"/>
        <v>3.7477984518229548E-2</v>
      </c>
    </row>
    <row r="126" spans="1:5">
      <c r="A126" s="357">
        <f>'DAILY EXTRAPOLATION'!C2500</f>
        <v>46298</v>
      </c>
      <c r="B126" s="356">
        <f t="shared" si="3"/>
        <v>46299</v>
      </c>
      <c r="C126" s="353">
        <f>'DAILY EXTRAPOLATION'!P2500</f>
        <v>1</v>
      </c>
      <c r="D126" s="359">
        <f t="shared" si="4"/>
        <v>1.0129090835562791</v>
      </c>
      <c r="E126" s="355">
        <f t="shared" si="5"/>
        <v>3.7178160642083707E-2</v>
      </c>
    </row>
    <row r="127" spans="1:5">
      <c r="A127" s="357">
        <f>'DAILY EXTRAPOLATION'!C2501</f>
        <v>46299</v>
      </c>
      <c r="B127" s="356">
        <f t="shared" si="3"/>
        <v>46300</v>
      </c>
      <c r="C127" s="353">
        <f>'DAILY EXTRAPOLATION'!P2501</f>
        <v>1</v>
      </c>
      <c r="D127" s="359">
        <f t="shared" si="4"/>
        <v>1.0129090835562791</v>
      </c>
      <c r="E127" s="355">
        <f t="shared" si="5"/>
        <v>3.6883095875083045E-2</v>
      </c>
    </row>
    <row r="128" spans="1:5">
      <c r="A128" s="357">
        <f>'DAILY EXTRAPOLATION'!C2502</f>
        <v>46300</v>
      </c>
      <c r="B128" s="356">
        <f t="shared" si="3"/>
        <v>46301</v>
      </c>
      <c r="C128" s="353">
        <f>'DAILY EXTRAPOLATION'!P2502</f>
        <v>1.0001080555555555</v>
      </c>
      <c r="D128" s="359">
        <f t="shared" si="4"/>
        <v>1.0130185340100299</v>
      </c>
      <c r="E128" s="355">
        <f t="shared" si="5"/>
        <v>3.6902931052053396E-2</v>
      </c>
    </row>
    <row r="129" spans="1:5">
      <c r="A129" s="357">
        <f>'DAILY EXTRAPOLATION'!C2503</f>
        <v>46301</v>
      </c>
      <c r="B129" s="356">
        <f t="shared" si="3"/>
        <v>46302</v>
      </c>
      <c r="C129" s="353">
        <f>'DAILY EXTRAPOLATION'!P2503</f>
        <v>1.0001083333333334</v>
      </c>
      <c r="D129" s="359">
        <f t="shared" si="4"/>
        <v>1.0131282776845478</v>
      </c>
      <c r="E129" s="355">
        <f t="shared" si="5"/>
        <v>3.6923280987790769E-2</v>
      </c>
    </row>
    <row r="130" spans="1:5">
      <c r="A130" s="357">
        <f>'DAILY EXTRAPOLATION'!C2504</f>
        <v>46302</v>
      </c>
      <c r="B130" s="356">
        <f t="shared" si="3"/>
        <v>46303</v>
      </c>
      <c r="C130" s="353">
        <f>'DAILY EXTRAPOLATION'!P2504</f>
        <v>1.0001077777777778</v>
      </c>
      <c r="D130" s="359">
        <f t="shared" si="4"/>
        <v>1.0132374703989206</v>
      </c>
      <c r="E130" s="355">
        <f t="shared" si="5"/>
        <v>3.6941777857452972E-2</v>
      </c>
    </row>
    <row r="131" spans="1:5">
      <c r="A131" s="357">
        <f>'DAILY EXTRAPOLATION'!C2505</f>
        <v>46303</v>
      </c>
      <c r="B131" s="356">
        <f t="shared" ref="B131:B194" si="6">A132</f>
        <v>46304</v>
      </c>
      <c r="C131" s="353">
        <f>'DAILY EXTRAPOLATION'!P2505</f>
        <v>1.0001074999999999</v>
      </c>
      <c r="D131" s="359">
        <f t="shared" si="4"/>
        <v>1.0133463934269884</v>
      </c>
      <c r="E131" s="355">
        <f t="shared" si="5"/>
        <v>3.6959243336275573E-2</v>
      </c>
    </row>
    <row r="132" spans="1:5">
      <c r="A132" s="357">
        <f>'DAILY EXTRAPOLATION'!C2506</f>
        <v>46304</v>
      </c>
      <c r="B132" s="356">
        <f t="shared" si="6"/>
        <v>46305</v>
      </c>
      <c r="C132" s="353">
        <f>'DAILY EXTRAPOLATION'!P2506</f>
        <v>1.0004299999999999</v>
      </c>
      <c r="D132" s="359">
        <f t="shared" ref="D132:D195" si="7">D131*C132</f>
        <v>1.013782132376162</v>
      </c>
      <c r="E132" s="355">
        <f t="shared" ref="E132:E195" si="8">(D132/1-1)*360/(B132-A$2)</f>
        <v>3.7874562255101663E-2</v>
      </c>
    </row>
    <row r="133" spans="1:5">
      <c r="A133" s="357">
        <f>'DAILY EXTRAPOLATION'!C2507</f>
        <v>46305</v>
      </c>
      <c r="B133" s="356">
        <f t="shared" si="6"/>
        <v>46306</v>
      </c>
      <c r="C133" s="353">
        <f>'DAILY EXTRAPOLATION'!P2507</f>
        <v>1</v>
      </c>
      <c r="D133" s="359">
        <f t="shared" si="7"/>
        <v>1.013782132376162</v>
      </c>
      <c r="E133" s="355">
        <f t="shared" si="8"/>
        <v>3.7587633753169071E-2</v>
      </c>
    </row>
    <row r="134" spans="1:5">
      <c r="A134" s="357">
        <f>'DAILY EXTRAPOLATION'!C2508</f>
        <v>46306</v>
      </c>
      <c r="B134" s="356">
        <f t="shared" si="6"/>
        <v>46307</v>
      </c>
      <c r="C134" s="353">
        <f>'DAILY EXTRAPOLATION'!P2508</f>
        <v>1</v>
      </c>
      <c r="D134" s="359">
        <f t="shared" si="7"/>
        <v>1.013782132376162</v>
      </c>
      <c r="E134" s="355">
        <f t="shared" si="8"/>
        <v>3.7305019965551259E-2</v>
      </c>
    </row>
    <row r="135" spans="1:5">
      <c r="A135" s="357">
        <f>'DAILY EXTRAPOLATION'!C2509</f>
        <v>46307</v>
      </c>
      <c r="B135" s="356">
        <f t="shared" si="6"/>
        <v>46308</v>
      </c>
      <c r="C135" s="353">
        <f>'DAILY EXTRAPOLATION'!P2509</f>
        <v>1</v>
      </c>
      <c r="D135" s="359">
        <f t="shared" si="7"/>
        <v>1.013782132376162</v>
      </c>
      <c r="E135" s="355">
        <f t="shared" si="8"/>
        <v>3.7026624294166546E-2</v>
      </c>
    </row>
    <row r="136" spans="1:5">
      <c r="A136" s="357">
        <f>'DAILY EXTRAPOLATION'!C2510</f>
        <v>46308</v>
      </c>
      <c r="B136" s="356">
        <f t="shared" si="6"/>
        <v>46309</v>
      </c>
      <c r="C136" s="353">
        <f>'DAILY EXTRAPOLATION'!P2510</f>
        <v>1.0001080555555555</v>
      </c>
      <c r="D136" s="359">
        <f t="shared" si="7"/>
        <v>1.013891677167688</v>
      </c>
      <c r="E136" s="355">
        <f t="shared" si="8"/>
        <v>3.7044472447168054E-2</v>
      </c>
    </row>
    <row r="137" spans="1:5">
      <c r="A137" s="357">
        <f>'DAILY EXTRAPOLATION'!C2511</f>
        <v>46309</v>
      </c>
      <c r="B137" s="356">
        <f t="shared" si="6"/>
        <v>46310</v>
      </c>
      <c r="C137" s="353">
        <f>'DAILY EXTRAPOLATION'!P2511</f>
        <v>1.0001077777777778</v>
      </c>
      <c r="D137" s="359">
        <f t="shared" si="7"/>
        <v>1.0140009521595605</v>
      </c>
      <c r="E137" s="355">
        <f t="shared" si="8"/>
        <v>3.7061343951777903E-2</v>
      </c>
    </row>
    <row r="138" spans="1:5">
      <c r="A138" s="357">
        <f>'DAILY EXTRAPOLATION'!C2512</f>
        <v>46310</v>
      </c>
      <c r="B138" s="356">
        <f t="shared" si="6"/>
        <v>46311</v>
      </c>
      <c r="C138" s="353">
        <f>'DAILY EXTRAPOLATION'!P2512</f>
        <v>1.0001080555555555</v>
      </c>
      <c r="D138" s="359">
        <f t="shared" si="7"/>
        <v>1.0141105205957799</v>
      </c>
      <c r="E138" s="355">
        <f t="shared" si="8"/>
        <v>3.7078740251684367E-2</v>
      </c>
    </row>
    <row r="139" spans="1:5">
      <c r="A139" s="357">
        <f>'DAILY EXTRAPOLATION'!C2513</f>
        <v>46311</v>
      </c>
      <c r="B139" s="356">
        <f t="shared" si="6"/>
        <v>46312</v>
      </c>
      <c r="C139" s="353">
        <f>'DAILY EXTRAPOLATION'!P2513</f>
        <v>1.0003233333333332</v>
      </c>
      <c r="D139" s="359">
        <f t="shared" si="7"/>
        <v>1.0144384163307725</v>
      </c>
      <c r="E139" s="355">
        <f t="shared" si="8"/>
        <v>3.7665433906362976E-2</v>
      </c>
    </row>
    <row r="140" spans="1:5">
      <c r="A140" s="357">
        <f>'DAILY EXTRAPOLATION'!C2514</f>
        <v>46312</v>
      </c>
      <c r="B140" s="356">
        <f t="shared" si="6"/>
        <v>46313</v>
      </c>
      <c r="C140" s="353">
        <f>'DAILY EXTRAPOLATION'!P2514</f>
        <v>1</v>
      </c>
      <c r="D140" s="359">
        <f t="shared" si="7"/>
        <v>1.0144384163307725</v>
      </c>
      <c r="E140" s="355">
        <f t="shared" si="8"/>
        <v>3.7394459561712882E-2</v>
      </c>
    </row>
    <row r="141" spans="1:5">
      <c r="A141" s="357">
        <f>'DAILY EXTRAPOLATION'!C2515</f>
        <v>46313</v>
      </c>
      <c r="B141" s="356">
        <f t="shared" si="6"/>
        <v>46314</v>
      </c>
      <c r="C141" s="353">
        <f>'DAILY EXTRAPOLATION'!P2515</f>
        <v>1</v>
      </c>
      <c r="D141" s="359">
        <f t="shared" si="7"/>
        <v>1.0144384163307725</v>
      </c>
      <c r="E141" s="355">
        <f t="shared" si="8"/>
        <v>3.712735627912922E-2</v>
      </c>
    </row>
    <row r="142" spans="1:5">
      <c r="A142" s="357">
        <f>'DAILY EXTRAPOLATION'!C2516</f>
        <v>46314</v>
      </c>
      <c r="B142" s="356">
        <f t="shared" si="6"/>
        <v>46315</v>
      </c>
      <c r="C142" s="353">
        <f>'DAILY EXTRAPOLATION'!P2516</f>
        <v>1.0001074999999999</v>
      </c>
      <c r="D142" s="359">
        <f t="shared" si="7"/>
        <v>1.014547468460528</v>
      </c>
      <c r="E142" s="355">
        <f t="shared" si="8"/>
        <v>3.7142472665177902E-2</v>
      </c>
    </row>
    <row r="143" spans="1:5">
      <c r="A143" s="357">
        <f>'DAILY EXTRAPOLATION'!C2517</f>
        <v>46315</v>
      </c>
      <c r="B143" s="356">
        <f t="shared" si="6"/>
        <v>46316</v>
      </c>
      <c r="C143" s="353">
        <f>'DAILY EXTRAPOLATION'!P2517</f>
        <v>1.0001077777777778</v>
      </c>
      <c r="D143" s="359">
        <f t="shared" si="7"/>
        <v>1.0146568141321288</v>
      </c>
      <c r="E143" s="355">
        <f t="shared" si="8"/>
        <v>3.7158120334974488E-2</v>
      </c>
    </row>
    <row r="144" spans="1:5">
      <c r="A144" s="357">
        <f>'DAILY EXTRAPOLATION'!C2518</f>
        <v>46316</v>
      </c>
      <c r="B144" s="356">
        <f t="shared" si="6"/>
        <v>46317</v>
      </c>
      <c r="C144" s="353">
        <f>'DAILY EXTRAPOLATION'!P2518</f>
        <v>1.0001077777777778</v>
      </c>
      <c r="D144" s="359">
        <f t="shared" si="7"/>
        <v>1.014766171588763</v>
      </c>
      <c r="E144" s="355">
        <f t="shared" si="8"/>
        <v>3.7173578824857986E-2</v>
      </c>
    </row>
    <row r="145" spans="1:5">
      <c r="A145" s="357">
        <f>'DAILY EXTRAPOLATION'!C2519</f>
        <v>46317</v>
      </c>
      <c r="B145" s="356">
        <f t="shared" si="6"/>
        <v>46318</v>
      </c>
      <c r="C145" s="353">
        <f>'DAILY EXTRAPOLATION'!P2519</f>
        <v>1.0001083333333334</v>
      </c>
      <c r="D145" s="359">
        <f t="shared" si="7"/>
        <v>1.0148761045906851</v>
      </c>
      <c r="E145" s="355">
        <f t="shared" si="8"/>
        <v>3.7190261476712783E-2</v>
      </c>
    </row>
    <row r="146" spans="1:5">
      <c r="A146" s="357">
        <f>'DAILY EXTRAPOLATION'!C2520</f>
        <v>46318</v>
      </c>
      <c r="B146" s="356">
        <f t="shared" si="6"/>
        <v>46319</v>
      </c>
      <c r="C146" s="353">
        <f>'DAILY EXTRAPOLATION'!P2520</f>
        <v>1.0003266666666666</v>
      </c>
      <c r="D146" s="359">
        <f t="shared" si="7"/>
        <v>1.0152076307848512</v>
      </c>
      <c r="E146" s="355">
        <f t="shared" si="8"/>
        <v>3.7756876431354731E-2</v>
      </c>
    </row>
    <row r="147" spans="1:5">
      <c r="A147" s="357">
        <f>'DAILY EXTRAPOLATION'!C2521</f>
        <v>46319</v>
      </c>
      <c r="B147" s="356">
        <f t="shared" si="6"/>
        <v>46320</v>
      </c>
      <c r="C147" s="353">
        <f>'DAILY EXTRAPOLATION'!P2521</f>
        <v>1</v>
      </c>
      <c r="D147" s="359">
        <f t="shared" si="7"/>
        <v>1.0152076307848512</v>
      </c>
      <c r="E147" s="355">
        <f t="shared" si="8"/>
        <v>3.7498267688674224E-2</v>
      </c>
    </row>
    <row r="148" spans="1:5">
      <c r="A148" s="357">
        <f>'DAILY EXTRAPOLATION'!C2522</f>
        <v>46320</v>
      </c>
      <c r="B148" s="356">
        <f t="shared" si="6"/>
        <v>46321</v>
      </c>
      <c r="C148" s="353">
        <f>'DAILY EXTRAPOLATION'!P2522</f>
        <v>1</v>
      </c>
      <c r="D148" s="359">
        <f t="shared" si="7"/>
        <v>1.0152076307848512</v>
      </c>
      <c r="E148" s="355">
        <f t="shared" si="8"/>
        <v>3.7243177432288679E-2</v>
      </c>
    </row>
    <row r="149" spans="1:5">
      <c r="A149" s="357">
        <f>'DAILY EXTRAPOLATION'!C2523</f>
        <v>46321</v>
      </c>
      <c r="B149" s="356">
        <f t="shared" si="6"/>
        <v>46322</v>
      </c>
      <c r="C149" s="353">
        <f>'DAILY EXTRAPOLATION'!P2523</f>
        <v>1.0001091666666666</v>
      </c>
      <c r="D149" s="359">
        <f t="shared" si="7"/>
        <v>1.0153184576178784</v>
      </c>
      <c r="E149" s="355">
        <f t="shared" si="8"/>
        <v>3.7261113124569138E-2</v>
      </c>
    </row>
    <row r="150" spans="1:5">
      <c r="A150" s="357">
        <f>'DAILY EXTRAPOLATION'!C2524</f>
        <v>46322</v>
      </c>
      <c r="B150" s="356">
        <f t="shared" si="6"/>
        <v>46323</v>
      </c>
      <c r="C150" s="353">
        <f>'DAILY EXTRAPOLATION'!P2524</f>
        <v>1</v>
      </c>
      <c r="D150" s="359">
        <f t="shared" si="7"/>
        <v>1.0153184576178784</v>
      </c>
      <c r="E150" s="355">
        <f t="shared" si="8"/>
        <v>3.7011038539840481E-2</v>
      </c>
    </row>
    <row r="151" spans="1:5">
      <c r="A151" s="357">
        <f>'DAILY EXTRAPOLATION'!C2525</f>
        <v>46323</v>
      </c>
      <c r="B151" s="356">
        <f t="shared" si="6"/>
        <v>46324</v>
      </c>
      <c r="C151" s="353">
        <f>'DAILY EXTRAPOLATION'!P2525</f>
        <v>1</v>
      </c>
      <c r="D151" s="359">
        <f t="shared" si="7"/>
        <v>1.0153184576178784</v>
      </c>
      <c r="E151" s="355">
        <f t="shared" si="8"/>
        <v>3.6764298282908212E-2</v>
      </c>
    </row>
    <row r="152" spans="1:5">
      <c r="A152" s="357">
        <f>'DAILY EXTRAPOLATION'!C2526</f>
        <v>46324</v>
      </c>
      <c r="B152" s="356">
        <f t="shared" si="6"/>
        <v>46325</v>
      </c>
      <c r="C152" s="353" t="e">
        <f ca="1">'DAILY EXTRAPOLATION'!P2526</f>
        <v>#DIV/0!</v>
      </c>
      <c r="D152" s="359" t="e">
        <f t="shared" ca="1" si="7"/>
        <v>#DIV/0!</v>
      </c>
      <c r="E152" s="355" t="e">
        <f t="shared" ca="1" si="8"/>
        <v>#DIV/0!</v>
      </c>
    </row>
    <row r="153" spans="1:5">
      <c r="A153" s="357">
        <f>'DAILY EXTRAPOLATION'!C2527</f>
        <v>46325</v>
      </c>
      <c r="B153" s="356">
        <f t="shared" si="6"/>
        <v>46326</v>
      </c>
      <c r="C153" s="353" t="e">
        <f ca="1">'DAILY EXTRAPOLATION'!P2527</f>
        <v>#DIV/0!</v>
      </c>
      <c r="D153" s="359" t="e">
        <f t="shared" ca="1" si="7"/>
        <v>#DIV/0!</v>
      </c>
      <c r="E153" s="355" t="e">
        <f t="shared" ca="1" si="8"/>
        <v>#DIV/0!</v>
      </c>
    </row>
    <row r="154" spans="1:5">
      <c r="A154" s="357">
        <f>'DAILY EXTRAPOLATION'!C2528</f>
        <v>46326</v>
      </c>
      <c r="B154" s="356">
        <f t="shared" si="6"/>
        <v>46327</v>
      </c>
      <c r="C154" s="353" t="e">
        <f ca="1">'DAILY EXTRAPOLATION'!P2528</f>
        <v>#DIV/0!</v>
      </c>
      <c r="D154" s="359" t="e">
        <f t="shared" ca="1" si="7"/>
        <v>#DIV/0!</v>
      </c>
      <c r="E154" s="355" t="e">
        <f t="shared" ca="1" si="8"/>
        <v>#DIV/0!</v>
      </c>
    </row>
    <row r="155" spans="1:5">
      <c r="A155" s="357">
        <f>'DAILY EXTRAPOLATION'!C2529</f>
        <v>46327</v>
      </c>
      <c r="B155" s="356">
        <f t="shared" si="6"/>
        <v>46328</v>
      </c>
      <c r="C155" s="353">
        <f ca="1">'DAILY EXTRAPOLATION'!P2529</f>
        <v>1</v>
      </c>
      <c r="D155" s="359" t="e">
        <f t="shared" ca="1" si="7"/>
        <v>#DIV/0!</v>
      </c>
      <c r="E155" s="355" t="e">
        <f t="shared" ca="1" si="8"/>
        <v>#DIV/0!</v>
      </c>
    </row>
    <row r="156" spans="1:5">
      <c r="A156" s="357">
        <f>'DAILY EXTRAPOLATION'!C2530</f>
        <v>46328</v>
      </c>
      <c r="B156" s="356">
        <f t="shared" si="6"/>
        <v>46329</v>
      </c>
      <c r="C156" s="353">
        <f ca="1">'DAILY EXTRAPOLATION'!P2530</f>
        <v>1.0001090277777778</v>
      </c>
      <c r="D156" s="359" t="e">
        <f t="shared" ca="1" si="7"/>
        <v>#DIV/0!</v>
      </c>
      <c r="E156" s="355" t="e">
        <f t="shared" ca="1" si="8"/>
        <v>#DIV/0!</v>
      </c>
    </row>
    <row r="157" spans="1:5">
      <c r="A157" s="357">
        <f>'DAILY EXTRAPOLATION'!C2531</f>
        <v>46329</v>
      </c>
      <c r="B157" s="356">
        <f t="shared" si="6"/>
        <v>46330</v>
      </c>
      <c r="C157" s="353">
        <f ca="1">'DAILY EXTRAPOLATION'!P2531</f>
        <v>1.0001090277777778</v>
      </c>
      <c r="D157" s="359" t="e">
        <f t="shared" ca="1" si="7"/>
        <v>#DIV/0!</v>
      </c>
      <c r="E157" s="355" t="e">
        <f t="shared" ca="1" si="8"/>
        <v>#DIV/0!</v>
      </c>
    </row>
    <row r="158" spans="1:5">
      <c r="A158" s="357">
        <f>'DAILY EXTRAPOLATION'!C2532</f>
        <v>46330</v>
      </c>
      <c r="B158" s="356">
        <f t="shared" si="6"/>
        <v>46331</v>
      </c>
      <c r="C158" s="353">
        <f ca="1">'DAILY EXTRAPOLATION'!P2532</f>
        <v>1.0001090277777778</v>
      </c>
      <c r="D158" s="359" t="e">
        <f t="shared" ca="1" si="7"/>
        <v>#DIV/0!</v>
      </c>
      <c r="E158" s="355" t="e">
        <f t="shared" ca="1" si="8"/>
        <v>#DIV/0!</v>
      </c>
    </row>
    <row r="159" spans="1:5">
      <c r="A159" s="357">
        <f>'DAILY EXTRAPOLATION'!C2533</f>
        <v>46331</v>
      </c>
      <c r="B159" s="356">
        <f t="shared" si="6"/>
        <v>46332</v>
      </c>
      <c r="C159" s="353">
        <f ca="1">'DAILY EXTRAPOLATION'!P2533</f>
        <v>1.0001090277777778</v>
      </c>
      <c r="D159" s="359" t="e">
        <f t="shared" ca="1" si="7"/>
        <v>#DIV/0!</v>
      </c>
      <c r="E159" s="355" t="e">
        <f t="shared" ca="1" si="8"/>
        <v>#DIV/0!</v>
      </c>
    </row>
    <row r="160" spans="1:5">
      <c r="A160" s="357">
        <f>'DAILY EXTRAPOLATION'!C2534</f>
        <v>46332</v>
      </c>
      <c r="B160" s="356">
        <f t="shared" si="6"/>
        <v>46333</v>
      </c>
      <c r="C160" s="353">
        <f ca="1">'DAILY EXTRAPOLATION'!P2534</f>
        <v>1.0003270833333333</v>
      </c>
      <c r="D160" s="359" t="e">
        <f t="shared" ca="1" si="7"/>
        <v>#DIV/0!</v>
      </c>
      <c r="E160" s="355" t="e">
        <f t="shared" ca="1" si="8"/>
        <v>#DIV/0!</v>
      </c>
    </row>
    <row r="161" spans="1:5">
      <c r="A161" s="357">
        <f>'DAILY EXTRAPOLATION'!C2535</f>
        <v>46333</v>
      </c>
      <c r="B161" s="356">
        <f t="shared" si="6"/>
        <v>46334</v>
      </c>
      <c r="C161" s="353">
        <f ca="1">'DAILY EXTRAPOLATION'!P2535</f>
        <v>1</v>
      </c>
      <c r="D161" s="359" t="e">
        <f t="shared" ca="1" si="7"/>
        <v>#DIV/0!</v>
      </c>
      <c r="E161" s="355" t="e">
        <f t="shared" ca="1" si="8"/>
        <v>#DIV/0!</v>
      </c>
    </row>
    <row r="162" spans="1:5">
      <c r="A162" s="357">
        <f>'DAILY EXTRAPOLATION'!C2536</f>
        <v>46334</v>
      </c>
      <c r="B162" s="356">
        <f t="shared" si="6"/>
        <v>46335</v>
      </c>
      <c r="C162" s="353">
        <f ca="1">'DAILY EXTRAPOLATION'!P2536</f>
        <v>1</v>
      </c>
      <c r="D162" s="359" t="e">
        <f t="shared" ca="1" si="7"/>
        <v>#DIV/0!</v>
      </c>
      <c r="E162" s="355" t="e">
        <f t="shared" ca="1" si="8"/>
        <v>#DIV/0!</v>
      </c>
    </row>
    <row r="163" spans="1:5">
      <c r="A163" s="357">
        <f>'DAILY EXTRAPOLATION'!C2537</f>
        <v>46335</v>
      </c>
      <c r="B163" s="356">
        <f t="shared" si="6"/>
        <v>46336</v>
      </c>
      <c r="C163" s="353">
        <f ca="1">'DAILY EXTRAPOLATION'!P2537</f>
        <v>1.0001090277777778</v>
      </c>
      <c r="D163" s="359" t="e">
        <f t="shared" ca="1" si="7"/>
        <v>#DIV/0!</v>
      </c>
      <c r="E163" s="355" t="e">
        <f t="shared" ca="1" si="8"/>
        <v>#DIV/0!</v>
      </c>
    </row>
    <row r="164" spans="1:5">
      <c r="A164" s="357">
        <f>'DAILY EXTRAPOLATION'!C2538</f>
        <v>46336</v>
      </c>
      <c r="B164" s="356">
        <f t="shared" si="6"/>
        <v>46337</v>
      </c>
      <c r="C164" s="353">
        <f ca="1">'DAILY EXTRAPOLATION'!P2538</f>
        <v>1.0002180555555555</v>
      </c>
      <c r="D164" s="359" t="e">
        <f t="shared" ca="1" si="7"/>
        <v>#DIV/0!</v>
      </c>
      <c r="E164" s="355" t="e">
        <f t="shared" ca="1" si="8"/>
        <v>#DIV/0!</v>
      </c>
    </row>
    <row r="165" spans="1:5">
      <c r="A165" s="357">
        <f>'DAILY EXTRAPOLATION'!C2539</f>
        <v>46337</v>
      </c>
      <c r="B165" s="356">
        <f t="shared" si="6"/>
        <v>46338</v>
      </c>
      <c r="C165" s="353">
        <f ca="1">'DAILY EXTRAPOLATION'!P2539</f>
        <v>1</v>
      </c>
      <c r="D165" s="359" t="e">
        <f t="shared" ca="1" si="7"/>
        <v>#DIV/0!</v>
      </c>
      <c r="E165" s="355" t="e">
        <f t="shared" ca="1" si="8"/>
        <v>#DIV/0!</v>
      </c>
    </row>
    <row r="166" spans="1:5">
      <c r="A166" s="357">
        <f>'DAILY EXTRAPOLATION'!C2540</f>
        <v>46338</v>
      </c>
      <c r="B166" s="356">
        <f t="shared" si="6"/>
        <v>46339</v>
      </c>
      <c r="C166" s="353">
        <f ca="1">'DAILY EXTRAPOLATION'!P2540</f>
        <v>1.0001090277777778</v>
      </c>
      <c r="D166" s="359" t="e">
        <f t="shared" ca="1" si="7"/>
        <v>#DIV/0!</v>
      </c>
      <c r="E166" s="355" t="e">
        <f t="shared" ca="1" si="8"/>
        <v>#DIV/0!</v>
      </c>
    </row>
    <row r="167" spans="1:5">
      <c r="A167" s="357">
        <f>'DAILY EXTRAPOLATION'!C2541</f>
        <v>46339</v>
      </c>
      <c r="B167" s="356">
        <f t="shared" si="6"/>
        <v>46340</v>
      </c>
      <c r="C167" s="353">
        <f ca="1">'DAILY EXTRAPOLATION'!P2541</f>
        <v>1.0003270833333333</v>
      </c>
      <c r="D167" s="359" t="e">
        <f t="shared" ca="1" si="7"/>
        <v>#DIV/0!</v>
      </c>
      <c r="E167" s="355" t="e">
        <f t="shared" ca="1" si="8"/>
        <v>#DIV/0!</v>
      </c>
    </row>
    <row r="168" spans="1:5">
      <c r="A168" s="357">
        <f>'DAILY EXTRAPOLATION'!C2542</f>
        <v>46340</v>
      </c>
      <c r="B168" s="356">
        <f t="shared" si="6"/>
        <v>46341</v>
      </c>
      <c r="C168" s="353">
        <f ca="1">'DAILY EXTRAPOLATION'!P2542</f>
        <v>1</v>
      </c>
      <c r="D168" s="359" t="e">
        <f t="shared" ca="1" si="7"/>
        <v>#DIV/0!</v>
      </c>
      <c r="E168" s="355" t="e">
        <f t="shared" ca="1" si="8"/>
        <v>#DIV/0!</v>
      </c>
    </row>
    <row r="169" spans="1:5">
      <c r="A169" s="357">
        <f>'DAILY EXTRAPOLATION'!C2543</f>
        <v>46341</v>
      </c>
      <c r="B169" s="356">
        <f t="shared" si="6"/>
        <v>46342</v>
      </c>
      <c r="C169" s="353">
        <f ca="1">'DAILY EXTRAPOLATION'!P2543</f>
        <v>1</v>
      </c>
      <c r="D169" s="359" t="e">
        <f t="shared" ca="1" si="7"/>
        <v>#DIV/0!</v>
      </c>
      <c r="E169" s="355" t="e">
        <f t="shared" ca="1" si="8"/>
        <v>#DIV/0!</v>
      </c>
    </row>
    <row r="170" spans="1:5">
      <c r="A170" s="357">
        <f>'DAILY EXTRAPOLATION'!C2544</f>
        <v>46342</v>
      </c>
      <c r="B170" s="356">
        <f t="shared" si="6"/>
        <v>46343</v>
      </c>
      <c r="C170" s="353">
        <f ca="1">'DAILY EXTRAPOLATION'!P2544</f>
        <v>1.0001090277777778</v>
      </c>
      <c r="D170" s="359" t="e">
        <f t="shared" ca="1" si="7"/>
        <v>#DIV/0!</v>
      </c>
      <c r="E170" s="355" t="e">
        <f t="shared" ca="1" si="8"/>
        <v>#DIV/0!</v>
      </c>
    </row>
    <row r="171" spans="1:5">
      <c r="A171" s="357">
        <f>'DAILY EXTRAPOLATION'!C2545</f>
        <v>46343</v>
      </c>
      <c r="B171" s="356">
        <f t="shared" si="6"/>
        <v>46344</v>
      </c>
      <c r="C171" s="353">
        <f ca="1">'DAILY EXTRAPOLATION'!P2545</f>
        <v>1.0001090277777778</v>
      </c>
      <c r="D171" s="359" t="e">
        <f t="shared" ca="1" si="7"/>
        <v>#DIV/0!</v>
      </c>
      <c r="E171" s="355" t="e">
        <f t="shared" ca="1" si="8"/>
        <v>#DIV/0!</v>
      </c>
    </row>
    <row r="172" spans="1:5">
      <c r="A172" s="357">
        <f>'DAILY EXTRAPOLATION'!C2546</f>
        <v>46344</v>
      </c>
      <c r="B172" s="356">
        <f t="shared" si="6"/>
        <v>46345</v>
      </c>
      <c r="C172" s="353">
        <f ca="1">'DAILY EXTRAPOLATION'!P2546</f>
        <v>1.0001090277777778</v>
      </c>
      <c r="D172" s="359" t="e">
        <f t="shared" ca="1" si="7"/>
        <v>#DIV/0!</v>
      </c>
      <c r="E172" s="355" t="e">
        <f t="shared" ca="1" si="8"/>
        <v>#DIV/0!</v>
      </c>
    </row>
    <row r="173" spans="1:5">
      <c r="A173" s="357">
        <f>'DAILY EXTRAPOLATION'!C2547</f>
        <v>46345</v>
      </c>
      <c r="B173" s="356">
        <f t="shared" si="6"/>
        <v>46346</v>
      </c>
      <c r="C173" s="353">
        <f ca="1">'DAILY EXTRAPOLATION'!P2547</f>
        <v>1.0001090277777778</v>
      </c>
      <c r="D173" s="359" t="e">
        <f t="shared" ca="1" si="7"/>
        <v>#DIV/0!</v>
      </c>
      <c r="E173" s="355" t="e">
        <f t="shared" ca="1" si="8"/>
        <v>#DIV/0!</v>
      </c>
    </row>
    <row r="174" spans="1:5">
      <c r="A174" s="357">
        <f>'DAILY EXTRAPOLATION'!C2548</f>
        <v>46346</v>
      </c>
      <c r="B174" s="356">
        <f t="shared" si="6"/>
        <v>46347</v>
      </c>
      <c r="C174" s="353">
        <f ca="1">'DAILY EXTRAPOLATION'!P2548</f>
        <v>1.0003270833333333</v>
      </c>
      <c r="D174" s="359" t="e">
        <f t="shared" ca="1" si="7"/>
        <v>#DIV/0!</v>
      </c>
      <c r="E174" s="355" t="e">
        <f t="shared" ca="1" si="8"/>
        <v>#DIV/0!</v>
      </c>
    </row>
    <row r="175" spans="1:5">
      <c r="A175" s="357">
        <f>'DAILY EXTRAPOLATION'!C2549</f>
        <v>46347</v>
      </c>
      <c r="B175" s="356">
        <f t="shared" si="6"/>
        <v>46348</v>
      </c>
      <c r="C175" s="353">
        <f ca="1">'DAILY EXTRAPOLATION'!P2549</f>
        <v>1</v>
      </c>
      <c r="D175" s="359" t="e">
        <f t="shared" ca="1" si="7"/>
        <v>#DIV/0!</v>
      </c>
      <c r="E175" s="355" t="e">
        <f t="shared" ca="1" si="8"/>
        <v>#DIV/0!</v>
      </c>
    </row>
    <row r="176" spans="1:5">
      <c r="A176" s="357">
        <f>'DAILY EXTRAPOLATION'!C2550</f>
        <v>46348</v>
      </c>
      <c r="B176" s="356">
        <f t="shared" si="6"/>
        <v>46349</v>
      </c>
      <c r="C176" s="353">
        <f ca="1">'DAILY EXTRAPOLATION'!P2550</f>
        <v>1</v>
      </c>
      <c r="D176" s="359" t="e">
        <f t="shared" ca="1" si="7"/>
        <v>#DIV/0!</v>
      </c>
      <c r="E176" s="355" t="e">
        <f t="shared" ca="1" si="8"/>
        <v>#DIV/0!</v>
      </c>
    </row>
    <row r="177" spans="1:5">
      <c r="A177" s="357">
        <f>'DAILY EXTRAPOLATION'!C2551</f>
        <v>46349</v>
      </c>
      <c r="B177" s="356">
        <f t="shared" si="6"/>
        <v>46350</v>
      </c>
      <c r="C177" s="353">
        <f ca="1">'DAILY EXTRAPOLATION'!P2551</f>
        <v>1.0001090277777778</v>
      </c>
      <c r="D177" s="359" t="e">
        <f t="shared" ca="1" si="7"/>
        <v>#DIV/0!</v>
      </c>
      <c r="E177" s="355" t="e">
        <f t="shared" ca="1" si="8"/>
        <v>#DIV/0!</v>
      </c>
    </row>
    <row r="178" spans="1:5">
      <c r="A178" s="357">
        <f>'DAILY EXTRAPOLATION'!C2552</f>
        <v>46350</v>
      </c>
      <c r="B178" s="356">
        <f t="shared" si="6"/>
        <v>46351</v>
      </c>
      <c r="C178" s="353">
        <f ca="1">'DAILY EXTRAPOLATION'!P2552</f>
        <v>1.0001090277777778</v>
      </c>
      <c r="D178" s="359" t="e">
        <f t="shared" ca="1" si="7"/>
        <v>#DIV/0!</v>
      </c>
      <c r="E178" s="355" t="e">
        <f t="shared" ca="1" si="8"/>
        <v>#DIV/0!</v>
      </c>
    </row>
    <row r="179" spans="1:5">
      <c r="A179" s="357">
        <f>'DAILY EXTRAPOLATION'!C2553</f>
        <v>46351</v>
      </c>
      <c r="B179" s="356">
        <f t="shared" si="6"/>
        <v>46352</v>
      </c>
      <c r="C179" s="353">
        <f ca="1">'DAILY EXTRAPOLATION'!P2553</f>
        <v>1.0002180555555555</v>
      </c>
      <c r="D179" s="359" t="e">
        <f t="shared" ca="1" si="7"/>
        <v>#DIV/0!</v>
      </c>
      <c r="E179" s="355" t="e">
        <f t="shared" ca="1" si="8"/>
        <v>#DIV/0!</v>
      </c>
    </row>
    <row r="180" spans="1:5">
      <c r="A180" s="357">
        <f>'DAILY EXTRAPOLATION'!C2554</f>
        <v>46352</v>
      </c>
      <c r="B180" s="356">
        <f t="shared" si="6"/>
        <v>46353</v>
      </c>
      <c r="C180" s="353">
        <f ca="1">'DAILY EXTRAPOLATION'!P2554</f>
        <v>1</v>
      </c>
      <c r="D180" s="359" t="e">
        <f t="shared" ca="1" si="7"/>
        <v>#DIV/0!</v>
      </c>
      <c r="E180" s="355" t="e">
        <f ca="1">(D180/1-1)*360/(B180-A$2)</f>
        <v>#DIV/0!</v>
      </c>
    </row>
    <row r="181" spans="1:5">
      <c r="A181" s="357">
        <f>'DAILY EXTRAPOLATION'!C2555</f>
        <v>46353</v>
      </c>
      <c r="B181" s="356">
        <f t="shared" si="6"/>
        <v>46354</v>
      </c>
      <c r="C181" s="353">
        <f ca="1">'DAILY EXTRAPOLATION'!P2555</f>
        <v>1.0003270833333333</v>
      </c>
      <c r="D181" s="359" t="e">
        <f t="shared" ca="1" si="7"/>
        <v>#DIV/0!</v>
      </c>
      <c r="E181" s="355" t="e">
        <f t="shared" ca="1" si="8"/>
        <v>#DIV/0!</v>
      </c>
    </row>
    <row r="182" spans="1:5">
      <c r="A182" s="357">
        <f>'DAILY EXTRAPOLATION'!C2556</f>
        <v>46354</v>
      </c>
      <c r="B182" s="356">
        <f t="shared" si="6"/>
        <v>46355</v>
      </c>
      <c r="C182" s="353">
        <f ca="1">'DAILY EXTRAPOLATION'!P2556</f>
        <v>1</v>
      </c>
      <c r="D182" s="359" t="e">
        <f t="shared" ca="1" si="7"/>
        <v>#DIV/0!</v>
      </c>
      <c r="E182" s="355" t="e">
        <f t="shared" ca="1" si="8"/>
        <v>#DIV/0!</v>
      </c>
    </row>
    <row r="183" spans="1:5">
      <c r="A183" s="357">
        <f>'DAILY EXTRAPOLATION'!C2557</f>
        <v>46355</v>
      </c>
      <c r="B183" s="356">
        <f t="shared" si="6"/>
        <v>46356</v>
      </c>
      <c r="C183" s="353">
        <f ca="1">'DAILY EXTRAPOLATION'!P2557</f>
        <v>1</v>
      </c>
      <c r="D183" s="359" t="e">
        <f t="shared" ca="1" si="7"/>
        <v>#DIV/0!</v>
      </c>
      <c r="E183" s="355" t="e">
        <f t="shared" ca="1" si="8"/>
        <v>#DIV/0!</v>
      </c>
    </row>
    <row r="184" spans="1:5">
      <c r="A184" s="357">
        <f>'DAILY EXTRAPOLATION'!C2558</f>
        <v>46356</v>
      </c>
      <c r="B184" s="356">
        <f t="shared" si="6"/>
        <v>46357</v>
      </c>
      <c r="C184" s="353">
        <f ca="1">'DAILY EXTRAPOLATION'!P2558</f>
        <v>1.0001090277777778</v>
      </c>
      <c r="D184" s="359" t="e">
        <f t="shared" ca="1" si="7"/>
        <v>#DIV/0!</v>
      </c>
      <c r="E184" s="355" t="e">
        <f t="shared" ca="1" si="8"/>
        <v>#DIV/0!</v>
      </c>
    </row>
    <row r="185" spans="1:5">
      <c r="A185" s="357">
        <f>'DAILY EXTRAPOLATION'!C2559</f>
        <v>46357</v>
      </c>
      <c r="B185" s="356">
        <f t="shared" si="6"/>
        <v>46358</v>
      </c>
      <c r="C185" s="353">
        <f ca="1">'DAILY EXTRAPOLATION'!P2559</f>
        <v>1.0001090277777778</v>
      </c>
      <c r="D185" s="359" t="e">
        <f t="shared" ca="1" si="7"/>
        <v>#DIV/0!</v>
      </c>
      <c r="E185" s="355" t="e">
        <f t="shared" ca="1" si="8"/>
        <v>#DIV/0!</v>
      </c>
    </row>
    <row r="186" spans="1:5">
      <c r="A186" s="357">
        <f>'DAILY EXTRAPOLATION'!C2560</f>
        <v>46358</v>
      </c>
      <c r="B186" s="356">
        <f t="shared" si="6"/>
        <v>46359</v>
      </c>
      <c r="C186" s="353">
        <f ca="1">'DAILY EXTRAPOLATION'!P2560</f>
        <v>1.0001090277777778</v>
      </c>
      <c r="D186" s="359" t="e">
        <f t="shared" ca="1" si="7"/>
        <v>#DIV/0!</v>
      </c>
      <c r="E186" s="355" t="e">
        <f t="shared" ca="1" si="8"/>
        <v>#DIV/0!</v>
      </c>
    </row>
    <row r="187" spans="1:5">
      <c r="A187" s="357">
        <f>'DAILY EXTRAPOLATION'!C2561</f>
        <v>46359</v>
      </c>
      <c r="B187" s="356">
        <f t="shared" si="6"/>
        <v>46360</v>
      </c>
      <c r="C187" s="353">
        <f ca="1">'DAILY EXTRAPOLATION'!P2561</f>
        <v>1.0001090277777778</v>
      </c>
      <c r="D187" s="359" t="e">
        <f t="shared" ca="1" si="7"/>
        <v>#DIV/0!</v>
      </c>
      <c r="E187" s="355" t="e">
        <f t="shared" ca="1" si="8"/>
        <v>#DIV/0!</v>
      </c>
    </row>
    <row r="188" spans="1:5">
      <c r="A188" s="357">
        <f>'DAILY EXTRAPOLATION'!C2562</f>
        <v>46360</v>
      </c>
      <c r="B188" s="356">
        <f t="shared" si="6"/>
        <v>46361</v>
      </c>
      <c r="C188" s="353">
        <f ca="1">'DAILY EXTRAPOLATION'!P2562</f>
        <v>1.0003270833333333</v>
      </c>
      <c r="D188" s="359" t="e">
        <f t="shared" ca="1" si="7"/>
        <v>#DIV/0!</v>
      </c>
      <c r="E188" s="355" t="e">
        <f t="shared" ca="1" si="8"/>
        <v>#DIV/0!</v>
      </c>
    </row>
    <row r="189" spans="1:5">
      <c r="A189" s="357">
        <f>'DAILY EXTRAPOLATION'!C2563</f>
        <v>46361</v>
      </c>
      <c r="B189" s="356">
        <f t="shared" si="6"/>
        <v>46362</v>
      </c>
      <c r="C189" s="353">
        <f ca="1">'DAILY EXTRAPOLATION'!P2563</f>
        <v>1</v>
      </c>
      <c r="D189" s="359" t="e">
        <f t="shared" ca="1" si="7"/>
        <v>#DIV/0!</v>
      </c>
      <c r="E189" s="355" t="e">
        <f t="shared" ca="1" si="8"/>
        <v>#DIV/0!</v>
      </c>
    </row>
    <row r="190" spans="1:5">
      <c r="A190" s="357">
        <f>'DAILY EXTRAPOLATION'!C2564</f>
        <v>46362</v>
      </c>
      <c r="B190" s="356">
        <f t="shared" si="6"/>
        <v>46363</v>
      </c>
      <c r="C190" s="353">
        <f ca="1">'DAILY EXTRAPOLATION'!P2564</f>
        <v>1</v>
      </c>
      <c r="D190" s="359" t="e">
        <f t="shared" ca="1" si="7"/>
        <v>#DIV/0!</v>
      </c>
      <c r="E190" s="355" t="e">
        <f t="shared" ca="1" si="8"/>
        <v>#DIV/0!</v>
      </c>
    </row>
    <row r="191" spans="1:5">
      <c r="A191" s="357">
        <f>'DAILY EXTRAPOLATION'!C2565</f>
        <v>46363</v>
      </c>
      <c r="B191" s="356">
        <f t="shared" si="6"/>
        <v>46364</v>
      </c>
      <c r="C191" s="353">
        <f ca="1">'DAILY EXTRAPOLATION'!P2565</f>
        <v>1.0001090277777778</v>
      </c>
      <c r="D191" s="359" t="e">
        <f t="shared" ca="1" si="7"/>
        <v>#DIV/0!</v>
      </c>
      <c r="E191" s="355" t="e">
        <f t="shared" ca="1" si="8"/>
        <v>#DIV/0!</v>
      </c>
    </row>
    <row r="192" spans="1:5">
      <c r="A192" s="357">
        <f>'DAILY EXTRAPOLATION'!C2566</f>
        <v>46364</v>
      </c>
      <c r="B192" s="356">
        <f t="shared" si="6"/>
        <v>46365</v>
      </c>
      <c r="C192" s="353">
        <f ca="1">'DAILY EXTRAPOLATION'!P2566</f>
        <v>1.0001090277777778</v>
      </c>
      <c r="D192" s="359" t="e">
        <f t="shared" ca="1" si="7"/>
        <v>#DIV/0!</v>
      </c>
      <c r="E192" s="355" t="e">
        <f t="shared" ca="1" si="8"/>
        <v>#DIV/0!</v>
      </c>
    </row>
    <row r="193" spans="1:5">
      <c r="A193" s="357">
        <f>'DAILY EXTRAPOLATION'!C2567</f>
        <v>46365</v>
      </c>
      <c r="B193" s="356">
        <f t="shared" si="6"/>
        <v>46366</v>
      </c>
      <c r="C193" s="353">
        <f ca="1">'DAILY EXTRAPOLATION'!P2567</f>
        <v>1.0001090277777778</v>
      </c>
      <c r="D193" s="359" t="e">
        <f t="shared" ca="1" si="7"/>
        <v>#DIV/0!</v>
      </c>
      <c r="E193" s="355" t="e">
        <f t="shared" ca="1" si="8"/>
        <v>#DIV/0!</v>
      </c>
    </row>
    <row r="194" spans="1:5">
      <c r="A194" s="357">
        <f>'DAILY EXTRAPOLATION'!C2568</f>
        <v>46366</v>
      </c>
      <c r="B194" s="356">
        <f t="shared" si="6"/>
        <v>46367</v>
      </c>
      <c r="C194" s="353">
        <f ca="1">'DAILY EXTRAPOLATION'!P2568</f>
        <v>1.0001148989898989</v>
      </c>
      <c r="D194" s="359" t="e">
        <f t="shared" ca="1" si="7"/>
        <v>#DIV/0!</v>
      </c>
      <c r="E194" s="355" t="e">
        <f t="shared" ca="1" si="8"/>
        <v>#DIV/0!</v>
      </c>
    </row>
    <row r="195" spans="1:5">
      <c r="A195" s="357">
        <f>'DAILY EXTRAPOLATION'!C2569</f>
        <v>46367</v>
      </c>
      <c r="B195" s="356">
        <f t="shared" ref="B195:B216" si="9">A196</f>
        <v>46368</v>
      </c>
      <c r="C195" s="353">
        <f ca="1">'DAILY EXTRAPOLATION'!P2569</f>
        <v>1.000344696969697</v>
      </c>
      <c r="D195" s="359" t="e">
        <f t="shared" ca="1" si="7"/>
        <v>#DIV/0!</v>
      </c>
      <c r="E195" s="355" t="e">
        <f t="shared" ca="1" si="8"/>
        <v>#DIV/0!</v>
      </c>
    </row>
    <row r="196" spans="1:5">
      <c r="A196" s="357">
        <f>'DAILY EXTRAPOLATION'!C2570</f>
        <v>46368</v>
      </c>
      <c r="B196" s="356">
        <f t="shared" si="9"/>
        <v>46369</v>
      </c>
      <c r="C196" s="353">
        <f ca="1">'DAILY EXTRAPOLATION'!P2570</f>
        <v>1</v>
      </c>
      <c r="D196" s="359" t="e">
        <f t="shared" ref="D196:D216" ca="1" si="10">D195*C196</f>
        <v>#DIV/0!</v>
      </c>
      <c r="E196" s="355" t="e">
        <f t="shared" ref="E196:E216" ca="1" si="11">(D196/1-1)*360/(B196-A$2)</f>
        <v>#DIV/0!</v>
      </c>
    </row>
    <row r="197" spans="1:5">
      <c r="A197" s="357">
        <f>'DAILY EXTRAPOLATION'!C2571</f>
        <v>46369</v>
      </c>
      <c r="B197" s="356">
        <f t="shared" si="9"/>
        <v>46370</v>
      </c>
      <c r="C197" s="353">
        <f ca="1">'DAILY EXTRAPOLATION'!P2571</f>
        <v>1</v>
      </c>
      <c r="D197" s="359" t="e">
        <f t="shared" ca="1" si="10"/>
        <v>#DIV/0!</v>
      </c>
      <c r="E197" s="355" t="e">
        <f t="shared" ca="1" si="11"/>
        <v>#DIV/0!</v>
      </c>
    </row>
    <row r="198" spans="1:5">
      <c r="A198" s="357">
        <f>'DAILY EXTRAPOLATION'!C2572</f>
        <v>46370</v>
      </c>
      <c r="B198" s="356">
        <f t="shared" si="9"/>
        <v>46371</v>
      </c>
      <c r="C198" s="353">
        <f ca="1">'DAILY EXTRAPOLATION'!P2572</f>
        <v>1.0001148989898989</v>
      </c>
      <c r="D198" s="359" t="e">
        <f t="shared" ca="1" si="10"/>
        <v>#DIV/0!</v>
      </c>
      <c r="E198" s="355" t="e">
        <f t="shared" ca="1" si="11"/>
        <v>#DIV/0!</v>
      </c>
    </row>
    <row r="199" spans="1:5">
      <c r="A199" s="357">
        <f>'DAILY EXTRAPOLATION'!C2573</f>
        <v>46371</v>
      </c>
      <c r="B199" s="356">
        <f t="shared" si="9"/>
        <v>46372</v>
      </c>
      <c r="C199" s="353">
        <f ca="1">'DAILY EXTRAPOLATION'!P2573</f>
        <v>1.0001148989898989</v>
      </c>
      <c r="D199" s="359" t="e">
        <f t="shared" ca="1" si="10"/>
        <v>#DIV/0!</v>
      </c>
      <c r="E199" s="355" t="e">
        <f t="shared" ca="1" si="11"/>
        <v>#DIV/0!</v>
      </c>
    </row>
    <row r="200" spans="1:5">
      <c r="A200" s="357">
        <f>'DAILY EXTRAPOLATION'!C2574</f>
        <v>46372</v>
      </c>
      <c r="B200" s="356">
        <f t="shared" si="9"/>
        <v>46373</v>
      </c>
      <c r="C200" s="353">
        <f ca="1">'DAILY EXTRAPOLATION'!P2574</f>
        <v>1.0001148989898989</v>
      </c>
      <c r="D200" s="359" t="e">
        <f t="shared" ca="1" si="10"/>
        <v>#DIV/0!</v>
      </c>
      <c r="E200" s="355" t="e">
        <f t="shared" ca="1" si="11"/>
        <v>#DIV/0!</v>
      </c>
    </row>
    <row r="201" spans="1:5">
      <c r="A201" s="357">
        <f>'DAILY EXTRAPOLATION'!C2575</f>
        <v>46373</v>
      </c>
      <c r="B201" s="356">
        <f t="shared" si="9"/>
        <v>46374</v>
      </c>
      <c r="C201" s="353">
        <f ca="1">'DAILY EXTRAPOLATION'!P2575</f>
        <v>1.0001148989898989</v>
      </c>
      <c r="D201" s="359" t="e">
        <f t="shared" ca="1" si="10"/>
        <v>#DIV/0!</v>
      </c>
      <c r="E201" s="355" t="e">
        <f t="shared" ca="1" si="11"/>
        <v>#DIV/0!</v>
      </c>
    </row>
    <row r="202" spans="1:5">
      <c r="A202" s="357">
        <f>'DAILY EXTRAPOLATION'!C2576</f>
        <v>46374</v>
      </c>
      <c r="B202" s="356">
        <f t="shared" si="9"/>
        <v>46375</v>
      </c>
      <c r="C202" s="353">
        <f ca="1">'DAILY EXTRAPOLATION'!P2576</f>
        <v>1.000344696969697</v>
      </c>
      <c r="D202" s="359" t="e">
        <f t="shared" ca="1" si="10"/>
        <v>#DIV/0!</v>
      </c>
      <c r="E202" s="355" t="e">
        <f t="shared" ca="1" si="11"/>
        <v>#DIV/0!</v>
      </c>
    </row>
    <row r="203" spans="1:5">
      <c r="A203" s="357">
        <f>'DAILY EXTRAPOLATION'!C2577</f>
        <v>46375</v>
      </c>
      <c r="B203" s="356">
        <f t="shared" si="9"/>
        <v>46376</v>
      </c>
      <c r="C203" s="353">
        <f ca="1">'DAILY EXTRAPOLATION'!P2577</f>
        <v>1</v>
      </c>
      <c r="D203" s="359" t="e">
        <f t="shared" ca="1" si="10"/>
        <v>#DIV/0!</v>
      </c>
      <c r="E203" s="355" t="e">
        <f t="shared" ca="1" si="11"/>
        <v>#DIV/0!</v>
      </c>
    </row>
    <row r="204" spans="1:5">
      <c r="A204" s="357">
        <f>'DAILY EXTRAPOLATION'!C2578</f>
        <v>46376</v>
      </c>
      <c r="B204" s="356">
        <f t="shared" si="9"/>
        <v>46377</v>
      </c>
      <c r="C204" s="353">
        <f ca="1">'DAILY EXTRAPOLATION'!P2578</f>
        <v>1</v>
      </c>
      <c r="D204" s="359" t="e">
        <f t="shared" ca="1" si="10"/>
        <v>#DIV/0!</v>
      </c>
      <c r="E204" s="355" t="e">
        <f t="shared" ca="1" si="11"/>
        <v>#DIV/0!</v>
      </c>
    </row>
    <row r="205" spans="1:5">
      <c r="A205" s="357">
        <f>'DAILY EXTRAPOLATION'!C2579</f>
        <v>46377</v>
      </c>
      <c r="B205" s="356">
        <f t="shared" si="9"/>
        <v>46378</v>
      </c>
      <c r="C205" s="353">
        <f ca="1">'DAILY EXTRAPOLATION'!P2579</f>
        <v>1.0001148989898989</v>
      </c>
      <c r="D205" s="359" t="e">
        <f t="shared" ca="1" si="10"/>
        <v>#DIV/0!</v>
      </c>
      <c r="E205" s="355" t="e">
        <f t="shared" ca="1" si="11"/>
        <v>#DIV/0!</v>
      </c>
    </row>
    <row r="206" spans="1:5">
      <c r="A206" s="357">
        <f>'DAILY EXTRAPOLATION'!C2580</f>
        <v>46378</v>
      </c>
      <c r="B206" s="356">
        <f t="shared" si="9"/>
        <v>46379</v>
      </c>
      <c r="C206" s="353">
        <f ca="1">'DAILY EXTRAPOLATION'!P2580</f>
        <v>1.0001148989898989</v>
      </c>
      <c r="D206" s="359" t="e">
        <f t="shared" ca="1" si="10"/>
        <v>#DIV/0!</v>
      </c>
      <c r="E206" s="355" t="e">
        <f t="shared" ca="1" si="11"/>
        <v>#DIV/0!</v>
      </c>
    </row>
    <row r="207" spans="1:5">
      <c r="A207" s="357">
        <f>'DAILY EXTRAPOLATION'!C2581</f>
        <v>46379</v>
      </c>
      <c r="B207" s="356">
        <f t="shared" si="9"/>
        <v>46380</v>
      </c>
      <c r="C207" s="353">
        <f ca="1">'DAILY EXTRAPOLATION'!P2581</f>
        <v>1.0001148989898989</v>
      </c>
      <c r="D207" s="359" t="e">
        <f t="shared" ca="1" si="10"/>
        <v>#DIV/0!</v>
      </c>
      <c r="E207" s="355" t="e">
        <f t="shared" ca="1" si="11"/>
        <v>#DIV/0!</v>
      </c>
    </row>
    <row r="208" spans="1:5">
      <c r="A208" s="357">
        <f>'DAILY EXTRAPOLATION'!C2582</f>
        <v>46380</v>
      </c>
      <c r="B208" s="356">
        <f t="shared" si="9"/>
        <v>46381</v>
      </c>
      <c r="C208" s="353">
        <f ca="1">'DAILY EXTRAPOLATION'!P2582</f>
        <v>1.0004595959595959</v>
      </c>
      <c r="D208" s="359" t="e">
        <f t="shared" ca="1" si="10"/>
        <v>#DIV/0!</v>
      </c>
      <c r="E208" s="355" t="e">
        <f t="shared" ca="1" si="11"/>
        <v>#DIV/0!</v>
      </c>
    </row>
    <row r="209" spans="1:5">
      <c r="A209" s="357">
        <f>'DAILY EXTRAPOLATION'!C2583</f>
        <v>46381</v>
      </c>
      <c r="B209" s="356">
        <f t="shared" si="9"/>
        <v>46382</v>
      </c>
      <c r="C209" s="353">
        <f ca="1">'DAILY EXTRAPOLATION'!P2583</f>
        <v>1</v>
      </c>
      <c r="D209" s="359" t="e">
        <f t="shared" ca="1" si="10"/>
        <v>#DIV/0!</v>
      </c>
      <c r="E209" s="355" t="e">
        <f t="shared" ca="1" si="11"/>
        <v>#DIV/0!</v>
      </c>
    </row>
    <row r="210" spans="1:5">
      <c r="A210" s="357">
        <f>'DAILY EXTRAPOLATION'!C2584</f>
        <v>46382</v>
      </c>
      <c r="B210" s="356">
        <f t="shared" si="9"/>
        <v>46383</v>
      </c>
      <c r="C210" s="353">
        <f ca="1">'DAILY EXTRAPOLATION'!P2584</f>
        <v>1</v>
      </c>
      <c r="D210" s="359" t="e">
        <f t="shared" ca="1" si="10"/>
        <v>#DIV/0!</v>
      </c>
      <c r="E210" s="355" t="e">
        <f t="shared" ca="1" si="11"/>
        <v>#DIV/0!</v>
      </c>
    </row>
    <row r="211" spans="1:5">
      <c r="A211" s="357">
        <f>'DAILY EXTRAPOLATION'!C2585</f>
        <v>46383</v>
      </c>
      <c r="B211" s="356">
        <f t="shared" si="9"/>
        <v>46384</v>
      </c>
      <c r="C211" s="353">
        <f ca="1">'DAILY EXTRAPOLATION'!P2585</f>
        <v>1</v>
      </c>
      <c r="D211" s="359" t="e">
        <f t="shared" ca="1" si="10"/>
        <v>#DIV/0!</v>
      </c>
      <c r="E211" s="355" t="e">
        <f t="shared" ca="1" si="11"/>
        <v>#DIV/0!</v>
      </c>
    </row>
    <row r="212" spans="1:5">
      <c r="A212" s="357">
        <f>'DAILY EXTRAPOLATION'!C2586</f>
        <v>46384</v>
      </c>
      <c r="B212" s="356">
        <f t="shared" si="9"/>
        <v>46385</v>
      </c>
      <c r="C212" s="353">
        <f ca="1">'DAILY EXTRAPOLATION'!P2586</f>
        <v>1.0001148989898989</v>
      </c>
      <c r="D212" s="359" t="e">
        <f t="shared" ca="1" si="10"/>
        <v>#DIV/0!</v>
      </c>
      <c r="E212" s="355" t="e">
        <f t="shared" ca="1" si="11"/>
        <v>#DIV/0!</v>
      </c>
    </row>
    <row r="213" spans="1:5">
      <c r="A213" s="357">
        <f>'DAILY EXTRAPOLATION'!C2587</f>
        <v>46385</v>
      </c>
      <c r="B213" s="356">
        <f t="shared" si="9"/>
        <v>46386</v>
      </c>
      <c r="C213" s="353">
        <f ca="1">'DAILY EXTRAPOLATION'!P2587</f>
        <v>1.0001148989898989</v>
      </c>
      <c r="D213" s="359" t="e">
        <f t="shared" ca="1" si="10"/>
        <v>#DIV/0!</v>
      </c>
      <c r="E213" s="355" t="e">
        <f t="shared" ca="1" si="11"/>
        <v>#DIV/0!</v>
      </c>
    </row>
    <row r="214" spans="1:5">
      <c r="A214" s="357">
        <f>'DAILY EXTRAPOLATION'!C2588</f>
        <v>46386</v>
      </c>
      <c r="B214" s="356">
        <f t="shared" si="9"/>
        <v>46387</v>
      </c>
      <c r="C214" s="353">
        <f ca="1">'DAILY EXTRAPOLATION'!P2588</f>
        <v>1.0001148989898989</v>
      </c>
      <c r="D214" s="359" t="e">
        <f t="shared" ca="1" si="10"/>
        <v>#DIV/0!</v>
      </c>
      <c r="E214" s="355" t="e">
        <f t="shared" ca="1" si="11"/>
        <v>#DIV/0!</v>
      </c>
    </row>
    <row r="215" spans="1:5">
      <c r="A215" s="357">
        <f>'DAILY EXTRAPOLATION'!C2589</f>
        <v>46387</v>
      </c>
      <c r="B215" s="356">
        <f t="shared" si="9"/>
        <v>46388</v>
      </c>
      <c r="C215" s="353">
        <f ca="1">'DAILY EXTRAPOLATION'!P2589</f>
        <v>1.0004595959595959</v>
      </c>
      <c r="D215" s="359" t="e">
        <f t="shared" ca="1" si="10"/>
        <v>#DIV/0!</v>
      </c>
      <c r="E215" s="355" t="e">
        <f t="shared" ca="1" si="11"/>
        <v>#DIV/0!</v>
      </c>
    </row>
    <row r="216" spans="1:5">
      <c r="A216" s="357">
        <f>'DAILY EXTRAPOLATION'!C2590</f>
        <v>46388</v>
      </c>
      <c r="B216" s="356">
        <f t="shared" si="9"/>
        <v>46389</v>
      </c>
      <c r="C216" s="353">
        <f>'DAILY EXTRAPOLATION'!P2590</f>
        <v>1</v>
      </c>
      <c r="D216" s="359" t="e">
        <f t="shared" ca="1" si="10"/>
        <v>#DIV/0!</v>
      </c>
      <c r="E216" s="355" t="e">
        <f t="shared" ca="1" si="11"/>
        <v>#DIV/0!</v>
      </c>
    </row>
    <row r="217" spans="1:5">
      <c r="A217" s="357">
        <f>'DAILY EXTRAPOLATION'!C2591</f>
        <v>46389</v>
      </c>
      <c r="B217" s="356"/>
      <c r="C217" s="353"/>
      <c r="D217" s="359"/>
    </row>
    <row r="218" spans="1:5">
      <c r="A218" s="357"/>
      <c r="B218" s="356"/>
      <c r="C218" s="353"/>
      <c r="D218" s="359"/>
    </row>
    <row r="219" spans="1:5">
      <c r="A219" s="357"/>
      <c r="B219" s="356"/>
      <c r="C219" s="353"/>
      <c r="D219" s="359"/>
    </row>
    <row r="220" spans="1:5">
      <c r="A220" s="357"/>
      <c r="B220" s="356"/>
      <c r="C220" s="353"/>
      <c r="D220" s="359"/>
    </row>
    <row r="221" spans="1:5">
      <c r="A221" s="357"/>
      <c r="B221" s="356"/>
      <c r="C221" s="353"/>
      <c r="D221" s="359"/>
    </row>
    <row r="222" spans="1:5">
      <c r="A222" s="357"/>
      <c r="B222" s="356"/>
      <c r="C222" s="353"/>
      <c r="D222" s="359"/>
    </row>
    <row r="223" spans="1:5">
      <c r="A223" s="357"/>
      <c r="B223" s="356"/>
      <c r="C223" s="353"/>
      <c r="D223" s="359"/>
    </row>
    <row r="224" spans="1:5">
      <c r="A224" s="357"/>
      <c r="B224" s="356"/>
      <c r="C224" s="353"/>
      <c r="D224" s="359"/>
    </row>
    <row r="225" spans="1:4">
      <c r="A225" s="357"/>
      <c r="B225" s="356"/>
      <c r="C225" s="353"/>
      <c r="D225" s="359"/>
    </row>
    <row r="226" spans="1:4">
      <c r="A226" s="357"/>
      <c r="B226" s="356"/>
      <c r="C226" s="353"/>
      <c r="D226" s="359"/>
    </row>
    <row r="227" spans="1:4">
      <c r="A227" s="357"/>
      <c r="B227" s="356"/>
      <c r="C227" s="353"/>
      <c r="D227" s="359"/>
    </row>
    <row r="228" spans="1:4">
      <c r="A228" s="357"/>
      <c r="B228" s="356"/>
      <c r="C228" s="353"/>
      <c r="D228" s="359"/>
    </row>
    <row r="229" spans="1:4">
      <c r="A229" s="357"/>
      <c r="B229" s="356"/>
      <c r="C229" s="353"/>
      <c r="D229" s="359"/>
    </row>
    <row r="230" spans="1:4">
      <c r="A230" s="357"/>
      <c r="B230" s="356"/>
      <c r="C230" s="353"/>
      <c r="D230" s="359"/>
    </row>
    <row r="231" spans="1:4">
      <c r="A231" s="357"/>
      <c r="B231" s="356"/>
      <c r="C231" s="353"/>
      <c r="D231" s="359"/>
    </row>
    <row r="232" spans="1:4">
      <c r="A232" s="357"/>
      <c r="B232" s="356"/>
      <c r="C232" s="353"/>
      <c r="D232" s="359"/>
    </row>
    <row r="233" spans="1:4">
      <c r="A233" s="357"/>
      <c r="B233" s="356"/>
      <c r="C233" s="353"/>
      <c r="D233" s="359"/>
    </row>
    <row r="234" spans="1:4">
      <c r="A234" s="357"/>
      <c r="B234" s="356"/>
      <c r="C234" s="353"/>
      <c r="D234" s="359"/>
    </row>
    <row r="235" spans="1:4">
      <c r="A235" s="357"/>
      <c r="B235" s="356"/>
      <c r="C235" s="353"/>
      <c r="D235" s="359"/>
    </row>
    <row r="236" spans="1:4">
      <c r="A236" s="357"/>
      <c r="B236" s="356"/>
      <c r="C236" s="353"/>
      <c r="D236" s="359"/>
    </row>
    <row r="237" spans="1:4">
      <c r="A237" s="357"/>
      <c r="B237" s="356"/>
      <c r="C237" s="353"/>
      <c r="D237" s="359"/>
    </row>
    <row r="238" spans="1:4">
      <c r="A238" s="357"/>
      <c r="B238" s="356"/>
      <c r="C238" s="353"/>
      <c r="D238" s="359"/>
    </row>
    <row r="239" spans="1:4">
      <c r="A239" s="357"/>
      <c r="B239" s="356"/>
      <c r="C239" s="353"/>
      <c r="D239" s="359"/>
    </row>
    <row r="240" spans="1:4">
      <c r="A240" s="357"/>
      <c r="B240" s="356"/>
      <c r="C240" s="353"/>
      <c r="D240" s="359"/>
    </row>
    <row r="241" spans="1:4">
      <c r="A241" s="357"/>
      <c r="B241" s="356"/>
      <c r="C241" s="353"/>
      <c r="D241" s="359"/>
    </row>
    <row r="242" spans="1:4">
      <c r="A242" s="357"/>
      <c r="B242" s="356"/>
      <c r="C242" s="353"/>
      <c r="D242" s="359"/>
    </row>
    <row r="243" spans="1:4">
      <c r="A243" s="357"/>
      <c r="B243" s="356"/>
      <c r="C243" s="353"/>
      <c r="D243" s="359"/>
    </row>
    <row r="244" spans="1:4">
      <c r="A244" s="357"/>
      <c r="B244" s="356"/>
      <c r="C244" s="353"/>
      <c r="D244" s="359"/>
    </row>
    <row r="245" spans="1:4">
      <c r="A245" s="357"/>
      <c r="B245" s="356"/>
      <c r="C245" s="353"/>
      <c r="D245" s="359"/>
    </row>
    <row r="246" spans="1:4">
      <c r="A246" s="357"/>
      <c r="B246" s="356"/>
      <c r="C246" s="353"/>
      <c r="D246" s="359"/>
    </row>
    <row r="247" spans="1:4">
      <c r="A247" s="357"/>
      <c r="B247" s="356"/>
      <c r="C247" s="353"/>
      <c r="D247" s="359"/>
    </row>
    <row r="248" spans="1:4">
      <c r="A248" s="357"/>
      <c r="B248" s="356"/>
      <c r="C248" s="353"/>
      <c r="D248" s="359"/>
    </row>
    <row r="249" spans="1:4">
      <c r="A249" s="357"/>
      <c r="B249" s="356"/>
      <c r="C249" s="353"/>
      <c r="D249" s="359"/>
    </row>
    <row r="250" spans="1:4">
      <c r="A250" s="357"/>
      <c r="B250" s="356"/>
      <c r="C250" s="353"/>
      <c r="D250" s="359"/>
    </row>
    <row r="251" spans="1:4">
      <c r="A251" s="357"/>
      <c r="B251" s="356"/>
      <c r="C251" s="353"/>
      <c r="D251" s="359"/>
    </row>
    <row r="252" spans="1:4">
      <c r="A252" s="357"/>
      <c r="B252" s="356"/>
      <c r="C252" s="353"/>
      <c r="D252" s="359"/>
    </row>
    <row r="253" spans="1:4">
      <c r="A253" s="357"/>
      <c r="B253" s="356"/>
      <c r="C253" s="353"/>
      <c r="D253" s="359"/>
    </row>
    <row r="254" spans="1:4">
      <c r="A254" s="357"/>
      <c r="B254" s="356"/>
      <c r="C254" s="353"/>
      <c r="D254" s="359"/>
    </row>
    <row r="255" spans="1:4">
      <c r="A255" s="357"/>
      <c r="B255" s="356"/>
      <c r="C255" s="353"/>
      <c r="D255" s="359"/>
    </row>
    <row r="256" spans="1:4">
      <c r="A256" s="357"/>
      <c r="B256" s="356"/>
      <c r="C256" s="353"/>
      <c r="D256" s="359"/>
    </row>
    <row r="257" spans="1:4">
      <c r="A257" s="357"/>
      <c r="B257" s="356"/>
      <c r="C257" s="353"/>
      <c r="D257" s="359"/>
    </row>
    <row r="258" spans="1:4">
      <c r="A258" s="357"/>
      <c r="B258" s="356"/>
      <c r="C258" s="353"/>
      <c r="D258" s="359"/>
    </row>
    <row r="259" spans="1:4">
      <c r="A259" s="357"/>
      <c r="B259" s="356"/>
      <c r="C259" s="353"/>
      <c r="D259" s="359"/>
    </row>
    <row r="260" spans="1:4">
      <c r="A260" s="357"/>
      <c r="B260" s="356"/>
      <c r="C260" s="353"/>
      <c r="D260" s="359"/>
    </row>
    <row r="261" spans="1:4">
      <c r="A261" s="357"/>
      <c r="B261" s="356"/>
      <c r="C261" s="353"/>
      <c r="D261" s="359"/>
    </row>
    <row r="262" spans="1:4">
      <c r="A262" s="357"/>
      <c r="B262" s="356"/>
      <c r="C262" s="353"/>
      <c r="D262" s="359"/>
    </row>
    <row r="263" spans="1:4">
      <c r="A263" s="357"/>
      <c r="B263" s="356"/>
      <c r="C263" s="353"/>
      <c r="D263" s="359"/>
    </row>
    <row r="264" spans="1:4">
      <c r="A264" s="357"/>
      <c r="B264" s="356"/>
      <c r="C264" s="353"/>
      <c r="D264" s="359"/>
    </row>
    <row r="265" spans="1:4">
      <c r="A265" s="357"/>
      <c r="B265" s="356"/>
      <c r="C265" s="353"/>
      <c r="D265" s="359"/>
    </row>
    <row r="266" spans="1:4">
      <c r="A266" s="357"/>
      <c r="B266" s="356"/>
      <c r="C266" s="353"/>
      <c r="D266" s="359"/>
    </row>
    <row r="267" spans="1:4">
      <c r="A267" s="357"/>
      <c r="B267" s="356"/>
      <c r="C267" s="353"/>
      <c r="D267" s="359"/>
    </row>
    <row r="268" spans="1:4">
      <c r="A268" s="357"/>
      <c r="B268" s="356"/>
      <c r="C268" s="353"/>
      <c r="D268" s="359"/>
    </row>
    <row r="269" spans="1:4">
      <c r="A269" s="357"/>
      <c r="B269" s="356"/>
      <c r="C269" s="353"/>
      <c r="D269" s="359"/>
    </row>
    <row r="270" spans="1:4">
      <c r="A270" s="357"/>
      <c r="B270" s="356"/>
      <c r="C270" s="353"/>
      <c r="D270" s="359"/>
    </row>
    <row r="271" spans="1:4">
      <c r="A271" s="357"/>
      <c r="B271" s="356"/>
      <c r="C271" s="353"/>
      <c r="D271" s="359"/>
    </row>
    <row r="272" spans="1:4">
      <c r="A272" s="357"/>
      <c r="B272" s="356"/>
      <c r="C272" s="353"/>
      <c r="D272" s="359"/>
    </row>
    <row r="273" spans="1:4">
      <c r="A273" s="357"/>
      <c r="B273" s="356"/>
      <c r="C273" s="353"/>
      <c r="D273" s="359"/>
    </row>
    <row r="274" spans="1:4">
      <c r="A274" s="357"/>
      <c r="B274" s="356"/>
      <c r="C274" s="353"/>
      <c r="D274" s="359"/>
    </row>
    <row r="275" spans="1:4">
      <c r="A275" s="357"/>
      <c r="B275" s="356"/>
      <c r="C275" s="353"/>
      <c r="D275" s="359"/>
    </row>
    <row r="276" spans="1:4">
      <c r="A276" s="357"/>
      <c r="B276" s="356"/>
      <c r="C276" s="353"/>
      <c r="D276" s="359"/>
    </row>
    <row r="277" spans="1:4">
      <c r="A277" s="357"/>
      <c r="B277" s="356"/>
      <c r="C277" s="353"/>
      <c r="D277" s="359"/>
    </row>
    <row r="278" spans="1:4">
      <c r="A278" s="357"/>
      <c r="B278" s="356"/>
      <c r="C278" s="353"/>
      <c r="D278" s="359"/>
    </row>
    <row r="279" spans="1:4">
      <c r="A279" s="357"/>
      <c r="B279" s="356"/>
      <c r="C279" s="353"/>
      <c r="D279" s="359"/>
    </row>
    <row r="280" spans="1:4">
      <c r="A280" s="357"/>
      <c r="B280" s="356"/>
      <c r="C280" s="353"/>
      <c r="D280" s="359"/>
    </row>
    <row r="281" spans="1:4">
      <c r="A281" s="357"/>
      <c r="B281" s="356"/>
      <c r="C281" s="353"/>
      <c r="D281" s="359"/>
    </row>
    <row r="282" spans="1:4">
      <c r="A282" s="357"/>
      <c r="B282" s="356"/>
      <c r="C282" s="353"/>
      <c r="D282" s="359"/>
    </row>
    <row r="283" spans="1:4">
      <c r="A283" s="357"/>
      <c r="B283" s="356"/>
      <c r="C283" s="353"/>
      <c r="D283" s="359"/>
    </row>
    <row r="284" spans="1:4">
      <c r="A284" s="357"/>
      <c r="B284" s="356"/>
      <c r="C284" s="353"/>
      <c r="D284" s="359"/>
    </row>
    <row r="285" spans="1:4">
      <c r="A285" s="357"/>
      <c r="B285" s="356"/>
      <c r="C285" s="353"/>
      <c r="D285" s="359"/>
    </row>
    <row r="286" spans="1:4">
      <c r="A286" s="357"/>
      <c r="B286" s="356"/>
      <c r="C286" s="353"/>
      <c r="D286" s="359"/>
    </row>
    <row r="287" spans="1:4">
      <c r="A287" s="357"/>
      <c r="B287" s="356"/>
      <c r="C287" s="353"/>
      <c r="D287" s="359"/>
    </row>
    <row r="288" spans="1:4">
      <c r="A288" s="357"/>
      <c r="B288" s="356"/>
      <c r="C288" s="353"/>
      <c r="D288" s="359"/>
    </row>
    <row r="289" spans="1:4">
      <c r="A289" s="357"/>
      <c r="B289" s="356"/>
      <c r="C289" s="353"/>
      <c r="D289" s="359"/>
    </row>
    <row r="290" spans="1:4">
      <c r="A290" s="357"/>
      <c r="B290" s="356"/>
      <c r="C290" s="353"/>
      <c r="D290" s="359"/>
    </row>
    <row r="291" spans="1:4">
      <c r="A291" s="357"/>
      <c r="B291" s="356"/>
      <c r="C291" s="353"/>
      <c r="D291" s="359"/>
    </row>
    <row r="292" spans="1:4">
      <c r="A292" s="357"/>
      <c r="B292" s="356"/>
      <c r="C292" s="353"/>
      <c r="D292" s="359"/>
    </row>
    <row r="293" spans="1:4">
      <c r="A293" s="357"/>
      <c r="B293" s="356"/>
      <c r="C293" s="353"/>
      <c r="D293" s="359"/>
    </row>
    <row r="294" spans="1:4">
      <c r="A294" s="357"/>
      <c r="B294" s="356"/>
      <c r="C294" s="353"/>
      <c r="D294" s="359"/>
    </row>
    <row r="295" spans="1:4">
      <c r="A295" s="357"/>
      <c r="B295" s="356"/>
      <c r="C295" s="353"/>
      <c r="D295" s="359"/>
    </row>
    <row r="296" spans="1:4">
      <c r="A296" s="357"/>
      <c r="B296" s="356"/>
      <c r="C296" s="353"/>
      <c r="D296" s="359"/>
    </row>
    <row r="297" spans="1:4">
      <c r="A297" s="357"/>
      <c r="B297" s="356"/>
      <c r="C297" s="353"/>
      <c r="D297" s="359"/>
    </row>
    <row r="298" spans="1:4">
      <c r="A298" s="357"/>
      <c r="B298" s="356"/>
      <c r="C298" s="353"/>
      <c r="D298" s="359"/>
    </row>
    <row r="299" spans="1:4">
      <c r="A299" s="357"/>
      <c r="B299" s="356"/>
      <c r="C299" s="353"/>
      <c r="D299" s="359"/>
    </row>
    <row r="300" spans="1:4">
      <c r="A300" s="357"/>
      <c r="B300" s="356"/>
      <c r="C300" s="353"/>
      <c r="D300" s="359"/>
    </row>
    <row r="301" spans="1:4">
      <c r="A301" s="357"/>
      <c r="B301" s="356"/>
      <c r="C301" s="353"/>
      <c r="D301" s="359"/>
    </row>
    <row r="302" spans="1:4">
      <c r="A302" s="357"/>
      <c r="B302" s="356"/>
      <c r="C302" s="353"/>
      <c r="D302" s="359"/>
    </row>
    <row r="303" spans="1:4">
      <c r="A303" s="357"/>
      <c r="B303" s="356"/>
      <c r="C303" s="353"/>
      <c r="D303" s="359"/>
    </row>
    <row r="304" spans="1:4">
      <c r="A304" s="357"/>
      <c r="B304" s="356"/>
      <c r="C304" s="353"/>
      <c r="D304" s="359"/>
    </row>
    <row r="305" spans="1:4">
      <c r="A305" s="357"/>
      <c r="B305" s="356"/>
      <c r="C305" s="353"/>
      <c r="D305" s="359"/>
    </row>
    <row r="306" spans="1:4">
      <c r="A306" s="357"/>
      <c r="B306" s="356"/>
      <c r="C306" s="353"/>
      <c r="D306" s="359"/>
    </row>
    <row r="307" spans="1:4">
      <c r="A307" s="357"/>
      <c r="B307" s="356"/>
      <c r="C307" s="353"/>
      <c r="D307" s="359"/>
    </row>
    <row r="308" spans="1:4">
      <c r="A308" s="357"/>
      <c r="B308" s="356"/>
      <c r="C308" s="353"/>
      <c r="D308" s="359"/>
    </row>
    <row r="309" spans="1:4">
      <c r="A309" s="357"/>
      <c r="B309" s="356"/>
      <c r="C309" s="353"/>
      <c r="D309" s="359"/>
    </row>
    <row r="310" spans="1:4">
      <c r="A310" s="357"/>
      <c r="B310" s="356"/>
      <c r="C310" s="353"/>
      <c r="D310" s="359"/>
    </row>
    <row r="311" spans="1:4">
      <c r="A311" s="357"/>
    </row>
    <row r="312" spans="1:4">
      <c r="A312" s="357"/>
    </row>
    <row r="313" spans="1:4">
      <c r="A313" s="357"/>
    </row>
    <row r="314" spans="1:4">
      <c r="A314" s="357"/>
    </row>
    <row r="315" spans="1:4">
      <c r="A315" s="357"/>
    </row>
    <row r="316" spans="1:4">
      <c r="A316" s="357"/>
    </row>
    <row r="317" spans="1:4">
      <c r="A317" s="357"/>
    </row>
    <row r="318" spans="1:4">
      <c r="A318" s="357"/>
    </row>
    <row r="319" spans="1:4">
      <c r="A319" s="357"/>
    </row>
    <row r="320" spans="1:4">
      <c r="A320" s="357"/>
    </row>
    <row r="321" spans="1:1">
      <c r="A321" s="357"/>
    </row>
    <row r="322" spans="1:1">
      <c r="A322" s="357"/>
    </row>
    <row r="323" spans="1:1">
      <c r="A323" s="357"/>
    </row>
    <row r="324" spans="1:1">
      <c r="A324" s="357"/>
    </row>
    <row r="325" spans="1:1">
      <c r="A325" s="357"/>
    </row>
    <row r="326" spans="1:1">
      <c r="A326" s="357"/>
    </row>
    <row r="327" spans="1:1">
      <c r="A327" s="357"/>
    </row>
    <row r="328" spans="1:1">
      <c r="A328" s="357"/>
    </row>
    <row r="329" spans="1:1">
      <c r="A329" s="357"/>
    </row>
    <row r="330" spans="1:1">
      <c r="A330" s="357"/>
    </row>
    <row r="331" spans="1:1">
      <c r="A331" s="357"/>
    </row>
    <row r="332" spans="1:1">
      <c r="A332" s="357"/>
    </row>
    <row r="333" spans="1:1">
      <c r="A333" s="357"/>
    </row>
    <row r="334" spans="1:1">
      <c r="A334" s="357"/>
    </row>
    <row r="335" spans="1:1">
      <c r="A335" s="357"/>
    </row>
    <row r="336" spans="1:1">
      <c r="A336" s="357"/>
    </row>
    <row r="337" spans="1:1">
      <c r="A337" s="357"/>
    </row>
    <row r="338" spans="1:1">
      <c r="A338" s="357"/>
    </row>
    <row r="339" spans="1:1">
      <c r="A339" s="357"/>
    </row>
    <row r="340" spans="1:1">
      <c r="A340" s="357"/>
    </row>
    <row r="341" spans="1:1">
      <c r="A341" s="357"/>
    </row>
    <row r="342" spans="1:1">
      <c r="A342" s="357"/>
    </row>
    <row r="343" spans="1:1">
      <c r="A343" s="357"/>
    </row>
    <row r="344" spans="1:1">
      <c r="A344" s="357"/>
    </row>
    <row r="345" spans="1:1">
      <c r="A345" s="357"/>
    </row>
    <row r="346" spans="1:1">
      <c r="A346" s="357"/>
    </row>
    <row r="347" spans="1:1">
      <c r="A347" s="357"/>
    </row>
    <row r="348" spans="1:1">
      <c r="A348" s="357"/>
    </row>
    <row r="349" spans="1:1">
      <c r="A349" s="357"/>
    </row>
    <row r="350" spans="1:1">
      <c r="A350" s="357"/>
    </row>
    <row r="351" spans="1:1">
      <c r="A351" s="357"/>
    </row>
    <row r="352" spans="1:1">
      <c r="A352" s="357"/>
    </row>
    <row r="353" spans="1:1">
      <c r="A353" s="357"/>
    </row>
    <row r="354" spans="1:1">
      <c r="A354" s="357"/>
    </row>
    <row r="355" spans="1:1">
      <c r="A355" s="357"/>
    </row>
    <row r="356" spans="1:1">
      <c r="A356" s="357"/>
    </row>
    <row r="357" spans="1:1">
      <c r="A357" s="357"/>
    </row>
    <row r="358" spans="1:1">
      <c r="A358" s="357"/>
    </row>
    <row r="359" spans="1:1">
      <c r="A359" s="357"/>
    </row>
    <row r="360" spans="1:1">
      <c r="A360" s="357"/>
    </row>
    <row r="361" spans="1:1">
      <c r="A361" s="357"/>
    </row>
    <row r="362" spans="1:1">
      <c r="A362" s="357"/>
    </row>
    <row r="363" spans="1:1">
      <c r="A363" s="357"/>
    </row>
    <row r="364" spans="1:1">
      <c r="A364" s="357"/>
    </row>
    <row r="365" spans="1:1">
      <c r="A365" s="357"/>
    </row>
    <row r="366" spans="1:1">
      <c r="A366" s="357"/>
    </row>
    <row r="367" spans="1:1">
      <c r="A367" s="357"/>
    </row>
    <row r="368" spans="1:1">
      <c r="A368" s="357"/>
    </row>
    <row r="369" spans="1:1">
      <c r="A369" s="357"/>
    </row>
    <row r="370" spans="1:1">
      <c r="A370" s="357"/>
    </row>
    <row r="371" spans="1:1">
      <c r="A371" s="357"/>
    </row>
    <row r="372" spans="1:1">
      <c r="A372" s="357"/>
    </row>
    <row r="373" spans="1:1">
      <c r="A373" s="357"/>
    </row>
    <row r="374" spans="1:1">
      <c r="A374" s="357"/>
    </row>
    <row r="375" spans="1:1">
      <c r="A375" s="357"/>
    </row>
    <row r="376" spans="1:1">
      <c r="A376" s="357"/>
    </row>
    <row r="377" spans="1:1">
      <c r="A377" s="357"/>
    </row>
    <row r="378" spans="1:1">
      <c r="A378" s="357"/>
    </row>
    <row r="379" spans="1:1">
      <c r="A379" s="357"/>
    </row>
    <row r="380" spans="1:1">
      <c r="A380" s="357"/>
    </row>
    <row r="381" spans="1:1">
      <c r="A381" s="357"/>
    </row>
    <row r="382" spans="1:1">
      <c r="A382" s="357"/>
    </row>
    <row r="383" spans="1:1">
      <c r="A383" s="357"/>
    </row>
    <row r="384" spans="1:1">
      <c r="A384" s="357"/>
    </row>
    <row r="385" spans="1:1">
      <c r="A385" s="357"/>
    </row>
    <row r="386" spans="1:1">
      <c r="A386" s="357"/>
    </row>
    <row r="387" spans="1:1">
      <c r="A387" s="357"/>
    </row>
    <row r="388" spans="1:1">
      <c r="A388" s="357"/>
    </row>
    <row r="389" spans="1:1">
      <c r="A389" s="357"/>
    </row>
    <row r="390" spans="1:1">
      <c r="A390" s="357"/>
    </row>
    <row r="391" spans="1:1">
      <c r="A391" s="357"/>
    </row>
    <row r="392" spans="1:1">
      <c r="A392" s="357"/>
    </row>
    <row r="393" spans="1:1">
      <c r="A393" s="357"/>
    </row>
    <row r="394" spans="1:1">
      <c r="A394" s="357"/>
    </row>
    <row r="395" spans="1:1">
      <c r="A395" s="357"/>
    </row>
    <row r="396" spans="1:1">
      <c r="A396" s="357"/>
    </row>
    <row r="397" spans="1:1">
      <c r="A397" s="357"/>
    </row>
    <row r="398" spans="1:1">
      <c r="A398" s="357"/>
    </row>
    <row r="399" spans="1:1">
      <c r="A399" s="357"/>
    </row>
    <row r="400" spans="1:1">
      <c r="A400" s="357"/>
    </row>
    <row r="401" spans="1:1">
      <c r="A401" s="357"/>
    </row>
    <row r="402" spans="1:1">
      <c r="A402" s="357"/>
    </row>
    <row r="403" spans="1:1">
      <c r="A403" s="357"/>
    </row>
    <row r="404" spans="1:1">
      <c r="A404" s="357"/>
    </row>
    <row r="405" spans="1:1">
      <c r="A405" s="357"/>
    </row>
    <row r="406" spans="1:1">
      <c r="A406" s="357"/>
    </row>
    <row r="407" spans="1:1">
      <c r="A407" s="357"/>
    </row>
    <row r="408" spans="1:1">
      <c r="A408" s="357"/>
    </row>
    <row r="409" spans="1:1">
      <c r="A409" s="357"/>
    </row>
    <row r="410" spans="1:1">
      <c r="A410" s="357"/>
    </row>
    <row r="411" spans="1:1">
      <c r="A411" s="357"/>
    </row>
    <row r="412" spans="1:1">
      <c r="A412" s="357"/>
    </row>
    <row r="413" spans="1:1">
      <c r="A413" s="357"/>
    </row>
    <row r="414" spans="1:1">
      <c r="A414" s="357"/>
    </row>
    <row r="415" spans="1:1">
      <c r="A415" s="357"/>
    </row>
    <row r="416" spans="1:1">
      <c r="A416" s="357"/>
    </row>
    <row r="417" spans="1:1">
      <c r="A417" s="357"/>
    </row>
    <row r="418" spans="1:1">
      <c r="A418" s="357"/>
    </row>
    <row r="419" spans="1:1">
      <c r="A419" s="357"/>
    </row>
    <row r="420" spans="1:1">
      <c r="A420" s="357"/>
    </row>
    <row r="421" spans="1:1">
      <c r="A421" s="357"/>
    </row>
    <row r="422" spans="1:1">
      <c r="A422" s="357"/>
    </row>
    <row r="423" spans="1:1">
      <c r="A423" s="357"/>
    </row>
    <row r="424" spans="1:1">
      <c r="A424" s="357"/>
    </row>
    <row r="425" spans="1:1">
      <c r="A425" s="357"/>
    </row>
    <row r="426" spans="1:1">
      <c r="A426" s="357"/>
    </row>
    <row r="427" spans="1:1">
      <c r="A427" s="357"/>
    </row>
    <row r="428" spans="1:1">
      <c r="A428" s="357"/>
    </row>
    <row r="429" spans="1:1">
      <c r="A429" s="357"/>
    </row>
    <row r="430" spans="1:1">
      <c r="A430" s="357"/>
    </row>
    <row r="431" spans="1:1">
      <c r="A431" s="357"/>
    </row>
    <row r="432" spans="1:1">
      <c r="A432" s="357"/>
    </row>
    <row r="433" spans="1:1">
      <c r="A433" s="357"/>
    </row>
    <row r="434" spans="1:1">
      <c r="A434" s="357"/>
    </row>
    <row r="435" spans="1:1">
      <c r="A435" s="357"/>
    </row>
    <row r="436" spans="1:1">
      <c r="A436" s="357"/>
    </row>
    <row r="437" spans="1:1">
      <c r="A437" s="357"/>
    </row>
    <row r="438" spans="1:1">
      <c r="A438" s="357"/>
    </row>
    <row r="439" spans="1:1">
      <c r="A439" s="357"/>
    </row>
    <row r="440" spans="1:1">
      <c r="A440" s="357"/>
    </row>
    <row r="441" spans="1:1">
      <c r="A441" s="357"/>
    </row>
    <row r="442" spans="1:1">
      <c r="A442" s="357"/>
    </row>
    <row r="443" spans="1:1">
      <c r="A443" s="357"/>
    </row>
    <row r="444" spans="1:1">
      <c r="A444" s="357"/>
    </row>
    <row r="445" spans="1:1">
      <c r="A445" s="357"/>
    </row>
    <row r="446" spans="1:1">
      <c r="A446" s="357"/>
    </row>
    <row r="447" spans="1:1">
      <c r="A447" s="357"/>
    </row>
    <row r="448" spans="1:1">
      <c r="A448" s="357"/>
    </row>
    <row r="449" spans="1:1">
      <c r="A449" s="357"/>
    </row>
    <row r="450" spans="1:1">
      <c r="A450" s="357"/>
    </row>
    <row r="451" spans="1:1">
      <c r="A451" s="357"/>
    </row>
    <row r="452" spans="1:1">
      <c r="A452" s="357"/>
    </row>
    <row r="453" spans="1:1">
      <c r="A453" s="357"/>
    </row>
    <row r="454" spans="1:1">
      <c r="A454" s="357"/>
    </row>
    <row r="455" spans="1:1">
      <c r="A455" s="357"/>
    </row>
    <row r="456" spans="1:1">
      <c r="A456" s="357"/>
    </row>
    <row r="457" spans="1:1">
      <c r="A457" s="357"/>
    </row>
    <row r="458" spans="1:1">
      <c r="A458" s="357"/>
    </row>
    <row r="459" spans="1:1">
      <c r="A459" s="357"/>
    </row>
    <row r="460" spans="1:1">
      <c r="A460" s="357"/>
    </row>
    <row r="461" spans="1:1">
      <c r="A461" s="357"/>
    </row>
    <row r="462" spans="1:1">
      <c r="A462" s="357"/>
    </row>
    <row r="463" spans="1:1">
      <c r="A463" s="357"/>
    </row>
    <row r="464" spans="1:1">
      <c r="A464" s="357"/>
    </row>
    <row r="465" spans="1:1">
      <c r="A465" s="357"/>
    </row>
    <row r="466" spans="1:1">
      <c r="A466" s="357"/>
    </row>
    <row r="467" spans="1:1">
      <c r="A467" s="357"/>
    </row>
    <row r="468" spans="1:1">
      <c r="A468" s="357"/>
    </row>
    <row r="469" spans="1:1">
      <c r="A469" s="357"/>
    </row>
    <row r="470" spans="1:1">
      <c r="A470" s="357"/>
    </row>
    <row r="471" spans="1:1">
      <c r="A471" s="357"/>
    </row>
    <row r="472" spans="1:1">
      <c r="A472" s="357"/>
    </row>
    <row r="473" spans="1:1">
      <c r="A473" s="357"/>
    </row>
    <row r="474" spans="1:1">
      <c r="A474" s="357"/>
    </row>
    <row r="475" spans="1:1">
      <c r="A475" s="357"/>
    </row>
    <row r="476" spans="1:1">
      <c r="A476" s="357"/>
    </row>
    <row r="477" spans="1:1">
      <c r="A477" s="357"/>
    </row>
    <row r="478" spans="1:1">
      <c r="A478" s="357"/>
    </row>
    <row r="479" spans="1:1">
      <c r="A479" s="357"/>
    </row>
    <row r="480" spans="1:1">
      <c r="A480" s="357"/>
    </row>
    <row r="481" spans="1:1">
      <c r="A481" s="357"/>
    </row>
    <row r="482" spans="1:1">
      <c r="A482" s="357"/>
    </row>
    <row r="483" spans="1:1">
      <c r="A483" s="357"/>
    </row>
    <row r="484" spans="1:1">
      <c r="A484" s="357"/>
    </row>
    <row r="485" spans="1:1">
      <c r="A485" s="357"/>
    </row>
    <row r="486" spans="1:1">
      <c r="A486" s="357"/>
    </row>
    <row r="487" spans="1:1">
      <c r="A487" s="357"/>
    </row>
    <row r="488" spans="1:1">
      <c r="A488" s="357"/>
    </row>
    <row r="489" spans="1:1">
      <c r="A489" s="357"/>
    </row>
    <row r="490" spans="1:1">
      <c r="A490" s="357"/>
    </row>
    <row r="491" spans="1:1">
      <c r="A491" s="357"/>
    </row>
    <row r="492" spans="1:1">
      <c r="A492" s="357"/>
    </row>
    <row r="493" spans="1:1">
      <c r="A493" s="357"/>
    </row>
    <row r="494" spans="1:1">
      <c r="A494" s="357"/>
    </row>
    <row r="495" spans="1:1">
      <c r="A495" s="357"/>
    </row>
    <row r="496" spans="1:1">
      <c r="A496" s="357"/>
    </row>
    <row r="497" spans="1:1">
      <c r="A497" s="357"/>
    </row>
    <row r="498" spans="1:1">
      <c r="A498" s="357"/>
    </row>
    <row r="499" spans="1:1">
      <c r="A499" s="357"/>
    </row>
    <row r="500" spans="1:1">
      <c r="A500" s="357"/>
    </row>
    <row r="501" spans="1:1">
      <c r="A501" s="357"/>
    </row>
    <row r="502" spans="1:1">
      <c r="A502" s="357"/>
    </row>
    <row r="503" spans="1:1">
      <c r="A503" s="357"/>
    </row>
    <row r="504" spans="1:1">
      <c r="A504" s="357"/>
    </row>
    <row r="505" spans="1:1">
      <c r="A505" s="357"/>
    </row>
    <row r="506" spans="1:1">
      <c r="A506" s="357"/>
    </row>
    <row r="507" spans="1:1">
      <c r="A507" s="357"/>
    </row>
    <row r="508" spans="1:1">
      <c r="A508" s="357"/>
    </row>
    <row r="509" spans="1:1">
      <c r="A509" s="357"/>
    </row>
    <row r="510" spans="1:1">
      <c r="A510" s="357"/>
    </row>
    <row r="511" spans="1:1">
      <c r="A511" s="357"/>
    </row>
    <row r="512" spans="1:1">
      <c r="A512" s="357"/>
    </row>
    <row r="513" spans="1:1">
      <c r="A513" s="357"/>
    </row>
    <row r="514" spans="1:1">
      <c r="A514" s="357"/>
    </row>
    <row r="515" spans="1:1">
      <c r="A515" s="357"/>
    </row>
    <row r="516" spans="1:1">
      <c r="A516" s="357"/>
    </row>
    <row r="517" spans="1:1">
      <c r="A517" s="357"/>
    </row>
    <row r="518" spans="1:1">
      <c r="A518" s="357"/>
    </row>
    <row r="519" spans="1:1">
      <c r="A519" s="357"/>
    </row>
    <row r="520" spans="1:1">
      <c r="A520" s="357"/>
    </row>
    <row r="521" spans="1:1">
      <c r="A521" s="357"/>
    </row>
    <row r="522" spans="1:1">
      <c r="A522" s="357"/>
    </row>
    <row r="523" spans="1:1">
      <c r="A523" s="357"/>
    </row>
    <row r="524" spans="1:1">
      <c r="A524" s="357"/>
    </row>
    <row r="525" spans="1:1">
      <c r="A525" s="357"/>
    </row>
    <row r="526" spans="1:1">
      <c r="A526" s="357"/>
    </row>
    <row r="527" spans="1:1">
      <c r="A527" s="357"/>
    </row>
    <row r="528" spans="1:1">
      <c r="A528" s="357"/>
    </row>
    <row r="529" spans="1:1">
      <c r="A529" s="357"/>
    </row>
    <row r="530" spans="1:1">
      <c r="A530" s="357"/>
    </row>
    <row r="531" spans="1:1">
      <c r="A531" s="357"/>
    </row>
    <row r="532" spans="1:1">
      <c r="A532" s="357"/>
    </row>
    <row r="533" spans="1:1">
      <c r="A533" s="357"/>
    </row>
    <row r="534" spans="1:1">
      <c r="A534" s="357"/>
    </row>
    <row r="535" spans="1:1">
      <c r="A535" s="357"/>
    </row>
    <row r="536" spans="1:1">
      <c r="A536" s="357"/>
    </row>
    <row r="537" spans="1:1">
      <c r="A537" s="357"/>
    </row>
    <row r="538" spans="1:1">
      <c r="A538" s="357"/>
    </row>
    <row r="539" spans="1:1">
      <c r="A539" s="357"/>
    </row>
    <row r="540" spans="1:1">
      <c r="A540" s="357"/>
    </row>
    <row r="541" spans="1:1">
      <c r="A541" s="357"/>
    </row>
    <row r="542" spans="1:1">
      <c r="A542" s="357"/>
    </row>
    <row r="543" spans="1:1">
      <c r="A543" s="357"/>
    </row>
    <row r="544" spans="1:1">
      <c r="A544" s="357"/>
    </row>
    <row r="545" spans="1:1">
      <c r="A545" s="357"/>
    </row>
    <row r="546" spans="1:1">
      <c r="A546" s="357"/>
    </row>
    <row r="547" spans="1:1">
      <c r="A547" s="357"/>
    </row>
    <row r="548" spans="1:1">
      <c r="A548" s="357"/>
    </row>
    <row r="549" spans="1:1">
      <c r="A549" s="357"/>
    </row>
    <row r="550" spans="1:1">
      <c r="A550" s="357"/>
    </row>
    <row r="551" spans="1:1">
      <c r="A551" s="357"/>
    </row>
    <row r="552" spans="1:1">
      <c r="A552" s="357"/>
    </row>
    <row r="553" spans="1:1">
      <c r="A553" s="357"/>
    </row>
    <row r="554" spans="1:1">
      <c r="A554" s="357"/>
    </row>
    <row r="555" spans="1:1">
      <c r="A555" s="357"/>
    </row>
    <row r="556" spans="1:1">
      <c r="A556" s="357"/>
    </row>
    <row r="557" spans="1:1">
      <c r="A557" s="357"/>
    </row>
    <row r="558" spans="1:1">
      <c r="A558" s="357"/>
    </row>
    <row r="559" spans="1:1">
      <c r="A559" s="357"/>
    </row>
    <row r="560" spans="1:1">
      <c r="A560" s="357"/>
    </row>
    <row r="561" spans="1:1">
      <c r="A561" s="357"/>
    </row>
    <row r="562" spans="1:1">
      <c r="A562" s="357"/>
    </row>
    <row r="563" spans="1:1">
      <c r="A563" s="357"/>
    </row>
    <row r="564" spans="1:1">
      <c r="A564" s="357"/>
    </row>
    <row r="565" spans="1:1">
      <c r="A565" s="357"/>
    </row>
    <row r="566" spans="1:1">
      <c r="A566" s="357"/>
    </row>
    <row r="567" spans="1:1">
      <c r="A567" s="357"/>
    </row>
    <row r="568" spans="1:1">
      <c r="A568" s="357"/>
    </row>
    <row r="569" spans="1:1">
      <c r="A569" s="357"/>
    </row>
    <row r="570" spans="1:1">
      <c r="A570" s="357"/>
    </row>
    <row r="571" spans="1:1">
      <c r="A571" s="357"/>
    </row>
    <row r="572" spans="1:1">
      <c r="A572" s="357"/>
    </row>
    <row r="573" spans="1:1">
      <c r="A573" s="357"/>
    </row>
    <row r="574" spans="1:1">
      <c r="A574" s="357"/>
    </row>
    <row r="575" spans="1:1">
      <c r="A575" s="357"/>
    </row>
    <row r="576" spans="1:1">
      <c r="A576" s="357"/>
    </row>
    <row r="577" spans="1:1">
      <c r="A577" s="357"/>
    </row>
    <row r="578" spans="1:1">
      <c r="A578" s="357"/>
    </row>
    <row r="579" spans="1:1">
      <c r="A579" s="357"/>
    </row>
    <row r="580" spans="1:1">
      <c r="A580" s="357"/>
    </row>
    <row r="581" spans="1:1">
      <c r="A581" s="357"/>
    </row>
    <row r="582" spans="1:1">
      <c r="A582" s="357"/>
    </row>
    <row r="583" spans="1:1">
      <c r="A583" s="357"/>
    </row>
    <row r="584" spans="1:1">
      <c r="A584" s="357"/>
    </row>
    <row r="585" spans="1:1">
      <c r="A585" s="357"/>
    </row>
    <row r="586" spans="1:1">
      <c r="A586" s="357"/>
    </row>
    <row r="587" spans="1:1">
      <c r="A587" s="357"/>
    </row>
    <row r="588" spans="1:1">
      <c r="A588" s="357"/>
    </row>
    <row r="589" spans="1:1">
      <c r="A589" s="357"/>
    </row>
    <row r="590" spans="1:1">
      <c r="A590" s="357"/>
    </row>
    <row r="591" spans="1:1">
      <c r="A591" s="357"/>
    </row>
    <row r="592" spans="1:1">
      <c r="A592" s="357"/>
    </row>
    <row r="593" spans="1:1">
      <c r="A593" s="357"/>
    </row>
    <row r="594" spans="1:1">
      <c r="A594" s="357"/>
    </row>
    <row r="595" spans="1:1">
      <c r="A595" s="357"/>
    </row>
    <row r="596" spans="1:1">
      <c r="A596" s="357"/>
    </row>
    <row r="597" spans="1:1">
      <c r="A597" s="357"/>
    </row>
    <row r="598" spans="1:1">
      <c r="A598" s="357"/>
    </row>
    <row r="599" spans="1:1">
      <c r="A599" s="357"/>
    </row>
    <row r="600" spans="1:1">
      <c r="A600" s="357"/>
    </row>
    <row r="601" spans="1:1">
      <c r="A601" s="357"/>
    </row>
    <row r="602" spans="1:1">
      <c r="A602" s="357"/>
    </row>
    <row r="603" spans="1:1">
      <c r="A603" s="357"/>
    </row>
    <row r="604" spans="1:1">
      <c r="A604" s="357"/>
    </row>
    <row r="605" spans="1:1">
      <c r="A605" s="357"/>
    </row>
    <row r="606" spans="1:1">
      <c r="A606" s="357"/>
    </row>
    <row r="607" spans="1:1">
      <c r="A607" s="357"/>
    </row>
    <row r="608" spans="1:1">
      <c r="A608" s="357"/>
    </row>
    <row r="609" spans="1:1">
      <c r="A609" s="357"/>
    </row>
    <row r="610" spans="1:1">
      <c r="A610" s="357"/>
    </row>
    <row r="611" spans="1:1">
      <c r="A611" s="357"/>
    </row>
    <row r="612" spans="1:1">
      <c r="A612" s="357"/>
    </row>
    <row r="613" spans="1:1">
      <c r="A613" s="357"/>
    </row>
    <row r="614" spans="1:1">
      <c r="A614" s="357"/>
    </row>
    <row r="615" spans="1:1">
      <c r="A615" s="357"/>
    </row>
    <row r="616" spans="1:1">
      <c r="A616" s="357"/>
    </row>
    <row r="617" spans="1:1">
      <c r="A617" s="357"/>
    </row>
    <row r="618" spans="1:1">
      <c r="A618" s="357"/>
    </row>
    <row r="619" spans="1:1">
      <c r="A619" s="357"/>
    </row>
    <row r="620" spans="1:1">
      <c r="A620" s="357"/>
    </row>
    <row r="621" spans="1:1">
      <c r="A621" s="357"/>
    </row>
    <row r="622" spans="1:1">
      <c r="A622" s="357"/>
    </row>
    <row r="623" spans="1:1">
      <c r="A623" s="357"/>
    </row>
    <row r="624" spans="1:1">
      <c r="A624" s="357"/>
    </row>
    <row r="625" spans="1:1">
      <c r="A625" s="357"/>
    </row>
    <row r="626" spans="1:1">
      <c r="A626" s="357"/>
    </row>
    <row r="627" spans="1:1">
      <c r="A627" s="357"/>
    </row>
    <row r="628" spans="1:1">
      <c r="A628" s="357"/>
    </row>
    <row r="629" spans="1:1">
      <c r="A629" s="357"/>
    </row>
    <row r="630" spans="1:1">
      <c r="A630" s="357"/>
    </row>
    <row r="631" spans="1:1">
      <c r="A631" s="357"/>
    </row>
    <row r="632" spans="1:1">
      <c r="A632" s="357"/>
    </row>
    <row r="633" spans="1:1">
      <c r="A633" s="357"/>
    </row>
    <row r="634" spans="1:1">
      <c r="A634" s="357"/>
    </row>
    <row r="635" spans="1:1">
      <c r="A635" s="357"/>
    </row>
    <row r="636" spans="1:1">
      <c r="A636" s="357"/>
    </row>
    <row r="637" spans="1:1">
      <c r="A637" s="357"/>
    </row>
    <row r="638" spans="1:1">
      <c r="A638" s="357"/>
    </row>
    <row r="639" spans="1:1">
      <c r="A639" s="357"/>
    </row>
    <row r="640" spans="1:1">
      <c r="A640" s="357"/>
    </row>
    <row r="641" spans="1:1">
      <c r="A641" s="357"/>
    </row>
    <row r="642" spans="1:1">
      <c r="A642" s="357"/>
    </row>
    <row r="643" spans="1:1">
      <c r="A643" s="357"/>
    </row>
    <row r="644" spans="1:1">
      <c r="A644" s="357"/>
    </row>
    <row r="645" spans="1:1">
      <c r="A645" s="357"/>
    </row>
    <row r="646" spans="1:1">
      <c r="A646" s="357"/>
    </row>
    <row r="647" spans="1:1">
      <c r="A647" s="357"/>
    </row>
    <row r="648" spans="1:1">
      <c r="A648" s="357"/>
    </row>
    <row r="649" spans="1:1">
      <c r="A649" s="357"/>
    </row>
    <row r="650" spans="1:1">
      <c r="A650" s="357"/>
    </row>
    <row r="651" spans="1:1">
      <c r="A651" s="357"/>
    </row>
    <row r="652" spans="1:1">
      <c r="A652" s="357"/>
    </row>
    <row r="653" spans="1:1">
      <c r="A653" s="357"/>
    </row>
    <row r="654" spans="1:1">
      <c r="A654" s="357"/>
    </row>
    <row r="655" spans="1:1">
      <c r="A655" s="357"/>
    </row>
    <row r="656" spans="1:1">
      <c r="A656" s="357"/>
    </row>
    <row r="657" spans="1:1">
      <c r="A657" s="357"/>
    </row>
    <row r="658" spans="1:1">
      <c r="A658" s="357"/>
    </row>
    <row r="659" spans="1:1">
      <c r="A659" s="357"/>
    </row>
    <row r="660" spans="1:1">
      <c r="A660" s="357"/>
    </row>
    <row r="661" spans="1:1">
      <c r="A661" s="357"/>
    </row>
    <row r="662" spans="1:1">
      <c r="A662" s="357"/>
    </row>
    <row r="663" spans="1:1">
      <c r="A663" s="357"/>
    </row>
    <row r="664" spans="1:1">
      <c r="A664" s="357"/>
    </row>
    <row r="665" spans="1:1">
      <c r="A665" s="357"/>
    </row>
    <row r="666" spans="1:1">
      <c r="A666" s="357"/>
    </row>
    <row r="667" spans="1:1">
      <c r="A667" s="357"/>
    </row>
    <row r="668" spans="1:1">
      <c r="A668" s="357"/>
    </row>
    <row r="669" spans="1:1">
      <c r="A669" s="357"/>
    </row>
    <row r="670" spans="1:1">
      <c r="A670" s="357"/>
    </row>
    <row r="671" spans="1:1">
      <c r="A671" s="357"/>
    </row>
    <row r="672" spans="1:1">
      <c r="A672" s="357"/>
    </row>
    <row r="673" spans="1:1">
      <c r="A673" s="357"/>
    </row>
    <row r="674" spans="1:1">
      <c r="A674" s="357"/>
    </row>
    <row r="675" spans="1:1">
      <c r="A675" s="357"/>
    </row>
    <row r="676" spans="1:1">
      <c r="A676" s="357"/>
    </row>
    <row r="677" spans="1:1">
      <c r="A677" s="357"/>
    </row>
    <row r="678" spans="1:1">
      <c r="A678" s="357"/>
    </row>
    <row r="679" spans="1:1">
      <c r="A679" s="357"/>
    </row>
    <row r="680" spans="1:1">
      <c r="A680" s="357"/>
    </row>
    <row r="681" spans="1:1">
      <c r="A681" s="357"/>
    </row>
    <row r="682" spans="1:1">
      <c r="A682" s="357"/>
    </row>
    <row r="683" spans="1:1">
      <c r="A683" s="357"/>
    </row>
    <row r="684" spans="1:1">
      <c r="A684" s="357"/>
    </row>
    <row r="685" spans="1:1">
      <c r="A685" s="357"/>
    </row>
    <row r="686" spans="1:1">
      <c r="A686" s="357"/>
    </row>
    <row r="687" spans="1:1">
      <c r="A687" s="357"/>
    </row>
    <row r="688" spans="1:1">
      <c r="A688" s="357"/>
    </row>
    <row r="689" spans="1:1">
      <c r="A689" s="357"/>
    </row>
    <row r="690" spans="1:1">
      <c r="A690" s="357"/>
    </row>
    <row r="691" spans="1:1">
      <c r="A691" s="357"/>
    </row>
    <row r="692" spans="1:1">
      <c r="A692" s="357"/>
    </row>
    <row r="693" spans="1:1">
      <c r="A693" s="357"/>
    </row>
    <row r="694" spans="1:1">
      <c r="A694" s="357"/>
    </row>
    <row r="695" spans="1:1">
      <c r="A695" s="357"/>
    </row>
    <row r="696" spans="1:1">
      <c r="A696" s="357"/>
    </row>
    <row r="697" spans="1:1">
      <c r="A697" s="357"/>
    </row>
    <row r="698" spans="1:1">
      <c r="A698" s="357"/>
    </row>
    <row r="699" spans="1:1">
      <c r="A699" s="357"/>
    </row>
    <row r="700" spans="1:1">
      <c r="A700" s="357"/>
    </row>
    <row r="701" spans="1:1">
      <c r="A701" s="357"/>
    </row>
    <row r="702" spans="1:1">
      <c r="A702" s="357"/>
    </row>
    <row r="703" spans="1:1">
      <c r="A703" s="357"/>
    </row>
    <row r="704" spans="1:1">
      <c r="A704" s="357"/>
    </row>
    <row r="705" spans="1:1">
      <c r="A705" s="357"/>
    </row>
    <row r="706" spans="1:1">
      <c r="A706" s="357"/>
    </row>
    <row r="707" spans="1:1">
      <c r="A707" s="357"/>
    </row>
    <row r="708" spans="1:1">
      <c r="A708" s="357"/>
    </row>
    <row r="709" spans="1:1">
      <c r="A709" s="357"/>
    </row>
    <row r="710" spans="1:1">
      <c r="A710" s="357"/>
    </row>
    <row r="711" spans="1:1">
      <c r="A711" s="357"/>
    </row>
    <row r="712" spans="1:1">
      <c r="A712" s="357"/>
    </row>
    <row r="713" spans="1:1">
      <c r="A713" s="357"/>
    </row>
    <row r="714" spans="1:1">
      <c r="A714" s="357"/>
    </row>
    <row r="715" spans="1:1">
      <c r="A715" s="357"/>
    </row>
    <row r="716" spans="1:1">
      <c r="A716" s="357"/>
    </row>
    <row r="717" spans="1:1">
      <c r="A717" s="357"/>
    </row>
    <row r="718" spans="1:1">
      <c r="A718" s="357"/>
    </row>
    <row r="719" spans="1:1">
      <c r="A719" s="357"/>
    </row>
    <row r="720" spans="1:1">
      <c r="A720" s="357"/>
    </row>
    <row r="721" spans="1:1">
      <c r="A721" s="357"/>
    </row>
    <row r="722" spans="1:1">
      <c r="A722" s="357"/>
    </row>
    <row r="723" spans="1:1">
      <c r="A723" s="357"/>
    </row>
    <row r="724" spans="1:1">
      <c r="A724" s="357"/>
    </row>
    <row r="725" spans="1:1">
      <c r="A725" s="357"/>
    </row>
    <row r="726" spans="1:1">
      <c r="A726" s="35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2026-10-27T13:17:44Z</dcterms:modified>
</cp:coreProperties>
</file>